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ad Me (Easy Read)" sheetId="2" state="visible" r:id="rId2"/>
    <sheet name="Finance" sheetId="3" state="visible" r:id="rId3"/>
    <sheet name="Month-End" sheetId="4" state="visible" r:id="rId4"/>
    <sheet name="WIP Summary" sheetId="5" state="visible" r:id="rId5"/>
    <sheet name="Deferred Revenue" sheetId="6" state="visible" r:id="rId6"/>
    <sheet name="Onsite" sheetId="7" state="visible" r:id="rId7"/>
    <sheet name="Production" sheetId="8" state="visible" r:id="rId8"/>
    <sheet name="Consulting" sheetId="9" state="visible" r:id="rId9"/>
    <sheet name="WIP Movements" sheetId="10" state="visible" r:id="rId10"/>
    <sheet name="Lists" sheetId="11" state="visible" r:id="rId11"/>
  </sheets>
  <definedNames>
    <definedName name="lst_CostCentre">Lists!$A$5:$A$10</definedName>
    <definedName name="lst_InvoiceType">Lists!$B$5:$B$14</definedName>
    <definedName name="lst_TaxCode">Lists!$C$5:$C$8</definedName>
    <definedName name="lst_Status">Lists!$D$5:$D$13</definedName>
    <definedName name="lst_YN">Lists!$E$5:$E$7</definedName>
    <definedName name="lst_Ariba">Lists!$F$5:$F$10</definedName>
    <definedName name="lst_WIPType">Lists!$G$5:$G$10</definedName>
    <definedName name="lst_WIPGL">Lists!$H$5:$H$7</definedName>
    <definedName name="lst_Team">Lists!$I$5:$I$8</definedName>
    <definedName name="set_GSTRate">Lists!$U$8</definedName>
    <definedName name="set_QwilrBase">Lists!$U$5</definedName>
    <definedName name="set_RMSBase">Lists!$U$6</definedName>
    <definedName name="lst_RevGL">Lists!$K$5:$K$39</definedName>
    <definedName name="lst_Months">Lists!$N$5:$N$100</definedName>
    <definedName name="lst_Jobs">Lists!$P$5:$P$1500</definedName>
    <definedName name="lst_JobName">Lists!$Q$5:$Q$1500</definedName>
    <definedName name="lst_JobCC">Lists!$R$5:$R$1500</definedName>
    <definedName name="_xlnm._FilterDatabase" localSheetId="4" hidden="1">'WIP Summary'!$A$11:$H$434</definedName>
    <definedName name="_xlnm._FilterDatabase" localSheetId="5" hidden="1">'Deferred Revenue'!$A$5:$R$579</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dd-mmm-yy"/>
    <numFmt numFmtId="167" formatCode="$#,##0.00;[Red]-$#,##0.00"/>
    <numFmt numFmtId="168" formatCode="yyyy-mm-dd h:mm:ss"/>
  </numFmts>
  <fonts count="23">
    <font>
      <name val="Calibri"/>
      <family val="2"/>
      <color theme="1"/>
      <sz val="11"/>
      <scheme val="minor"/>
    </font>
    <font>
      <b val="1"/>
      <color rgb="003E5066"/>
      <sz val="16"/>
    </font>
    <font>
      <i val="1"/>
      <color rgb="00595959"/>
      <sz val="10"/>
    </font>
    <font>
      <b val="1"/>
      <sz val="10"/>
    </font>
    <font>
      <i val="1"/>
      <color rgb="00808080"/>
      <sz val="9"/>
    </font>
    <font>
      <b val="1"/>
      <color rgb="00FFFFFF"/>
      <sz val="10"/>
    </font>
    <font>
      <sz val="10"/>
    </font>
    <font>
      <color rgb="00595959"/>
      <sz val="10"/>
    </font>
    <font>
      <b val="1"/>
      <color rgb="003E5066"/>
      <sz val="11"/>
    </font>
    <font>
      <b val="1"/>
      <sz val="11"/>
    </font>
    <font>
      <b val="1"/>
      <color rgb="003E5066"/>
      <sz val="12"/>
    </font>
    <font>
      <b val="1"/>
      <color rgb="00FFFFFF"/>
      <sz val="9"/>
    </font>
    <font>
      <color rgb="00595959"/>
      <sz val="9"/>
    </font>
    <font>
      <b val="1"/>
      <color rgb="00FFFFFF"/>
      <sz val="11"/>
    </font>
    <font>
      <b val="1"/>
      <color rgb="003E5066"/>
      <sz val="10"/>
    </font>
    <font>
      <b val="1"/>
      <sz val="9"/>
    </font>
    <font>
      <b val="1"/>
      <color rgb="003E5066"/>
      <sz val="20"/>
    </font>
    <font>
      <color rgb="00000000"/>
      <sz val="10"/>
    </font>
    <font>
      <name val="Verdana"/>
      <b val="1"/>
      <color rgb="003E5066"/>
      <sz val="22"/>
    </font>
    <font>
      <name val="Verdana"/>
      <color rgb="00595959"/>
      <sz val="13"/>
    </font>
    <font>
      <name val="Verdana"/>
      <b val="1"/>
      <color rgb="00FFFFFF"/>
      <sz val="14"/>
    </font>
    <font>
      <name val="Verdana"/>
      <color rgb="001F1F1F"/>
      <sz val="13"/>
    </font>
    <font>
      <name val="Verdana"/>
      <b val="1"/>
      <color rgb="003E5066"/>
      <sz val="13"/>
    </font>
  </fonts>
  <fills count="10">
    <fill>
      <patternFill/>
    </fill>
    <fill>
      <patternFill patternType="gray125"/>
    </fill>
    <fill>
      <patternFill patternType="solid">
        <fgColor rgb="00FFF9E6"/>
      </patternFill>
    </fill>
    <fill>
      <patternFill patternType="solid">
        <fgColor rgb="005B708A"/>
      </patternFill>
    </fill>
    <fill>
      <patternFill patternType="solid">
        <fgColor rgb="003E5066"/>
      </patternFill>
    </fill>
    <fill>
      <patternFill patternType="solid">
        <fgColor rgb="00F2F2F2"/>
      </patternFill>
    </fill>
    <fill>
      <patternFill patternType="solid">
        <fgColor rgb="00EDF1F6"/>
      </patternFill>
    </fill>
    <fill>
      <patternFill patternType="solid">
        <fgColor rgb="008B2B2B"/>
      </patternFill>
    </fill>
    <fill>
      <patternFill patternType="solid">
        <fgColor rgb="00F4EDDD"/>
      </patternFill>
    </fill>
    <fill>
      <patternFill patternType="solid">
        <fgColor rgb="00FFFBF0"/>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70">
    <xf numFmtId="0" fontId="0" fillId="0" borderId="0" pivotButton="0" quotePrefix="0" xfId="0"/>
    <xf numFmtId="0" fontId="16" fillId="0" borderId="0" pivotButton="0" quotePrefix="0" xfId="0"/>
    <xf numFmtId="0" fontId="2" fillId="0" borderId="0" pivotButton="0" quotePrefix="0" xfId="0"/>
    <xf numFmtId="0" fontId="13" fillId="4" borderId="0" applyAlignment="1" pivotButton="0" quotePrefix="0" xfId="0">
      <alignment vertical="center" indent="1"/>
    </xf>
    <xf numFmtId="0" fontId="17" fillId="0" borderId="0" applyAlignment="1" pivotButton="0" quotePrefix="0" xfId="0">
      <alignment vertical="top" wrapText="1"/>
    </xf>
    <xf numFmtId="0" fontId="14" fillId="6" borderId="1" applyAlignment="1" pivotButton="0" quotePrefix="0" xfId="0">
      <alignment vertical="top" wrapText="1" indent="1"/>
    </xf>
    <xf numFmtId="0" fontId="17" fillId="0" borderId="1" applyAlignment="1" pivotButton="0" quotePrefix="0" xfId="0">
      <alignment vertical="top" wrapText="1" indent="1"/>
    </xf>
    <xf numFmtId="0" fontId="13" fillId="7" borderId="0" applyAlignment="1" pivotButton="0" quotePrefix="0" xfId="0">
      <alignment vertical="center" indent="1"/>
    </xf>
    <xf numFmtId="0" fontId="14" fillId="6" borderId="1" applyAlignment="1" pivotButton="0" quotePrefix="0" xfId="0">
      <alignment vertical="center" wrapText="1" indent="1"/>
    </xf>
    <xf numFmtId="0" fontId="0" fillId="9" borderId="0" pivotButton="0" quotePrefix="0" xfId="0"/>
    <xf numFmtId="0" fontId="18" fillId="9" borderId="0" pivotButton="0" quotePrefix="0" xfId="0"/>
    <xf numFmtId="0" fontId="19" fillId="9" borderId="0" pivotButton="0" quotePrefix="0" xfId="0"/>
    <xf numFmtId="0" fontId="20" fillId="4" borderId="0" applyAlignment="1" pivotButton="0" quotePrefix="0" xfId="0">
      <alignment vertical="center" indent="1"/>
    </xf>
    <xf numFmtId="0" fontId="21" fillId="9" borderId="0" applyAlignment="1" pivotButton="0" quotePrefix="0" xfId="0">
      <alignment vertical="top" wrapText="1"/>
    </xf>
    <xf numFmtId="0" fontId="22" fillId="8" borderId="1" applyAlignment="1" pivotButton="0" quotePrefix="0" xfId="0">
      <alignment vertical="top" wrapText="1" indent="1"/>
    </xf>
    <xf numFmtId="0" fontId="21" fillId="9" borderId="1" applyAlignment="1" pivotButton="0" quotePrefix="0" xfId="0">
      <alignment vertical="top" wrapText="1" indent="1"/>
    </xf>
    <xf numFmtId="0" fontId="20" fillId="7" borderId="0" applyAlignment="1" pivotButton="0" quotePrefix="0" xfId="0">
      <alignment vertical="center" indent="1"/>
    </xf>
    <xf numFmtId="0" fontId="22" fillId="8" borderId="1" applyAlignment="1" pivotButton="0" quotePrefix="0" xfId="0">
      <alignment vertical="center" wrapText="1" indent="1"/>
    </xf>
    <xf numFmtId="0" fontId="1" fillId="0" borderId="0" pivotButton="0" quotePrefix="0" xfId="0"/>
    <xf numFmtId="0" fontId="8" fillId="6" borderId="1" applyAlignment="1" pivotButton="0" quotePrefix="0" xfId="0">
      <alignment horizontal="left" vertical="center" inden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166" fontId="6" fillId="0" borderId="1" applyProtection="1" pivotButton="0" quotePrefix="0" xfId="0">
      <protection locked="0" hidden="0"/>
    </xf>
    <xf numFmtId="17" fontId="7" fillId="5" borderId="1" pivotButton="0" quotePrefix="0" xfId="0"/>
    <xf numFmtId="49" fontId="6" fillId="0" borderId="1" applyProtection="1" pivotButton="0" quotePrefix="0" xfId="0">
      <protection locked="0" hidden="0"/>
    </xf>
    <xf numFmtId="49" fontId="7" fillId="5" borderId="1" pivotButton="0" quotePrefix="0" xfId="0"/>
    <xf numFmtId="167" fontId="6" fillId="0" borderId="1" applyProtection="1" pivotButton="0" quotePrefix="0" xfId="0">
      <protection locked="0" hidden="0"/>
    </xf>
    <xf numFmtId="167" fontId="7" fillId="5" borderId="1" pivotButton="0" quotePrefix="0" xfId="0"/>
    <xf numFmtId="3" fontId="7" fillId="5" borderId="1" pivotButton="0" quotePrefix="0" xfId="0"/>
    <xf numFmtId="164" fontId="7" fillId="5" borderId="1" pivotButton="0" quotePrefix="0" xfId="0"/>
    <xf numFmtId="0" fontId="9" fillId="0" borderId="0" pivotButton="0" quotePrefix="0" xfId="0"/>
    <xf numFmtId="17" fontId="10" fillId="2" borderId="1" applyAlignment="1" pivotButton="0" quotePrefix="0" xfId="0">
      <alignment horizontal="center"/>
    </xf>
    <xf numFmtId="0" fontId="4" fillId="0" borderId="0" pivotButton="0" quotePrefix="0" xfId="0"/>
    <xf numFmtId="0" fontId="11" fillId="3" borderId="1" applyAlignment="1" pivotButton="0" quotePrefix="0" xfId="0">
      <alignment horizontal="center" vertical="center" wrapText="1"/>
    </xf>
    <xf numFmtId="0" fontId="3" fillId="0" borderId="1" pivotButton="0" quotePrefix="0" xfId="0"/>
    <xf numFmtId="167" fontId="0" fillId="0" borderId="1" pivotButton="0" quotePrefix="0" xfId="0"/>
    <xf numFmtId="167" fontId="0" fillId="5" borderId="1" pivotButton="0" quotePrefix="0" xfId="0"/>
    <xf numFmtId="167" fontId="0" fillId="2" borderId="1" pivotButton="0" quotePrefix="0" xfId="0"/>
    <xf numFmtId="0" fontId="0" fillId="0" borderId="1" pivotButton="0" quotePrefix="0" xfId="0"/>
    <xf numFmtId="0" fontId="5" fillId="3" borderId="1" pivotButton="0" quotePrefix="0" xfId="0"/>
    <xf numFmtId="167" fontId="5" fillId="3" borderId="1" pivotButton="0" quotePrefix="0" xfId="0"/>
    <xf numFmtId="0" fontId="6" fillId="0" borderId="0" pivotButton="0" quotePrefix="0" xfId="0"/>
    <xf numFmtId="0" fontId="0" fillId="0" borderId="1" applyAlignment="1" pivotButton="0" quotePrefix="0" xfId="0">
      <alignment horizontal="center"/>
    </xf>
    <xf numFmtId="0" fontId="3" fillId="0" borderId="0" pivotButton="0" quotePrefix="0" xfId="0"/>
    <xf numFmtId="167" fontId="14" fillId="6" borderId="1" pivotButton="0" quotePrefix="0" xfId="0"/>
    <xf numFmtId="167" fontId="3" fillId="5" borderId="1" pivotButton="0" quotePrefix="0" xfId="0"/>
    <xf numFmtId="0" fontId="15" fillId="0" borderId="1" applyAlignment="1" pivotButton="0" quotePrefix="0" xfId="0">
      <alignment horizontal="center"/>
    </xf>
    <xf numFmtId="3" fontId="3" fillId="5" borderId="1" applyAlignment="1" pivotButton="0" quotePrefix="0" xfId="0">
      <alignment horizontal="center"/>
    </xf>
    <xf numFmtId="167" fontId="3" fillId="5" borderId="1" applyAlignment="1" pivotButton="0" quotePrefix="0" xfId="0">
      <alignment horizontal="center"/>
    </xf>
    <xf numFmtId="0" fontId="0" fillId="2" borderId="1" pivotButton="0" quotePrefix="0" xfId="0"/>
    <xf numFmtId="0" fontId="0" fillId="0" borderId="4" pivotButton="0" quotePrefix="0" xfId="0"/>
    <xf numFmtId="0" fontId="0" fillId="0" borderId="5" pivotButton="0" quotePrefix="0" xfId="0"/>
    <xf numFmtId="17" fontId="10" fillId="5" borderId="1" applyAlignment="1" pivotButton="0" quotePrefix="0" xfId="0">
      <alignment horizontal="center"/>
    </xf>
    <xf numFmtId="167" fontId="14" fillId="5" borderId="1" pivotButton="0" quotePrefix="0" xfId="0"/>
    <xf numFmtId="49" fontId="6" fillId="0" borderId="1" pivotButton="0" quotePrefix="0" xfId="0"/>
    <xf numFmtId="167" fontId="6" fillId="5" borderId="1" pivotButton="0" quotePrefix="0" xfId="0"/>
    <xf numFmtId="0" fontId="6" fillId="5" borderId="1" pivotButton="0" quotePrefix="0" xfId="0"/>
    <xf numFmtId="167" fontId="6" fillId="2" borderId="1" pivotButton="0" quotePrefix="0" xfId="0"/>
    <xf numFmtId="0" fontId="11" fillId="4" borderId="1" applyAlignment="1" pivotButton="0" quotePrefix="0" xfId="0">
      <alignment horizontal="center" vertical="center" wrapText="1"/>
    </xf>
    <xf numFmtId="3" fontId="12" fillId="5" borderId="1" pivotButton="0" quotePrefix="0" xfId="0"/>
    <xf numFmtId="166" fontId="12" fillId="5" borderId="1" pivotButton="0" quotePrefix="0" xfId="0"/>
    <xf numFmtId="49" fontId="12" fillId="5" borderId="1" pivotButton="0" quotePrefix="0" xfId="0"/>
    <xf numFmtId="167" fontId="12" fillId="5" borderId="1" pivotButton="0" quotePrefix="0" xfId="0"/>
    <xf numFmtId="166" fontId="7" fillId="5" borderId="1" pivotButton="0" quotePrefix="0" xfId="0"/>
    <xf numFmtId="4" fontId="6" fillId="0" borderId="1" applyProtection="1" pivotButton="0" quotePrefix="0" xfId="0">
      <protection locked="0" hidden="0"/>
    </xf>
    <xf numFmtId="17" fontId="6" fillId="0" borderId="1" applyProtection="1" pivotButton="0" quotePrefix="0" xfId="0">
      <protection locked="0" hidden="0"/>
    </xf>
    <xf numFmtId="49" fontId="0" fillId="0" borderId="1" pivotButton="0" quotePrefix="0" xfId="0"/>
    <xf numFmtId="17" fontId="0" fillId="0" borderId="1" pivotButton="0" quotePrefix="0" xfId="0"/>
    <xf numFmtId="49" fontId="0" fillId="2" borderId="1" pivotButton="0" quotePrefix="0" xfId="0"/>
    <xf numFmtId="164" fontId="0" fillId="2" borderId="1" pivotButton="0" quotePrefix="0" xfId="0"/>
  </cellXfs>
  <cellStyles count="1">
    <cellStyle name="Normal" xfId="0" builtinId="0" hidden="0"/>
  </cellStyles>
  <dxfs count="3">
    <dxf>
      <fill>
        <patternFill patternType="solid">
          <fgColor rgb="00FFF2CC"/>
        </patternFill>
      </fill>
    </dxf>
    <dxf>
      <fill>
        <patternFill patternType="solid">
          <fgColor rgb="00FCE4E4"/>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bl_Finance" displayName="tbl_Finance" ref="A4:AG578" headerRowCount="1">
  <autoFilter ref="A4:AG578"/>
  <tableColumns count="33">
    <tableColumn id="1" name="Date"/>
    <tableColumn id="2" name="Month"/>
    <tableColumn id="3" name="Xero Invoice No"/>
    <tableColumn id="4" name="Client"/>
    <tableColumn id="5" name="Job Number"/>
    <tableColumn id="6" name="Job in Xero?"/>
    <tableColumn id="7" name="Description"/>
    <tableColumn id="8" name="Team"/>
    <tableColumn id="9" name="Cost Centre"/>
    <tableColumn id="10" name="Invoice Type"/>
    <tableColumn id="11" name="Tax Code"/>
    <tableColumn id="12" name="Ex GST"/>
    <tableColumn id="13" name="GST"/>
    <tableColumn id="14" name="Inc GST"/>
    <tableColumn id="15" name="Revenue GL"/>
    <tableColumn id="16" name="Posted to Xero"/>
    <tableColumn id="17" name="To WIP"/>
    <tableColumn id="18" name="Defer Start"/>
    <tableColumn id="19" name="Defer End"/>
    <tableColumn id="20" name="Status"/>
    <tableColumn id="21" name="Notes"/>
    <tableColumn id="22" name="Issue"/>
    <tableColumn id="23" name="Job Name (Xero)"/>
    <tableColumn id="24" name="Lines on this Job"/>
    <tableColumn id="25" name="Job Total Ex GST"/>
    <tableColumn id="26" name="Job Invoiced"/>
    <tableColumn id="27" name="Job To Invoice"/>
    <tableColumn id="28" name="Job Quote / Ref"/>
    <tableColumn id="29" name="Open Quote"/>
    <tableColumn id="30" name="Job Expense"/>
    <tableColumn id="31" name="Job Margin"/>
    <tableColumn id="32" name="Job Margin %"/>
    <tableColumn id="33" name="Dept Notes"/>
  </tableColumns>
  <tableStyleInfo name="TableStyleLight1" showFirstColumn="0" showLastColumn="0" showRowStripes="1" showColumnStripes="0"/>
</table>
</file>

<file path=xl/tables/table2.xml><?xml version="1.0" encoding="utf-8"?>
<table xmlns="http://schemas.openxmlformats.org/spreadsheetml/2006/main" id="2" name="tbl_Onsite" displayName="tbl_Onsite" ref="A4:Q431" headerRowCount="1">
  <autoFilter ref="A4:Q431"/>
  <tableColumns count="17">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PO / Reference"/>
    <tableColumn id="13" name="Qwilr Quote"/>
    <tableColumn id="14" name="Open Qwilr"/>
    <tableColumn id="15" name="Billable Hours"/>
    <tableColumn id="16" name="Approved By"/>
    <tableColumn id="17" name="Notes"/>
  </tableColumns>
  <tableStyleInfo name="TableStyleLight1" showFirstColumn="0" showLastColumn="0" showRowStripes="1" showColumnStripes="0"/>
</table>
</file>

<file path=xl/tables/table3.xml><?xml version="1.0" encoding="utf-8"?>
<table xmlns="http://schemas.openxmlformats.org/spreadsheetml/2006/main" id="3" name="tbl_Production" displayName="tbl_Production" ref="A4:AO462" headerRowCount="1">
  <autoFilter ref="A4:AO462"/>
  <tableColumns count="41">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Total Inc GST"/>
    <tableColumn id="13" name="Company"/>
    <tableColumn id="14" name="Event Name"/>
    <tableColumn id="15" name="Client Email"/>
    <tableColumn id="16" name="Event Grouping"/>
    <tableColumn id="17" name="Event Date"/>
    <tableColumn id="18" name="Current RMS No"/>
    <tableColumn id="19" name="Open in Current RMS"/>
    <tableColumn id="20" name="Qwilr Quote"/>
    <tableColumn id="21" name="Open Qwilr"/>
    <tableColumn id="22" name="Zoho Number"/>
    <tableColumn id="23" name="Job Closed"/>
    <tableColumn id="24" name="Discounts Given"/>
    <tableColumn id="25" name="Value Before Discount"/>
    <tableColumn id="26" name="Discount %"/>
    <tableColumn id="27" name="Cross Hire Expense"/>
    <tableColumn id="28" name="Conf. Call Costs"/>
    <tableColumn id="29" name="Transcription Costs"/>
    <tableColumn id="30" name="Labour Expense (Internal)"/>
    <tableColumn id="31" name="Video Revenue"/>
    <tableColumn id="32" name="Video % of Revenue"/>
    <tableColumn id="33" name="Total Expense"/>
    <tableColumn id="34" name="Margin"/>
    <tableColumn id="35" name="Margin %"/>
    <tableColumn id="36" name="Video Filming Hrs"/>
    <tableColumn id="37" name="Video Editing Hrs"/>
    <tableColumn id="38" name="Project Mgmt Hrs"/>
    <tableColumn id="39" name="Video Project Mgmt Hrs"/>
    <tableColumn id="40" name="Production Labour Hrs"/>
    <tableColumn id="41" name="Notes"/>
  </tableColumns>
  <tableStyleInfo name="TableStyleLight1" showFirstColumn="0" showLastColumn="0" showRowStripes="1" showColumnStripes="0"/>
</table>
</file>

<file path=xl/tables/table4.xml><?xml version="1.0" encoding="utf-8"?>
<table xmlns="http://schemas.openxmlformats.org/spreadsheetml/2006/main" id="4" name="tbl_Consulting" displayName="tbl_Consulting" ref="A4:X432" headerRowCount="1">
  <autoFilter ref="A4:X432"/>
  <tableColumns count="24">
    <tableColumn id="1" name="Invoice Date"/>
    <tableColumn id="2" name="Invoice No"/>
    <tableColumn id="3" name="Job Number"/>
    <tableColumn id="4" name="Job in Xero?"/>
    <tableColumn id="5" name="Job Name (Xero)"/>
    <tableColumn id="6" name="Client"/>
    <tableColumn id="7" name="Lines on Job"/>
    <tableColumn id="8" name="Revenue Ex GST"/>
    <tableColumn id="9" name="Invoiced"/>
    <tableColumn id="10" name="To Invoice"/>
    <tableColumn id="11" name="Cost Centres"/>
    <tableColumn id="12" name="Qwilr Quote"/>
    <tableColumn id="13" name="Open Qwilr"/>
    <tableColumn id="14" name="Labour Revenue"/>
    <tableColumn id="15" name="Equipment Revenue"/>
    <tableColumn id="16" name="Subscription Revenue"/>
    <tableColumn id="17" name="Revenue Split Check"/>
    <tableColumn id="18" name="Labour Expense (External)"/>
    <tableColumn id="19" name="Equipment Expense (Internal)"/>
    <tableColumn id="20" name="Subscription &amp; Licences Expense"/>
    <tableColumn id="21" name="Total Expense"/>
    <tableColumn id="22" name="Margin"/>
    <tableColumn id="23" name="Margin %"/>
    <tableColumn id="24" name="Notes"/>
  </tableColumns>
  <tableStyleInfo name="TableStyleLight1" showFirstColumn="0" showLastColumn="0" showRowStripes="1" showColumnStripes="0"/>
</table>
</file>

<file path=xl/tables/table5.xml><?xml version="1.0" encoding="utf-8"?>
<table xmlns="http://schemas.openxmlformats.org/spreadsheetml/2006/main" id="5" name="tbl_WIP" displayName="tbl_WIP" ref="A4:N330" headerRowCount="1">
  <autoFilter ref="A4:N330"/>
  <tableColumns count="14">
    <tableColumn id="1" name="Month"/>
    <tableColumn id="2" name="Invoice Date"/>
    <tableColumn id="3" name="Xero Invoice No"/>
    <tableColumn id="4" name="Job Number"/>
    <tableColumn id="5" name="Job in Xero?"/>
    <tableColumn id="6" name="Client"/>
    <tableColumn id="7" name="Cost Centre"/>
    <tableColumn id="8" name="Description"/>
    <tableColumn id="9" name="Type"/>
    <tableColumn id="10" name="Amount"/>
    <tableColumn id="11" name="GL Code"/>
    <tableColumn id="12" name="Journal Ref"/>
    <tableColumn id="13" name="Posted to Xero"/>
    <tableColumn id="14"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007F7F7F"/>
    <outlinePr summaryBelow="1" summaryRight="1"/>
    <pageSetUpPr/>
  </sheetPr>
  <dimension ref="B2:C75"/>
  <sheetViews>
    <sheetView showGridLines="0" tabSelected="1" zoomScale="90" workbookViewId="0">
      <selection activeCell="A1" sqref="A1"/>
    </sheetView>
  </sheetViews>
  <sheetFormatPr baseColWidth="8" defaultRowHeight="15"/>
  <cols>
    <col width="3" customWidth="1" min="1" max="1"/>
    <col width="30" customWidth="1" min="2" max="2"/>
    <col width="106" customWidth="1" min="3" max="3"/>
  </cols>
  <sheetData>
    <row r="2" ht="28" customHeight="1">
      <c r="B2" s="1" t="inlineStr">
        <is>
          <t>FY27 Revenue Tracker</t>
        </is>
      </c>
    </row>
    <row r="4">
      <c r="B4" s="2" t="inlineStr">
        <is>
          <t>Corporate Technology Services Pty Ltd  -  replaces FY27_Revenue_Tracker_v2.xlsm</t>
        </is>
      </c>
    </row>
    <row r="5" ht="10" customHeight="1"/>
    <row r="6" ht="22" customHeight="1">
      <c r="B6" s="3" t="inlineStr">
        <is>
          <t>WHO TYPES WHERE</t>
        </is>
      </c>
    </row>
    <row r="7" ht="14" customHeight="1">
      <c r="C7" s="4" t="inlineStr">
        <is>
          <t>Finance types on the Finance sheet. Nowhere else. Every invoice line, every month.</t>
        </is>
      </c>
    </row>
    <row r="8" ht="14" customHeight="1">
      <c r="C8" s="4" t="inlineStr">
        <is>
          <t>Each department types on its own sheet. Nowhere else. One row per job number.</t>
        </is>
      </c>
    </row>
    <row r="9" ht="28" customHeight="1">
      <c r="C9" s="4" t="inlineStr">
        <is>
          <t>The two meet on Job Number, which is a real Xero tracking category and is checked against the live job list as you type. Nothing has to be kept lined up by hand.</t>
        </is>
      </c>
    </row>
    <row r="10" ht="10" customHeight="1"/>
    <row r="11" ht="22" customHeight="1">
      <c r="B11" s="3" t="inlineStr">
        <is>
          <t>HOW IT FITS TOGETHER</t>
        </is>
      </c>
    </row>
    <row r="12" ht="28" customHeight="1">
      <c r="B12" s="5" t="inlineStr">
        <is>
          <t>Finance</t>
        </is>
      </c>
      <c r="C12" s="6" t="inlineStr">
        <is>
          <t>The invoice register, and the only source of revenue. One row per invoice LINE, coded to one cost centre, exactly as Xero holds it. Filter the Issue column to see everything that needs fixing.</t>
        </is>
      </c>
    </row>
    <row r="13" ht="28" customHeight="1">
      <c r="B13" s="5" t="inlineStr">
        <is>
          <t>Onsite / Production / Consulting</t>
        </is>
      </c>
      <c r="C13" s="6" t="inlineStr">
        <is>
          <t>One row per job. Client, invoice count and revenue come from Finance automatically; the department fills in its own costs, hours and references.</t>
        </is>
      </c>
    </row>
    <row r="14" ht="28" customHeight="1">
      <c r="B14" s="5" t="inlineStr">
        <is>
          <t>WIP Movements</t>
        </is>
      </c>
      <c r="C14" s="6" t="inlineStr">
        <is>
          <t>Manual journals between the P&amp;L and GL 11300 Work in Progress. Anything with a defer start and end on Finance does not belong here - it is handled automatically.</t>
        </is>
      </c>
    </row>
    <row r="15" ht="28" customHeight="1">
      <c r="B15" s="5" t="inlineStr">
        <is>
          <t>Deferred Revenue</t>
        </is>
      </c>
      <c r="C15" s="6" t="inlineStr">
        <is>
          <t>The workings behind the automatic deferrals. Nothing is typed here; it mirrors the Finance lines that carry a defer start and end.</t>
        </is>
      </c>
    </row>
    <row r="16" ht="28" customHeight="1">
      <c r="B16" s="5" t="inlineStr">
        <is>
          <t>Month-End</t>
        </is>
      </c>
      <c r="C16" s="6" t="inlineStr">
        <is>
          <t>The close: revenue by cost centre against Xero, the WIP reconciliation, fifteen data checks and a sign-off box.</t>
        </is>
      </c>
    </row>
    <row r="17" ht="14" customHeight="1">
      <c r="B17" s="5" t="inlineStr">
        <is>
          <t>WIP Summary</t>
        </is>
      </c>
      <c r="C17" s="6" t="inlineStr">
        <is>
          <t>WIP opening / movement / closing for every job, to tie job by job back to the WIP Schedule file.</t>
        </is>
      </c>
    </row>
    <row r="18" ht="28" customHeight="1">
      <c r="B18" s="5" t="inlineStr">
        <is>
          <t>Lists</t>
        </is>
      </c>
      <c r="C18" s="6" t="inlineStr">
        <is>
          <t>Every dropdown. Cost centres, job numbers and revenue GL codes came straight out of your Xero organisation, so they already match.</t>
        </is>
      </c>
    </row>
    <row r="19" ht="10" customHeight="1"/>
    <row r="20" ht="22" customHeight="1">
      <c r="B20" s="3" t="inlineStr">
        <is>
          <t>DEFERRED REVENUE  -  it releases itself</t>
        </is>
      </c>
    </row>
    <row r="21" ht="28" customHeight="1">
      <c r="C21" s="4" t="inlineStr">
        <is>
          <t>Put a Defer Start and a Defer End on a Finance line and the revenue spreads evenly across those months instead of landing all in the month you invoiced. Leave both blank for an ordinary one-off invoice.</t>
        </is>
      </c>
    </row>
    <row r="22" ht="14" customHeight="1">
      <c r="C22" s="4" t="inlineStr">
        <is>
          <t xml:space="preserve">   In the month invoiced: one month is recognised, the rest goes to WIP.</t>
        </is>
      </c>
    </row>
    <row r="23" ht="14" customHeight="1">
      <c r="C23" s="4" t="inlineStr">
        <is>
          <t xml:space="preserve">   Every month after: one more month is released, automatically.</t>
        </is>
      </c>
    </row>
    <row r="24" ht="42" customHeight="1">
      <c r="C24" s="4" t="inlineStr">
        <is>
          <t>Worked example - $12,000 invoiced 15 Sep 2025 for Sep 2025 to Aug 2026. September recognises $1,000 and defers $11,000. Each month after releases $1,000. By August 2026 the balance is nil. Nothing is typed each month and no journal is needed.</t>
        </is>
      </c>
    </row>
    <row r="25" ht="42" customHeight="1">
      <c r="C25" s="4" t="inlineStr">
        <is>
          <t>The Deferred Revenue sheet shows the workings line by line, and Month-End and WIP Summary already include it. One warning: a deferred line must not ALSO have a manual row on WIP Movements or it counts twice - Month-End checks for that.</t>
        </is>
      </c>
    </row>
    <row r="26" ht="10" customHeight="1"/>
    <row r="27" ht="22" customHeight="1">
      <c r="B27" s="3" t="inlineStr">
        <is>
          <t>VIDEO REVENUE</t>
        </is>
      </c>
    </row>
    <row r="28" ht="56" customHeight="1">
      <c r="C28" s="4" t="inlineStr">
        <is>
          <t>There is no video split column any more, and nothing to keep honest. In Xero a cost centre sits on the invoice LINE, so a job invoiced part production and part video is simply two lines on the Finance sheet - one coded PRODUCTION, one coded VIDEO. The VIDEO figure at month-end is then a plain sum of the lines coded VIDEO, and it ties to the Xero VIDEO cost centre without any adjustment.</t>
        </is>
      </c>
    </row>
    <row r="29" ht="28" customHeight="1">
      <c r="C29" s="4" t="inlineStr">
        <is>
          <t>The 26 migrated invoices that carried a video amount were split into two lines each on the way across. Ex GST in total is unchanged.</t>
        </is>
      </c>
    </row>
    <row r="30" ht="42" customHeight="1">
      <c r="C30" s="4" t="inlineStr">
        <is>
          <t>The Production sheet carries a Video Revenue column beside the expenses, and Video % of Revenue next to it. Both read the Finance lines coded VIDEO, so nothing is typed. Job by job they reproduce the old Video Total column to the cent - 38,484.75 in total across 28 jobs.</t>
        </is>
      </c>
    </row>
    <row r="31" ht="10" customHeight="1"/>
    <row r="32" ht="22" customHeight="1">
      <c r="B32" s="3" t="inlineStr">
        <is>
          <t>WHY THIS VERSION IS NOT SLOW, AND WHY IT OPENS</t>
        </is>
      </c>
    </row>
    <row r="33" ht="42" customHeight="1">
      <c r="C33" s="4" t="inlineStr">
        <is>
          <t>The v2 file was slow because of its macro: every keystroke copied 26 columns by 200 rows into hidden storage, and it was capped at 200 rows per department. There are no macros here at all, and it is a .xlsx, so no macro warning and nothing blocked on SharePoint.</t>
        </is>
      </c>
    </row>
    <row r="34" ht="42" customHeight="1">
      <c r="C34" s="4" t="inlineStr">
        <is>
          <t>There are also no dynamic array formulas - no VSTACK, FILTER, SORT, UNIQUE or XLOOKUP. Every sheet is a real Excel Table or a plain SUMIFS grid, which means the filter buttons, sorting and PivotTables all work normally, and every formula runs in any version of Excel.</t>
        </is>
      </c>
    </row>
    <row r="35" ht="10" customHeight="1"/>
    <row r="36" ht="22" customHeight="1">
      <c r="B36" s="3" t="inlineStr">
        <is>
          <t>MONTH-END, IN ORDER</t>
        </is>
      </c>
    </row>
    <row r="37" ht="28" customHeight="1">
      <c r="C37" s="4" t="inlineStr">
        <is>
          <t>1.  Chase the departments until every invoice for the month is on the Finance sheet and Posted to Xero is Y.</t>
        </is>
      </c>
    </row>
    <row r="38" ht="14" customHeight="1">
      <c r="C38" s="4" t="inlineStr">
        <is>
          <t>2.  Open Month-End and set the month.</t>
        </is>
      </c>
    </row>
    <row r="39" ht="28" customHeight="1">
      <c r="C39" s="4" t="inlineStr">
        <is>
          <t>3.  Work section 3 first. Every count must be zero. Fix on the Finance sheet, or filter the Issue column there, which lists the same problems row by row.</t>
        </is>
      </c>
    </row>
    <row r="40" ht="28" customHeight="1">
      <c r="C40" s="4" t="inlineStr">
        <is>
          <t>4.  Section 1: run the Xero P&amp;L for the month by Cost Centre and type the revenue into the yellow column. Each line should read Reconciled.</t>
        </is>
      </c>
    </row>
    <row r="41" ht="14" customHeight="1">
      <c r="C41" s="4" t="inlineStr">
        <is>
          <t>5.  Section 2: type the WIP Schedule closing balance and the Xero GL 11300 balance.</t>
        </is>
      </c>
    </row>
    <row r="42" ht="28" customHeight="1">
      <c r="C42" s="4" t="inlineStr">
        <is>
          <t>6.  Breaks in section 2 - open WIP Summary, paste the WIP Schedule balances into column G and the variance column shows which job is out.</t>
        </is>
      </c>
    </row>
    <row r="43" ht="14" customHeight="1">
      <c r="C43" s="4" t="inlineStr">
        <is>
          <t>7.  Sign off in section 4.</t>
        </is>
      </c>
    </row>
    <row r="44" ht="10" customHeight="1"/>
    <row r="45" ht="22" customHeight="1">
      <c r="B45" s="3" t="inlineStr">
        <is>
          <t>THE WIP SIGN RULE</t>
        </is>
      </c>
    </row>
    <row r="46" ht="56" customHeight="1">
      <c r="C46" s="4" t="inlineStr">
        <is>
          <t>One signed Amount column does both jobs, because GL 11300 nets accrued and deferred revenue. Positive = revenue recognised this month (work done but not yet invoiced, or a deferral released). Negative = revenue pushed out of this month (invoiced in advance). So revenue recognised = invoiced Ex GST + WIP movement, and the running total of the Amount column is the GL 11300 balance.</t>
        </is>
      </c>
    </row>
    <row r="47" ht="10" customHeight="1"/>
    <row r="48" ht="22" customHeight="1">
      <c r="B48" s="3" t="inlineStr">
        <is>
          <t>LOCKED CELLS, LINKS AND TOTALS</t>
        </is>
      </c>
    </row>
    <row r="49" ht="42" customHeight="1">
      <c r="C49" s="4" t="inlineStr">
        <is>
          <t>Every sheet is protected with no password. Only the cells you are meant to fill are open; the grey calculated ones are locked so a stray keystroke cannot wipe a formula. To turn it off: Review, Unprotect Sheet. Sorting and filtering still work.</t>
        </is>
      </c>
    </row>
    <row r="50" ht="70" customHeight="1">
      <c r="C50" s="4" t="inlineStr">
        <is>
          <t>Qwilr quotes and Current RMS numbers are clickable. Paste a full web address and it is used as it stands; type a bare number and it is added to the base address on the Lists sheet. The Qwilr base is already set, and Current RMS on the Production sheet now works exactly the same way - paste the whole Current RMS address into the Current RMS No cell and it links straight away. Only fill in Lists column U row 6 if you would rather type the bare opportunity number.</t>
        </is>
      </c>
    </row>
    <row r="51" ht="28" customHeight="1">
      <c r="C51" s="4" t="inlineStr">
        <is>
          <t>Each sheet shows its total ex-GST at the top, and it follows the filter - filter to one client or one month and the total follows. Finance shows Ex GST, GST and Inc GST.</t>
        </is>
      </c>
    </row>
    <row r="52" ht="28" customHeight="1">
      <c r="C52" s="4" t="inlineStr">
        <is>
          <t>The GST rate is no longer buried in the formula. It sits on the Lists sheet, column U row 8, and every GST cell reads it from there.</t>
        </is>
      </c>
    </row>
    <row r="53" ht="10" customHeight="1"/>
    <row r="54" ht="22" customHeight="1">
      <c r="B54" s="3" t="inlineStr">
        <is>
          <t>RULES THAT KEEP IT FAST</t>
        </is>
      </c>
    </row>
    <row r="55" ht="14" customHeight="1">
      <c r="C55" s="4" t="inlineStr">
        <is>
          <t xml:space="preserve">   Never insert or delete rows above the header row.</t>
        </is>
      </c>
    </row>
    <row r="56" ht="28" customHeight="1">
      <c r="C56" s="4" t="inlineStr">
        <is>
          <t xml:space="preserve">   Add rows by typing in the next blank row of the table, or press Tab at the end of the last row and the table grows with the formulas.</t>
        </is>
      </c>
    </row>
    <row r="57" ht="14" customHeight="1">
      <c r="C57" s="4" t="inlineStr">
        <is>
          <t xml:space="preserve">   Paste values only, never whole columns.</t>
        </is>
      </c>
    </row>
    <row r="58" ht="14" customHeight="1">
      <c r="C58" s="4" t="inlineStr">
        <is>
          <t xml:space="preserve">   Leave calculation on Automatic. Nothing here is volatile - no OFFSET, no INDIRECT, no TODAY in bulk.</t>
        </is>
      </c>
    </row>
    <row r="59" ht="28" customHeight="1">
      <c r="C59" s="4" t="inlineStr">
        <is>
          <t xml:space="preserve">   Keep it as .xlsx. The moment someone saves it as .xlsm and adds a macro you are back where you started.</t>
        </is>
      </c>
    </row>
    <row r="60" ht="10" customHeight="1"/>
    <row r="61" ht="22" customHeight="1">
      <c r="B61" s="3" t="inlineStr">
        <is>
          <t>WHAT CAME ACROSS FROM v2</t>
        </is>
      </c>
    </row>
    <row r="62" ht="28" customHeight="1">
      <c r="C62" s="4" t="inlineStr">
        <is>
          <t xml:space="preserve">   Finance: 175 invoice lines from the 149 v2 records, the difference being the 26 video splits now carried as their own line.</t>
        </is>
      </c>
    </row>
    <row r="63" ht="14" customHeight="1">
      <c r="C63" s="4" t="inlineStr">
        <is>
          <t xml:space="preserve">   Department sheets: one row per job - Onsite 27, Production 58, Consulting 28.</t>
        </is>
      </c>
    </row>
    <row r="64" ht="14" customHeight="1">
      <c r="C64" s="4" t="inlineStr">
        <is>
          <t xml:space="preserve">   WIP Movements: 126 rows.</t>
        </is>
      </c>
    </row>
    <row r="65" ht="28" customHeight="1">
      <c r="C65" s="4" t="inlineStr">
        <is>
          <t xml:space="preserve">   Totals tie to the cent: Onsite 512,023.81, Production 460,883.46, Consulting 857,950.27, WIP 17,537.91.</t>
        </is>
      </c>
    </row>
    <row r="66" ht="28" customHeight="1">
      <c r="C66" s="4" t="inlineStr">
        <is>
          <t xml:space="preserve">   Revenue GL codes were assigned by rule (Onsite 41100, Production 42100, Video 42150, Consulting 42800, Integration 42300). Spot-check them.</t>
        </is>
      </c>
    </row>
    <row r="67" ht="14" customHeight="1">
      <c r="C67" s="4" t="inlineStr">
        <is>
          <t xml:space="preserve">   The 126 WIP rows were given a Type from the sign of the amount. Confirm before relying on them.</t>
        </is>
      </c>
    </row>
    <row r="68" ht="56" customHeight="1">
      <c r="C68" s="4" t="inlineStr">
        <is>
          <t xml:space="preserve">   Production keeps its v2 columns. Client Email came across (57 of 58 jobs). Company, Event Grouping, Conf. Call Costs and Transcription Costs are there but empty - v2 showed them on screen and its macro never saved them, so there is nothing to bring. Conf. Call and Transcription now feed Total Expense, which v2 never did.</t>
        </is>
      </c>
    </row>
    <row r="69" ht="28" customHeight="1">
      <c r="C69" s="4" t="inlineStr">
        <is>
          <t xml:space="preserve">   Job Type is gone - Cost Centres says the same thing and fills itself. Net Total and Discount as % of Net Total are gone for the reason under STILL TO CONFIRM.</t>
        </is>
      </c>
    </row>
    <row r="70" ht="10" customHeight="1"/>
    <row r="71" ht="22" customHeight="1">
      <c r="B71" s="7" t="inlineStr">
        <is>
          <t>STILL TO CONFIRM</t>
        </is>
      </c>
    </row>
    <row r="72" ht="70" customHeight="1">
      <c r="C72" s="4" t="inlineStr">
        <is>
          <t>Discounts. Checked against Xero: for all 17 August production invoices carrying a discount, the ex-GST total on the Xero invoice equals Ex GST here exactly, and not one matched Ex GST minus the discount. So the discount comes off before the invoice is raised and Ex GST is what reconciles. The old "Net Total" is gone; Discounts Given now sits on the Production sheet at job level with Value Before Discount beside it. ASSUMPTION: it records what was given away off standard rates.</t>
        </is>
      </c>
    </row>
    <row r="73" ht="42" customHeight="1">
      <c r="C73" s="4" t="inlineStr">
        <is>
          <t>23 migrated records have no invoice number and 21 have no date - $93,346.99 of revenue that belongs to no month. They are on the Finance sheet with the Issue column filled in. Filter that column and work the list to nothing.</t>
        </is>
      </c>
    </row>
    <row r="75" ht="28" customHeight="1">
      <c r="B75" s="8" t="inlineStr">
        <is>
          <t>Bigger text, shorter lines, one sentence per line: open the Read Me (Easy Read) tab. Same words, easier on the eye.</t>
        </is>
      </c>
    </row>
  </sheetData>
  <mergeCells count="12">
    <mergeCell ref="B6:C6"/>
    <mergeCell ref="B48:C48"/>
    <mergeCell ref="B54:C54"/>
    <mergeCell ref="B11:C11"/>
    <mergeCell ref="B20:C20"/>
    <mergeCell ref="B45:C45"/>
    <mergeCell ref="B61:C61"/>
    <mergeCell ref="B36:C36"/>
    <mergeCell ref="B32:C32"/>
    <mergeCell ref="B27:C27"/>
    <mergeCell ref="B71:C71"/>
    <mergeCell ref="B75:C75"/>
  </mergeCells>
  <pageMargins left="0.75" right="0.75" top="1" bottom="1" header="0.5" footer="0.5"/>
</worksheet>
</file>

<file path=xl/worksheets/sheet2.xml><?xml version="1.0" encoding="utf-8"?>
<worksheet xmlns="http://schemas.openxmlformats.org/spreadsheetml/2006/main">
  <sheetPr>
    <tabColor rgb="00A6A6A6"/>
    <outlinePr summaryBelow="1" summaryRight="1"/>
    <pageSetUpPr/>
  </sheetPr>
  <dimension ref="A1:D164"/>
  <sheetViews>
    <sheetView showGridLines="0" tabSelected="0" zoomScale="90" workbookViewId="0">
      <selection activeCell="A1" sqref="A1"/>
    </sheetView>
  </sheetViews>
  <sheetFormatPr baseColWidth="8" defaultRowHeight="15"/>
  <cols>
    <col width="4" customWidth="1" min="1" max="1"/>
    <col width="34" customWidth="1" min="2" max="2"/>
    <col width="92" customWidth="1" min="3" max="3"/>
  </cols>
  <sheetData>
    <row r="1">
      <c r="A1" s="9" t="n"/>
      <c r="B1" s="9" t="n"/>
      <c r="C1" s="9" t="n"/>
      <c r="D1" s="9" t="n"/>
    </row>
    <row r="2" ht="30.8" customHeight="1">
      <c r="A2" s="9" t="n"/>
      <c r="B2" s="10" t="inlineStr">
        <is>
          <t>FY27 Revenue Tracker</t>
        </is>
      </c>
      <c r="C2" s="9" t="n"/>
      <c r="D2" s="9" t="n"/>
    </row>
    <row r="3">
      <c r="A3" s="9" t="n"/>
      <c r="B3" s="11" t="inlineStr">
        <is>
          <t>Corporate Technology Services Pty Ltd  -  replaces FY27_Revenue_Tracker_v2.xlsm</t>
        </is>
      </c>
      <c r="C3" s="9" t="n"/>
      <c r="D3" s="9" t="n"/>
    </row>
    <row r="4" ht="15.5" customHeight="1">
      <c r="A4" s="9" t="n"/>
      <c r="B4" s="9" t="n"/>
      <c r="C4" s="9" t="n"/>
      <c r="D4" s="9" t="n"/>
    </row>
    <row r="5" ht="28" customHeight="1">
      <c r="A5" s="9" t="n"/>
      <c r="B5" s="12" t="inlineStr">
        <is>
          <t>Who types where</t>
        </is>
      </c>
      <c r="C5" s="9" t="n"/>
      <c r="D5" s="9" t="n"/>
    </row>
    <row r="6" ht="26.35" customHeight="1">
      <c r="A6" s="9" t="n"/>
      <c r="B6" s="9" t="n"/>
      <c r="C6" s="13" t="inlineStr">
        <is>
          <t>Finance types on the Finance sheet.</t>
        </is>
      </c>
      <c r="D6" s="9" t="n"/>
    </row>
    <row r="7" ht="26.35" customHeight="1">
      <c r="A7" s="9" t="n"/>
      <c r="B7" s="9" t="n"/>
      <c r="C7" s="13" t="inlineStr">
        <is>
          <t>Nowhere else.</t>
        </is>
      </c>
      <c r="D7" s="9" t="n"/>
    </row>
    <row r="8" ht="26.35" customHeight="1">
      <c r="A8" s="9" t="n"/>
      <c r="B8" s="9" t="n"/>
      <c r="C8" s="13" t="inlineStr">
        <is>
          <t>Every invoice line, every month.</t>
        </is>
      </c>
      <c r="D8" s="9" t="n"/>
    </row>
    <row r="9" ht="6" customHeight="1">
      <c r="A9" s="9" t="n"/>
      <c r="B9" s="9" t="n"/>
      <c r="C9" s="9" t="n"/>
      <c r="D9" s="9" t="n"/>
    </row>
    <row r="10" ht="26.35" customHeight="1">
      <c r="A10" s="9" t="n"/>
      <c r="B10" s="9" t="n"/>
      <c r="C10" s="13" t="inlineStr">
        <is>
          <t>Each department types on its own sheet.</t>
        </is>
      </c>
      <c r="D10" s="9" t="n"/>
    </row>
    <row r="11" ht="26.35" customHeight="1">
      <c r="A11" s="9" t="n"/>
      <c r="B11" s="9" t="n"/>
      <c r="C11" s="13" t="inlineStr">
        <is>
          <t>Nowhere else.</t>
        </is>
      </c>
      <c r="D11" s="9" t="n"/>
    </row>
    <row r="12" ht="26.35" customHeight="1">
      <c r="A12" s="9" t="n"/>
      <c r="B12" s="9" t="n"/>
      <c r="C12" s="13" t="inlineStr">
        <is>
          <t>One row per job number.</t>
        </is>
      </c>
      <c r="D12" s="9" t="n"/>
    </row>
    <row r="13" ht="6" customHeight="1">
      <c r="A13" s="9" t="n"/>
      <c r="B13" s="9" t="n"/>
      <c r="C13" s="9" t="n"/>
      <c r="D13" s="9" t="n"/>
    </row>
    <row r="14" ht="52.7" customHeight="1">
      <c r="A14" s="9" t="n"/>
      <c r="B14" s="9" t="n"/>
      <c r="C14" s="13" t="inlineStr">
        <is>
          <t>The two meet on Job Number, which is a real Xero tracking category and is checked against the live job list as you type.</t>
        </is>
      </c>
      <c r="D14" s="9" t="n"/>
    </row>
    <row r="15" ht="26.35" customHeight="1">
      <c r="A15" s="9" t="n"/>
      <c r="B15" s="9" t="n"/>
      <c r="C15" s="13" t="inlineStr">
        <is>
          <t>Nothing has to be kept lined up by hand.</t>
        </is>
      </c>
      <c r="D15" s="9" t="n"/>
    </row>
    <row r="16" ht="6" customHeight="1">
      <c r="A16" s="9" t="n"/>
      <c r="B16" s="9" t="n"/>
      <c r="C16" s="9" t="n"/>
      <c r="D16" s="9" t="n"/>
    </row>
    <row r="17" ht="15.5" customHeight="1">
      <c r="A17" s="9" t="n"/>
      <c r="B17" s="9" t="n"/>
      <c r="C17" s="9" t="n"/>
      <c r="D17" s="9" t="n"/>
    </row>
    <row r="18" ht="28" customHeight="1">
      <c r="A18" s="9" t="n"/>
      <c r="B18" s="12" t="inlineStr">
        <is>
          <t>How it fits together</t>
        </is>
      </c>
      <c r="C18" s="9" t="n"/>
      <c r="D18" s="9" t="n"/>
    </row>
    <row r="19" ht="158.1" customHeight="1">
      <c r="A19" s="9" t="n"/>
      <c r="B19" s="14" t="inlineStr">
        <is>
          <t>Finance</t>
        </is>
      </c>
      <c r="C19" s="15" t="inlineStr">
        <is>
          <t>The invoice register, and the only source of revenue.
One row per invoice line, coded to one cost centre, exactly as Xero holds it.
Filter the Issue column to see everything that needs fixing.</t>
        </is>
      </c>
      <c r="D19" s="9" t="n"/>
    </row>
    <row r="20" ht="105.4" customHeight="1">
      <c r="A20" s="9" t="n"/>
      <c r="B20" s="14" t="inlineStr">
        <is>
          <t>Onsite / Production / Consulting</t>
        </is>
      </c>
      <c r="C20" s="15" t="inlineStr">
        <is>
          <t>One row per job.
Client, invoice count and revenue come from Finance automatically; the department fills in its own costs, hours and references.</t>
        </is>
      </c>
      <c r="D20" s="9" t="n"/>
    </row>
    <row r="21" ht="105.4" customHeight="1">
      <c r="A21" s="9" t="n"/>
      <c r="B21" s="14" t="inlineStr">
        <is>
          <t>WIP Movements</t>
        </is>
      </c>
      <c r="C21" s="15" t="inlineStr">
        <is>
          <t>Manual journals between the P&amp;L and GL 11300 Work in Progress.
Anything with a defer start and end on Finance does not belong here - it is handled automatically.</t>
        </is>
      </c>
      <c r="D21" s="9" t="n"/>
    </row>
    <row r="22" ht="105.4" customHeight="1">
      <c r="A22" s="9" t="n"/>
      <c r="B22" s="14" t="inlineStr">
        <is>
          <t>Deferred Revenue</t>
        </is>
      </c>
      <c r="C22" s="15" t="inlineStr">
        <is>
          <t>The workings behind the automatic deferrals.
Nothing is typed here; it mirrors the Finance lines that carry a defer start and end.</t>
        </is>
      </c>
      <c r="D22" s="9" t="n"/>
    </row>
    <row r="23" ht="52.7" customHeight="1">
      <c r="A23" s="9" t="n"/>
      <c r="B23" s="14" t="inlineStr">
        <is>
          <t>Month-End</t>
        </is>
      </c>
      <c r="C23" s="15" t="inlineStr">
        <is>
          <t>The close: revenue by cost centre against Xero, the WIP reconciliation, fifteen data checks and a sign-off box.</t>
        </is>
      </c>
      <c r="D23" s="9" t="n"/>
    </row>
    <row r="24" ht="52.7" customHeight="1">
      <c r="A24" s="9" t="n"/>
      <c r="B24" s="14" t="inlineStr">
        <is>
          <t>WIP Summary</t>
        </is>
      </c>
      <c r="C24" s="15" t="inlineStr">
        <is>
          <t>WIP opening / movement / closing for every job, to tie job by job back to the WIP Schedule file.</t>
        </is>
      </c>
      <c r="D24" s="9" t="n"/>
    </row>
    <row r="25" ht="105.4" customHeight="1">
      <c r="A25" s="9" t="n"/>
      <c r="B25" s="14" t="inlineStr">
        <is>
          <t>Lists</t>
        </is>
      </c>
      <c r="C25" s="15" t="inlineStr">
        <is>
          <t>Every dropdown.
Cost centres, job numbers and revenue GL codes came straight out of your Xero organisation, so they already match.</t>
        </is>
      </c>
      <c r="D25" s="9" t="n"/>
    </row>
    <row r="26" ht="15.5" customHeight="1">
      <c r="A26" s="9" t="n"/>
      <c r="B26" s="9" t="n"/>
      <c r="C26" s="9" t="n"/>
      <c r="D26" s="9" t="n"/>
    </row>
    <row r="27" ht="28" customHeight="1">
      <c r="A27" s="9" t="n"/>
      <c r="B27" s="12" t="inlineStr">
        <is>
          <t>Deferred revenue  -  it releases itself</t>
        </is>
      </c>
      <c r="C27" s="9" t="n"/>
      <c r="D27" s="9" t="n"/>
    </row>
    <row r="28" ht="79.05000000000001" customHeight="1">
      <c r="A28" s="9" t="n"/>
      <c r="B28" s="9" t="n"/>
      <c r="C28" s="13" t="inlineStr">
        <is>
          <t>Put a Defer Start and a Defer End on a Finance line and the revenue spreads evenly across those months instead of landing all in the month you invoiced.</t>
        </is>
      </c>
      <c r="D28" s="9" t="n"/>
    </row>
    <row r="29" ht="26.35" customHeight="1">
      <c r="A29" s="9" t="n"/>
      <c r="B29" s="9" t="n"/>
      <c r="C29" s="13" t="inlineStr">
        <is>
          <t>Leave both blank for an ordinary one-off invoice.</t>
        </is>
      </c>
      <c r="D29" s="9" t="n"/>
    </row>
    <row r="30" ht="6" customHeight="1">
      <c r="A30" s="9" t="n"/>
      <c r="B30" s="9" t="n"/>
      <c r="C30" s="9" t="n"/>
      <c r="D30" s="9" t="n"/>
    </row>
    <row r="31" ht="52.7" customHeight="1">
      <c r="A31" s="9" t="n"/>
      <c r="B31" s="9" t="n"/>
      <c r="C31" s="13" t="inlineStr">
        <is>
          <t>In the month invoiced: one month is recognised, the rest goes to WIP.</t>
        </is>
      </c>
      <c r="D31" s="9" t="n"/>
    </row>
    <row r="32" ht="6" customHeight="1">
      <c r="A32" s="9" t="n"/>
      <c r="B32" s="9" t="n"/>
      <c r="C32" s="9" t="n"/>
      <c r="D32" s="9" t="n"/>
    </row>
    <row r="33" ht="26.35" customHeight="1">
      <c r="A33" s="9" t="n"/>
      <c r="B33" s="9" t="n"/>
      <c r="C33" s="13" t="inlineStr">
        <is>
          <t>Every month after: one more month is released, automatically.</t>
        </is>
      </c>
      <c r="D33" s="9" t="n"/>
    </row>
    <row r="34" ht="6" customHeight="1">
      <c r="A34" s="9" t="n"/>
      <c r="B34" s="9" t="n"/>
      <c r="C34" s="9" t="n"/>
      <c r="D34" s="9" t="n"/>
    </row>
    <row r="35" ht="52.7" customHeight="1">
      <c r="A35" s="9" t="n"/>
      <c r="B35" s="9" t="n"/>
      <c r="C35" s="13" t="inlineStr">
        <is>
          <t>Worked example - $12,000 invoiced 15 Sep 2025 for Sep 2025 to Aug 2026.</t>
        </is>
      </c>
      <c r="D35" s="9" t="n"/>
    </row>
    <row r="36" ht="26.35" customHeight="1">
      <c r="A36" s="9" t="n"/>
      <c r="B36" s="9" t="n"/>
      <c r="C36" s="13" t="inlineStr">
        <is>
          <t>September recognises $1,000 and defers $11,000.</t>
        </is>
      </c>
      <c r="D36" s="9" t="n"/>
    </row>
    <row r="37" ht="26.35" customHeight="1">
      <c r="A37" s="9" t="n"/>
      <c r="B37" s="9" t="n"/>
      <c r="C37" s="13" t="inlineStr">
        <is>
          <t>Each month after releases $1,000.</t>
        </is>
      </c>
      <c r="D37" s="9" t="n"/>
    </row>
    <row r="38" ht="26.35" customHeight="1">
      <c r="A38" s="9" t="n"/>
      <c r="B38" s="9" t="n"/>
      <c r="C38" s="13" t="inlineStr">
        <is>
          <t>By August 2026 the balance is nil.</t>
        </is>
      </c>
      <c r="D38" s="9" t="n"/>
    </row>
    <row r="39" ht="26.35" customHeight="1">
      <c r="A39" s="9" t="n"/>
      <c r="B39" s="9" t="n"/>
      <c r="C39" s="13" t="inlineStr">
        <is>
          <t>Nothing is typed each month and no journal is needed.</t>
        </is>
      </c>
      <c r="D39" s="9" t="n"/>
    </row>
    <row r="40" ht="6" customHeight="1">
      <c r="A40" s="9" t="n"/>
      <c r="B40" s="9" t="n"/>
      <c r="C40" s="9" t="n"/>
      <c r="D40" s="9" t="n"/>
    </row>
    <row r="41" ht="52.7" customHeight="1">
      <c r="A41" s="9" t="n"/>
      <c r="B41" s="9" t="n"/>
      <c r="C41" s="13" t="inlineStr">
        <is>
          <t>The Deferred Revenue sheet shows the workings line by line, and Month-End and WIP Summary already include it.</t>
        </is>
      </c>
      <c r="D41" s="9" t="n"/>
    </row>
    <row r="42" ht="79.05000000000001" customHeight="1">
      <c r="A42" s="9" t="n"/>
      <c r="B42" s="9" t="n"/>
      <c r="C42" s="13" t="inlineStr">
        <is>
          <t>One warning: a deferred line must not also have a manual row on WIP Movements or it counts twice - Month-End checks for that.</t>
        </is>
      </c>
      <c r="D42" s="9" t="n"/>
    </row>
    <row r="43" ht="6" customHeight="1">
      <c r="A43" s="9" t="n"/>
      <c r="B43" s="9" t="n"/>
      <c r="C43" s="9" t="n"/>
      <c r="D43" s="9" t="n"/>
    </row>
    <row r="44" ht="15.5" customHeight="1">
      <c r="A44" s="9" t="n"/>
      <c r="B44" s="9" t="n"/>
      <c r="C44" s="9" t="n"/>
      <c r="D44" s="9" t="n"/>
    </row>
    <row r="45" ht="28" customHeight="1">
      <c r="A45" s="9" t="n"/>
      <c r="B45" s="12" t="inlineStr">
        <is>
          <t>Video revenue</t>
        </is>
      </c>
      <c r="C45" s="9" t="n"/>
      <c r="D45" s="9" t="n"/>
    </row>
    <row r="46" ht="52.7" customHeight="1">
      <c r="A46" s="9" t="n"/>
      <c r="B46" s="9" t="n"/>
      <c r="C46" s="13" t="inlineStr">
        <is>
          <t>There is no video split column any more, and nothing to keep honest.</t>
        </is>
      </c>
      <c r="D46" s="9" t="n"/>
    </row>
    <row r="47" ht="79.05000000000001" customHeight="1">
      <c r="A47" s="9" t="n"/>
      <c r="B47" s="9" t="n"/>
      <c r="C47" s="13" t="inlineStr">
        <is>
          <t>In Xero a cost centre sits on the invoice line, so a job invoiced part production and part video is simply two lines on the Finance sheet - one coded PRODUCTION, one coded VIDEO.</t>
        </is>
      </c>
      <c r="D47" s="9" t="n"/>
    </row>
    <row r="48" ht="79.05000000000001" customHeight="1">
      <c r="A48" s="9" t="n"/>
      <c r="B48" s="9" t="n"/>
      <c r="C48" s="13" t="inlineStr">
        <is>
          <t>The VIDEO figure at month-end is then a plain sum of the lines coded VIDEO, and it ties to the Xero VIDEO cost centre without any adjustment.</t>
        </is>
      </c>
      <c r="D48" s="9" t="n"/>
    </row>
    <row r="49" ht="6" customHeight="1">
      <c r="A49" s="9" t="n"/>
      <c r="B49" s="9" t="n"/>
      <c r="C49" s="9" t="n"/>
      <c r="D49" s="9" t="n"/>
    </row>
    <row r="50" ht="52.7" customHeight="1">
      <c r="A50" s="9" t="n"/>
      <c r="B50" s="9" t="n"/>
      <c r="C50" s="13" t="inlineStr">
        <is>
          <t>The 26 migrated invoices that carried a video amount were split into two lines each on the way across.</t>
        </is>
      </c>
      <c r="D50" s="9" t="n"/>
    </row>
    <row r="51" ht="26.35" customHeight="1">
      <c r="A51" s="9" t="n"/>
      <c r="B51" s="9" t="n"/>
      <c r="C51" s="13" t="inlineStr">
        <is>
          <t>Ex GST in total is unchanged.</t>
        </is>
      </c>
      <c r="D51" s="9" t="n"/>
    </row>
    <row r="52" ht="6" customHeight="1">
      <c r="A52" s="9" t="n"/>
      <c r="B52" s="9" t="n"/>
      <c r="C52" s="9" t="n"/>
      <c r="D52" s="9" t="n"/>
    </row>
    <row r="53" ht="52.7" customHeight="1">
      <c r="A53" s="9" t="n"/>
      <c r="B53" s="9" t="n"/>
      <c r="C53" s="13" t="inlineStr">
        <is>
          <t>The Production sheet carries a Video Revenue column beside the expenses, and Video % of Revenue next to it.</t>
        </is>
      </c>
      <c r="D53" s="9" t="n"/>
    </row>
    <row r="54" ht="26.35" customHeight="1">
      <c r="A54" s="9" t="n"/>
      <c r="B54" s="9" t="n"/>
      <c r="C54" s="13" t="inlineStr">
        <is>
          <t>Both read the Finance lines coded VIDEO, so nothing is typed.</t>
        </is>
      </c>
      <c r="D54" s="9" t="n"/>
    </row>
    <row r="55" ht="52.7" customHeight="1">
      <c r="A55" s="9" t="n"/>
      <c r="B55" s="9" t="n"/>
      <c r="C55" s="13" t="inlineStr">
        <is>
          <t>Job by job they reproduce the old Video Total column to the cent - 38,484.75 in total across 28 jobs.</t>
        </is>
      </c>
      <c r="D55" s="9" t="n"/>
    </row>
    <row r="56" ht="6" customHeight="1">
      <c r="A56" s="9" t="n"/>
      <c r="B56" s="9" t="n"/>
      <c r="C56" s="9" t="n"/>
      <c r="D56" s="9" t="n"/>
    </row>
    <row r="57" ht="15.5" customHeight="1">
      <c r="A57" s="9" t="n"/>
      <c r="B57" s="9" t="n"/>
      <c r="C57" s="9" t="n"/>
      <c r="D57" s="9" t="n"/>
    </row>
    <row r="58" ht="28" customHeight="1">
      <c r="A58" s="9" t="n"/>
      <c r="B58" s="12" t="inlineStr">
        <is>
          <t>Why this version is not slow, and why it opens</t>
        </is>
      </c>
      <c r="C58" s="9" t="n"/>
      <c r="D58" s="9" t="n"/>
    </row>
    <row r="59" ht="79.05000000000001" customHeight="1">
      <c r="A59" s="9" t="n"/>
      <c r="B59" s="9" t="n"/>
      <c r="C59" s="13" t="inlineStr">
        <is>
          <t>The v2 file was slow because of its macro: every keystroke copied 26 columns by 200 rows into hidden storage, and it was capped at 200 rows per department.</t>
        </is>
      </c>
      <c r="D59" s="9" t="n"/>
    </row>
    <row r="60" ht="52.7" customHeight="1">
      <c r="A60" s="9" t="n"/>
      <c r="B60" s="9" t="n"/>
      <c r="C60" s="13" t="inlineStr">
        <is>
          <t>There are no macros here at all, and it is a .xlsx, so no macro warning and nothing blocked on SharePoint.</t>
        </is>
      </c>
      <c r="D60" s="9" t="n"/>
    </row>
    <row r="61" ht="6" customHeight="1">
      <c r="A61" s="9" t="n"/>
      <c r="B61" s="9" t="n"/>
      <c r="C61" s="9" t="n"/>
      <c r="D61" s="9" t="n"/>
    </row>
    <row r="62" ht="52.7" customHeight="1">
      <c r="A62" s="9" t="n"/>
      <c r="B62" s="9" t="n"/>
      <c r="C62" s="13" t="inlineStr">
        <is>
          <t>There are also no dynamic array formulas - no VSTACK, FILTER, SORT, UNIQUE or XLOOKUP.</t>
        </is>
      </c>
      <c r="D62" s="9" t="n"/>
    </row>
    <row r="63" ht="79.05000000000001" customHeight="1">
      <c r="A63" s="9" t="n"/>
      <c r="B63" s="9" t="n"/>
      <c r="C63" s="13" t="inlineStr">
        <is>
          <t>Every sheet is a real Excel Table or a plain SUMIFS grid, which means the filter buttons, sorting and PivotTables all work normally, and every formula runs in any version of Excel.</t>
        </is>
      </c>
      <c r="D63" s="9" t="n"/>
    </row>
    <row r="64" ht="6" customHeight="1">
      <c r="A64" s="9" t="n"/>
      <c r="B64" s="9" t="n"/>
      <c r="C64" s="9" t="n"/>
      <c r="D64" s="9" t="n"/>
    </row>
    <row r="65" ht="15.5" customHeight="1">
      <c r="A65" s="9" t="n"/>
      <c r="B65" s="9" t="n"/>
      <c r="C65" s="9" t="n"/>
      <c r="D65" s="9" t="n"/>
    </row>
    <row r="66" ht="28" customHeight="1">
      <c r="A66" s="9" t="n"/>
      <c r="B66" s="12" t="inlineStr">
        <is>
          <t>Month-end, in order</t>
        </is>
      </c>
      <c r="C66" s="9" t="n"/>
      <c r="D66" s="9" t="n"/>
    </row>
    <row r="67" ht="52.7" customHeight="1">
      <c r="A67" s="9" t="n"/>
      <c r="B67" s="9" t="n"/>
      <c r="C67" s="13" t="inlineStr">
        <is>
          <t>1.  Chase the departments until every invoice for the month is on the Finance sheet and Posted to Xero is Y.</t>
        </is>
      </c>
      <c r="D67" s="9" t="n"/>
    </row>
    <row r="68" ht="6" customHeight="1">
      <c r="A68" s="9" t="n"/>
      <c r="B68" s="9" t="n"/>
      <c r="C68" s="9" t="n"/>
      <c r="D68" s="9" t="n"/>
    </row>
    <row r="69" ht="26.35" customHeight="1">
      <c r="A69" s="9" t="n"/>
      <c r="B69" s="9" t="n"/>
      <c r="C69" s="13" t="inlineStr">
        <is>
          <t>2.  Open Month-End and set the month.</t>
        </is>
      </c>
      <c r="D69" s="9" t="n"/>
    </row>
    <row r="70" ht="6" customHeight="1">
      <c r="A70" s="9" t="n"/>
      <c r="B70" s="9" t="n"/>
      <c r="C70" s="9" t="n"/>
      <c r="D70" s="9" t="n"/>
    </row>
    <row r="71" ht="26.35" customHeight="1">
      <c r="A71" s="9" t="n"/>
      <c r="B71" s="9" t="n"/>
      <c r="C71" s="13" t="inlineStr">
        <is>
          <t>3.  Work section 3 first.</t>
        </is>
      </c>
      <c r="D71" s="9" t="n"/>
    </row>
    <row r="72" ht="26.35" customHeight="1">
      <c r="A72" s="9" t="n"/>
      <c r="B72" s="9" t="n"/>
      <c r="C72" s="13" t="inlineStr">
        <is>
          <t>Every count must be zero.</t>
        </is>
      </c>
      <c r="D72" s="9" t="n"/>
    </row>
    <row r="73" ht="52.7" customHeight="1">
      <c r="A73" s="9" t="n"/>
      <c r="B73" s="9" t="n"/>
      <c r="C73" s="13" t="inlineStr">
        <is>
          <t>Fix on the Finance sheet, or filter the Issue column there, which lists the same problems row by row.</t>
        </is>
      </c>
      <c r="D73" s="9" t="n"/>
    </row>
    <row r="74" ht="6" customHeight="1">
      <c r="A74" s="9" t="n"/>
      <c r="B74" s="9" t="n"/>
      <c r="C74" s="9" t="n"/>
      <c r="D74" s="9" t="n"/>
    </row>
    <row r="75" ht="52.7" customHeight="1">
      <c r="A75" s="9" t="n"/>
      <c r="B75" s="9" t="n"/>
      <c r="C75" s="13" t="inlineStr">
        <is>
          <t>4.  Section 1: run the Xero P&amp;L for the month by Cost Centre and type the revenue into the yellow column.</t>
        </is>
      </c>
      <c r="D75" s="9" t="n"/>
    </row>
    <row r="76" ht="26.35" customHeight="1">
      <c r="A76" s="9" t="n"/>
      <c r="B76" s="9" t="n"/>
      <c r="C76" s="13" t="inlineStr">
        <is>
          <t>Each line should read Reconciled.</t>
        </is>
      </c>
      <c r="D76" s="9" t="n"/>
    </row>
    <row r="77" ht="6" customHeight="1">
      <c r="A77" s="9" t="n"/>
      <c r="B77" s="9" t="n"/>
      <c r="C77" s="9" t="n"/>
      <c r="D77" s="9" t="n"/>
    </row>
    <row r="78" ht="52.7" customHeight="1">
      <c r="A78" s="9" t="n"/>
      <c r="B78" s="9" t="n"/>
      <c r="C78" s="13" t="inlineStr">
        <is>
          <t>5.  Section 2: type the WIP Schedule closing balance and the Xero GL 11300 balance.</t>
        </is>
      </c>
      <c r="D78" s="9" t="n"/>
    </row>
    <row r="79" ht="6" customHeight="1">
      <c r="A79" s="9" t="n"/>
      <c r="B79" s="9" t="n"/>
      <c r="C79" s="9" t="n"/>
      <c r="D79" s="9" t="n"/>
    </row>
    <row r="80" ht="79.05000000000001" customHeight="1">
      <c r="A80" s="9" t="n"/>
      <c r="B80" s="9" t="n"/>
      <c r="C80" s="13" t="inlineStr">
        <is>
          <t>6.  Breaks in section 2 - open WIP Summary, paste the WIP Schedule balances into column G and the variance column shows which job is out.</t>
        </is>
      </c>
      <c r="D80" s="9" t="n"/>
    </row>
    <row r="81" ht="6" customHeight="1">
      <c r="A81" s="9" t="n"/>
      <c r="B81" s="9" t="n"/>
      <c r="C81" s="9" t="n"/>
      <c r="D81" s="9" t="n"/>
    </row>
    <row r="82" ht="26.35" customHeight="1">
      <c r="A82" s="9" t="n"/>
      <c r="B82" s="9" t="n"/>
      <c r="C82" s="13" t="inlineStr">
        <is>
          <t>7.  Sign off in section 4.</t>
        </is>
      </c>
      <c r="D82" s="9" t="n"/>
    </row>
    <row r="83" ht="6" customHeight="1">
      <c r="A83" s="9" t="n"/>
      <c r="B83" s="9" t="n"/>
      <c r="C83" s="9" t="n"/>
      <c r="D83" s="9" t="n"/>
    </row>
    <row r="84" ht="15.5" customHeight="1">
      <c r="A84" s="9" t="n"/>
      <c r="B84" s="9" t="n"/>
      <c r="C84" s="9" t="n"/>
      <c r="D84" s="9" t="n"/>
    </row>
    <row r="85" ht="28" customHeight="1">
      <c r="A85" s="9" t="n"/>
      <c r="B85" s="12" t="inlineStr">
        <is>
          <t>The WIP sign rule</t>
        </is>
      </c>
      <c r="C85" s="9" t="n"/>
      <c r="D85" s="9" t="n"/>
    </row>
    <row r="86" ht="52.7" customHeight="1">
      <c r="A86" s="9" t="n"/>
      <c r="B86" s="9" t="n"/>
      <c r="C86" s="13" t="inlineStr">
        <is>
          <t>One signed Amount column does both jobs, because GL 11300 nets accrued and deferred revenue.</t>
        </is>
      </c>
      <c r="D86" s="9" t="n"/>
    </row>
    <row r="87" ht="52.7" customHeight="1">
      <c r="A87" s="9" t="n"/>
      <c r="B87" s="9" t="n"/>
      <c r="C87" s="13" t="inlineStr">
        <is>
          <t>Positive = revenue recognised this month (work done but not yet invoiced, or a deferral released).</t>
        </is>
      </c>
      <c r="D87" s="9" t="n"/>
    </row>
    <row r="88" ht="52.7" customHeight="1">
      <c r="A88" s="9" t="n"/>
      <c r="B88" s="9" t="n"/>
      <c r="C88" s="13" t="inlineStr">
        <is>
          <t>Negative = revenue pushed out of this month (invoiced in advance).</t>
        </is>
      </c>
      <c r="D88" s="9" t="n"/>
    </row>
    <row r="89" ht="52.7" customHeight="1">
      <c r="A89" s="9" t="n"/>
      <c r="B89" s="9" t="n"/>
      <c r="C89" s="13" t="inlineStr">
        <is>
          <t>So revenue recognised = invoiced Ex GST + WIP movement, and the running total of the Amount column is the GL 11300 balance.</t>
        </is>
      </c>
      <c r="D89" s="9" t="n"/>
    </row>
    <row r="90" ht="6" customHeight="1">
      <c r="A90" s="9" t="n"/>
      <c r="B90" s="9" t="n"/>
      <c r="C90" s="9" t="n"/>
      <c r="D90" s="9" t="n"/>
    </row>
    <row r="91" ht="15.5" customHeight="1">
      <c r="A91" s="9" t="n"/>
      <c r="B91" s="9" t="n"/>
      <c r="C91" s="9" t="n"/>
      <c r="D91" s="9" t="n"/>
    </row>
    <row r="92" ht="28" customHeight="1">
      <c r="A92" s="9" t="n"/>
      <c r="B92" s="12" t="inlineStr">
        <is>
          <t>Locked cells, links and totals</t>
        </is>
      </c>
      <c r="C92" s="9" t="n"/>
      <c r="D92" s="9" t="n"/>
    </row>
    <row r="93" ht="26.35" customHeight="1">
      <c r="A93" s="9" t="n"/>
      <c r="B93" s="9" t="n"/>
      <c r="C93" s="13" t="inlineStr">
        <is>
          <t>Every sheet is protected with no password.</t>
        </is>
      </c>
      <c r="D93" s="9" t="n"/>
    </row>
    <row r="94" ht="79.05000000000001" customHeight="1">
      <c r="A94" s="9" t="n"/>
      <c r="B94" s="9" t="n"/>
      <c r="C94" s="13" t="inlineStr">
        <is>
          <t>Only the cells you are meant to fill are open; the grey calculated ones are locked so a stray keystroke cannot wipe a formula.</t>
        </is>
      </c>
      <c r="D94" s="9" t="n"/>
    </row>
    <row r="95" ht="26.35" customHeight="1">
      <c r="A95" s="9" t="n"/>
      <c r="B95" s="9" t="n"/>
      <c r="C95" s="13" t="inlineStr">
        <is>
          <t>To turn it off: Review, Unprotect Sheet.</t>
        </is>
      </c>
      <c r="D95" s="9" t="n"/>
    </row>
    <row r="96" ht="26.35" customHeight="1">
      <c r="A96" s="9" t="n"/>
      <c r="B96" s="9" t="n"/>
      <c r="C96" s="13" t="inlineStr">
        <is>
          <t>Sorting and filtering still work.</t>
        </is>
      </c>
      <c r="D96" s="9" t="n"/>
    </row>
    <row r="97" ht="6" customHeight="1">
      <c r="A97" s="9" t="n"/>
      <c r="B97" s="9" t="n"/>
      <c r="C97" s="9" t="n"/>
      <c r="D97" s="9" t="n"/>
    </row>
    <row r="98" ht="26.35" customHeight="1">
      <c r="A98" s="9" t="n"/>
      <c r="B98" s="9" t="n"/>
      <c r="C98" s="13" t="inlineStr">
        <is>
          <t>Qwilr quotes and Current RMS numbers are clickable.</t>
        </is>
      </c>
      <c r="D98" s="9" t="n"/>
    </row>
    <row r="99" ht="79.05000000000001" customHeight="1">
      <c r="A99" s="9" t="n"/>
      <c r="B99" s="9" t="n"/>
      <c r="C99" s="13" t="inlineStr">
        <is>
          <t>Paste a full web address and it is used as it stands; type a bare number and it is added to the base address on the Lists sheet.</t>
        </is>
      </c>
      <c r="D99" s="9" t="n"/>
    </row>
    <row r="100" ht="105.4" customHeight="1">
      <c r="A100" s="9" t="n"/>
      <c r="B100" s="9" t="n"/>
      <c r="C100" s="13" t="inlineStr">
        <is>
          <t>The Qwilr base is already set, and Current RMS on the Production sheet now works exactly the same way - paste the whole Current RMS address into the Current RMS No cell and it links straight away.</t>
        </is>
      </c>
      <c r="D100" s="9" t="n"/>
    </row>
    <row r="101" ht="52.7" customHeight="1">
      <c r="A101" s="9" t="n"/>
      <c r="B101" s="9" t="n"/>
      <c r="C101" s="13" t="inlineStr">
        <is>
          <t>Only fill in Lists column U row 6 if you would rather type the bare opportunity number.</t>
        </is>
      </c>
      <c r="D101" s="9" t="n"/>
    </row>
    <row r="102" ht="6" customHeight="1">
      <c r="A102" s="9" t="n"/>
      <c r="B102" s="9" t="n"/>
      <c r="C102" s="9" t="n"/>
      <c r="D102" s="9" t="n"/>
    </row>
    <row r="103" ht="79.05000000000001" customHeight="1">
      <c r="A103" s="9" t="n"/>
      <c r="B103" s="9" t="n"/>
      <c r="C103" s="13" t="inlineStr">
        <is>
          <t>Each sheet shows its total ex-GST at the top, and it follows the filter - filter to one client or one month and the total follows.</t>
        </is>
      </c>
      <c r="D103" s="9" t="n"/>
    </row>
    <row r="104" ht="26.35" customHeight="1">
      <c r="A104" s="9" t="n"/>
      <c r="B104" s="9" t="n"/>
      <c r="C104" s="13" t="inlineStr">
        <is>
          <t>Finance shows Ex GST, GST and Inc GST.</t>
        </is>
      </c>
      <c r="D104" s="9" t="n"/>
    </row>
    <row r="105" ht="6" customHeight="1">
      <c r="A105" s="9" t="n"/>
      <c r="B105" s="9" t="n"/>
      <c r="C105" s="9" t="n"/>
      <c r="D105" s="9" t="n"/>
    </row>
    <row r="106" ht="26.35" customHeight="1">
      <c r="A106" s="9" t="n"/>
      <c r="B106" s="9" t="n"/>
      <c r="C106" s="13" t="inlineStr">
        <is>
          <t>The GST rate is no longer buried in the formula.</t>
        </is>
      </c>
      <c r="D106" s="9" t="n"/>
    </row>
    <row r="107" ht="52.7" customHeight="1">
      <c r="A107" s="9" t="n"/>
      <c r="B107" s="9" t="n"/>
      <c r="C107" s="13" t="inlineStr">
        <is>
          <t>It sits on the Lists sheet, column U row 8, and every GST cell reads it from there.</t>
        </is>
      </c>
      <c r="D107" s="9" t="n"/>
    </row>
    <row r="108" ht="6" customHeight="1">
      <c r="A108" s="9" t="n"/>
      <c r="B108" s="9" t="n"/>
      <c r="C108" s="9" t="n"/>
      <c r="D108" s="9" t="n"/>
    </row>
    <row r="109" ht="15.5" customHeight="1">
      <c r="A109" s="9" t="n"/>
      <c r="B109" s="9" t="n"/>
      <c r="C109" s="9" t="n"/>
      <c r="D109" s="9" t="n"/>
    </row>
    <row r="110" ht="28" customHeight="1">
      <c r="A110" s="9" t="n"/>
      <c r="B110" s="12" t="inlineStr">
        <is>
          <t>Rules that keep it fast</t>
        </is>
      </c>
      <c r="C110" s="9" t="n"/>
      <c r="D110" s="9" t="n"/>
    </row>
    <row r="111" ht="26.35" customHeight="1">
      <c r="A111" s="9" t="n"/>
      <c r="B111" s="9" t="n"/>
      <c r="C111" s="13" t="inlineStr">
        <is>
          <t>Never insert or delete rows above the header row.</t>
        </is>
      </c>
      <c r="D111" s="9" t="n"/>
    </row>
    <row r="112" ht="6" customHeight="1">
      <c r="A112" s="9" t="n"/>
      <c r="B112" s="9" t="n"/>
      <c r="C112" s="9" t="n"/>
      <c r="D112" s="9" t="n"/>
    </row>
    <row r="113" ht="79.05000000000001" customHeight="1">
      <c r="A113" s="9" t="n"/>
      <c r="B113" s="9" t="n"/>
      <c r="C113" s="13" t="inlineStr">
        <is>
          <t>Add rows by typing in the next blank row of the table, or press Tab at the end of the last row and the table grows with the formulas.</t>
        </is>
      </c>
      <c r="D113" s="9" t="n"/>
    </row>
    <row r="114" ht="6" customHeight="1">
      <c r="A114" s="9" t="n"/>
      <c r="B114" s="9" t="n"/>
      <c r="C114" s="9" t="n"/>
      <c r="D114" s="9" t="n"/>
    </row>
    <row r="115" ht="26.35" customHeight="1">
      <c r="A115" s="9" t="n"/>
      <c r="B115" s="9" t="n"/>
      <c r="C115" s="13" t="inlineStr">
        <is>
          <t>Paste values only, never whole columns.</t>
        </is>
      </c>
      <c r="D115" s="9" t="n"/>
    </row>
    <row r="116" ht="6" customHeight="1">
      <c r="A116" s="9" t="n"/>
      <c r="B116" s="9" t="n"/>
      <c r="C116" s="9" t="n"/>
      <c r="D116" s="9" t="n"/>
    </row>
    <row r="117" ht="26.35" customHeight="1">
      <c r="A117" s="9" t="n"/>
      <c r="B117" s="9" t="n"/>
      <c r="C117" s="13" t="inlineStr">
        <is>
          <t>Leave calculation on Automatic.</t>
        </is>
      </c>
      <c r="D117" s="9" t="n"/>
    </row>
    <row r="118" ht="52.7" customHeight="1">
      <c r="A118" s="9" t="n"/>
      <c r="B118" s="9" t="n"/>
      <c r="C118" s="13" t="inlineStr">
        <is>
          <t>Nothing here is volatile - no OFFSET, no INDIRECT, no TODAY in bulk.</t>
        </is>
      </c>
      <c r="D118" s="9" t="n"/>
    </row>
    <row r="119" ht="6" customHeight="1">
      <c r="A119" s="9" t="n"/>
      <c r="B119" s="9" t="n"/>
      <c r="C119" s="9" t="n"/>
      <c r="D119" s="9" t="n"/>
    </row>
    <row r="120" ht="26.35" customHeight="1">
      <c r="A120" s="9" t="n"/>
      <c r="B120" s="9" t="n"/>
      <c r="C120" s="13" t="inlineStr">
        <is>
          <t>Keep it as .xlsx.</t>
        </is>
      </c>
      <c r="D120" s="9" t="n"/>
    </row>
    <row r="121" ht="52.7" customHeight="1">
      <c r="A121" s="9" t="n"/>
      <c r="B121" s="9" t="n"/>
      <c r="C121" s="13" t="inlineStr">
        <is>
          <t>The moment someone saves it as .xlsm and adds a macro you are back where you started.</t>
        </is>
      </c>
      <c r="D121" s="9" t="n"/>
    </row>
    <row r="122" ht="6" customHeight="1">
      <c r="A122" s="9" t="n"/>
      <c r="B122" s="9" t="n"/>
      <c r="C122" s="9" t="n"/>
      <c r="D122" s="9" t="n"/>
    </row>
    <row r="123" ht="15.5" customHeight="1">
      <c r="A123" s="9" t="n"/>
      <c r="B123" s="9" t="n"/>
      <c r="C123" s="9" t="n"/>
      <c r="D123" s="9" t="n"/>
    </row>
    <row r="124" ht="28" customHeight="1">
      <c r="A124" s="9" t="n"/>
      <c r="B124" s="12" t="inlineStr">
        <is>
          <t>What came across from v2</t>
        </is>
      </c>
      <c r="C124" s="9" t="n"/>
      <c r="D124" s="9" t="n"/>
    </row>
    <row r="125" ht="52.7" customHeight="1">
      <c r="A125" s="9" t="n"/>
      <c r="B125" s="9" t="n"/>
      <c r="C125" s="13" t="inlineStr">
        <is>
          <t>Finance: 175 invoice lines from the 149 v2 records, the difference being the 26 video splits now carried as their own line.</t>
        </is>
      </c>
      <c r="D125" s="9" t="n"/>
    </row>
    <row r="126" ht="6" customHeight="1">
      <c r="A126" s="9" t="n"/>
      <c r="B126" s="9" t="n"/>
      <c r="C126" s="9" t="n"/>
      <c r="D126" s="9" t="n"/>
    </row>
    <row r="127" ht="52.7" customHeight="1">
      <c r="A127" s="9" t="n"/>
      <c r="B127" s="9" t="n"/>
      <c r="C127" s="13" t="inlineStr">
        <is>
          <t>Department sheets: one row per job - Onsite 27, Production 58, Consulting 28.</t>
        </is>
      </c>
      <c r="D127" s="9" t="n"/>
    </row>
    <row r="128" ht="6" customHeight="1">
      <c r="A128" s="9" t="n"/>
      <c r="B128" s="9" t="n"/>
      <c r="C128" s="9" t="n"/>
      <c r="D128" s="9" t="n"/>
    </row>
    <row r="129" ht="26.35" customHeight="1">
      <c r="A129" s="9" t="n"/>
      <c r="B129" s="9" t="n"/>
      <c r="C129" s="13" t="inlineStr">
        <is>
          <t>WIP Movements: 126 rows.</t>
        </is>
      </c>
      <c r="D129" s="9" t="n"/>
    </row>
    <row r="130" ht="6" customHeight="1">
      <c r="A130" s="9" t="n"/>
      <c r="B130" s="9" t="n"/>
      <c r="C130" s="9" t="n"/>
      <c r="D130" s="9" t="n"/>
    </row>
    <row r="131" ht="52.7" customHeight="1">
      <c r="A131" s="9" t="n"/>
      <c r="B131" s="9" t="n"/>
      <c r="C131" s="13" t="inlineStr">
        <is>
          <t>Totals tie to the cent: Onsite 512,023.81, Production 460,883.46, Consulting 857,950.27, WIP 17,537.91.</t>
        </is>
      </c>
      <c r="D131" s="9" t="n"/>
    </row>
    <row r="132" ht="6" customHeight="1">
      <c r="A132" s="9" t="n"/>
      <c r="B132" s="9" t="n"/>
      <c r="C132" s="9" t="n"/>
      <c r="D132" s="9" t="n"/>
    </row>
    <row r="133" ht="52.7" customHeight="1">
      <c r="A133" s="9" t="n"/>
      <c r="B133" s="9" t="n"/>
      <c r="C133" s="13" t="inlineStr">
        <is>
          <t>Revenue GL codes were assigned by rule (Onsite 41100, Production 42100, Video 42150, Consulting 42800, Integration 42300).</t>
        </is>
      </c>
      <c r="D133" s="9" t="n"/>
    </row>
    <row r="134" ht="26.35" customHeight="1">
      <c r="A134" s="9" t="n"/>
      <c r="B134" s="9" t="n"/>
      <c r="C134" s="13" t="inlineStr">
        <is>
          <t>Spot-check them.</t>
        </is>
      </c>
      <c r="D134" s="9" t="n"/>
    </row>
    <row r="135" ht="6" customHeight="1">
      <c r="A135" s="9" t="n"/>
      <c r="B135" s="9" t="n"/>
      <c r="C135" s="9" t="n"/>
      <c r="D135" s="9" t="n"/>
    </row>
    <row r="136" ht="52.7" customHeight="1">
      <c r="A136" s="9" t="n"/>
      <c r="B136" s="9" t="n"/>
      <c r="C136" s="13" t="inlineStr">
        <is>
          <t>The 126 WIP rows were given a Type from the sign of the amount.</t>
        </is>
      </c>
      <c r="D136" s="9" t="n"/>
    </row>
    <row r="137" ht="26.35" customHeight="1">
      <c r="A137" s="9" t="n"/>
      <c r="B137" s="9" t="n"/>
      <c r="C137" s="13" t="inlineStr">
        <is>
          <t>Confirm before relying on them.</t>
        </is>
      </c>
      <c r="D137" s="9" t="n"/>
    </row>
    <row r="138" ht="6" customHeight="1">
      <c r="A138" s="9" t="n"/>
      <c r="B138" s="9" t="n"/>
      <c r="C138" s="9" t="n"/>
      <c r="D138" s="9" t="n"/>
    </row>
    <row r="139" ht="26.35" customHeight="1">
      <c r="A139" s="9" t="n"/>
      <c r="B139" s="9" t="n"/>
      <c r="C139" s="13" t="inlineStr">
        <is>
          <t>Production keeps its v2 columns.</t>
        </is>
      </c>
      <c r="D139" s="9" t="n"/>
    </row>
    <row r="140" ht="26.35" customHeight="1">
      <c r="A140" s="9" t="n"/>
      <c r="B140" s="9" t="n"/>
      <c r="C140" s="13" t="inlineStr">
        <is>
          <t>Client Email came across (57 of 58 jobs).</t>
        </is>
      </c>
      <c r="D140" s="9" t="n"/>
    </row>
    <row r="141" ht="26.35" customHeight="1">
      <c r="A141" s="9" t="n"/>
      <c r="B141" s="9" t="n"/>
      <c r="C141" s="13" t="inlineStr">
        <is>
          <t>Company, Event Grouping, Conf.</t>
        </is>
      </c>
      <c r="D141" s="9" t="n"/>
    </row>
    <row r="142" ht="79.05000000000001" customHeight="1">
      <c r="A142" s="9" t="n"/>
      <c r="B142" s="9" t="n"/>
      <c r="C142" s="13" t="inlineStr">
        <is>
          <t>Call Costs and Transcription Costs are there but empty - v2 showed them on screen and its macro never saved them, so there is nothing to bring.</t>
        </is>
      </c>
      <c r="D142" s="9" t="n"/>
    </row>
    <row r="143" ht="26.35" customHeight="1">
      <c r="A143" s="9" t="n"/>
      <c r="B143" s="9" t="n"/>
      <c r="C143" s="13" t="inlineStr">
        <is>
          <t>Conf.</t>
        </is>
      </c>
      <c r="D143" s="9" t="n"/>
    </row>
    <row r="144" ht="52.7" customHeight="1">
      <c r="A144" s="9" t="n"/>
      <c r="B144" s="9" t="n"/>
      <c r="C144" s="13" t="inlineStr">
        <is>
          <t>Call and Transcription now feed Total Expense, which v2 never did.</t>
        </is>
      </c>
      <c r="D144" s="9" t="n"/>
    </row>
    <row r="145" ht="6" customHeight="1">
      <c r="A145" s="9" t="n"/>
      <c r="B145" s="9" t="n"/>
      <c r="C145" s="9" t="n"/>
      <c r="D145" s="9" t="n"/>
    </row>
    <row r="146" ht="52.7" customHeight="1">
      <c r="A146" s="9" t="n"/>
      <c r="B146" s="9" t="n"/>
      <c r="C146" s="13" t="inlineStr">
        <is>
          <t>Job Type is gone - Cost Centres says the same thing and fills itself.</t>
        </is>
      </c>
      <c r="D146" s="9" t="n"/>
    </row>
    <row r="147" ht="52.7" customHeight="1">
      <c r="A147" s="9" t="n"/>
      <c r="B147" s="9" t="n"/>
      <c r="C147" s="13" t="inlineStr">
        <is>
          <t>Net Total and Discount as % of Net Total are gone for the reason under STILL TO CONFIRM.</t>
        </is>
      </c>
      <c r="D147" s="9" t="n"/>
    </row>
    <row r="148" ht="6" customHeight="1">
      <c r="A148" s="9" t="n"/>
      <c r="B148" s="9" t="n"/>
      <c r="C148" s="9" t="n"/>
      <c r="D148" s="9" t="n"/>
    </row>
    <row r="149" ht="15.5" customHeight="1">
      <c r="A149" s="9" t="n"/>
      <c r="B149" s="9" t="n"/>
      <c r="C149" s="9" t="n"/>
      <c r="D149" s="9" t="n"/>
    </row>
    <row r="150" ht="28" customHeight="1">
      <c r="A150" s="9" t="n"/>
      <c r="B150" s="16" t="inlineStr">
        <is>
          <t>Still to confirm</t>
        </is>
      </c>
      <c r="C150" s="9" t="n"/>
      <c r="D150" s="9" t="n"/>
    </row>
    <row r="151" ht="26.35" customHeight="1">
      <c r="A151" s="9" t="n"/>
      <c r="B151" s="9" t="n"/>
      <c r="C151" s="13" t="inlineStr">
        <is>
          <t>Discounts.</t>
        </is>
      </c>
      <c r="D151" s="9" t="n"/>
    </row>
    <row r="152" ht="105.4" customHeight="1">
      <c r="A152" s="9" t="n"/>
      <c r="B152" s="9" t="n"/>
      <c r="C152" s="13" t="inlineStr">
        <is>
          <t>Checked against Xero: for all 17 August production invoices carrying a discount, the ex-GST total on the Xero invoice equals Ex GST here exactly, and not one matched Ex GST minus the discount.</t>
        </is>
      </c>
      <c r="D152" s="9" t="n"/>
    </row>
    <row r="153" ht="52.7" customHeight="1">
      <c r="A153" s="9" t="n"/>
      <c r="B153" s="9" t="n"/>
      <c r="C153" s="13" t="inlineStr">
        <is>
          <t>So the discount comes off before the invoice is raised and Ex GST is what reconciles.</t>
        </is>
      </c>
      <c r="D153" s="9" t="n"/>
    </row>
    <row r="154" ht="79.05000000000001" customHeight="1">
      <c r="A154" s="9" t="n"/>
      <c r="B154" s="9" t="n"/>
      <c r="C154" s="13" t="inlineStr">
        <is>
          <t>The old "Net Total" is gone; Discounts Given now sits on the Production sheet at job level with Value Before Discount beside it.</t>
        </is>
      </c>
      <c r="D154" s="9" t="n"/>
    </row>
    <row r="155" ht="52.7" customHeight="1">
      <c r="A155" s="9" t="n"/>
      <c r="B155" s="9" t="n"/>
      <c r="C155" s="13" t="inlineStr">
        <is>
          <t>Assumption: it records what was given away off standard rates.</t>
        </is>
      </c>
      <c r="D155" s="9" t="n"/>
    </row>
    <row r="156" ht="6" customHeight="1">
      <c r="A156" s="9" t="n"/>
      <c r="B156" s="9" t="n"/>
      <c r="C156" s="9" t="n"/>
      <c r="D156" s="9" t="n"/>
    </row>
    <row r="157" ht="52.7" customHeight="1">
      <c r="A157" s="9" t="n"/>
      <c r="B157" s="9" t="n"/>
      <c r="C157" s="13" t="inlineStr">
        <is>
          <t>23 migrated records have no invoice number and 21 have no date - $93,346.99 of revenue that belongs to no month.</t>
        </is>
      </c>
      <c r="D157" s="9" t="n"/>
    </row>
    <row r="158" ht="52.7" customHeight="1">
      <c r="A158" s="9" t="n"/>
      <c r="B158" s="9" t="n"/>
      <c r="C158" s="13" t="inlineStr">
        <is>
          <t>They are on the Finance sheet with the Issue column filled in.</t>
        </is>
      </c>
      <c r="D158" s="9" t="n"/>
    </row>
    <row r="159" ht="26.35" customHeight="1">
      <c r="A159" s="9" t="n"/>
      <c r="B159" s="9" t="n"/>
      <c r="C159" s="13" t="inlineStr">
        <is>
          <t>Filter that column and work the list to nothing.</t>
        </is>
      </c>
      <c r="D159" s="9" t="n"/>
    </row>
    <row r="160" ht="6" customHeight="1">
      <c r="A160" s="9" t="n"/>
      <c r="B160" s="9" t="n"/>
      <c r="C160" s="9" t="n"/>
      <c r="D160" s="9" t="n"/>
    </row>
    <row r="161">
      <c r="A161" s="9" t="n"/>
      <c r="B161" s="9" t="n"/>
      <c r="C161" s="9" t="n"/>
      <c r="D161" s="9" t="n"/>
    </row>
    <row r="162" ht="52.7" customHeight="1">
      <c r="A162" s="9" t="n"/>
      <c r="B162" s="17" t="inlineStr">
        <is>
          <t>This is the easy-read version. The standard, more compact version is on the Read Me tab.</t>
        </is>
      </c>
      <c r="C162" s="9" t="n"/>
      <c r="D162" s="9" t="n"/>
    </row>
    <row r="163">
      <c r="A163" s="9" t="n"/>
      <c r="B163" s="9" t="n"/>
      <c r="C163" s="9" t="n"/>
      <c r="D163" s="9" t="n"/>
    </row>
    <row r="164">
      <c r="A164" s="9" t="n"/>
      <c r="B164" s="9" t="n"/>
      <c r="C164" s="9" t="n"/>
      <c r="D164" s="9" t="n"/>
    </row>
  </sheetData>
  <mergeCells count="12">
    <mergeCell ref="B92:C92"/>
    <mergeCell ref="B124:C124"/>
    <mergeCell ref="B5:C5"/>
    <mergeCell ref="B150:C150"/>
    <mergeCell ref="B27:C27"/>
    <mergeCell ref="B45:C45"/>
    <mergeCell ref="B85:C85"/>
    <mergeCell ref="B66:C66"/>
    <mergeCell ref="B110:C110"/>
    <mergeCell ref="B18:C18"/>
    <mergeCell ref="B162:C162"/>
    <mergeCell ref="B58:C58"/>
  </mergeCells>
  <pageMargins left="0.75" right="0.75" top="1" bottom="1" header="0.5" footer="0.5"/>
</worksheet>
</file>

<file path=xl/worksheets/sheet3.xml><?xml version="1.0" encoding="utf-8"?>
<worksheet xmlns="http://schemas.openxmlformats.org/spreadsheetml/2006/main">
  <sheetPr>
    <tabColor rgb="003E5066"/>
    <outlinePr summaryBelow="1" summaryRight="1"/>
    <pageSetUpPr/>
  </sheetPr>
  <dimension ref="A1:AG578"/>
  <sheetViews>
    <sheetView showGridLines="0" tabSelected="0" zoomScale="9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6" customWidth="1" min="3" max="3"/>
    <col width="26" customWidth="1" min="4" max="4"/>
    <col width="15" customWidth="1" min="5" max="5"/>
    <col width="12" customWidth="1" min="6" max="6"/>
    <col width="44" customWidth="1" min="7" max="7"/>
    <col width="13" customWidth="1" min="8" max="8"/>
    <col width="14" customWidth="1" min="9" max="9"/>
    <col width="15" customWidth="1" min="10" max="10"/>
    <col width="12" customWidth="1" min="11" max="11"/>
    <col width="14" customWidth="1" min="12" max="12"/>
    <col width="12" customWidth="1" min="13" max="13"/>
    <col width="14" customWidth="1" min="14" max="14"/>
    <col width="13" customWidth="1" min="15" max="15"/>
    <col width="14" customWidth="1" min="16" max="16"/>
    <col width="9" customWidth="1" min="17" max="17"/>
    <col width="12" customWidth="1" min="18" max="18"/>
    <col width="12" customWidth="1" min="19" max="19"/>
    <col width="14" customWidth="1" min="20" max="20"/>
    <col width="40" customWidth="1" min="21" max="21"/>
    <col width="34" customWidth="1" min="22" max="22"/>
    <col width="34" customWidth="1" min="23" max="23"/>
    <col width="12" customWidth="1" min="24" max="24"/>
    <col width="15" customWidth="1" min="25" max="25"/>
    <col width="14" customWidth="1" min="26" max="26"/>
    <col width="14" customWidth="1" min="27" max="27"/>
    <col width="34" customWidth="1" min="28" max="28"/>
    <col width="13" customWidth="1" min="29" max="29"/>
    <col width="14" customWidth="1" min="30" max="30"/>
    <col width="14" customWidth="1" min="31" max="31"/>
    <col width="12" customWidth="1" min="32" max="32"/>
    <col width="34" customWidth="1" min="33" max="33"/>
  </cols>
  <sheetData>
    <row r="1" ht="24" customHeight="1">
      <c r="A1" s="18" t="inlineStr">
        <is>
          <t>Finance - Invoice Register</t>
        </is>
      </c>
    </row>
    <row r="2" ht="16" customHeight="1">
      <c r="A2" s="2" t="inlineStr">
        <is>
          <t>One row per invoice line, coded to one cost centre, the same way Xero holds it. Finance types here and nowhere else. A job invoiced part production and part video is two lines. Filter the Issue column to see what needs fixing.</t>
        </is>
      </c>
    </row>
    <row r="3" ht="22" customHeight="1">
      <c r="A3" s="19">
        <f>"Ex GST  "&amp;TEXT(SUBTOTAL(109,tbl_Finance[Ex GST]),"$#,##0.00")&amp;"      "&amp;"GST  "&amp;TEXT(SUBTOTAL(109,tbl_Finance[GST]),"$#,##0.00")&amp;"      "&amp;"Inc GST  "&amp;TEXT(SUBTOTAL(109,tbl_Finance[Inc GST]),"$#,##0.00")</f>
        <v/>
      </c>
    </row>
    <row r="4" ht="34" customHeight="1">
      <c r="A4" s="20" t="inlineStr">
        <is>
          <t>Date</t>
        </is>
      </c>
      <c r="B4" s="21" t="inlineStr">
        <is>
          <t>Month</t>
        </is>
      </c>
      <c r="C4" s="20" t="inlineStr">
        <is>
          <t>Xero Invoice No</t>
        </is>
      </c>
      <c r="D4" s="20" t="inlineStr">
        <is>
          <t>Client</t>
        </is>
      </c>
      <c r="E4" s="20" t="inlineStr">
        <is>
          <t>Job Number</t>
        </is>
      </c>
      <c r="F4" s="21" t="inlineStr">
        <is>
          <t>Job in Xero?</t>
        </is>
      </c>
      <c r="G4" s="20" t="inlineStr">
        <is>
          <t>Description</t>
        </is>
      </c>
      <c r="H4" s="20" t="inlineStr">
        <is>
          <t>Team</t>
        </is>
      </c>
      <c r="I4" s="20" t="inlineStr">
        <is>
          <t>Cost Centre</t>
        </is>
      </c>
      <c r="J4" s="20" t="inlineStr">
        <is>
          <t>Invoice Type</t>
        </is>
      </c>
      <c r="K4" s="20" t="inlineStr">
        <is>
          <t>Tax Code</t>
        </is>
      </c>
      <c r="L4" s="20" t="inlineStr">
        <is>
          <t>Ex GST</t>
        </is>
      </c>
      <c r="M4" s="21" t="inlineStr">
        <is>
          <t>GST</t>
        </is>
      </c>
      <c r="N4" s="21" t="inlineStr">
        <is>
          <t>Inc GST</t>
        </is>
      </c>
      <c r="O4" s="20" t="inlineStr">
        <is>
          <t>Revenue GL</t>
        </is>
      </c>
      <c r="P4" s="20" t="inlineStr">
        <is>
          <t>Posted to Xero</t>
        </is>
      </c>
      <c r="Q4" s="20" t="inlineStr">
        <is>
          <t>To WIP</t>
        </is>
      </c>
      <c r="R4" s="20" t="inlineStr">
        <is>
          <t>Defer Start</t>
        </is>
      </c>
      <c r="S4" s="20" t="inlineStr">
        <is>
          <t>Defer End</t>
        </is>
      </c>
      <c r="T4" s="20" t="inlineStr">
        <is>
          <t>Status</t>
        </is>
      </c>
      <c r="U4" s="20" t="inlineStr">
        <is>
          <t>Notes</t>
        </is>
      </c>
      <c r="V4" s="21" t="inlineStr">
        <is>
          <t>Issue</t>
        </is>
      </c>
      <c r="W4" s="21" t="inlineStr">
        <is>
          <t>Job Name (Xero)</t>
        </is>
      </c>
      <c r="X4" s="21" t="inlineStr">
        <is>
          <t>Lines on this Job</t>
        </is>
      </c>
      <c r="Y4" s="21" t="inlineStr">
        <is>
          <t>Job Total Ex GST</t>
        </is>
      </c>
      <c r="Z4" s="21" t="inlineStr">
        <is>
          <t>Job Invoiced</t>
        </is>
      </c>
      <c r="AA4" s="21" t="inlineStr">
        <is>
          <t>Job To Invoice</t>
        </is>
      </c>
      <c r="AB4" s="21" t="inlineStr">
        <is>
          <t>Job Quote / Ref</t>
        </is>
      </c>
      <c r="AC4" s="21" t="inlineStr">
        <is>
          <t>Open Quote</t>
        </is>
      </c>
      <c r="AD4" s="21" t="inlineStr">
        <is>
          <t>Job Expense</t>
        </is>
      </c>
      <c r="AE4" s="21" t="inlineStr">
        <is>
          <t>Job Margin</t>
        </is>
      </c>
      <c r="AF4" s="21" t="inlineStr">
        <is>
          <t>Job Margin %</t>
        </is>
      </c>
      <c r="AG4" s="21" t="inlineStr">
        <is>
          <t>Dept Notes</t>
        </is>
      </c>
    </row>
    <row r="5" ht="15" customHeight="1">
      <c r="A5" s="22" t="n">
        <v>46234</v>
      </c>
      <c r="B5" s="23">
        <f>IF(A5="","",EOMONTH(A5,0))</f>
        <v/>
      </c>
      <c r="C5" s="24" t="inlineStr">
        <is>
          <t>INV-10525</t>
        </is>
      </c>
      <c r="D5" s="24" t="inlineStr">
        <is>
          <t>CBA</t>
        </is>
      </c>
      <c r="E5" s="24" t="inlineStr">
        <is>
          <t>1350</t>
        </is>
      </c>
      <c r="F5" s="25">
        <f>IF(E5="","",IF(COUNTIF(lst_Jobs,E5&amp;"")&gt;0,"OK","CHECK"))</f>
        <v/>
      </c>
      <c r="G5" s="24" t="inlineStr">
        <is>
          <t>CBA BNE July 2026</t>
        </is>
      </c>
      <c r="H5" s="24" t="inlineStr">
        <is>
          <t>Onsite</t>
        </is>
      </c>
      <c r="I5" s="24" t="inlineStr">
        <is>
          <t>ONSITE</t>
        </is>
      </c>
      <c r="J5" s="24" t="inlineStr">
        <is>
          <t>Contract</t>
        </is>
      </c>
      <c r="K5" s="24" t="inlineStr">
        <is>
          <t>GST 10%</t>
        </is>
      </c>
      <c r="L5" s="26" t="n">
        <v>8588.450000000001</v>
      </c>
      <c r="M5" s="27">
        <f>IF(L5="","",IF(K5="GST 10%",ROUND(L5*set_GSTRate,2),0))</f>
        <v/>
      </c>
      <c r="N5" s="27">
        <f>IF(L5="","",L5+M5)</f>
        <v/>
      </c>
      <c r="O5" s="24" t="inlineStr">
        <is>
          <t>41100</t>
        </is>
      </c>
      <c r="P5" s="24" t="inlineStr">
        <is>
          <t>Y</t>
        </is>
      </c>
      <c r="Q5" s="24" t="inlineStr">
        <is>
          <t>N</t>
        </is>
      </c>
      <c r="R5" s="22" t="n"/>
      <c r="S5" s="22" t="n"/>
      <c r="T5" s="24" t="inlineStr">
        <is>
          <t>Invoiced</t>
        </is>
      </c>
      <c r="U5" s="24" t="inlineStr">
        <is>
          <t>174.05 hours</t>
        </is>
      </c>
      <c r="V5" s="25">
        <f>IF(COUNTA(A5,D5,C5,L5)=0,"",IF(A5="","No date - sits outside every month",IF(E5="","No job number",IF(F5="CHECK","Job number is not in the Xero job list",IF(I5="","No cost centre",IF(AND(P5="Y",C5=""),"Marked posted to Xero but has no invoice number",IF(AND(L5&lt;&gt;"",K5=""),"No tax code",IF(AND(L5&lt;&gt;"",O5=""),"No revenue GL code",""))))))))</f>
        <v/>
      </c>
      <c r="W5" s="25">
        <f>IF(E5="","",IFERROR(INDEX(lst_JobName,MATCH(E5&amp;"",lst_Jobs,0)),""))</f>
        <v/>
      </c>
      <c r="X5" s="28">
        <f>IF(E5="","",COUNTIFS(tbl_Finance[Job Number],E5&amp;"",tbl_Finance[Ex GST],"&lt;&gt;"))</f>
        <v/>
      </c>
      <c r="Y5" s="27">
        <f>IF(E5="","",SUMIFS(tbl_Finance[Ex GST],tbl_Finance[Job Number],E5&amp;""))</f>
        <v/>
      </c>
      <c r="Z5" s="27">
        <f>IF(E5="","",SUMIFS(tbl_Finance[Ex GST],tbl_Finance[Job Number],E5&amp;"",tbl_Finance[Xero Invoice No],"&lt;&gt;"))</f>
        <v/>
      </c>
      <c r="AA5" s="27">
        <f>IF(E5="","",Y5-Z5)</f>
        <v/>
      </c>
      <c r="AB5" s="25">
        <f>IF(E5="","",IF(H5="Onsite",IFERROR(INDEX(tbl_Onsite[Qwilr Quote],MATCH(E5&amp;"",tbl_Onsite[Job Number],0)),""),IF(H5="Production",IFERROR(IF(INDEX(tbl_Production[Current RMS No],MATCH(E5&amp;"",tbl_Production[Job Number],0))="",INDEX(tbl_Production[Qwilr Quote],MATCH(E5&amp;"",tbl_Production[Job Number],0)),INDEX(tbl_Production[Current RMS No],MATCH(E5&amp;"",tbl_Production[Job Number],0))),""),IF(H5="Consulting",IFERROR(INDEX(tbl_Consulting[Qwilr Quote],MATCH(E5&amp;"",tbl_Consulting[Job Number],0)),""),""))))</f>
        <v/>
      </c>
      <c r="AC5" s="25">
        <f>IF(AB5="","",IF(AND(LEFT(AB5,4)&lt;&gt;"http",IF(H5="Production",set_RMSBase,set_QwilrBase)=""),"",HYPERLINK(IF(LEFT(AB5,4)="http",AB5,IF(H5="Production",set_RMSBase,set_QwilrBase)&amp;AB5),"Open")))</f>
        <v/>
      </c>
      <c r="AD5" s="27">
        <f>IF(E5="","",IF(H5="Production",IFERROR(INDEX(tbl_Production[Total Expense],MATCH(E5&amp;"",tbl_Production[Job Number],0)),0),IF(H5="Consulting",IFERROR(INDEX(tbl_Consulting[Total Expense],MATCH(E5&amp;"",tbl_Consulting[Job Number],0)),0),0)))</f>
        <v/>
      </c>
      <c r="AE5" s="27">
        <f>IF(E5="","",Y5-N(AD5))</f>
        <v/>
      </c>
      <c r="AF5" s="29">
        <f>IFERROR(AE5/Y5,"")</f>
        <v/>
      </c>
      <c r="AG5" s="25">
        <f>IF(E5="","",IF(H5="Onsite",IFERROR(INDEX(tbl_Onsite[Notes],MATCH(E5&amp;"",tbl_Onsite[Job Number],0)),""),IF(H5="Production",IFERROR(INDEX(tbl_Production[Notes],MATCH(E5&amp;"",tbl_Production[Job Number],0)),""),IF(H5="Consulting",IFERROR(INDEX(tbl_Consulting[Notes],MATCH(E5&amp;"",tbl_Consulting[Job Number],0)),""),""))))</f>
        <v/>
      </c>
    </row>
    <row r="6" ht="15" customHeight="1">
      <c r="A6" s="22" t="n">
        <v>46234</v>
      </c>
      <c r="B6" s="23">
        <f>IF(A6="","",EOMONTH(A6,0))</f>
        <v/>
      </c>
      <c r="C6" s="24" t="inlineStr">
        <is>
          <t>INV-10526</t>
        </is>
      </c>
      <c r="D6" s="24" t="inlineStr">
        <is>
          <t>CBA</t>
        </is>
      </c>
      <c r="E6" s="24" t="inlineStr">
        <is>
          <t>585/586/1755</t>
        </is>
      </c>
      <c r="F6" s="25">
        <f>IF(E6="","",IF(COUNTIF(lst_Jobs,E6&amp;"")&gt;0,"OK","CHECK"))</f>
        <v/>
      </c>
      <c r="G6" s="24" t="inlineStr">
        <is>
          <t>CBP July 2026</t>
        </is>
      </c>
      <c r="H6" s="24" t="inlineStr">
        <is>
          <t>Onsite</t>
        </is>
      </c>
      <c r="I6" s="24" t="inlineStr">
        <is>
          <t>ONSITE</t>
        </is>
      </c>
      <c r="J6" s="24" t="inlineStr">
        <is>
          <t>Contract</t>
        </is>
      </c>
      <c r="K6" s="24" t="inlineStr">
        <is>
          <t>GST 10%</t>
        </is>
      </c>
      <c r="L6" s="26" t="n">
        <v>22120.57</v>
      </c>
      <c r="M6" s="27">
        <f>IF(L6="","",IF(K6="GST 10%",ROUND(L6*set_GSTRate,2),0))</f>
        <v/>
      </c>
      <c r="N6" s="27">
        <f>IF(L6="","",L6+M6)</f>
        <v/>
      </c>
      <c r="O6" s="24" t="inlineStr">
        <is>
          <t>41100</t>
        </is>
      </c>
      <c r="P6" s="24" t="inlineStr">
        <is>
          <t>Y</t>
        </is>
      </c>
      <c r="Q6" s="24" t="inlineStr">
        <is>
          <t>N</t>
        </is>
      </c>
      <c r="R6" s="22" t="n"/>
      <c r="S6" s="22" t="n"/>
      <c r="T6" s="24" t="inlineStr">
        <is>
          <t>Invoiced</t>
        </is>
      </c>
      <c r="U6" s="24" t="inlineStr">
        <is>
          <t>Deduct 3hrs for TN 01/07 &amp; 6hrs for NP 14/07</t>
        </is>
      </c>
      <c r="V6" s="25">
        <f>IF(COUNTA(A6,D6,C6,L6)=0,"",IF(A6="","No date - sits outside every month",IF(E6="","No job number",IF(F6="CHECK","Job number is not in the Xero job list",IF(I6="","No cost centre",IF(AND(P6="Y",C6=""),"Marked posted to Xero but has no invoice number",IF(AND(L6&lt;&gt;"",K6=""),"No tax code",IF(AND(L6&lt;&gt;"",O6=""),"No revenue GL code",""))))))))</f>
        <v/>
      </c>
      <c r="W6" s="25">
        <f>IF(E6="","",IFERROR(INDEX(lst_JobName,MATCH(E6&amp;"",lst_Jobs,0)),""))</f>
        <v/>
      </c>
      <c r="X6" s="28">
        <f>IF(E6="","",COUNTIFS(tbl_Finance[Job Number],E6&amp;"",tbl_Finance[Ex GST],"&lt;&gt;"))</f>
        <v/>
      </c>
      <c r="Y6" s="27">
        <f>IF(E6="","",SUMIFS(tbl_Finance[Ex GST],tbl_Finance[Job Number],E6&amp;""))</f>
        <v/>
      </c>
      <c r="Z6" s="27">
        <f>IF(E6="","",SUMIFS(tbl_Finance[Ex GST],tbl_Finance[Job Number],E6&amp;"",tbl_Finance[Xero Invoice No],"&lt;&gt;"))</f>
        <v/>
      </c>
      <c r="AA6" s="27">
        <f>IF(E6="","",Y6-Z6)</f>
        <v/>
      </c>
      <c r="AB6" s="25">
        <f>IF(E6="","",IF(H6="Onsite",IFERROR(INDEX(tbl_Onsite[Qwilr Quote],MATCH(E6&amp;"",tbl_Onsite[Job Number],0)),""),IF(H6="Production",IFERROR(IF(INDEX(tbl_Production[Current RMS No],MATCH(E6&amp;"",tbl_Production[Job Number],0))="",INDEX(tbl_Production[Qwilr Quote],MATCH(E6&amp;"",tbl_Production[Job Number],0)),INDEX(tbl_Production[Current RMS No],MATCH(E6&amp;"",tbl_Production[Job Number],0))),""),IF(H6="Consulting",IFERROR(INDEX(tbl_Consulting[Qwilr Quote],MATCH(E6&amp;"",tbl_Consulting[Job Number],0)),""),""))))</f>
        <v/>
      </c>
      <c r="AC6" s="25">
        <f>IF(AB6="","",IF(AND(LEFT(AB6,4)&lt;&gt;"http",IF(H6="Production",set_RMSBase,set_QwilrBase)=""),"",HYPERLINK(IF(LEFT(AB6,4)="http",AB6,IF(H6="Production",set_RMSBase,set_QwilrBase)&amp;AB6),"Open")))</f>
        <v/>
      </c>
      <c r="AD6" s="27">
        <f>IF(E6="","",IF(H6="Production",IFERROR(INDEX(tbl_Production[Total Expense],MATCH(E6&amp;"",tbl_Production[Job Number],0)),0),IF(H6="Consulting",IFERROR(INDEX(tbl_Consulting[Total Expense],MATCH(E6&amp;"",tbl_Consulting[Job Number],0)),0),0)))</f>
        <v/>
      </c>
      <c r="AE6" s="27">
        <f>IF(E6="","",Y6-N(AD6))</f>
        <v/>
      </c>
      <c r="AF6" s="29">
        <f>IFERROR(AE6/Y6,"")</f>
        <v/>
      </c>
      <c r="AG6" s="25">
        <f>IF(E6="","",IF(H6="Onsite",IFERROR(INDEX(tbl_Onsite[Notes],MATCH(E6&amp;"",tbl_Onsite[Job Number],0)),""),IF(H6="Production",IFERROR(INDEX(tbl_Production[Notes],MATCH(E6&amp;"",tbl_Production[Job Number],0)),""),IF(H6="Consulting",IFERROR(INDEX(tbl_Consulting[Notes],MATCH(E6&amp;"",tbl_Consulting[Job Number],0)),""),""))))</f>
        <v/>
      </c>
    </row>
    <row r="7" ht="15" customHeight="1">
      <c r="A7" s="22" t="n">
        <v>46234</v>
      </c>
      <c r="B7" s="23">
        <f>IF(A7="","",EOMONTH(A7,0))</f>
        <v/>
      </c>
      <c r="C7" s="24" t="inlineStr">
        <is>
          <t>INV-10527</t>
        </is>
      </c>
      <c r="D7" s="24" t="inlineStr">
        <is>
          <t>CBA</t>
        </is>
      </c>
      <c r="E7" s="24" t="inlineStr">
        <is>
          <t>587</t>
        </is>
      </c>
      <c r="F7" s="25">
        <f>IF(E7="","",IF(COUNTIF(lst_Jobs,E7&amp;"")&gt;0,"OK","CHECK"))</f>
        <v/>
      </c>
      <c r="G7" s="24" t="inlineStr">
        <is>
          <t>CBS July 2026</t>
        </is>
      </c>
      <c r="H7" s="24" t="inlineStr">
        <is>
          <t>Onsite</t>
        </is>
      </c>
      <c r="I7" s="24" t="inlineStr">
        <is>
          <t>ONSITE</t>
        </is>
      </c>
      <c r="J7" s="24" t="inlineStr">
        <is>
          <t>Contract</t>
        </is>
      </c>
      <c r="K7" s="24" t="inlineStr">
        <is>
          <t>GST 10%</t>
        </is>
      </c>
      <c r="L7" s="26" t="n">
        <v>10720</v>
      </c>
      <c r="M7" s="27">
        <f>IF(L7="","",IF(K7="GST 10%",ROUND(L7*set_GSTRate,2),0))</f>
        <v/>
      </c>
      <c r="N7" s="27">
        <f>IF(L7="","",L7+M7)</f>
        <v/>
      </c>
      <c r="O7" s="24" t="inlineStr">
        <is>
          <t>41100</t>
        </is>
      </c>
      <c r="P7" s="24" t="inlineStr">
        <is>
          <t>Y</t>
        </is>
      </c>
      <c r="Q7" s="24" t="inlineStr">
        <is>
          <t>N</t>
        </is>
      </c>
      <c r="R7" s="22" t="n"/>
      <c r="S7" s="22" t="n"/>
      <c r="T7" s="24" t="inlineStr">
        <is>
          <t>Invoiced</t>
        </is>
      </c>
      <c r="U7" s="24" t="n"/>
      <c r="V7" s="25">
        <f>IF(COUNTA(A7,D7,C7,L7)=0,"",IF(A7="","No date - sits outside every month",IF(E7="","No job number",IF(F7="CHECK","Job number is not in the Xero job list",IF(I7="","No cost centre",IF(AND(P7="Y",C7=""),"Marked posted to Xero but has no invoice number",IF(AND(L7&lt;&gt;"",K7=""),"No tax code",IF(AND(L7&lt;&gt;"",O7=""),"No revenue GL code",""))))))))</f>
        <v/>
      </c>
      <c r="W7" s="25">
        <f>IF(E7="","",IFERROR(INDEX(lst_JobName,MATCH(E7&amp;"",lst_Jobs,0)),""))</f>
        <v/>
      </c>
      <c r="X7" s="28">
        <f>IF(E7="","",COUNTIFS(tbl_Finance[Job Number],E7&amp;"",tbl_Finance[Ex GST],"&lt;&gt;"))</f>
        <v/>
      </c>
      <c r="Y7" s="27">
        <f>IF(E7="","",SUMIFS(tbl_Finance[Ex GST],tbl_Finance[Job Number],E7&amp;""))</f>
        <v/>
      </c>
      <c r="Z7" s="27">
        <f>IF(E7="","",SUMIFS(tbl_Finance[Ex GST],tbl_Finance[Job Number],E7&amp;"",tbl_Finance[Xero Invoice No],"&lt;&gt;"))</f>
        <v/>
      </c>
      <c r="AA7" s="27">
        <f>IF(E7="","",Y7-Z7)</f>
        <v/>
      </c>
      <c r="AB7" s="25">
        <f>IF(E7="","",IF(H7="Onsite",IFERROR(INDEX(tbl_Onsite[Qwilr Quote],MATCH(E7&amp;"",tbl_Onsite[Job Number],0)),""),IF(H7="Production",IFERROR(IF(INDEX(tbl_Production[Current RMS No],MATCH(E7&amp;"",tbl_Production[Job Number],0))="",INDEX(tbl_Production[Qwilr Quote],MATCH(E7&amp;"",tbl_Production[Job Number],0)),INDEX(tbl_Production[Current RMS No],MATCH(E7&amp;"",tbl_Production[Job Number],0))),""),IF(H7="Consulting",IFERROR(INDEX(tbl_Consulting[Qwilr Quote],MATCH(E7&amp;"",tbl_Consulting[Job Number],0)),""),""))))</f>
        <v/>
      </c>
      <c r="AC7" s="25">
        <f>IF(AB7="","",IF(AND(LEFT(AB7,4)&lt;&gt;"http",IF(H7="Production",set_RMSBase,set_QwilrBase)=""),"",HYPERLINK(IF(LEFT(AB7,4)="http",AB7,IF(H7="Production",set_RMSBase,set_QwilrBase)&amp;AB7),"Open")))</f>
        <v/>
      </c>
      <c r="AD7" s="27">
        <f>IF(E7="","",IF(H7="Production",IFERROR(INDEX(tbl_Production[Total Expense],MATCH(E7&amp;"",tbl_Production[Job Number],0)),0),IF(H7="Consulting",IFERROR(INDEX(tbl_Consulting[Total Expense],MATCH(E7&amp;"",tbl_Consulting[Job Number],0)),0),0)))</f>
        <v/>
      </c>
      <c r="AE7" s="27">
        <f>IF(E7="","",Y7-N(AD7))</f>
        <v/>
      </c>
      <c r="AF7" s="29">
        <f>IFERROR(AE7/Y7,"")</f>
        <v/>
      </c>
      <c r="AG7" s="25">
        <f>IF(E7="","",IF(H7="Onsite",IFERROR(INDEX(tbl_Onsite[Notes],MATCH(E7&amp;"",tbl_Onsite[Job Number],0)),""),IF(H7="Production",IFERROR(INDEX(tbl_Production[Notes],MATCH(E7&amp;"",tbl_Production[Job Number],0)),""),IF(H7="Consulting",IFERROR(INDEX(tbl_Consulting[Notes],MATCH(E7&amp;"",tbl_Consulting[Job Number],0)),""),""))))</f>
        <v/>
      </c>
    </row>
    <row r="8" ht="15" customHeight="1">
      <c r="A8" s="22" t="n">
        <v>46234</v>
      </c>
      <c r="B8" s="23">
        <f>IF(A8="","",EOMONTH(A8,0))</f>
        <v/>
      </c>
      <c r="C8" s="24" t="inlineStr">
        <is>
          <t>INV-10528</t>
        </is>
      </c>
      <c r="D8" s="24" t="inlineStr">
        <is>
          <t>DTTL</t>
        </is>
      </c>
      <c r="E8" s="24" t="inlineStr">
        <is>
          <t>2846/1401/725/1400/1530/1862/2402/2849/974</t>
        </is>
      </c>
      <c r="F8" s="25">
        <f>IF(E8="","",IF(COUNTIF(lst_Jobs,E8&amp;"")&gt;0,"OK","CHECK"))</f>
        <v/>
      </c>
      <c r="G8" s="24" t="inlineStr">
        <is>
          <t>DTTL Contract July 2026</t>
        </is>
      </c>
      <c r="H8" s="24" t="inlineStr">
        <is>
          <t>Onsite</t>
        </is>
      </c>
      <c r="I8" s="24" t="inlineStr">
        <is>
          <t>ONSITE</t>
        </is>
      </c>
      <c r="J8" s="24" t="inlineStr">
        <is>
          <t>Contract</t>
        </is>
      </c>
      <c r="K8" s="24" t="inlineStr">
        <is>
          <t>GST 10%</t>
        </is>
      </c>
      <c r="L8" s="26" t="n">
        <v>103625.44</v>
      </c>
      <c r="M8" s="27">
        <f>IF(L8="","",IF(K8="GST 10%",ROUND(L8*set_GSTRate,2),0))</f>
        <v/>
      </c>
      <c r="N8" s="27">
        <f>IF(L8="","",L8+M8)</f>
        <v/>
      </c>
      <c r="O8" s="24" t="inlineStr">
        <is>
          <t>41100</t>
        </is>
      </c>
      <c r="P8" s="24" t="inlineStr">
        <is>
          <t>Y</t>
        </is>
      </c>
      <c r="Q8" s="24" t="inlineStr">
        <is>
          <t>N</t>
        </is>
      </c>
      <c r="R8" s="22" t="n"/>
      <c r="S8" s="22" t="n"/>
      <c r="T8" s="24" t="inlineStr">
        <is>
          <t>Invoiced</t>
        </is>
      </c>
      <c r="U8" s="24" t="n"/>
      <c r="V8" s="25">
        <f>IF(COUNTA(A8,D8,C8,L8)=0,"",IF(A8="","No date - sits outside every month",IF(E8="","No job number",IF(F8="CHECK","Job number is not in the Xero job list",IF(I8="","No cost centre",IF(AND(P8="Y",C8=""),"Marked posted to Xero but has no invoice number",IF(AND(L8&lt;&gt;"",K8=""),"No tax code",IF(AND(L8&lt;&gt;"",O8=""),"No revenue GL code",""))))))))</f>
        <v/>
      </c>
      <c r="W8" s="25">
        <f>IF(E8="","",IFERROR(INDEX(lst_JobName,MATCH(E8&amp;"",lst_Jobs,0)),""))</f>
        <v/>
      </c>
      <c r="X8" s="28">
        <f>IF(E8="","",COUNTIFS(tbl_Finance[Job Number],E8&amp;"",tbl_Finance[Ex GST],"&lt;&gt;"))</f>
        <v/>
      </c>
      <c r="Y8" s="27">
        <f>IF(E8="","",SUMIFS(tbl_Finance[Ex GST],tbl_Finance[Job Number],E8&amp;""))</f>
        <v/>
      </c>
      <c r="Z8" s="27">
        <f>IF(E8="","",SUMIFS(tbl_Finance[Ex GST],tbl_Finance[Job Number],E8&amp;"",tbl_Finance[Xero Invoice No],"&lt;&gt;"))</f>
        <v/>
      </c>
      <c r="AA8" s="27">
        <f>IF(E8="","",Y8-Z8)</f>
        <v/>
      </c>
      <c r="AB8" s="25">
        <f>IF(E8="","",IF(H8="Onsite",IFERROR(INDEX(tbl_Onsite[Qwilr Quote],MATCH(E8&amp;"",tbl_Onsite[Job Number],0)),""),IF(H8="Production",IFERROR(IF(INDEX(tbl_Production[Current RMS No],MATCH(E8&amp;"",tbl_Production[Job Number],0))="",INDEX(tbl_Production[Qwilr Quote],MATCH(E8&amp;"",tbl_Production[Job Number],0)),INDEX(tbl_Production[Current RMS No],MATCH(E8&amp;"",tbl_Production[Job Number],0))),""),IF(H8="Consulting",IFERROR(INDEX(tbl_Consulting[Qwilr Quote],MATCH(E8&amp;"",tbl_Consulting[Job Number],0)),""),""))))</f>
        <v/>
      </c>
      <c r="AC8" s="25">
        <f>IF(AB8="","",IF(AND(LEFT(AB8,4)&lt;&gt;"http",IF(H8="Production",set_RMSBase,set_QwilrBase)=""),"",HYPERLINK(IF(LEFT(AB8,4)="http",AB8,IF(H8="Production",set_RMSBase,set_QwilrBase)&amp;AB8),"Open")))</f>
        <v/>
      </c>
      <c r="AD8" s="27">
        <f>IF(E8="","",IF(H8="Production",IFERROR(INDEX(tbl_Production[Total Expense],MATCH(E8&amp;"",tbl_Production[Job Number],0)),0),IF(H8="Consulting",IFERROR(INDEX(tbl_Consulting[Total Expense],MATCH(E8&amp;"",tbl_Consulting[Job Number],0)),0),0)))</f>
        <v/>
      </c>
      <c r="AE8" s="27">
        <f>IF(E8="","",Y8-N(AD8))</f>
        <v/>
      </c>
      <c r="AF8" s="29">
        <f>IFERROR(AE8/Y8,"")</f>
        <v/>
      </c>
      <c r="AG8" s="25">
        <f>IF(E8="","",IF(H8="Onsite",IFERROR(INDEX(tbl_Onsite[Notes],MATCH(E8&amp;"",tbl_Onsite[Job Number],0)),""),IF(H8="Production",IFERROR(INDEX(tbl_Production[Notes],MATCH(E8&amp;"",tbl_Production[Job Number],0)),""),IF(H8="Consulting",IFERROR(INDEX(tbl_Consulting[Notes],MATCH(E8&amp;"",tbl_Consulting[Job Number],0)),""),""))))</f>
        <v/>
      </c>
    </row>
    <row r="9" ht="15" customHeight="1">
      <c r="A9" s="22" t="n">
        <v>46234</v>
      </c>
      <c r="B9" s="23">
        <f>IF(A9="","",EOMONTH(A9,0))</f>
        <v/>
      </c>
      <c r="C9" s="24" t="inlineStr">
        <is>
          <t>INV-10529</t>
        </is>
      </c>
      <c r="D9" s="24" t="inlineStr">
        <is>
          <t>BW</t>
        </is>
      </c>
      <c r="E9" s="24" t="inlineStr">
        <is>
          <t>732/1144</t>
        </is>
      </c>
      <c r="F9" s="25">
        <f>IF(E9="","",IF(COUNTIF(lst_Jobs,E9&amp;"")&gt;0,"OK","CHECK"))</f>
        <v/>
      </c>
      <c r="G9" s="24" t="inlineStr">
        <is>
          <t>BW Contract July 2026</t>
        </is>
      </c>
      <c r="H9" s="24" t="inlineStr">
        <is>
          <t>Onsite</t>
        </is>
      </c>
      <c r="I9" s="24" t="inlineStr">
        <is>
          <t>ONSITE</t>
        </is>
      </c>
      <c r="J9" s="24" t="inlineStr">
        <is>
          <t>Contract</t>
        </is>
      </c>
      <c r="K9" s="24" t="inlineStr">
        <is>
          <t>GST 10%</t>
        </is>
      </c>
      <c r="L9" s="26" t="n">
        <v>19427.5</v>
      </c>
      <c r="M9" s="27">
        <f>IF(L9="","",IF(K9="GST 10%",ROUND(L9*set_GSTRate,2),0))</f>
        <v/>
      </c>
      <c r="N9" s="27">
        <f>IF(L9="","",L9+M9)</f>
        <v/>
      </c>
      <c r="O9" s="24" t="inlineStr">
        <is>
          <t>41100</t>
        </is>
      </c>
      <c r="P9" s="24" t="inlineStr">
        <is>
          <t>Y</t>
        </is>
      </c>
      <c r="Q9" s="24" t="inlineStr">
        <is>
          <t>N</t>
        </is>
      </c>
      <c r="R9" s="22" t="n"/>
      <c r="S9" s="22" t="n"/>
      <c r="T9" s="24" t="inlineStr">
        <is>
          <t>Invoiced</t>
        </is>
      </c>
      <c r="U9" s="24" t="n"/>
      <c r="V9" s="25">
        <f>IF(COUNTA(A9,D9,C9,L9)=0,"",IF(A9="","No date - sits outside every month",IF(E9="","No job number",IF(F9="CHECK","Job number is not in the Xero job list",IF(I9="","No cost centre",IF(AND(P9="Y",C9=""),"Marked posted to Xero but has no invoice number",IF(AND(L9&lt;&gt;"",K9=""),"No tax code",IF(AND(L9&lt;&gt;"",O9=""),"No revenue GL code",""))))))))</f>
        <v/>
      </c>
      <c r="W9" s="25">
        <f>IF(E9="","",IFERROR(INDEX(lst_JobName,MATCH(E9&amp;"",lst_Jobs,0)),""))</f>
        <v/>
      </c>
      <c r="X9" s="28">
        <f>IF(E9="","",COUNTIFS(tbl_Finance[Job Number],E9&amp;"",tbl_Finance[Ex GST],"&lt;&gt;"))</f>
        <v/>
      </c>
      <c r="Y9" s="27">
        <f>IF(E9="","",SUMIFS(tbl_Finance[Ex GST],tbl_Finance[Job Number],E9&amp;""))</f>
        <v/>
      </c>
      <c r="Z9" s="27">
        <f>IF(E9="","",SUMIFS(tbl_Finance[Ex GST],tbl_Finance[Job Number],E9&amp;"",tbl_Finance[Xero Invoice No],"&lt;&gt;"))</f>
        <v/>
      </c>
      <c r="AA9" s="27">
        <f>IF(E9="","",Y9-Z9)</f>
        <v/>
      </c>
      <c r="AB9" s="25">
        <f>IF(E9="","",IF(H9="Onsite",IFERROR(INDEX(tbl_Onsite[Qwilr Quote],MATCH(E9&amp;"",tbl_Onsite[Job Number],0)),""),IF(H9="Production",IFERROR(IF(INDEX(tbl_Production[Current RMS No],MATCH(E9&amp;"",tbl_Production[Job Number],0))="",INDEX(tbl_Production[Qwilr Quote],MATCH(E9&amp;"",tbl_Production[Job Number],0)),INDEX(tbl_Production[Current RMS No],MATCH(E9&amp;"",tbl_Production[Job Number],0))),""),IF(H9="Consulting",IFERROR(INDEX(tbl_Consulting[Qwilr Quote],MATCH(E9&amp;"",tbl_Consulting[Job Number],0)),""),""))))</f>
        <v/>
      </c>
      <c r="AC9" s="25">
        <f>IF(AB9="","",IF(AND(LEFT(AB9,4)&lt;&gt;"http",IF(H9="Production",set_RMSBase,set_QwilrBase)=""),"",HYPERLINK(IF(LEFT(AB9,4)="http",AB9,IF(H9="Production",set_RMSBase,set_QwilrBase)&amp;AB9),"Open")))</f>
        <v/>
      </c>
      <c r="AD9" s="27">
        <f>IF(E9="","",IF(H9="Production",IFERROR(INDEX(tbl_Production[Total Expense],MATCH(E9&amp;"",tbl_Production[Job Number],0)),0),IF(H9="Consulting",IFERROR(INDEX(tbl_Consulting[Total Expense],MATCH(E9&amp;"",tbl_Consulting[Job Number],0)),0),0)))</f>
        <v/>
      </c>
      <c r="AE9" s="27">
        <f>IF(E9="","",Y9-N(AD9))</f>
        <v/>
      </c>
      <c r="AF9" s="29">
        <f>IFERROR(AE9/Y9,"")</f>
        <v/>
      </c>
      <c r="AG9" s="25">
        <f>IF(E9="","",IF(H9="Onsite",IFERROR(INDEX(tbl_Onsite[Notes],MATCH(E9&amp;"",tbl_Onsite[Job Number],0)),""),IF(H9="Production",IFERROR(INDEX(tbl_Production[Notes],MATCH(E9&amp;"",tbl_Production[Job Number],0)),""),IF(H9="Consulting",IFERROR(INDEX(tbl_Consulting[Notes],MATCH(E9&amp;"",tbl_Consulting[Job Number],0)),""),""))))</f>
        <v/>
      </c>
    </row>
    <row r="10" ht="15" customHeight="1">
      <c r="A10" s="22" t="n">
        <v>46234</v>
      </c>
      <c r="B10" s="23">
        <f>IF(A10="","",EOMONTH(A10,0))</f>
        <v/>
      </c>
      <c r="C10" s="24" t="inlineStr">
        <is>
          <t>INV-10530</t>
        </is>
      </c>
      <c r="D10" s="24" t="inlineStr">
        <is>
          <t>BW</t>
        </is>
      </c>
      <c r="E10" s="24" t="inlineStr">
        <is>
          <t>2192</t>
        </is>
      </c>
      <c r="F10" s="25">
        <f>IF(E10="","",IF(COUNTIF(lst_Jobs,E10&amp;"")&gt;0,"OK","CHECK"))</f>
        <v/>
      </c>
      <c r="G10" s="24" t="inlineStr">
        <is>
          <t>BW Additionals July 2026</t>
        </is>
      </c>
      <c r="H10" s="24" t="inlineStr">
        <is>
          <t>Onsite</t>
        </is>
      </c>
      <c r="I10" s="24" t="inlineStr">
        <is>
          <t>ONSITE</t>
        </is>
      </c>
      <c r="J10" s="24" t="inlineStr">
        <is>
          <t>Contract</t>
        </is>
      </c>
      <c r="K10" s="24" t="inlineStr">
        <is>
          <t>GST 10%</t>
        </is>
      </c>
      <c r="L10" s="26" t="n">
        <v>1120</v>
      </c>
      <c r="M10" s="27">
        <f>IF(L10="","",IF(K10="GST 10%",ROUND(L10*set_GSTRate,2),0))</f>
        <v/>
      </c>
      <c r="N10" s="27">
        <f>IF(L10="","",L10+M10)</f>
        <v/>
      </c>
      <c r="O10" s="24" t="inlineStr">
        <is>
          <t>41100</t>
        </is>
      </c>
      <c r="P10" s="24" t="inlineStr">
        <is>
          <t>Y</t>
        </is>
      </c>
      <c r="Q10" s="24" t="inlineStr">
        <is>
          <t>N</t>
        </is>
      </c>
      <c r="R10" s="22" t="n"/>
      <c r="S10" s="22" t="n"/>
      <c r="T10" s="24" t="inlineStr">
        <is>
          <t>Invoiced</t>
        </is>
      </c>
      <c r="U10" s="24" t="n"/>
      <c r="V10" s="25">
        <f>IF(COUNTA(A10,D10,C10,L10)=0,"",IF(A10="","No date - sits outside every month",IF(E10="","No job number",IF(F10="CHECK","Job number is not in the Xero job list",IF(I10="","No cost centre",IF(AND(P10="Y",C10=""),"Marked posted to Xero but has no invoice number",IF(AND(L10&lt;&gt;"",K10=""),"No tax code",IF(AND(L10&lt;&gt;"",O10=""),"No revenue GL code",""))))))))</f>
        <v/>
      </c>
      <c r="W10" s="25">
        <f>IF(E10="","",IFERROR(INDEX(lst_JobName,MATCH(E10&amp;"",lst_Jobs,0)),""))</f>
        <v/>
      </c>
      <c r="X10" s="28">
        <f>IF(E10="","",COUNTIFS(tbl_Finance[Job Number],E10&amp;"",tbl_Finance[Ex GST],"&lt;&gt;"))</f>
        <v/>
      </c>
      <c r="Y10" s="27">
        <f>IF(E10="","",SUMIFS(tbl_Finance[Ex GST],tbl_Finance[Job Number],E10&amp;""))</f>
        <v/>
      </c>
      <c r="Z10" s="27">
        <f>IF(E10="","",SUMIFS(tbl_Finance[Ex GST],tbl_Finance[Job Number],E10&amp;"",tbl_Finance[Xero Invoice No],"&lt;&gt;"))</f>
        <v/>
      </c>
      <c r="AA10" s="27">
        <f>IF(E10="","",Y10-Z10)</f>
        <v/>
      </c>
      <c r="AB10" s="25">
        <f>IF(E10="","",IF(H10="Onsite",IFERROR(INDEX(tbl_Onsite[Qwilr Quote],MATCH(E10&amp;"",tbl_Onsite[Job Number],0)),""),IF(H10="Production",IFERROR(IF(INDEX(tbl_Production[Current RMS No],MATCH(E10&amp;"",tbl_Production[Job Number],0))="",INDEX(tbl_Production[Qwilr Quote],MATCH(E10&amp;"",tbl_Production[Job Number],0)),INDEX(tbl_Production[Current RMS No],MATCH(E10&amp;"",tbl_Production[Job Number],0))),""),IF(H10="Consulting",IFERROR(INDEX(tbl_Consulting[Qwilr Quote],MATCH(E10&amp;"",tbl_Consulting[Job Number],0)),""),""))))</f>
        <v/>
      </c>
      <c r="AC10" s="25">
        <f>IF(AB10="","",IF(AND(LEFT(AB10,4)&lt;&gt;"http",IF(H10="Production",set_RMSBase,set_QwilrBase)=""),"",HYPERLINK(IF(LEFT(AB10,4)="http",AB10,IF(H10="Production",set_RMSBase,set_QwilrBase)&amp;AB10),"Open")))</f>
        <v/>
      </c>
      <c r="AD10" s="27">
        <f>IF(E10="","",IF(H10="Production",IFERROR(INDEX(tbl_Production[Total Expense],MATCH(E10&amp;"",tbl_Production[Job Number],0)),0),IF(H10="Consulting",IFERROR(INDEX(tbl_Consulting[Total Expense],MATCH(E10&amp;"",tbl_Consulting[Job Number],0)),0),0)))</f>
        <v/>
      </c>
      <c r="AE10" s="27">
        <f>IF(E10="","",Y10-N(AD10))</f>
        <v/>
      </c>
      <c r="AF10" s="29">
        <f>IFERROR(AE10/Y10,"")</f>
        <v/>
      </c>
      <c r="AG10" s="25">
        <f>IF(E10="","",IF(H10="Onsite",IFERROR(INDEX(tbl_Onsite[Notes],MATCH(E10&amp;"",tbl_Onsite[Job Number],0)),""),IF(H10="Production",IFERROR(INDEX(tbl_Production[Notes],MATCH(E10&amp;"",tbl_Production[Job Number],0)),""),IF(H10="Consulting",IFERROR(INDEX(tbl_Consulting[Notes],MATCH(E10&amp;"",tbl_Consulting[Job Number],0)),""),""))))</f>
        <v/>
      </c>
    </row>
    <row r="11" ht="15" customHeight="1">
      <c r="A11" s="22" t="n">
        <v>46234</v>
      </c>
      <c r="B11" s="23">
        <f>IF(A11="","",EOMONTH(A11,0))</f>
        <v/>
      </c>
      <c r="C11" s="24" t="inlineStr">
        <is>
          <t>INV-10531</t>
        </is>
      </c>
      <c r="D11" s="24" t="inlineStr">
        <is>
          <t>PWC</t>
        </is>
      </c>
      <c r="E11" s="24" t="inlineStr">
        <is>
          <t>2488</t>
        </is>
      </c>
      <c r="F11" s="25">
        <f>IF(E11="","",IF(COUNTIF(lst_Jobs,E11&amp;"")&gt;0,"OK","CHECK"))</f>
        <v/>
      </c>
      <c r="G11" s="24" t="inlineStr">
        <is>
          <t>PWC Brisbane July 2026</t>
        </is>
      </c>
      <c r="H11" s="24" t="inlineStr">
        <is>
          <t>Onsite</t>
        </is>
      </c>
      <c r="I11" s="24" t="inlineStr">
        <is>
          <t>ONSITE</t>
        </is>
      </c>
      <c r="J11" s="24" t="inlineStr">
        <is>
          <t>Contract</t>
        </is>
      </c>
      <c r="K11" s="24" t="inlineStr">
        <is>
          <t>GST 10%</t>
        </is>
      </c>
      <c r="L11" s="26" t="n">
        <v>7150</v>
      </c>
      <c r="M11" s="27">
        <f>IF(L11="","",IF(K11="GST 10%",ROUND(L11*set_GSTRate,2),0))</f>
        <v/>
      </c>
      <c r="N11" s="27">
        <f>IF(L11="","",L11+M11)</f>
        <v/>
      </c>
      <c r="O11" s="24" t="inlineStr">
        <is>
          <t>41100</t>
        </is>
      </c>
      <c r="P11" s="24" t="inlineStr">
        <is>
          <t>Y</t>
        </is>
      </c>
      <c r="Q11" s="24" t="inlineStr">
        <is>
          <t>N</t>
        </is>
      </c>
      <c r="R11" s="22" t="n"/>
      <c r="S11" s="22" t="n"/>
      <c r="T11" s="24" t="inlineStr">
        <is>
          <t>Invoiced</t>
        </is>
      </c>
      <c r="U11" s="24" t="n"/>
      <c r="V11" s="25">
        <f>IF(COUNTA(A11,D11,C11,L11)=0,"",IF(A11="","No date - sits outside every month",IF(E11="","No job number",IF(F11="CHECK","Job number is not in the Xero job list",IF(I11="","No cost centre",IF(AND(P11="Y",C11=""),"Marked posted to Xero but has no invoice number",IF(AND(L11&lt;&gt;"",K11=""),"No tax code",IF(AND(L11&lt;&gt;"",O11=""),"No revenue GL code",""))))))))</f>
        <v/>
      </c>
      <c r="W11" s="25">
        <f>IF(E11="","",IFERROR(INDEX(lst_JobName,MATCH(E11&amp;"",lst_Jobs,0)),""))</f>
        <v/>
      </c>
      <c r="X11" s="28">
        <f>IF(E11="","",COUNTIFS(tbl_Finance[Job Number],E11&amp;"",tbl_Finance[Ex GST],"&lt;&gt;"))</f>
        <v/>
      </c>
      <c r="Y11" s="27">
        <f>IF(E11="","",SUMIFS(tbl_Finance[Ex GST],tbl_Finance[Job Number],E11&amp;""))</f>
        <v/>
      </c>
      <c r="Z11" s="27">
        <f>IF(E11="","",SUMIFS(tbl_Finance[Ex GST],tbl_Finance[Job Number],E11&amp;"",tbl_Finance[Xero Invoice No],"&lt;&gt;"))</f>
        <v/>
      </c>
      <c r="AA11" s="27">
        <f>IF(E11="","",Y11-Z11)</f>
        <v/>
      </c>
      <c r="AB11" s="25">
        <f>IF(E11="","",IF(H11="Onsite",IFERROR(INDEX(tbl_Onsite[Qwilr Quote],MATCH(E11&amp;"",tbl_Onsite[Job Number],0)),""),IF(H11="Production",IFERROR(IF(INDEX(tbl_Production[Current RMS No],MATCH(E11&amp;"",tbl_Production[Job Number],0))="",INDEX(tbl_Production[Qwilr Quote],MATCH(E11&amp;"",tbl_Production[Job Number],0)),INDEX(tbl_Production[Current RMS No],MATCH(E11&amp;"",tbl_Production[Job Number],0))),""),IF(H11="Consulting",IFERROR(INDEX(tbl_Consulting[Qwilr Quote],MATCH(E11&amp;"",tbl_Consulting[Job Number],0)),""),""))))</f>
        <v/>
      </c>
      <c r="AC11" s="25">
        <f>IF(AB11="","",IF(AND(LEFT(AB11,4)&lt;&gt;"http",IF(H11="Production",set_RMSBase,set_QwilrBase)=""),"",HYPERLINK(IF(LEFT(AB11,4)="http",AB11,IF(H11="Production",set_RMSBase,set_QwilrBase)&amp;AB11),"Open")))</f>
        <v/>
      </c>
      <c r="AD11" s="27">
        <f>IF(E11="","",IF(H11="Production",IFERROR(INDEX(tbl_Production[Total Expense],MATCH(E11&amp;"",tbl_Production[Job Number],0)),0),IF(H11="Consulting",IFERROR(INDEX(tbl_Consulting[Total Expense],MATCH(E11&amp;"",tbl_Consulting[Job Number],0)),0),0)))</f>
        <v/>
      </c>
      <c r="AE11" s="27">
        <f>IF(E11="","",Y11-N(AD11))</f>
        <v/>
      </c>
      <c r="AF11" s="29">
        <f>IFERROR(AE11/Y11,"")</f>
        <v/>
      </c>
      <c r="AG11" s="25">
        <f>IF(E11="","",IF(H11="Onsite",IFERROR(INDEX(tbl_Onsite[Notes],MATCH(E11&amp;"",tbl_Onsite[Job Number],0)),""),IF(H11="Production",IFERROR(INDEX(tbl_Production[Notes],MATCH(E11&amp;"",tbl_Production[Job Number],0)),""),IF(H11="Consulting",IFERROR(INDEX(tbl_Consulting[Notes],MATCH(E11&amp;"",tbl_Consulting[Job Number],0)),""),""))))</f>
        <v/>
      </c>
    </row>
    <row r="12" ht="15" customHeight="1">
      <c r="A12" s="22" t="n">
        <v>46234</v>
      </c>
      <c r="B12" s="23">
        <f>IF(A12="","",EOMONTH(A12,0))</f>
        <v/>
      </c>
      <c r="C12" s="24" t="inlineStr">
        <is>
          <t>INV-10532</t>
        </is>
      </c>
      <c r="D12" s="24" t="inlineStr">
        <is>
          <t>Gen-E</t>
        </is>
      </c>
      <c r="E12" s="24" t="inlineStr">
        <is>
          <t>26021602</t>
        </is>
      </c>
      <c r="F12" s="25">
        <f>IF(E12="","",IF(COUNTIF(lst_Jobs,E12&amp;"")&gt;0,"OK","CHECK"))</f>
        <v/>
      </c>
      <c r="G12" s="24" t="inlineStr">
        <is>
          <t>Gen-E ABS July 2026</t>
        </is>
      </c>
      <c r="H12" s="24" t="inlineStr">
        <is>
          <t>Onsite</t>
        </is>
      </c>
      <c r="I12" s="24" t="inlineStr">
        <is>
          <t>ONSITE</t>
        </is>
      </c>
      <c r="J12" s="24" t="inlineStr">
        <is>
          <t>Contract</t>
        </is>
      </c>
      <c r="K12" s="24" t="inlineStr">
        <is>
          <t>GST 10%</t>
        </is>
      </c>
      <c r="L12" s="26" t="n">
        <v>12388.8</v>
      </c>
      <c r="M12" s="27">
        <f>IF(L12="","",IF(K12="GST 10%",ROUND(L12*set_GSTRate,2),0))</f>
        <v/>
      </c>
      <c r="N12" s="27">
        <f>IF(L12="","",L12+M12)</f>
        <v/>
      </c>
      <c r="O12" s="24" t="inlineStr">
        <is>
          <t>41100</t>
        </is>
      </c>
      <c r="P12" s="24" t="inlineStr">
        <is>
          <t>Y</t>
        </is>
      </c>
      <c r="Q12" s="24" t="inlineStr">
        <is>
          <t>N</t>
        </is>
      </c>
      <c r="R12" s="22" t="n"/>
      <c r="S12" s="22" t="n"/>
      <c r="T12" s="24" t="inlineStr">
        <is>
          <t>Invoiced</t>
        </is>
      </c>
      <c r="U12" s="24" t="n"/>
      <c r="V12" s="25">
        <f>IF(COUNTA(A12,D12,C12,L12)=0,"",IF(A12="","No date - sits outside every month",IF(E12="","No job number",IF(F12="CHECK","Job number is not in the Xero job list",IF(I12="","No cost centre",IF(AND(P12="Y",C12=""),"Marked posted to Xero but has no invoice number",IF(AND(L12&lt;&gt;"",K12=""),"No tax code",IF(AND(L12&lt;&gt;"",O12=""),"No revenue GL code",""))))))))</f>
        <v/>
      </c>
      <c r="W12" s="25">
        <f>IF(E12="","",IFERROR(INDEX(lst_JobName,MATCH(E12&amp;"",lst_Jobs,0)),""))</f>
        <v/>
      </c>
      <c r="X12" s="28">
        <f>IF(E12="","",COUNTIFS(tbl_Finance[Job Number],E12&amp;"",tbl_Finance[Ex GST],"&lt;&gt;"))</f>
        <v/>
      </c>
      <c r="Y12" s="27">
        <f>IF(E12="","",SUMIFS(tbl_Finance[Ex GST],tbl_Finance[Job Number],E12&amp;""))</f>
        <v/>
      </c>
      <c r="Z12" s="27">
        <f>IF(E12="","",SUMIFS(tbl_Finance[Ex GST],tbl_Finance[Job Number],E12&amp;"",tbl_Finance[Xero Invoice No],"&lt;&gt;"))</f>
        <v/>
      </c>
      <c r="AA12" s="27">
        <f>IF(E12="","",Y12-Z12)</f>
        <v/>
      </c>
      <c r="AB12" s="25">
        <f>IF(E12="","",IF(H12="Onsite",IFERROR(INDEX(tbl_Onsite[Qwilr Quote],MATCH(E12&amp;"",tbl_Onsite[Job Number],0)),""),IF(H12="Production",IFERROR(IF(INDEX(tbl_Production[Current RMS No],MATCH(E12&amp;"",tbl_Production[Job Number],0))="",INDEX(tbl_Production[Qwilr Quote],MATCH(E12&amp;"",tbl_Production[Job Number],0)),INDEX(tbl_Production[Current RMS No],MATCH(E12&amp;"",tbl_Production[Job Number],0))),""),IF(H12="Consulting",IFERROR(INDEX(tbl_Consulting[Qwilr Quote],MATCH(E12&amp;"",tbl_Consulting[Job Number],0)),""),""))))</f>
        <v/>
      </c>
      <c r="AC12" s="25">
        <f>IF(AB12="","",IF(AND(LEFT(AB12,4)&lt;&gt;"http",IF(H12="Production",set_RMSBase,set_QwilrBase)=""),"",HYPERLINK(IF(LEFT(AB12,4)="http",AB12,IF(H12="Production",set_RMSBase,set_QwilrBase)&amp;AB12),"Open")))</f>
        <v/>
      </c>
      <c r="AD12" s="27">
        <f>IF(E12="","",IF(H12="Production",IFERROR(INDEX(tbl_Production[Total Expense],MATCH(E12&amp;"",tbl_Production[Job Number],0)),0),IF(H12="Consulting",IFERROR(INDEX(tbl_Consulting[Total Expense],MATCH(E12&amp;"",tbl_Consulting[Job Number],0)),0),0)))</f>
        <v/>
      </c>
      <c r="AE12" s="27">
        <f>IF(E12="","",Y12-N(AD12))</f>
        <v/>
      </c>
      <c r="AF12" s="29">
        <f>IFERROR(AE12/Y12,"")</f>
        <v/>
      </c>
      <c r="AG12" s="25">
        <f>IF(E12="","",IF(H12="Onsite",IFERROR(INDEX(tbl_Onsite[Notes],MATCH(E12&amp;"",tbl_Onsite[Job Number],0)),""),IF(H12="Production",IFERROR(INDEX(tbl_Production[Notes],MATCH(E12&amp;"",tbl_Production[Job Number],0)),""),IF(H12="Consulting",IFERROR(INDEX(tbl_Consulting[Notes],MATCH(E12&amp;"",tbl_Consulting[Job Number],0)),""),""))))</f>
        <v/>
      </c>
    </row>
    <row r="13" ht="15" customHeight="1">
      <c r="A13" s="22" t="n">
        <v>46234</v>
      </c>
      <c r="B13" s="23">
        <f>IF(A13="","",EOMONTH(A13,0))</f>
        <v/>
      </c>
      <c r="C13" s="24" t="inlineStr">
        <is>
          <t>INV-10534</t>
        </is>
      </c>
      <c r="D13" s="24" t="inlineStr">
        <is>
          <t>CBA</t>
        </is>
      </c>
      <c r="E13" s="24" t="inlineStr">
        <is>
          <t>26043001</t>
        </is>
      </c>
      <c r="F13" s="25">
        <f>IF(E13="","",IF(COUNTIF(lst_Jobs,E13&amp;"")&gt;0,"OK","CHECK"))</f>
        <v/>
      </c>
      <c r="G13" s="24" t="inlineStr">
        <is>
          <t>CBA Mel July 2026</t>
        </is>
      </c>
      <c r="H13" s="24" t="inlineStr">
        <is>
          <t>Onsite</t>
        </is>
      </c>
      <c r="I13" s="24" t="inlineStr">
        <is>
          <t>ONSITE</t>
        </is>
      </c>
      <c r="J13" s="24" t="inlineStr">
        <is>
          <t>Contract</t>
        </is>
      </c>
      <c r="K13" s="24" t="inlineStr">
        <is>
          <t>GST 10%</t>
        </is>
      </c>
      <c r="L13" s="26" t="n">
        <v>11377.12</v>
      </c>
      <c r="M13" s="27">
        <f>IF(L13="","",IF(K13="GST 10%",ROUND(L13*set_GSTRate,2),0))</f>
        <v/>
      </c>
      <c r="N13" s="27">
        <f>IF(L13="","",L13+M13)</f>
        <v/>
      </c>
      <c r="O13" s="24" t="inlineStr">
        <is>
          <t>41100</t>
        </is>
      </c>
      <c r="P13" s="24" t="inlineStr">
        <is>
          <t>Y</t>
        </is>
      </c>
      <c r="Q13" s="24" t="inlineStr">
        <is>
          <t>N</t>
        </is>
      </c>
      <c r="R13" s="22" t="n"/>
      <c r="S13" s="22" t="n"/>
      <c r="T13" s="24" t="inlineStr">
        <is>
          <t>Invoiced</t>
        </is>
      </c>
      <c r="U13" s="24" t="inlineStr">
        <is>
          <t>Deduct 8hrs CN for 03/07</t>
        </is>
      </c>
      <c r="V13" s="25">
        <f>IF(COUNTA(A13,D13,C13,L13)=0,"",IF(A13="","No date - sits outside every month",IF(E13="","No job number",IF(F13="CHECK","Job number is not in the Xero job list",IF(I13="","No cost centre",IF(AND(P13="Y",C13=""),"Marked posted to Xero but has no invoice number",IF(AND(L13&lt;&gt;"",K13=""),"No tax code",IF(AND(L13&lt;&gt;"",O13=""),"No revenue GL code",""))))))))</f>
        <v/>
      </c>
      <c r="W13" s="25">
        <f>IF(E13="","",IFERROR(INDEX(lst_JobName,MATCH(E13&amp;"",lst_Jobs,0)),""))</f>
        <v/>
      </c>
      <c r="X13" s="28">
        <f>IF(E13="","",COUNTIFS(tbl_Finance[Job Number],E13&amp;"",tbl_Finance[Ex GST],"&lt;&gt;"))</f>
        <v/>
      </c>
      <c r="Y13" s="27">
        <f>IF(E13="","",SUMIFS(tbl_Finance[Ex GST],tbl_Finance[Job Number],E13&amp;""))</f>
        <v/>
      </c>
      <c r="Z13" s="27">
        <f>IF(E13="","",SUMIFS(tbl_Finance[Ex GST],tbl_Finance[Job Number],E13&amp;"",tbl_Finance[Xero Invoice No],"&lt;&gt;"))</f>
        <v/>
      </c>
      <c r="AA13" s="27">
        <f>IF(E13="","",Y13-Z13)</f>
        <v/>
      </c>
      <c r="AB13" s="25">
        <f>IF(E13="","",IF(H13="Onsite",IFERROR(INDEX(tbl_Onsite[Qwilr Quote],MATCH(E13&amp;"",tbl_Onsite[Job Number],0)),""),IF(H13="Production",IFERROR(IF(INDEX(tbl_Production[Current RMS No],MATCH(E13&amp;"",tbl_Production[Job Number],0))="",INDEX(tbl_Production[Qwilr Quote],MATCH(E13&amp;"",tbl_Production[Job Number],0)),INDEX(tbl_Production[Current RMS No],MATCH(E13&amp;"",tbl_Production[Job Number],0))),""),IF(H13="Consulting",IFERROR(INDEX(tbl_Consulting[Qwilr Quote],MATCH(E13&amp;"",tbl_Consulting[Job Number],0)),""),""))))</f>
        <v/>
      </c>
      <c r="AC13" s="25">
        <f>IF(AB13="","",IF(AND(LEFT(AB13,4)&lt;&gt;"http",IF(H13="Production",set_RMSBase,set_QwilrBase)=""),"",HYPERLINK(IF(LEFT(AB13,4)="http",AB13,IF(H13="Production",set_RMSBase,set_QwilrBase)&amp;AB13),"Open")))</f>
        <v/>
      </c>
      <c r="AD13" s="27">
        <f>IF(E13="","",IF(H13="Production",IFERROR(INDEX(tbl_Production[Total Expense],MATCH(E13&amp;"",tbl_Production[Job Number],0)),0),IF(H13="Consulting",IFERROR(INDEX(tbl_Consulting[Total Expense],MATCH(E13&amp;"",tbl_Consulting[Job Number],0)),0),0)))</f>
        <v/>
      </c>
      <c r="AE13" s="27">
        <f>IF(E13="","",Y13-N(AD13))</f>
        <v/>
      </c>
      <c r="AF13" s="29">
        <f>IFERROR(AE13/Y13,"")</f>
        <v/>
      </c>
      <c r="AG13" s="25">
        <f>IF(E13="","",IF(H13="Onsite",IFERROR(INDEX(tbl_Onsite[Notes],MATCH(E13&amp;"",tbl_Onsite[Job Number],0)),""),IF(H13="Production",IFERROR(INDEX(tbl_Production[Notes],MATCH(E13&amp;"",tbl_Production[Job Number],0)),""),IF(H13="Consulting",IFERROR(INDEX(tbl_Consulting[Notes],MATCH(E13&amp;"",tbl_Consulting[Job Number],0)),""),""))))</f>
        <v/>
      </c>
    </row>
    <row r="14" ht="15" customHeight="1">
      <c r="A14" s="22" t="n">
        <v>46234</v>
      </c>
      <c r="B14" s="23">
        <f>IF(A14="","",EOMONTH(A14,0))</f>
        <v/>
      </c>
      <c r="C14" s="24" t="inlineStr">
        <is>
          <t>INV-10535</t>
        </is>
      </c>
      <c r="D14" s="24" t="inlineStr">
        <is>
          <t>PWC</t>
        </is>
      </c>
      <c r="E14" s="24" t="inlineStr">
        <is>
          <t>25101301B</t>
        </is>
      </c>
      <c r="F14" s="25">
        <f>IF(E14="","",IF(COUNTIF(lst_Jobs,E14&amp;"")&gt;0,"OK","CHECK"))</f>
        <v/>
      </c>
      <c r="G14" s="24" t="inlineStr">
        <is>
          <t>PWC Sydney IT July 2026</t>
        </is>
      </c>
      <c r="H14" s="24" t="inlineStr">
        <is>
          <t>Onsite</t>
        </is>
      </c>
      <c r="I14" s="24" t="inlineStr">
        <is>
          <t>ONSITE</t>
        </is>
      </c>
      <c r="J14" s="24" t="inlineStr">
        <is>
          <t>Contract</t>
        </is>
      </c>
      <c r="K14" s="24" t="inlineStr">
        <is>
          <t>GST 10%</t>
        </is>
      </c>
      <c r="L14" s="26" t="n">
        <v>11907</v>
      </c>
      <c r="M14" s="27">
        <f>IF(L14="","",IF(K14="GST 10%",ROUND(L14*set_GSTRate,2),0))</f>
        <v/>
      </c>
      <c r="N14" s="27">
        <f>IF(L14="","",L14+M14)</f>
        <v/>
      </c>
      <c r="O14" s="24" t="inlineStr">
        <is>
          <t>41100</t>
        </is>
      </c>
      <c r="P14" s="24" t="inlineStr">
        <is>
          <t>Y</t>
        </is>
      </c>
      <c r="Q14" s="24" t="inlineStr">
        <is>
          <t>N</t>
        </is>
      </c>
      <c r="R14" s="22" t="n"/>
      <c r="S14" s="22" t="n"/>
      <c r="T14" s="24" t="inlineStr">
        <is>
          <t>Invoiced</t>
        </is>
      </c>
      <c r="U14" s="24" t="n"/>
      <c r="V14" s="25">
        <f>IF(COUNTA(A14,D14,C14,L14)=0,"",IF(A14="","No date - sits outside every month",IF(E14="","No job number",IF(F14="CHECK","Job number is not in the Xero job list",IF(I14="","No cost centre",IF(AND(P14="Y",C14=""),"Marked posted to Xero but has no invoice number",IF(AND(L14&lt;&gt;"",K14=""),"No tax code",IF(AND(L14&lt;&gt;"",O14=""),"No revenue GL code",""))))))))</f>
        <v/>
      </c>
      <c r="W14" s="25">
        <f>IF(E14="","",IFERROR(INDEX(lst_JobName,MATCH(E14&amp;"",lst_Jobs,0)),""))</f>
        <v/>
      </c>
      <c r="X14" s="28">
        <f>IF(E14="","",COUNTIFS(tbl_Finance[Job Number],E14&amp;"",tbl_Finance[Ex GST],"&lt;&gt;"))</f>
        <v/>
      </c>
      <c r="Y14" s="27">
        <f>IF(E14="","",SUMIFS(tbl_Finance[Ex GST],tbl_Finance[Job Number],E14&amp;""))</f>
        <v/>
      </c>
      <c r="Z14" s="27">
        <f>IF(E14="","",SUMIFS(tbl_Finance[Ex GST],tbl_Finance[Job Number],E14&amp;"",tbl_Finance[Xero Invoice No],"&lt;&gt;"))</f>
        <v/>
      </c>
      <c r="AA14" s="27">
        <f>IF(E14="","",Y14-Z14)</f>
        <v/>
      </c>
      <c r="AB14" s="25">
        <f>IF(E14="","",IF(H14="Onsite",IFERROR(INDEX(tbl_Onsite[Qwilr Quote],MATCH(E14&amp;"",tbl_Onsite[Job Number],0)),""),IF(H14="Production",IFERROR(IF(INDEX(tbl_Production[Current RMS No],MATCH(E14&amp;"",tbl_Production[Job Number],0))="",INDEX(tbl_Production[Qwilr Quote],MATCH(E14&amp;"",tbl_Production[Job Number],0)),INDEX(tbl_Production[Current RMS No],MATCH(E14&amp;"",tbl_Production[Job Number],0))),""),IF(H14="Consulting",IFERROR(INDEX(tbl_Consulting[Qwilr Quote],MATCH(E14&amp;"",tbl_Consulting[Job Number],0)),""),""))))</f>
        <v/>
      </c>
      <c r="AC14" s="25">
        <f>IF(AB14="","",IF(AND(LEFT(AB14,4)&lt;&gt;"http",IF(H14="Production",set_RMSBase,set_QwilrBase)=""),"",HYPERLINK(IF(LEFT(AB14,4)="http",AB14,IF(H14="Production",set_RMSBase,set_QwilrBase)&amp;AB14),"Open")))</f>
        <v/>
      </c>
      <c r="AD14" s="27">
        <f>IF(E14="","",IF(H14="Production",IFERROR(INDEX(tbl_Production[Total Expense],MATCH(E14&amp;"",tbl_Production[Job Number],0)),0),IF(H14="Consulting",IFERROR(INDEX(tbl_Consulting[Total Expense],MATCH(E14&amp;"",tbl_Consulting[Job Number],0)),0),0)))</f>
        <v/>
      </c>
      <c r="AE14" s="27">
        <f>IF(E14="","",Y14-N(AD14))</f>
        <v/>
      </c>
      <c r="AF14" s="29">
        <f>IFERROR(AE14/Y14,"")</f>
        <v/>
      </c>
      <c r="AG14" s="25">
        <f>IF(E14="","",IF(H14="Onsite",IFERROR(INDEX(tbl_Onsite[Notes],MATCH(E14&amp;"",tbl_Onsite[Job Number],0)),""),IF(H14="Production",IFERROR(INDEX(tbl_Production[Notes],MATCH(E14&amp;"",tbl_Production[Job Number],0)),""),IF(H14="Consulting",IFERROR(INDEX(tbl_Consulting[Notes],MATCH(E14&amp;"",tbl_Consulting[Job Number],0)),""),""))))</f>
        <v/>
      </c>
    </row>
    <row r="15" ht="15" customHeight="1">
      <c r="A15" s="22" t="n">
        <v>46234</v>
      </c>
      <c r="B15" s="23">
        <f>IF(A15="","",EOMONTH(A15,0))</f>
        <v/>
      </c>
      <c r="C15" s="24" t="inlineStr">
        <is>
          <t>INV-10536</t>
        </is>
      </c>
      <c r="D15" s="24" t="inlineStr">
        <is>
          <t>RICOH</t>
        </is>
      </c>
      <c r="E15" s="24" t="inlineStr">
        <is>
          <t>2880</t>
        </is>
      </c>
      <c r="F15" s="25">
        <f>IF(E15="","",IF(COUNTIF(lst_Jobs,E15&amp;"")&gt;0,"OK","CHECK"))</f>
        <v/>
      </c>
      <c r="G15" s="24" t="inlineStr">
        <is>
          <t>Ricoh Contract July 2026</t>
        </is>
      </c>
      <c r="H15" s="24" t="inlineStr">
        <is>
          <t>Onsite</t>
        </is>
      </c>
      <c r="I15" s="24" t="inlineStr">
        <is>
          <t>ONSITE</t>
        </is>
      </c>
      <c r="J15" s="24" t="inlineStr">
        <is>
          <t>Contract</t>
        </is>
      </c>
      <c r="K15" s="24" t="inlineStr">
        <is>
          <t>GST 10%</t>
        </is>
      </c>
      <c r="L15" s="26" t="n">
        <v>11860.5</v>
      </c>
      <c r="M15" s="27">
        <f>IF(L15="","",IF(K15="GST 10%",ROUND(L15*set_GSTRate,2),0))</f>
        <v/>
      </c>
      <c r="N15" s="27">
        <f>IF(L15="","",L15+M15)</f>
        <v/>
      </c>
      <c r="O15" s="24" t="inlineStr">
        <is>
          <t>41100</t>
        </is>
      </c>
      <c r="P15" s="24" t="inlineStr">
        <is>
          <t>Y</t>
        </is>
      </c>
      <c r="Q15" s="24" t="inlineStr">
        <is>
          <t>N</t>
        </is>
      </c>
      <c r="R15" s="22" t="n"/>
      <c r="S15" s="22" t="n"/>
      <c r="T15" s="24" t="inlineStr">
        <is>
          <t>Invoiced</t>
        </is>
      </c>
      <c r="U15" s="24" t="inlineStr">
        <is>
          <t>2 months extension</t>
        </is>
      </c>
      <c r="V15" s="25">
        <f>IF(COUNTA(A15,D15,C15,L15)=0,"",IF(A15="","No date - sits outside every month",IF(E15="","No job number",IF(F15="CHECK","Job number is not in the Xero job list",IF(I15="","No cost centre",IF(AND(P15="Y",C15=""),"Marked posted to Xero but has no invoice number",IF(AND(L15&lt;&gt;"",K15=""),"No tax code",IF(AND(L15&lt;&gt;"",O15=""),"No revenue GL code",""))))))))</f>
        <v/>
      </c>
      <c r="W15" s="25">
        <f>IF(E15="","",IFERROR(INDEX(lst_JobName,MATCH(E15&amp;"",lst_Jobs,0)),""))</f>
        <v/>
      </c>
      <c r="X15" s="28">
        <f>IF(E15="","",COUNTIFS(tbl_Finance[Job Number],E15&amp;"",tbl_Finance[Ex GST],"&lt;&gt;"))</f>
        <v/>
      </c>
      <c r="Y15" s="27">
        <f>IF(E15="","",SUMIFS(tbl_Finance[Ex GST],tbl_Finance[Job Number],E15&amp;""))</f>
        <v/>
      </c>
      <c r="Z15" s="27">
        <f>IF(E15="","",SUMIFS(tbl_Finance[Ex GST],tbl_Finance[Job Number],E15&amp;"",tbl_Finance[Xero Invoice No],"&lt;&gt;"))</f>
        <v/>
      </c>
      <c r="AA15" s="27">
        <f>IF(E15="","",Y15-Z15)</f>
        <v/>
      </c>
      <c r="AB15" s="25">
        <f>IF(E15="","",IF(H15="Onsite",IFERROR(INDEX(tbl_Onsite[Qwilr Quote],MATCH(E15&amp;"",tbl_Onsite[Job Number],0)),""),IF(H15="Production",IFERROR(IF(INDEX(tbl_Production[Current RMS No],MATCH(E15&amp;"",tbl_Production[Job Number],0))="",INDEX(tbl_Production[Qwilr Quote],MATCH(E15&amp;"",tbl_Production[Job Number],0)),INDEX(tbl_Production[Current RMS No],MATCH(E15&amp;"",tbl_Production[Job Number],0))),""),IF(H15="Consulting",IFERROR(INDEX(tbl_Consulting[Qwilr Quote],MATCH(E15&amp;"",tbl_Consulting[Job Number],0)),""),""))))</f>
        <v/>
      </c>
      <c r="AC15" s="25">
        <f>IF(AB15="","",IF(AND(LEFT(AB15,4)&lt;&gt;"http",IF(H15="Production",set_RMSBase,set_QwilrBase)=""),"",HYPERLINK(IF(LEFT(AB15,4)="http",AB15,IF(H15="Production",set_RMSBase,set_QwilrBase)&amp;AB15),"Open")))</f>
        <v/>
      </c>
      <c r="AD15" s="27">
        <f>IF(E15="","",IF(H15="Production",IFERROR(INDEX(tbl_Production[Total Expense],MATCH(E15&amp;"",tbl_Production[Job Number],0)),0),IF(H15="Consulting",IFERROR(INDEX(tbl_Consulting[Total Expense],MATCH(E15&amp;"",tbl_Consulting[Job Number],0)),0),0)))</f>
        <v/>
      </c>
      <c r="AE15" s="27">
        <f>IF(E15="","",Y15-N(AD15))</f>
        <v/>
      </c>
      <c r="AF15" s="29">
        <f>IFERROR(AE15/Y15,"")</f>
        <v/>
      </c>
      <c r="AG15" s="25">
        <f>IF(E15="","",IF(H15="Onsite",IFERROR(INDEX(tbl_Onsite[Notes],MATCH(E15&amp;"",tbl_Onsite[Job Number],0)),""),IF(H15="Production",IFERROR(INDEX(tbl_Production[Notes],MATCH(E15&amp;"",tbl_Production[Job Number],0)),""),IF(H15="Consulting",IFERROR(INDEX(tbl_Consulting[Notes],MATCH(E15&amp;"",tbl_Consulting[Job Number],0)),""),""))))</f>
        <v/>
      </c>
    </row>
    <row r="16" ht="15" customHeight="1">
      <c r="A16" s="22" t="n">
        <v>46234</v>
      </c>
      <c r="B16" s="23">
        <f>IF(A16="","",EOMONTH(A16,0))</f>
        <v/>
      </c>
      <c r="C16" s="24" t="inlineStr">
        <is>
          <t>INV-10537</t>
        </is>
      </c>
      <c r="D16" s="24" t="inlineStr">
        <is>
          <t>PWC</t>
        </is>
      </c>
      <c r="E16" s="24" t="n"/>
      <c r="F16" s="25">
        <f>IF(E16="","",IF(COUNTIF(lst_Jobs,E16&amp;"")&gt;0,"OK","CHECK"))</f>
        <v/>
      </c>
      <c r="G16" s="24" t="inlineStr">
        <is>
          <t>PWC Dedicated Tech 29/07/2026</t>
        </is>
      </c>
      <c r="H16" s="24" t="inlineStr">
        <is>
          <t>Onsite</t>
        </is>
      </c>
      <c r="I16" s="24" t="inlineStr">
        <is>
          <t>ONSITE</t>
        </is>
      </c>
      <c r="J16" s="24" t="inlineStr">
        <is>
          <t>Contract</t>
        </is>
      </c>
      <c r="K16" s="24" t="inlineStr">
        <is>
          <t>GST 10%</t>
        </is>
      </c>
      <c r="L16" s="26" t="n">
        <v>340</v>
      </c>
      <c r="M16" s="27">
        <f>IF(L16="","",IF(K16="GST 10%",ROUND(L16*set_GSTRate,2),0))</f>
        <v/>
      </c>
      <c r="N16" s="27">
        <f>IF(L16="","",L16+M16)</f>
        <v/>
      </c>
      <c r="O16" s="24" t="inlineStr">
        <is>
          <t>41100</t>
        </is>
      </c>
      <c r="P16" s="24" t="inlineStr">
        <is>
          <t>Y</t>
        </is>
      </c>
      <c r="Q16" s="24" t="inlineStr">
        <is>
          <t>N</t>
        </is>
      </c>
      <c r="R16" s="22" t="n"/>
      <c r="S16" s="22" t="n"/>
      <c r="T16" s="24" t="inlineStr">
        <is>
          <t>Invoiced</t>
        </is>
      </c>
      <c r="U16" s="24" t="inlineStr">
        <is>
          <t>29/07/2026 4hours</t>
        </is>
      </c>
      <c r="V16" s="25">
        <f>IF(COUNTA(A16,D16,C16,L16)=0,"",IF(A16="","No date - sits outside every month",IF(E16="","No job number",IF(F16="CHECK","Job number is not in the Xero job list",IF(I16="","No cost centre",IF(AND(P16="Y",C16=""),"Marked posted to Xero but has no invoice number",IF(AND(L16&lt;&gt;"",K16=""),"No tax code",IF(AND(L16&lt;&gt;"",O16=""),"No revenue GL code",""))))))))</f>
        <v/>
      </c>
      <c r="W16" s="25">
        <f>IF(E16="","",IFERROR(INDEX(lst_JobName,MATCH(E16&amp;"",lst_Jobs,0)),""))</f>
        <v/>
      </c>
      <c r="X16" s="28">
        <f>IF(E16="","",COUNTIFS(tbl_Finance[Job Number],E16&amp;"",tbl_Finance[Ex GST],"&lt;&gt;"))</f>
        <v/>
      </c>
      <c r="Y16" s="27">
        <f>IF(E16="","",SUMIFS(tbl_Finance[Ex GST],tbl_Finance[Job Number],E16&amp;""))</f>
        <v/>
      </c>
      <c r="Z16" s="27">
        <f>IF(E16="","",SUMIFS(tbl_Finance[Ex GST],tbl_Finance[Job Number],E16&amp;"",tbl_Finance[Xero Invoice No],"&lt;&gt;"))</f>
        <v/>
      </c>
      <c r="AA16" s="27">
        <f>IF(E16="","",Y16-Z16)</f>
        <v/>
      </c>
      <c r="AB16" s="25">
        <f>IF(E16="","",IF(H16="Onsite",IFERROR(INDEX(tbl_Onsite[Qwilr Quote],MATCH(E16&amp;"",tbl_Onsite[Job Number],0)),""),IF(H16="Production",IFERROR(IF(INDEX(tbl_Production[Current RMS No],MATCH(E16&amp;"",tbl_Production[Job Number],0))="",INDEX(tbl_Production[Qwilr Quote],MATCH(E16&amp;"",tbl_Production[Job Number],0)),INDEX(tbl_Production[Current RMS No],MATCH(E16&amp;"",tbl_Production[Job Number],0))),""),IF(H16="Consulting",IFERROR(INDEX(tbl_Consulting[Qwilr Quote],MATCH(E16&amp;"",tbl_Consulting[Job Number],0)),""),""))))</f>
        <v/>
      </c>
      <c r="AC16" s="25">
        <f>IF(AB16="","",IF(AND(LEFT(AB16,4)&lt;&gt;"http",IF(H16="Production",set_RMSBase,set_QwilrBase)=""),"",HYPERLINK(IF(LEFT(AB16,4)="http",AB16,IF(H16="Production",set_RMSBase,set_QwilrBase)&amp;AB16),"Open")))</f>
        <v/>
      </c>
      <c r="AD16" s="27">
        <f>IF(E16="","",IF(H16="Production",IFERROR(INDEX(tbl_Production[Total Expense],MATCH(E16&amp;"",tbl_Production[Job Number],0)),0),IF(H16="Consulting",IFERROR(INDEX(tbl_Consulting[Total Expense],MATCH(E16&amp;"",tbl_Consulting[Job Number],0)),0),0)))</f>
        <v/>
      </c>
      <c r="AE16" s="27">
        <f>IF(E16="","",Y16-N(AD16))</f>
        <v/>
      </c>
      <c r="AF16" s="29">
        <f>IFERROR(AE16/Y16,"")</f>
        <v/>
      </c>
      <c r="AG16" s="25">
        <f>IF(E16="","",IF(H16="Onsite",IFERROR(INDEX(tbl_Onsite[Notes],MATCH(E16&amp;"",tbl_Onsite[Job Number],0)),""),IF(H16="Production",IFERROR(INDEX(tbl_Production[Notes],MATCH(E16&amp;"",tbl_Production[Job Number],0)),""),IF(H16="Consulting",IFERROR(INDEX(tbl_Consulting[Notes],MATCH(E16&amp;"",tbl_Consulting[Job Number],0)),""),""))))</f>
        <v/>
      </c>
    </row>
    <row r="17" ht="15" customHeight="1">
      <c r="A17" s="22" t="n">
        <v>46234</v>
      </c>
      <c r="B17" s="23">
        <f>IF(A17="","",EOMONTH(A17,0))</f>
        <v/>
      </c>
      <c r="C17" s="24" t="inlineStr">
        <is>
          <t>INV-10541</t>
        </is>
      </c>
      <c r="D17" s="24" t="inlineStr">
        <is>
          <t>APN</t>
        </is>
      </c>
      <c r="E17" s="24" t="inlineStr">
        <is>
          <t>3056</t>
        </is>
      </c>
      <c r="F17" s="25">
        <f>IF(E17="","",IF(COUNTIF(lst_Jobs,E17&amp;"")&gt;0,"OK","CHECK"))</f>
        <v/>
      </c>
      <c r="G17" s="24" t="inlineStr">
        <is>
          <t>APN Tech Support July 22 &amp; 24</t>
        </is>
      </c>
      <c r="H17" s="24" t="inlineStr">
        <is>
          <t>Onsite</t>
        </is>
      </c>
      <c r="I17" s="24" t="inlineStr">
        <is>
          <t>ONSITE</t>
        </is>
      </c>
      <c r="J17" s="24" t="inlineStr">
        <is>
          <t>Contract</t>
        </is>
      </c>
      <c r="K17" s="24" t="inlineStr">
        <is>
          <t>GST 10%</t>
        </is>
      </c>
      <c r="L17" s="26" t="n">
        <v>680</v>
      </c>
      <c r="M17" s="27">
        <f>IF(L17="","",IF(K17="GST 10%",ROUND(L17*set_GSTRate,2),0))</f>
        <v/>
      </c>
      <c r="N17" s="27">
        <f>IF(L17="","",L17+M17)</f>
        <v/>
      </c>
      <c r="O17" s="24" t="inlineStr">
        <is>
          <t>41100</t>
        </is>
      </c>
      <c r="P17" s="24" t="inlineStr">
        <is>
          <t>Y</t>
        </is>
      </c>
      <c r="Q17" s="24" t="inlineStr">
        <is>
          <t>N</t>
        </is>
      </c>
      <c r="R17" s="22" t="n"/>
      <c r="S17" s="22" t="n"/>
      <c r="T17" s="24" t="inlineStr">
        <is>
          <t>Invoiced</t>
        </is>
      </c>
      <c r="U17" s="24" t="n"/>
      <c r="V17" s="25">
        <f>IF(COUNTA(A17,D17,C17,L17)=0,"",IF(A17="","No date - sits outside every month",IF(E17="","No job number",IF(F17="CHECK","Job number is not in the Xero job list",IF(I17="","No cost centre",IF(AND(P17="Y",C17=""),"Marked posted to Xero but has no invoice number",IF(AND(L17&lt;&gt;"",K17=""),"No tax code",IF(AND(L17&lt;&gt;"",O17=""),"No revenue GL code",""))))))))</f>
        <v/>
      </c>
      <c r="W17" s="25">
        <f>IF(E17="","",IFERROR(INDEX(lst_JobName,MATCH(E17&amp;"",lst_Jobs,0)),""))</f>
        <v/>
      </c>
      <c r="X17" s="28">
        <f>IF(E17="","",COUNTIFS(tbl_Finance[Job Number],E17&amp;"",tbl_Finance[Ex GST],"&lt;&gt;"))</f>
        <v/>
      </c>
      <c r="Y17" s="27">
        <f>IF(E17="","",SUMIFS(tbl_Finance[Ex GST],tbl_Finance[Job Number],E17&amp;""))</f>
        <v/>
      </c>
      <c r="Z17" s="27">
        <f>IF(E17="","",SUMIFS(tbl_Finance[Ex GST],tbl_Finance[Job Number],E17&amp;"",tbl_Finance[Xero Invoice No],"&lt;&gt;"))</f>
        <v/>
      </c>
      <c r="AA17" s="27">
        <f>IF(E17="","",Y17-Z17)</f>
        <v/>
      </c>
      <c r="AB17" s="25">
        <f>IF(E17="","",IF(H17="Onsite",IFERROR(INDEX(tbl_Onsite[Qwilr Quote],MATCH(E17&amp;"",tbl_Onsite[Job Number],0)),""),IF(H17="Production",IFERROR(IF(INDEX(tbl_Production[Current RMS No],MATCH(E17&amp;"",tbl_Production[Job Number],0))="",INDEX(tbl_Production[Qwilr Quote],MATCH(E17&amp;"",tbl_Production[Job Number],0)),INDEX(tbl_Production[Current RMS No],MATCH(E17&amp;"",tbl_Production[Job Number],0))),""),IF(H17="Consulting",IFERROR(INDEX(tbl_Consulting[Qwilr Quote],MATCH(E17&amp;"",tbl_Consulting[Job Number],0)),""),""))))</f>
        <v/>
      </c>
      <c r="AC17" s="25">
        <f>IF(AB17="","",IF(AND(LEFT(AB17,4)&lt;&gt;"http",IF(H17="Production",set_RMSBase,set_QwilrBase)=""),"",HYPERLINK(IF(LEFT(AB17,4)="http",AB17,IF(H17="Production",set_RMSBase,set_QwilrBase)&amp;AB17),"Open")))</f>
        <v/>
      </c>
      <c r="AD17" s="27">
        <f>IF(E17="","",IF(H17="Production",IFERROR(INDEX(tbl_Production[Total Expense],MATCH(E17&amp;"",tbl_Production[Job Number],0)),0),IF(H17="Consulting",IFERROR(INDEX(tbl_Consulting[Total Expense],MATCH(E17&amp;"",tbl_Consulting[Job Number],0)),0),0)))</f>
        <v/>
      </c>
      <c r="AE17" s="27">
        <f>IF(E17="","",Y17-N(AD17))</f>
        <v/>
      </c>
      <c r="AF17" s="29">
        <f>IFERROR(AE17/Y17,"")</f>
        <v/>
      </c>
      <c r="AG17" s="25">
        <f>IF(E17="","",IF(H17="Onsite",IFERROR(INDEX(tbl_Onsite[Notes],MATCH(E17&amp;"",tbl_Onsite[Job Number],0)),""),IF(H17="Production",IFERROR(INDEX(tbl_Production[Notes],MATCH(E17&amp;"",tbl_Production[Job Number],0)),""),IF(H17="Consulting",IFERROR(INDEX(tbl_Consulting[Notes],MATCH(E17&amp;"",tbl_Consulting[Job Number],0)),""),""))))</f>
        <v/>
      </c>
    </row>
    <row r="18" ht="15" customHeight="1">
      <c r="A18" s="22" t="n">
        <v>46234</v>
      </c>
      <c r="B18" s="23">
        <f>IF(A18="","",EOMONTH(A18,0))</f>
        <v/>
      </c>
      <c r="C18" s="24" t="inlineStr">
        <is>
          <t>INV-10539</t>
        </is>
      </c>
      <c r="D18" s="24" t="inlineStr">
        <is>
          <t>PWC</t>
        </is>
      </c>
      <c r="E18" s="24" t="inlineStr">
        <is>
          <t>20250731</t>
        </is>
      </c>
      <c r="F18" s="25">
        <f>IF(E18="","",IF(COUNTIF(lst_Jobs,E18&amp;"")&gt;0,"OK","CHECK"))</f>
        <v/>
      </c>
      <c r="G18" s="24" t="inlineStr">
        <is>
          <t>PWC Pool of Hours (50 hours)</t>
        </is>
      </c>
      <c r="H18" s="24" t="inlineStr">
        <is>
          <t>Onsite</t>
        </is>
      </c>
      <c r="I18" s="24" t="inlineStr">
        <is>
          <t>ONSITE</t>
        </is>
      </c>
      <c r="J18" s="24" t="inlineStr">
        <is>
          <t>Contract</t>
        </is>
      </c>
      <c r="K18" s="24" t="inlineStr">
        <is>
          <t>GST 10%</t>
        </is>
      </c>
      <c r="L18" s="26" t="n">
        <v>4250</v>
      </c>
      <c r="M18" s="27">
        <f>IF(L18="","",IF(K18="GST 10%",ROUND(L18*set_GSTRate,2),0))</f>
        <v/>
      </c>
      <c r="N18" s="27">
        <f>IF(L18="","",L18+M18)</f>
        <v/>
      </c>
      <c r="O18" s="24" t="inlineStr">
        <is>
          <t>41100</t>
        </is>
      </c>
      <c r="P18" s="24" t="inlineStr">
        <is>
          <t>Y</t>
        </is>
      </c>
      <c r="Q18" s="24" t="inlineStr">
        <is>
          <t>N</t>
        </is>
      </c>
      <c r="R18" s="22" t="n"/>
      <c r="S18" s="22" t="n"/>
      <c r="T18" s="24" t="inlineStr">
        <is>
          <t>Invoiced</t>
        </is>
      </c>
      <c r="U18" s="24" t="inlineStr">
        <is>
          <t>PO2601703215</t>
        </is>
      </c>
      <c r="V18" s="25">
        <f>IF(COUNTA(A18,D18,C18,L18)=0,"",IF(A18="","No date - sits outside every month",IF(E18="","No job number",IF(F18="CHECK","Job number is not in the Xero job list",IF(I18="","No cost centre",IF(AND(P18="Y",C18=""),"Marked posted to Xero but has no invoice number",IF(AND(L18&lt;&gt;"",K18=""),"No tax code",IF(AND(L18&lt;&gt;"",O18=""),"No revenue GL code",""))))))))</f>
        <v/>
      </c>
      <c r="W18" s="25">
        <f>IF(E18="","",IFERROR(INDEX(lst_JobName,MATCH(E18&amp;"",lst_Jobs,0)),""))</f>
        <v/>
      </c>
      <c r="X18" s="28">
        <f>IF(E18="","",COUNTIFS(tbl_Finance[Job Number],E18&amp;"",tbl_Finance[Ex GST],"&lt;&gt;"))</f>
        <v/>
      </c>
      <c r="Y18" s="27">
        <f>IF(E18="","",SUMIFS(tbl_Finance[Ex GST],tbl_Finance[Job Number],E18&amp;""))</f>
        <v/>
      </c>
      <c r="Z18" s="27">
        <f>IF(E18="","",SUMIFS(tbl_Finance[Ex GST],tbl_Finance[Job Number],E18&amp;"",tbl_Finance[Xero Invoice No],"&lt;&gt;"))</f>
        <v/>
      </c>
      <c r="AA18" s="27">
        <f>IF(E18="","",Y18-Z18)</f>
        <v/>
      </c>
      <c r="AB18" s="25">
        <f>IF(E18="","",IF(H18="Onsite",IFERROR(INDEX(tbl_Onsite[Qwilr Quote],MATCH(E18&amp;"",tbl_Onsite[Job Number],0)),""),IF(H18="Production",IFERROR(IF(INDEX(tbl_Production[Current RMS No],MATCH(E18&amp;"",tbl_Production[Job Number],0))="",INDEX(tbl_Production[Qwilr Quote],MATCH(E18&amp;"",tbl_Production[Job Number],0)),INDEX(tbl_Production[Current RMS No],MATCH(E18&amp;"",tbl_Production[Job Number],0))),""),IF(H18="Consulting",IFERROR(INDEX(tbl_Consulting[Qwilr Quote],MATCH(E18&amp;"",tbl_Consulting[Job Number],0)),""),""))))</f>
        <v/>
      </c>
      <c r="AC18" s="25">
        <f>IF(AB18="","",IF(AND(LEFT(AB18,4)&lt;&gt;"http",IF(H18="Production",set_RMSBase,set_QwilrBase)=""),"",HYPERLINK(IF(LEFT(AB18,4)="http",AB18,IF(H18="Production",set_RMSBase,set_QwilrBase)&amp;AB18),"Open")))</f>
        <v/>
      </c>
      <c r="AD18" s="27">
        <f>IF(E18="","",IF(H18="Production",IFERROR(INDEX(tbl_Production[Total Expense],MATCH(E18&amp;"",tbl_Production[Job Number],0)),0),IF(H18="Consulting",IFERROR(INDEX(tbl_Consulting[Total Expense],MATCH(E18&amp;"",tbl_Consulting[Job Number],0)),0),0)))</f>
        <v/>
      </c>
      <c r="AE18" s="27">
        <f>IF(E18="","",Y18-N(AD18))</f>
        <v/>
      </c>
      <c r="AF18" s="29">
        <f>IFERROR(AE18/Y18,"")</f>
        <v/>
      </c>
      <c r="AG18" s="25">
        <f>IF(E18="","",IF(H18="Onsite",IFERROR(INDEX(tbl_Onsite[Notes],MATCH(E18&amp;"",tbl_Onsite[Job Number],0)),""),IF(H18="Production",IFERROR(INDEX(tbl_Production[Notes],MATCH(E18&amp;"",tbl_Production[Job Number],0)),""),IF(H18="Consulting",IFERROR(INDEX(tbl_Consulting[Notes],MATCH(E18&amp;"",tbl_Consulting[Job Number],0)),""),""))))</f>
        <v/>
      </c>
    </row>
    <row r="19" ht="15" customHeight="1">
      <c r="A19" s="22" t="n">
        <v>46234</v>
      </c>
      <c r="B19" s="23">
        <f>IF(A19="","",EOMONTH(A19,0))</f>
        <v/>
      </c>
      <c r="C19" s="24" t="inlineStr">
        <is>
          <t>INV-10542</t>
        </is>
      </c>
      <c r="D19" s="24" t="inlineStr">
        <is>
          <t>CBA</t>
        </is>
      </c>
      <c r="E19" s="24" t="inlineStr">
        <is>
          <t>1668</t>
        </is>
      </c>
      <c r="F19" s="25">
        <f>IF(E19="","",IF(COUNTIF(lst_Jobs,E19&amp;"")&gt;0,"OK","CHECK"))</f>
        <v/>
      </c>
      <c r="G19" s="24" t="inlineStr">
        <is>
          <t>AH Support 02/07/2026</t>
        </is>
      </c>
      <c r="H19" s="24" t="inlineStr">
        <is>
          <t>Onsite</t>
        </is>
      </c>
      <c r="I19" s="24" t="inlineStr">
        <is>
          <t>ONSITE</t>
        </is>
      </c>
      <c r="J19" s="24" t="inlineStr">
        <is>
          <t>Contract</t>
        </is>
      </c>
      <c r="K19" s="24" t="inlineStr">
        <is>
          <t>GST 10%</t>
        </is>
      </c>
      <c r="L19" s="26" t="n">
        <v>180</v>
      </c>
      <c r="M19" s="27">
        <f>IF(L19="","",IF(K19="GST 10%",ROUND(L19*set_GSTRate,2),0))</f>
        <v/>
      </c>
      <c r="N19" s="27">
        <f>IF(L19="","",L19+M19)</f>
        <v/>
      </c>
      <c r="O19" s="24" t="inlineStr">
        <is>
          <t>41100</t>
        </is>
      </c>
      <c r="P19" s="24" t="inlineStr">
        <is>
          <t>Y</t>
        </is>
      </c>
      <c r="Q19" s="24" t="inlineStr">
        <is>
          <t>N</t>
        </is>
      </c>
      <c r="R19" s="22" t="n"/>
      <c r="S19" s="22" t="n"/>
      <c r="T19" s="24" t="inlineStr">
        <is>
          <t>Invoiced</t>
        </is>
      </c>
      <c r="U19" s="24" t="n"/>
      <c r="V19" s="25">
        <f>IF(COUNTA(A19,D19,C19,L19)=0,"",IF(A19="","No date - sits outside every month",IF(E19="","No job number",IF(F19="CHECK","Job number is not in the Xero job list",IF(I19="","No cost centre",IF(AND(P19="Y",C19=""),"Marked posted to Xero but has no invoice number",IF(AND(L19&lt;&gt;"",K19=""),"No tax code",IF(AND(L19&lt;&gt;"",O19=""),"No revenue GL code",""))))))))</f>
        <v/>
      </c>
      <c r="W19" s="25">
        <f>IF(E19="","",IFERROR(INDEX(lst_JobName,MATCH(E19&amp;"",lst_Jobs,0)),""))</f>
        <v/>
      </c>
      <c r="X19" s="28">
        <f>IF(E19="","",COUNTIFS(tbl_Finance[Job Number],E19&amp;"",tbl_Finance[Ex GST],"&lt;&gt;"))</f>
        <v/>
      </c>
      <c r="Y19" s="27">
        <f>IF(E19="","",SUMIFS(tbl_Finance[Ex GST],tbl_Finance[Job Number],E19&amp;""))</f>
        <v/>
      </c>
      <c r="Z19" s="27">
        <f>IF(E19="","",SUMIFS(tbl_Finance[Ex GST],tbl_Finance[Job Number],E19&amp;"",tbl_Finance[Xero Invoice No],"&lt;&gt;"))</f>
        <v/>
      </c>
      <c r="AA19" s="27">
        <f>IF(E19="","",Y19-Z19)</f>
        <v/>
      </c>
      <c r="AB19" s="25">
        <f>IF(E19="","",IF(H19="Onsite",IFERROR(INDEX(tbl_Onsite[Qwilr Quote],MATCH(E19&amp;"",tbl_Onsite[Job Number],0)),""),IF(H19="Production",IFERROR(IF(INDEX(tbl_Production[Current RMS No],MATCH(E19&amp;"",tbl_Production[Job Number],0))="",INDEX(tbl_Production[Qwilr Quote],MATCH(E19&amp;"",tbl_Production[Job Number],0)),INDEX(tbl_Production[Current RMS No],MATCH(E19&amp;"",tbl_Production[Job Number],0))),""),IF(H19="Consulting",IFERROR(INDEX(tbl_Consulting[Qwilr Quote],MATCH(E19&amp;"",tbl_Consulting[Job Number],0)),""),""))))</f>
        <v/>
      </c>
      <c r="AC19" s="25">
        <f>IF(AB19="","",IF(AND(LEFT(AB19,4)&lt;&gt;"http",IF(H19="Production",set_RMSBase,set_QwilrBase)=""),"",HYPERLINK(IF(LEFT(AB19,4)="http",AB19,IF(H19="Production",set_RMSBase,set_QwilrBase)&amp;AB19),"Open")))</f>
        <v/>
      </c>
      <c r="AD19" s="27">
        <f>IF(E19="","",IF(H19="Production",IFERROR(INDEX(tbl_Production[Total Expense],MATCH(E19&amp;"",tbl_Production[Job Number],0)),0),IF(H19="Consulting",IFERROR(INDEX(tbl_Consulting[Total Expense],MATCH(E19&amp;"",tbl_Consulting[Job Number],0)),0),0)))</f>
        <v/>
      </c>
      <c r="AE19" s="27">
        <f>IF(E19="","",Y19-N(AD19))</f>
        <v/>
      </c>
      <c r="AF19" s="29">
        <f>IFERROR(AE19/Y19,"")</f>
        <v/>
      </c>
      <c r="AG19" s="25">
        <f>IF(E19="","",IF(H19="Onsite",IFERROR(INDEX(tbl_Onsite[Notes],MATCH(E19&amp;"",tbl_Onsite[Job Number],0)),""),IF(H19="Production",IFERROR(INDEX(tbl_Production[Notes],MATCH(E19&amp;"",tbl_Production[Job Number],0)),""),IF(H19="Consulting",IFERROR(INDEX(tbl_Consulting[Notes],MATCH(E19&amp;"",tbl_Consulting[Job Number],0)),""),""))))</f>
        <v/>
      </c>
    </row>
    <row r="20" ht="15" customHeight="1">
      <c r="A20" s="22" t="n">
        <v>46234</v>
      </c>
      <c r="B20" s="23">
        <f>IF(A20="","",EOMONTH(A20,0))</f>
        <v/>
      </c>
      <c r="C20" s="24" t="inlineStr">
        <is>
          <t>INV-10543</t>
        </is>
      </c>
      <c r="D20" s="24" t="inlineStr">
        <is>
          <t>CBA</t>
        </is>
      </c>
      <c r="E20" s="24" t="inlineStr">
        <is>
          <t>1668</t>
        </is>
      </c>
      <c r="F20" s="25">
        <f>IF(E20="","",IF(COUNTIF(lst_Jobs,E20&amp;"")&gt;0,"OK","CHECK"))</f>
        <v/>
      </c>
      <c r="G20" s="24" t="inlineStr">
        <is>
          <t>DT Support 02/07/2026</t>
        </is>
      </c>
      <c r="H20" s="24" t="inlineStr">
        <is>
          <t>Onsite</t>
        </is>
      </c>
      <c r="I20" s="24" t="inlineStr">
        <is>
          <t>ONSITE</t>
        </is>
      </c>
      <c r="J20" s="24" t="inlineStr">
        <is>
          <t>Contract</t>
        </is>
      </c>
      <c r="K20" s="24" t="inlineStr">
        <is>
          <t>GST 10%</t>
        </is>
      </c>
      <c r="L20" s="26" t="n">
        <v>425</v>
      </c>
      <c r="M20" s="27">
        <f>IF(L20="","",IF(K20="GST 10%",ROUND(L20*set_GSTRate,2),0))</f>
        <v/>
      </c>
      <c r="N20" s="27">
        <f>IF(L20="","",L20+M20)</f>
        <v/>
      </c>
      <c r="O20" s="24" t="inlineStr">
        <is>
          <t>41100</t>
        </is>
      </c>
      <c r="P20" s="24" t="inlineStr">
        <is>
          <t>Y</t>
        </is>
      </c>
      <c r="Q20" s="24" t="inlineStr">
        <is>
          <t>N</t>
        </is>
      </c>
      <c r="R20" s="22" t="n"/>
      <c r="S20" s="22" t="n"/>
      <c r="T20" s="24" t="inlineStr">
        <is>
          <t>Invoiced</t>
        </is>
      </c>
      <c r="U20" s="24" t="n"/>
      <c r="V20" s="25">
        <f>IF(COUNTA(A20,D20,C20,L20)=0,"",IF(A20="","No date - sits outside every month",IF(E20="","No job number",IF(F20="CHECK","Job number is not in the Xero job list",IF(I20="","No cost centre",IF(AND(P20="Y",C20=""),"Marked posted to Xero but has no invoice number",IF(AND(L20&lt;&gt;"",K20=""),"No tax code",IF(AND(L20&lt;&gt;"",O20=""),"No revenue GL code",""))))))))</f>
        <v/>
      </c>
      <c r="W20" s="25">
        <f>IF(E20="","",IFERROR(INDEX(lst_JobName,MATCH(E20&amp;"",lst_Jobs,0)),""))</f>
        <v/>
      </c>
      <c r="X20" s="28">
        <f>IF(E20="","",COUNTIFS(tbl_Finance[Job Number],E20&amp;"",tbl_Finance[Ex GST],"&lt;&gt;"))</f>
        <v/>
      </c>
      <c r="Y20" s="27">
        <f>IF(E20="","",SUMIFS(tbl_Finance[Ex GST],tbl_Finance[Job Number],E20&amp;""))</f>
        <v/>
      </c>
      <c r="Z20" s="27">
        <f>IF(E20="","",SUMIFS(tbl_Finance[Ex GST],tbl_Finance[Job Number],E20&amp;"",tbl_Finance[Xero Invoice No],"&lt;&gt;"))</f>
        <v/>
      </c>
      <c r="AA20" s="27">
        <f>IF(E20="","",Y20-Z20)</f>
        <v/>
      </c>
      <c r="AB20" s="25">
        <f>IF(E20="","",IF(H20="Onsite",IFERROR(INDEX(tbl_Onsite[Qwilr Quote],MATCH(E20&amp;"",tbl_Onsite[Job Number],0)),""),IF(H20="Production",IFERROR(IF(INDEX(tbl_Production[Current RMS No],MATCH(E20&amp;"",tbl_Production[Job Number],0))="",INDEX(tbl_Production[Qwilr Quote],MATCH(E20&amp;"",tbl_Production[Job Number],0)),INDEX(tbl_Production[Current RMS No],MATCH(E20&amp;"",tbl_Production[Job Number],0))),""),IF(H20="Consulting",IFERROR(INDEX(tbl_Consulting[Qwilr Quote],MATCH(E20&amp;"",tbl_Consulting[Job Number],0)),""),""))))</f>
        <v/>
      </c>
      <c r="AC20" s="25">
        <f>IF(AB20="","",IF(AND(LEFT(AB20,4)&lt;&gt;"http",IF(H20="Production",set_RMSBase,set_QwilrBase)=""),"",HYPERLINK(IF(LEFT(AB20,4)="http",AB20,IF(H20="Production",set_RMSBase,set_QwilrBase)&amp;AB20),"Open")))</f>
        <v/>
      </c>
      <c r="AD20" s="27">
        <f>IF(E20="","",IF(H20="Production",IFERROR(INDEX(tbl_Production[Total Expense],MATCH(E20&amp;"",tbl_Production[Job Number],0)),0),IF(H20="Consulting",IFERROR(INDEX(tbl_Consulting[Total Expense],MATCH(E20&amp;"",tbl_Consulting[Job Number],0)),0),0)))</f>
        <v/>
      </c>
      <c r="AE20" s="27">
        <f>IF(E20="","",Y20-N(AD20))</f>
        <v/>
      </c>
      <c r="AF20" s="29">
        <f>IFERROR(AE20/Y20,"")</f>
        <v/>
      </c>
      <c r="AG20" s="25">
        <f>IF(E20="","",IF(H20="Onsite",IFERROR(INDEX(tbl_Onsite[Notes],MATCH(E20&amp;"",tbl_Onsite[Job Number],0)),""),IF(H20="Production",IFERROR(INDEX(tbl_Production[Notes],MATCH(E20&amp;"",tbl_Production[Job Number],0)),""),IF(H20="Consulting",IFERROR(INDEX(tbl_Consulting[Notes],MATCH(E20&amp;"",tbl_Consulting[Job Number],0)),""),""))))</f>
        <v/>
      </c>
    </row>
    <row r="21" ht="15" customHeight="1">
      <c r="A21" s="22" t="n">
        <v>46234</v>
      </c>
      <c r="B21" s="23">
        <f>IF(A21="","",EOMONTH(A21,0))</f>
        <v/>
      </c>
      <c r="C21" s="24" t="inlineStr">
        <is>
          <t>INV-10544</t>
        </is>
      </c>
      <c r="D21" s="24" t="inlineStr">
        <is>
          <t>CBA</t>
        </is>
      </c>
      <c r="E21" s="24" t="inlineStr">
        <is>
          <t>1668</t>
        </is>
      </c>
      <c r="F21" s="25">
        <f>IF(E21="","",IF(COUNTIF(lst_Jobs,E21&amp;"")&gt;0,"OK","CHECK"))</f>
        <v/>
      </c>
      <c r="G21" s="24" t="inlineStr">
        <is>
          <t>DT Support 23/07/2026</t>
        </is>
      </c>
      <c r="H21" s="24" t="inlineStr">
        <is>
          <t>Onsite</t>
        </is>
      </c>
      <c r="I21" s="24" t="inlineStr">
        <is>
          <t>ONSITE</t>
        </is>
      </c>
      <c r="J21" s="24" t="inlineStr">
        <is>
          <t>Contract</t>
        </is>
      </c>
      <c r="K21" s="24" t="inlineStr">
        <is>
          <t>GST 10%</t>
        </is>
      </c>
      <c r="L21" s="26" t="n">
        <v>510</v>
      </c>
      <c r="M21" s="27">
        <f>IF(L21="","",IF(K21="GST 10%",ROUND(L21*set_GSTRate,2),0))</f>
        <v/>
      </c>
      <c r="N21" s="27">
        <f>IF(L21="","",L21+M21)</f>
        <v/>
      </c>
      <c r="O21" s="24" t="inlineStr">
        <is>
          <t>41100</t>
        </is>
      </c>
      <c r="P21" s="24" t="inlineStr">
        <is>
          <t>Y</t>
        </is>
      </c>
      <c r="Q21" s="24" t="inlineStr">
        <is>
          <t>N</t>
        </is>
      </c>
      <c r="R21" s="22" t="n"/>
      <c r="S21" s="22" t="n"/>
      <c r="T21" s="24" t="inlineStr">
        <is>
          <t>Invoiced</t>
        </is>
      </c>
      <c r="U21" s="24" t="n"/>
      <c r="V21" s="25">
        <f>IF(COUNTA(A21,D21,C21,L21)=0,"",IF(A21="","No date - sits outside every month",IF(E21="","No job number",IF(F21="CHECK","Job number is not in the Xero job list",IF(I21="","No cost centre",IF(AND(P21="Y",C21=""),"Marked posted to Xero but has no invoice number",IF(AND(L21&lt;&gt;"",K21=""),"No tax code",IF(AND(L21&lt;&gt;"",O21=""),"No revenue GL code",""))))))))</f>
        <v/>
      </c>
      <c r="W21" s="25">
        <f>IF(E21="","",IFERROR(INDEX(lst_JobName,MATCH(E21&amp;"",lst_Jobs,0)),""))</f>
        <v/>
      </c>
      <c r="X21" s="28">
        <f>IF(E21="","",COUNTIFS(tbl_Finance[Job Number],E21&amp;"",tbl_Finance[Ex GST],"&lt;&gt;"))</f>
        <v/>
      </c>
      <c r="Y21" s="27">
        <f>IF(E21="","",SUMIFS(tbl_Finance[Ex GST],tbl_Finance[Job Number],E21&amp;""))</f>
        <v/>
      </c>
      <c r="Z21" s="27">
        <f>IF(E21="","",SUMIFS(tbl_Finance[Ex GST],tbl_Finance[Job Number],E21&amp;"",tbl_Finance[Xero Invoice No],"&lt;&gt;"))</f>
        <v/>
      </c>
      <c r="AA21" s="27">
        <f>IF(E21="","",Y21-Z21)</f>
        <v/>
      </c>
      <c r="AB21" s="25">
        <f>IF(E21="","",IF(H21="Onsite",IFERROR(INDEX(tbl_Onsite[Qwilr Quote],MATCH(E21&amp;"",tbl_Onsite[Job Number],0)),""),IF(H21="Production",IFERROR(IF(INDEX(tbl_Production[Current RMS No],MATCH(E21&amp;"",tbl_Production[Job Number],0))="",INDEX(tbl_Production[Qwilr Quote],MATCH(E21&amp;"",tbl_Production[Job Number],0)),INDEX(tbl_Production[Current RMS No],MATCH(E21&amp;"",tbl_Production[Job Number],0))),""),IF(H21="Consulting",IFERROR(INDEX(tbl_Consulting[Qwilr Quote],MATCH(E21&amp;"",tbl_Consulting[Job Number],0)),""),""))))</f>
        <v/>
      </c>
      <c r="AC21" s="25">
        <f>IF(AB21="","",IF(AND(LEFT(AB21,4)&lt;&gt;"http",IF(H21="Production",set_RMSBase,set_QwilrBase)=""),"",HYPERLINK(IF(LEFT(AB21,4)="http",AB21,IF(H21="Production",set_RMSBase,set_QwilrBase)&amp;AB21),"Open")))</f>
        <v/>
      </c>
      <c r="AD21" s="27">
        <f>IF(E21="","",IF(H21="Production",IFERROR(INDEX(tbl_Production[Total Expense],MATCH(E21&amp;"",tbl_Production[Job Number],0)),0),IF(H21="Consulting",IFERROR(INDEX(tbl_Consulting[Total Expense],MATCH(E21&amp;"",tbl_Consulting[Job Number],0)),0),0)))</f>
        <v/>
      </c>
      <c r="AE21" s="27">
        <f>IF(E21="","",Y21-N(AD21))</f>
        <v/>
      </c>
      <c r="AF21" s="29">
        <f>IFERROR(AE21/Y21,"")</f>
        <v/>
      </c>
      <c r="AG21" s="25">
        <f>IF(E21="","",IF(H21="Onsite",IFERROR(INDEX(tbl_Onsite[Notes],MATCH(E21&amp;"",tbl_Onsite[Job Number],0)),""),IF(H21="Production",IFERROR(INDEX(tbl_Production[Notes],MATCH(E21&amp;"",tbl_Production[Job Number],0)),""),IF(H21="Consulting",IFERROR(INDEX(tbl_Consulting[Notes],MATCH(E21&amp;"",tbl_Consulting[Job Number],0)),""),""))))</f>
        <v/>
      </c>
    </row>
    <row r="22" ht="15" customHeight="1">
      <c r="A22" s="22" t="n">
        <v>46233</v>
      </c>
      <c r="B22" s="23">
        <f>IF(A22="","",EOMONTH(A22,0))</f>
        <v/>
      </c>
      <c r="C22" s="24" t="inlineStr">
        <is>
          <t>INV-10545</t>
        </is>
      </c>
      <c r="D22" s="24" t="inlineStr">
        <is>
          <t>PWC</t>
        </is>
      </c>
      <c r="E22" s="24" t="inlineStr">
        <is>
          <t>2540</t>
        </is>
      </c>
      <c r="F22" s="25">
        <f>IF(E22="","",IF(COUNTIF(lst_Jobs,E22&amp;"")&gt;0,"OK","CHECK"))</f>
        <v/>
      </c>
      <c r="G22" s="24" t="inlineStr">
        <is>
          <t>PWC Dedicated Tech 30/07/2026</t>
        </is>
      </c>
      <c r="H22" s="24" t="inlineStr">
        <is>
          <t>Onsite</t>
        </is>
      </c>
      <c r="I22" s="24" t="inlineStr">
        <is>
          <t>ONSITE</t>
        </is>
      </c>
      <c r="J22" s="24" t="inlineStr">
        <is>
          <t>Contract</t>
        </is>
      </c>
      <c r="K22" s="24" t="inlineStr">
        <is>
          <t>GST 10%</t>
        </is>
      </c>
      <c r="L22" s="26" t="n">
        <v>340</v>
      </c>
      <c r="M22" s="27">
        <f>IF(L22="","",IF(K22="GST 10%",ROUND(L22*set_GSTRate,2),0))</f>
        <v/>
      </c>
      <c r="N22" s="27">
        <f>IF(L22="","",L22+M22)</f>
        <v/>
      </c>
      <c r="O22" s="24" t="inlineStr">
        <is>
          <t>41100</t>
        </is>
      </c>
      <c r="P22" s="24" t="inlineStr">
        <is>
          <t>Y</t>
        </is>
      </c>
      <c r="Q22" s="24" t="inlineStr">
        <is>
          <t>N</t>
        </is>
      </c>
      <c r="R22" s="22" t="n"/>
      <c r="S22" s="22" t="n"/>
      <c r="T22" s="24" t="inlineStr">
        <is>
          <t>Invoiced</t>
        </is>
      </c>
      <c r="U22" s="24" t="inlineStr">
        <is>
          <t>PO2601703274</t>
        </is>
      </c>
      <c r="V22" s="25">
        <f>IF(COUNTA(A22,D22,C22,L22)=0,"",IF(A22="","No date - sits outside every month",IF(E22="","No job number",IF(F22="CHECK","Job number is not in the Xero job list",IF(I22="","No cost centre",IF(AND(P22="Y",C22=""),"Marked posted to Xero but has no invoice number",IF(AND(L22&lt;&gt;"",K22=""),"No tax code",IF(AND(L22&lt;&gt;"",O22=""),"No revenue GL code",""))))))))</f>
        <v/>
      </c>
      <c r="W22" s="25">
        <f>IF(E22="","",IFERROR(INDEX(lst_JobName,MATCH(E22&amp;"",lst_Jobs,0)),""))</f>
        <v/>
      </c>
      <c r="X22" s="28">
        <f>IF(E22="","",COUNTIFS(tbl_Finance[Job Number],E22&amp;"",tbl_Finance[Ex GST],"&lt;&gt;"))</f>
        <v/>
      </c>
      <c r="Y22" s="27">
        <f>IF(E22="","",SUMIFS(tbl_Finance[Ex GST],tbl_Finance[Job Number],E22&amp;""))</f>
        <v/>
      </c>
      <c r="Z22" s="27">
        <f>IF(E22="","",SUMIFS(tbl_Finance[Ex GST],tbl_Finance[Job Number],E22&amp;"",tbl_Finance[Xero Invoice No],"&lt;&gt;"))</f>
        <v/>
      </c>
      <c r="AA22" s="27">
        <f>IF(E22="","",Y22-Z22)</f>
        <v/>
      </c>
      <c r="AB22" s="25">
        <f>IF(E22="","",IF(H22="Onsite",IFERROR(INDEX(tbl_Onsite[Qwilr Quote],MATCH(E22&amp;"",tbl_Onsite[Job Number],0)),""),IF(H22="Production",IFERROR(IF(INDEX(tbl_Production[Current RMS No],MATCH(E22&amp;"",tbl_Production[Job Number],0))="",INDEX(tbl_Production[Qwilr Quote],MATCH(E22&amp;"",tbl_Production[Job Number],0)),INDEX(tbl_Production[Current RMS No],MATCH(E22&amp;"",tbl_Production[Job Number],0))),""),IF(H22="Consulting",IFERROR(INDEX(tbl_Consulting[Qwilr Quote],MATCH(E22&amp;"",tbl_Consulting[Job Number],0)),""),""))))</f>
        <v/>
      </c>
      <c r="AC22" s="25">
        <f>IF(AB22="","",IF(AND(LEFT(AB22,4)&lt;&gt;"http",IF(H22="Production",set_RMSBase,set_QwilrBase)=""),"",HYPERLINK(IF(LEFT(AB22,4)="http",AB22,IF(H22="Production",set_RMSBase,set_QwilrBase)&amp;AB22),"Open")))</f>
        <v/>
      </c>
      <c r="AD22" s="27">
        <f>IF(E22="","",IF(H22="Production",IFERROR(INDEX(tbl_Production[Total Expense],MATCH(E22&amp;"",tbl_Production[Job Number],0)),0),IF(H22="Consulting",IFERROR(INDEX(tbl_Consulting[Total Expense],MATCH(E22&amp;"",tbl_Consulting[Job Number],0)),0),0)))</f>
        <v/>
      </c>
      <c r="AE22" s="27">
        <f>IF(E22="","",Y22-N(AD22))</f>
        <v/>
      </c>
      <c r="AF22" s="29">
        <f>IFERROR(AE22/Y22,"")</f>
        <v/>
      </c>
      <c r="AG22" s="25">
        <f>IF(E22="","",IF(H22="Onsite",IFERROR(INDEX(tbl_Onsite[Notes],MATCH(E22&amp;"",tbl_Onsite[Job Number],0)),""),IF(H22="Production",IFERROR(INDEX(tbl_Production[Notes],MATCH(E22&amp;"",tbl_Production[Job Number],0)),""),IF(H22="Consulting",IFERROR(INDEX(tbl_Consulting[Notes],MATCH(E22&amp;"",tbl_Consulting[Job Number],0)),""),""))))</f>
        <v/>
      </c>
    </row>
    <row r="23" ht="15" customHeight="1">
      <c r="A23" s="22" t="n">
        <v>46233</v>
      </c>
      <c r="B23" s="23">
        <f>IF(A23="","",EOMONTH(A23,0))</f>
        <v/>
      </c>
      <c r="C23" s="24" t="inlineStr">
        <is>
          <t>INV-10546</t>
        </is>
      </c>
      <c r="D23" s="24" t="inlineStr">
        <is>
          <t>DTTL</t>
        </is>
      </c>
      <c r="E23" s="24" t="inlineStr">
        <is>
          <t>26062501/2347</t>
        </is>
      </c>
      <c r="F23" s="25">
        <f>IF(E23="","",IF(COUNTIF(lst_Jobs,E23&amp;"")&gt;0,"OK","CHECK"))</f>
        <v/>
      </c>
      <c r="G23" s="24" t="inlineStr">
        <is>
          <t>DH Travel 06-07/07 &amp; Ad-hoc Tech Support 30/07 &amp; Market Shapers</t>
        </is>
      </c>
      <c r="H23" s="24" t="inlineStr">
        <is>
          <t>Onsite</t>
        </is>
      </c>
      <c r="I23" s="24" t="inlineStr">
        <is>
          <t>ONSITE</t>
        </is>
      </c>
      <c r="J23" s="24" t="inlineStr">
        <is>
          <t>Contract</t>
        </is>
      </c>
      <c r="K23" s="24" t="inlineStr">
        <is>
          <t>GST 10%</t>
        </is>
      </c>
      <c r="L23" s="26" t="n">
        <v>1672.5</v>
      </c>
      <c r="M23" s="27">
        <f>IF(L23="","",IF(K23="GST 10%",ROUND(L23*set_GSTRate,2),0))</f>
        <v/>
      </c>
      <c r="N23" s="27">
        <f>IF(L23="","",L23+M23)</f>
        <v/>
      </c>
      <c r="O23" s="24" t="inlineStr">
        <is>
          <t>41100</t>
        </is>
      </c>
      <c r="P23" s="24" t="inlineStr">
        <is>
          <t>Y</t>
        </is>
      </c>
      <c r="Q23" s="24" t="inlineStr">
        <is>
          <t>N</t>
        </is>
      </c>
      <c r="R23" s="22" t="n"/>
      <c r="S23" s="22" t="n"/>
      <c r="T23" s="24" t="inlineStr">
        <is>
          <t>Invoiced</t>
        </is>
      </c>
      <c r="U23" s="24" t="n"/>
      <c r="V23" s="25">
        <f>IF(COUNTA(A23,D23,C23,L23)=0,"",IF(A23="","No date - sits outside every month",IF(E23="","No job number",IF(F23="CHECK","Job number is not in the Xero job list",IF(I23="","No cost centre",IF(AND(P23="Y",C23=""),"Marked posted to Xero but has no invoice number",IF(AND(L23&lt;&gt;"",K23=""),"No tax code",IF(AND(L23&lt;&gt;"",O23=""),"No revenue GL code",""))))))))</f>
        <v/>
      </c>
      <c r="W23" s="25">
        <f>IF(E23="","",IFERROR(INDEX(lst_JobName,MATCH(E23&amp;"",lst_Jobs,0)),""))</f>
        <v/>
      </c>
      <c r="X23" s="28">
        <f>IF(E23="","",COUNTIFS(tbl_Finance[Job Number],E23&amp;"",tbl_Finance[Ex GST],"&lt;&gt;"))</f>
        <v/>
      </c>
      <c r="Y23" s="27">
        <f>IF(E23="","",SUMIFS(tbl_Finance[Ex GST],tbl_Finance[Job Number],E23&amp;""))</f>
        <v/>
      </c>
      <c r="Z23" s="27">
        <f>IF(E23="","",SUMIFS(tbl_Finance[Ex GST],tbl_Finance[Job Number],E23&amp;"",tbl_Finance[Xero Invoice No],"&lt;&gt;"))</f>
        <v/>
      </c>
      <c r="AA23" s="27">
        <f>IF(E23="","",Y23-Z23)</f>
        <v/>
      </c>
      <c r="AB23" s="25">
        <f>IF(E23="","",IF(H23="Onsite",IFERROR(INDEX(tbl_Onsite[Qwilr Quote],MATCH(E23&amp;"",tbl_Onsite[Job Number],0)),""),IF(H23="Production",IFERROR(IF(INDEX(tbl_Production[Current RMS No],MATCH(E23&amp;"",tbl_Production[Job Number],0))="",INDEX(tbl_Production[Qwilr Quote],MATCH(E23&amp;"",tbl_Production[Job Number],0)),INDEX(tbl_Production[Current RMS No],MATCH(E23&amp;"",tbl_Production[Job Number],0))),""),IF(H23="Consulting",IFERROR(INDEX(tbl_Consulting[Qwilr Quote],MATCH(E23&amp;"",tbl_Consulting[Job Number],0)),""),""))))</f>
        <v/>
      </c>
      <c r="AC23" s="25">
        <f>IF(AB23="","",IF(AND(LEFT(AB23,4)&lt;&gt;"http",IF(H23="Production",set_RMSBase,set_QwilrBase)=""),"",HYPERLINK(IF(LEFT(AB23,4)="http",AB23,IF(H23="Production",set_RMSBase,set_QwilrBase)&amp;AB23),"Open")))</f>
        <v/>
      </c>
      <c r="AD23" s="27">
        <f>IF(E23="","",IF(H23="Production",IFERROR(INDEX(tbl_Production[Total Expense],MATCH(E23&amp;"",tbl_Production[Job Number],0)),0),IF(H23="Consulting",IFERROR(INDEX(tbl_Consulting[Total Expense],MATCH(E23&amp;"",tbl_Consulting[Job Number],0)),0),0)))</f>
        <v/>
      </c>
      <c r="AE23" s="27">
        <f>IF(E23="","",Y23-N(AD23))</f>
        <v/>
      </c>
      <c r="AF23" s="29">
        <f>IFERROR(AE23/Y23,"")</f>
        <v/>
      </c>
      <c r="AG23" s="25">
        <f>IF(E23="","",IF(H23="Onsite",IFERROR(INDEX(tbl_Onsite[Notes],MATCH(E23&amp;"",tbl_Onsite[Job Number],0)),""),IF(H23="Production",IFERROR(INDEX(tbl_Production[Notes],MATCH(E23&amp;"",tbl_Production[Job Number],0)),""),IF(H23="Consulting",IFERROR(INDEX(tbl_Consulting[Notes],MATCH(E23&amp;"",tbl_Consulting[Job Number],0)),""),""))))</f>
        <v/>
      </c>
    </row>
    <row r="24" ht="15" customHeight="1">
      <c r="A24" s="22" t="n">
        <v>46233</v>
      </c>
      <c r="B24" s="23">
        <f>IF(A24="","",EOMONTH(A24,0))</f>
        <v/>
      </c>
      <c r="C24" s="24" t="inlineStr">
        <is>
          <t>INV-10550</t>
        </is>
      </c>
      <c r="D24" s="24" t="inlineStr">
        <is>
          <t>APN</t>
        </is>
      </c>
      <c r="E24" s="24" t="inlineStr">
        <is>
          <t>2026021101</t>
        </is>
      </c>
      <c r="F24" s="25">
        <f>IF(E24="","",IF(COUNTIF(lst_Jobs,E24&amp;"")&gt;0,"OK","CHECK"))</f>
        <v/>
      </c>
      <c r="G24" s="24" t="inlineStr">
        <is>
          <t>APN Quarterly AV Support</t>
        </is>
      </c>
      <c r="H24" s="24" t="inlineStr">
        <is>
          <t>Onsite</t>
        </is>
      </c>
      <c r="I24" s="24" t="inlineStr">
        <is>
          <t>ONSITE</t>
        </is>
      </c>
      <c r="J24" s="24" t="inlineStr">
        <is>
          <t>Contract</t>
        </is>
      </c>
      <c r="K24" s="24" t="inlineStr">
        <is>
          <t>GST 10%</t>
        </is>
      </c>
      <c r="L24" s="26" t="n">
        <v>1670</v>
      </c>
      <c r="M24" s="27">
        <f>IF(L24="","",IF(K24="GST 10%",ROUND(L24*set_GSTRate,2),0))</f>
        <v/>
      </c>
      <c r="N24" s="27">
        <f>IF(L24="","",L24+M24)</f>
        <v/>
      </c>
      <c r="O24" s="24" t="inlineStr">
        <is>
          <t>41100</t>
        </is>
      </c>
      <c r="P24" s="24" t="inlineStr">
        <is>
          <t>Y</t>
        </is>
      </c>
      <c r="Q24" s="24" t="inlineStr">
        <is>
          <t>N</t>
        </is>
      </c>
      <c r="R24" s="22" t="n"/>
      <c r="S24" s="22" t="n"/>
      <c r="T24" s="24" t="inlineStr">
        <is>
          <t>Invoiced</t>
        </is>
      </c>
      <c r="U24" s="24" t="inlineStr">
        <is>
          <t>Invoice 1/2</t>
        </is>
      </c>
      <c r="V24" s="25">
        <f>IF(COUNTA(A24,D24,C24,L24)=0,"",IF(A24="","No date - sits outside every month",IF(E24="","No job number",IF(F24="CHECK","Job number is not in the Xero job list",IF(I24="","No cost centre",IF(AND(P24="Y",C24=""),"Marked posted to Xero but has no invoice number",IF(AND(L24&lt;&gt;"",K24=""),"No tax code",IF(AND(L24&lt;&gt;"",O24=""),"No revenue GL code",""))))))))</f>
        <v/>
      </c>
      <c r="W24" s="25">
        <f>IF(E24="","",IFERROR(INDEX(lst_JobName,MATCH(E24&amp;"",lst_Jobs,0)),""))</f>
        <v/>
      </c>
      <c r="X24" s="28">
        <f>IF(E24="","",COUNTIFS(tbl_Finance[Job Number],E24&amp;"",tbl_Finance[Ex GST],"&lt;&gt;"))</f>
        <v/>
      </c>
      <c r="Y24" s="27">
        <f>IF(E24="","",SUMIFS(tbl_Finance[Ex GST],tbl_Finance[Job Number],E24&amp;""))</f>
        <v/>
      </c>
      <c r="Z24" s="27">
        <f>IF(E24="","",SUMIFS(tbl_Finance[Ex GST],tbl_Finance[Job Number],E24&amp;"",tbl_Finance[Xero Invoice No],"&lt;&gt;"))</f>
        <v/>
      </c>
      <c r="AA24" s="27">
        <f>IF(E24="","",Y24-Z24)</f>
        <v/>
      </c>
      <c r="AB24" s="25">
        <f>IF(E24="","",IF(H24="Onsite",IFERROR(INDEX(tbl_Onsite[Qwilr Quote],MATCH(E24&amp;"",tbl_Onsite[Job Number],0)),""),IF(H24="Production",IFERROR(IF(INDEX(tbl_Production[Current RMS No],MATCH(E24&amp;"",tbl_Production[Job Number],0))="",INDEX(tbl_Production[Qwilr Quote],MATCH(E24&amp;"",tbl_Production[Job Number],0)),INDEX(tbl_Production[Current RMS No],MATCH(E24&amp;"",tbl_Production[Job Number],0))),""),IF(H24="Consulting",IFERROR(INDEX(tbl_Consulting[Qwilr Quote],MATCH(E24&amp;"",tbl_Consulting[Job Number],0)),""),""))))</f>
        <v/>
      </c>
      <c r="AC24" s="25">
        <f>IF(AB24="","",IF(AND(LEFT(AB24,4)&lt;&gt;"http",IF(H24="Production",set_RMSBase,set_QwilrBase)=""),"",HYPERLINK(IF(LEFT(AB24,4)="http",AB24,IF(H24="Production",set_RMSBase,set_QwilrBase)&amp;AB24),"Open")))</f>
        <v/>
      </c>
      <c r="AD24" s="27">
        <f>IF(E24="","",IF(H24="Production",IFERROR(INDEX(tbl_Production[Total Expense],MATCH(E24&amp;"",tbl_Production[Job Number],0)),0),IF(H24="Consulting",IFERROR(INDEX(tbl_Consulting[Total Expense],MATCH(E24&amp;"",tbl_Consulting[Job Number],0)),0),0)))</f>
        <v/>
      </c>
      <c r="AE24" s="27">
        <f>IF(E24="","",Y24-N(AD24))</f>
        <v/>
      </c>
      <c r="AF24" s="29">
        <f>IFERROR(AE24/Y24,"")</f>
        <v/>
      </c>
      <c r="AG24" s="25">
        <f>IF(E24="","",IF(H24="Onsite",IFERROR(INDEX(tbl_Onsite[Notes],MATCH(E24&amp;"",tbl_Onsite[Job Number],0)),""),IF(H24="Production",IFERROR(INDEX(tbl_Production[Notes],MATCH(E24&amp;"",tbl_Production[Job Number],0)),""),IF(H24="Consulting",IFERROR(INDEX(tbl_Consulting[Notes],MATCH(E24&amp;"",tbl_Consulting[Job Number],0)),""),""))))</f>
        <v/>
      </c>
    </row>
    <row r="25" ht="15" customHeight="1">
      <c r="A25" s="22" t="n">
        <v>46234</v>
      </c>
      <c r="B25" s="23">
        <f>IF(A25="","",EOMONTH(A25,0))</f>
        <v/>
      </c>
      <c r="C25" s="24" t="inlineStr">
        <is>
          <t>INV-10551</t>
        </is>
      </c>
      <c r="D25" s="24" t="inlineStr">
        <is>
          <t>Aware Super</t>
        </is>
      </c>
      <c r="E25" s="24" t="inlineStr">
        <is>
          <t>26022301</t>
        </is>
      </c>
      <c r="F25" s="25">
        <f>IF(E25="","",IF(COUNTIF(lst_Jobs,E25&amp;"")&gt;0,"OK","CHECK"))</f>
        <v/>
      </c>
      <c r="G25" s="24" t="inlineStr">
        <is>
          <t>Aware Super Contract July 2026</t>
        </is>
      </c>
      <c r="H25" s="24" t="inlineStr">
        <is>
          <t>Onsite</t>
        </is>
      </c>
      <c r="I25" s="24" t="inlineStr">
        <is>
          <t>ONSITE</t>
        </is>
      </c>
      <c r="J25" s="24" t="inlineStr">
        <is>
          <t>Contract</t>
        </is>
      </c>
      <c r="K25" s="24" t="inlineStr">
        <is>
          <t>GST 10%</t>
        </is>
      </c>
      <c r="L25" s="26" t="n">
        <v>11000</v>
      </c>
      <c r="M25" s="27">
        <f>IF(L25="","",IF(K25="GST 10%",ROUND(L25*set_GSTRate,2),0))</f>
        <v/>
      </c>
      <c r="N25" s="27">
        <f>IF(L25="","",L25+M25)</f>
        <v/>
      </c>
      <c r="O25" s="24" t="inlineStr">
        <is>
          <t>41100</t>
        </is>
      </c>
      <c r="P25" s="24" t="inlineStr">
        <is>
          <t>Y</t>
        </is>
      </c>
      <c r="Q25" s="24" t="inlineStr">
        <is>
          <t>N</t>
        </is>
      </c>
      <c r="R25" s="22" t="n"/>
      <c r="S25" s="22" t="n"/>
      <c r="T25" s="24" t="inlineStr">
        <is>
          <t>Invoiced</t>
        </is>
      </c>
      <c r="U25" s="24" t="n"/>
      <c r="V25" s="25">
        <f>IF(COUNTA(A25,D25,C25,L25)=0,"",IF(A25="","No date - sits outside every month",IF(E25="","No job number",IF(F25="CHECK","Job number is not in the Xero job list",IF(I25="","No cost centre",IF(AND(P25="Y",C25=""),"Marked posted to Xero but has no invoice number",IF(AND(L25&lt;&gt;"",K25=""),"No tax code",IF(AND(L25&lt;&gt;"",O25=""),"No revenue GL code",""))))))))</f>
        <v/>
      </c>
      <c r="W25" s="25">
        <f>IF(E25="","",IFERROR(INDEX(lst_JobName,MATCH(E25&amp;"",lst_Jobs,0)),""))</f>
        <v/>
      </c>
      <c r="X25" s="28">
        <f>IF(E25="","",COUNTIFS(tbl_Finance[Job Number],E25&amp;"",tbl_Finance[Ex GST],"&lt;&gt;"))</f>
        <v/>
      </c>
      <c r="Y25" s="27">
        <f>IF(E25="","",SUMIFS(tbl_Finance[Ex GST],tbl_Finance[Job Number],E25&amp;""))</f>
        <v/>
      </c>
      <c r="Z25" s="27">
        <f>IF(E25="","",SUMIFS(tbl_Finance[Ex GST],tbl_Finance[Job Number],E25&amp;"",tbl_Finance[Xero Invoice No],"&lt;&gt;"))</f>
        <v/>
      </c>
      <c r="AA25" s="27">
        <f>IF(E25="","",Y25-Z25)</f>
        <v/>
      </c>
      <c r="AB25" s="25">
        <f>IF(E25="","",IF(H25="Onsite",IFERROR(INDEX(tbl_Onsite[Qwilr Quote],MATCH(E25&amp;"",tbl_Onsite[Job Number],0)),""),IF(H25="Production",IFERROR(IF(INDEX(tbl_Production[Current RMS No],MATCH(E25&amp;"",tbl_Production[Job Number],0))="",INDEX(tbl_Production[Qwilr Quote],MATCH(E25&amp;"",tbl_Production[Job Number],0)),INDEX(tbl_Production[Current RMS No],MATCH(E25&amp;"",tbl_Production[Job Number],0))),""),IF(H25="Consulting",IFERROR(INDEX(tbl_Consulting[Qwilr Quote],MATCH(E25&amp;"",tbl_Consulting[Job Number],0)),""),""))))</f>
        <v/>
      </c>
      <c r="AC25" s="25">
        <f>IF(AB25="","",IF(AND(LEFT(AB25,4)&lt;&gt;"http",IF(H25="Production",set_RMSBase,set_QwilrBase)=""),"",HYPERLINK(IF(LEFT(AB25,4)="http",AB25,IF(H25="Production",set_RMSBase,set_QwilrBase)&amp;AB25),"Open")))</f>
        <v/>
      </c>
      <c r="AD25" s="27">
        <f>IF(E25="","",IF(H25="Production",IFERROR(INDEX(tbl_Production[Total Expense],MATCH(E25&amp;"",tbl_Production[Job Number],0)),0),IF(H25="Consulting",IFERROR(INDEX(tbl_Consulting[Total Expense],MATCH(E25&amp;"",tbl_Consulting[Job Number],0)),0),0)))</f>
        <v/>
      </c>
      <c r="AE25" s="27">
        <f>IF(E25="","",Y25-N(AD25))</f>
        <v/>
      </c>
      <c r="AF25" s="29">
        <f>IFERROR(AE25/Y25,"")</f>
        <v/>
      </c>
      <c r="AG25" s="25">
        <f>IF(E25="","",IF(H25="Onsite",IFERROR(INDEX(tbl_Onsite[Notes],MATCH(E25&amp;"",tbl_Onsite[Job Number],0)),""),IF(H25="Production",IFERROR(INDEX(tbl_Production[Notes],MATCH(E25&amp;"",tbl_Production[Job Number],0)),""),IF(H25="Consulting",IFERROR(INDEX(tbl_Consulting[Notes],MATCH(E25&amp;"",tbl_Consulting[Job Number],0)),""),""))))</f>
        <v/>
      </c>
    </row>
    <row r="26" ht="15" customHeight="1">
      <c r="A26" s="22" t="n">
        <v>46265</v>
      </c>
      <c r="B26" s="23">
        <f>IF(A26="","",EOMONTH(A26,0))</f>
        <v/>
      </c>
      <c r="C26" s="24" t="inlineStr">
        <is>
          <t>INV-10597</t>
        </is>
      </c>
      <c r="D26" s="24" t="inlineStr">
        <is>
          <t>DTTL</t>
        </is>
      </c>
      <c r="E26" s="24" t="inlineStr">
        <is>
          <t>2608502</t>
        </is>
      </c>
      <c r="F26" s="25">
        <f>IF(E26="","",IF(COUNTIF(lst_Jobs,E26&amp;"")&gt;0,"OK","CHECK"))</f>
        <v/>
      </c>
      <c r="G26" s="24" t="inlineStr">
        <is>
          <t>DTTL Additionals August 2026</t>
        </is>
      </c>
      <c r="H26" s="24" t="inlineStr">
        <is>
          <t>Onsite</t>
        </is>
      </c>
      <c r="I26" s="24" t="inlineStr">
        <is>
          <t>ONSITE</t>
        </is>
      </c>
      <c r="J26" s="24" t="inlineStr">
        <is>
          <t>Contract</t>
        </is>
      </c>
      <c r="K26" s="24" t="inlineStr">
        <is>
          <t>GST 10%</t>
        </is>
      </c>
      <c r="L26" s="26" t="n">
        <v>1275</v>
      </c>
      <c r="M26" s="27">
        <f>IF(L26="","",IF(K26="GST 10%",ROUND(L26*set_GSTRate,2),0))</f>
        <v/>
      </c>
      <c r="N26" s="27">
        <f>IF(L26="","",L26+M26)</f>
        <v/>
      </c>
      <c r="O26" s="24" t="inlineStr">
        <is>
          <t>41100</t>
        </is>
      </c>
      <c r="P26" s="24" t="inlineStr">
        <is>
          <t>Y</t>
        </is>
      </c>
      <c r="Q26" s="24" t="inlineStr">
        <is>
          <t>N</t>
        </is>
      </c>
      <c r="R26" s="22" t="n"/>
      <c r="S26" s="22" t="n"/>
      <c r="T26" s="24" t="inlineStr">
        <is>
          <t>Invoiced</t>
        </is>
      </c>
      <c r="U26" s="24" t="inlineStr">
        <is>
          <t>8419.62 differe from invoice amount</t>
        </is>
      </c>
      <c r="V26" s="25">
        <f>IF(COUNTA(A26,D26,C26,L26)=0,"",IF(A26="","No date - sits outside every month",IF(E26="","No job number",IF(F26="CHECK","Job number is not in the Xero job list",IF(I26="","No cost centre",IF(AND(P26="Y",C26=""),"Marked posted to Xero but has no invoice number",IF(AND(L26&lt;&gt;"",K26=""),"No tax code",IF(AND(L26&lt;&gt;"",O26=""),"No revenue GL code",""))))))))</f>
        <v/>
      </c>
      <c r="W26" s="25">
        <f>IF(E26="","",IFERROR(INDEX(lst_JobName,MATCH(E26&amp;"",lst_Jobs,0)),""))</f>
        <v/>
      </c>
      <c r="X26" s="28">
        <f>IF(E26="","",COUNTIFS(tbl_Finance[Job Number],E26&amp;"",tbl_Finance[Ex GST],"&lt;&gt;"))</f>
        <v/>
      </c>
      <c r="Y26" s="27">
        <f>IF(E26="","",SUMIFS(tbl_Finance[Ex GST],tbl_Finance[Job Number],E26&amp;""))</f>
        <v/>
      </c>
      <c r="Z26" s="27">
        <f>IF(E26="","",SUMIFS(tbl_Finance[Ex GST],tbl_Finance[Job Number],E26&amp;"",tbl_Finance[Xero Invoice No],"&lt;&gt;"))</f>
        <v/>
      </c>
      <c r="AA26" s="27">
        <f>IF(E26="","",Y26-Z26)</f>
        <v/>
      </c>
      <c r="AB26" s="25">
        <f>IF(E26="","",IF(H26="Onsite",IFERROR(INDEX(tbl_Onsite[Qwilr Quote],MATCH(E26&amp;"",tbl_Onsite[Job Number],0)),""),IF(H26="Production",IFERROR(IF(INDEX(tbl_Production[Current RMS No],MATCH(E26&amp;"",tbl_Production[Job Number],0))="",INDEX(tbl_Production[Qwilr Quote],MATCH(E26&amp;"",tbl_Production[Job Number],0)),INDEX(tbl_Production[Current RMS No],MATCH(E26&amp;"",tbl_Production[Job Number],0))),""),IF(H26="Consulting",IFERROR(INDEX(tbl_Consulting[Qwilr Quote],MATCH(E26&amp;"",tbl_Consulting[Job Number],0)),""),""))))</f>
        <v/>
      </c>
      <c r="AC26" s="25">
        <f>IF(AB26="","",IF(AND(LEFT(AB26,4)&lt;&gt;"http",IF(H26="Production",set_RMSBase,set_QwilrBase)=""),"",HYPERLINK(IF(LEFT(AB26,4)="http",AB26,IF(H26="Production",set_RMSBase,set_QwilrBase)&amp;AB26),"Open")))</f>
        <v/>
      </c>
      <c r="AD26" s="27">
        <f>IF(E26="","",IF(H26="Production",IFERROR(INDEX(tbl_Production[Total Expense],MATCH(E26&amp;"",tbl_Production[Job Number],0)),0),IF(H26="Consulting",IFERROR(INDEX(tbl_Consulting[Total Expense],MATCH(E26&amp;"",tbl_Consulting[Job Number],0)),0),0)))</f>
        <v/>
      </c>
      <c r="AE26" s="27">
        <f>IF(E26="","",Y26-N(AD26))</f>
        <v/>
      </c>
      <c r="AF26" s="29">
        <f>IFERROR(AE26/Y26,"")</f>
        <v/>
      </c>
      <c r="AG26" s="25">
        <f>IF(E26="","",IF(H26="Onsite",IFERROR(INDEX(tbl_Onsite[Notes],MATCH(E26&amp;"",tbl_Onsite[Job Number],0)),""),IF(H26="Production",IFERROR(INDEX(tbl_Production[Notes],MATCH(E26&amp;"",tbl_Production[Job Number],0)),""),IF(H26="Consulting",IFERROR(INDEX(tbl_Consulting[Notes],MATCH(E26&amp;"",tbl_Consulting[Job Number],0)),""),""))))</f>
        <v/>
      </c>
    </row>
    <row r="27" ht="15" customHeight="1">
      <c r="A27" s="22" t="n">
        <v>46265</v>
      </c>
      <c r="B27" s="23">
        <f>IF(A27="","",EOMONTH(A27,0))</f>
        <v/>
      </c>
      <c r="C27" s="24" t="inlineStr">
        <is>
          <t>INV-10598</t>
        </is>
      </c>
      <c r="D27" s="24" t="inlineStr">
        <is>
          <t>PWC</t>
        </is>
      </c>
      <c r="E27" s="24" t="inlineStr">
        <is>
          <t>26073102</t>
        </is>
      </c>
      <c r="F27" s="25">
        <f>IF(E27="","",IF(COUNTIF(lst_Jobs,E27&amp;"")&gt;0,"OK","CHECK"))</f>
        <v/>
      </c>
      <c r="G27" s="24" t="inlineStr">
        <is>
          <t>Pool of Hours - National AV/IT Support</t>
        </is>
      </c>
      <c r="H27" s="24" t="inlineStr">
        <is>
          <t>Onsite</t>
        </is>
      </c>
      <c r="I27" s="24" t="inlineStr">
        <is>
          <t>ONSITE</t>
        </is>
      </c>
      <c r="J27" s="24" t="inlineStr">
        <is>
          <t>Contract</t>
        </is>
      </c>
      <c r="K27" s="24" t="inlineStr">
        <is>
          <t>GST 10%</t>
        </is>
      </c>
      <c r="L27" s="26" t="n">
        <v>8500</v>
      </c>
      <c r="M27" s="27">
        <f>IF(L27="","",IF(K27="GST 10%",ROUND(L27*set_GSTRate,2),0))</f>
        <v/>
      </c>
      <c r="N27" s="27">
        <f>IF(L27="","",L27+M27)</f>
        <v/>
      </c>
      <c r="O27" s="24" t="inlineStr">
        <is>
          <t>41100</t>
        </is>
      </c>
      <c r="P27" s="24" t="inlineStr">
        <is>
          <t>Y</t>
        </is>
      </c>
      <c r="Q27" s="24" t="inlineStr">
        <is>
          <t>N</t>
        </is>
      </c>
      <c r="R27" s="22" t="n"/>
      <c r="S27" s="22" t="n"/>
      <c r="T27" s="24" t="inlineStr">
        <is>
          <t>Invoiced</t>
        </is>
      </c>
      <c r="U27" s="24" t="n"/>
      <c r="V27" s="25">
        <f>IF(COUNTA(A27,D27,C27,L27)=0,"",IF(A27="","No date - sits outside every month",IF(E27="","No job number",IF(F27="CHECK","Job number is not in the Xero job list",IF(I27="","No cost centre",IF(AND(P27="Y",C27=""),"Marked posted to Xero but has no invoice number",IF(AND(L27&lt;&gt;"",K27=""),"No tax code",IF(AND(L27&lt;&gt;"",O27=""),"No revenue GL code",""))))))))</f>
        <v/>
      </c>
      <c r="W27" s="25">
        <f>IF(E27="","",IFERROR(INDEX(lst_JobName,MATCH(E27&amp;"",lst_Jobs,0)),""))</f>
        <v/>
      </c>
      <c r="X27" s="28">
        <f>IF(E27="","",COUNTIFS(tbl_Finance[Job Number],E27&amp;"",tbl_Finance[Ex GST],"&lt;&gt;"))</f>
        <v/>
      </c>
      <c r="Y27" s="27">
        <f>IF(E27="","",SUMIFS(tbl_Finance[Ex GST],tbl_Finance[Job Number],E27&amp;""))</f>
        <v/>
      </c>
      <c r="Z27" s="27">
        <f>IF(E27="","",SUMIFS(tbl_Finance[Ex GST],tbl_Finance[Job Number],E27&amp;"",tbl_Finance[Xero Invoice No],"&lt;&gt;"))</f>
        <v/>
      </c>
      <c r="AA27" s="27">
        <f>IF(E27="","",Y27-Z27)</f>
        <v/>
      </c>
      <c r="AB27" s="25">
        <f>IF(E27="","",IF(H27="Onsite",IFERROR(INDEX(tbl_Onsite[Qwilr Quote],MATCH(E27&amp;"",tbl_Onsite[Job Number],0)),""),IF(H27="Production",IFERROR(IF(INDEX(tbl_Production[Current RMS No],MATCH(E27&amp;"",tbl_Production[Job Number],0))="",INDEX(tbl_Production[Qwilr Quote],MATCH(E27&amp;"",tbl_Production[Job Number],0)),INDEX(tbl_Production[Current RMS No],MATCH(E27&amp;"",tbl_Production[Job Number],0))),""),IF(H27="Consulting",IFERROR(INDEX(tbl_Consulting[Qwilr Quote],MATCH(E27&amp;"",tbl_Consulting[Job Number],0)),""),""))))</f>
        <v/>
      </c>
      <c r="AC27" s="25">
        <f>IF(AB27="","",IF(AND(LEFT(AB27,4)&lt;&gt;"http",IF(H27="Production",set_RMSBase,set_QwilrBase)=""),"",HYPERLINK(IF(LEFT(AB27,4)="http",AB27,IF(H27="Production",set_RMSBase,set_QwilrBase)&amp;AB27),"Open")))</f>
        <v/>
      </c>
      <c r="AD27" s="27">
        <f>IF(E27="","",IF(H27="Production",IFERROR(INDEX(tbl_Production[Total Expense],MATCH(E27&amp;"",tbl_Production[Job Number],0)),0),IF(H27="Consulting",IFERROR(INDEX(tbl_Consulting[Total Expense],MATCH(E27&amp;"",tbl_Consulting[Job Number],0)),0),0)))</f>
        <v/>
      </c>
      <c r="AE27" s="27">
        <f>IF(E27="","",Y27-N(AD27))</f>
        <v/>
      </c>
      <c r="AF27" s="29">
        <f>IFERROR(AE27/Y27,"")</f>
        <v/>
      </c>
      <c r="AG27" s="25">
        <f>IF(E27="","",IF(H27="Onsite",IFERROR(INDEX(tbl_Onsite[Notes],MATCH(E27&amp;"",tbl_Onsite[Job Number],0)),""),IF(H27="Production",IFERROR(INDEX(tbl_Production[Notes],MATCH(E27&amp;"",tbl_Production[Job Number],0)),""),IF(H27="Consulting",IFERROR(INDEX(tbl_Consulting[Notes],MATCH(E27&amp;"",tbl_Consulting[Job Number],0)),""),""))))</f>
        <v/>
      </c>
    </row>
    <row r="28" ht="15" customHeight="1">
      <c r="A28" s="22" t="n">
        <v>46265</v>
      </c>
      <c r="B28" s="23">
        <f>IF(A28="","",EOMONTH(A28,0))</f>
        <v/>
      </c>
      <c r="C28" s="24" t="inlineStr">
        <is>
          <t>INV-10565</t>
        </is>
      </c>
      <c r="D28" s="24" t="inlineStr">
        <is>
          <t>CBA</t>
        </is>
      </c>
      <c r="E28" s="24" t="inlineStr">
        <is>
          <t>1350</t>
        </is>
      </c>
      <c r="F28" s="25">
        <f>IF(E28="","",IF(COUNTIF(lst_Jobs,E28&amp;"")&gt;0,"OK","CHECK"))</f>
        <v/>
      </c>
      <c r="G28" s="24" t="inlineStr">
        <is>
          <t>CBA BNE August 2026</t>
        </is>
      </c>
      <c r="H28" s="24" t="inlineStr">
        <is>
          <t>Onsite</t>
        </is>
      </c>
      <c r="I28" s="24" t="inlineStr">
        <is>
          <t>ONSITE</t>
        </is>
      </c>
      <c r="J28" s="24" t="inlineStr">
        <is>
          <t>Contract</t>
        </is>
      </c>
      <c r="K28" s="24" t="inlineStr">
        <is>
          <t>GST 10%</t>
        </is>
      </c>
      <c r="L28" s="26" t="n">
        <v>8022.5</v>
      </c>
      <c r="M28" s="27">
        <f>IF(L28="","",IF(K28="GST 10%",ROUND(L28*set_GSTRate,2),0))</f>
        <v/>
      </c>
      <c r="N28" s="27">
        <f>IF(L28="","",L28+M28)</f>
        <v/>
      </c>
      <c r="O28" s="24" t="inlineStr">
        <is>
          <t>41100</t>
        </is>
      </c>
      <c r="P28" s="24" t="inlineStr">
        <is>
          <t>Y</t>
        </is>
      </c>
      <c r="Q28" s="24" t="inlineStr">
        <is>
          <t>N</t>
        </is>
      </c>
      <c r="R28" s="22" t="n"/>
      <c r="S28" s="22" t="n"/>
      <c r="T28" s="24" t="inlineStr">
        <is>
          <t>Invoiced</t>
        </is>
      </c>
      <c r="U28" s="24" t="n"/>
      <c r="V28" s="25">
        <f>IF(COUNTA(A28,D28,C28,L28)=0,"",IF(A28="","No date - sits outside every month",IF(E28="","No job number",IF(F28="CHECK","Job number is not in the Xero job list",IF(I28="","No cost centre",IF(AND(P28="Y",C28=""),"Marked posted to Xero but has no invoice number",IF(AND(L28&lt;&gt;"",K28=""),"No tax code",IF(AND(L28&lt;&gt;"",O28=""),"No revenue GL code",""))))))))</f>
        <v/>
      </c>
      <c r="W28" s="25">
        <f>IF(E28="","",IFERROR(INDEX(lst_JobName,MATCH(E28&amp;"",lst_Jobs,0)),""))</f>
        <v/>
      </c>
      <c r="X28" s="28">
        <f>IF(E28="","",COUNTIFS(tbl_Finance[Job Number],E28&amp;"",tbl_Finance[Ex GST],"&lt;&gt;"))</f>
        <v/>
      </c>
      <c r="Y28" s="27">
        <f>IF(E28="","",SUMIFS(tbl_Finance[Ex GST],tbl_Finance[Job Number],E28&amp;""))</f>
        <v/>
      </c>
      <c r="Z28" s="27">
        <f>IF(E28="","",SUMIFS(tbl_Finance[Ex GST],tbl_Finance[Job Number],E28&amp;"",tbl_Finance[Xero Invoice No],"&lt;&gt;"))</f>
        <v/>
      </c>
      <c r="AA28" s="27">
        <f>IF(E28="","",Y28-Z28)</f>
        <v/>
      </c>
      <c r="AB28" s="25">
        <f>IF(E28="","",IF(H28="Onsite",IFERROR(INDEX(tbl_Onsite[Qwilr Quote],MATCH(E28&amp;"",tbl_Onsite[Job Number],0)),""),IF(H28="Production",IFERROR(IF(INDEX(tbl_Production[Current RMS No],MATCH(E28&amp;"",tbl_Production[Job Number],0))="",INDEX(tbl_Production[Qwilr Quote],MATCH(E28&amp;"",tbl_Production[Job Number],0)),INDEX(tbl_Production[Current RMS No],MATCH(E28&amp;"",tbl_Production[Job Number],0))),""),IF(H28="Consulting",IFERROR(INDEX(tbl_Consulting[Qwilr Quote],MATCH(E28&amp;"",tbl_Consulting[Job Number],0)),""),""))))</f>
        <v/>
      </c>
      <c r="AC28" s="25">
        <f>IF(AB28="","",IF(AND(LEFT(AB28,4)&lt;&gt;"http",IF(H28="Production",set_RMSBase,set_QwilrBase)=""),"",HYPERLINK(IF(LEFT(AB28,4)="http",AB28,IF(H28="Production",set_RMSBase,set_QwilrBase)&amp;AB28),"Open")))</f>
        <v/>
      </c>
      <c r="AD28" s="27">
        <f>IF(E28="","",IF(H28="Production",IFERROR(INDEX(tbl_Production[Total Expense],MATCH(E28&amp;"",tbl_Production[Job Number],0)),0),IF(H28="Consulting",IFERROR(INDEX(tbl_Consulting[Total Expense],MATCH(E28&amp;"",tbl_Consulting[Job Number],0)),0),0)))</f>
        <v/>
      </c>
      <c r="AE28" s="27">
        <f>IF(E28="","",Y28-N(AD28))</f>
        <v/>
      </c>
      <c r="AF28" s="29">
        <f>IFERROR(AE28/Y28,"")</f>
        <v/>
      </c>
      <c r="AG28" s="25">
        <f>IF(E28="","",IF(H28="Onsite",IFERROR(INDEX(tbl_Onsite[Notes],MATCH(E28&amp;"",tbl_Onsite[Job Number],0)),""),IF(H28="Production",IFERROR(INDEX(tbl_Production[Notes],MATCH(E28&amp;"",tbl_Production[Job Number],0)),""),IF(H28="Consulting",IFERROR(INDEX(tbl_Consulting[Notes],MATCH(E28&amp;"",tbl_Consulting[Job Number],0)),""),""))))</f>
        <v/>
      </c>
    </row>
    <row r="29" ht="15" customHeight="1">
      <c r="A29" s="22" t="n"/>
      <c r="B29" s="23">
        <f>IF(A29="","",EOMONTH(A29,0))</f>
        <v/>
      </c>
      <c r="C29" s="24" t="n"/>
      <c r="D29" s="24" t="inlineStr">
        <is>
          <t>CBA</t>
        </is>
      </c>
      <c r="E29" s="24" t="inlineStr">
        <is>
          <t>585/586/1755</t>
        </is>
      </c>
      <c r="F29" s="25">
        <f>IF(E29="","",IF(COUNTIF(lst_Jobs,E29&amp;"")&gt;0,"OK","CHECK"))</f>
        <v/>
      </c>
      <c r="G29" s="24" t="inlineStr">
        <is>
          <t>CBP August 2026</t>
        </is>
      </c>
      <c r="H29" s="24" t="inlineStr">
        <is>
          <t>Onsite</t>
        </is>
      </c>
      <c r="I29" s="24" t="inlineStr">
        <is>
          <t>ONSITE</t>
        </is>
      </c>
      <c r="J29" s="24" t="inlineStr">
        <is>
          <t>Contract</t>
        </is>
      </c>
      <c r="K29" s="24" t="inlineStr">
        <is>
          <t>GST 10%</t>
        </is>
      </c>
      <c r="L29" s="26" t="n"/>
      <c r="M29" s="27">
        <f>IF(L29="","",IF(K29="GST 10%",ROUND(L29*set_GSTRate,2),0))</f>
        <v/>
      </c>
      <c r="N29" s="27">
        <f>IF(L29="","",L29+M29)</f>
        <v/>
      </c>
      <c r="O29" s="24" t="inlineStr">
        <is>
          <t>41100</t>
        </is>
      </c>
      <c r="P29" s="24" t="inlineStr">
        <is>
          <t>N</t>
        </is>
      </c>
      <c r="Q29" s="24" t="inlineStr">
        <is>
          <t>N</t>
        </is>
      </c>
      <c r="R29" s="22" t="n"/>
      <c r="S29" s="22" t="n"/>
      <c r="T29" s="24" t="inlineStr">
        <is>
          <t>To Invoice</t>
        </is>
      </c>
      <c r="U29" s="24" t="n"/>
      <c r="V29" s="25">
        <f>IF(COUNTA(A29,D29,C29,L29)=0,"",IF(A29="","No date - sits outside every month",IF(E29="","No job number",IF(F29="CHECK","Job number is not in the Xero job list",IF(I29="","No cost centre",IF(AND(P29="Y",C29=""),"Marked posted to Xero but has no invoice number",IF(AND(L29&lt;&gt;"",K29=""),"No tax code",IF(AND(L29&lt;&gt;"",O29=""),"No revenue GL code",""))))))))</f>
        <v/>
      </c>
      <c r="W29" s="25">
        <f>IF(E29="","",IFERROR(INDEX(lst_JobName,MATCH(E29&amp;"",lst_Jobs,0)),""))</f>
        <v/>
      </c>
      <c r="X29" s="28">
        <f>IF(E29="","",COUNTIFS(tbl_Finance[Job Number],E29&amp;"",tbl_Finance[Ex GST],"&lt;&gt;"))</f>
        <v/>
      </c>
      <c r="Y29" s="27">
        <f>IF(E29="","",SUMIFS(tbl_Finance[Ex GST],tbl_Finance[Job Number],E29&amp;""))</f>
        <v/>
      </c>
      <c r="Z29" s="27">
        <f>IF(E29="","",SUMIFS(tbl_Finance[Ex GST],tbl_Finance[Job Number],E29&amp;"",tbl_Finance[Xero Invoice No],"&lt;&gt;"))</f>
        <v/>
      </c>
      <c r="AA29" s="27">
        <f>IF(E29="","",Y29-Z29)</f>
        <v/>
      </c>
      <c r="AB29" s="25">
        <f>IF(E29="","",IF(H29="Onsite",IFERROR(INDEX(tbl_Onsite[Qwilr Quote],MATCH(E29&amp;"",tbl_Onsite[Job Number],0)),""),IF(H29="Production",IFERROR(IF(INDEX(tbl_Production[Current RMS No],MATCH(E29&amp;"",tbl_Production[Job Number],0))="",INDEX(tbl_Production[Qwilr Quote],MATCH(E29&amp;"",tbl_Production[Job Number],0)),INDEX(tbl_Production[Current RMS No],MATCH(E29&amp;"",tbl_Production[Job Number],0))),""),IF(H29="Consulting",IFERROR(INDEX(tbl_Consulting[Qwilr Quote],MATCH(E29&amp;"",tbl_Consulting[Job Number],0)),""),""))))</f>
        <v/>
      </c>
      <c r="AC29" s="25">
        <f>IF(AB29="","",IF(AND(LEFT(AB29,4)&lt;&gt;"http",IF(H29="Production",set_RMSBase,set_QwilrBase)=""),"",HYPERLINK(IF(LEFT(AB29,4)="http",AB29,IF(H29="Production",set_RMSBase,set_QwilrBase)&amp;AB29),"Open")))</f>
        <v/>
      </c>
      <c r="AD29" s="27">
        <f>IF(E29="","",IF(H29="Production",IFERROR(INDEX(tbl_Production[Total Expense],MATCH(E29&amp;"",tbl_Production[Job Number],0)),0),IF(H29="Consulting",IFERROR(INDEX(tbl_Consulting[Total Expense],MATCH(E29&amp;"",tbl_Consulting[Job Number],0)),0),0)))</f>
        <v/>
      </c>
      <c r="AE29" s="27">
        <f>IF(E29="","",Y29-N(AD29))</f>
        <v/>
      </c>
      <c r="AF29" s="29">
        <f>IFERROR(AE29/Y29,"")</f>
        <v/>
      </c>
      <c r="AG29" s="25">
        <f>IF(E29="","",IF(H29="Onsite",IFERROR(INDEX(tbl_Onsite[Notes],MATCH(E29&amp;"",tbl_Onsite[Job Number],0)),""),IF(H29="Production",IFERROR(INDEX(tbl_Production[Notes],MATCH(E29&amp;"",tbl_Production[Job Number],0)),""),IF(H29="Consulting",IFERROR(INDEX(tbl_Consulting[Notes],MATCH(E29&amp;"",tbl_Consulting[Job Number],0)),""),""))))</f>
        <v/>
      </c>
    </row>
    <row r="30" ht="15" customHeight="1">
      <c r="A30" s="22" t="n"/>
      <c r="B30" s="23">
        <f>IF(A30="","",EOMONTH(A30,0))</f>
        <v/>
      </c>
      <c r="C30" s="24" t="n"/>
      <c r="D30" s="24" t="inlineStr">
        <is>
          <t>CBA</t>
        </is>
      </c>
      <c r="E30" s="24" t="inlineStr">
        <is>
          <t>587</t>
        </is>
      </c>
      <c r="F30" s="25">
        <f>IF(E30="","",IF(COUNTIF(lst_Jobs,E30&amp;"")&gt;0,"OK","CHECK"))</f>
        <v/>
      </c>
      <c r="G30" s="24" t="inlineStr">
        <is>
          <t>CBS August 2026</t>
        </is>
      </c>
      <c r="H30" s="24" t="inlineStr">
        <is>
          <t>Onsite</t>
        </is>
      </c>
      <c r="I30" s="24" t="inlineStr">
        <is>
          <t>ONSITE</t>
        </is>
      </c>
      <c r="J30" s="24" t="inlineStr">
        <is>
          <t>Contract</t>
        </is>
      </c>
      <c r="K30" s="24" t="inlineStr">
        <is>
          <t>GST 10%</t>
        </is>
      </c>
      <c r="L30" s="26" t="n"/>
      <c r="M30" s="27">
        <f>IF(L30="","",IF(K30="GST 10%",ROUND(L30*set_GSTRate,2),0))</f>
        <v/>
      </c>
      <c r="N30" s="27">
        <f>IF(L30="","",L30+M30)</f>
        <v/>
      </c>
      <c r="O30" s="24" t="inlineStr">
        <is>
          <t>41100</t>
        </is>
      </c>
      <c r="P30" s="24" t="inlineStr">
        <is>
          <t>N</t>
        </is>
      </c>
      <c r="Q30" s="24" t="inlineStr">
        <is>
          <t>N</t>
        </is>
      </c>
      <c r="R30" s="22" t="n"/>
      <c r="S30" s="22" t="n"/>
      <c r="T30" s="24" t="inlineStr">
        <is>
          <t>To Invoice</t>
        </is>
      </c>
      <c r="U30" s="24" t="n"/>
      <c r="V30" s="25">
        <f>IF(COUNTA(A30,D30,C30,L30)=0,"",IF(A30="","No date - sits outside every month",IF(E30="","No job number",IF(F30="CHECK","Job number is not in the Xero job list",IF(I30="","No cost centre",IF(AND(P30="Y",C30=""),"Marked posted to Xero but has no invoice number",IF(AND(L30&lt;&gt;"",K30=""),"No tax code",IF(AND(L30&lt;&gt;"",O30=""),"No revenue GL code",""))))))))</f>
        <v/>
      </c>
      <c r="W30" s="25">
        <f>IF(E30="","",IFERROR(INDEX(lst_JobName,MATCH(E30&amp;"",lst_Jobs,0)),""))</f>
        <v/>
      </c>
      <c r="X30" s="28">
        <f>IF(E30="","",COUNTIFS(tbl_Finance[Job Number],E30&amp;"",tbl_Finance[Ex GST],"&lt;&gt;"))</f>
        <v/>
      </c>
      <c r="Y30" s="27">
        <f>IF(E30="","",SUMIFS(tbl_Finance[Ex GST],tbl_Finance[Job Number],E30&amp;""))</f>
        <v/>
      </c>
      <c r="Z30" s="27">
        <f>IF(E30="","",SUMIFS(tbl_Finance[Ex GST],tbl_Finance[Job Number],E30&amp;"",tbl_Finance[Xero Invoice No],"&lt;&gt;"))</f>
        <v/>
      </c>
      <c r="AA30" s="27">
        <f>IF(E30="","",Y30-Z30)</f>
        <v/>
      </c>
      <c r="AB30" s="25">
        <f>IF(E30="","",IF(H30="Onsite",IFERROR(INDEX(tbl_Onsite[Qwilr Quote],MATCH(E30&amp;"",tbl_Onsite[Job Number],0)),""),IF(H30="Production",IFERROR(IF(INDEX(tbl_Production[Current RMS No],MATCH(E30&amp;"",tbl_Production[Job Number],0))="",INDEX(tbl_Production[Qwilr Quote],MATCH(E30&amp;"",tbl_Production[Job Number],0)),INDEX(tbl_Production[Current RMS No],MATCH(E30&amp;"",tbl_Production[Job Number],0))),""),IF(H30="Consulting",IFERROR(INDEX(tbl_Consulting[Qwilr Quote],MATCH(E30&amp;"",tbl_Consulting[Job Number],0)),""),""))))</f>
        <v/>
      </c>
      <c r="AC30" s="25">
        <f>IF(AB30="","",IF(AND(LEFT(AB30,4)&lt;&gt;"http",IF(H30="Production",set_RMSBase,set_QwilrBase)=""),"",HYPERLINK(IF(LEFT(AB30,4)="http",AB30,IF(H30="Production",set_RMSBase,set_QwilrBase)&amp;AB30),"Open")))</f>
        <v/>
      </c>
      <c r="AD30" s="27">
        <f>IF(E30="","",IF(H30="Production",IFERROR(INDEX(tbl_Production[Total Expense],MATCH(E30&amp;"",tbl_Production[Job Number],0)),0),IF(H30="Consulting",IFERROR(INDEX(tbl_Consulting[Total Expense],MATCH(E30&amp;"",tbl_Consulting[Job Number],0)),0),0)))</f>
        <v/>
      </c>
      <c r="AE30" s="27">
        <f>IF(E30="","",Y30-N(AD30))</f>
        <v/>
      </c>
      <c r="AF30" s="29">
        <f>IFERROR(AE30/Y30,"")</f>
        <v/>
      </c>
      <c r="AG30" s="25">
        <f>IF(E30="","",IF(H30="Onsite",IFERROR(INDEX(tbl_Onsite[Notes],MATCH(E30&amp;"",tbl_Onsite[Job Number],0)),""),IF(H30="Production",IFERROR(INDEX(tbl_Production[Notes],MATCH(E30&amp;"",tbl_Production[Job Number],0)),""),IF(H30="Consulting",IFERROR(INDEX(tbl_Consulting[Notes],MATCH(E30&amp;"",tbl_Consulting[Job Number],0)),""),""))))</f>
        <v/>
      </c>
    </row>
    <row r="31" ht="15" customHeight="1">
      <c r="A31" s="22" t="n">
        <v>46265</v>
      </c>
      <c r="B31" s="23">
        <f>IF(A31="","",EOMONTH(A31,0))</f>
        <v/>
      </c>
      <c r="C31" s="24" t="inlineStr">
        <is>
          <t>INV-10569</t>
        </is>
      </c>
      <c r="D31" s="24" t="inlineStr">
        <is>
          <t>DTTL</t>
        </is>
      </c>
      <c r="E31" s="24" t="inlineStr">
        <is>
          <t>2846/1401/725/1400/1530/1862/2402/2849/974</t>
        </is>
      </c>
      <c r="F31" s="25">
        <f>IF(E31="","",IF(COUNTIF(lst_Jobs,E31&amp;"")&gt;0,"OK","CHECK"))</f>
        <v/>
      </c>
      <c r="G31" s="24" t="inlineStr">
        <is>
          <t>DTTL Contract August 2026</t>
        </is>
      </c>
      <c r="H31" s="24" t="inlineStr">
        <is>
          <t>Onsite</t>
        </is>
      </c>
      <c r="I31" s="24" t="inlineStr">
        <is>
          <t>ONSITE</t>
        </is>
      </c>
      <c r="J31" s="24" t="inlineStr">
        <is>
          <t>Contract</t>
        </is>
      </c>
      <c r="K31" s="24" t="inlineStr">
        <is>
          <t>GST 10%</t>
        </is>
      </c>
      <c r="L31" s="26" t="n">
        <v>103625.44</v>
      </c>
      <c r="M31" s="27">
        <f>IF(L31="","",IF(K31="GST 10%",ROUND(L31*set_GSTRate,2),0))</f>
        <v/>
      </c>
      <c r="N31" s="27">
        <f>IF(L31="","",L31+M31)</f>
        <v/>
      </c>
      <c r="O31" s="24" t="inlineStr">
        <is>
          <t>41100</t>
        </is>
      </c>
      <c r="P31" s="24" t="inlineStr">
        <is>
          <t>Y</t>
        </is>
      </c>
      <c r="Q31" s="24" t="inlineStr">
        <is>
          <t>N</t>
        </is>
      </c>
      <c r="R31" s="22" t="n"/>
      <c r="S31" s="22" t="n"/>
      <c r="T31" s="24" t="inlineStr">
        <is>
          <t>Invoiced</t>
        </is>
      </c>
      <c r="U31" s="24" t="n"/>
      <c r="V31" s="25">
        <f>IF(COUNTA(A31,D31,C31,L31)=0,"",IF(A31="","No date - sits outside every month",IF(E31="","No job number",IF(F31="CHECK","Job number is not in the Xero job list",IF(I31="","No cost centre",IF(AND(P31="Y",C31=""),"Marked posted to Xero but has no invoice number",IF(AND(L31&lt;&gt;"",K31=""),"No tax code",IF(AND(L31&lt;&gt;"",O31=""),"No revenue GL code",""))))))))</f>
        <v/>
      </c>
      <c r="W31" s="25">
        <f>IF(E31="","",IFERROR(INDEX(lst_JobName,MATCH(E31&amp;"",lst_Jobs,0)),""))</f>
        <v/>
      </c>
      <c r="X31" s="28">
        <f>IF(E31="","",COUNTIFS(tbl_Finance[Job Number],E31&amp;"",tbl_Finance[Ex GST],"&lt;&gt;"))</f>
        <v/>
      </c>
      <c r="Y31" s="27">
        <f>IF(E31="","",SUMIFS(tbl_Finance[Ex GST],tbl_Finance[Job Number],E31&amp;""))</f>
        <v/>
      </c>
      <c r="Z31" s="27">
        <f>IF(E31="","",SUMIFS(tbl_Finance[Ex GST],tbl_Finance[Job Number],E31&amp;"",tbl_Finance[Xero Invoice No],"&lt;&gt;"))</f>
        <v/>
      </c>
      <c r="AA31" s="27">
        <f>IF(E31="","",Y31-Z31)</f>
        <v/>
      </c>
      <c r="AB31" s="25">
        <f>IF(E31="","",IF(H31="Onsite",IFERROR(INDEX(tbl_Onsite[Qwilr Quote],MATCH(E31&amp;"",tbl_Onsite[Job Number],0)),""),IF(H31="Production",IFERROR(IF(INDEX(tbl_Production[Current RMS No],MATCH(E31&amp;"",tbl_Production[Job Number],0))="",INDEX(tbl_Production[Qwilr Quote],MATCH(E31&amp;"",tbl_Production[Job Number],0)),INDEX(tbl_Production[Current RMS No],MATCH(E31&amp;"",tbl_Production[Job Number],0))),""),IF(H31="Consulting",IFERROR(INDEX(tbl_Consulting[Qwilr Quote],MATCH(E31&amp;"",tbl_Consulting[Job Number],0)),""),""))))</f>
        <v/>
      </c>
      <c r="AC31" s="25">
        <f>IF(AB31="","",IF(AND(LEFT(AB31,4)&lt;&gt;"http",IF(H31="Production",set_RMSBase,set_QwilrBase)=""),"",HYPERLINK(IF(LEFT(AB31,4)="http",AB31,IF(H31="Production",set_RMSBase,set_QwilrBase)&amp;AB31),"Open")))</f>
        <v/>
      </c>
      <c r="AD31" s="27">
        <f>IF(E31="","",IF(H31="Production",IFERROR(INDEX(tbl_Production[Total Expense],MATCH(E31&amp;"",tbl_Production[Job Number],0)),0),IF(H31="Consulting",IFERROR(INDEX(tbl_Consulting[Total Expense],MATCH(E31&amp;"",tbl_Consulting[Job Number],0)),0),0)))</f>
        <v/>
      </c>
      <c r="AE31" s="27">
        <f>IF(E31="","",Y31-N(AD31))</f>
        <v/>
      </c>
      <c r="AF31" s="29">
        <f>IFERROR(AE31/Y31,"")</f>
        <v/>
      </c>
      <c r="AG31" s="25">
        <f>IF(E31="","",IF(H31="Onsite",IFERROR(INDEX(tbl_Onsite[Notes],MATCH(E31&amp;"",tbl_Onsite[Job Number],0)),""),IF(H31="Production",IFERROR(INDEX(tbl_Production[Notes],MATCH(E31&amp;"",tbl_Production[Job Number],0)),""),IF(H31="Consulting",IFERROR(INDEX(tbl_Consulting[Notes],MATCH(E31&amp;"",tbl_Consulting[Job Number],0)),""),""))))</f>
        <v/>
      </c>
    </row>
    <row r="32" ht="15" customHeight="1">
      <c r="A32" s="22" t="n">
        <v>46265</v>
      </c>
      <c r="B32" s="23">
        <f>IF(A32="","",EOMONTH(A32,0))</f>
        <v/>
      </c>
      <c r="C32" s="24" t="inlineStr">
        <is>
          <t>INV-10570</t>
        </is>
      </c>
      <c r="D32" s="24" t="inlineStr">
        <is>
          <t>BW</t>
        </is>
      </c>
      <c r="E32" s="24" t="inlineStr">
        <is>
          <t>732/1144</t>
        </is>
      </c>
      <c r="F32" s="25">
        <f>IF(E32="","",IF(COUNTIF(lst_Jobs,E32&amp;"")&gt;0,"OK","CHECK"))</f>
        <v/>
      </c>
      <c r="G32" s="24" t="inlineStr">
        <is>
          <t>BW Contract August 2026</t>
        </is>
      </c>
      <c r="H32" s="24" t="inlineStr">
        <is>
          <t>Onsite</t>
        </is>
      </c>
      <c r="I32" s="24" t="inlineStr">
        <is>
          <t>ONSITE</t>
        </is>
      </c>
      <c r="J32" s="24" t="inlineStr">
        <is>
          <t>Contract</t>
        </is>
      </c>
      <c r="K32" s="24" t="inlineStr">
        <is>
          <t>GST 10%</t>
        </is>
      </c>
      <c r="L32" s="26" t="n">
        <v>15113.75</v>
      </c>
      <c r="M32" s="27">
        <f>IF(L32="","",IF(K32="GST 10%",ROUND(L32*set_GSTRate,2),0))</f>
        <v/>
      </c>
      <c r="N32" s="27">
        <f>IF(L32="","",L32+M32)</f>
        <v/>
      </c>
      <c r="O32" s="24" t="inlineStr">
        <is>
          <t>41100</t>
        </is>
      </c>
      <c r="P32" s="24" t="inlineStr">
        <is>
          <t>Y</t>
        </is>
      </c>
      <c r="Q32" s="24" t="inlineStr">
        <is>
          <t>N</t>
        </is>
      </c>
      <c r="R32" s="22" t="n"/>
      <c r="S32" s="22" t="n"/>
      <c r="T32" s="24" t="inlineStr">
        <is>
          <t>Invoiced</t>
        </is>
      </c>
      <c r="U32" s="24" t="n"/>
      <c r="V32" s="25">
        <f>IF(COUNTA(A32,D32,C32,L32)=0,"",IF(A32="","No date - sits outside every month",IF(E32="","No job number",IF(F32="CHECK","Job number is not in the Xero job list",IF(I32="","No cost centre",IF(AND(P32="Y",C32=""),"Marked posted to Xero but has no invoice number",IF(AND(L32&lt;&gt;"",K32=""),"No tax code",IF(AND(L32&lt;&gt;"",O32=""),"No revenue GL code",""))))))))</f>
        <v/>
      </c>
      <c r="W32" s="25">
        <f>IF(E32="","",IFERROR(INDEX(lst_JobName,MATCH(E32&amp;"",lst_Jobs,0)),""))</f>
        <v/>
      </c>
      <c r="X32" s="28">
        <f>IF(E32="","",COUNTIFS(tbl_Finance[Job Number],E32&amp;"",tbl_Finance[Ex GST],"&lt;&gt;"))</f>
        <v/>
      </c>
      <c r="Y32" s="27">
        <f>IF(E32="","",SUMIFS(tbl_Finance[Ex GST],tbl_Finance[Job Number],E32&amp;""))</f>
        <v/>
      </c>
      <c r="Z32" s="27">
        <f>IF(E32="","",SUMIFS(tbl_Finance[Ex GST],tbl_Finance[Job Number],E32&amp;"",tbl_Finance[Xero Invoice No],"&lt;&gt;"))</f>
        <v/>
      </c>
      <c r="AA32" s="27">
        <f>IF(E32="","",Y32-Z32)</f>
        <v/>
      </c>
      <c r="AB32" s="25">
        <f>IF(E32="","",IF(H32="Onsite",IFERROR(INDEX(tbl_Onsite[Qwilr Quote],MATCH(E32&amp;"",tbl_Onsite[Job Number],0)),""),IF(H32="Production",IFERROR(IF(INDEX(tbl_Production[Current RMS No],MATCH(E32&amp;"",tbl_Production[Job Number],0))="",INDEX(tbl_Production[Qwilr Quote],MATCH(E32&amp;"",tbl_Production[Job Number],0)),INDEX(tbl_Production[Current RMS No],MATCH(E32&amp;"",tbl_Production[Job Number],0))),""),IF(H32="Consulting",IFERROR(INDEX(tbl_Consulting[Qwilr Quote],MATCH(E32&amp;"",tbl_Consulting[Job Number],0)),""),""))))</f>
        <v/>
      </c>
      <c r="AC32" s="25">
        <f>IF(AB32="","",IF(AND(LEFT(AB32,4)&lt;&gt;"http",IF(H32="Production",set_RMSBase,set_QwilrBase)=""),"",HYPERLINK(IF(LEFT(AB32,4)="http",AB32,IF(H32="Production",set_RMSBase,set_QwilrBase)&amp;AB32),"Open")))</f>
        <v/>
      </c>
      <c r="AD32" s="27">
        <f>IF(E32="","",IF(H32="Production",IFERROR(INDEX(tbl_Production[Total Expense],MATCH(E32&amp;"",tbl_Production[Job Number],0)),0),IF(H32="Consulting",IFERROR(INDEX(tbl_Consulting[Total Expense],MATCH(E32&amp;"",tbl_Consulting[Job Number],0)),0),0)))</f>
        <v/>
      </c>
      <c r="AE32" s="27">
        <f>IF(E32="","",Y32-N(AD32))</f>
        <v/>
      </c>
      <c r="AF32" s="29">
        <f>IFERROR(AE32/Y32,"")</f>
        <v/>
      </c>
      <c r="AG32" s="25">
        <f>IF(E32="","",IF(H32="Onsite",IFERROR(INDEX(tbl_Onsite[Notes],MATCH(E32&amp;"",tbl_Onsite[Job Number],0)),""),IF(H32="Production",IFERROR(INDEX(tbl_Production[Notes],MATCH(E32&amp;"",tbl_Production[Job Number],0)),""),IF(H32="Consulting",IFERROR(INDEX(tbl_Consulting[Notes],MATCH(E32&amp;"",tbl_Consulting[Job Number],0)),""),""))))</f>
        <v/>
      </c>
    </row>
    <row r="33" ht="15" customHeight="1">
      <c r="A33" s="22" t="n">
        <v>46265</v>
      </c>
      <c r="B33" s="23">
        <f>IF(A33="","",EOMONTH(A33,0))</f>
        <v/>
      </c>
      <c r="C33" s="24" t="inlineStr">
        <is>
          <t>INV-10571</t>
        </is>
      </c>
      <c r="D33" s="24" t="inlineStr">
        <is>
          <t>BW</t>
        </is>
      </c>
      <c r="E33" s="24" t="inlineStr">
        <is>
          <t>2192</t>
        </is>
      </c>
      <c r="F33" s="25">
        <f>IF(E33="","",IF(COUNTIF(lst_Jobs,E33&amp;"")&gt;0,"OK","CHECK"))</f>
        <v/>
      </c>
      <c r="G33" s="24" t="inlineStr">
        <is>
          <t>BW Additionals August 2026</t>
        </is>
      </c>
      <c r="H33" s="24" t="inlineStr">
        <is>
          <t>Onsite</t>
        </is>
      </c>
      <c r="I33" s="24" t="inlineStr">
        <is>
          <t>ONSITE</t>
        </is>
      </c>
      <c r="J33" s="24" t="inlineStr">
        <is>
          <t>Contract</t>
        </is>
      </c>
      <c r="K33" s="24" t="inlineStr">
        <is>
          <t>GST 10%</t>
        </is>
      </c>
      <c r="L33" s="26" t="n">
        <v>2080</v>
      </c>
      <c r="M33" s="27">
        <f>IF(L33="","",IF(K33="GST 10%",ROUND(L33*set_GSTRate,2),0))</f>
        <v/>
      </c>
      <c r="N33" s="27">
        <f>IF(L33="","",L33+M33)</f>
        <v/>
      </c>
      <c r="O33" s="24" t="inlineStr">
        <is>
          <t>41100</t>
        </is>
      </c>
      <c r="P33" s="24" t="inlineStr">
        <is>
          <t>Y</t>
        </is>
      </c>
      <c r="Q33" s="24" t="inlineStr">
        <is>
          <t>N</t>
        </is>
      </c>
      <c r="R33" s="22" t="n"/>
      <c r="S33" s="22" t="n"/>
      <c r="T33" s="24" t="inlineStr">
        <is>
          <t>Invoiced</t>
        </is>
      </c>
      <c r="U33" s="24" t="n"/>
      <c r="V33" s="25">
        <f>IF(COUNTA(A33,D33,C33,L33)=0,"",IF(A33="","No date - sits outside every month",IF(E33="","No job number",IF(F33="CHECK","Job number is not in the Xero job list",IF(I33="","No cost centre",IF(AND(P33="Y",C33=""),"Marked posted to Xero but has no invoice number",IF(AND(L33&lt;&gt;"",K33=""),"No tax code",IF(AND(L33&lt;&gt;"",O33=""),"No revenue GL code",""))))))))</f>
        <v/>
      </c>
      <c r="W33" s="25">
        <f>IF(E33="","",IFERROR(INDEX(lst_JobName,MATCH(E33&amp;"",lst_Jobs,0)),""))</f>
        <v/>
      </c>
      <c r="X33" s="28">
        <f>IF(E33="","",COUNTIFS(tbl_Finance[Job Number],E33&amp;"",tbl_Finance[Ex GST],"&lt;&gt;"))</f>
        <v/>
      </c>
      <c r="Y33" s="27">
        <f>IF(E33="","",SUMIFS(tbl_Finance[Ex GST],tbl_Finance[Job Number],E33&amp;""))</f>
        <v/>
      </c>
      <c r="Z33" s="27">
        <f>IF(E33="","",SUMIFS(tbl_Finance[Ex GST],tbl_Finance[Job Number],E33&amp;"",tbl_Finance[Xero Invoice No],"&lt;&gt;"))</f>
        <v/>
      </c>
      <c r="AA33" s="27">
        <f>IF(E33="","",Y33-Z33)</f>
        <v/>
      </c>
      <c r="AB33" s="25">
        <f>IF(E33="","",IF(H33="Onsite",IFERROR(INDEX(tbl_Onsite[Qwilr Quote],MATCH(E33&amp;"",tbl_Onsite[Job Number],0)),""),IF(H33="Production",IFERROR(IF(INDEX(tbl_Production[Current RMS No],MATCH(E33&amp;"",tbl_Production[Job Number],0))="",INDEX(tbl_Production[Qwilr Quote],MATCH(E33&amp;"",tbl_Production[Job Number],0)),INDEX(tbl_Production[Current RMS No],MATCH(E33&amp;"",tbl_Production[Job Number],0))),""),IF(H33="Consulting",IFERROR(INDEX(tbl_Consulting[Qwilr Quote],MATCH(E33&amp;"",tbl_Consulting[Job Number],0)),""),""))))</f>
        <v/>
      </c>
      <c r="AC33" s="25">
        <f>IF(AB33="","",IF(AND(LEFT(AB33,4)&lt;&gt;"http",IF(H33="Production",set_RMSBase,set_QwilrBase)=""),"",HYPERLINK(IF(LEFT(AB33,4)="http",AB33,IF(H33="Production",set_RMSBase,set_QwilrBase)&amp;AB33),"Open")))</f>
        <v/>
      </c>
      <c r="AD33" s="27">
        <f>IF(E33="","",IF(H33="Production",IFERROR(INDEX(tbl_Production[Total Expense],MATCH(E33&amp;"",tbl_Production[Job Number],0)),0),IF(H33="Consulting",IFERROR(INDEX(tbl_Consulting[Total Expense],MATCH(E33&amp;"",tbl_Consulting[Job Number],0)),0),0)))</f>
        <v/>
      </c>
      <c r="AE33" s="27">
        <f>IF(E33="","",Y33-N(AD33))</f>
        <v/>
      </c>
      <c r="AF33" s="29">
        <f>IFERROR(AE33/Y33,"")</f>
        <v/>
      </c>
      <c r="AG33" s="25">
        <f>IF(E33="","",IF(H33="Onsite",IFERROR(INDEX(tbl_Onsite[Notes],MATCH(E33&amp;"",tbl_Onsite[Job Number],0)),""),IF(H33="Production",IFERROR(INDEX(tbl_Production[Notes],MATCH(E33&amp;"",tbl_Production[Job Number],0)),""),IF(H33="Consulting",IFERROR(INDEX(tbl_Consulting[Notes],MATCH(E33&amp;"",tbl_Consulting[Job Number],0)),""),""))))</f>
        <v/>
      </c>
    </row>
    <row r="34" ht="15" customHeight="1">
      <c r="A34" s="22" t="n">
        <v>46265</v>
      </c>
      <c r="B34" s="23">
        <f>IF(A34="","",EOMONTH(A34,0))</f>
        <v/>
      </c>
      <c r="C34" s="24" t="inlineStr">
        <is>
          <t>INV-10572</t>
        </is>
      </c>
      <c r="D34" s="24" t="inlineStr">
        <is>
          <t>PWC</t>
        </is>
      </c>
      <c r="E34" s="24" t="inlineStr">
        <is>
          <t>2488</t>
        </is>
      </c>
      <c r="F34" s="25">
        <f>IF(E34="","",IF(COUNTIF(lst_Jobs,E34&amp;"")&gt;0,"OK","CHECK"))</f>
        <v/>
      </c>
      <c r="G34" s="24" t="inlineStr">
        <is>
          <t>PWC Brisbane August 2026</t>
        </is>
      </c>
      <c r="H34" s="24" t="inlineStr">
        <is>
          <t>Onsite</t>
        </is>
      </c>
      <c r="I34" s="24" t="inlineStr">
        <is>
          <t>ONSITE</t>
        </is>
      </c>
      <c r="J34" s="24" t="inlineStr">
        <is>
          <t>Contract</t>
        </is>
      </c>
      <c r="K34" s="24" t="inlineStr">
        <is>
          <t>GST 10%</t>
        </is>
      </c>
      <c r="L34" s="26" t="n">
        <v>7150</v>
      </c>
      <c r="M34" s="27">
        <f>IF(L34="","",IF(K34="GST 10%",ROUND(L34*set_GSTRate,2),0))</f>
        <v/>
      </c>
      <c r="N34" s="27">
        <f>IF(L34="","",L34+M34)</f>
        <v/>
      </c>
      <c r="O34" s="24" t="inlineStr">
        <is>
          <t>41100</t>
        </is>
      </c>
      <c r="P34" s="24" t="inlineStr">
        <is>
          <t>Y</t>
        </is>
      </c>
      <c r="Q34" s="24" t="inlineStr">
        <is>
          <t>N</t>
        </is>
      </c>
      <c r="R34" s="22" t="n"/>
      <c r="S34" s="22" t="n"/>
      <c r="T34" s="24" t="inlineStr">
        <is>
          <t>Invoiced</t>
        </is>
      </c>
      <c r="U34" s="24" t="n"/>
      <c r="V34" s="25">
        <f>IF(COUNTA(A34,D34,C34,L34)=0,"",IF(A34="","No date - sits outside every month",IF(E34="","No job number",IF(F34="CHECK","Job number is not in the Xero job list",IF(I34="","No cost centre",IF(AND(P34="Y",C34=""),"Marked posted to Xero but has no invoice number",IF(AND(L34&lt;&gt;"",K34=""),"No tax code",IF(AND(L34&lt;&gt;"",O34=""),"No revenue GL code",""))))))))</f>
        <v/>
      </c>
      <c r="W34" s="25">
        <f>IF(E34="","",IFERROR(INDEX(lst_JobName,MATCH(E34&amp;"",lst_Jobs,0)),""))</f>
        <v/>
      </c>
      <c r="X34" s="28">
        <f>IF(E34="","",COUNTIFS(tbl_Finance[Job Number],E34&amp;"",tbl_Finance[Ex GST],"&lt;&gt;"))</f>
        <v/>
      </c>
      <c r="Y34" s="27">
        <f>IF(E34="","",SUMIFS(tbl_Finance[Ex GST],tbl_Finance[Job Number],E34&amp;""))</f>
        <v/>
      </c>
      <c r="Z34" s="27">
        <f>IF(E34="","",SUMIFS(tbl_Finance[Ex GST],tbl_Finance[Job Number],E34&amp;"",tbl_Finance[Xero Invoice No],"&lt;&gt;"))</f>
        <v/>
      </c>
      <c r="AA34" s="27">
        <f>IF(E34="","",Y34-Z34)</f>
        <v/>
      </c>
      <c r="AB34" s="25">
        <f>IF(E34="","",IF(H34="Onsite",IFERROR(INDEX(tbl_Onsite[Qwilr Quote],MATCH(E34&amp;"",tbl_Onsite[Job Number],0)),""),IF(H34="Production",IFERROR(IF(INDEX(tbl_Production[Current RMS No],MATCH(E34&amp;"",tbl_Production[Job Number],0))="",INDEX(tbl_Production[Qwilr Quote],MATCH(E34&amp;"",tbl_Production[Job Number],0)),INDEX(tbl_Production[Current RMS No],MATCH(E34&amp;"",tbl_Production[Job Number],0))),""),IF(H34="Consulting",IFERROR(INDEX(tbl_Consulting[Qwilr Quote],MATCH(E34&amp;"",tbl_Consulting[Job Number],0)),""),""))))</f>
        <v/>
      </c>
      <c r="AC34" s="25">
        <f>IF(AB34="","",IF(AND(LEFT(AB34,4)&lt;&gt;"http",IF(H34="Production",set_RMSBase,set_QwilrBase)=""),"",HYPERLINK(IF(LEFT(AB34,4)="http",AB34,IF(H34="Production",set_RMSBase,set_QwilrBase)&amp;AB34),"Open")))</f>
        <v/>
      </c>
      <c r="AD34" s="27">
        <f>IF(E34="","",IF(H34="Production",IFERROR(INDEX(tbl_Production[Total Expense],MATCH(E34&amp;"",tbl_Production[Job Number],0)),0),IF(H34="Consulting",IFERROR(INDEX(tbl_Consulting[Total Expense],MATCH(E34&amp;"",tbl_Consulting[Job Number],0)),0),0)))</f>
        <v/>
      </c>
      <c r="AE34" s="27">
        <f>IF(E34="","",Y34-N(AD34))</f>
        <v/>
      </c>
      <c r="AF34" s="29">
        <f>IFERROR(AE34/Y34,"")</f>
        <v/>
      </c>
      <c r="AG34" s="25">
        <f>IF(E34="","",IF(H34="Onsite",IFERROR(INDEX(tbl_Onsite[Notes],MATCH(E34&amp;"",tbl_Onsite[Job Number],0)),""),IF(H34="Production",IFERROR(INDEX(tbl_Production[Notes],MATCH(E34&amp;"",tbl_Production[Job Number],0)),""),IF(H34="Consulting",IFERROR(INDEX(tbl_Consulting[Notes],MATCH(E34&amp;"",tbl_Consulting[Job Number],0)),""),""))))</f>
        <v/>
      </c>
    </row>
    <row r="35" ht="15" customHeight="1">
      <c r="A35" s="22" t="n">
        <v>46265</v>
      </c>
      <c r="B35" s="23">
        <f>IF(A35="","",EOMONTH(A35,0))</f>
        <v/>
      </c>
      <c r="C35" s="24" t="inlineStr">
        <is>
          <t>INV-10573</t>
        </is>
      </c>
      <c r="D35" s="24" t="inlineStr">
        <is>
          <t>Gen-E</t>
        </is>
      </c>
      <c r="E35" s="24" t="inlineStr">
        <is>
          <t>26021602</t>
        </is>
      </c>
      <c r="F35" s="25">
        <f>IF(E35="","",IF(COUNTIF(lst_Jobs,E35&amp;"")&gt;0,"OK","CHECK"))</f>
        <v/>
      </c>
      <c r="G35" s="24" t="inlineStr">
        <is>
          <t>Gen-E ABS August 2026</t>
        </is>
      </c>
      <c r="H35" s="24" t="inlineStr">
        <is>
          <t>Onsite</t>
        </is>
      </c>
      <c r="I35" s="24" t="inlineStr">
        <is>
          <t>ONSITE</t>
        </is>
      </c>
      <c r="J35" s="24" t="inlineStr">
        <is>
          <t>Contract</t>
        </is>
      </c>
      <c r="K35" s="24" t="inlineStr">
        <is>
          <t>GST 10%</t>
        </is>
      </c>
      <c r="L35" s="26" t="n">
        <v>12388.8</v>
      </c>
      <c r="M35" s="27">
        <f>IF(L35="","",IF(K35="GST 10%",ROUND(L35*set_GSTRate,2),0))</f>
        <v/>
      </c>
      <c r="N35" s="27">
        <f>IF(L35="","",L35+M35)</f>
        <v/>
      </c>
      <c r="O35" s="24" t="inlineStr">
        <is>
          <t>41100</t>
        </is>
      </c>
      <c r="P35" s="24" t="inlineStr">
        <is>
          <t>Y</t>
        </is>
      </c>
      <c r="Q35" s="24" t="inlineStr">
        <is>
          <t>N</t>
        </is>
      </c>
      <c r="R35" s="22" t="n"/>
      <c r="S35" s="22" t="n"/>
      <c r="T35" s="24" t="inlineStr">
        <is>
          <t>Invoiced</t>
        </is>
      </c>
      <c r="U35" s="24" t="n"/>
      <c r="V35" s="25">
        <f>IF(COUNTA(A35,D35,C35,L35)=0,"",IF(A35="","No date - sits outside every month",IF(E35="","No job number",IF(F35="CHECK","Job number is not in the Xero job list",IF(I35="","No cost centre",IF(AND(P35="Y",C35=""),"Marked posted to Xero but has no invoice number",IF(AND(L35&lt;&gt;"",K35=""),"No tax code",IF(AND(L35&lt;&gt;"",O35=""),"No revenue GL code",""))))))))</f>
        <v/>
      </c>
      <c r="W35" s="25">
        <f>IF(E35="","",IFERROR(INDEX(lst_JobName,MATCH(E35&amp;"",lst_Jobs,0)),""))</f>
        <v/>
      </c>
      <c r="X35" s="28">
        <f>IF(E35="","",COUNTIFS(tbl_Finance[Job Number],E35&amp;"",tbl_Finance[Ex GST],"&lt;&gt;"))</f>
        <v/>
      </c>
      <c r="Y35" s="27">
        <f>IF(E35="","",SUMIFS(tbl_Finance[Ex GST],tbl_Finance[Job Number],E35&amp;""))</f>
        <v/>
      </c>
      <c r="Z35" s="27">
        <f>IF(E35="","",SUMIFS(tbl_Finance[Ex GST],tbl_Finance[Job Number],E35&amp;"",tbl_Finance[Xero Invoice No],"&lt;&gt;"))</f>
        <v/>
      </c>
      <c r="AA35" s="27">
        <f>IF(E35="","",Y35-Z35)</f>
        <v/>
      </c>
      <c r="AB35" s="25">
        <f>IF(E35="","",IF(H35="Onsite",IFERROR(INDEX(tbl_Onsite[Qwilr Quote],MATCH(E35&amp;"",tbl_Onsite[Job Number],0)),""),IF(H35="Production",IFERROR(IF(INDEX(tbl_Production[Current RMS No],MATCH(E35&amp;"",tbl_Production[Job Number],0))="",INDEX(tbl_Production[Qwilr Quote],MATCH(E35&amp;"",tbl_Production[Job Number],0)),INDEX(tbl_Production[Current RMS No],MATCH(E35&amp;"",tbl_Production[Job Number],0))),""),IF(H35="Consulting",IFERROR(INDEX(tbl_Consulting[Qwilr Quote],MATCH(E35&amp;"",tbl_Consulting[Job Number],0)),""),""))))</f>
        <v/>
      </c>
      <c r="AC35" s="25">
        <f>IF(AB35="","",IF(AND(LEFT(AB35,4)&lt;&gt;"http",IF(H35="Production",set_RMSBase,set_QwilrBase)=""),"",HYPERLINK(IF(LEFT(AB35,4)="http",AB35,IF(H35="Production",set_RMSBase,set_QwilrBase)&amp;AB35),"Open")))</f>
        <v/>
      </c>
      <c r="AD35" s="27">
        <f>IF(E35="","",IF(H35="Production",IFERROR(INDEX(tbl_Production[Total Expense],MATCH(E35&amp;"",tbl_Production[Job Number],0)),0),IF(H35="Consulting",IFERROR(INDEX(tbl_Consulting[Total Expense],MATCH(E35&amp;"",tbl_Consulting[Job Number],0)),0),0)))</f>
        <v/>
      </c>
      <c r="AE35" s="27">
        <f>IF(E35="","",Y35-N(AD35))</f>
        <v/>
      </c>
      <c r="AF35" s="29">
        <f>IFERROR(AE35/Y35,"")</f>
        <v/>
      </c>
      <c r="AG35" s="25">
        <f>IF(E35="","",IF(H35="Onsite",IFERROR(INDEX(tbl_Onsite[Notes],MATCH(E35&amp;"",tbl_Onsite[Job Number],0)),""),IF(H35="Production",IFERROR(INDEX(tbl_Production[Notes],MATCH(E35&amp;"",tbl_Production[Job Number],0)),""),IF(H35="Consulting",IFERROR(INDEX(tbl_Consulting[Notes],MATCH(E35&amp;"",tbl_Consulting[Job Number],0)),""),""))))</f>
        <v/>
      </c>
    </row>
    <row r="36" ht="15" customHeight="1">
      <c r="A36" s="22" t="n">
        <v>46265</v>
      </c>
      <c r="B36" s="23">
        <f>IF(A36="","",EOMONTH(A36,0))</f>
        <v/>
      </c>
      <c r="C36" s="24" t="inlineStr">
        <is>
          <t>INV-10582</t>
        </is>
      </c>
      <c r="D36" s="24" t="inlineStr">
        <is>
          <t>CBA</t>
        </is>
      </c>
      <c r="E36" s="24" t="inlineStr">
        <is>
          <t>26043001</t>
        </is>
      </c>
      <c r="F36" s="25">
        <f>IF(E36="","",IF(COUNTIF(lst_Jobs,E36&amp;"")&gt;0,"OK","CHECK"))</f>
        <v/>
      </c>
      <c r="G36" s="24" t="inlineStr">
        <is>
          <t>CBA Mel August 2026</t>
        </is>
      </c>
      <c r="H36" s="24" t="inlineStr">
        <is>
          <t>Onsite</t>
        </is>
      </c>
      <c r="I36" s="24" t="inlineStr">
        <is>
          <t>ONSITE</t>
        </is>
      </c>
      <c r="J36" s="24" t="inlineStr">
        <is>
          <t>Contract</t>
        </is>
      </c>
      <c r="K36" s="24" t="inlineStr">
        <is>
          <t>GST 10%</t>
        </is>
      </c>
      <c r="L36" s="26" t="n">
        <v>11960</v>
      </c>
      <c r="M36" s="27">
        <f>IF(L36="","",IF(K36="GST 10%",ROUND(L36*set_GSTRate,2),0))</f>
        <v/>
      </c>
      <c r="N36" s="27">
        <f>IF(L36="","",L36+M36)</f>
        <v/>
      </c>
      <c r="O36" s="24" t="inlineStr">
        <is>
          <t>41100</t>
        </is>
      </c>
      <c r="P36" s="24" t="inlineStr">
        <is>
          <t>Y</t>
        </is>
      </c>
      <c r="Q36" s="24" t="inlineStr">
        <is>
          <t>N</t>
        </is>
      </c>
      <c r="R36" s="22" t="n"/>
      <c r="S36" s="22" t="n"/>
      <c r="T36" s="24" t="inlineStr">
        <is>
          <t>Invoiced</t>
        </is>
      </c>
      <c r="U36" s="24" t="n"/>
      <c r="V36" s="25">
        <f>IF(COUNTA(A36,D36,C36,L36)=0,"",IF(A36="","No date - sits outside every month",IF(E36="","No job number",IF(F36="CHECK","Job number is not in the Xero job list",IF(I36="","No cost centre",IF(AND(P36="Y",C36=""),"Marked posted to Xero but has no invoice number",IF(AND(L36&lt;&gt;"",K36=""),"No tax code",IF(AND(L36&lt;&gt;"",O36=""),"No revenue GL code",""))))))))</f>
        <v/>
      </c>
      <c r="W36" s="25">
        <f>IF(E36="","",IFERROR(INDEX(lst_JobName,MATCH(E36&amp;"",lst_Jobs,0)),""))</f>
        <v/>
      </c>
      <c r="X36" s="28">
        <f>IF(E36="","",COUNTIFS(tbl_Finance[Job Number],E36&amp;"",tbl_Finance[Ex GST],"&lt;&gt;"))</f>
        <v/>
      </c>
      <c r="Y36" s="27">
        <f>IF(E36="","",SUMIFS(tbl_Finance[Ex GST],tbl_Finance[Job Number],E36&amp;""))</f>
        <v/>
      </c>
      <c r="Z36" s="27">
        <f>IF(E36="","",SUMIFS(tbl_Finance[Ex GST],tbl_Finance[Job Number],E36&amp;"",tbl_Finance[Xero Invoice No],"&lt;&gt;"))</f>
        <v/>
      </c>
      <c r="AA36" s="27">
        <f>IF(E36="","",Y36-Z36)</f>
        <v/>
      </c>
      <c r="AB36" s="25">
        <f>IF(E36="","",IF(H36="Onsite",IFERROR(INDEX(tbl_Onsite[Qwilr Quote],MATCH(E36&amp;"",tbl_Onsite[Job Number],0)),""),IF(H36="Production",IFERROR(IF(INDEX(tbl_Production[Current RMS No],MATCH(E36&amp;"",tbl_Production[Job Number],0))="",INDEX(tbl_Production[Qwilr Quote],MATCH(E36&amp;"",tbl_Production[Job Number],0)),INDEX(tbl_Production[Current RMS No],MATCH(E36&amp;"",tbl_Production[Job Number],0))),""),IF(H36="Consulting",IFERROR(INDEX(tbl_Consulting[Qwilr Quote],MATCH(E36&amp;"",tbl_Consulting[Job Number],0)),""),""))))</f>
        <v/>
      </c>
      <c r="AC36" s="25">
        <f>IF(AB36="","",IF(AND(LEFT(AB36,4)&lt;&gt;"http",IF(H36="Production",set_RMSBase,set_QwilrBase)=""),"",HYPERLINK(IF(LEFT(AB36,4)="http",AB36,IF(H36="Production",set_RMSBase,set_QwilrBase)&amp;AB36),"Open")))</f>
        <v/>
      </c>
      <c r="AD36" s="27">
        <f>IF(E36="","",IF(H36="Production",IFERROR(INDEX(tbl_Production[Total Expense],MATCH(E36&amp;"",tbl_Production[Job Number],0)),0),IF(H36="Consulting",IFERROR(INDEX(tbl_Consulting[Total Expense],MATCH(E36&amp;"",tbl_Consulting[Job Number],0)),0),0)))</f>
        <v/>
      </c>
      <c r="AE36" s="27">
        <f>IF(E36="","",Y36-N(AD36))</f>
        <v/>
      </c>
      <c r="AF36" s="29">
        <f>IFERROR(AE36/Y36,"")</f>
        <v/>
      </c>
      <c r="AG36" s="25">
        <f>IF(E36="","",IF(H36="Onsite",IFERROR(INDEX(tbl_Onsite[Notes],MATCH(E36&amp;"",tbl_Onsite[Job Number],0)),""),IF(H36="Production",IFERROR(INDEX(tbl_Production[Notes],MATCH(E36&amp;"",tbl_Production[Job Number],0)),""),IF(H36="Consulting",IFERROR(INDEX(tbl_Consulting[Notes],MATCH(E36&amp;"",tbl_Consulting[Job Number],0)),""),""))))</f>
        <v/>
      </c>
    </row>
    <row r="37" ht="15" customHeight="1">
      <c r="A37" s="22" t="n">
        <v>46265</v>
      </c>
      <c r="B37" s="23">
        <f>IF(A37="","",EOMONTH(A37,0))</f>
        <v/>
      </c>
      <c r="C37" s="24" t="inlineStr">
        <is>
          <t>INV-10615</t>
        </is>
      </c>
      <c r="D37" s="24" t="inlineStr">
        <is>
          <t>Aware Super</t>
        </is>
      </c>
      <c r="E37" s="24" t="inlineStr">
        <is>
          <t>26022301</t>
        </is>
      </c>
      <c r="F37" s="25">
        <f>IF(E37="","",IF(COUNTIF(lst_Jobs,E37&amp;"")&gt;0,"OK","CHECK"))</f>
        <v/>
      </c>
      <c r="G37" s="24" t="inlineStr">
        <is>
          <t>Aware Super Contract August 2026</t>
        </is>
      </c>
      <c r="H37" s="24" t="inlineStr">
        <is>
          <t>Onsite</t>
        </is>
      </c>
      <c r="I37" s="24" t="inlineStr">
        <is>
          <t>ONSITE</t>
        </is>
      </c>
      <c r="J37" s="24" t="inlineStr">
        <is>
          <t>Contract</t>
        </is>
      </c>
      <c r="K37" s="24" t="inlineStr">
        <is>
          <t>GST 10%</t>
        </is>
      </c>
      <c r="L37" s="26" t="n">
        <v>11000</v>
      </c>
      <c r="M37" s="27">
        <f>IF(L37="","",IF(K37="GST 10%",ROUND(L37*set_GSTRate,2),0))</f>
        <v/>
      </c>
      <c r="N37" s="27">
        <f>IF(L37="","",L37+M37)</f>
        <v/>
      </c>
      <c r="O37" s="24" t="inlineStr">
        <is>
          <t>41100</t>
        </is>
      </c>
      <c r="P37" s="24" t="inlineStr">
        <is>
          <t>Y</t>
        </is>
      </c>
      <c r="Q37" s="24" t="inlineStr">
        <is>
          <t>N</t>
        </is>
      </c>
      <c r="R37" s="22" t="n"/>
      <c r="S37" s="22" t="n"/>
      <c r="T37" s="24" t="inlineStr">
        <is>
          <t>Invoiced</t>
        </is>
      </c>
      <c r="U37" s="24" t="inlineStr">
        <is>
          <t>Split TBC - Xero split this with production ($850)</t>
        </is>
      </c>
      <c r="V37" s="25">
        <f>IF(COUNTA(A37,D37,C37,L37)=0,"",IF(A37="","No date - sits outside every month",IF(E37="","No job number",IF(F37="CHECK","Job number is not in the Xero job list",IF(I37="","No cost centre",IF(AND(P37="Y",C37=""),"Marked posted to Xero but has no invoice number",IF(AND(L37&lt;&gt;"",K37=""),"No tax code",IF(AND(L37&lt;&gt;"",O37=""),"No revenue GL code",""))))))))</f>
        <v/>
      </c>
      <c r="W37" s="25">
        <f>IF(E37="","",IFERROR(INDEX(lst_JobName,MATCH(E37&amp;"",lst_Jobs,0)),""))</f>
        <v/>
      </c>
      <c r="X37" s="28">
        <f>IF(E37="","",COUNTIFS(tbl_Finance[Job Number],E37&amp;"",tbl_Finance[Ex GST],"&lt;&gt;"))</f>
        <v/>
      </c>
      <c r="Y37" s="27">
        <f>IF(E37="","",SUMIFS(tbl_Finance[Ex GST],tbl_Finance[Job Number],E37&amp;""))</f>
        <v/>
      </c>
      <c r="Z37" s="27">
        <f>IF(E37="","",SUMIFS(tbl_Finance[Ex GST],tbl_Finance[Job Number],E37&amp;"",tbl_Finance[Xero Invoice No],"&lt;&gt;"))</f>
        <v/>
      </c>
      <c r="AA37" s="27">
        <f>IF(E37="","",Y37-Z37)</f>
        <v/>
      </c>
      <c r="AB37" s="25">
        <f>IF(E37="","",IF(H37="Onsite",IFERROR(INDEX(tbl_Onsite[Qwilr Quote],MATCH(E37&amp;"",tbl_Onsite[Job Number],0)),""),IF(H37="Production",IFERROR(IF(INDEX(tbl_Production[Current RMS No],MATCH(E37&amp;"",tbl_Production[Job Number],0))="",INDEX(tbl_Production[Qwilr Quote],MATCH(E37&amp;"",tbl_Production[Job Number],0)),INDEX(tbl_Production[Current RMS No],MATCH(E37&amp;"",tbl_Production[Job Number],0))),""),IF(H37="Consulting",IFERROR(INDEX(tbl_Consulting[Qwilr Quote],MATCH(E37&amp;"",tbl_Consulting[Job Number],0)),""),""))))</f>
        <v/>
      </c>
      <c r="AC37" s="25">
        <f>IF(AB37="","",IF(AND(LEFT(AB37,4)&lt;&gt;"http",IF(H37="Production",set_RMSBase,set_QwilrBase)=""),"",HYPERLINK(IF(LEFT(AB37,4)="http",AB37,IF(H37="Production",set_RMSBase,set_QwilrBase)&amp;AB37),"Open")))</f>
        <v/>
      </c>
      <c r="AD37" s="27">
        <f>IF(E37="","",IF(H37="Production",IFERROR(INDEX(tbl_Production[Total Expense],MATCH(E37&amp;"",tbl_Production[Job Number],0)),0),IF(H37="Consulting",IFERROR(INDEX(tbl_Consulting[Total Expense],MATCH(E37&amp;"",tbl_Consulting[Job Number],0)),0),0)))</f>
        <v/>
      </c>
      <c r="AE37" s="27">
        <f>IF(E37="","",Y37-N(AD37))</f>
        <v/>
      </c>
      <c r="AF37" s="29">
        <f>IFERROR(AE37/Y37,"")</f>
        <v/>
      </c>
      <c r="AG37" s="25">
        <f>IF(E37="","",IF(H37="Onsite",IFERROR(INDEX(tbl_Onsite[Notes],MATCH(E37&amp;"",tbl_Onsite[Job Number],0)),""),IF(H37="Production",IFERROR(INDEX(tbl_Production[Notes],MATCH(E37&amp;"",tbl_Production[Job Number],0)),""),IF(H37="Consulting",IFERROR(INDEX(tbl_Consulting[Notes],MATCH(E37&amp;"",tbl_Consulting[Job Number],0)),""),""))))</f>
        <v/>
      </c>
    </row>
    <row r="38" ht="15" customHeight="1">
      <c r="A38" s="22" t="n">
        <v>46265</v>
      </c>
      <c r="B38" s="23">
        <f>IF(A38="","",EOMONTH(A38,0))</f>
        <v/>
      </c>
      <c r="C38" s="24" t="inlineStr">
        <is>
          <t>INV-10585</t>
        </is>
      </c>
      <c r="D38" s="24" t="inlineStr">
        <is>
          <t>PWC</t>
        </is>
      </c>
      <c r="E38" s="24" t="inlineStr">
        <is>
          <t>25101301B</t>
        </is>
      </c>
      <c r="F38" s="25">
        <f>IF(E38="","",IF(COUNTIF(lst_Jobs,E38&amp;"")&gt;0,"OK","CHECK"))</f>
        <v/>
      </c>
      <c r="G38" s="24" t="inlineStr">
        <is>
          <t>PWC Sydney IT August 2026</t>
        </is>
      </c>
      <c r="H38" s="24" t="inlineStr">
        <is>
          <t>Onsite</t>
        </is>
      </c>
      <c r="I38" s="24" t="inlineStr">
        <is>
          <t>ONSITE</t>
        </is>
      </c>
      <c r="J38" s="24" t="inlineStr">
        <is>
          <t>Contract</t>
        </is>
      </c>
      <c r="K38" s="24" t="inlineStr">
        <is>
          <t>GST 10%</t>
        </is>
      </c>
      <c r="L38" s="26" t="n">
        <v>11907</v>
      </c>
      <c r="M38" s="27">
        <f>IF(L38="","",IF(K38="GST 10%",ROUND(L38*set_GSTRate,2),0))</f>
        <v/>
      </c>
      <c r="N38" s="27">
        <f>IF(L38="","",L38+M38)</f>
        <v/>
      </c>
      <c r="O38" s="24" t="inlineStr">
        <is>
          <t>41100</t>
        </is>
      </c>
      <c r="P38" s="24" t="inlineStr">
        <is>
          <t>Y</t>
        </is>
      </c>
      <c r="Q38" s="24" t="inlineStr">
        <is>
          <t>N</t>
        </is>
      </c>
      <c r="R38" s="22" t="n"/>
      <c r="S38" s="22" t="n"/>
      <c r="T38" s="24" t="inlineStr">
        <is>
          <t>Invoiced</t>
        </is>
      </c>
      <c r="U38" s="24" t="n"/>
      <c r="V38" s="25">
        <f>IF(COUNTA(A38,D38,C38,L38)=0,"",IF(A38="","No date - sits outside every month",IF(E38="","No job number",IF(F38="CHECK","Job number is not in the Xero job list",IF(I38="","No cost centre",IF(AND(P38="Y",C38=""),"Marked posted to Xero but has no invoice number",IF(AND(L38&lt;&gt;"",K38=""),"No tax code",IF(AND(L38&lt;&gt;"",O38=""),"No revenue GL code",""))))))))</f>
        <v/>
      </c>
      <c r="W38" s="25">
        <f>IF(E38="","",IFERROR(INDEX(lst_JobName,MATCH(E38&amp;"",lst_Jobs,0)),""))</f>
        <v/>
      </c>
      <c r="X38" s="28">
        <f>IF(E38="","",COUNTIFS(tbl_Finance[Job Number],E38&amp;"",tbl_Finance[Ex GST],"&lt;&gt;"))</f>
        <v/>
      </c>
      <c r="Y38" s="27">
        <f>IF(E38="","",SUMIFS(tbl_Finance[Ex GST],tbl_Finance[Job Number],E38&amp;""))</f>
        <v/>
      </c>
      <c r="Z38" s="27">
        <f>IF(E38="","",SUMIFS(tbl_Finance[Ex GST],tbl_Finance[Job Number],E38&amp;"",tbl_Finance[Xero Invoice No],"&lt;&gt;"))</f>
        <v/>
      </c>
      <c r="AA38" s="27">
        <f>IF(E38="","",Y38-Z38)</f>
        <v/>
      </c>
      <c r="AB38" s="25">
        <f>IF(E38="","",IF(H38="Onsite",IFERROR(INDEX(tbl_Onsite[Qwilr Quote],MATCH(E38&amp;"",tbl_Onsite[Job Number],0)),""),IF(H38="Production",IFERROR(IF(INDEX(tbl_Production[Current RMS No],MATCH(E38&amp;"",tbl_Production[Job Number],0))="",INDEX(tbl_Production[Qwilr Quote],MATCH(E38&amp;"",tbl_Production[Job Number],0)),INDEX(tbl_Production[Current RMS No],MATCH(E38&amp;"",tbl_Production[Job Number],0))),""),IF(H38="Consulting",IFERROR(INDEX(tbl_Consulting[Qwilr Quote],MATCH(E38&amp;"",tbl_Consulting[Job Number],0)),""),""))))</f>
        <v/>
      </c>
      <c r="AC38" s="25">
        <f>IF(AB38="","",IF(AND(LEFT(AB38,4)&lt;&gt;"http",IF(H38="Production",set_RMSBase,set_QwilrBase)=""),"",HYPERLINK(IF(LEFT(AB38,4)="http",AB38,IF(H38="Production",set_RMSBase,set_QwilrBase)&amp;AB38),"Open")))</f>
        <v/>
      </c>
      <c r="AD38" s="27">
        <f>IF(E38="","",IF(H38="Production",IFERROR(INDEX(tbl_Production[Total Expense],MATCH(E38&amp;"",tbl_Production[Job Number],0)),0),IF(H38="Consulting",IFERROR(INDEX(tbl_Consulting[Total Expense],MATCH(E38&amp;"",tbl_Consulting[Job Number],0)),0),0)))</f>
        <v/>
      </c>
      <c r="AE38" s="27">
        <f>IF(E38="","",Y38-N(AD38))</f>
        <v/>
      </c>
      <c r="AF38" s="29">
        <f>IFERROR(AE38/Y38,"")</f>
        <v/>
      </c>
      <c r="AG38" s="25">
        <f>IF(E38="","",IF(H38="Onsite",IFERROR(INDEX(tbl_Onsite[Notes],MATCH(E38&amp;"",tbl_Onsite[Job Number],0)),""),IF(H38="Production",IFERROR(INDEX(tbl_Production[Notes],MATCH(E38&amp;"",tbl_Production[Job Number],0)),""),IF(H38="Consulting",IFERROR(INDEX(tbl_Consulting[Notes],MATCH(E38&amp;"",tbl_Consulting[Job Number],0)),""),""))))</f>
        <v/>
      </c>
    </row>
    <row r="39" ht="15" customHeight="1">
      <c r="A39" s="22" t="n"/>
      <c r="B39" s="23">
        <f>IF(A39="","",EOMONTH(A39,0))</f>
        <v/>
      </c>
      <c r="C39" s="24" t="n"/>
      <c r="D39" s="24" t="inlineStr">
        <is>
          <t>TWG</t>
        </is>
      </c>
      <c r="E39" s="24" t="inlineStr">
        <is>
          <t>26081301</t>
        </is>
      </c>
      <c r="F39" s="25">
        <f>IF(E39="","",IF(COUNTIF(lst_Jobs,E39&amp;"")&gt;0,"OK","CHECK"))</f>
        <v/>
      </c>
      <c r="G39" s="24" t="inlineStr">
        <is>
          <t>EY Support Technician BNE</t>
        </is>
      </c>
      <c r="H39" s="24" t="inlineStr">
        <is>
          <t>Onsite</t>
        </is>
      </c>
      <c r="I39" s="24" t="inlineStr">
        <is>
          <t>ONSITE</t>
        </is>
      </c>
      <c r="J39" s="24" t="inlineStr">
        <is>
          <t>Contract</t>
        </is>
      </c>
      <c r="K39" s="24" t="inlineStr">
        <is>
          <t>GST 10%</t>
        </is>
      </c>
      <c r="L39" s="26" t="n">
        <v>3740</v>
      </c>
      <c r="M39" s="27">
        <f>IF(L39="","",IF(K39="GST 10%",ROUND(L39*set_GSTRate,2),0))</f>
        <v/>
      </c>
      <c r="N39" s="27">
        <f>IF(L39="","",L39+M39)</f>
        <v/>
      </c>
      <c r="O39" s="24" t="inlineStr">
        <is>
          <t>41100</t>
        </is>
      </c>
      <c r="P39" s="24" t="inlineStr">
        <is>
          <t>N</t>
        </is>
      </c>
      <c r="Q39" s="24" t="inlineStr">
        <is>
          <t>N</t>
        </is>
      </c>
      <c r="R39" s="22" t="n"/>
      <c r="S39" s="22" t="n"/>
      <c r="T39" s="24" t="inlineStr">
        <is>
          <t>To Invoice</t>
        </is>
      </c>
      <c r="U39" s="24" t="inlineStr">
        <is>
          <t>November</t>
        </is>
      </c>
      <c r="V39" s="25">
        <f>IF(COUNTA(A39,D39,C39,L39)=0,"",IF(A39="","No date - sits outside every month",IF(E39="","No job number",IF(F39="CHECK","Job number is not in the Xero job list",IF(I39="","No cost centre",IF(AND(P39="Y",C39=""),"Marked posted to Xero but has no invoice number",IF(AND(L39&lt;&gt;"",K39=""),"No tax code",IF(AND(L39&lt;&gt;"",O39=""),"No revenue GL code",""))))))))</f>
        <v/>
      </c>
      <c r="W39" s="25">
        <f>IF(E39="","",IFERROR(INDEX(lst_JobName,MATCH(E39&amp;"",lst_Jobs,0)),""))</f>
        <v/>
      </c>
      <c r="X39" s="28">
        <f>IF(E39="","",COUNTIFS(tbl_Finance[Job Number],E39&amp;"",tbl_Finance[Ex GST],"&lt;&gt;"))</f>
        <v/>
      </c>
      <c r="Y39" s="27">
        <f>IF(E39="","",SUMIFS(tbl_Finance[Ex GST],tbl_Finance[Job Number],E39&amp;""))</f>
        <v/>
      </c>
      <c r="Z39" s="27">
        <f>IF(E39="","",SUMIFS(tbl_Finance[Ex GST],tbl_Finance[Job Number],E39&amp;"",tbl_Finance[Xero Invoice No],"&lt;&gt;"))</f>
        <v/>
      </c>
      <c r="AA39" s="27">
        <f>IF(E39="","",Y39-Z39)</f>
        <v/>
      </c>
      <c r="AB39" s="25">
        <f>IF(E39="","",IF(H39="Onsite",IFERROR(INDEX(tbl_Onsite[Qwilr Quote],MATCH(E39&amp;"",tbl_Onsite[Job Number],0)),""),IF(H39="Production",IFERROR(IF(INDEX(tbl_Production[Current RMS No],MATCH(E39&amp;"",tbl_Production[Job Number],0))="",INDEX(tbl_Production[Qwilr Quote],MATCH(E39&amp;"",tbl_Production[Job Number],0)),INDEX(tbl_Production[Current RMS No],MATCH(E39&amp;"",tbl_Production[Job Number],0))),""),IF(H39="Consulting",IFERROR(INDEX(tbl_Consulting[Qwilr Quote],MATCH(E39&amp;"",tbl_Consulting[Job Number],0)),""),""))))</f>
        <v/>
      </c>
      <c r="AC39" s="25">
        <f>IF(AB39="","",IF(AND(LEFT(AB39,4)&lt;&gt;"http",IF(H39="Production",set_RMSBase,set_QwilrBase)=""),"",HYPERLINK(IF(LEFT(AB39,4)="http",AB39,IF(H39="Production",set_RMSBase,set_QwilrBase)&amp;AB39),"Open")))</f>
        <v/>
      </c>
      <c r="AD39" s="27">
        <f>IF(E39="","",IF(H39="Production",IFERROR(INDEX(tbl_Production[Total Expense],MATCH(E39&amp;"",tbl_Production[Job Number],0)),0),IF(H39="Consulting",IFERROR(INDEX(tbl_Consulting[Total Expense],MATCH(E39&amp;"",tbl_Consulting[Job Number],0)),0),0)))</f>
        <v/>
      </c>
      <c r="AE39" s="27">
        <f>IF(E39="","",Y39-N(AD39))</f>
        <v/>
      </c>
      <c r="AF39" s="29">
        <f>IFERROR(AE39/Y39,"")</f>
        <v/>
      </c>
      <c r="AG39" s="25">
        <f>IF(E39="","",IF(H39="Onsite",IFERROR(INDEX(tbl_Onsite[Notes],MATCH(E39&amp;"",tbl_Onsite[Job Number],0)),""),IF(H39="Production",IFERROR(INDEX(tbl_Production[Notes],MATCH(E39&amp;"",tbl_Production[Job Number],0)),""),IF(H39="Consulting",IFERROR(INDEX(tbl_Consulting[Notes],MATCH(E39&amp;"",tbl_Consulting[Job Number],0)),""),""))))</f>
        <v/>
      </c>
    </row>
    <row r="40" ht="15" customHeight="1">
      <c r="A40" s="22" t="n">
        <v>46265</v>
      </c>
      <c r="B40" s="23">
        <f>IF(A40="","",EOMONTH(A40,0))</f>
        <v/>
      </c>
      <c r="C40" s="24" t="inlineStr">
        <is>
          <t>INV-10603</t>
        </is>
      </c>
      <c r="D40" s="24" t="inlineStr">
        <is>
          <t>CBA</t>
        </is>
      </c>
      <c r="E40" s="24" t="inlineStr">
        <is>
          <t>1668</t>
        </is>
      </c>
      <c r="F40" s="25">
        <f>IF(E40="","",IF(COUNTIF(lst_Jobs,E40&amp;"")&gt;0,"OK","CHECK"))</f>
        <v/>
      </c>
      <c r="G40" s="24" t="inlineStr">
        <is>
          <t>85720001CBPSCSJUN27 AFTERHOUR</t>
        </is>
      </c>
      <c r="H40" s="24" t="inlineStr">
        <is>
          <t>Onsite</t>
        </is>
      </c>
      <c r="I40" s="24" t="inlineStr">
        <is>
          <t>ONSITE</t>
        </is>
      </c>
      <c r="J40" s="24" t="inlineStr">
        <is>
          <t>Contract</t>
        </is>
      </c>
      <c r="K40" s="24" t="inlineStr">
        <is>
          <t>GST 10%</t>
        </is>
      </c>
      <c r="L40" s="26" t="n">
        <v>775</v>
      </c>
      <c r="M40" s="27">
        <f>IF(L40="","",IF(K40="GST 10%",ROUND(L40*set_GSTRate,2),0))</f>
        <v/>
      </c>
      <c r="N40" s="27">
        <f>IF(L40="","",L40+M40)</f>
        <v/>
      </c>
      <c r="O40" s="24" t="inlineStr">
        <is>
          <t>41100</t>
        </is>
      </c>
      <c r="P40" s="24" t="inlineStr">
        <is>
          <t>Y</t>
        </is>
      </c>
      <c r="Q40" s="24" t="inlineStr">
        <is>
          <t>N</t>
        </is>
      </c>
      <c r="R40" s="22" t="n"/>
      <c r="S40" s="22" t="n"/>
      <c r="T40" s="24" t="inlineStr">
        <is>
          <t>Invoiced</t>
        </is>
      </c>
      <c r="U40" s="24" t="n"/>
      <c r="V40" s="25">
        <f>IF(COUNTA(A40,D40,C40,L40)=0,"",IF(A40="","No date - sits outside every month",IF(E40="","No job number",IF(F40="CHECK","Job number is not in the Xero job list",IF(I40="","No cost centre",IF(AND(P40="Y",C40=""),"Marked posted to Xero but has no invoice number",IF(AND(L40&lt;&gt;"",K40=""),"No tax code",IF(AND(L40&lt;&gt;"",O40=""),"No revenue GL code",""))))))))</f>
        <v/>
      </c>
      <c r="W40" s="25">
        <f>IF(E40="","",IFERROR(INDEX(lst_JobName,MATCH(E40&amp;"",lst_Jobs,0)),""))</f>
        <v/>
      </c>
      <c r="X40" s="28">
        <f>IF(E40="","",COUNTIFS(tbl_Finance[Job Number],E40&amp;"",tbl_Finance[Ex GST],"&lt;&gt;"))</f>
        <v/>
      </c>
      <c r="Y40" s="27">
        <f>IF(E40="","",SUMIFS(tbl_Finance[Ex GST],tbl_Finance[Job Number],E40&amp;""))</f>
        <v/>
      </c>
      <c r="Z40" s="27">
        <f>IF(E40="","",SUMIFS(tbl_Finance[Ex GST],tbl_Finance[Job Number],E40&amp;"",tbl_Finance[Xero Invoice No],"&lt;&gt;"))</f>
        <v/>
      </c>
      <c r="AA40" s="27">
        <f>IF(E40="","",Y40-Z40)</f>
        <v/>
      </c>
      <c r="AB40" s="25">
        <f>IF(E40="","",IF(H40="Onsite",IFERROR(INDEX(tbl_Onsite[Qwilr Quote],MATCH(E40&amp;"",tbl_Onsite[Job Number],0)),""),IF(H40="Production",IFERROR(IF(INDEX(tbl_Production[Current RMS No],MATCH(E40&amp;"",tbl_Production[Job Number],0))="",INDEX(tbl_Production[Qwilr Quote],MATCH(E40&amp;"",tbl_Production[Job Number],0)),INDEX(tbl_Production[Current RMS No],MATCH(E40&amp;"",tbl_Production[Job Number],0))),""),IF(H40="Consulting",IFERROR(INDEX(tbl_Consulting[Qwilr Quote],MATCH(E40&amp;"",tbl_Consulting[Job Number],0)),""),""))))</f>
        <v/>
      </c>
      <c r="AC40" s="25">
        <f>IF(AB40="","",IF(AND(LEFT(AB40,4)&lt;&gt;"http",IF(H40="Production",set_RMSBase,set_QwilrBase)=""),"",HYPERLINK(IF(LEFT(AB40,4)="http",AB40,IF(H40="Production",set_RMSBase,set_QwilrBase)&amp;AB40),"Open")))</f>
        <v/>
      </c>
      <c r="AD40" s="27">
        <f>IF(E40="","",IF(H40="Production",IFERROR(INDEX(tbl_Production[Total Expense],MATCH(E40&amp;"",tbl_Production[Job Number],0)),0),IF(H40="Consulting",IFERROR(INDEX(tbl_Consulting[Total Expense],MATCH(E40&amp;"",tbl_Consulting[Job Number],0)),0),0)))</f>
        <v/>
      </c>
      <c r="AE40" s="27">
        <f>IF(E40="","",Y40-N(AD40))</f>
        <v/>
      </c>
      <c r="AF40" s="29">
        <f>IFERROR(AE40/Y40,"")</f>
        <v/>
      </c>
      <c r="AG40" s="25">
        <f>IF(E40="","",IF(H40="Onsite",IFERROR(INDEX(tbl_Onsite[Notes],MATCH(E40&amp;"",tbl_Onsite[Job Number],0)),""),IF(H40="Production",IFERROR(INDEX(tbl_Production[Notes],MATCH(E40&amp;"",tbl_Production[Job Number],0)),""),IF(H40="Consulting",IFERROR(INDEX(tbl_Consulting[Notes],MATCH(E40&amp;"",tbl_Consulting[Job Number],0)),""),""))))</f>
        <v/>
      </c>
    </row>
    <row r="41" ht="15" customHeight="1">
      <c r="A41" s="22" t="n">
        <v>46265</v>
      </c>
      <c r="B41" s="23">
        <f>IF(A41="","",EOMONTH(A41,0))</f>
        <v/>
      </c>
      <c r="C41" s="24" t="inlineStr">
        <is>
          <t>INV-10604</t>
        </is>
      </c>
      <c r="D41" s="24" t="inlineStr">
        <is>
          <t>CBA</t>
        </is>
      </c>
      <c r="E41" s="24" t="inlineStr">
        <is>
          <t>1668</t>
        </is>
      </c>
      <c r="F41" s="25">
        <f>IF(E41="","",IF(COUNTIF(lst_Jobs,E41&amp;"")&gt;0,"OK","CHECK"))</f>
        <v/>
      </c>
      <c r="G41" s="24" t="inlineStr">
        <is>
          <t>85720001CBPSCSJUN27 DEDICATED TECH</t>
        </is>
      </c>
      <c r="H41" s="24" t="inlineStr">
        <is>
          <t>Onsite</t>
        </is>
      </c>
      <c r="I41" s="24" t="inlineStr">
        <is>
          <t>ONSITE</t>
        </is>
      </c>
      <c r="J41" s="24" t="inlineStr">
        <is>
          <t>Contract</t>
        </is>
      </c>
      <c r="K41" s="24" t="inlineStr">
        <is>
          <t>GST 10%</t>
        </is>
      </c>
      <c r="L41" s="26" t="n">
        <v>510</v>
      </c>
      <c r="M41" s="27">
        <f>IF(L41="","",IF(K41="GST 10%",ROUND(L41*set_GSTRate,2),0))</f>
        <v/>
      </c>
      <c r="N41" s="27">
        <f>IF(L41="","",L41+M41)</f>
        <v/>
      </c>
      <c r="O41" s="24" t="inlineStr">
        <is>
          <t>41100</t>
        </is>
      </c>
      <c r="P41" s="24" t="inlineStr">
        <is>
          <t>Y</t>
        </is>
      </c>
      <c r="Q41" s="24" t="inlineStr">
        <is>
          <t>N</t>
        </is>
      </c>
      <c r="R41" s="22" t="n"/>
      <c r="S41" s="22" t="n"/>
      <c r="T41" s="24" t="inlineStr">
        <is>
          <t>Invoiced</t>
        </is>
      </c>
      <c r="U41" s="24" t="n"/>
      <c r="V41" s="25">
        <f>IF(COUNTA(A41,D41,C41,L41)=0,"",IF(A41="","No date - sits outside every month",IF(E41="","No job number",IF(F41="CHECK","Job number is not in the Xero job list",IF(I41="","No cost centre",IF(AND(P41="Y",C41=""),"Marked posted to Xero but has no invoice number",IF(AND(L41&lt;&gt;"",K41=""),"No tax code",IF(AND(L41&lt;&gt;"",O41=""),"No revenue GL code",""))))))))</f>
        <v/>
      </c>
      <c r="W41" s="25">
        <f>IF(E41="","",IFERROR(INDEX(lst_JobName,MATCH(E41&amp;"",lst_Jobs,0)),""))</f>
        <v/>
      </c>
      <c r="X41" s="28">
        <f>IF(E41="","",COUNTIFS(tbl_Finance[Job Number],E41&amp;"",tbl_Finance[Ex GST],"&lt;&gt;"))</f>
        <v/>
      </c>
      <c r="Y41" s="27">
        <f>IF(E41="","",SUMIFS(tbl_Finance[Ex GST],tbl_Finance[Job Number],E41&amp;""))</f>
        <v/>
      </c>
      <c r="Z41" s="27">
        <f>IF(E41="","",SUMIFS(tbl_Finance[Ex GST],tbl_Finance[Job Number],E41&amp;"",tbl_Finance[Xero Invoice No],"&lt;&gt;"))</f>
        <v/>
      </c>
      <c r="AA41" s="27">
        <f>IF(E41="","",Y41-Z41)</f>
        <v/>
      </c>
      <c r="AB41" s="25">
        <f>IF(E41="","",IF(H41="Onsite",IFERROR(INDEX(tbl_Onsite[Qwilr Quote],MATCH(E41&amp;"",tbl_Onsite[Job Number],0)),""),IF(H41="Production",IFERROR(IF(INDEX(tbl_Production[Current RMS No],MATCH(E41&amp;"",tbl_Production[Job Number],0))="",INDEX(tbl_Production[Qwilr Quote],MATCH(E41&amp;"",tbl_Production[Job Number],0)),INDEX(tbl_Production[Current RMS No],MATCH(E41&amp;"",tbl_Production[Job Number],0))),""),IF(H41="Consulting",IFERROR(INDEX(tbl_Consulting[Qwilr Quote],MATCH(E41&amp;"",tbl_Consulting[Job Number],0)),""),""))))</f>
        <v/>
      </c>
      <c r="AC41" s="25">
        <f>IF(AB41="","",IF(AND(LEFT(AB41,4)&lt;&gt;"http",IF(H41="Production",set_RMSBase,set_QwilrBase)=""),"",HYPERLINK(IF(LEFT(AB41,4)="http",AB41,IF(H41="Production",set_RMSBase,set_QwilrBase)&amp;AB41),"Open")))</f>
        <v/>
      </c>
      <c r="AD41" s="27">
        <f>IF(E41="","",IF(H41="Production",IFERROR(INDEX(tbl_Production[Total Expense],MATCH(E41&amp;"",tbl_Production[Job Number],0)),0),IF(H41="Consulting",IFERROR(INDEX(tbl_Consulting[Total Expense],MATCH(E41&amp;"",tbl_Consulting[Job Number],0)),0),0)))</f>
        <v/>
      </c>
      <c r="AE41" s="27">
        <f>IF(E41="","",Y41-N(AD41))</f>
        <v/>
      </c>
      <c r="AF41" s="29">
        <f>IFERROR(AE41/Y41,"")</f>
        <v/>
      </c>
      <c r="AG41" s="25">
        <f>IF(E41="","",IF(H41="Onsite",IFERROR(INDEX(tbl_Onsite[Notes],MATCH(E41&amp;"",tbl_Onsite[Job Number],0)),""),IF(H41="Production",IFERROR(INDEX(tbl_Production[Notes],MATCH(E41&amp;"",tbl_Production[Job Number],0)),""),IF(H41="Consulting",IFERROR(INDEX(tbl_Consulting[Notes],MATCH(E41&amp;"",tbl_Consulting[Job Number],0)),""),""))))</f>
        <v/>
      </c>
    </row>
    <row r="42" ht="15" customHeight="1">
      <c r="A42" s="22" t="n">
        <v>46265</v>
      </c>
      <c r="B42" s="23">
        <f>IF(A42="","",EOMONTH(A42,0))</f>
        <v/>
      </c>
      <c r="C42" s="24" t="inlineStr">
        <is>
          <t>INV-10605</t>
        </is>
      </c>
      <c r="D42" s="24" t="inlineStr">
        <is>
          <t>CBA</t>
        </is>
      </c>
      <c r="E42" s="24" t="inlineStr">
        <is>
          <t>1668</t>
        </is>
      </c>
      <c r="F42" s="25">
        <f>IF(E42="","",IF(COUNTIF(lst_Jobs,E42&amp;"")&gt;0,"OK","CHECK"))</f>
        <v/>
      </c>
      <c r="G42" s="24" t="inlineStr">
        <is>
          <t>85720001CBPSCSJUN27 DEDICATED TECH</t>
        </is>
      </c>
      <c r="H42" s="24" t="inlineStr">
        <is>
          <t>Onsite</t>
        </is>
      </c>
      <c r="I42" s="24" t="inlineStr">
        <is>
          <t>ONSITE</t>
        </is>
      </c>
      <c r="J42" s="24" t="inlineStr">
        <is>
          <t>Contract</t>
        </is>
      </c>
      <c r="K42" s="24" t="inlineStr">
        <is>
          <t>GST 10%</t>
        </is>
      </c>
      <c r="L42" s="26" t="n">
        <v>340</v>
      </c>
      <c r="M42" s="27">
        <f>IF(L42="","",IF(K42="GST 10%",ROUND(L42*set_GSTRate,2),0))</f>
        <v/>
      </c>
      <c r="N42" s="27">
        <f>IF(L42="","",L42+M42)</f>
        <v/>
      </c>
      <c r="O42" s="24" t="inlineStr">
        <is>
          <t>41100</t>
        </is>
      </c>
      <c r="P42" s="24" t="inlineStr">
        <is>
          <t>Y</t>
        </is>
      </c>
      <c r="Q42" s="24" t="inlineStr">
        <is>
          <t>N</t>
        </is>
      </c>
      <c r="R42" s="22" t="n"/>
      <c r="S42" s="22" t="n"/>
      <c r="T42" s="24" t="inlineStr">
        <is>
          <t>Invoiced</t>
        </is>
      </c>
      <c r="U42" s="24" t="n"/>
      <c r="V42" s="25">
        <f>IF(COUNTA(A42,D42,C42,L42)=0,"",IF(A42="","No date - sits outside every month",IF(E42="","No job number",IF(F42="CHECK","Job number is not in the Xero job list",IF(I42="","No cost centre",IF(AND(P42="Y",C42=""),"Marked posted to Xero but has no invoice number",IF(AND(L42&lt;&gt;"",K42=""),"No tax code",IF(AND(L42&lt;&gt;"",O42=""),"No revenue GL code",""))))))))</f>
        <v/>
      </c>
      <c r="W42" s="25">
        <f>IF(E42="","",IFERROR(INDEX(lst_JobName,MATCH(E42&amp;"",lst_Jobs,0)),""))</f>
        <v/>
      </c>
      <c r="X42" s="28">
        <f>IF(E42="","",COUNTIFS(tbl_Finance[Job Number],E42&amp;"",tbl_Finance[Ex GST],"&lt;&gt;"))</f>
        <v/>
      </c>
      <c r="Y42" s="27">
        <f>IF(E42="","",SUMIFS(tbl_Finance[Ex GST],tbl_Finance[Job Number],E42&amp;""))</f>
        <v/>
      </c>
      <c r="Z42" s="27">
        <f>IF(E42="","",SUMIFS(tbl_Finance[Ex GST],tbl_Finance[Job Number],E42&amp;"",tbl_Finance[Xero Invoice No],"&lt;&gt;"))</f>
        <v/>
      </c>
      <c r="AA42" s="27">
        <f>IF(E42="","",Y42-Z42)</f>
        <v/>
      </c>
      <c r="AB42" s="25">
        <f>IF(E42="","",IF(H42="Onsite",IFERROR(INDEX(tbl_Onsite[Qwilr Quote],MATCH(E42&amp;"",tbl_Onsite[Job Number],0)),""),IF(H42="Production",IFERROR(IF(INDEX(tbl_Production[Current RMS No],MATCH(E42&amp;"",tbl_Production[Job Number],0))="",INDEX(tbl_Production[Qwilr Quote],MATCH(E42&amp;"",tbl_Production[Job Number],0)),INDEX(tbl_Production[Current RMS No],MATCH(E42&amp;"",tbl_Production[Job Number],0))),""),IF(H42="Consulting",IFERROR(INDEX(tbl_Consulting[Qwilr Quote],MATCH(E42&amp;"",tbl_Consulting[Job Number],0)),""),""))))</f>
        <v/>
      </c>
      <c r="AC42" s="25">
        <f>IF(AB42="","",IF(AND(LEFT(AB42,4)&lt;&gt;"http",IF(H42="Production",set_RMSBase,set_QwilrBase)=""),"",HYPERLINK(IF(LEFT(AB42,4)="http",AB42,IF(H42="Production",set_RMSBase,set_QwilrBase)&amp;AB42),"Open")))</f>
        <v/>
      </c>
      <c r="AD42" s="27">
        <f>IF(E42="","",IF(H42="Production",IFERROR(INDEX(tbl_Production[Total Expense],MATCH(E42&amp;"",tbl_Production[Job Number],0)),0),IF(H42="Consulting",IFERROR(INDEX(tbl_Consulting[Total Expense],MATCH(E42&amp;"",tbl_Consulting[Job Number],0)),0),0)))</f>
        <v/>
      </c>
      <c r="AE42" s="27">
        <f>IF(E42="","",Y42-N(AD42))</f>
        <v/>
      </c>
      <c r="AF42" s="29">
        <f>IFERROR(AE42/Y42,"")</f>
        <v/>
      </c>
      <c r="AG42" s="25">
        <f>IF(E42="","",IF(H42="Onsite",IFERROR(INDEX(tbl_Onsite[Notes],MATCH(E42&amp;"",tbl_Onsite[Job Number],0)),""),IF(H42="Production",IFERROR(INDEX(tbl_Production[Notes],MATCH(E42&amp;"",tbl_Production[Job Number],0)),""),IF(H42="Consulting",IFERROR(INDEX(tbl_Consulting[Notes],MATCH(E42&amp;"",tbl_Consulting[Job Number],0)),""),""))))</f>
        <v/>
      </c>
    </row>
    <row r="43" ht="15" customHeight="1">
      <c r="A43" s="22" t="n">
        <v>46265</v>
      </c>
      <c r="B43" s="23">
        <f>IF(A43="","",EOMONTH(A43,0))</f>
        <v/>
      </c>
      <c r="C43" s="24" t="inlineStr">
        <is>
          <t>INV-10606</t>
        </is>
      </c>
      <c r="D43" s="24" t="inlineStr">
        <is>
          <t>CBA</t>
        </is>
      </c>
      <c r="E43" s="24" t="inlineStr">
        <is>
          <t>1668</t>
        </is>
      </c>
      <c r="F43" s="25">
        <f>IF(E43="","",IF(COUNTIF(lst_Jobs,E43&amp;"")&gt;0,"OK","CHECK"))</f>
        <v/>
      </c>
      <c r="G43" s="24" t="inlineStr">
        <is>
          <t>85720001CBPSCSJUN27 DEDICATED TECH</t>
        </is>
      </c>
      <c r="H43" s="24" t="inlineStr">
        <is>
          <t>Onsite</t>
        </is>
      </c>
      <c r="I43" s="24" t="inlineStr">
        <is>
          <t>ONSITE</t>
        </is>
      </c>
      <c r="J43" s="24" t="inlineStr">
        <is>
          <t>Contract</t>
        </is>
      </c>
      <c r="K43" s="24" t="inlineStr">
        <is>
          <t>GST 10%</t>
        </is>
      </c>
      <c r="L43" s="26" t="n">
        <v>510</v>
      </c>
      <c r="M43" s="27">
        <f>IF(L43="","",IF(K43="GST 10%",ROUND(L43*set_GSTRate,2),0))</f>
        <v/>
      </c>
      <c r="N43" s="27">
        <f>IF(L43="","",L43+M43)</f>
        <v/>
      </c>
      <c r="O43" s="24" t="inlineStr">
        <is>
          <t>41100</t>
        </is>
      </c>
      <c r="P43" s="24" t="inlineStr">
        <is>
          <t>Y</t>
        </is>
      </c>
      <c r="Q43" s="24" t="inlineStr">
        <is>
          <t>N</t>
        </is>
      </c>
      <c r="R43" s="22" t="n"/>
      <c r="S43" s="22" t="n"/>
      <c r="T43" s="24" t="inlineStr">
        <is>
          <t>Invoiced</t>
        </is>
      </c>
      <c r="U43" s="24" t="n"/>
      <c r="V43" s="25">
        <f>IF(COUNTA(A43,D43,C43,L43)=0,"",IF(A43="","No date - sits outside every month",IF(E43="","No job number",IF(F43="CHECK","Job number is not in the Xero job list",IF(I43="","No cost centre",IF(AND(P43="Y",C43=""),"Marked posted to Xero but has no invoice number",IF(AND(L43&lt;&gt;"",K43=""),"No tax code",IF(AND(L43&lt;&gt;"",O43=""),"No revenue GL code",""))))))))</f>
        <v/>
      </c>
      <c r="W43" s="25">
        <f>IF(E43="","",IFERROR(INDEX(lst_JobName,MATCH(E43&amp;"",lst_Jobs,0)),""))</f>
        <v/>
      </c>
      <c r="X43" s="28">
        <f>IF(E43="","",COUNTIFS(tbl_Finance[Job Number],E43&amp;"",tbl_Finance[Ex GST],"&lt;&gt;"))</f>
        <v/>
      </c>
      <c r="Y43" s="27">
        <f>IF(E43="","",SUMIFS(tbl_Finance[Ex GST],tbl_Finance[Job Number],E43&amp;""))</f>
        <v/>
      </c>
      <c r="Z43" s="27">
        <f>IF(E43="","",SUMIFS(tbl_Finance[Ex GST],tbl_Finance[Job Number],E43&amp;"",tbl_Finance[Xero Invoice No],"&lt;&gt;"))</f>
        <v/>
      </c>
      <c r="AA43" s="27">
        <f>IF(E43="","",Y43-Z43)</f>
        <v/>
      </c>
      <c r="AB43" s="25">
        <f>IF(E43="","",IF(H43="Onsite",IFERROR(INDEX(tbl_Onsite[Qwilr Quote],MATCH(E43&amp;"",tbl_Onsite[Job Number],0)),""),IF(H43="Production",IFERROR(IF(INDEX(tbl_Production[Current RMS No],MATCH(E43&amp;"",tbl_Production[Job Number],0))="",INDEX(tbl_Production[Qwilr Quote],MATCH(E43&amp;"",tbl_Production[Job Number],0)),INDEX(tbl_Production[Current RMS No],MATCH(E43&amp;"",tbl_Production[Job Number],0))),""),IF(H43="Consulting",IFERROR(INDEX(tbl_Consulting[Qwilr Quote],MATCH(E43&amp;"",tbl_Consulting[Job Number],0)),""),""))))</f>
        <v/>
      </c>
      <c r="AC43" s="25">
        <f>IF(AB43="","",IF(AND(LEFT(AB43,4)&lt;&gt;"http",IF(H43="Production",set_RMSBase,set_QwilrBase)=""),"",HYPERLINK(IF(LEFT(AB43,4)="http",AB43,IF(H43="Production",set_RMSBase,set_QwilrBase)&amp;AB43),"Open")))</f>
        <v/>
      </c>
      <c r="AD43" s="27">
        <f>IF(E43="","",IF(H43="Production",IFERROR(INDEX(tbl_Production[Total Expense],MATCH(E43&amp;"",tbl_Production[Job Number],0)),0),IF(H43="Consulting",IFERROR(INDEX(tbl_Consulting[Total Expense],MATCH(E43&amp;"",tbl_Consulting[Job Number],0)),0),0)))</f>
        <v/>
      </c>
      <c r="AE43" s="27">
        <f>IF(E43="","",Y43-N(AD43))</f>
        <v/>
      </c>
      <c r="AF43" s="29">
        <f>IFERROR(AE43/Y43,"")</f>
        <v/>
      </c>
      <c r="AG43" s="25">
        <f>IF(E43="","",IF(H43="Onsite",IFERROR(INDEX(tbl_Onsite[Notes],MATCH(E43&amp;"",tbl_Onsite[Job Number],0)),""),IF(H43="Production",IFERROR(INDEX(tbl_Production[Notes],MATCH(E43&amp;"",tbl_Production[Job Number],0)),""),IF(H43="Consulting",IFERROR(INDEX(tbl_Consulting[Notes],MATCH(E43&amp;"",tbl_Consulting[Job Number],0)),""),""))))</f>
        <v/>
      </c>
    </row>
    <row r="44" ht="15" customHeight="1">
      <c r="A44" s="22" t="n">
        <v>46265</v>
      </c>
      <c r="B44" s="23">
        <f>IF(A44="","",EOMONTH(A44,0))</f>
        <v/>
      </c>
      <c r="C44" s="24" t="inlineStr">
        <is>
          <t>INV-10607</t>
        </is>
      </c>
      <c r="D44" s="24" t="inlineStr">
        <is>
          <t>CBA</t>
        </is>
      </c>
      <c r="E44" s="24" t="inlineStr">
        <is>
          <t>1668</t>
        </is>
      </c>
      <c r="F44" s="25">
        <f>IF(E44="","",IF(COUNTIF(lst_Jobs,E44&amp;"")&gt;0,"OK","CHECK"))</f>
        <v/>
      </c>
      <c r="G44" s="24" t="inlineStr">
        <is>
          <t>85720001CBPSCSJUN27 DEDICATED TECH</t>
        </is>
      </c>
      <c r="H44" s="24" t="inlineStr">
        <is>
          <t>Onsite</t>
        </is>
      </c>
      <c r="I44" s="24" t="inlineStr">
        <is>
          <t>ONSITE</t>
        </is>
      </c>
      <c r="J44" s="24" t="inlineStr">
        <is>
          <t>Contract</t>
        </is>
      </c>
      <c r="K44" s="24" t="inlineStr">
        <is>
          <t>GST 10%</t>
        </is>
      </c>
      <c r="L44" s="26" t="n">
        <v>510</v>
      </c>
      <c r="M44" s="27">
        <f>IF(L44="","",IF(K44="GST 10%",ROUND(L44*set_GSTRate,2),0))</f>
        <v/>
      </c>
      <c r="N44" s="27">
        <f>IF(L44="","",L44+M44)</f>
        <v/>
      </c>
      <c r="O44" s="24" t="inlineStr">
        <is>
          <t>41100</t>
        </is>
      </c>
      <c r="P44" s="24" t="inlineStr">
        <is>
          <t>Y</t>
        </is>
      </c>
      <c r="Q44" s="24" t="inlineStr">
        <is>
          <t>N</t>
        </is>
      </c>
      <c r="R44" s="22" t="n"/>
      <c r="S44" s="22" t="n"/>
      <c r="T44" s="24" t="inlineStr">
        <is>
          <t>Invoiced</t>
        </is>
      </c>
      <c r="U44" s="24" t="n"/>
      <c r="V44" s="25">
        <f>IF(COUNTA(A44,D44,C44,L44)=0,"",IF(A44="","No date - sits outside every month",IF(E44="","No job number",IF(F44="CHECK","Job number is not in the Xero job list",IF(I44="","No cost centre",IF(AND(P44="Y",C44=""),"Marked posted to Xero but has no invoice number",IF(AND(L44&lt;&gt;"",K44=""),"No tax code",IF(AND(L44&lt;&gt;"",O44=""),"No revenue GL code",""))))))))</f>
        <v/>
      </c>
      <c r="W44" s="25">
        <f>IF(E44="","",IFERROR(INDEX(lst_JobName,MATCH(E44&amp;"",lst_Jobs,0)),""))</f>
        <v/>
      </c>
      <c r="X44" s="28">
        <f>IF(E44="","",COUNTIFS(tbl_Finance[Job Number],E44&amp;"",tbl_Finance[Ex GST],"&lt;&gt;"))</f>
        <v/>
      </c>
      <c r="Y44" s="27">
        <f>IF(E44="","",SUMIFS(tbl_Finance[Ex GST],tbl_Finance[Job Number],E44&amp;""))</f>
        <v/>
      </c>
      <c r="Z44" s="27">
        <f>IF(E44="","",SUMIFS(tbl_Finance[Ex GST],tbl_Finance[Job Number],E44&amp;"",tbl_Finance[Xero Invoice No],"&lt;&gt;"))</f>
        <v/>
      </c>
      <c r="AA44" s="27">
        <f>IF(E44="","",Y44-Z44)</f>
        <v/>
      </c>
      <c r="AB44" s="25">
        <f>IF(E44="","",IF(H44="Onsite",IFERROR(INDEX(tbl_Onsite[Qwilr Quote],MATCH(E44&amp;"",tbl_Onsite[Job Number],0)),""),IF(H44="Production",IFERROR(IF(INDEX(tbl_Production[Current RMS No],MATCH(E44&amp;"",tbl_Production[Job Number],0))="",INDEX(tbl_Production[Qwilr Quote],MATCH(E44&amp;"",tbl_Production[Job Number],0)),INDEX(tbl_Production[Current RMS No],MATCH(E44&amp;"",tbl_Production[Job Number],0))),""),IF(H44="Consulting",IFERROR(INDEX(tbl_Consulting[Qwilr Quote],MATCH(E44&amp;"",tbl_Consulting[Job Number],0)),""),""))))</f>
        <v/>
      </c>
      <c r="AC44" s="25">
        <f>IF(AB44="","",IF(AND(LEFT(AB44,4)&lt;&gt;"http",IF(H44="Production",set_RMSBase,set_QwilrBase)=""),"",HYPERLINK(IF(LEFT(AB44,4)="http",AB44,IF(H44="Production",set_RMSBase,set_QwilrBase)&amp;AB44),"Open")))</f>
        <v/>
      </c>
      <c r="AD44" s="27">
        <f>IF(E44="","",IF(H44="Production",IFERROR(INDEX(tbl_Production[Total Expense],MATCH(E44&amp;"",tbl_Production[Job Number],0)),0),IF(H44="Consulting",IFERROR(INDEX(tbl_Consulting[Total Expense],MATCH(E44&amp;"",tbl_Consulting[Job Number],0)),0),0)))</f>
        <v/>
      </c>
      <c r="AE44" s="27">
        <f>IF(E44="","",Y44-N(AD44))</f>
        <v/>
      </c>
      <c r="AF44" s="29">
        <f>IFERROR(AE44/Y44,"")</f>
        <v/>
      </c>
      <c r="AG44" s="25">
        <f>IF(E44="","",IF(H44="Onsite",IFERROR(INDEX(tbl_Onsite[Notes],MATCH(E44&amp;"",tbl_Onsite[Job Number],0)),""),IF(H44="Production",IFERROR(INDEX(tbl_Production[Notes],MATCH(E44&amp;"",tbl_Production[Job Number],0)),""),IF(H44="Consulting",IFERROR(INDEX(tbl_Consulting[Notes],MATCH(E44&amp;"",tbl_Consulting[Job Number],0)),""),""))))</f>
        <v/>
      </c>
    </row>
    <row r="45" ht="15" customHeight="1">
      <c r="A45" s="22" t="n">
        <v>46265</v>
      </c>
      <c r="B45" s="23">
        <f>IF(A45="","",EOMONTH(A45,0))</f>
        <v/>
      </c>
      <c r="C45" s="24" t="inlineStr">
        <is>
          <t>INV-10608</t>
        </is>
      </c>
      <c r="D45" s="24" t="inlineStr">
        <is>
          <t>CBA</t>
        </is>
      </c>
      <c r="E45" s="24" t="inlineStr">
        <is>
          <t>1668</t>
        </is>
      </c>
      <c r="F45" s="25">
        <f>IF(E45="","",IF(COUNTIF(lst_Jobs,E45&amp;"")&gt;0,"OK","CHECK"))</f>
        <v/>
      </c>
      <c r="G45" s="24" t="inlineStr">
        <is>
          <t>85720001CBPSCSJUN27 DEDICATED TECH</t>
        </is>
      </c>
      <c r="H45" s="24" t="inlineStr">
        <is>
          <t>Onsite</t>
        </is>
      </c>
      <c r="I45" s="24" t="inlineStr">
        <is>
          <t>ONSITE</t>
        </is>
      </c>
      <c r="J45" s="24" t="inlineStr">
        <is>
          <t>Contract</t>
        </is>
      </c>
      <c r="K45" s="24" t="inlineStr">
        <is>
          <t>GST 10%</t>
        </is>
      </c>
      <c r="L45" s="26" t="n">
        <v>340</v>
      </c>
      <c r="M45" s="27">
        <f>IF(L45="","",IF(K45="GST 10%",ROUND(L45*set_GSTRate,2),0))</f>
        <v/>
      </c>
      <c r="N45" s="27">
        <f>IF(L45="","",L45+M45)</f>
        <v/>
      </c>
      <c r="O45" s="24" t="inlineStr">
        <is>
          <t>41100</t>
        </is>
      </c>
      <c r="P45" s="24" t="inlineStr">
        <is>
          <t>Y</t>
        </is>
      </c>
      <c r="Q45" s="24" t="inlineStr">
        <is>
          <t>N</t>
        </is>
      </c>
      <c r="R45" s="22" t="n"/>
      <c r="S45" s="22" t="n"/>
      <c r="T45" s="24" t="inlineStr">
        <is>
          <t>Invoiced</t>
        </is>
      </c>
      <c r="U45" s="24" t="n"/>
      <c r="V45" s="25">
        <f>IF(COUNTA(A45,D45,C45,L45)=0,"",IF(A45="","No date - sits outside every month",IF(E45="","No job number",IF(F45="CHECK","Job number is not in the Xero job list",IF(I45="","No cost centre",IF(AND(P45="Y",C45=""),"Marked posted to Xero but has no invoice number",IF(AND(L45&lt;&gt;"",K45=""),"No tax code",IF(AND(L45&lt;&gt;"",O45=""),"No revenue GL code",""))))))))</f>
        <v/>
      </c>
      <c r="W45" s="25">
        <f>IF(E45="","",IFERROR(INDEX(lst_JobName,MATCH(E45&amp;"",lst_Jobs,0)),""))</f>
        <v/>
      </c>
      <c r="X45" s="28">
        <f>IF(E45="","",COUNTIFS(tbl_Finance[Job Number],E45&amp;"",tbl_Finance[Ex GST],"&lt;&gt;"))</f>
        <v/>
      </c>
      <c r="Y45" s="27">
        <f>IF(E45="","",SUMIFS(tbl_Finance[Ex GST],tbl_Finance[Job Number],E45&amp;""))</f>
        <v/>
      </c>
      <c r="Z45" s="27">
        <f>IF(E45="","",SUMIFS(tbl_Finance[Ex GST],tbl_Finance[Job Number],E45&amp;"",tbl_Finance[Xero Invoice No],"&lt;&gt;"))</f>
        <v/>
      </c>
      <c r="AA45" s="27">
        <f>IF(E45="","",Y45-Z45)</f>
        <v/>
      </c>
      <c r="AB45" s="25">
        <f>IF(E45="","",IF(H45="Onsite",IFERROR(INDEX(tbl_Onsite[Qwilr Quote],MATCH(E45&amp;"",tbl_Onsite[Job Number],0)),""),IF(H45="Production",IFERROR(IF(INDEX(tbl_Production[Current RMS No],MATCH(E45&amp;"",tbl_Production[Job Number],0))="",INDEX(tbl_Production[Qwilr Quote],MATCH(E45&amp;"",tbl_Production[Job Number],0)),INDEX(tbl_Production[Current RMS No],MATCH(E45&amp;"",tbl_Production[Job Number],0))),""),IF(H45="Consulting",IFERROR(INDEX(tbl_Consulting[Qwilr Quote],MATCH(E45&amp;"",tbl_Consulting[Job Number],0)),""),""))))</f>
        <v/>
      </c>
      <c r="AC45" s="25">
        <f>IF(AB45="","",IF(AND(LEFT(AB45,4)&lt;&gt;"http",IF(H45="Production",set_RMSBase,set_QwilrBase)=""),"",HYPERLINK(IF(LEFT(AB45,4)="http",AB45,IF(H45="Production",set_RMSBase,set_QwilrBase)&amp;AB45),"Open")))</f>
        <v/>
      </c>
      <c r="AD45" s="27">
        <f>IF(E45="","",IF(H45="Production",IFERROR(INDEX(tbl_Production[Total Expense],MATCH(E45&amp;"",tbl_Production[Job Number],0)),0),IF(H45="Consulting",IFERROR(INDEX(tbl_Consulting[Total Expense],MATCH(E45&amp;"",tbl_Consulting[Job Number],0)),0),0)))</f>
        <v/>
      </c>
      <c r="AE45" s="27">
        <f>IF(E45="","",Y45-N(AD45))</f>
        <v/>
      </c>
      <c r="AF45" s="29">
        <f>IFERROR(AE45/Y45,"")</f>
        <v/>
      </c>
      <c r="AG45" s="25">
        <f>IF(E45="","",IF(H45="Onsite",IFERROR(INDEX(tbl_Onsite[Notes],MATCH(E45&amp;"",tbl_Onsite[Job Number],0)),""),IF(H45="Production",IFERROR(INDEX(tbl_Production[Notes],MATCH(E45&amp;"",tbl_Production[Job Number],0)),""),IF(H45="Consulting",IFERROR(INDEX(tbl_Consulting[Notes],MATCH(E45&amp;"",tbl_Consulting[Job Number],0)),""),""))))</f>
        <v/>
      </c>
    </row>
    <row r="46" ht="15" customHeight="1">
      <c r="A46" s="22" t="n">
        <v>46265</v>
      </c>
      <c r="B46" s="23">
        <f>IF(A46="","",EOMONTH(A46,0))</f>
        <v/>
      </c>
      <c r="C46" s="24" t="inlineStr">
        <is>
          <t>INV-10609</t>
        </is>
      </c>
      <c r="D46" s="24" t="inlineStr">
        <is>
          <t>CBA</t>
        </is>
      </c>
      <c r="E46" s="24" t="inlineStr">
        <is>
          <t>1668</t>
        </is>
      </c>
      <c r="F46" s="25">
        <f>IF(E46="","",IF(COUNTIF(lst_Jobs,E46&amp;"")&gt;0,"OK","CHECK"))</f>
        <v/>
      </c>
      <c r="G46" s="24" t="inlineStr">
        <is>
          <t>85720001CBPSCSJUN27 DEDICATED TECH</t>
        </is>
      </c>
      <c r="H46" s="24" t="inlineStr">
        <is>
          <t>Onsite</t>
        </is>
      </c>
      <c r="I46" s="24" t="inlineStr">
        <is>
          <t>ONSITE</t>
        </is>
      </c>
      <c r="J46" s="24" t="inlineStr">
        <is>
          <t>Contract</t>
        </is>
      </c>
      <c r="K46" s="24" t="inlineStr">
        <is>
          <t>GST 10%</t>
        </is>
      </c>
      <c r="L46" s="26" t="n">
        <v>425</v>
      </c>
      <c r="M46" s="27">
        <f>IF(L46="","",IF(K46="GST 10%",ROUND(L46*set_GSTRate,2),0))</f>
        <v/>
      </c>
      <c r="N46" s="27">
        <f>IF(L46="","",L46+M46)</f>
        <v/>
      </c>
      <c r="O46" s="24" t="inlineStr">
        <is>
          <t>41100</t>
        </is>
      </c>
      <c r="P46" s="24" t="inlineStr">
        <is>
          <t>Y</t>
        </is>
      </c>
      <c r="Q46" s="24" t="inlineStr">
        <is>
          <t>N</t>
        </is>
      </c>
      <c r="R46" s="22" t="n"/>
      <c r="S46" s="22" t="n"/>
      <c r="T46" s="24" t="inlineStr">
        <is>
          <t>Invoiced</t>
        </is>
      </c>
      <c r="U46" s="24" t="n"/>
      <c r="V46" s="25">
        <f>IF(COUNTA(A46,D46,C46,L46)=0,"",IF(A46="","No date - sits outside every month",IF(E46="","No job number",IF(F46="CHECK","Job number is not in the Xero job list",IF(I46="","No cost centre",IF(AND(P46="Y",C46=""),"Marked posted to Xero but has no invoice number",IF(AND(L46&lt;&gt;"",K46=""),"No tax code",IF(AND(L46&lt;&gt;"",O46=""),"No revenue GL code",""))))))))</f>
        <v/>
      </c>
      <c r="W46" s="25">
        <f>IF(E46="","",IFERROR(INDEX(lst_JobName,MATCH(E46&amp;"",lst_Jobs,0)),""))</f>
        <v/>
      </c>
      <c r="X46" s="28">
        <f>IF(E46="","",COUNTIFS(tbl_Finance[Job Number],E46&amp;"",tbl_Finance[Ex GST],"&lt;&gt;"))</f>
        <v/>
      </c>
      <c r="Y46" s="27">
        <f>IF(E46="","",SUMIFS(tbl_Finance[Ex GST],tbl_Finance[Job Number],E46&amp;""))</f>
        <v/>
      </c>
      <c r="Z46" s="27">
        <f>IF(E46="","",SUMIFS(tbl_Finance[Ex GST],tbl_Finance[Job Number],E46&amp;"",tbl_Finance[Xero Invoice No],"&lt;&gt;"))</f>
        <v/>
      </c>
      <c r="AA46" s="27">
        <f>IF(E46="","",Y46-Z46)</f>
        <v/>
      </c>
      <c r="AB46" s="25">
        <f>IF(E46="","",IF(H46="Onsite",IFERROR(INDEX(tbl_Onsite[Qwilr Quote],MATCH(E46&amp;"",tbl_Onsite[Job Number],0)),""),IF(H46="Production",IFERROR(IF(INDEX(tbl_Production[Current RMS No],MATCH(E46&amp;"",tbl_Production[Job Number],0))="",INDEX(tbl_Production[Qwilr Quote],MATCH(E46&amp;"",tbl_Production[Job Number],0)),INDEX(tbl_Production[Current RMS No],MATCH(E46&amp;"",tbl_Production[Job Number],0))),""),IF(H46="Consulting",IFERROR(INDEX(tbl_Consulting[Qwilr Quote],MATCH(E46&amp;"",tbl_Consulting[Job Number],0)),""),""))))</f>
        <v/>
      </c>
      <c r="AC46" s="25">
        <f>IF(AB46="","",IF(AND(LEFT(AB46,4)&lt;&gt;"http",IF(H46="Production",set_RMSBase,set_QwilrBase)=""),"",HYPERLINK(IF(LEFT(AB46,4)="http",AB46,IF(H46="Production",set_RMSBase,set_QwilrBase)&amp;AB46),"Open")))</f>
        <v/>
      </c>
      <c r="AD46" s="27">
        <f>IF(E46="","",IF(H46="Production",IFERROR(INDEX(tbl_Production[Total Expense],MATCH(E46&amp;"",tbl_Production[Job Number],0)),0),IF(H46="Consulting",IFERROR(INDEX(tbl_Consulting[Total Expense],MATCH(E46&amp;"",tbl_Consulting[Job Number],0)),0),0)))</f>
        <v/>
      </c>
      <c r="AE46" s="27">
        <f>IF(E46="","",Y46-N(AD46))</f>
        <v/>
      </c>
      <c r="AF46" s="29">
        <f>IFERROR(AE46/Y46,"")</f>
        <v/>
      </c>
      <c r="AG46" s="25">
        <f>IF(E46="","",IF(H46="Onsite",IFERROR(INDEX(tbl_Onsite[Notes],MATCH(E46&amp;"",tbl_Onsite[Job Number],0)),""),IF(H46="Production",IFERROR(INDEX(tbl_Production[Notes],MATCH(E46&amp;"",tbl_Production[Job Number],0)),""),IF(H46="Consulting",IFERROR(INDEX(tbl_Consulting[Notes],MATCH(E46&amp;"",tbl_Consulting[Job Number],0)),""),""))))</f>
        <v/>
      </c>
    </row>
    <row r="47" ht="15" customHeight="1">
      <c r="A47" s="22" t="n">
        <v>46265</v>
      </c>
      <c r="B47" s="23">
        <f>IF(A47="","",EOMONTH(A47,0))</f>
        <v/>
      </c>
      <c r="C47" s="24" t="inlineStr">
        <is>
          <t>INV-10610</t>
        </is>
      </c>
      <c r="D47" s="24" t="inlineStr">
        <is>
          <t>CBA</t>
        </is>
      </c>
      <c r="E47" s="24" t="inlineStr">
        <is>
          <t>1668</t>
        </is>
      </c>
      <c r="F47" s="25">
        <f>IF(E47="","",IF(COUNTIF(lst_Jobs,E47&amp;"")&gt;0,"OK","CHECK"))</f>
        <v/>
      </c>
      <c r="G47" s="24" t="inlineStr">
        <is>
          <t>85720001CBPSCSJUN27 DEDICATED TECH</t>
        </is>
      </c>
      <c r="H47" s="24" t="inlineStr">
        <is>
          <t>Onsite</t>
        </is>
      </c>
      <c r="I47" s="24" t="inlineStr">
        <is>
          <t>ONSITE</t>
        </is>
      </c>
      <c r="J47" s="24" t="inlineStr">
        <is>
          <t>Contract</t>
        </is>
      </c>
      <c r="K47" s="24" t="inlineStr">
        <is>
          <t>GST 10%</t>
        </is>
      </c>
      <c r="L47" s="26" t="n">
        <v>595</v>
      </c>
      <c r="M47" s="27">
        <f>IF(L47="","",IF(K47="GST 10%",ROUND(L47*set_GSTRate,2),0))</f>
        <v/>
      </c>
      <c r="N47" s="27">
        <f>IF(L47="","",L47+M47)</f>
        <v/>
      </c>
      <c r="O47" s="24" t="inlineStr">
        <is>
          <t>41100</t>
        </is>
      </c>
      <c r="P47" s="24" t="inlineStr">
        <is>
          <t>Y</t>
        </is>
      </c>
      <c r="Q47" s="24" t="inlineStr">
        <is>
          <t>N</t>
        </is>
      </c>
      <c r="R47" s="22" t="n"/>
      <c r="S47" s="22" t="n"/>
      <c r="T47" s="24" t="inlineStr">
        <is>
          <t>Invoiced</t>
        </is>
      </c>
      <c r="U47" s="24" t="n"/>
      <c r="V47" s="25">
        <f>IF(COUNTA(A47,D47,C47,L47)=0,"",IF(A47="","No date - sits outside every month",IF(E47="","No job number",IF(F47="CHECK","Job number is not in the Xero job list",IF(I47="","No cost centre",IF(AND(P47="Y",C47=""),"Marked posted to Xero but has no invoice number",IF(AND(L47&lt;&gt;"",K47=""),"No tax code",IF(AND(L47&lt;&gt;"",O47=""),"No revenue GL code",""))))))))</f>
        <v/>
      </c>
      <c r="W47" s="25">
        <f>IF(E47="","",IFERROR(INDEX(lst_JobName,MATCH(E47&amp;"",lst_Jobs,0)),""))</f>
        <v/>
      </c>
      <c r="X47" s="28">
        <f>IF(E47="","",COUNTIFS(tbl_Finance[Job Number],E47&amp;"",tbl_Finance[Ex GST],"&lt;&gt;"))</f>
        <v/>
      </c>
      <c r="Y47" s="27">
        <f>IF(E47="","",SUMIFS(tbl_Finance[Ex GST],tbl_Finance[Job Number],E47&amp;""))</f>
        <v/>
      </c>
      <c r="Z47" s="27">
        <f>IF(E47="","",SUMIFS(tbl_Finance[Ex GST],tbl_Finance[Job Number],E47&amp;"",tbl_Finance[Xero Invoice No],"&lt;&gt;"))</f>
        <v/>
      </c>
      <c r="AA47" s="27">
        <f>IF(E47="","",Y47-Z47)</f>
        <v/>
      </c>
      <c r="AB47" s="25">
        <f>IF(E47="","",IF(H47="Onsite",IFERROR(INDEX(tbl_Onsite[Qwilr Quote],MATCH(E47&amp;"",tbl_Onsite[Job Number],0)),""),IF(H47="Production",IFERROR(IF(INDEX(tbl_Production[Current RMS No],MATCH(E47&amp;"",tbl_Production[Job Number],0))="",INDEX(tbl_Production[Qwilr Quote],MATCH(E47&amp;"",tbl_Production[Job Number],0)),INDEX(tbl_Production[Current RMS No],MATCH(E47&amp;"",tbl_Production[Job Number],0))),""),IF(H47="Consulting",IFERROR(INDEX(tbl_Consulting[Qwilr Quote],MATCH(E47&amp;"",tbl_Consulting[Job Number],0)),""),""))))</f>
        <v/>
      </c>
      <c r="AC47" s="25">
        <f>IF(AB47="","",IF(AND(LEFT(AB47,4)&lt;&gt;"http",IF(H47="Production",set_RMSBase,set_QwilrBase)=""),"",HYPERLINK(IF(LEFT(AB47,4)="http",AB47,IF(H47="Production",set_RMSBase,set_QwilrBase)&amp;AB47),"Open")))</f>
        <v/>
      </c>
      <c r="AD47" s="27">
        <f>IF(E47="","",IF(H47="Production",IFERROR(INDEX(tbl_Production[Total Expense],MATCH(E47&amp;"",tbl_Production[Job Number],0)),0),IF(H47="Consulting",IFERROR(INDEX(tbl_Consulting[Total Expense],MATCH(E47&amp;"",tbl_Consulting[Job Number],0)),0),0)))</f>
        <v/>
      </c>
      <c r="AE47" s="27">
        <f>IF(E47="","",Y47-N(AD47))</f>
        <v/>
      </c>
      <c r="AF47" s="29">
        <f>IFERROR(AE47/Y47,"")</f>
        <v/>
      </c>
      <c r="AG47" s="25">
        <f>IF(E47="","",IF(H47="Onsite",IFERROR(INDEX(tbl_Onsite[Notes],MATCH(E47&amp;"",tbl_Onsite[Job Number],0)),""),IF(H47="Production",IFERROR(INDEX(tbl_Production[Notes],MATCH(E47&amp;"",tbl_Production[Job Number],0)),""),IF(H47="Consulting",IFERROR(INDEX(tbl_Consulting[Notes],MATCH(E47&amp;"",tbl_Consulting[Job Number],0)),""),""))))</f>
        <v/>
      </c>
    </row>
    <row r="48" ht="15" customHeight="1">
      <c r="A48" s="22" t="n">
        <v>46265</v>
      </c>
      <c r="B48" s="23">
        <f>IF(A48="","",EOMONTH(A48,0))</f>
        <v/>
      </c>
      <c r="C48" s="24" t="inlineStr">
        <is>
          <t>INV-10614</t>
        </is>
      </c>
      <c r="D48" s="24" t="inlineStr">
        <is>
          <t>CBA</t>
        </is>
      </c>
      <c r="E48" s="24" t="inlineStr">
        <is>
          <t>585, 586</t>
        </is>
      </c>
      <c r="F48" s="25">
        <f>IF(E48="","",IF(COUNTIF(lst_Jobs,E48&amp;"")&gt;0,"OK","CHECK"))</f>
        <v/>
      </c>
      <c r="G48" s="24" t="inlineStr">
        <is>
          <t>85720001CBPSCSJUN27</t>
        </is>
      </c>
      <c r="H48" s="24" t="inlineStr">
        <is>
          <t>Onsite</t>
        </is>
      </c>
      <c r="I48" s="24" t="inlineStr">
        <is>
          <t>ONSITE</t>
        </is>
      </c>
      <c r="J48" s="24" t="inlineStr">
        <is>
          <t>Contract</t>
        </is>
      </c>
      <c r="K48" s="24" t="inlineStr">
        <is>
          <t>GST 10%</t>
        </is>
      </c>
      <c r="L48" s="26" t="n">
        <v>22680</v>
      </c>
      <c r="M48" s="27">
        <f>IF(L48="","",IF(K48="GST 10%",ROUND(L48*set_GSTRate,2),0))</f>
        <v/>
      </c>
      <c r="N48" s="27">
        <f>IF(L48="","",L48+M48)</f>
        <v/>
      </c>
      <c r="O48" s="24" t="inlineStr">
        <is>
          <t>41100</t>
        </is>
      </c>
      <c r="P48" s="24" t="inlineStr">
        <is>
          <t>Y</t>
        </is>
      </c>
      <c r="Q48" s="24" t="inlineStr">
        <is>
          <t>N</t>
        </is>
      </c>
      <c r="R48" s="22" t="n"/>
      <c r="S48" s="22" t="n"/>
      <c r="T48" s="24" t="inlineStr">
        <is>
          <t>Invoiced</t>
        </is>
      </c>
      <c r="U48" s="24" t="n"/>
      <c r="V48" s="25">
        <f>IF(COUNTA(A48,D48,C48,L48)=0,"",IF(A48="","No date - sits outside every month",IF(E48="","No job number",IF(F48="CHECK","Job number is not in the Xero job list",IF(I48="","No cost centre",IF(AND(P48="Y",C48=""),"Marked posted to Xero but has no invoice number",IF(AND(L48&lt;&gt;"",K48=""),"No tax code",IF(AND(L48&lt;&gt;"",O48=""),"No revenue GL code",""))))))))</f>
        <v/>
      </c>
      <c r="W48" s="25">
        <f>IF(E48="","",IFERROR(INDEX(lst_JobName,MATCH(E48&amp;"",lst_Jobs,0)),""))</f>
        <v/>
      </c>
      <c r="X48" s="28">
        <f>IF(E48="","",COUNTIFS(tbl_Finance[Job Number],E48&amp;"",tbl_Finance[Ex GST],"&lt;&gt;"))</f>
        <v/>
      </c>
      <c r="Y48" s="27">
        <f>IF(E48="","",SUMIFS(tbl_Finance[Ex GST],tbl_Finance[Job Number],E48&amp;""))</f>
        <v/>
      </c>
      <c r="Z48" s="27">
        <f>IF(E48="","",SUMIFS(tbl_Finance[Ex GST],tbl_Finance[Job Number],E48&amp;"",tbl_Finance[Xero Invoice No],"&lt;&gt;"))</f>
        <v/>
      </c>
      <c r="AA48" s="27">
        <f>IF(E48="","",Y48-Z48)</f>
        <v/>
      </c>
      <c r="AB48" s="25">
        <f>IF(E48="","",IF(H48="Onsite",IFERROR(INDEX(tbl_Onsite[Qwilr Quote],MATCH(E48&amp;"",tbl_Onsite[Job Number],0)),""),IF(H48="Production",IFERROR(IF(INDEX(tbl_Production[Current RMS No],MATCH(E48&amp;"",tbl_Production[Job Number],0))="",INDEX(tbl_Production[Qwilr Quote],MATCH(E48&amp;"",tbl_Production[Job Number],0)),INDEX(tbl_Production[Current RMS No],MATCH(E48&amp;"",tbl_Production[Job Number],0))),""),IF(H48="Consulting",IFERROR(INDEX(tbl_Consulting[Qwilr Quote],MATCH(E48&amp;"",tbl_Consulting[Job Number],0)),""),""))))</f>
        <v/>
      </c>
      <c r="AC48" s="25">
        <f>IF(AB48="","",IF(AND(LEFT(AB48,4)&lt;&gt;"http",IF(H48="Production",set_RMSBase,set_QwilrBase)=""),"",HYPERLINK(IF(LEFT(AB48,4)="http",AB48,IF(H48="Production",set_RMSBase,set_QwilrBase)&amp;AB48),"Open")))</f>
        <v/>
      </c>
      <c r="AD48" s="27">
        <f>IF(E48="","",IF(H48="Production",IFERROR(INDEX(tbl_Production[Total Expense],MATCH(E48&amp;"",tbl_Production[Job Number],0)),0),IF(H48="Consulting",IFERROR(INDEX(tbl_Consulting[Total Expense],MATCH(E48&amp;"",tbl_Consulting[Job Number],0)),0),0)))</f>
        <v/>
      </c>
      <c r="AE48" s="27">
        <f>IF(E48="","",Y48-N(AD48))</f>
        <v/>
      </c>
      <c r="AF48" s="29">
        <f>IFERROR(AE48/Y48,"")</f>
        <v/>
      </c>
      <c r="AG48" s="25">
        <f>IF(E48="","",IF(H48="Onsite",IFERROR(INDEX(tbl_Onsite[Notes],MATCH(E48&amp;"",tbl_Onsite[Job Number],0)),""),IF(H48="Production",IFERROR(INDEX(tbl_Production[Notes],MATCH(E48&amp;"",tbl_Production[Job Number],0)),""),IF(H48="Consulting",IFERROR(INDEX(tbl_Consulting[Notes],MATCH(E48&amp;"",tbl_Consulting[Job Number],0)),""),""))))</f>
        <v/>
      </c>
    </row>
    <row r="49" ht="15" customHeight="1">
      <c r="A49" s="22" t="n">
        <v>46265</v>
      </c>
      <c r="B49" s="23">
        <f>IF(A49="","",EOMONTH(A49,0))</f>
        <v/>
      </c>
      <c r="C49" s="24" t="inlineStr">
        <is>
          <t>INV-10613</t>
        </is>
      </c>
      <c r="D49" s="24" t="inlineStr">
        <is>
          <t>CBA</t>
        </is>
      </c>
      <c r="E49" s="24" t="inlineStr">
        <is>
          <t>587</t>
        </is>
      </c>
      <c r="F49" s="25">
        <f>IF(E49="","",IF(COUNTIF(lst_Jobs,E49&amp;"")&gt;0,"OK","CHECK"))</f>
        <v/>
      </c>
      <c r="G49" s="24" t="inlineStr">
        <is>
          <t>85720001CBSCSJUN27</t>
        </is>
      </c>
      <c r="H49" s="24" t="inlineStr">
        <is>
          <t>Onsite</t>
        </is>
      </c>
      <c r="I49" s="24" t="inlineStr">
        <is>
          <t>ONSITE</t>
        </is>
      </c>
      <c r="J49" s="24" t="inlineStr">
        <is>
          <t>Contract</t>
        </is>
      </c>
      <c r="K49" s="24" t="inlineStr">
        <is>
          <t>GST 10%</t>
        </is>
      </c>
      <c r="L49" s="26" t="n">
        <v>10197.88</v>
      </c>
      <c r="M49" s="27">
        <f>IF(L49="","",IF(K49="GST 10%",ROUND(L49*set_GSTRate,2),0))</f>
        <v/>
      </c>
      <c r="N49" s="27">
        <f>IF(L49="","",L49+M49)</f>
        <v/>
      </c>
      <c r="O49" s="24" t="inlineStr">
        <is>
          <t>41100</t>
        </is>
      </c>
      <c r="P49" s="24" t="inlineStr">
        <is>
          <t>Y</t>
        </is>
      </c>
      <c r="Q49" s="24" t="inlineStr">
        <is>
          <t>N</t>
        </is>
      </c>
      <c r="R49" s="22" t="n"/>
      <c r="S49" s="22" t="n"/>
      <c r="T49" s="24" t="inlineStr">
        <is>
          <t>Invoiced</t>
        </is>
      </c>
      <c r="U49" s="24" t="n"/>
      <c r="V49" s="25">
        <f>IF(COUNTA(A49,D49,C49,L49)=0,"",IF(A49="","No date - sits outside every month",IF(E49="","No job number",IF(F49="CHECK","Job number is not in the Xero job list",IF(I49="","No cost centre",IF(AND(P49="Y",C49=""),"Marked posted to Xero but has no invoice number",IF(AND(L49&lt;&gt;"",K49=""),"No tax code",IF(AND(L49&lt;&gt;"",O49=""),"No revenue GL code",""))))))))</f>
        <v/>
      </c>
      <c r="W49" s="25">
        <f>IF(E49="","",IFERROR(INDEX(lst_JobName,MATCH(E49&amp;"",lst_Jobs,0)),""))</f>
        <v/>
      </c>
      <c r="X49" s="28">
        <f>IF(E49="","",COUNTIFS(tbl_Finance[Job Number],E49&amp;"",tbl_Finance[Ex GST],"&lt;&gt;"))</f>
        <v/>
      </c>
      <c r="Y49" s="27">
        <f>IF(E49="","",SUMIFS(tbl_Finance[Ex GST],tbl_Finance[Job Number],E49&amp;""))</f>
        <v/>
      </c>
      <c r="Z49" s="27">
        <f>IF(E49="","",SUMIFS(tbl_Finance[Ex GST],tbl_Finance[Job Number],E49&amp;"",tbl_Finance[Xero Invoice No],"&lt;&gt;"))</f>
        <v/>
      </c>
      <c r="AA49" s="27">
        <f>IF(E49="","",Y49-Z49)</f>
        <v/>
      </c>
      <c r="AB49" s="25">
        <f>IF(E49="","",IF(H49="Onsite",IFERROR(INDEX(tbl_Onsite[Qwilr Quote],MATCH(E49&amp;"",tbl_Onsite[Job Number],0)),""),IF(H49="Production",IFERROR(IF(INDEX(tbl_Production[Current RMS No],MATCH(E49&amp;"",tbl_Production[Job Number],0))="",INDEX(tbl_Production[Qwilr Quote],MATCH(E49&amp;"",tbl_Production[Job Number],0)),INDEX(tbl_Production[Current RMS No],MATCH(E49&amp;"",tbl_Production[Job Number],0))),""),IF(H49="Consulting",IFERROR(INDEX(tbl_Consulting[Qwilr Quote],MATCH(E49&amp;"",tbl_Consulting[Job Number],0)),""),""))))</f>
        <v/>
      </c>
      <c r="AC49" s="25">
        <f>IF(AB49="","",IF(AND(LEFT(AB49,4)&lt;&gt;"http",IF(H49="Production",set_RMSBase,set_QwilrBase)=""),"",HYPERLINK(IF(LEFT(AB49,4)="http",AB49,IF(H49="Production",set_RMSBase,set_QwilrBase)&amp;AB49),"Open")))</f>
        <v/>
      </c>
      <c r="AD49" s="27">
        <f>IF(E49="","",IF(H49="Production",IFERROR(INDEX(tbl_Production[Total Expense],MATCH(E49&amp;"",tbl_Production[Job Number],0)),0),IF(H49="Consulting",IFERROR(INDEX(tbl_Consulting[Total Expense],MATCH(E49&amp;"",tbl_Consulting[Job Number],0)),0),0)))</f>
        <v/>
      </c>
      <c r="AE49" s="27">
        <f>IF(E49="","",Y49-N(AD49))</f>
        <v/>
      </c>
      <c r="AF49" s="29">
        <f>IFERROR(AE49/Y49,"")</f>
        <v/>
      </c>
      <c r="AG49" s="25">
        <f>IF(E49="","",IF(H49="Onsite",IFERROR(INDEX(tbl_Onsite[Notes],MATCH(E49&amp;"",tbl_Onsite[Job Number],0)),""),IF(H49="Production",IFERROR(INDEX(tbl_Production[Notes],MATCH(E49&amp;"",tbl_Production[Job Number],0)),""),IF(H49="Consulting",IFERROR(INDEX(tbl_Consulting[Notes],MATCH(E49&amp;"",tbl_Consulting[Job Number],0)),""),""))))</f>
        <v/>
      </c>
    </row>
    <row r="50" ht="15" customHeight="1">
      <c r="A50" s="22" t="n">
        <v>46265</v>
      </c>
      <c r="B50" s="23">
        <f>IF(A50="","",EOMONTH(A50,0))</f>
        <v/>
      </c>
      <c r="C50" s="24" t="inlineStr">
        <is>
          <t>INV-10602</t>
        </is>
      </c>
      <c r="D50" s="24" t="inlineStr">
        <is>
          <t>CBA</t>
        </is>
      </c>
      <c r="E50" s="24" t="inlineStr">
        <is>
          <t>1668</t>
        </is>
      </c>
      <c r="F50" s="25">
        <f>IF(E50="","",IF(COUNTIF(lst_Jobs,E50&amp;"")&gt;0,"OK","CHECK"))</f>
        <v/>
      </c>
      <c r="G50" s="24" t="inlineStr">
        <is>
          <t>85720001CBPSCSJUN27 DEDICATED TECH</t>
        </is>
      </c>
      <c r="H50" s="24" t="inlineStr">
        <is>
          <t>Onsite</t>
        </is>
      </c>
      <c r="I50" s="24" t="inlineStr">
        <is>
          <t>ONSITE</t>
        </is>
      </c>
      <c r="J50" s="24" t="inlineStr">
        <is>
          <t>Contract</t>
        </is>
      </c>
      <c r="K50" s="24" t="inlineStr">
        <is>
          <t>GST 10%</t>
        </is>
      </c>
      <c r="L50" s="26" t="n">
        <v>170</v>
      </c>
      <c r="M50" s="27">
        <f>IF(L50="","",IF(K50="GST 10%",ROUND(L50*set_GSTRate,2),0))</f>
        <v/>
      </c>
      <c r="N50" s="27">
        <f>IF(L50="","",L50+M50)</f>
        <v/>
      </c>
      <c r="O50" s="24" t="inlineStr">
        <is>
          <t>41100</t>
        </is>
      </c>
      <c r="P50" s="24" t="inlineStr">
        <is>
          <t>Y</t>
        </is>
      </c>
      <c r="Q50" s="24" t="inlineStr">
        <is>
          <t>N</t>
        </is>
      </c>
      <c r="R50" s="22" t="n"/>
      <c r="S50" s="22" t="n"/>
      <c r="T50" s="24" t="inlineStr">
        <is>
          <t>Invoiced</t>
        </is>
      </c>
      <c r="U50" s="24" t="n"/>
      <c r="V50" s="25">
        <f>IF(COUNTA(A50,D50,C50,L50)=0,"",IF(A50="","No date - sits outside every month",IF(E50="","No job number",IF(F50="CHECK","Job number is not in the Xero job list",IF(I50="","No cost centre",IF(AND(P50="Y",C50=""),"Marked posted to Xero but has no invoice number",IF(AND(L50&lt;&gt;"",K50=""),"No tax code",IF(AND(L50&lt;&gt;"",O50=""),"No revenue GL code",""))))))))</f>
        <v/>
      </c>
      <c r="W50" s="25">
        <f>IF(E50="","",IFERROR(INDEX(lst_JobName,MATCH(E50&amp;"",lst_Jobs,0)),""))</f>
        <v/>
      </c>
      <c r="X50" s="28">
        <f>IF(E50="","",COUNTIFS(tbl_Finance[Job Number],E50&amp;"",tbl_Finance[Ex GST],"&lt;&gt;"))</f>
        <v/>
      </c>
      <c r="Y50" s="27">
        <f>IF(E50="","",SUMIFS(tbl_Finance[Ex GST],tbl_Finance[Job Number],E50&amp;""))</f>
        <v/>
      </c>
      <c r="Z50" s="27">
        <f>IF(E50="","",SUMIFS(tbl_Finance[Ex GST],tbl_Finance[Job Number],E50&amp;"",tbl_Finance[Xero Invoice No],"&lt;&gt;"))</f>
        <v/>
      </c>
      <c r="AA50" s="27">
        <f>IF(E50="","",Y50-Z50)</f>
        <v/>
      </c>
      <c r="AB50" s="25">
        <f>IF(E50="","",IF(H50="Onsite",IFERROR(INDEX(tbl_Onsite[Qwilr Quote],MATCH(E50&amp;"",tbl_Onsite[Job Number],0)),""),IF(H50="Production",IFERROR(IF(INDEX(tbl_Production[Current RMS No],MATCH(E50&amp;"",tbl_Production[Job Number],0))="",INDEX(tbl_Production[Qwilr Quote],MATCH(E50&amp;"",tbl_Production[Job Number],0)),INDEX(tbl_Production[Current RMS No],MATCH(E50&amp;"",tbl_Production[Job Number],0))),""),IF(H50="Consulting",IFERROR(INDEX(tbl_Consulting[Qwilr Quote],MATCH(E50&amp;"",tbl_Consulting[Job Number],0)),""),""))))</f>
        <v/>
      </c>
      <c r="AC50" s="25">
        <f>IF(AB50="","",IF(AND(LEFT(AB50,4)&lt;&gt;"http",IF(H50="Production",set_RMSBase,set_QwilrBase)=""),"",HYPERLINK(IF(LEFT(AB50,4)="http",AB50,IF(H50="Production",set_RMSBase,set_QwilrBase)&amp;AB50),"Open")))</f>
        <v/>
      </c>
      <c r="AD50" s="27">
        <f>IF(E50="","",IF(H50="Production",IFERROR(INDEX(tbl_Production[Total Expense],MATCH(E50&amp;"",tbl_Production[Job Number],0)),0),IF(H50="Consulting",IFERROR(INDEX(tbl_Consulting[Total Expense],MATCH(E50&amp;"",tbl_Consulting[Job Number],0)),0),0)))</f>
        <v/>
      </c>
      <c r="AE50" s="27">
        <f>IF(E50="","",Y50-N(AD50))</f>
        <v/>
      </c>
      <c r="AF50" s="29">
        <f>IFERROR(AE50/Y50,"")</f>
        <v/>
      </c>
      <c r="AG50" s="25">
        <f>IF(E50="","",IF(H50="Onsite",IFERROR(INDEX(tbl_Onsite[Notes],MATCH(E50&amp;"",tbl_Onsite[Job Number],0)),""),IF(H50="Production",IFERROR(INDEX(tbl_Production[Notes],MATCH(E50&amp;"",tbl_Production[Job Number],0)),""),IF(H50="Consulting",IFERROR(INDEX(tbl_Consulting[Notes],MATCH(E50&amp;"",tbl_Consulting[Job Number],0)),""),""))))</f>
        <v/>
      </c>
    </row>
    <row r="51" ht="15" customHeight="1">
      <c r="A51" s="22" t="n">
        <v>46265</v>
      </c>
      <c r="B51" s="23">
        <f>IF(A51="","",EOMONTH(A51,0))</f>
        <v/>
      </c>
      <c r="C51" s="24" t="inlineStr">
        <is>
          <t>INV-10618</t>
        </is>
      </c>
      <c r="D51" s="24" t="inlineStr">
        <is>
          <t>Ricoh Australia Pty Ltd</t>
        </is>
      </c>
      <c r="E51" s="24" t="inlineStr">
        <is>
          <t>2880</t>
        </is>
      </c>
      <c r="F51" s="25">
        <f>IF(E51="","",IF(COUNTIF(lst_Jobs,E51&amp;"")&gt;0,"OK","CHECK"))</f>
        <v/>
      </c>
      <c r="G51" s="24" t="inlineStr">
        <is>
          <t>CONTRACT</t>
        </is>
      </c>
      <c r="H51" s="24" t="inlineStr">
        <is>
          <t>Onsite</t>
        </is>
      </c>
      <c r="I51" s="24" t="inlineStr">
        <is>
          <t>ONSITE</t>
        </is>
      </c>
      <c r="J51" s="24" t="inlineStr">
        <is>
          <t>Contract</t>
        </is>
      </c>
      <c r="K51" s="24" t="inlineStr">
        <is>
          <t>GST 10%</t>
        </is>
      </c>
      <c r="L51" s="26" t="n">
        <v>11860.56</v>
      </c>
      <c r="M51" s="27">
        <f>IF(L51="","",IF(K51="GST 10%",ROUND(L51*set_GSTRate,2),0))</f>
        <v/>
      </c>
      <c r="N51" s="27">
        <f>IF(L51="","",L51+M51)</f>
        <v/>
      </c>
      <c r="O51" s="24" t="inlineStr">
        <is>
          <t>41100</t>
        </is>
      </c>
      <c r="P51" s="24" t="inlineStr">
        <is>
          <t>Y</t>
        </is>
      </c>
      <c r="Q51" s="24" t="inlineStr">
        <is>
          <t>N</t>
        </is>
      </c>
      <c r="R51" s="22" t="n"/>
      <c r="S51" s="22" t="n"/>
      <c r="T51" s="24" t="inlineStr">
        <is>
          <t>Invoiced</t>
        </is>
      </c>
      <c r="U51" s="24" t="n"/>
      <c r="V51" s="25">
        <f>IF(COUNTA(A51,D51,C51,L51)=0,"",IF(A51="","No date - sits outside every month",IF(E51="","No job number",IF(F51="CHECK","Job number is not in the Xero job list",IF(I51="","No cost centre",IF(AND(P51="Y",C51=""),"Marked posted to Xero but has no invoice number",IF(AND(L51&lt;&gt;"",K51=""),"No tax code",IF(AND(L51&lt;&gt;"",O51=""),"No revenue GL code",""))))))))</f>
        <v/>
      </c>
      <c r="W51" s="25">
        <f>IF(E51="","",IFERROR(INDEX(lst_JobName,MATCH(E51&amp;"",lst_Jobs,0)),""))</f>
        <v/>
      </c>
      <c r="X51" s="28">
        <f>IF(E51="","",COUNTIFS(tbl_Finance[Job Number],E51&amp;"",tbl_Finance[Ex GST],"&lt;&gt;"))</f>
        <v/>
      </c>
      <c r="Y51" s="27">
        <f>IF(E51="","",SUMIFS(tbl_Finance[Ex GST],tbl_Finance[Job Number],E51&amp;""))</f>
        <v/>
      </c>
      <c r="Z51" s="27">
        <f>IF(E51="","",SUMIFS(tbl_Finance[Ex GST],tbl_Finance[Job Number],E51&amp;"",tbl_Finance[Xero Invoice No],"&lt;&gt;"))</f>
        <v/>
      </c>
      <c r="AA51" s="27">
        <f>IF(E51="","",Y51-Z51)</f>
        <v/>
      </c>
      <c r="AB51" s="25">
        <f>IF(E51="","",IF(H51="Onsite",IFERROR(INDEX(tbl_Onsite[Qwilr Quote],MATCH(E51&amp;"",tbl_Onsite[Job Number],0)),""),IF(H51="Production",IFERROR(IF(INDEX(tbl_Production[Current RMS No],MATCH(E51&amp;"",tbl_Production[Job Number],0))="",INDEX(tbl_Production[Qwilr Quote],MATCH(E51&amp;"",tbl_Production[Job Number],0)),INDEX(tbl_Production[Current RMS No],MATCH(E51&amp;"",tbl_Production[Job Number],0))),""),IF(H51="Consulting",IFERROR(INDEX(tbl_Consulting[Qwilr Quote],MATCH(E51&amp;"",tbl_Consulting[Job Number],0)),""),""))))</f>
        <v/>
      </c>
      <c r="AC51" s="25">
        <f>IF(AB51="","",IF(AND(LEFT(AB51,4)&lt;&gt;"http",IF(H51="Production",set_RMSBase,set_QwilrBase)=""),"",HYPERLINK(IF(LEFT(AB51,4)="http",AB51,IF(H51="Production",set_RMSBase,set_QwilrBase)&amp;AB51),"Open")))</f>
        <v/>
      </c>
      <c r="AD51" s="27">
        <f>IF(E51="","",IF(H51="Production",IFERROR(INDEX(tbl_Production[Total Expense],MATCH(E51&amp;"",tbl_Production[Job Number],0)),0),IF(H51="Consulting",IFERROR(INDEX(tbl_Consulting[Total Expense],MATCH(E51&amp;"",tbl_Consulting[Job Number],0)),0),0)))</f>
        <v/>
      </c>
      <c r="AE51" s="27">
        <f>IF(E51="","",Y51-N(AD51))</f>
        <v/>
      </c>
      <c r="AF51" s="29">
        <f>IFERROR(AE51/Y51,"")</f>
        <v/>
      </c>
      <c r="AG51" s="25">
        <f>IF(E51="","",IF(H51="Onsite",IFERROR(INDEX(tbl_Onsite[Notes],MATCH(E51&amp;"",tbl_Onsite[Job Number],0)),""),IF(H51="Production",IFERROR(INDEX(tbl_Production[Notes],MATCH(E51&amp;"",tbl_Production[Job Number],0)),""),IF(H51="Consulting",IFERROR(INDEX(tbl_Consulting[Notes],MATCH(E51&amp;"",tbl_Consulting[Job Number],0)),""),""))))</f>
        <v/>
      </c>
    </row>
    <row r="52" ht="15" customHeight="1">
      <c r="A52" s="22" t="n"/>
      <c r="B52" s="23">
        <f>IF(A52="","",EOMONTH(A52,0))</f>
        <v/>
      </c>
      <c r="C52" s="24" t="n"/>
      <c r="D52" s="24" t="inlineStr">
        <is>
          <t>DTTL</t>
        </is>
      </c>
      <c r="E52" s="24" t="inlineStr">
        <is>
          <t>26073103</t>
        </is>
      </c>
      <c r="F52" s="25">
        <f>IF(E52="","",IF(COUNTIF(lst_Jobs,E52&amp;"")&gt;0,"OK","CHECK"))</f>
        <v/>
      </c>
      <c r="G52" s="24" t="inlineStr">
        <is>
          <t>Perth AV &amp; Hospitality Technician (SEP26-FEB27)</t>
        </is>
      </c>
      <c r="H52" s="24" t="inlineStr">
        <is>
          <t>Onsite</t>
        </is>
      </c>
      <c r="I52" s="24" t="inlineStr">
        <is>
          <t>ONSITE</t>
        </is>
      </c>
      <c r="J52" s="24" t="inlineStr">
        <is>
          <t>Contract</t>
        </is>
      </c>
      <c r="K52" s="24" t="inlineStr">
        <is>
          <t>GST 10%</t>
        </is>
      </c>
      <c r="L52" s="26" t="n"/>
      <c r="M52" s="27">
        <f>IF(L52="","",IF(K52="GST 10%",ROUND(L52*set_GSTRate,2),0))</f>
        <v/>
      </c>
      <c r="N52" s="27">
        <f>IF(L52="","",L52+M52)</f>
        <v/>
      </c>
      <c r="O52" s="24" t="inlineStr">
        <is>
          <t>41100</t>
        </is>
      </c>
      <c r="P52" s="24" t="inlineStr">
        <is>
          <t>N</t>
        </is>
      </c>
      <c r="Q52" s="24" t="inlineStr">
        <is>
          <t>N</t>
        </is>
      </c>
      <c r="R52" s="22" t="n"/>
      <c r="S52" s="22" t="n"/>
      <c r="T52" s="24" t="inlineStr">
        <is>
          <t>To Invoice</t>
        </is>
      </c>
      <c r="U52" s="24" t="inlineStr">
        <is>
          <t>https://protect.checkpoint.com/v2/r04/___https://app.qwilr.com/%23/page/6a6fe5279de8ab6be4a65917___.Y3A0YTpjb3Jwb3JhdGV0ZWNobm9sb2d5c2VydmljZXNwdHlsdGQ6YzpvOmI1YjBhMWJiMjVjM2UxZGViYmNmN2MyYzg2MGMwOGIwOjc6YjdkZDo5NzUxYWEwYjZkNTAxZWIyMGNiNmQ4OWExM2E0MmQ4OWQ0YjVkZmFkYjk0Y2UxYjUzODI4ODM5ODhhNzE3MTM4OnQ6VDpG</t>
        </is>
      </c>
      <c r="V52" s="25">
        <f>IF(COUNTA(A52,D52,C52,L52)=0,"",IF(A52="","No date - sits outside every month",IF(E52="","No job number",IF(F52="CHECK","Job number is not in the Xero job list",IF(I52="","No cost centre",IF(AND(P52="Y",C52=""),"Marked posted to Xero but has no invoice number",IF(AND(L52&lt;&gt;"",K52=""),"No tax code",IF(AND(L52&lt;&gt;"",O52=""),"No revenue GL code",""))))))))</f>
        <v/>
      </c>
      <c r="W52" s="25">
        <f>IF(E52="","",IFERROR(INDEX(lst_JobName,MATCH(E52&amp;"",lst_Jobs,0)),""))</f>
        <v/>
      </c>
      <c r="X52" s="28">
        <f>IF(E52="","",COUNTIFS(tbl_Finance[Job Number],E52&amp;"",tbl_Finance[Ex GST],"&lt;&gt;"))</f>
        <v/>
      </c>
      <c r="Y52" s="27">
        <f>IF(E52="","",SUMIFS(tbl_Finance[Ex GST],tbl_Finance[Job Number],E52&amp;""))</f>
        <v/>
      </c>
      <c r="Z52" s="27">
        <f>IF(E52="","",SUMIFS(tbl_Finance[Ex GST],tbl_Finance[Job Number],E52&amp;"",tbl_Finance[Xero Invoice No],"&lt;&gt;"))</f>
        <v/>
      </c>
      <c r="AA52" s="27">
        <f>IF(E52="","",Y52-Z52)</f>
        <v/>
      </c>
      <c r="AB52" s="25">
        <f>IF(E52="","",IF(H52="Onsite",IFERROR(INDEX(tbl_Onsite[Qwilr Quote],MATCH(E52&amp;"",tbl_Onsite[Job Number],0)),""),IF(H52="Production",IFERROR(IF(INDEX(tbl_Production[Current RMS No],MATCH(E52&amp;"",tbl_Production[Job Number],0))="",INDEX(tbl_Production[Qwilr Quote],MATCH(E52&amp;"",tbl_Production[Job Number],0)),INDEX(tbl_Production[Current RMS No],MATCH(E52&amp;"",tbl_Production[Job Number],0))),""),IF(H52="Consulting",IFERROR(INDEX(tbl_Consulting[Qwilr Quote],MATCH(E52&amp;"",tbl_Consulting[Job Number],0)),""),""))))</f>
        <v/>
      </c>
      <c r="AC52" s="25">
        <f>IF(AB52="","",IF(AND(LEFT(AB52,4)&lt;&gt;"http",IF(H52="Production",set_RMSBase,set_QwilrBase)=""),"",HYPERLINK(IF(LEFT(AB52,4)="http",AB52,IF(H52="Production",set_RMSBase,set_QwilrBase)&amp;AB52),"Open")))</f>
        <v/>
      </c>
      <c r="AD52" s="27">
        <f>IF(E52="","",IF(H52="Production",IFERROR(INDEX(tbl_Production[Total Expense],MATCH(E52&amp;"",tbl_Production[Job Number],0)),0),IF(H52="Consulting",IFERROR(INDEX(tbl_Consulting[Total Expense],MATCH(E52&amp;"",tbl_Consulting[Job Number],0)),0),0)))</f>
        <v/>
      </c>
      <c r="AE52" s="27">
        <f>IF(E52="","",Y52-N(AD52))</f>
        <v/>
      </c>
      <c r="AF52" s="29">
        <f>IFERROR(AE52/Y52,"")</f>
        <v/>
      </c>
      <c r="AG52" s="25">
        <f>IF(E52="","",IF(H52="Onsite",IFERROR(INDEX(tbl_Onsite[Notes],MATCH(E52&amp;"",tbl_Onsite[Job Number],0)),""),IF(H52="Production",IFERROR(INDEX(tbl_Production[Notes],MATCH(E52&amp;"",tbl_Production[Job Number],0)),""),IF(H52="Consulting",IFERROR(INDEX(tbl_Consulting[Notes],MATCH(E52&amp;"",tbl_Consulting[Job Number],0)),""),""))))</f>
        <v/>
      </c>
    </row>
    <row r="53" ht="15" customHeight="1">
      <c r="A53" s="22" t="n">
        <v>46268</v>
      </c>
      <c r="B53" s="23">
        <f>IF(A53="","",EOMONTH(A53,0))</f>
        <v/>
      </c>
      <c r="C53" s="24" t="inlineStr">
        <is>
          <t>INV-10620</t>
        </is>
      </c>
      <c r="D53" s="24" t="inlineStr">
        <is>
          <t>Ricoh Australia Pty Ltd</t>
        </is>
      </c>
      <c r="E53" s="24" t="inlineStr">
        <is>
          <t>26082801</t>
        </is>
      </c>
      <c r="F53" s="25">
        <f>IF(E53="","",IF(COUNTIF(lst_Jobs,E53&amp;"")&gt;0,"OK","CHECK"))</f>
        <v/>
      </c>
      <c r="G53" s="24" t="inlineStr">
        <is>
          <t>Ricoh Australia - SHELL AV Support</t>
        </is>
      </c>
      <c r="H53" s="24" t="inlineStr">
        <is>
          <t>Onsite</t>
        </is>
      </c>
      <c r="I53" s="24" t="inlineStr">
        <is>
          <t>ONSITE</t>
        </is>
      </c>
      <c r="J53" s="24" t="inlineStr">
        <is>
          <t>Contract</t>
        </is>
      </c>
      <c r="K53" s="24" t="inlineStr">
        <is>
          <t>GST 10%</t>
        </is>
      </c>
      <c r="L53" s="26" t="n">
        <v>340</v>
      </c>
      <c r="M53" s="27">
        <f>IF(L53="","",IF(K53="GST 10%",ROUND(L53*set_GSTRate,2),0))</f>
        <v/>
      </c>
      <c r="N53" s="27">
        <f>IF(L53="","",L53+M53)</f>
        <v/>
      </c>
      <c r="O53" s="24" t="inlineStr">
        <is>
          <t>41100</t>
        </is>
      </c>
      <c r="P53" s="24" t="inlineStr">
        <is>
          <t>Y</t>
        </is>
      </c>
      <c r="Q53" s="24" t="inlineStr">
        <is>
          <t>N</t>
        </is>
      </c>
      <c r="R53" s="22" t="n"/>
      <c r="S53" s="22" t="n"/>
      <c r="T53" s="24" t="inlineStr">
        <is>
          <t>Invoiced</t>
        </is>
      </c>
      <c r="U53" s="24" t="inlineStr">
        <is>
          <t>This was not actually for Shell - error in quote. End client was Wotton Kearney.</t>
        </is>
      </c>
      <c r="V53" s="25">
        <f>IF(COUNTA(A53,D53,C53,L53)=0,"",IF(A53="","No date - sits outside every month",IF(E53="","No job number",IF(F53="CHECK","Job number is not in the Xero job list",IF(I53="","No cost centre",IF(AND(P53="Y",C53=""),"Marked posted to Xero but has no invoice number",IF(AND(L53&lt;&gt;"",K53=""),"No tax code",IF(AND(L53&lt;&gt;"",O53=""),"No revenue GL code",""))))))))</f>
        <v/>
      </c>
      <c r="W53" s="25">
        <f>IF(E53="","",IFERROR(INDEX(lst_JobName,MATCH(E53&amp;"",lst_Jobs,0)),""))</f>
        <v/>
      </c>
      <c r="X53" s="28">
        <f>IF(E53="","",COUNTIFS(tbl_Finance[Job Number],E53&amp;"",tbl_Finance[Ex GST],"&lt;&gt;"))</f>
        <v/>
      </c>
      <c r="Y53" s="27">
        <f>IF(E53="","",SUMIFS(tbl_Finance[Ex GST],tbl_Finance[Job Number],E53&amp;""))</f>
        <v/>
      </c>
      <c r="Z53" s="27">
        <f>IF(E53="","",SUMIFS(tbl_Finance[Ex GST],tbl_Finance[Job Number],E53&amp;"",tbl_Finance[Xero Invoice No],"&lt;&gt;"))</f>
        <v/>
      </c>
      <c r="AA53" s="27">
        <f>IF(E53="","",Y53-Z53)</f>
        <v/>
      </c>
      <c r="AB53" s="25">
        <f>IF(E53="","",IF(H53="Onsite",IFERROR(INDEX(tbl_Onsite[Qwilr Quote],MATCH(E53&amp;"",tbl_Onsite[Job Number],0)),""),IF(H53="Production",IFERROR(IF(INDEX(tbl_Production[Current RMS No],MATCH(E53&amp;"",tbl_Production[Job Number],0))="",INDEX(tbl_Production[Qwilr Quote],MATCH(E53&amp;"",tbl_Production[Job Number],0)),INDEX(tbl_Production[Current RMS No],MATCH(E53&amp;"",tbl_Production[Job Number],0))),""),IF(H53="Consulting",IFERROR(INDEX(tbl_Consulting[Qwilr Quote],MATCH(E53&amp;"",tbl_Consulting[Job Number],0)),""),""))))</f>
        <v/>
      </c>
      <c r="AC53" s="25">
        <f>IF(AB53="","",IF(AND(LEFT(AB53,4)&lt;&gt;"http",IF(H53="Production",set_RMSBase,set_QwilrBase)=""),"",HYPERLINK(IF(LEFT(AB53,4)="http",AB53,IF(H53="Production",set_RMSBase,set_QwilrBase)&amp;AB53),"Open")))</f>
        <v/>
      </c>
      <c r="AD53" s="27">
        <f>IF(E53="","",IF(H53="Production",IFERROR(INDEX(tbl_Production[Total Expense],MATCH(E53&amp;"",tbl_Production[Job Number],0)),0),IF(H53="Consulting",IFERROR(INDEX(tbl_Consulting[Total Expense],MATCH(E53&amp;"",tbl_Consulting[Job Number],0)),0),0)))</f>
        <v/>
      </c>
      <c r="AE53" s="27">
        <f>IF(E53="","",Y53-N(AD53))</f>
        <v/>
      </c>
      <c r="AF53" s="29">
        <f>IFERROR(AE53/Y53,"")</f>
        <v/>
      </c>
      <c r="AG53" s="25">
        <f>IF(E53="","",IF(H53="Onsite",IFERROR(INDEX(tbl_Onsite[Notes],MATCH(E53&amp;"",tbl_Onsite[Job Number],0)),""),IF(H53="Production",IFERROR(INDEX(tbl_Production[Notes],MATCH(E53&amp;"",tbl_Production[Job Number],0)),""),IF(H53="Consulting",IFERROR(INDEX(tbl_Consulting[Notes],MATCH(E53&amp;"",tbl_Consulting[Job Number],0)),""),""))))</f>
        <v/>
      </c>
    </row>
    <row r="54" ht="15" customHeight="1">
      <c r="A54" s="22" t="n"/>
      <c r="B54" s="23">
        <f>IF(A54="","",EOMONTH(A54,0))</f>
        <v/>
      </c>
      <c r="C54" s="24" t="n"/>
      <c r="D54" s="24" t="inlineStr">
        <is>
          <t>PWC</t>
        </is>
      </c>
      <c r="E54" s="24" t="inlineStr">
        <is>
          <t>2608603</t>
        </is>
      </c>
      <c r="F54" s="25">
        <f>IF(E54="","",IF(COUNTIF(lst_Jobs,E54&amp;"")&gt;0,"OK","CHECK"))</f>
        <v/>
      </c>
      <c r="G54" s="24" t="inlineStr">
        <is>
          <t>Pool of Hours - National AV / IT Support</t>
        </is>
      </c>
      <c r="H54" s="24" t="inlineStr">
        <is>
          <t>Onsite</t>
        </is>
      </c>
      <c r="I54" s="24" t="inlineStr">
        <is>
          <t>ONSITE</t>
        </is>
      </c>
      <c r="J54" s="24" t="inlineStr">
        <is>
          <t>Contract</t>
        </is>
      </c>
      <c r="K54" s="24" t="inlineStr">
        <is>
          <t>GST 10%</t>
        </is>
      </c>
      <c r="L54" s="26" t="n">
        <v>8500</v>
      </c>
      <c r="M54" s="27">
        <f>IF(L54="","",IF(K54="GST 10%",ROUND(L54*set_GSTRate,2),0))</f>
        <v/>
      </c>
      <c r="N54" s="27">
        <f>IF(L54="","",L54+M54)</f>
        <v/>
      </c>
      <c r="O54" s="24" t="inlineStr">
        <is>
          <t>41100</t>
        </is>
      </c>
      <c r="P54" s="24" t="inlineStr">
        <is>
          <t>N</t>
        </is>
      </c>
      <c r="Q54" s="24" t="inlineStr">
        <is>
          <t>N</t>
        </is>
      </c>
      <c r="R54" s="22" t="n"/>
      <c r="S54" s="22" t="n"/>
      <c r="T54" s="24" t="inlineStr">
        <is>
          <t>To Invoice</t>
        </is>
      </c>
      <c r="U54" s="24" t="n"/>
      <c r="V54" s="25">
        <f>IF(COUNTA(A54,D54,C54,L54)=0,"",IF(A54="","No date - sits outside every month",IF(E54="","No job number",IF(F54="CHECK","Job number is not in the Xero job list",IF(I54="","No cost centre",IF(AND(P54="Y",C54=""),"Marked posted to Xero but has no invoice number",IF(AND(L54&lt;&gt;"",K54=""),"No tax code",IF(AND(L54&lt;&gt;"",O54=""),"No revenue GL code",""))))))))</f>
        <v/>
      </c>
      <c r="W54" s="25">
        <f>IF(E54="","",IFERROR(INDEX(lst_JobName,MATCH(E54&amp;"",lst_Jobs,0)),""))</f>
        <v/>
      </c>
      <c r="X54" s="28">
        <f>IF(E54="","",COUNTIFS(tbl_Finance[Job Number],E54&amp;"",tbl_Finance[Ex GST],"&lt;&gt;"))</f>
        <v/>
      </c>
      <c r="Y54" s="27">
        <f>IF(E54="","",SUMIFS(tbl_Finance[Ex GST],tbl_Finance[Job Number],E54&amp;""))</f>
        <v/>
      </c>
      <c r="Z54" s="27">
        <f>IF(E54="","",SUMIFS(tbl_Finance[Ex GST],tbl_Finance[Job Number],E54&amp;"",tbl_Finance[Xero Invoice No],"&lt;&gt;"))</f>
        <v/>
      </c>
      <c r="AA54" s="27">
        <f>IF(E54="","",Y54-Z54)</f>
        <v/>
      </c>
      <c r="AB54" s="25">
        <f>IF(E54="","",IF(H54="Onsite",IFERROR(INDEX(tbl_Onsite[Qwilr Quote],MATCH(E54&amp;"",tbl_Onsite[Job Number],0)),""),IF(H54="Production",IFERROR(IF(INDEX(tbl_Production[Current RMS No],MATCH(E54&amp;"",tbl_Production[Job Number],0))="",INDEX(tbl_Production[Qwilr Quote],MATCH(E54&amp;"",tbl_Production[Job Number],0)),INDEX(tbl_Production[Current RMS No],MATCH(E54&amp;"",tbl_Production[Job Number],0))),""),IF(H54="Consulting",IFERROR(INDEX(tbl_Consulting[Qwilr Quote],MATCH(E54&amp;"",tbl_Consulting[Job Number],0)),""),""))))</f>
        <v/>
      </c>
      <c r="AC54" s="25">
        <f>IF(AB54="","",IF(AND(LEFT(AB54,4)&lt;&gt;"http",IF(H54="Production",set_RMSBase,set_QwilrBase)=""),"",HYPERLINK(IF(LEFT(AB54,4)="http",AB54,IF(H54="Production",set_RMSBase,set_QwilrBase)&amp;AB54),"Open")))</f>
        <v/>
      </c>
      <c r="AD54" s="27">
        <f>IF(E54="","",IF(H54="Production",IFERROR(INDEX(tbl_Production[Total Expense],MATCH(E54&amp;"",tbl_Production[Job Number],0)),0),IF(H54="Consulting",IFERROR(INDEX(tbl_Consulting[Total Expense],MATCH(E54&amp;"",tbl_Consulting[Job Number],0)),0),0)))</f>
        <v/>
      </c>
      <c r="AE54" s="27">
        <f>IF(E54="","",Y54-N(AD54))</f>
        <v/>
      </c>
      <c r="AF54" s="29">
        <f>IFERROR(AE54/Y54,"")</f>
        <v/>
      </c>
      <c r="AG54" s="25">
        <f>IF(E54="","",IF(H54="Onsite",IFERROR(INDEX(tbl_Onsite[Notes],MATCH(E54&amp;"",tbl_Onsite[Job Number],0)),""),IF(H54="Production",IFERROR(INDEX(tbl_Production[Notes],MATCH(E54&amp;"",tbl_Production[Job Number],0)),""),IF(H54="Consulting",IFERROR(INDEX(tbl_Consulting[Notes],MATCH(E54&amp;"",tbl_Consulting[Job Number],0)),""),""))))</f>
        <v/>
      </c>
    </row>
    <row r="55" ht="15" customHeight="1">
      <c r="A55" s="22" t="n"/>
      <c r="B55" s="23">
        <f>IF(A55="","",EOMONTH(A55,0))</f>
        <v/>
      </c>
      <c r="C55" s="24" t="n"/>
      <c r="D55" s="24" t="inlineStr">
        <is>
          <t>DTTL</t>
        </is>
      </c>
      <c r="E55" s="24" t="inlineStr">
        <is>
          <t>26073107</t>
        </is>
      </c>
      <c r="F55" s="25">
        <f>IF(E55="","",IF(COUNTIF(lst_Jobs,E55&amp;"")&gt;0,"OK","CHECK"))</f>
        <v/>
      </c>
      <c r="G55" s="24" t="inlineStr">
        <is>
          <t>Technician Travel (ADL-HOB Return)</t>
        </is>
      </c>
      <c r="H55" s="24" t="inlineStr">
        <is>
          <t>Onsite</t>
        </is>
      </c>
      <c r="I55" s="24" t="inlineStr">
        <is>
          <t>ONSITE</t>
        </is>
      </c>
      <c r="J55" s="24" t="inlineStr">
        <is>
          <t>Contract</t>
        </is>
      </c>
      <c r="K55" s="24" t="inlineStr">
        <is>
          <t>GST 10%</t>
        </is>
      </c>
      <c r="L55" s="26" t="n">
        <v>7145</v>
      </c>
      <c r="M55" s="27">
        <f>IF(L55="","",IF(K55="GST 10%",ROUND(L55*set_GSTRate,2),0))</f>
        <v/>
      </c>
      <c r="N55" s="27">
        <f>IF(L55="","",L55+M55)</f>
        <v/>
      </c>
      <c r="O55" s="24" t="inlineStr">
        <is>
          <t>41100</t>
        </is>
      </c>
      <c r="P55" s="24" t="inlineStr">
        <is>
          <t>N</t>
        </is>
      </c>
      <c r="Q55" s="24" t="inlineStr">
        <is>
          <t>N</t>
        </is>
      </c>
      <c r="R55" s="22" t="n"/>
      <c r="S55" s="22" t="n"/>
      <c r="T55" s="24" t="inlineStr">
        <is>
          <t>To Invoice</t>
        </is>
      </c>
      <c r="U55" s="24" t="n"/>
      <c r="V55" s="25">
        <f>IF(COUNTA(A55,D55,C55,L55)=0,"",IF(A55="","No date - sits outside every month",IF(E55="","No job number",IF(F55="CHECK","Job number is not in the Xero job list",IF(I55="","No cost centre",IF(AND(P55="Y",C55=""),"Marked posted to Xero but has no invoice number",IF(AND(L55&lt;&gt;"",K55=""),"No tax code",IF(AND(L55&lt;&gt;"",O55=""),"No revenue GL code",""))))))))</f>
        <v/>
      </c>
      <c r="W55" s="25">
        <f>IF(E55="","",IFERROR(INDEX(lst_JobName,MATCH(E55&amp;"",lst_Jobs,0)),""))</f>
        <v/>
      </c>
      <c r="X55" s="28">
        <f>IF(E55="","",COUNTIFS(tbl_Finance[Job Number],E55&amp;"",tbl_Finance[Ex GST],"&lt;&gt;"))</f>
        <v/>
      </c>
      <c r="Y55" s="27">
        <f>IF(E55="","",SUMIFS(tbl_Finance[Ex GST],tbl_Finance[Job Number],E55&amp;""))</f>
        <v/>
      </c>
      <c r="Z55" s="27">
        <f>IF(E55="","",SUMIFS(tbl_Finance[Ex GST],tbl_Finance[Job Number],E55&amp;"",tbl_Finance[Xero Invoice No],"&lt;&gt;"))</f>
        <v/>
      </c>
      <c r="AA55" s="27">
        <f>IF(E55="","",Y55-Z55)</f>
        <v/>
      </c>
      <c r="AB55" s="25">
        <f>IF(E55="","",IF(H55="Onsite",IFERROR(INDEX(tbl_Onsite[Qwilr Quote],MATCH(E55&amp;"",tbl_Onsite[Job Number],0)),""),IF(H55="Production",IFERROR(IF(INDEX(tbl_Production[Current RMS No],MATCH(E55&amp;"",tbl_Production[Job Number],0))="",INDEX(tbl_Production[Qwilr Quote],MATCH(E55&amp;"",tbl_Production[Job Number],0)),INDEX(tbl_Production[Current RMS No],MATCH(E55&amp;"",tbl_Production[Job Number],0))),""),IF(H55="Consulting",IFERROR(INDEX(tbl_Consulting[Qwilr Quote],MATCH(E55&amp;"",tbl_Consulting[Job Number],0)),""),""))))</f>
        <v/>
      </c>
      <c r="AC55" s="25">
        <f>IF(AB55="","",IF(AND(LEFT(AB55,4)&lt;&gt;"http",IF(H55="Production",set_RMSBase,set_QwilrBase)=""),"",HYPERLINK(IF(LEFT(AB55,4)="http",AB55,IF(H55="Production",set_RMSBase,set_QwilrBase)&amp;AB55),"Open")))</f>
        <v/>
      </c>
      <c r="AD55" s="27">
        <f>IF(E55="","",IF(H55="Production",IFERROR(INDEX(tbl_Production[Total Expense],MATCH(E55&amp;"",tbl_Production[Job Number],0)),0),IF(H55="Consulting",IFERROR(INDEX(tbl_Consulting[Total Expense],MATCH(E55&amp;"",tbl_Consulting[Job Number],0)),0),0)))</f>
        <v/>
      </c>
      <c r="AE55" s="27">
        <f>IF(E55="","",Y55-N(AD55))</f>
        <v/>
      </c>
      <c r="AF55" s="29">
        <f>IFERROR(AE55/Y55,"")</f>
        <v/>
      </c>
      <c r="AG55" s="25">
        <f>IF(E55="","",IF(H55="Onsite",IFERROR(INDEX(tbl_Onsite[Notes],MATCH(E55&amp;"",tbl_Onsite[Job Number],0)),""),IF(H55="Production",IFERROR(INDEX(tbl_Production[Notes],MATCH(E55&amp;"",tbl_Production[Job Number],0)),""),IF(H55="Consulting",IFERROR(INDEX(tbl_Consulting[Notes],MATCH(E55&amp;"",tbl_Consulting[Job Number],0)),""),""))))</f>
        <v/>
      </c>
    </row>
    <row r="56" ht="15" customHeight="1">
      <c r="A56" s="22" t="n"/>
      <c r="B56" s="23">
        <f>IF(A56="","",EOMONTH(A56,0))</f>
        <v/>
      </c>
      <c r="C56" s="24" t="n"/>
      <c r="D56" s="24" t="inlineStr">
        <is>
          <t>DTTL</t>
        </is>
      </c>
      <c r="E56" s="24" t="inlineStr">
        <is>
          <t>2608502</t>
        </is>
      </c>
      <c r="F56" s="25">
        <f>IF(E56="","",IF(COUNTIF(lst_Jobs,E56&amp;"")&gt;0,"OK","CHECK"))</f>
        <v/>
      </c>
      <c r="G56" s="24" t="inlineStr">
        <is>
          <t>Change Maker</t>
        </is>
      </c>
      <c r="H56" s="24" t="inlineStr">
        <is>
          <t>Onsite</t>
        </is>
      </c>
      <c r="I56" s="24" t="inlineStr">
        <is>
          <t>ONSITE</t>
        </is>
      </c>
      <c r="J56" s="24" t="inlineStr">
        <is>
          <t>Contract</t>
        </is>
      </c>
      <c r="K56" s="24" t="inlineStr">
        <is>
          <t>GST 10%</t>
        </is>
      </c>
      <c r="L56" s="26" t="n">
        <v>1275</v>
      </c>
      <c r="M56" s="27">
        <f>IF(L56="","",IF(K56="GST 10%",ROUND(L56*set_GSTRate,2),0))</f>
        <v/>
      </c>
      <c r="N56" s="27">
        <f>IF(L56="","",L56+M56)</f>
        <v/>
      </c>
      <c r="O56" s="24" t="inlineStr">
        <is>
          <t>41100</t>
        </is>
      </c>
      <c r="P56" s="24" t="inlineStr">
        <is>
          <t>N</t>
        </is>
      </c>
      <c r="Q56" s="24" t="inlineStr">
        <is>
          <t>N</t>
        </is>
      </c>
      <c r="R56" s="22" t="n"/>
      <c r="S56" s="22" t="n"/>
      <c r="T56" s="24" t="inlineStr">
        <is>
          <t>To Invoice</t>
        </is>
      </c>
      <c r="U56" s="24" t="n"/>
      <c r="V56" s="25">
        <f>IF(COUNTA(A56,D56,C56,L56)=0,"",IF(A56="","No date - sits outside every month",IF(E56="","No job number",IF(F56="CHECK","Job number is not in the Xero job list",IF(I56="","No cost centre",IF(AND(P56="Y",C56=""),"Marked posted to Xero but has no invoice number",IF(AND(L56&lt;&gt;"",K56=""),"No tax code",IF(AND(L56&lt;&gt;"",O56=""),"No revenue GL code",""))))))))</f>
        <v/>
      </c>
      <c r="W56" s="25">
        <f>IF(E56="","",IFERROR(INDEX(lst_JobName,MATCH(E56&amp;"",lst_Jobs,0)),""))</f>
        <v/>
      </c>
      <c r="X56" s="28">
        <f>IF(E56="","",COUNTIFS(tbl_Finance[Job Number],E56&amp;"",tbl_Finance[Ex GST],"&lt;&gt;"))</f>
        <v/>
      </c>
      <c r="Y56" s="27">
        <f>IF(E56="","",SUMIFS(tbl_Finance[Ex GST],tbl_Finance[Job Number],E56&amp;""))</f>
        <v/>
      </c>
      <c r="Z56" s="27">
        <f>IF(E56="","",SUMIFS(tbl_Finance[Ex GST],tbl_Finance[Job Number],E56&amp;"",tbl_Finance[Xero Invoice No],"&lt;&gt;"))</f>
        <v/>
      </c>
      <c r="AA56" s="27">
        <f>IF(E56="","",Y56-Z56)</f>
        <v/>
      </c>
      <c r="AB56" s="25">
        <f>IF(E56="","",IF(H56="Onsite",IFERROR(INDEX(tbl_Onsite[Qwilr Quote],MATCH(E56&amp;"",tbl_Onsite[Job Number],0)),""),IF(H56="Production",IFERROR(IF(INDEX(tbl_Production[Current RMS No],MATCH(E56&amp;"",tbl_Production[Job Number],0))="",INDEX(tbl_Production[Qwilr Quote],MATCH(E56&amp;"",tbl_Production[Job Number],0)),INDEX(tbl_Production[Current RMS No],MATCH(E56&amp;"",tbl_Production[Job Number],0))),""),IF(H56="Consulting",IFERROR(INDEX(tbl_Consulting[Qwilr Quote],MATCH(E56&amp;"",tbl_Consulting[Job Number],0)),""),""))))</f>
        <v/>
      </c>
      <c r="AC56" s="25">
        <f>IF(AB56="","",IF(AND(LEFT(AB56,4)&lt;&gt;"http",IF(H56="Production",set_RMSBase,set_QwilrBase)=""),"",HYPERLINK(IF(LEFT(AB56,4)="http",AB56,IF(H56="Production",set_RMSBase,set_QwilrBase)&amp;AB56),"Open")))</f>
        <v/>
      </c>
      <c r="AD56" s="27">
        <f>IF(E56="","",IF(H56="Production",IFERROR(INDEX(tbl_Production[Total Expense],MATCH(E56&amp;"",tbl_Production[Job Number],0)),0),IF(H56="Consulting",IFERROR(INDEX(tbl_Consulting[Total Expense],MATCH(E56&amp;"",tbl_Consulting[Job Number],0)),0),0)))</f>
        <v/>
      </c>
      <c r="AE56" s="27">
        <f>IF(E56="","",Y56-N(AD56))</f>
        <v/>
      </c>
      <c r="AF56" s="29">
        <f>IFERROR(AE56/Y56,"")</f>
        <v/>
      </c>
      <c r="AG56" s="25">
        <f>IF(E56="","",IF(H56="Onsite",IFERROR(INDEX(tbl_Onsite[Notes],MATCH(E56&amp;"",tbl_Onsite[Job Number],0)),""),IF(H56="Production",IFERROR(INDEX(tbl_Production[Notes],MATCH(E56&amp;"",tbl_Production[Job Number],0)),""),IF(H56="Consulting",IFERROR(INDEX(tbl_Consulting[Notes],MATCH(E56&amp;"",tbl_Consulting[Job Number],0)),""),""))))</f>
        <v/>
      </c>
    </row>
    <row r="57" ht="15" customHeight="1">
      <c r="A57" s="22" t="n"/>
      <c r="B57" s="23">
        <f>IF(A57="","",EOMONTH(A57,0))</f>
        <v/>
      </c>
      <c r="C57" s="24" t="n"/>
      <c r="D57" s="24" t="inlineStr">
        <is>
          <t>DTTL</t>
        </is>
      </c>
      <c r="E57" s="24" t="inlineStr">
        <is>
          <t>26082704</t>
        </is>
      </c>
      <c r="F57" s="25">
        <f>IF(E57="","",IF(COUNTIF(lst_Jobs,E57&amp;"")&gt;0,"OK","CHECK"))</f>
        <v/>
      </c>
      <c r="G57" s="24" t="inlineStr">
        <is>
          <t>STL Travel (SYD-PER)</t>
        </is>
      </c>
      <c r="H57" s="24" t="inlineStr">
        <is>
          <t>Onsite</t>
        </is>
      </c>
      <c r="I57" s="24" t="inlineStr">
        <is>
          <t>ONSITE</t>
        </is>
      </c>
      <c r="J57" s="24" t="inlineStr">
        <is>
          <t>Contract</t>
        </is>
      </c>
      <c r="K57" s="24" t="inlineStr">
        <is>
          <t>GST 10%</t>
        </is>
      </c>
      <c r="L57" s="26" t="n">
        <v>7735</v>
      </c>
      <c r="M57" s="27">
        <f>IF(L57="","",IF(K57="GST 10%",ROUND(L57*set_GSTRate,2),0))</f>
        <v/>
      </c>
      <c r="N57" s="27">
        <f>IF(L57="","",L57+M57)</f>
        <v/>
      </c>
      <c r="O57" s="24" t="inlineStr">
        <is>
          <t>41100</t>
        </is>
      </c>
      <c r="P57" s="24" t="inlineStr">
        <is>
          <t>N</t>
        </is>
      </c>
      <c r="Q57" s="24" t="inlineStr">
        <is>
          <t>N</t>
        </is>
      </c>
      <c r="R57" s="22" t="n"/>
      <c r="S57" s="22" t="n"/>
      <c r="T57" s="24" t="inlineStr">
        <is>
          <t>To Invoice</t>
        </is>
      </c>
      <c r="U57" s="24" t="n"/>
      <c r="V57" s="25">
        <f>IF(COUNTA(A57,D57,C57,L57)=0,"",IF(A57="","No date - sits outside every month",IF(E57="","No job number",IF(F57="CHECK","Job number is not in the Xero job list",IF(I57="","No cost centre",IF(AND(P57="Y",C57=""),"Marked posted to Xero but has no invoice number",IF(AND(L57&lt;&gt;"",K57=""),"No tax code",IF(AND(L57&lt;&gt;"",O57=""),"No revenue GL code",""))))))))</f>
        <v/>
      </c>
      <c r="W57" s="25">
        <f>IF(E57="","",IFERROR(INDEX(lst_JobName,MATCH(E57&amp;"",lst_Jobs,0)),""))</f>
        <v/>
      </c>
      <c r="X57" s="28">
        <f>IF(E57="","",COUNTIFS(tbl_Finance[Job Number],E57&amp;"",tbl_Finance[Ex GST],"&lt;&gt;"))</f>
        <v/>
      </c>
      <c r="Y57" s="27">
        <f>IF(E57="","",SUMIFS(tbl_Finance[Ex GST],tbl_Finance[Job Number],E57&amp;""))</f>
        <v/>
      </c>
      <c r="Z57" s="27">
        <f>IF(E57="","",SUMIFS(tbl_Finance[Ex GST],tbl_Finance[Job Number],E57&amp;"",tbl_Finance[Xero Invoice No],"&lt;&gt;"))</f>
        <v/>
      </c>
      <c r="AA57" s="27">
        <f>IF(E57="","",Y57-Z57)</f>
        <v/>
      </c>
      <c r="AB57" s="25">
        <f>IF(E57="","",IF(H57="Onsite",IFERROR(INDEX(tbl_Onsite[Qwilr Quote],MATCH(E57&amp;"",tbl_Onsite[Job Number],0)),""),IF(H57="Production",IFERROR(IF(INDEX(tbl_Production[Current RMS No],MATCH(E57&amp;"",tbl_Production[Job Number],0))="",INDEX(tbl_Production[Qwilr Quote],MATCH(E57&amp;"",tbl_Production[Job Number],0)),INDEX(tbl_Production[Current RMS No],MATCH(E57&amp;"",tbl_Production[Job Number],0))),""),IF(H57="Consulting",IFERROR(INDEX(tbl_Consulting[Qwilr Quote],MATCH(E57&amp;"",tbl_Consulting[Job Number],0)),""),""))))</f>
        <v/>
      </c>
      <c r="AC57" s="25">
        <f>IF(AB57="","",IF(AND(LEFT(AB57,4)&lt;&gt;"http",IF(H57="Production",set_RMSBase,set_QwilrBase)=""),"",HYPERLINK(IF(LEFT(AB57,4)="http",AB57,IF(H57="Production",set_RMSBase,set_QwilrBase)&amp;AB57),"Open")))</f>
        <v/>
      </c>
      <c r="AD57" s="27">
        <f>IF(E57="","",IF(H57="Production",IFERROR(INDEX(tbl_Production[Total Expense],MATCH(E57&amp;"",tbl_Production[Job Number],0)),0),IF(H57="Consulting",IFERROR(INDEX(tbl_Consulting[Total Expense],MATCH(E57&amp;"",tbl_Consulting[Job Number],0)),0),0)))</f>
        <v/>
      </c>
      <c r="AE57" s="27">
        <f>IF(E57="","",Y57-N(AD57))</f>
        <v/>
      </c>
      <c r="AF57" s="29">
        <f>IFERROR(AE57/Y57,"")</f>
        <v/>
      </c>
      <c r="AG57" s="25">
        <f>IF(E57="","",IF(H57="Onsite",IFERROR(INDEX(tbl_Onsite[Notes],MATCH(E57&amp;"",tbl_Onsite[Job Number],0)),""),IF(H57="Production",IFERROR(INDEX(tbl_Production[Notes],MATCH(E57&amp;"",tbl_Production[Job Number],0)),""),IF(H57="Consulting",IFERROR(INDEX(tbl_Consulting[Notes],MATCH(E57&amp;"",tbl_Consulting[Job Number],0)),""),""))))</f>
        <v/>
      </c>
    </row>
    <row r="58" ht="15" customHeight="1">
      <c r="A58" s="22" t="n"/>
      <c r="B58" s="23">
        <f>IF(A58="","",EOMONTH(A58,0))</f>
        <v/>
      </c>
      <c r="C58" s="24" t="n"/>
      <c r="D58" s="24" t="inlineStr">
        <is>
          <t>CBA</t>
        </is>
      </c>
      <c r="E58" s="24" t="inlineStr">
        <is>
          <t>26043001</t>
        </is>
      </c>
      <c r="F58" s="25">
        <f>IF(E58="","",IF(COUNTIF(lst_Jobs,E58&amp;"")&gt;0,"OK","CHECK"))</f>
        <v/>
      </c>
      <c r="G58" s="24" t="n"/>
      <c r="H58" s="24" t="inlineStr">
        <is>
          <t>Onsite</t>
        </is>
      </c>
      <c r="I58" s="24" t="inlineStr">
        <is>
          <t>ONSITE</t>
        </is>
      </c>
      <c r="J58" s="24" t="inlineStr">
        <is>
          <t>Contract</t>
        </is>
      </c>
      <c r="K58" s="24" t="inlineStr">
        <is>
          <t>GST 10%</t>
        </is>
      </c>
      <c r="L58" s="26" t="n"/>
      <c r="M58" s="27">
        <f>IF(L58="","",IF(K58="GST 10%",ROUND(L58*set_GSTRate,2),0))</f>
        <v/>
      </c>
      <c r="N58" s="27">
        <f>IF(L58="","",L58+M58)</f>
        <v/>
      </c>
      <c r="O58" s="24" t="inlineStr">
        <is>
          <t>41100</t>
        </is>
      </c>
      <c r="P58" s="24" t="inlineStr">
        <is>
          <t>N</t>
        </is>
      </c>
      <c r="Q58" s="24" t="inlineStr">
        <is>
          <t>N</t>
        </is>
      </c>
      <c r="R58" s="22" t="n"/>
      <c r="S58" s="22" t="n"/>
      <c r="T58" s="24" t="inlineStr">
        <is>
          <t>To Invoice</t>
        </is>
      </c>
      <c r="U58" s="24" t="n"/>
      <c r="V58" s="25">
        <f>IF(COUNTA(A58,D58,C58,L58)=0,"",IF(A58="","No date - sits outside every month",IF(E58="","No job number",IF(F58="CHECK","Job number is not in the Xero job list",IF(I58="","No cost centre",IF(AND(P58="Y",C58=""),"Marked posted to Xero but has no invoice number",IF(AND(L58&lt;&gt;"",K58=""),"No tax code",IF(AND(L58&lt;&gt;"",O58=""),"No revenue GL code",""))))))))</f>
        <v/>
      </c>
      <c r="W58" s="25">
        <f>IF(E58="","",IFERROR(INDEX(lst_JobName,MATCH(E58&amp;"",lst_Jobs,0)),""))</f>
        <v/>
      </c>
      <c r="X58" s="28">
        <f>IF(E58="","",COUNTIFS(tbl_Finance[Job Number],E58&amp;"",tbl_Finance[Ex GST],"&lt;&gt;"))</f>
        <v/>
      </c>
      <c r="Y58" s="27">
        <f>IF(E58="","",SUMIFS(tbl_Finance[Ex GST],tbl_Finance[Job Number],E58&amp;""))</f>
        <v/>
      </c>
      <c r="Z58" s="27">
        <f>IF(E58="","",SUMIFS(tbl_Finance[Ex GST],tbl_Finance[Job Number],E58&amp;"",tbl_Finance[Xero Invoice No],"&lt;&gt;"))</f>
        <v/>
      </c>
      <c r="AA58" s="27">
        <f>IF(E58="","",Y58-Z58)</f>
        <v/>
      </c>
      <c r="AB58" s="25">
        <f>IF(E58="","",IF(H58="Onsite",IFERROR(INDEX(tbl_Onsite[Qwilr Quote],MATCH(E58&amp;"",tbl_Onsite[Job Number],0)),""),IF(H58="Production",IFERROR(IF(INDEX(tbl_Production[Current RMS No],MATCH(E58&amp;"",tbl_Production[Job Number],0))="",INDEX(tbl_Production[Qwilr Quote],MATCH(E58&amp;"",tbl_Production[Job Number],0)),INDEX(tbl_Production[Current RMS No],MATCH(E58&amp;"",tbl_Production[Job Number],0))),""),IF(H58="Consulting",IFERROR(INDEX(tbl_Consulting[Qwilr Quote],MATCH(E58&amp;"",tbl_Consulting[Job Number],0)),""),""))))</f>
        <v/>
      </c>
      <c r="AC58" s="25">
        <f>IF(AB58="","",IF(AND(LEFT(AB58,4)&lt;&gt;"http",IF(H58="Production",set_RMSBase,set_QwilrBase)=""),"",HYPERLINK(IF(LEFT(AB58,4)="http",AB58,IF(H58="Production",set_RMSBase,set_QwilrBase)&amp;AB58),"Open")))</f>
        <v/>
      </c>
      <c r="AD58" s="27">
        <f>IF(E58="","",IF(H58="Production",IFERROR(INDEX(tbl_Production[Total Expense],MATCH(E58&amp;"",tbl_Production[Job Number],0)),0),IF(H58="Consulting",IFERROR(INDEX(tbl_Consulting[Total Expense],MATCH(E58&amp;"",tbl_Consulting[Job Number],0)),0),0)))</f>
        <v/>
      </c>
      <c r="AE58" s="27">
        <f>IF(E58="","",Y58-N(AD58))</f>
        <v/>
      </c>
      <c r="AF58" s="29">
        <f>IFERROR(AE58/Y58,"")</f>
        <v/>
      </c>
      <c r="AG58" s="25">
        <f>IF(E58="","",IF(H58="Onsite",IFERROR(INDEX(tbl_Onsite[Notes],MATCH(E58&amp;"",tbl_Onsite[Job Number],0)),""),IF(H58="Production",IFERROR(INDEX(tbl_Production[Notes],MATCH(E58&amp;"",tbl_Production[Job Number],0)),""),IF(H58="Consulting",IFERROR(INDEX(tbl_Consulting[Notes],MATCH(E58&amp;"",tbl_Consulting[Job Number],0)),""),""))))</f>
        <v/>
      </c>
    </row>
    <row r="59" ht="15" customHeight="1">
      <c r="A59" s="22" t="n">
        <v>46205</v>
      </c>
      <c r="B59" s="23">
        <f>IF(A59="","",EOMONTH(A59,0))</f>
        <v/>
      </c>
      <c r="C59" s="24" t="inlineStr">
        <is>
          <t>INV-10513</t>
        </is>
      </c>
      <c r="D59" s="24" t="inlineStr">
        <is>
          <t>Elkiem</t>
        </is>
      </c>
      <c r="E59" s="24" t="inlineStr">
        <is>
          <t>2602309</t>
        </is>
      </c>
      <c r="F59" s="25">
        <f>IF(E59="","",IF(COUNTIF(lst_Jobs,E59&amp;"")&gt;0,"OK","CHECK"))</f>
        <v/>
      </c>
      <c r="G59" s="24" t="inlineStr">
        <is>
          <t>Studio Support | 1.7.26</t>
        </is>
      </c>
      <c r="H59" s="24" t="inlineStr">
        <is>
          <t>Production</t>
        </is>
      </c>
      <c r="I59" s="24" t="inlineStr">
        <is>
          <t>PRODUCTION</t>
        </is>
      </c>
      <c r="J59" s="24" t="inlineStr">
        <is>
          <t>Project</t>
        </is>
      </c>
      <c r="K59" s="24" t="inlineStr">
        <is>
          <t>GST 10%</t>
        </is>
      </c>
      <c r="L59" s="26" t="n">
        <v>380</v>
      </c>
      <c r="M59" s="27">
        <f>IF(L59="","",IF(K59="GST 10%",ROUND(L59*set_GSTRate,2),0))</f>
        <v/>
      </c>
      <c r="N59" s="27">
        <f>IF(L59="","",L59+M59)</f>
        <v/>
      </c>
      <c r="O59" s="24" t="inlineStr">
        <is>
          <t>42100</t>
        </is>
      </c>
      <c r="P59" s="24" t="inlineStr">
        <is>
          <t>Y</t>
        </is>
      </c>
      <c r="Q59" s="24" t="inlineStr">
        <is>
          <t>N</t>
        </is>
      </c>
      <c r="R59" s="22" t="n"/>
      <c r="S59" s="22" t="n"/>
      <c r="T59" s="24" t="inlineStr">
        <is>
          <t>Invoiced</t>
        </is>
      </c>
      <c r="U59" s="24" t="n"/>
      <c r="V59" s="25">
        <f>IF(COUNTA(A59,D59,C59,L59)=0,"",IF(A59="","No date - sits outside every month",IF(E59="","No job number",IF(F59="CHECK","Job number is not in the Xero job list",IF(I59="","No cost centre",IF(AND(P59="Y",C59=""),"Marked posted to Xero but has no invoice number",IF(AND(L59&lt;&gt;"",K59=""),"No tax code",IF(AND(L59&lt;&gt;"",O59=""),"No revenue GL code",""))))))))</f>
        <v/>
      </c>
      <c r="W59" s="25">
        <f>IF(E59="","",IFERROR(INDEX(lst_JobName,MATCH(E59&amp;"",lst_Jobs,0)),""))</f>
        <v/>
      </c>
      <c r="X59" s="28">
        <f>IF(E59="","",COUNTIFS(tbl_Finance[Job Number],E59&amp;"",tbl_Finance[Ex GST],"&lt;&gt;"))</f>
        <v/>
      </c>
      <c r="Y59" s="27">
        <f>IF(E59="","",SUMIFS(tbl_Finance[Ex GST],tbl_Finance[Job Number],E59&amp;""))</f>
        <v/>
      </c>
      <c r="Z59" s="27">
        <f>IF(E59="","",SUMIFS(tbl_Finance[Ex GST],tbl_Finance[Job Number],E59&amp;"",tbl_Finance[Xero Invoice No],"&lt;&gt;"))</f>
        <v/>
      </c>
      <c r="AA59" s="27">
        <f>IF(E59="","",Y59-Z59)</f>
        <v/>
      </c>
      <c r="AB59" s="25">
        <f>IF(E59="","",IF(H59="Onsite",IFERROR(INDEX(tbl_Onsite[Qwilr Quote],MATCH(E59&amp;"",tbl_Onsite[Job Number],0)),""),IF(H59="Production",IFERROR(IF(INDEX(tbl_Production[Current RMS No],MATCH(E59&amp;"",tbl_Production[Job Number],0))="",INDEX(tbl_Production[Qwilr Quote],MATCH(E59&amp;"",tbl_Production[Job Number],0)),INDEX(tbl_Production[Current RMS No],MATCH(E59&amp;"",tbl_Production[Job Number],0))),""),IF(H59="Consulting",IFERROR(INDEX(tbl_Consulting[Qwilr Quote],MATCH(E59&amp;"",tbl_Consulting[Job Number],0)),""),""))))</f>
        <v/>
      </c>
      <c r="AC59" s="25">
        <f>IF(AB59="","",IF(AND(LEFT(AB59,4)&lt;&gt;"http",IF(H59="Production",set_RMSBase,set_QwilrBase)=""),"",HYPERLINK(IF(LEFT(AB59,4)="http",AB59,IF(H59="Production",set_RMSBase,set_QwilrBase)&amp;AB59),"Open")))</f>
        <v/>
      </c>
      <c r="AD59" s="27">
        <f>IF(E59="","",IF(H59="Production",IFERROR(INDEX(tbl_Production[Total Expense],MATCH(E59&amp;"",tbl_Production[Job Number],0)),0),IF(H59="Consulting",IFERROR(INDEX(tbl_Consulting[Total Expense],MATCH(E59&amp;"",tbl_Consulting[Job Number],0)),0),0)))</f>
        <v/>
      </c>
      <c r="AE59" s="27">
        <f>IF(E59="","",Y59-N(AD59))</f>
        <v/>
      </c>
      <c r="AF59" s="29">
        <f>IFERROR(AE59/Y59,"")</f>
        <v/>
      </c>
      <c r="AG59" s="25">
        <f>IF(E59="","",IF(H59="Onsite",IFERROR(INDEX(tbl_Onsite[Notes],MATCH(E59&amp;"",tbl_Onsite[Job Number],0)),""),IF(H59="Production",IFERROR(INDEX(tbl_Production[Notes],MATCH(E59&amp;"",tbl_Production[Job Number],0)),""),IF(H59="Consulting",IFERROR(INDEX(tbl_Consulting[Notes],MATCH(E59&amp;"",tbl_Consulting[Job Number],0)),""),""))))</f>
        <v/>
      </c>
    </row>
    <row r="60" ht="15" customHeight="1">
      <c r="A60" s="22" t="n">
        <v>46210</v>
      </c>
      <c r="B60" s="23">
        <f>IF(A60="","",EOMONTH(A60,0))</f>
        <v/>
      </c>
      <c r="C60" s="24" t="inlineStr">
        <is>
          <t>INV-10519</t>
        </is>
      </c>
      <c r="D60" s="24" t="inlineStr">
        <is>
          <t>RSNSW</t>
        </is>
      </c>
      <c r="E60" s="24" t="inlineStr">
        <is>
          <t>26032301</t>
        </is>
      </c>
      <c r="F60" s="25">
        <f>IF(E60="","",IF(COUNTIF(lst_Jobs,E60&amp;"")&gt;0,"OK","CHECK"))</f>
        <v/>
      </c>
      <c r="G60" s="24" t="inlineStr">
        <is>
          <t>Ordinary General Meeting | 1.7.26</t>
        </is>
      </c>
      <c r="H60" s="24" t="inlineStr">
        <is>
          <t>Production</t>
        </is>
      </c>
      <c r="I60" s="24" t="inlineStr">
        <is>
          <t>PRODUCTION</t>
        </is>
      </c>
      <c r="J60" s="24" t="inlineStr">
        <is>
          <t>Project</t>
        </is>
      </c>
      <c r="K60" s="24" t="inlineStr">
        <is>
          <t>GST 10%</t>
        </is>
      </c>
      <c r="L60" s="26" t="n">
        <v>2042</v>
      </c>
      <c r="M60" s="27">
        <f>IF(L60="","",IF(K60="GST 10%",ROUND(L60*set_GSTRate,2),0))</f>
        <v/>
      </c>
      <c r="N60" s="27">
        <f>IF(L60="","",L60+M60)</f>
        <v/>
      </c>
      <c r="O60" s="24" t="inlineStr">
        <is>
          <t>42100</t>
        </is>
      </c>
      <c r="P60" s="24" t="inlineStr">
        <is>
          <t>Y</t>
        </is>
      </c>
      <c r="Q60" s="24" t="inlineStr">
        <is>
          <t>N</t>
        </is>
      </c>
      <c r="R60" s="22" t="n"/>
      <c r="S60" s="22" t="n"/>
      <c r="T60" s="24" t="inlineStr">
        <is>
          <t>Invoiced</t>
        </is>
      </c>
      <c r="U60" s="24" t="inlineStr">
        <is>
          <t>Production portion of this invoice</t>
        </is>
      </c>
      <c r="V60" s="25">
        <f>IF(COUNTA(A60,D60,C60,L60)=0,"",IF(A60="","No date - sits outside every month",IF(E60="","No job number",IF(F60="CHECK","Job number is not in the Xero job list",IF(I60="","No cost centre",IF(AND(P60="Y",C60=""),"Marked posted to Xero but has no invoice number",IF(AND(L60&lt;&gt;"",K60=""),"No tax code",IF(AND(L60&lt;&gt;"",O60=""),"No revenue GL code",""))))))))</f>
        <v/>
      </c>
      <c r="W60" s="25">
        <f>IF(E60="","",IFERROR(INDEX(lst_JobName,MATCH(E60&amp;"",lst_Jobs,0)),""))</f>
        <v/>
      </c>
      <c r="X60" s="28">
        <f>IF(E60="","",COUNTIFS(tbl_Finance[Job Number],E60&amp;"",tbl_Finance[Ex GST],"&lt;&gt;"))</f>
        <v/>
      </c>
      <c r="Y60" s="27">
        <f>IF(E60="","",SUMIFS(tbl_Finance[Ex GST],tbl_Finance[Job Number],E60&amp;""))</f>
        <v/>
      </c>
      <c r="Z60" s="27">
        <f>IF(E60="","",SUMIFS(tbl_Finance[Ex GST],tbl_Finance[Job Number],E60&amp;"",tbl_Finance[Xero Invoice No],"&lt;&gt;"))</f>
        <v/>
      </c>
      <c r="AA60" s="27">
        <f>IF(E60="","",Y60-Z60)</f>
        <v/>
      </c>
      <c r="AB60" s="25">
        <f>IF(E60="","",IF(H60="Onsite",IFERROR(INDEX(tbl_Onsite[Qwilr Quote],MATCH(E60&amp;"",tbl_Onsite[Job Number],0)),""),IF(H60="Production",IFERROR(IF(INDEX(tbl_Production[Current RMS No],MATCH(E60&amp;"",tbl_Production[Job Number],0))="",INDEX(tbl_Production[Qwilr Quote],MATCH(E60&amp;"",tbl_Production[Job Number],0)),INDEX(tbl_Production[Current RMS No],MATCH(E60&amp;"",tbl_Production[Job Number],0))),""),IF(H60="Consulting",IFERROR(INDEX(tbl_Consulting[Qwilr Quote],MATCH(E60&amp;"",tbl_Consulting[Job Number],0)),""),""))))</f>
        <v/>
      </c>
      <c r="AC60" s="25">
        <f>IF(AB60="","",IF(AND(LEFT(AB60,4)&lt;&gt;"http",IF(H60="Production",set_RMSBase,set_QwilrBase)=""),"",HYPERLINK(IF(LEFT(AB60,4)="http",AB60,IF(H60="Production",set_RMSBase,set_QwilrBase)&amp;AB60),"Open")))</f>
        <v/>
      </c>
      <c r="AD60" s="27">
        <f>IF(E60="","",IF(H60="Production",IFERROR(INDEX(tbl_Production[Total Expense],MATCH(E60&amp;"",tbl_Production[Job Number],0)),0),IF(H60="Consulting",IFERROR(INDEX(tbl_Consulting[Total Expense],MATCH(E60&amp;"",tbl_Consulting[Job Number],0)),0),0)))</f>
        <v/>
      </c>
      <c r="AE60" s="27">
        <f>IF(E60="","",Y60-N(AD60))</f>
        <v/>
      </c>
      <c r="AF60" s="29">
        <f>IFERROR(AE60/Y60,"")</f>
        <v/>
      </c>
      <c r="AG60" s="25">
        <f>IF(E60="","",IF(H60="Onsite",IFERROR(INDEX(tbl_Onsite[Notes],MATCH(E60&amp;"",tbl_Onsite[Job Number],0)),""),IF(H60="Production",IFERROR(INDEX(tbl_Production[Notes],MATCH(E60&amp;"",tbl_Production[Job Number],0)),""),IF(H60="Consulting",IFERROR(INDEX(tbl_Consulting[Notes],MATCH(E60&amp;"",tbl_Consulting[Job Number],0)),""),""))))</f>
        <v/>
      </c>
    </row>
    <row r="61" ht="15" customHeight="1">
      <c r="A61" s="22" t="n">
        <v>46210</v>
      </c>
      <c r="B61" s="23">
        <f>IF(A61="","",EOMONTH(A61,0))</f>
        <v/>
      </c>
      <c r="C61" s="24" t="inlineStr">
        <is>
          <t>INV-10519</t>
        </is>
      </c>
      <c r="D61" s="24" t="inlineStr">
        <is>
          <t>RSNSW</t>
        </is>
      </c>
      <c r="E61" s="24" t="inlineStr">
        <is>
          <t>26032301</t>
        </is>
      </c>
      <c r="F61" s="25">
        <f>IF(E61="","",IF(COUNTIF(lst_Jobs,E61&amp;"")&gt;0,"OK","CHECK"))</f>
        <v/>
      </c>
      <c r="G61" s="24" t="inlineStr">
        <is>
          <t>Ordinary General Meeting | 1.7.26</t>
        </is>
      </c>
      <c r="H61" s="24" t="inlineStr">
        <is>
          <t>Production</t>
        </is>
      </c>
      <c r="I61" s="24" t="inlineStr">
        <is>
          <t>VIDEO</t>
        </is>
      </c>
      <c r="J61" s="24" t="inlineStr">
        <is>
          <t>Project</t>
        </is>
      </c>
      <c r="K61" s="24" t="inlineStr">
        <is>
          <t>GST 10%</t>
        </is>
      </c>
      <c r="L61" s="26" t="n">
        <v>1029</v>
      </c>
      <c r="M61" s="27">
        <f>IF(L61="","",IF(K61="GST 10%",ROUND(L61*set_GSTRate,2),0))</f>
        <v/>
      </c>
      <c r="N61" s="27">
        <f>IF(L61="","",L61+M61)</f>
        <v/>
      </c>
      <c r="O61" s="24" t="inlineStr">
        <is>
          <t>42150</t>
        </is>
      </c>
      <c r="P61" s="24" t="inlineStr">
        <is>
          <t>Y</t>
        </is>
      </c>
      <c r="Q61" s="24" t="inlineStr">
        <is>
          <t>N</t>
        </is>
      </c>
      <c r="R61" s="22" t="n"/>
      <c r="S61" s="22" t="n"/>
      <c r="T61" s="24" t="inlineStr">
        <is>
          <t>Invoiced</t>
        </is>
      </c>
      <c r="U61" s="24" t="inlineStr">
        <is>
          <t>Video portion of this invoice</t>
        </is>
      </c>
      <c r="V61" s="25">
        <f>IF(COUNTA(A61,D61,C61,L61)=0,"",IF(A61="","No date - sits outside every month",IF(E61="","No job number",IF(F61="CHECK","Job number is not in the Xero job list",IF(I61="","No cost centre",IF(AND(P61="Y",C61=""),"Marked posted to Xero but has no invoice number",IF(AND(L61&lt;&gt;"",K61=""),"No tax code",IF(AND(L61&lt;&gt;"",O61=""),"No revenue GL code",""))))))))</f>
        <v/>
      </c>
      <c r="W61" s="25">
        <f>IF(E61="","",IFERROR(INDEX(lst_JobName,MATCH(E61&amp;"",lst_Jobs,0)),""))</f>
        <v/>
      </c>
      <c r="X61" s="28">
        <f>IF(E61="","",COUNTIFS(tbl_Finance[Job Number],E61&amp;"",tbl_Finance[Ex GST],"&lt;&gt;"))</f>
        <v/>
      </c>
      <c r="Y61" s="27">
        <f>IF(E61="","",SUMIFS(tbl_Finance[Ex GST],tbl_Finance[Job Number],E61&amp;""))</f>
        <v/>
      </c>
      <c r="Z61" s="27">
        <f>IF(E61="","",SUMIFS(tbl_Finance[Ex GST],tbl_Finance[Job Number],E61&amp;"",tbl_Finance[Xero Invoice No],"&lt;&gt;"))</f>
        <v/>
      </c>
      <c r="AA61" s="27">
        <f>IF(E61="","",Y61-Z61)</f>
        <v/>
      </c>
      <c r="AB61" s="25">
        <f>IF(E61="","",IF(H61="Onsite",IFERROR(INDEX(tbl_Onsite[Qwilr Quote],MATCH(E61&amp;"",tbl_Onsite[Job Number],0)),""),IF(H61="Production",IFERROR(IF(INDEX(tbl_Production[Current RMS No],MATCH(E61&amp;"",tbl_Production[Job Number],0))="",INDEX(tbl_Production[Qwilr Quote],MATCH(E61&amp;"",tbl_Production[Job Number],0)),INDEX(tbl_Production[Current RMS No],MATCH(E61&amp;"",tbl_Production[Job Number],0))),""),IF(H61="Consulting",IFERROR(INDEX(tbl_Consulting[Qwilr Quote],MATCH(E61&amp;"",tbl_Consulting[Job Number],0)),""),""))))</f>
        <v/>
      </c>
      <c r="AC61" s="25">
        <f>IF(AB61="","",IF(AND(LEFT(AB61,4)&lt;&gt;"http",IF(H61="Production",set_RMSBase,set_QwilrBase)=""),"",HYPERLINK(IF(LEFT(AB61,4)="http",AB61,IF(H61="Production",set_RMSBase,set_QwilrBase)&amp;AB61),"Open")))</f>
        <v/>
      </c>
      <c r="AD61" s="27">
        <f>IF(E61="","",IF(H61="Production",IFERROR(INDEX(tbl_Production[Total Expense],MATCH(E61&amp;"",tbl_Production[Job Number],0)),0),IF(H61="Consulting",IFERROR(INDEX(tbl_Consulting[Total Expense],MATCH(E61&amp;"",tbl_Consulting[Job Number],0)),0),0)))</f>
        <v/>
      </c>
      <c r="AE61" s="27">
        <f>IF(E61="","",Y61-N(AD61))</f>
        <v/>
      </c>
      <c r="AF61" s="29">
        <f>IFERROR(AE61/Y61,"")</f>
        <v/>
      </c>
      <c r="AG61" s="25">
        <f>IF(E61="","",IF(H61="Onsite",IFERROR(INDEX(tbl_Onsite[Notes],MATCH(E61&amp;"",tbl_Onsite[Job Number],0)),""),IF(H61="Production",IFERROR(INDEX(tbl_Production[Notes],MATCH(E61&amp;"",tbl_Production[Job Number],0)),""),IF(H61="Consulting",IFERROR(INDEX(tbl_Consulting[Notes],MATCH(E61&amp;"",tbl_Consulting[Job Number],0)),""),""))))</f>
        <v/>
      </c>
    </row>
    <row r="62" ht="15" customHeight="1">
      <c r="A62" s="22" t="n">
        <v>46210</v>
      </c>
      <c r="B62" s="23">
        <f>IF(A62="","",EOMONTH(A62,0))</f>
        <v/>
      </c>
      <c r="C62" s="24" t="inlineStr">
        <is>
          <t>INV-10515</t>
        </is>
      </c>
      <c r="D62" s="24" t="inlineStr">
        <is>
          <t>PWC</t>
        </is>
      </c>
      <c r="E62" s="24" t="inlineStr">
        <is>
          <t>26062201</t>
        </is>
      </c>
      <c r="F62" s="25">
        <f>IF(E62="","",IF(COUNTIF(lst_Jobs,E62&amp;"")&gt;0,"OK","CHECK"))</f>
        <v/>
      </c>
      <c r="G62" s="24" t="inlineStr">
        <is>
          <t>Tax and Legal Webcast 2.7.26</t>
        </is>
      </c>
      <c r="H62" s="24" t="inlineStr">
        <is>
          <t>Production</t>
        </is>
      </c>
      <c r="I62" s="24" t="inlineStr">
        <is>
          <t>PRODUCTION</t>
        </is>
      </c>
      <c r="J62" s="24" t="inlineStr">
        <is>
          <t>Project</t>
        </is>
      </c>
      <c r="K62" s="24" t="inlineStr">
        <is>
          <t>GST 10%</t>
        </is>
      </c>
      <c r="L62" s="26" t="n">
        <v>955</v>
      </c>
      <c r="M62" s="27">
        <f>IF(L62="","",IF(K62="GST 10%",ROUND(L62*set_GSTRate,2),0))</f>
        <v/>
      </c>
      <c r="N62" s="27">
        <f>IF(L62="","",L62+M62)</f>
        <v/>
      </c>
      <c r="O62" s="24" t="inlineStr">
        <is>
          <t>42100</t>
        </is>
      </c>
      <c r="P62" s="24" t="inlineStr">
        <is>
          <t>Y</t>
        </is>
      </c>
      <c r="Q62" s="24" t="inlineStr">
        <is>
          <t>N</t>
        </is>
      </c>
      <c r="R62" s="22" t="n"/>
      <c r="S62" s="22" t="n"/>
      <c r="T62" s="24" t="inlineStr">
        <is>
          <t>Invoiced</t>
        </is>
      </c>
      <c r="U62" s="24" t="inlineStr">
        <is>
          <t>Production portion of this invoice</t>
        </is>
      </c>
      <c r="V62" s="25">
        <f>IF(COUNTA(A62,D62,C62,L62)=0,"",IF(A62="","No date - sits outside every month",IF(E62="","No job number",IF(F62="CHECK","Job number is not in the Xero job list",IF(I62="","No cost centre",IF(AND(P62="Y",C62=""),"Marked posted to Xero but has no invoice number",IF(AND(L62&lt;&gt;"",K62=""),"No tax code",IF(AND(L62&lt;&gt;"",O62=""),"No revenue GL code",""))))))))</f>
        <v/>
      </c>
      <c r="W62" s="25">
        <f>IF(E62="","",IFERROR(INDEX(lst_JobName,MATCH(E62&amp;"",lst_Jobs,0)),""))</f>
        <v/>
      </c>
      <c r="X62" s="28">
        <f>IF(E62="","",COUNTIFS(tbl_Finance[Job Number],E62&amp;"",tbl_Finance[Ex GST],"&lt;&gt;"))</f>
        <v/>
      </c>
      <c r="Y62" s="27">
        <f>IF(E62="","",SUMIFS(tbl_Finance[Ex GST],tbl_Finance[Job Number],E62&amp;""))</f>
        <v/>
      </c>
      <c r="Z62" s="27">
        <f>IF(E62="","",SUMIFS(tbl_Finance[Ex GST],tbl_Finance[Job Number],E62&amp;"",tbl_Finance[Xero Invoice No],"&lt;&gt;"))</f>
        <v/>
      </c>
      <c r="AA62" s="27">
        <f>IF(E62="","",Y62-Z62)</f>
        <v/>
      </c>
      <c r="AB62" s="25">
        <f>IF(E62="","",IF(H62="Onsite",IFERROR(INDEX(tbl_Onsite[Qwilr Quote],MATCH(E62&amp;"",tbl_Onsite[Job Number],0)),""),IF(H62="Production",IFERROR(IF(INDEX(tbl_Production[Current RMS No],MATCH(E62&amp;"",tbl_Production[Job Number],0))="",INDEX(tbl_Production[Qwilr Quote],MATCH(E62&amp;"",tbl_Production[Job Number],0)),INDEX(tbl_Production[Current RMS No],MATCH(E62&amp;"",tbl_Production[Job Number],0))),""),IF(H62="Consulting",IFERROR(INDEX(tbl_Consulting[Qwilr Quote],MATCH(E62&amp;"",tbl_Consulting[Job Number],0)),""),""))))</f>
        <v/>
      </c>
      <c r="AC62" s="25">
        <f>IF(AB62="","",IF(AND(LEFT(AB62,4)&lt;&gt;"http",IF(H62="Production",set_RMSBase,set_QwilrBase)=""),"",HYPERLINK(IF(LEFT(AB62,4)="http",AB62,IF(H62="Production",set_RMSBase,set_QwilrBase)&amp;AB62),"Open")))</f>
        <v/>
      </c>
      <c r="AD62" s="27">
        <f>IF(E62="","",IF(H62="Production",IFERROR(INDEX(tbl_Production[Total Expense],MATCH(E62&amp;"",tbl_Production[Job Number],0)),0),IF(H62="Consulting",IFERROR(INDEX(tbl_Consulting[Total Expense],MATCH(E62&amp;"",tbl_Consulting[Job Number],0)),0),0)))</f>
        <v/>
      </c>
      <c r="AE62" s="27">
        <f>IF(E62="","",Y62-N(AD62))</f>
        <v/>
      </c>
      <c r="AF62" s="29">
        <f>IFERROR(AE62/Y62,"")</f>
        <v/>
      </c>
      <c r="AG62" s="25">
        <f>IF(E62="","",IF(H62="Onsite",IFERROR(INDEX(tbl_Onsite[Notes],MATCH(E62&amp;"",tbl_Onsite[Job Number],0)),""),IF(H62="Production",IFERROR(INDEX(tbl_Production[Notes],MATCH(E62&amp;"",tbl_Production[Job Number],0)),""),IF(H62="Consulting",IFERROR(INDEX(tbl_Consulting[Notes],MATCH(E62&amp;"",tbl_Consulting[Job Number],0)),""),""))))</f>
        <v/>
      </c>
    </row>
    <row r="63" ht="15" customHeight="1">
      <c r="A63" s="22" t="n">
        <v>46210</v>
      </c>
      <c r="B63" s="23">
        <f>IF(A63="","",EOMONTH(A63,0))</f>
        <v/>
      </c>
      <c r="C63" s="24" t="inlineStr">
        <is>
          <t>INV-10515</t>
        </is>
      </c>
      <c r="D63" s="24" t="inlineStr">
        <is>
          <t>PWC</t>
        </is>
      </c>
      <c r="E63" s="24" t="inlineStr">
        <is>
          <t>26062201</t>
        </is>
      </c>
      <c r="F63" s="25">
        <f>IF(E63="","",IF(COUNTIF(lst_Jobs,E63&amp;"")&gt;0,"OK","CHECK"))</f>
        <v/>
      </c>
      <c r="G63" s="24" t="inlineStr">
        <is>
          <t>Tax and Legal Webcast 2.7.26</t>
        </is>
      </c>
      <c r="H63" s="24" t="inlineStr">
        <is>
          <t>Production</t>
        </is>
      </c>
      <c r="I63" s="24" t="inlineStr">
        <is>
          <t>VIDEO</t>
        </is>
      </c>
      <c r="J63" s="24" t="inlineStr">
        <is>
          <t>Project</t>
        </is>
      </c>
      <c r="K63" s="24" t="inlineStr">
        <is>
          <t>GST 10%</t>
        </is>
      </c>
      <c r="L63" s="26" t="n">
        <v>970</v>
      </c>
      <c r="M63" s="27">
        <f>IF(L63="","",IF(K63="GST 10%",ROUND(L63*set_GSTRate,2),0))</f>
        <v/>
      </c>
      <c r="N63" s="27">
        <f>IF(L63="","",L63+M63)</f>
        <v/>
      </c>
      <c r="O63" s="24" t="inlineStr">
        <is>
          <t>42150</t>
        </is>
      </c>
      <c r="P63" s="24" t="inlineStr">
        <is>
          <t>Y</t>
        </is>
      </c>
      <c r="Q63" s="24" t="inlineStr">
        <is>
          <t>N</t>
        </is>
      </c>
      <c r="R63" s="22" t="n"/>
      <c r="S63" s="22" t="n"/>
      <c r="T63" s="24" t="inlineStr">
        <is>
          <t>Invoiced</t>
        </is>
      </c>
      <c r="U63" s="24" t="inlineStr">
        <is>
          <t>Video portion of this invoice</t>
        </is>
      </c>
      <c r="V63" s="25">
        <f>IF(COUNTA(A63,D63,C63,L63)=0,"",IF(A63="","No date - sits outside every month",IF(E63="","No job number",IF(F63="CHECK","Job number is not in the Xero job list",IF(I63="","No cost centre",IF(AND(P63="Y",C63=""),"Marked posted to Xero but has no invoice number",IF(AND(L63&lt;&gt;"",K63=""),"No tax code",IF(AND(L63&lt;&gt;"",O63=""),"No revenue GL code",""))))))))</f>
        <v/>
      </c>
      <c r="W63" s="25">
        <f>IF(E63="","",IFERROR(INDEX(lst_JobName,MATCH(E63&amp;"",lst_Jobs,0)),""))</f>
        <v/>
      </c>
      <c r="X63" s="28">
        <f>IF(E63="","",COUNTIFS(tbl_Finance[Job Number],E63&amp;"",tbl_Finance[Ex GST],"&lt;&gt;"))</f>
        <v/>
      </c>
      <c r="Y63" s="27">
        <f>IF(E63="","",SUMIFS(tbl_Finance[Ex GST],tbl_Finance[Job Number],E63&amp;""))</f>
        <v/>
      </c>
      <c r="Z63" s="27">
        <f>IF(E63="","",SUMIFS(tbl_Finance[Ex GST],tbl_Finance[Job Number],E63&amp;"",tbl_Finance[Xero Invoice No],"&lt;&gt;"))</f>
        <v/>
      </c>
      <c r="AA63" s="27">
        <f>IF(E63="","",Y63-Z63)</f>
        <v/>
      </c>
      <c r="AB63" s="25">
        <f>IF(E63="","",IF(H63="Onsite",IFERROR(INDEX(tbl_Onsite[Qwilr Quote],MATCH(E63&amp;"",tbl_Onsite[Job Number],0)),""),IF(H63="Production",IFERROR(IF(INDEX(tbl_Production[Current RMS No],MATCH(E63&amp;"",tbl_Production[Job Number],0))="",INDEX(tbl_Production[Qwilr Quote],MATCH(E63&amp;"",tbl_Production[Job Number],0)),INDEX(tbl_Production[Current RMS No],MATCH(E63&amp;"",tbl_Production[Job Number],0))),""),IF(H63="Consulting",IFERROR(INDEX(tbl_Consulting[Qwilr Quote],MATCH(E63&amp;"",tbl_Consulting[Job Number],0)),""),""))))</f>
        <v/>
      </c>
      <c r="AC63" s="25">
        <f>IF(AB63="","",IF(AND(LEFT(AB63,4)&lt;&gt;"http",IF(H63="Production",set_RMSBase,set_QwilrBase)=""),"",HYPERLINK(IF(LEFT(AB63,4)="http",AB63,IF(H63="Production",set_RMSBase,set_QwilrBase)&amp;AB63),"Open")))</f>
        <v/>
      </c>
      <c r="AD63" s="27">
        <f>IF(E63="","",IF(H63="Production",IFERROR(INDEX(tbl_Production[Total Expense],MATCH(E63&amp;"",tbl_Production[Job Number],0)),0),IF(H63="Consulting",IFERROR(INDEX(tbl_Consulting[Total Expense],MATCH(E63&amp;"",tbl_Consulting[Job Number],0)),0),0)))</f>
        <v/>
      </c>
      <c r="AE63" s="27">
        <f>IF(E63="","",Y63-N(AD63))</f>
        <v/>
      </c>
      <c r="AF63" s="29">
        <f>IFERROR(AE63/Y63,"")</f>
        <v/>
      </c>
      <c r="AG63" s="25">
        <f>IF(E63="","",IF(H63="Onsite",IFERROR(INDEX(tbl_Onsite[Notes],MATCH(E63&amp;"",tbl_Onsite[Job Number],0)),""),IF(H63="Production",IFERROR(INDEX(tbl_Production[Notes],MATCH(E63&amp;"",tbl_Production[Job Number],0)),""),IF(H63="Consulting",IFERROR(INDEX(tbl_Consulting[Notes],MATCH(E63&amp;"",tbl_Consulting[Job Number],0)),""),""))))</f>
        <v/>
      </c>
    </row>
    <row r="64" ht="15" customHeight="1">
      <c r="A64" s="22" t="n">
        <v>46219</v>
      </c>
      <c r="B64" s="23">
        <f>IF(A64="","",EOMONTH(A64,0))</f>
        <v/>
      </c>
      <c r="C64" s="24" t="inlineStr">
        <is>
          <t>INV-10524</t>
        </is>
      </c>
      <c r="D64" s="24" t="inlineStr">
        <is>
          <t>Elkiem - PM** Cancelled</t>
        </is>
      </c>
      <c r="E64" s="24" t="inlineStr">
        <is>
          <t>2605802</t>
        </is>
      </c>
      <c r="F64" s="25">
        <f>IF(E64="","",IF(COUNTIF(lst_Jobs,E64&amp;"")&gt;0,"OK","CHECK"))</f>
        <v/>
      </c>
      <c r="G64" s="24" t="inlineStr">
        <is>
          <t>Elkiem Studio Support | 15.7.26</t>
        </is>
      </c>
      <c r="H64" s="24" t="inlineStr">
        <is>
          <t>Production</t>
        </is>
      </c>
      <c r="I64" s="24" t="inlineStr">
        <is>
          <t>PRODUCTION</t>
        </is>
      </c>
      <c r="J64" s="24" t="inlineStr">
        <is>
          <t>Project</t>
        </is>
      </c>
      <c r="K64" s="24" t="inlineStr">
        <is>
          <t>GST 10%</t>
        </is>
      </c>
      <c r="L64" s="26" t="n">
        <v>261.25</v>
      </c>
      <c r="M64" s="27">
        <f>IF(L64="","",IF(K64="GST 10%",ROUND(L64*set_GSTRate,2),0))</f>
        <v/>
      </c>
      <c r="N64" s="27">
        <f>IF(L64="","",L64+M64)</f>
        <v/>
      </c>
      <c r="O64" s="24" t="inlineStr">
        <is>
          <t>42100</t>
        </is>
      </c>
      <c r="P64" s="24" t="inlineStr">
        <is>
          <t>Y</t>
        </is>
      </c>
      <c r="Q64" s="24" t="inlineStr">
        <is>
          <t>N</t>
        </is>
      </c>
      <c r="R64" s="22" t="n"/>
      <c r="S64" s="22" t="n"/>
      <c r="T64" s="24" t="inlineStr">
        <is>
          <t>Invoiced</t>
        </is>
      </c>
      <c r="U64" s="24" t="n"/>
      <c r="V64" s="25">
        <f>IF(COUNTA(A64,D64,C64,L64)=0,"",IF(A64="","No date - sits outside every month",IF(E64="","No job number",IF(F64="CHECK","Job number is not in the Xero job list",IF(I64="","No cost centre",IF(AND(P64="Y",C64=""),"Marked posted to Xero but has no invoice number",IF(AND(L64&lt;&gt;"",K64=""),"No tax code",IF(AND(L64&lt;&gt;"",O64=""),"No revenue GL code",""))))))))</f>
        <v/>
      </c>
      <c r="W64" s="25">
        <f>IF(E64="","",IFERROR(INDEX(lst_JobName,MATCH(E64&amp;"",lst_Jobs,0)),""))</f>
        <v/>
      </c>
      <c r="X64" s="28">
        <f>IF(E64="","",COUNTIFS(tbl_Finance[Job Number],E64&amp;"",tbl_Finance[Ex GST],"&lt;&gt;"))</f>
        <v/>
      </c>
      <c r="Y64" s="27">
        <f>IF(E64="","",SUMIFS(tbl_Finance[Ex GST],tbl_Finance[Job Number],E64&amp;""))</f>
        <v/>
      </c>
      <c r="Z64" s="27">
        <f>IF(E64="","",SUMIFS(tbl_Finance[Ex GST],tbl_Finance[Job Number],E64&amp;"",tbl_Finance[Xero Invoice No],"&lt;&gt;"))</f>
        <v/>
      </c>
      <c r="AA64" s="27">
        <f>IF(E64="","",Y64-Z64)</f>
        <v/>
      </c>
      <c r="AB64" s="25">
        <f>IF(E64="","",IF(H64="Onsite",IFERROR(INDEX(tbl_Onsite[Qwilr Quote],MATCH(E64&amp;"",tbl_Onsite[Job Number],0)),""),IF(H64="Production",IFERROR(IF(INDEX(tbl_Production[Current RMS No],MATCH(E64&amp;"",tbl_Production[Job Number],0))="",INDEX(tbl_Production[Qwilr Quote],MATCH(E64&amp;"",tbl_Production[Job Number],0)),INDEX(tbl_Production[Current RMS No],MATCH(E64&amp;"",tbl_Production[Job Number],0))),""),IF(H64="Consulting",IFERROR(INDEX(tbl_Consulting[Qwilr Quote],MATCH(E64&amp;"",tbl_Consulting[Job Number],0)),""),""))))</f>
        <v/>
      </c>
      <c r="AC64" s="25">
        <f>IF(AB64="","",IF(AND(LEFT(AB64,4)&lt;&gt;"http",IF(H64="Production",set_RMSBase,set_QwilrBase)=""),"",HYPERLINK(IF(LEFT(AB64,4)="http",AB64,IF(H64="Production",set_RMSBase,set_QwilrBase)&amp;AB64),"Open")))</f>
        <v/>
      </c>
      <c r="AD64" s="27">
        <f>IF(E64="","",IF(H64="Production",IFERROR(INDEX(tbl_Production[Total Expense],MATCH(E64&amp;"",tbl_Production[Job Number],0)),0),IF(H64="Consulting",IFERROR(INDEX(tbl_Consulting[Total Expense],MATCH(E64&amp;"",tbl_Consulting[Job Number],0)),0),0)))</f>
        <v/>
      </c>
      <c r="AE64" s="27">
        <f>IF(E64="","",Y64-N(AD64))</f>
        <v/>
      </c>
      <c r="AF64" s="29">
        <f>IFERROR(AE64/Y64,"")</f>
        <v/>
      </c>
      <c r="AG64" s="25">
        <f>IF(E64="","",IF(H64="Onsite",IFERROR(INDEX(tbl_Onsite[Notes],MATCH(E64&amp;"",tbl_Onsite[Job Number],0)),""),IF(H64="Production",IFERROR(INDEX(tbl_Production[Notes],MATCH(E64&amp;"",tbl_Production[Job Number],0)),""),IF(H64="Consulting",IFERROR(INDEX(tbl_Consulting[Notes],MATCH(E64&amp;"",tbl_Consulting[Job Number],0)),""),""))))</f>
        <v/>
      </c>
    </row>
    <row r="65" ht="15" customHeight="1">
      <c r="A65" s="22" t="n">
        <v>46210</v>
      </c>
      <c r="B65" s="23">
        <f>IF(A65="","",EOMONTH(A65,0))</f>
        <v/>
      </c>
      <c r="C65" s="24" t="inlineStr">
        <is>
          <t>INV-10518</t>
        </is>
      </c>
      <c r="D65" s="24" t="inlineStr">
        <is>
          <t>Litecard</t>
        </is>
      </c>
      <c r="E65" s="24" t="inlineStr">
        <is>
          <t>2607701</t>
        </is>
      </c>
      <c r="F65" s="25">
        <f>IF(E65="","",IF(COUNTIF(lst_Jobs,E65&amp;"")&gt;0,"OK","CHECK"))</f>
        <v/>
      </c>
      <c r="G65" s="24" t="inlineStr">
        <is>
          <t>Screen &amp; Mic Hire 16.7.26</t>
        </is>
      </c>
      <c r="H65" s="24" t="inlineStr">
        <is>
          <t>Production</t>
        </is>
      </c>
      <c r="I65" s="24" t="inlineStr">
        <is>
          <t>PRODUCTION</t>
        </is>
      </c>
      <c r="J65" s="24" t="inlineStr">
        <is>
          <t>Project</t>
        </is>
      </c>
      <c r="K65" s="24" t="inlineStr">
        <is>
          <t>GST 10%</t>
        </is>
      </c>
      <c r="L65" s="26" t="n">
        <v>500</v>
      </c>
      <c r="M65" s="27">
        <f>IF(L65="","",IF(K65="GST 10%",ROUND(L65*set_GSTRate,2),0))</f>
        <v/>
      </c>
      <c r="N65" s="27">
        <f>IF(L65="","",L65+M65)</f>
        <v/>
      </c>
      <c r="O65" s="24" t="inlineStr">
        <is>
          <t>42100</t>
        </is>
      </c>
      <c r="P65" s="24" t="inlineStr">
        <is>
          <t>Y</t>
        </is>
      </c>
      <c r="Q65" s="24" t="inlineStr">
        <is>
          <t>N</t>
        </is>
      </c>
      <c r="R65" s="22" t="n"/>
      <c r="S65" s="22" t="n"/>
      <c r="T65" s="24" t="inlineStr">
        <is>
          <t>Invoiced</t>
        </is>
      </c>
      <c r="U65" s="24" t="n"/>
      <c r="V65" s="25">
        <f>IF(COUNTA(A65,D65,C65,L65)=0,"",IF(A65="","No date - sits outside every month",IF(E65="","No job number",IF(F65="CHECK","Job number is not in the Xero job list",IF(I65="","No cost centre",IF(AND(P65="Y",C65=""),"Marked posted to Xero but has no invoice number",IF(AND(L65&lt;&gt;"",K65=""),"No tax code",IF(AND(L65&lt;&gt;"",O65=""),"No revenue GL code",""))))))))</f>
        <v/>
      </c>
      <c r="W65" s="25">
        <f>IF(E65="","",IFERROR(INDEX(lst_JobName,MATCH(E65&amp;"",lst_Jobs,0)),""))</f>
        <v/>
      </c>
      <c r="X65" s="28">
        <f>IF(E65="","",COUNTIFS(tbl_Finance[Job Number],E65&amp;"",tbl_Finance[Ex GST],"&lt;&gt;"))</f>
        <v/>
      </c>
      <c r="Y65" s="27">
        <f>IF(E65="","",SUMIFS(tbl_Finance[Ex GST],tbl_Finance[Job Number],E65&amp;""))</f>
        <v/>
      </c>
      <c r="Z65" s="27">
        <f>IF(E65="","",SUMIFS(tbl_Finance[Ex GST],tbl_Finance[Job Number],E65&amp;"",tbl_Finance[Xero Invoice No],"&lt;&gt;"))</f>
        <v/>
      </c>
      <c r="AA65" s="27">
        <f>IF(E65="","",Y65-Z65)</f>
        <v/>
      </c>
      <c r="AB65" s="25">
        <f>IF(E65="","",IF(H65="Onsite",IFERROR(INDEX(tbl_Onsite[Qwilr Quote],MATCH(E65&amp;"",tbl_Onsite[Job Number],0)),""),IF(H65="Production",IFERROR(IF(INDEX(tbl_Production[Current RMS No],MATCH(E65&amp;"",tbl_Production[Job Number],0))="",INDEX(tbl_Production[Qwilr Quote],MATCH(E65&amp;"",tbl_Production[Job Number],0)),INDEX(tbl_Production[Current RMS No],MATCH(E65&amp;"",tbl_Production[Job Number],0))),""),IF(H65="Consulting",IFERROR(INDEX(tbl_Consulting[Qwilr Quote],MATCH(E65&amp;"",tbl_Consulting[Job Number],0)),""),""))))</f>
        <v/>
      </c>
      <c r="AC65" s="25">
        <f>IF(AB65="","",IF(AND(LEFT(AB65,4)&lt;&gt;"http",IF(H65="Production",set_RMSBase,set_QwilrBase)=""),"",HYPERLINK(IF(LEFT(AB65,4)="http",AB65,IF(H65="Production",set_RMSBase,set_QwilrBase)&amp;AB65),"Open")))</f>
        <v/>
      </c>
      <c r="AD65" s="27">
        <f>IF(E65="","",IF(H65="Production",IFERROR(INDEX(tbl_Production[Total Expense],MATCH(E65&amp;"",tbl_Production[Job Number],0)),0),IF(H65="Consulting",IFERROR(INDEX(tbl_Consulting[Total Expense],MATCH(E65&amp;"",tbl_Consulting[Job Number],0)),0),0)))</f>
        <v/>
      </c>
      <c r="AE65" s="27">
        <f>IF(E65="","",Y65-N(AD65))</f>
        <v/>
      </c>
      <c r="AF65" s="29">
        <f>IFERROR(AE65/Y65,"")</f>
        <v/>
      </c>
      <c r="AG65" s="25">
        <f>IF(E65="","",IF(H65="Onsite",IFERROR(INDEX(tbl_Onsite[Notes],MATCH(E65&amp;"",tbl_Onsite[Job Number],0)),""),IF(H65="Production",IFERROR(INDEX(tbl_Production[Notes],MATCH(E65&amp;"",tbl_Production[Job Number],0)),""),IF(H65="Consulting",IFERROR(INDEX(tbl_Consulting[Notes],MATCH(E65&amp;"",tbl_Consulting[Job Number],0)),""),""))))</f>
        <v/>
      </c>
    </row>
    <row r="66" ht="15" customHeight="1">
      <c r="A66" s="22" t="n">
        <v>46216</v>
      </c>
      <c r="B66" s="23">
        <f>IF(A66="","",EOMONTH(A66,0))</f>
        <v/>
      </c>
      <c r="C66" s="24" t="inlineStr">
        <is>
          <t>INV-10522</t>
        </is>
      </c>
      <c r="D66" s="24" t="inlineStr">
        <is>
          <t>Litecard</t>
        </is>
      </c>
      <c r="E66" s="24" t="inlineStr">
        <is>
          <t>2607701</t>
        </is>
      </c>
      <c r="F66" s="25">
        <f>IF(E66="","",IF(COUNTIF(lst_Jobs,E66&amp;"")&gt;0,"OK","CHECK"))</f>
        <v/>
      </c>
      <c r="G66" s="24" t="inlineStr">
        <is>
          <t>Litecard - Event Photographer - 16.7.26</t>
        </is>
      </c>
      <c r="H66" s="24" t="inlineStr">
        <is>
          <t>Production</t>
        </is>
      </c>
      <c r="I66" s="24" t="inlineStr">
        <is>
          <t>VIDEO</t>
        </is>
      </c>
      <c r="J66" s="24" t="inlineStr">
        <is>
          <t>Project</t>
        </is>
      </c>
      <c r="K66" s="24" t="inlineStr">
        <is>
          <t>GST 10%</t>
        </is>
      </c>
      <c r="L66" s="26" t="n">
        <v>550</v>
      </c>
      <c r="M66" s="27">
        <f>IF(L66="","",IF(K66="GST 10%",ROUND(L66*set_GSTRate,2),0))</f>
        <v/>
      </c>
      <c r="N66" s="27">
        <f>IF(L66="","",L66+M66)</f>
        <v/>
      </c>
      <c r="O66" s="24" t="inlineStr">
        <is>
          <t>42150</t>
        </is>
      </c>
      <c r="P66" s="24" t="inlineStr">
        <is>
          <t>Y</t>
        </is>
      </c>
      <c r="Q66" s="24" t="inlineStr">
        <is>
          <t>N</t>
        </is>
      </c>
      <c r="R66" s="22" t="n"/>
      <c r="S66" s="22" t="n"/>
      <c r="T66" s="24" t="inlineStr">
        <is>
          <t>Invoiced</t>
        </is>
      </c>
      <c r="U66" s="24" t="n"/>
      <c r="V66" s="25">
        <f>IF(COUNTA(A66,D66,C66,L66)=0,"",IF(A66="","No date - sits outside every month",IF(E66="","No job number",IF(F66="CHECK","Job number is not in the Xero job list",IF(I66="","No cost centre",IF(AND(P66="Y",C66=""),"Marked posted to Xero but has no invoice number",IF(AND(L66&lt;&gt;"",K66=""),"No tax code",IF(AND(L66&lt;&gt;"",O66=""),"No revenue GL code",""))))))))</f>
        <v/>
      </c>
      <c r="W66" s="25">
        <f>IF(E66="","",IFERROR(INDEX(lst_JobName,MATCH(E66&amp;"",lst_Jobs,0)),""))</f>
        <v/>
      </c>
      <c r="X66" s="28">
        <f>IF(E66="","",COUNTIFS(tbl_Finance[Job Number],E66&amp;"",tbl_Finance[Ex GST],"&lt;&gt;"))</f>
        <v/>
      </c>
      <c r="Y66" s="27">
        <f>IF(E66="","",SUMIFS(tbl_Finance[Ex GST],tbl_Finance[Job Number],E66&amp;""))</f>
        <v/>
      </c>
      <c r="Z66" s="27">
        <f>IF(E66="","",SUMIFS(tbl_Finance[Ex GST],tbl_Finance[Job Number],E66&amp;"",tbl_Finance[Xero Invoice No],"&lt;&gt;"))</f>
        <v/>
      </c>
      <c r="AA66" s="27">
        <f>IF(E66="","",Y66-Z66)</f>
        <v/>
      </c>
      <c r="AB66" s="25">
        <f>IF(E66="","",IF(H66="Onsite",IFERROR(INDEX(tbl_Onsite[Qwilr Quote],MATCH(E66&amp;"",tbl_Onsite[Job Number],0)),""),IF(H66="Production",IFERROR(IF(INDEX(tbl_Production[Current RMS No],MATCH(E66&amp;"",tbl_Production[Job Number],0))="",INDEX(tbl_Production[Qwilr Quote],MATCH(E66&amp;"",tbl_Production[Job Number],0)),INDEX(tbl_Production[Current RMS No],MATCH(E66&amp;"",tbl_Production[Job Number],0))),""),IF(H66="Consulting",IFERROR(INDEX(tbl_Consulting[Qwilr Quote],MATCH(E66&amp;"",tbl_Consulting[Job Number],0)),""),""))))</f>
        <v/>
      </c>
      <c r="AC66" s="25">
        <f>IF(AB66="","",IF(AND(LEFT(AB66,4)&lt;&gt;"http",IF(H66="Production",set_RMSBase,set_QwilrBase)=""),"",HYPERLINK(IF(LEFT(AB66,4)="http",AB66,IF(H66="Production",set_RMSBase,set_QwilrBase)&amp;AB66),"Open")))</f>
        <v/>
      </c>
      <c r="AD66" s="27">
        <f>IF(E66="","",IF(H66="Production",IFERROR(INDEX(tbl_Production[Total Expense],MATCH(E66&amp;"",tbl_Production[Job Number],0)),0),IF(H66="Consulting",IFERROR(INDEX(tbl_Consulting[Total Expense],MATCH(E66&amp;"",tbl_Consulting[Job Number],0)),0),0)))</f>
        <v/>
      </c>
      <c r="AE66" s="27">
        <f>IF(E66="","",Y66-N(AD66))</f>
        <v/>
      </c>
      <c r="AF66" s="29">
        <f>IFERROR(AE66/Y66,"")</f>
        <v/>
      </c>
      <c r="AG66" s="25">
        <f>IF(E66="","",IF(H66="Onsite",IFERROR(INDEX(tbl_Onsite[Notes],MATCH(E66&amp;"",tbl_Onsite[Job Number],0)),""),IF(H66="Production",IFERROR(INDEX(tbl_Production[Notes],MATCH(E66&amp;"",tbl_Production[Job Number],0)),""),IF(H66="Consulting",IFERROR(INDEX(tbl_Consulting[Notes],MATCH(E66&amp;"",tbl_Consulting[Job Number],0)),""),""))))</f>
        <v/>
      </c>
    </row>
    <row r="67" ht="15" customHeight="1">
      <c r="A67" s="22" t="n">
        <v>46234</v>
      </c>
      <c r="B67" s="23">
        <f>IF(A67="","",EOMONTH(A67,0))</f>
        <v/>
      </c>
      <c r="C67" s="24" t="inlineStr">
        <is>
          <t>INV-10554</t>
        </is>
      </c>
      <c r="D67" s="24" t="inlineStr">
        <is>
          <t>Microsoft</t>
        </is>
      </c>
      <c r="E67" s="24" t="inlineStr">
        <is>
          <t>26052703</t>
        </is>
      </c>
      <c r="F67" s="25">
        <f>IF(E67="","",IF(COUNTIF(lst_Jobs,E67&amp;"")&gt;0,"OK","CHECK"))</f>
        <v/>
      </c>
      <c r="G67" s="24" t="inlineStr">
        <is>
          <t>Microsoft Town Hall 21.7.26</t>
        </is>
      </c>
      <c r="H67" s="24" t="inlineStr">
        <is>
          <t>Production</t>
        </is>
      </c>
      <c r="I67" s="24" t="inlineStr">
        <is>
          <t>PRODUCTION</t>
        </is>
      </c>
      <c r="J67" s="24" t="inlineStr">
        <is>
          <t>Project</t>
        </is>
      </c>
      <c r="K67" s="24" t="inlineStr">
        <is>
          <t>GST 10%</t>
        </is>
      </c>
      <c r="L67" s="26" t="n">
        <v>10885</v>
      </c>
      <c r="M67" s="27">
        <f>IF(L67="","",IF(K67="GST 10%",ROUND(L67*set_GSTRate,2),0))</f>
        <v/>
      </c>
      <c r="N67" s="27">
        <f>IF(L67="","",L67+M67)</f>
        <v/>
      </c>
      <c r="O67" s="24" t="inlineStr">
        <is>
          <t>42100</t>
        </is>
      </c>
      <c r="P67" s="24" t="inlineStr">
        <is>
          <t>Y</t>
        </is>
      </c>
      <c r="Q67" s="24" t="inlineStr">
        <is>
          <t>N</t>
        </is>
      </c>
      <c r="R67" s="22" t="n"/>
      <c r="S67" s="22" t="n"/>
      <c r="T67" s="24" t="inlineStr">
        <is>
          <t>Invoiced</t>
        </is>
      </c>
      <c r="U67" s="24" t="inlineStr">
        <is>
          <t>Production portion of this invoice</t>
        </is>
      </c>
      <c r="V67" s="25">
        <f>IF(COUNTA(A67,D67,C67,L67)=0,"",IF(A67="","No date - sits outside every month",IF(E67="","No job number",IF(F67="CHECK","Job number is not in the Xero job list",IF(I67="","No cost centre",IF(AND(P67="Y",C67=""),"Marked posted to Xero but has no invoice number",IF(AND(L67&lt;&gt;"",K67=""),"No tax code",IF(AND(L67&lt;&gt;"",O67=""),"No revenue GL code",""))))))))</f>
        <v/>
      </c>
      <c r="W67" s="25">
        <f>IF(E67="","",IFERROR(INDEX(lst_JobName,MATCH(E67&amp;"",lst_Jobs,0)),""))</f>
        <v/>
      </c>
      <c r="X67" s="28">
        <f>IF(E67="","",COUNTIFS(tbl_Finance[Job Number],E67&amp;"",tbl_Finance[Ex GST],"&lt;&gt;"))</f>
        <v/>
      </c>
      <c r="Y67" s="27">
        <f>IF(E67="","",SUMIFS(tbl_Finance[Ex GST],tbl_Finance[Job Number],E67&amp;""))</f>
        <v/>
      </c>
      <c r="Z67" s="27">
        <f>IF(E67="","",SUMIFS(tbl_Finance[Ex GST],tbl_Finance[Job Number],E67&amp;"",tbl_Finance[Xero Invoice No],"&lt;&gt;"))</f>
        <v/>
      </c>
      <c r="AA67" s="27">
        <f>IF(E67="","",Y67-Z67)</f>
        <v/>
      </c>
      <c r="AB67" s="25">
        <f>IF(E67="","",IF(H67="Onsite",IFERROR(INDEX(tbl_Onsite[Qwilr Quote],MATCH(E67&amp;"",tbl_Onsite[Job Number],0)),""),IF(H67="Production",IFERROR(IF(INDEX(tbl_Production[Current RMS No],MATCH(E67&amp;"",tbl_Production[Job Number],0))="",INDEX(tbl_Production[Qwilr Quote],MATCH(E67&amp;"",tbl_Production[Job Number],0)),INDEX(tbl_Production[Current RMS No],MATCH(E67&amp;"",tbl_Production[Job Number],0))),""),IF(H67="Consulting",IFERROR(INDEX(tbl_Consulting[Qwilr Quote],MATCH(E67&amp;"",tbl_Consulting[Job Number],0)),""),""))))</f>
        <v/>
      </c>
      <c r="AC67" s="25">
        <f>IF(AB67="","",IF(AND(LEFT(AB67,4)&lt;&gt;"http",IF(H67="Production",set_RMSBase,set_QwilrBase)=""),"",HYPERLINK(IF(LEFT(AB67,4)="http",AB67,IF(H67="Production",set_RMSBase,set_QwilrBase)&amp;AB67),"Open")))</f>
        <v/>
      </c>
      <c r="AD67" s="27">
        <f>IF(E67="","",IF(H67="Production",IFERROR(INDEX(tbl_Production[Total Expense],MATCH(E67&amp;"",tbl_Production[Job Number],0)),0),IF(H67="Consulting",IFERROR(INDEX(tbl_Consulting[Total Expense],MATCH(E67&amp;"",tbl_Consulting[Job Number],0)),0),0)))</f>
        <v/>
      </c>
      <c r="AE67" s="27">
        <f>IF(E67="","",Y67-N(AD67))</f>
        <v/>
      </c>
      <c r="AF67" s="29">
        <f>IFERROR(AE67/Y67,"")</f>
        <v/>
      </c>
      <c r="AG67" s="25">
        <f>IF(E67="","",IF(H67="Onsite",IFERROR(INDEX(tbl_Onsite[Notes],MATCH(E67&amp;"",tbl_Onsite[Job Number],0)),""),IF(H67="Production",IFERROR(INDEX(tbl_Production[Notes],MATCH(E67&amp;"",tbl_Production[Job Number],0)),""),IF(H67="Consulting",IFERROR(INDEX(tbl_Consulting[Notes],MATCH(E67&amp;"",tbl_Consulting[Job Number],0)),""),""))))</f>
        <v/>
      </c>
    </row>
    <row r="68" ht="15" customHeight="1">
      <c r="A68" s="22" t="n">
        <v>46234</v>
      </c>
      <c r="B68" s="23">
        <f>IF(A68="","",EOMONTH(A68,0))</f>
        <v/>
      </c>
      <c r="C68" s="24" t="inlineStr">
        <is>
          <t>INV-10554</t>
        </is>
      </c>
      <c r="D68" s="24" t="inlineStr">
        <is>
          <t>Microsoft</t>
        </is>
      </c>
      <c r="E68" s="24" t="inlineStr">
        <is>
          <t>26052703</t>
        </is>
      </c>
      <c r="F68" s="25">
        <f>IF(E68="","",IF(COUNTIF(lst_Jobs,E68&amp;"")&gt;0,"OK","CHECK"))</f>
        <v/>
      </c>
      <c r="G68" s="24" t="inlineStr">
        <is>
          <t>Microsoft Town Hall 21.7.26</t>
        </is>
      </c>
      <c r="H68" s="24" t="inlineStr">
        <is>
          <t>Production</t>
        </is>
      </c>
      <c r="I68" s="24" t="inlineStr">
        <is>
          <t>VIDEO</t>
        </is>
      </c>
      <c r="J68" s="24" t="inlineStr">
        <is>
          <t>Project</t>
        </is>
      </c>
      <c r="K68" s="24" t="inlineStr">
        <is>
          <t>GST 10%</t>
        </is>
      </c>
      <c r="L68" s="26" t="n">
        <v>1702</v>
      </c>
      <c r="M68" s="27">
        <f>IF(L68="","",IF(K68="GST 10%",ROUND(L68*set_GSTRate,2),0))</f>
        <v/>
      </c>
      <c r="N68" s="27">
        <f>IF(L68="","",L68+M68)</f>
        <v/>
      </c>
      <c r="O68" s="24" t="inlineStr">
        <is>
          <t>42150</t>
        </is>
      </c>
      <c r="P68" s="24" t="inlineStr">
        <is>
          <t>Y</t>
        </is>
      </c>
      <c r="Q68" s="24" t="inlineStr">
        <is>
          <t>N</t>
        </is>
      </c>
      <c r="R68" s="22" t="n"/>
      <c r="S68" s="22" t="n"/>
      <c r="T68" s="24" t="inlineStr">
        <is>
          <t>Invoiced</t>
        </is>
      </c>
      <c r="U68" s="24" t="inlineStr">
        <is>
          <t>Video portion of this invoice</t>
        </is>
      </c>
      <c r="V68" s="25">
        <f>IF(COUNTA(A68,D68,C68,L68)=0,"",IF(A68="","No date - sits outside every month",IF(E68="","No job number",IF(F68="CHECK","Job number is not in the Xero job list",IF(I68="","No cost centre",IF(AND(P68="Y",C68=""),"Marked posted to Xero but has no invoice number",IF(AND(L68&lt;&gt;"",K68=""),"No tax code",IF(AND(L68&lt;&gt;"",O68=""),"No revenue GL code",""))))))))</f>
        <v/>
      </c>
      <c r="W68" s="25">
        <f>IF(E68="","",IFERROR(INDEX(lst_JobName,MATCH(E68&amp;"",lst_Jobs,0)),""))</f>
        <v/>
      </c>
      <c r="X68" s="28">
        <f>IF(E68="","",COUNTIFS(tbl_Finance[Job Number],E68&amp;"",tbl_Finance[Ex GST],"&lt;&gt;"))</f>
        <v/>
      </c>
      <c r="Y68" s="27">
        <f>IF(E68="","",SUMIFS(tbl_Finance[Ex GST],tbl_Finance[Job Number],E68&amp;""))</f>
        <v/>
      </c>
      <c r="Z68" s="27">
        <f>IF(E68="","",SUMIFS(tbl_Finance[Ex GST],tbl_Finance[Job Number],E68&amp;"",tbl_Finance[Xero Invoice No],"&lt;&gt;"))</f>
        <v/>
      </c>
      <c r="AA68" s="27">
        <f>IF(E68="","",Y68-Z68)</f>
        <v/>
      </c>
      <c r="AB68" s="25">
        <f>IF(E68="","",IF(H68="Onsite",IFERROR(INDEX(tbl_Onsite[Qwilr Quote],MATCH(E68&amp;"",tbl_Onsite[Job Number],0)),""),IF(H68="Production",IFERROR(IF(INDEX(tbl_Production[Current RMS No],MATCH(E68&amp;"",tbl_Production[Job Number],0))="",INDEX(tbl_Production[Qwilr Quote],MATCH(E68&amp;"",tbl_Production[Job Number],0)),INDEX(tbl_Production[Current RMS No],MATCH(E68&amp;"",tbl_Production[Job Number],0))),""),IF(H68="Consulting",IFERROR(INDEX(tbl_Consulting[Qwilr Quote],MATCH(E68&amp;"",tbl_Consulting[Job Number],0)),""),""))))</f>
        <v/>
      </c>
      <c r="AC68" s="25">
        <f>IF(AB68="","",IF(AND(LEFT(AB68,4)&lt;&gt;"http",IF(H68="Production",set_RMSBase,set_QwilrBase)=""),"",HYPERLINK(IF(LEFT(AB68,4)="http",AB68,IF(H68="Production",set_RMSBase,set_QwilrBase)&amp;AB68),"Open")))</f>
        <v/>
      </c>
      <c r="AD68" s="27">
        <f>IF(E68="","",IF(H68="Production",IFERROR(INDEX(tbl_Production[Total Expense],MATCH(E68&amp;"",tbl_Production[Job Number],0)),0),IF(H68="Consulting",IFERROR(INDEX(tbl_Consulting[Total Expense],MATCH(E68&amp;"",tbl_Consulting[Job Number],0)),0),0)))</f>
        <v/>
      </c>
      <c r="AE68" s="27">
        <f>IF(E68="","",Y68-N(AD68))</f>
        <v/>
      </c>
      <c r="AF68" s="29">
        <f>IFERROR(AE68/Y68,"")</f>
        <v/>
      </c>
      <c r="AG68" s="25">
        <f>IF(E68="","",IF(H68="Onsite",IFERROR(INDEX(tbl_Onsite[Notes],MATCH(E68&amp;"",tbl_Onsite[Job Number],0)),""),IF(H68="Production",IFERROR(INDEX(tbl_Production[Notes],MATCH(E68&amp;"",tbl_Production[Job Number],0)),""),IF(H68="Consulting",IFERROR(INDEX(tbl_Consulting[Notes],MATCH(E68&amp;"",tbl_Consulting[Job Number],0)),""),""))))</f>
        <v/>
      </c>
    </row>
    <row r="69" ht="15" customHeight="1">
      <c r="A69" s="22" t="n">
        <v>46232</v>
      </c>
      <c r="B69" s="23">
        <f>IF(A69="","",EOMONTH(A69,0))</f>
        <v/>
      </c>
      <c r="C69" s="24" t="inlineStr">
        <is>
          <t>INV-10538</t>
        </is>
      </c>
      <c r="D69" s="24" t="inlineStr">
        <is>
          <t>Optiver</t>
        </is>
      </c>
      <c r="E69" s="24" t="inlineStr">
        <is>
          <t>26041603</t>
        </is>
      </c>
      <c r="F69" s="25">
        <f>IF(E69="","",IF(COUNTIF(lst_Jobs,E69&amp;"")&gt;0,"OK","CHECK"))</f>
        <v/>
      </c>
      <c r="G69" s="24" t="inlineStr">
        <is>
          <t>Mid-Year Town Hall 23.7.26</t>
        </is>
      </c>
      <c r="H69" s="24" t="inlineStr">
        <is>
          <t>Production</t>
        </is>
      </c>
      <c r="I69" s="24" t="inlineStr">
        <is>
          <t>PRODUCTION</t>
        </is>
      </c>
      <c r="J69" s="24" t="inlineStr">
        <is>
          <t>Project</t>
        </is>
      </c>
      <c r="K69" s="24" t="inlineStr">
        <is>
          <t>GST 10%</t>
        </is>
      </c>
      <c r="L69" s="26" t="n">
        <v>745</v>
      </c>
      <c r="M69" s="27">
        <f>IF(L69="","",IF(K69="GST 10%",ROUND(L69*set_GSTRate,2),0))</f>
        <v/>
      </c>
      <c r="N69" s="27">
        <f>IF(L69="","",L69+M69)</f>
        <v/>
      </c>
      <c r="O69" s="24" t="inlineStr">
        <is>
          <t>42100</t>
        </is>
      </c>
      <c r="P69" s="24" t="inlineStr">
        <is>
          <t>Y</t>
        </is>
      </c>
      <c r="Q69" s="24" t="inlineStr">
        <is>
          <t>N</t>
        </is>
      </c>
      <c r="R69" s="22" t="n"/>
      <c r="S69" s="22" t="n"/>
      <c r="T69" s="24" t="inlineStr">
        <is>
          <t>Invoiced</t>
        </is>
      </c>
      <c r="U69" s="24" t="n"/>
      <c r="V69" s="25">
        <f>IF(COUNTA(A69,D69,C69,L69)=0,"",IF(A69="","No date - sits outside every month",IF(E69="","No job number",IF(F69="CHECK","Job number is not in the Xero job list",IF(I69="","No cost centre",IF(AND(P69="Y",C69=""),"Marked posted to Xero but has no invoice number",IF(AND(L69&lt;&gt;"",K69=""),"No tax code",IF(AND(L69&lt;&gt;"",O69=""),"No revenue GL code",""))))))))</f>
        <v/>
      </c>
      <c r="W69" s="25">
        <f>IF(E69="","",IFERROR(INDEX(lst_JobName,MATCH(E69&amp;"",lst_Jobs,0)),""))</f>
        <v/>
      </c>
      <c r="X69" s="28">
        <f>IF(E69="","",COUNTIFS(tbl_Finance[Job Number],E69&amp;"",tbl_Finance[Ex GST],"&lt;&gt;"))</f>
        <v/>
      </c>
      <c r="Y69" s="27">
        <f>IF(E69="","",SUMIFS(tbl_Finance[Ex GST],tbl_Finance[Job Number],E69&amp;""))</f>
        <v/>
      </c>
      <c r="Z69" s="27">
        <f>IF(E69="","",SUMIFS(tbl_Finance[Ex GST],tbl_Finance[Job Number],E69&amp;"",tbl_Finance[Xero Invoice No],"&lt;&gt;"))</f>
        <v/>
      </c>
      <c r="AA69" s="27">
        <f>IF(E69="","",Y69-Z69)</f>
        <v/>
      </c>
      <c r="AB69" s="25">
        <f>IF(E69="","",IF(H69="Onsite",IFERROR(INDEX(tbl_Onsite[Qwilr Quote],MATCH(E69&amp;"",tbl_Onsite[Job Number],0)),""),IF(H69="Production",IFERROR(IF(INDEX(tbl_Production[Current RMS No],MATCH(E69&amp;"",tbl_Production[Job Number],0))="",INDEX(tbl_Production[Qwilr Quote],MATCH(E69&amp;"",tbl_Production[Job Number],0)),INDEX(tbl_Production[Current RMS No],MATCH(E69&amp;"",tbl_Production[Job Number],0))),""),IF(H69="Consulting",IFERROR(INDEX(tbl_Consulting[Qwilr Quote],MATCH(E69&amp;"",tbl_Consulting[Job Number],0)),""),""))))</f>
        <v/>
      </c>
      <c r="AC69" s="25">
        <f>IF(AB69="","",IF(AND(LEFT(AB69,4)&lt;&gt;"http",IF(H69="Production",set_RMSBase,set_QwilrBase)=""),"",HYPERLINK(IF(LEFT(AB69,4)="http",AB69,IF(H69="Production",set_RMSBase,set_QwilrBase)&amp;AB69),"Open")))</f>
        <v/>
      </c>
      <c r="AD69" s="27">
        <f>IF(E69="","",IF(H69="Production",IFERROR(INDEX(tbl_Production[Total Expense],MATCH(E69&amp;"",tbl_Production[Job Number],0)),0),IF(H69="Consulting",IFERROR(INDEX(tbl_Consulting[Total Expense],MATCH(E69&amp;"",tbl_Consulting[Job Number],0)),0),0)))</f>
        <v/>
      </c>
      <c r="AE69" s="27">
        <f>IF(E69="","",Y69-N(AD69))</f>
        <v/>
      </c>
      <c r="AF69" s="29">
        <f>IFERROR(AE69/Y69,"")</f>
        <v/>
      </c>
      <c r="AG69" s="25">
        <f>IF(E69="","",IF(H69="Onsite",IFERROR(INDEX(tbl_Onsite[Notes],MATCH(E69&amp;"",tbl_Onsite[Job Number],0)),""),IF(H69="Production",IFERROR(INDEX(tbl_Production[Notes],MATCH(E69&amp;"",tbl_Production[Job Number],0)),""),IF(H69="Consulting",IFERROR(INDEX(tbl_Consulting[Notes],MATCH(E69&amp;"",tbl_Consulting[Job Number],0)),""),""))))</f>
        <v/>
      </c>
    </row>
    <row r="70" ht="15" customHeight="1">
      <c r="A70" s="22" t="n">
        <v>46234</v>
      </c>
      <c r="B70" s="23">
        <f>IF(A70="","",EOMONTH(A70,0))</f>
        <v/>
      </c>
      <c r="C70" s="24" t="inlineStr">
        <is>
          <t>INV-10540</t>
        </is>
      </c>
      <c r="D70" s="24" t="inlineStr">
        <is>
          <t>Arup</t>
        </is>
      </c>
      <c r="E70" s="24" t="inlineStr">
        <is>
          <t>2605403</t>
        </is>
      </c>
      <c r="F70" s="25">
        <f>IF(E70="","",IF(COUNTIF(lst_Jobs,E70&amp;"")&gt;0,"OK","CHECK"))</f>
        <v/>
      </c>
      <c r="G70" s="24" t="inlineStr">
        <is>
          <t>Oves Awards Night 23.7.26</t>
        </is>
      </c>
      <c r="H70" s="24" t="inlineStr">
        <is>
          <t>Production</t>
        </is>
      </c>
      <c r="I70" s="24" t="inlineStr">
        <is>
          <t>PRODUCTION</t>
        </is>
      </c>
      <c r="J70" s="24" t="inlineStr">
        <is>
          <t>Project</t>
        </is>
      </c>
      <c r="K70" s="24" t="inlineStr">
        <is>
          <t>GST 10%</t>
        </is>
      </c>
      <c r="L70" s="26" t="n">
        <v>5460</v>
      </c>
      <c r="M70" s="27">
        <f>IF(L70="","",IF(K70="GST 10%",ROUND(L70*set_GSTRate,2),0))</f>
        <v/>
      </c>
      <c r="N70" s="27">
        <f>IF(L70="","",L70+M70)</f>
        <v/>
      </c>
      <c r="O70" s="24" t="inlineStr">
        <is>
          <t>42100</t>
        </is>
      </c>
      <c r="P70" s="24" t="inlineStr">
        <is>
          <t>Y</t>
        </is>
      </c>
      <c r="Q70" s="24" t="inlineStr">
        <is>
          <t>N</t>
        </is>
      </c>
      <c r="R70" s="22" t="n"/>
      <c r="S70" s="22" t="n"/>
      <c r="T70" s="24" t="inlineStr">
        <is>
          <t>Invoiced</t>
        </is>
      </c>
      <c r="U70" s="24" t="inlineStr">
        <is>
          <t>Production portion of this invoice</t>
        </is>
      </c>
      <c r="V70" s="25">
        <f>IF(COUNTA(A70,D70,C70,L70)=0,"",IF(A70="","No date - sits outside every month",IF(E70="","No job number",IF(F70="CHECK","Job number is not in the Xero job list",IF(I70="","No cost centre",IF(AND(P70="Y",C70=""),"Marked posted to Xero but has no invoice number",IF(AND(L70&lt;&gt;"",K70=""),"No tax code",IF(AND(L70&lt;&gt;"",O70=""),"No revenue GL code",""))))))))</f>
        <v/>
      </c>
      <c r="W70" s="25">
        <f>IF(E70="","",IFERROR(INDEX(lst_JobName,MATCH(E70&amp;"",lst_Jobs,0)),""))</f>
        <v/>
      </c>
      <c r="X70" s="28">
        <f>IF(E70="","",COUNTIFS(tbl_Finance[Job Number],E70&amp;"",tbl_Finance[Ex GST],"&lt;&gt;"))</f>
        <v/>
      </c>
      <c r="Y70" s="27">
        <f>IF(E70="","",SUMIFS(tbl_Finance[Ex GST],tbl_Finance[Job Number],E70&amp;""))</f>
        <v/>
      </c>
      <c r="Z70" s="27">
        <f>IF(E70="","",SUMIFS(tbl_Finance[Ex GST],tbl_Finance[Job Number],E70&amp;"",tbl_Finance[Xero Invoice No],"&lt;&gt;"))</f>
        <v/>
      </c>
      <c r="AA70" s="27">
        <f>IF(E70="","",Y70-Z70)</f>
        <v/>
      </c>
      <c r="AB70" s="25">
        <f>IF(E70="","",IF(H70="Onsite",IFERROR(INDEX(tbl_Onsite[Qwilr Quote],MATCH(E70&amp;"",tbl_Onsite[Job Number],0)),""),IF(H70="Production",IFERROR(IF(INDEX(tbl_Production[Current RMS No],MATCH(E70&amp;"",tbl_Production[Job Number],0))="",INDEX(tbl_Production[Qwilr Quote],MATCH(E70&amp;"",tbl_Production[Job Number],0)),INDEX(tbl_Production[Current RMS No],MATCH(E70&amp;"",tbl_Production[Job Number],0))),""),IF(H70="Consulting",IFERROR(INDEX(tbl_Consulting[Qwilr Quote],MATCH(E70&amp;"",tbl_Consulting[Job Number],0)),""),""))))</f>
        <v/>
      </c>
      <c r="AC70" s="25">
        <f>IF(AB70="","",IF(AND(LEFT(AB70,4)&lt;&gt;"http",IF(H70="Production",set_RMSBase,set_QwilrBase)=""),"",HYPERLINK(IF(LEFT(AB70,4)="http",AB70,IF(H70="Production",set_RMSBase,set_QwilrBase)&amp;AB70),"Open")))</f>
        <v/>
      </c>
      <c r="AD70" s="27">
        <f>IF(E70="","",IF(H70="Production",IFERROR(INDEX(tbl_Production[Total Expense],MATCH(E70&amp;"",tbl_Production[Job Number],0)),0),IF(H70="Consulting",IFERROR(INDEX(tbl_Consulting[Total Expense],MATCH(E70&amp;"",tbl_Consulting[Job Number],0)),0),0)))</f>
        <v/>
      </c>
      <c r="AE70" s="27">
        <f>IF(E70="","",Y70-N(AD70))</f>
        <v/>
      </c>
      <c r="AF70" s="29">
        <f>IFERROR(AE70/Y70,"")</f>
        <v/>
      </c>
      <c r="AG70" s="25">
        <f>IF(E70="","",IF(H70="Onsite",IFERROR(INDEX(tbl_Onsite[Notes],MATCH(E70&amp;"",tbl_Onsite[Job Number],0)),""),IF(H70="Production",IFERROR(INDEX(tbl_Production[Notes],MATCH(E70&amp;"",tbl_Production[Job Number],0)),""),IF(H70="Consulting",IFERROR(INDEX(tbl_Consulting[Notes],MATCH(E70&amp;"",tbl_Consulting[Job Number],0)),""),""))))</f>
        <v/>
      </c>
    </row>
    <row r="71" ht="15" customHeight="1">
      <c r="A71" s="22" t="n">
        <v>46234</v>
      </c>
      <c r="B71" s="23">
        <f>IF(A71="","",EOMONTH(A71,0))</f>
        <v/>
      </c>
      <c r="C71" s="24" t="inlineStr">
        <is>
          <t>INV-10540</t>
        </is>
      </c>
      <c r="D71" s="24" t="inlineStr">
        <is>
          <t>Arup</t>
        </is>
      </c>
      <c r="E71" s="24" t="inlineStr">
        <is>
          <t>2605403</t>
        </is>
      </c>
      <c r="F71" s="25">
        <f>IF(E71="","",IF(COUNTIF(lst_Jobs,E71&amp;"")&gt;0,"OK","CHECK"))</f>
        <v/>
      </c>
      <c r="G71" s="24" t="inlineStr">
        <is>
          <t>Oves Awards Night 23.7.26</t>
        </is>
      </c>
      <c r="H71" s="24" t="inlineStr">
        <is>
          <t>Production</t>
        </is>
      </c>
      <c r="I71" s="24" t="inlineStr">
        <is>
          <t>VIDEO</t>
        </is>
      </c>
      <c r="J71" s="24" t="inlineStr">
        <is>
          <t>Project</t>
        </is>
      </c>
      <c r="K71" s="24" t="inlineStr">
        <is>
          <t>GST 10%</t>
        </is>
      </c>
      <c r="L71" s="26" t="n">
        <v>176</v>
      </c>
      <c r="M71" s="27">
        <f>IF(L71="","",IF(K71="GST 10%",ROUND(L71*set_GSTRate,2),0))</f>
        <v/>
      </c>
      <c r="N71" s="27">
        <f>IF(L71="","",L71+M71)</f>
        <v/>
      </c>
      <c r="O71" s="24" t="inlineStr">
        <is>
          <t>42150</t>
        </is>
      </c>
      <c r="P71" s="24" t="inlineStr">
        <is>
          <t>Y</t>
        </is>
      </c>
      <c r="Q71" s="24" t="inlineStr">
        <is>
          <t>N</t>
        </is>
      </c>
      <c r="R71" s="22" t="n"/>
      <c r="S71" s="22" t="n"/>
      <c r="T71" s="24" t="inlineStr">
        <is>
          <t>Invoiced</t>
        </is>
      </c>
      <c r="U71" s="24" t="inlineStr">
        <is>
          <t>Video portion of this invoice</t>
        </is>
      </c>
      <c r="V71" s="25">
        <f>IF(COUNTA(A71,D71,C71,L71)=0,"",IF(A71="","No date - sits outside every month",IF(E71="","No job number",IF(F71="CHECK","Job number is not in the Xero job list",IF(I71="","No cost centre",IF(AND(P71="Y",C71=""),"Marked posted to Xero but has no invoice number",IF(AND(L71&lt;&gt;"",K71=""),"No tax code",IF(AND(L71&lt;&gt;"",O71=""),"No revenue GL code",""))))))))</f>
        <v/>
      </c>
      <c r="W71" s="25">
        <f>IF(E71="","",IFERROR(INDEX(lst_JobName,MATCH(E71&amp;"",lst_Jobs,0)),""))</f>
        <v/>
      </c>
      <c r="X71" s="28">
        <f>IF(E71="","",COUNTIFS(tbl_Finance[Job Number],E71&amp;"",tbl_Finance[Ex GST],"&lt;&gt;"))</f>
        <v/>
      </c>
      <c r="Y71" s="27">
        <f>IF(E71="","",SUMIFS(tbl_Finance[Ex GST],tbl_Finance[Job Number],E71&amp;""))</f>
        <v/>
      </c>
      <c r="Z71" s="27">
        <f>IF(E71="","",SUMIFS(tbl_Finance[Ex GST],tbl_Finance[Job Number],E71&amp;"",tbl_Finance[Xero Invoice No],"&lt;&gt;"))</f>
        <v/>
      </c>
      <c r="AA71" s="27">
        <f>IF(E71="","",Y71-Z71)</f>
        <v/>
      </c>
      <c r="AB71" s="25">
        <f>IF(E71="","",IF(H71="Onsite",IFERROR(INDEX(tbl_Onsite[Qwilr Quote],MATCH(E71&amp;"",tbl_Onsite[Job Number],0)),""),IF(H71="Production",IFERROR(IF(INDEX(tbl_Production[Current RMS No],MATCH(E71&amp;"",tbl_Production[Job Number],0))="",INDEX(tbl_Production[Qwilr Quote],MATCH(E71&amp;"",tbl_Production[Job Number],0)),INDEX(tbl_Production[Current RMS No],MATCH(E71&amp;"",tbl_Production[Job Number],0))),""),IF(H71="Consulting",IFERROR(INDEX(tbl_Consulting[Qwilr Quote],MATCH(E71&amp;"",tbl_Consulting[Job Number],0)),""),""))))</f>
        <v/>
      </c>
      <c r="AC71" s="25">
        <f>IF(AB71="","",IF(AND(LEFT(AB71,4)&lt;&gt;"http",IF(H71="Production",set_RMSBase,set_QwilrBase)=""),"",HYPERLINK(IF(LEFT(AB71,4)="http",AB71,IF(H71="Production",set_RMSBase,set_QwilrBase)&amp;AB71),"Open")))</f>
        <v/>
      </c>
      <c r="AD71" s="27">
        <f>IF(E71="","",IF(H71="Production",IFERROR(INDEX(tbl_Production[Total Expense],MATCH(E71&amp;"",tbl_Production[Job Number],0)),0),IF(H71="Consulting",IFERROR(INDEX(tbl_Consulting[Total Expense],MATCH(E71&amp;"",tbl_Consulting[Job Number],0)),0),0)))</f>
        <v/>
      </c>
      <c r="AE71" s="27">
        <f>IF(E71="","",Y71-N(AD71))</f>
        <v/>
      </c>
      <c r="AF71" s="29">
        <f>IFERROR(AE71/Y71,"")</f>
        <v/>
      </c>
      <c r="AG71" s="25">
        <f>IF(E71="","",IF(H71="Onsite",IFERROR(INDEX(tbl_Onsite[Notes],MATCH(E71&amp;"",tbl_Onsite[Job Number],0)),""),IF(H71="Production",IFERROR(INDEX(tbl_Production[Notes],MATCH(E71&amp;"",tbl_Production[Job Number],0)),""),IF(H71="Consulting",IFERROR(INDEX(tbl_Consulting[Notes],MATCH(E71&amp;"",tbl_Consulting[Job Number],0)),""),""))))</f>
        <v/>
      </c>
    </row>
    <row r="72" ht="15" customHeight="1">
      <c r="A72" s="22" t="n">
        <v>46234</v>
      </c>
      <c r="B72" s="23">
        <f>IF(A72="","",EOMONTH(A72,0))</f>
        <v/>
      </c>
      <c r="C72" s="24" t="inlineStr">
        <is>
          <t>INV-10552</t>
        </is>
      </c>
      <c r="D72" s="24" t="inlineStr">
        <is>
          <t>On24</t>
        </is>
      </c>
      <c r="E72" s="24" t="inlineStr">
        <is>
          <t>2607901</t>
        </is>
      </c>
      <c r="F72" s="25">
        <f>IF(E72="","",IF(COUNTIF(lst_Jobs,E72&amp;"")&gt;0,"OK","CHECK"))</f>
        <v/>
      </c>
      <c r="G72" s="24" t="inlineStr">
        <is>
          <t>KWM Event 23.7.26 (PO #25962)</t>
        </is>
      </c>
      <c r="H72" s="24" t="inlineStr">
        <is>
          <t>Production</t>
        </is>
      </c>
      <c r="I72" s="24" t="inlineStr">
        <is>
          <t>PRODUCTION</t>
        </is>
      </c>
      <c r="J72" s="24" t="inlineStr">
        <is>
          <t>Project</t>
        </is>
      </c>
      <c r="K72" s="24" t="inlineStr">
        <is>
          <t>GST 10%</t>
        </is>
      </c>
      <c r="L72" s="26" t="n">
        <v>2575</v>
      </c>
      <c r="M72" s="27">
        <f>IF(L72="","",IF(K72="GST 10%",ROUND(L72*set_GSTRate,2),0))</f>
        <v/>
      </c>
      <c r="N72" s="27">
        <f>IF(L72="","",L72+M72)</f>
        <v/>
      </c>
      <c r="O72" s="24" t="inlineStr">
        <is>
          <t>42100</t>
        </is>
      </c>
      <c r="P72" s="24" t="inlineStr">
        <is>
          <t>Y</t>
        </is>
      </c>
      <c r="Q72" s="24" t="inlineStr">
        <is>
          <t>N</t>
        </is>
      </c>
      <c r="R72" s="22" t="n"/>
      <c r="S72" s="22" t="n"/>
      <c r="T72" s="24" t="inlineStr">
        <is>
          <t>Invoiced</t>
        </is>
      </c>
      <c r="U72" s="24" t="n"/>
      <c r="V72" s="25">
        <f>IF(COUNTA(A72,D72,C72,L72)=0,"",IF(A72="","No date - sits outside every month",IF(E72="","No job number",IF(F72="CHECK","Job number is not in the Xero job list",IF(I72="","No cost centre",IF(AND(P72="Y",C72=""),"Marked posted to Xero but has no invoice number",IF(AND(L72&lt;&gt;"",K72=""),"No tax code",IF(AND(L72&lt;&gt;"",O72=""),"No revenue GL code",""))))))))</f>
        <v/>
      </c>
      <c r="W72" s="25">
        <f>IF(E72="","",IFERROR(INDEX(lst_JobName,MATCH(E72&amp;"",lst_Jobs,0)),""))</f>
        <v/>
      </c>
      <c r="X72" s="28">
        <f>IF(E72="","",COUNTIFS(tbl_Finance[Job Number],E72&amp;"",tbl_Finance[Ex GST],"&lt;&gt;"))</f>
        <v/>
      </c>
      <c r="Y72" s="27">
        <f>IF(E72="","",SUMIFS(tbl_Finance[Ex GST],tbl_Finance[Job Number],E72&amp;""))</f>
        <v/>
      </c>
      <c r="Z72" s="27">
        <f>IF(E72="","",SUMIFS(tbl_Finance[Ex GST],tbl_Finance[Job Number],E72&amp;"",tbl_Finance[Xero Invoice No],"&lt;&gt;"))</f>
        <v/>
      </c>
      <c r="AA72" s="27">
        <f>IF(E72="","",Y72-Z72)</f>
        <v/>
      </c>
      <c r="AB72" s="25">
        <f>IF(E72="","",IF(H72="Onsite",IFERROR(INDEX(tbl_Onsite[Qwilr Quote],MATCH(E72&amp;"",tbl_Onsite[Job Number],0)),""),IF(H72="Production",IFERROR(IF(INDEX(tbl_Production[Current RMS No],MATCH(E72&amp;"",tbl_Production[Job Number],0))="",INDEX(tbl_Production[Qwilr Quote],MATCH(E72&amp;"",tbl_Production[Job Number],0)),INDEX(tbl_Production[Current RMS No],MATCH(E72&amp;"",tbl_Production[Job Number],0))),""),IF(H72="Consulting",IFERROR(INDEX(tbl_Consulting[Qwilr Quote],MATCH(E72&amp;"",tbl_Consulting[Job Number],0)),""),""))))</f>
        <v/>
      </c>
      <c r="AC72" s="25">
        <f>IF(AB72="","",IF(AND(LEFT(AB72,4)&lt;&gt;"http",IF(H72="Production",set_RMSBase,set_QwilrBase)=""),"",HYPERLINK(IF(LEFT(AB72,4)="http",AB72,IF(H72="Production",set_RMSBase,set_QwilrBase)&amp;AB72),"Open")))</f>
        <v/>
      </c>
      <c r="AD72" s="27">
        <f>IF(E72="","",IF(H72="Production",IFERROR(INDEX(tbl_Production[Total Expense],MATCH(E72&amp;"",tbl_Production[Job Number],0)),0),IF(H72="Consulting",IFERROR(INDEX(tbl_Consulting[Total Expense],MATCH(E72&amp;"",tbl_Consulting[Job Number],0)),0),0)))</f>
        <v/>
      </c>
      <c r="AE72" s="27">
        <f>IF(E72="","",Y72-N(AD72))</f>
        <v/>
      </c>
      <c r="AF72" s="29">
        <f>IFERROR(AE72/Y72,"")</f>
        <v/>
      </c>
      <c r="AG72" s="25">
        <f>IF(E72="","",IF(H72="Onsite",IFERROR(INDEX(tbl_Onsite[Notes],MATCH(E72&amp;"",tbl_Onsite[Job Number],0)),""),IF(H72="Production",IFERROR(INDEX(tbl_Production[Notes],MATCH(E72&amp;"",tbl_Production[Job Number],0)),""),IF(H72="Consulting",IFERROR(INDEX(tbl_Consulting[Notes],MATCH(E72&amp;"",tbl_Consulting[Job Number],0)),""),""))))</f>
        <v/>
      </c>
    </row>
    <row r="73" ht="15" customHeight="1">
      <c r="A73" s="22" t="n">
        <v>46223</v>
      </c>
      <c r="B73" s="23">
        <f>IF(A73="","",EOMONTH(A73,0))</f>
        <v/>
      </c>
      <c r="C73" s="24" t="inlineStr">
        <is>
          <t>INV-10533</t>
        </is>
      </c>
      <c r="D73" s="24" t="inlineStr">
        <is>
          <t>Skykick Ranger</t>
        </is>
      </c>
      <c r="E73" s="24" t="inlineStr">
        <is>
          <t>26063001</t>
        </is>
      </c>
      <c r="F73" s="25">
        <f>IF(E73="","",IF(COUNTIF(lst_Jobs,E73&amp;"")&gt;0,"OK","CHECK"))</f>
        <v/>
      </c>
      <c r="G73" s="24" t="inlineStr">
        <is>
          <t>Sydney Performance Dry Hire 26.7.26</t>
        </is>
      </c>
      <c r="H73" s="24" t="inlineStr">
        <is>
          <t>Production</t>
        </is>
      </c>
      <c r="I73" s="24" t="inlineStr">
        <is>
          <t>PRODUCTION</t>
        </is>
      </c>
      <c r="J73" s="24" t="inlineStr">
        <is>
          <t>Project</t>
        </is>
      </c>
      <c r="K73" s="24" t="inlineStr">
        <is>
          <t>GST 10%</t>
        </is>
      </c>
      <c r="L73" s="26" t="n">
        <v>975</v>
      </c>
      <c r="M73" s="27">
        <f>IF(L73="","",IF(K73="GST 10%",ROUND(L73*set_GSTRate,2),0))</f>
        <v/>
      </c>
      <c r="N73" s="27">
        <f>IF(L73="","",L73+M73)</f>
        <v/>
      </c>
      <c r="O73" s="24" t="inlineStr">
        <is>
          <t>42100</t>
        </is>
      </c>
      <c r="P73" s="24" t="inlineStr">
        <is>
          <t>Y</t>
        </is>
      </c>
      <c r="Q73" s="24" t="inlineStr">
        <is>
          <t>N</t>
        </is>
      </c>
      <c r="R73" s="22" t="n"/>
      <c r="S73" s="22" t="n"/>
      <c r="T73" s="24" t="inlineStr">
        <is>
          <t>Invoiced</t>
        </is>
      </c>
      <c r="U73" s="24" t="n"/>
      <c r="V73" s="25">
        <f>IF(COUNTA(A73,D73,C73,L73)=0,"",IF(A73="","No date - sits outside every month",IF(E73="","No job number",IF(F73="CHECK","Job number is not in the Xero job list",IF(I73="","No cost centre",IF(AND(P73="Y",C73=""),"Marked posted to Xero but has no invoice number",IF(AND(L73&lt;&gt;"",K73=""),"No tax code",IF(AND(L73&lt;&gt;"",O73=""),"No revenue GL code",""))))))))</f>
        <v/>
      </c>
      <c r="W73" s="25">
        <f>IF(E73="","",IFERROR(INDEX(lst_JobName,MATCH(E73&amp;"",lst_Jobs,0)),""))</f>
        <v/>
      </c>
      <c r="X73" s="28">
        <f>IF(E73="","",COUNTIFS(tbl_Finance[Job Number],E73&amp;"",tbl_Finance[Ex GST],"&lt;&gt;"))</f>
        <v/>
      </c>
      <c r="Y73" s="27">
        <f>IF(E73="","",SUMIFS(tbl_Finance[Ex GST],tbl_Finance[Job Number],E73&amp;""))</f>
        <v/>
      </c>
      <c r="Z73" s="27">
        <f>IF(E73="","",SUMIFS(tbl_Finance[Ex GST],tbl_Finance[Job Number],E73&amp;"",tbl_Finance[Xero Invoice No],"&lt;&gt;"))</f>
        <v/>
      </c>
      <c r="AA73" s="27">
        <f>IF(E73="","",Y73-Z73)</f>
        <v/>
      </c>
      <c r="AB73" s="25">
        <f>IF(E73="","",IF(H73="Onsite",IFERROR(INDEX(tbl_Onsite[Qwilr Quote],MATCH(E73&amp;"",tbl_Onsite[Job Number],0)),""),IF(H73="Production",IFERROR(IF(INDEX(tbl_Production[Current RMS No],MATCH(E73&amp;"",tbl_Production[Job Number],0))="",INDEX(tbl_Production[Qwilr Quote],MATCH(E73&amp;"",tbl_Production[Job Number],0)),INDEX(tbl_Production[Current RMS No],MATCH(E73&amp;"",tbl_Production[Job Number],0))),""),IF(H73="Consulting",IFERROR(INDEX(tbl_Consulting[Qwilr Quote],MATCH(E73&amp;"",tbl_Consulting[Job Number],0)),""),""))))</f>
        <v/>
      </c>
      <c r="AC73" s="25">
        <f>IF(AB73="","",IF(AND(LEFT(AB73,4)&lt;&gt;"http",IF(H73="Production",set_RMSBase,set_QwilrBase)=""),"",HYPERLINK(IF(LEFT(AB73,4)="http",AB73,IF(H73="Production",set_RMSBase,set_QwilrBase)&amp;AB73),"Open")))</f>
        <v/>
      </c>
      <c r="AD73" s="27">
        <f>IF(E73="","",IF(H73="Production",IFERROR(INDEX(tbl_Production[Total Expense],MATCH(E73&amp;"",tbl_Production[Job Number],0)),0),IF(H73="Consulting",IFERROR(INDEX(tbl_Consulting[Total Expense],MATCH(E73&amp;"",tbl_Consulting[Job Number],0)),0),0)))</f>
        <v/>
      </c>
      <c r="AE73" s="27">
        <f>IF(E73="","",Y73-N(AD73))</f>
        <v/>
      </c>
      <c r="AF73" s="29">
        <f>IFERROR(AE73/Y73,"")</f>
        <v/>
      </c>
      <c r="AG73" s="25">
        <f>IF(E73="","",IF(H73="Onsite",IFERROR(INDEX(tbl_Onsite[Notes],MATCH(E73&amp;"",tbl_Onsite[Job Number],0)),""),IF(H73="Production",IFERROR(INDEX(tbl_Production[Notes],MATCH(E73&amp;"",tbl_Production[Job Number],0)),""),IF(H73="Consulting",IFERROR(INDEX(tbl_Consulting[Notes],MATCH(E73&amp;"",tbl_Consulting[Job Number],0)),""),""))))</f>
        <v/>
      </c>
    </row>
    <row r="74" ht="15" customHeight="1">
      <c r="A74" s="22" t="n">
        <v>46234</v>
      </c>
      <c r="B74" s="23">
        <f>IF(A74="","",EOMONTH(A74,0))</f>
        <v/>
      </c>
      <c r="C74" s="24" t="inlineStr">
        <is>
          <t>INV-10557</t>
        </is>
      </c>
      <c r="D74" s="24" t="inlineStr">
        <is>
          <t>Ventia</t>
        </is>
      </c>
      <c r="E74" s="24" t="inlineStr">
        <is>
          <t>2604202</t>
        </is>
      </c>
      <c r="F74" s="25">
        <f>IF(E74="","",IF(COUNTIF(lst_Jobs,E74&amp;"")&gt;0,"OK","CHECK"))</f>
        <v/>
      </c>
      <c r="G74" s="24" t="inlineStr">
        <is>
          <t>Ventia Awards 28 &amp; 30.7.26 (PO 4701355678)</t>
        </is>
      </c>
      <c r="H74" s="24" t="inlineStr">
        <is>
          <t>Production</t>
        </is>
      </c>
      <c r="I74" s="24" t="inlineStr">
        <is>
          <t>PRODUCTION</t>
        </is>
      </c>
      <c r="J74" s="24" t="inlineStr">
        <is>
          <t>Project</t>
        </is>
      </c>
      <c r="K74" s="24" t="inlineStr">
        <is>
          <t>GST 10%</t>
        </is>
      </c>
      <c r="L74" s="26" t="n">
        <v>52749.78</v>
      </c>
      <c r="M74" s="27">
        <f>IF(L74="","",IF(K74="GST 10%",ROUND(L74*set_GSTRate,2),0))</f>
        <v/>
      </c>
      <c r="N74" s="27">
        <f>IF(L74="","",L74+M74)</f>
        <v/>
      </c>
      <c r="O74" s="24" t="inlineStr">
        <is>
          <t>42100</t>
        </is>
      </c>
      <c r="P74" s="24" t="inlineStr">
        <is>
          <t>Y</t>
        </is>
      </c>
      <c r="Q74" s="24" t="inlineStr">
        <is>
          <t>N</t>
        </is>
      </c>
      <c r="R74" s="22" t="n"/>
      <c r="S74" s="22" t="n"/>
      <c r="T74" s="24" t="inlineStr">
        <is>
          <t>Invoiced</t>
        </is>
      </c>
      <c r="U74" s="24" t="n"/>
      <c r="V74" s="25">
        <f>IF(COUNTA(A74,D74,C74,L74)=0,"",IF(A74="","No date - sits outside every month",IF(E74="","No job number",IF(F74="CHECK","Job number is not in the Xero job list",IF(I74="","No cost centre",IF(AND(P74="Y",C74=""),"Marked posted to Xero but has no invoice number",IF(AND(L74&lt;&gt;"",K74=""),"No tax code",IF(AND(L74&lt;&gt;"",O74=""),"No revenue GL code",""))))))))</f>
        <v/>
      </c>
      <c r="W74" s="25">
        <f>IF(E74="","",IFERROR(INDEX(lst_JobName,MATCH(E74&amp;"",lst_Jobs,0)),""))</f>
        <v/>
      </c>
      <c r="X74" s="28">
        <f>IF(E74="","",COUNTIFS(tbl_Finance[Job Number],E74&amp;"",tbl_Finance[Ex GST],"&lt;&gt;"))</f>
        <v/>
      </c>
      <c r="Y74" s="27">
        <f>IF(E74="","",SUMIFS(tbl_Finance[Ex GST],tbl_Finance[Job Number],E74&amp;""))</f>
        <v/>
      </c>
      <c r="Z74" s="27">
        <f>IF(E74="","",SUMIFS(tbl_Finance[Ex GST],tbl_Finance[Job Number],E74&amp;"",tbl_Finance[Xero Invoice No],"&lt;&gt;"))</f>
        <v/>
      </c>
      <c r="AA74" s="27">
        <f>IF(E74="","",Y74-Z74)</f>
        <v/>
      </c>
      <c r="AB74" s="25">
        <f>IF(E74="","",IF(H74="Onsite",IFERROR(INDEX(tbl_Onsite[Qwilr Quote],MATCH(E74&amp;"",tbl_Onsite[Job Number],0)),""),IF(H74="Production",IFERROR(IF(INDEX(tbl_Production[Current RMS No],MATCH(E74&amp;"",tbl_Production[Job Number],0))="",INDEX(tbl_Production[Qwilr Quote],MATCH(E74&amp;"",tbl_Production[Job Number],0)),INDEX(tbl_Production[Current RMS No],MATCH(E74&amp;"",tbl_Production[Job Number],0))),""),IF(H74="Consulting",IFERROR(INDEX(tbl_Consulting[Qwilr Quote],MATCH(E74&amp;"",tbl_Consulting[Job Number],0)),""),""))))</f>
        <v/>
      </c>
      <c r="AC74" s="25">
        <f>IF(AB74="","",IF(AND(LEFT(AB74,4)&lt;&gt;"http",IF(H74="Production",set_RMSBase,set_QwilrBase)=""),"",HYPERLINK(IF(LEFT(AB74,4)="http",AB74,IF(H74="Production",set_RMSBase,set_QwilrBase)&amp;AB74),"Open")))</f>
        <v/>
      </c>
      <c r="AD74" s="27">
        <f>IF(E74="","",IF(H74="Production",IFERROR(INDEX(tbl_Production[Total Expense],MATCH(E74&amp;"",tbl_Production[Job Number],0)),0),IF(H74="Consulting",IFERROR(INDEX(tbl_Consulting[Total Expense],MATCH(E74&amp;"",tbl_Consulting[Job Number],0)),0),0)))</f>
        <v/>
      </c>
      <c r="AE74" s="27">
        <f>IF(E74="","",Y74-N(AD74))</f>
        <v/>
      </c>
      <c r="AF74" s="29">
        <f>IFERROR(AE74/Y74,"")</f>
        <v/>
      </c>
      <c r="AG74" s="25">
        <f>IF(E74="","",IF(H74="Onsite",IFERROR(INDEX(tbl_Onsite[Notes],MATCH(E74&amp;"",tbl_Onsite[Job Number],0)),""),IF(H74="Production",IFERROR(INDEX(tbl_Production[Notes],MATCH(E74&amp;"",tbl_Production[Job Number],0)),""),IF(H74="Consulting",IFERROR(INDEX(tbl_Consulting[Notes],MATCH(E74&amp;"",tbl_Consulting[Job Number],0)),""),""))))</f>
        <v/>
      </c>
    </row>
    <row r="75" ht="15" customHeight="1">
      <c r="A75" s="22" t="n">
        <v>46234</v>
      </c>
      <c r="B75" s="23">
        <f>IF(A75="","",EOMONTH(A75,0))</f>
        <v/>
      </c>
      <c r="C75" s="24" t="inlineStr">
        <is>
          <t>INV-10555</t>
        </is>
      </c>
      <c r="D75" s="24" t="inlineStr">
        <is>
          <t>PWC</t>
        </is>
      </c>
      <c r="E75" s="24" t="inlineStr">
        <is>
          <t>26062202</t>
        </is>
      </c>
      <c r="F75" s="25">
        <f>IF(E75="","",IF(COUNTIF(lst_Jobs,E75&amp;"")&gt;0,"OK","CHECK"))</f>
        <v/>
      </c>
      <c r="G75" s="24" t="inlineStr">
        <is>
          <t>Early Careers Webcast 29.7.26</t>
        </is>
      </c>
      <c r="H75" s="24" t="inlineStr">
        <is>
          <t>Production</t>
        </is>
      </c>
      <c r="I75" s="24" t="inlineStr">
        <is>
          <t>PRODUCTION</t>
        </is>
      </c>
      <c r="J75" s="24" t="inlineStr">
        <is>
          <t>Project</t>
        </is>
      </c>
      <c r="K75" s="24" t="inlineStr">
        <is>
          <t>GST 10%</t>
        </is>
      </c>
      <c r="L75" s="26" t="n">
        <v>1925</v>
      </c>
      <c r="M75" s="27">
        <f>IF(L75="","",IF(K75="GST 10%",ROUND(L75*set_GSTRate,2),0))</f>
        <v/>
      </c>
      <c r="N75" s="27">
        <f>IF(L75="","",L75+M75)</f>
        <v/>
      </c>
      <c r="O75" s="24" t="inlineStr">
        <is>
          <t>42100</t>
        </is>
      </c>
      <c r="P75" s="24" t="inlineStr">
        <is>
          <t>Y</t>
        </is>
      </c>
      <c r="Q75" s="24" t="inlineStr">
        <is>
          <t>N</t>
        </is>
      </c>
      <c r="R75" s="22" t="n"/>
      <c r="S75" s="22" t="n"/>
      <c r="T75" s="24" t="inlineStr">
        <is>
          <t>Invoiced</t>
        </is>
      </c>
      <c r="U75" s="24" t="n"/>
      <c r="V75" s="25">
        <f>IF(COUNTA(A75,D75,C75,L75)=0,"",IF(A75="","No date - sits outside every month",IF(E75="","No job number",IF(F75="CHECK","Job number is not in the Xero job list",IF(I75="","No cost centre",IF(AND(P75="Y",C75=""),"Marked posted to Xero but has no invoice number",IF(AND(L75&lt;&gt;"",K75=""),"No tax code",IF(AND(L75&lt;&gt;"",O75=""),"No revenue GL code",""))))))))</f>
        <v/>
      </c>
      <c r="W75" s="25">
        <f>IF(E75="","",IFERROR(INDEX(lst_JobName,MATCH(E75&amp;"",lst_Jobs,0)),""))</f>
        <v/>
      </c>
      <c r="X75" s="28">
        <f>IF(E75="","",COUNTIFS(tbl_Finance[Job Number],E75&amp;"",tbl_Finance[Ex GST],"&lt;&gt;"))</f>
        <v/>
      </c>
      <c r="Y75" s="27">
        <f>IF(E75="","",SUMIFS(tbl_Finance[Ex GST],tbl_Finance[Job Number],E75&amp;""))</f>
        <v/>
      </c>
      <c r="Z75" s="27">
        <f>IF(E75="","",SUMIFS(tbl_Finance[Ex GST],tbl_Finance[Job Number],E75&amp;"",tbl_Finance[Xero Invoice No],"&lt;&gt;"))</f>
        <v/>
      </c>
      <c r="AA75" s="27">
        <f>IF(E75="","",Y75-Z75)</f>
        <v/>
      </c>
      <c r="AB75" s="25">
        <f>IF(E75="","",IF(H75="Onsite",IFERROR(INDEX(tbl_Onsite[Qwilr Quote],MATCH(E75&amp;"",tbl_Onsite[Job Number],0)),""),IF(H75="Production",IFERROR(IF(INDEX(tbl_Production[Current RMS No],MATCH(E75&amp;"",tbl_Production[Job Number],0))="",INDEX(tbl_Production[Qwilr Quote],MATCH(E75&amp;"",tbl_Production[Job Number],0)),INDEX(tbl_Production[Current RMS No],MATCH(E75&amp;"",tbl_Production[Job Number],0))),""),IF(H75="Consulting",IFERROR(INDEX(tbl_Consulting[Qwilr Quote],MATCH(E75&amp;"",tbl_Consulting[Job Number],0)),""),""))))</f>
        <v/>
      </c>
      <c r="AC75" s="25">
        <f>IF(AB75="","",IF(AND(LEFT(AB75,4)&lt;&gt;"http",IF(H75="Production",set_RMSBase,set_QwilrBase)=""),"",HYPERLINK(IF(LEFT(AB75,4)="http",AB75,IF(H75="Production",set_RMSBase,set_QwilrBase)&amp;AB75),"Open")))</f>
        <v/>
      </c>
      <c r="AD75" s="27">
        <f>IF(E75="","",IF(H75="Production",IFERROR(INDEX(tbl_Production[Total Expense],MATCH(E75&amp;"",tbl_Production[Job Number],0)),0),IF(H75="Consulting",IFERROR(INDEX(tbl_Consulting[Total Expense],MATCH(E75&amp;"",tbl_Consulting[Job Number],0)),0),0)))</f>
        <v/>
      </c>
      <c r="AE75" s="27">
        <f>IF(E75="","",Y75-N(AD75))</f>
        <v/>
      </c>
      <c r="AF75" s="29">
        <f>IFERROR(AE75/Y75,"")</f>
        <v/>
      </c>
      <c r="AG75" s="25">
        <f>IF(E75="","",IF(H75="Onsite",IFERROR(INDEX(tbl_Onsite[Notes],MATCH(E75&amp;"",tbl_Onsite[Job Number],0)),""),IF(H75="Production",IFERROR(INDEX(tbl_Production[Notes],MATCH(E75&amp;"",tbl_Production[Job Number],0)),""),IF(H75="Consulting",IFERROR(INDEX(tbl_Consulting[Notes],MATCH(E75&amp;"",tbl_Consulting[Job Number],0)),""),""))))</f>
        <v/>
      </c>
    </row>
    <row r="76" ht="15" customHeight="1">
      <c r="A76" s="22" t="n">
        <v>46234</v>
      </c>
      <c r="B76" s="23">
        <f>IF(A76="","",EOMONTH(A76,0))</f>
        <v/>
      </c>
      <c r="C76" s="24" t="inlineStr">
        <is>
          <t>INV-10558</t>
        </is>
      </c>
      <c r="D76" s="24" t="inlineStr">
        <is>
          <t>Ventia (Melbourne)</t>
        </is>
      </c>
      <c r="E76" s="24" t="inlineStr">
        <is>
          <t>26071303</t>
        </is>
      </c>
      <c r="F76" s="25">
        <f>IF(E76="","",IF(COUNTIF(lst_Jobs,E76&amp;"")&gt;0,"OK","CHECK"))</f>
        <v/>
      </c>
      <c r="G76" s="24" t="inlineStr">
        <is>
          <t>Melbourne Office Event 30&amp;31.7.26</t>
        </is>
      </c>
      <c r="H76" s="24" t="inlineStr">
        <is>
          <t>Production</t>
        </is>
      </c>
      <c r="I76" s="24" t="inlineStr">
        <is>
          <t>PRODUCTION</t>
        </is>
      </c>
      <c r="J76" s="24" t="inlineStr">
        <is>
          <t>Project</t>
        </is>
      </c>
      <c r="K76" s="24" t="inlineStr">
        <is>
          <t>GST 10%</t>
        </is>
      </c>
      <c r="L76" s="26" t="n">
        <v>11570</v>
      </c>
      <c r="M76" s="27">
        <f>IF(L76="","",IF(K76="GST 10%",ROUND(L76*set_GSTRate,2),0))</f>
        <v/>
      </c>
      <c r="N76" s="27">
        <f>IF(L76="","",L76+M76)</f>
        <v/>
      </c>
      <c r="O76" s="24" t="inlineStr">
        <is>
          <t>42100</t>
        </is>
      </c>
      <c r="P76" s="24" t="inlineStr">
        <is>
          <t>Y</t>
        </is>
      </c>
      <c r="Q76" s="24" t="inlineStr">
        <is>
          <t>N</t>
        </is>
      </c>
      <c r="R76" s="22" t="n"/>
      <c r="S76" s="22" t="n"/>
      <c r="T76" s="24" t="inlineStr">
        <is>
          <t>Invoiced</t>
        </is>
      </c>
      <c r="U76" s="24" t="n"/>
      <c r="V76" s="25">
        <f>IF(COUNTA(A76,D76,C76,L76)=0,"",IF(A76="","No date - sits outside every month",IF(E76="","No job number",IF(F76="CHECK","Job number is not in the Xero job list",IF(I76="","No cost centre",IF(AND(P76="Y",C76=""),"Marked posted to Xero but has no invoice number",IF(AND(L76&lt;&gt;"",K76=""),"No tax code",IF(AND(L76&lt;&gt;"",O76=""),"No revenue GL code",""))))))))</f>
        <v/>
      </c>
      <c r="W76" s="25">
        <f>IF(E76="","",IFERROR(INDEX(lst_JobName,MATCH(E76&amp;"",lst_Jobs,0)),""))</f>
        <v/>
      </c>
      <c r="X76" s="28">
        <f>IF(E76="","",COUNTIFS(tbl_Finance[Job Number],E76&amp;"",tbl_Finance[Ex GST],"&lt;&gt;"))</f>
        <v/>
      </c>
      <c r="Y76" s="27">
        <f>IF(E76="","",SUMIFS(tbl_Finance[Ex GST],tbl_Finance[Job Number],E76&amp;""))</f>
        <v/>
      </c>
      <c r="Z76" s="27">
        <f>IF(E76="","",SUMIFS(tbl_Finance[Ex GST],tbl_Finance[Job Number],E76&amp;"",tbl_Finance[Xero Invoice No],"&lt;&gt;"))</f>
        <v/>
      </c>
      <c r="AA76" s="27">
        <f>IF(E76="","",Y76-Z76)</f>
        <v/>
      </c>
      <c r="AB76" s="25">
        <f>IF(E76="","",IF(H76="Onsite",IFERROR(INDEX(tbl_Onsite[Qwilr Quote],MATCH(E76&amp;"",tbl_Onsite[Job Number],0)),""),IF(H76="Production",IFERROR(IF(INDEX(tbl_Production[Current RMS No],MATCH(E76&amp;"",tbl_Production[Job Number],0))="",INDEX(tbl_Production[Qwilr Quote],MATCH(E76&amp;"",tbl_Production[Job Number],0)),INDEX(tbl_Production[Current RMS No],MATCH(E76&amp;"",tbl_Production[Job Number],0))),""),IF(H76="Consulting",IFERROR(INDEX(tbl_Consulting[Qwilr Quote],MATCH(E76&amp;"",tbl_Consulting[Job Number],0)),""),""))))</f>
        <v/>
      </c>
      <c r="AC76" s="25">
        <f>IF(AB76="","",IF(AND(LEFT(AB76,4)&lt;&gt;"http",IF(H76="Production",set_RMSBase,set_QwilrBase)=""),"",HYPERLINK(IF(LEFT(AB76,4)="http",AB76,IF(H76="Production",set_RMSBase,set_QwilrBase)&amp;AB76),"Open")))</f>
        <v/>
      </c>
      <c r="AD76" s="27">
        <f>IF(E76="","",IF(H76="Production",IFERROR(INDEX(tbl_Production[Total Expense],MATCH(E76&amp;"",tbl_Production[Job Number],0)),0),IF(H76="Consulting",IFERROR(INDEX(tbl_Consulting[Total Expense],MATCH(E76&amp;"",tbl_Consulting[Job Number],0)),0),0)))</f>
        <v/>
      </c>
      <c r="AE76" s="27">
        <f>IF(E76="","",Y76-N(AD76))</f>
        <v/>
      </c>
      <c r="AF76" s="29">
        <f>IFERROR(AE76/Y76,"")</f>
        <v/>
      </c>
      <c r="AG76" s="25">
        <f>IF(E76="","",IF(H76="Onsite",IFERROR(INDEX(tbl_Onsite[Notes],MATCH(E76&amp;"",tbl_Onsite[Job Number],0)),""),IF(H76="Production",IFERROR(INDEX(tbl_Production[Notes],MATCH(E76&amp;"",tbl_Production[Job Number],0)),""),IF(H76="Consulting",IFERROR(INDEX(tbl_Consulting[Notes],MATCH(E76&amp;"",tbl_Consulting[Job Number],0)),""),""))))</f>
        <v/>
      </c>
    </row>
    <row r="77" ht="15" customHeight="1">
      <c r="A77" s="22" t="n">
        <v>46234</v>
      </c>
      <c r="B77" s="23">
        <f>IF(A77="","",EOMONTH(A77,0))</f>
        <v/>
      </c>
      <c r="C77" s="24" t="inlineStr">
        <is>
          <t>INV-10556</t>
        </is>
      </c>
      <c r="D77" s="24" t="inlineStr">
        <is>
          <t>Garvan</t>
        </is>
      </c>
      <c r="E77" s="24" t="inlineStr">
        <is>
          <t>26061702</t>
        </is>
      </c>
      <c r="F77" s="25">
        <f>IF(E77="","",IF(COUNTIF(lst_Jobs,E77&amp;"")&gt;0,"OK","CHECK"))</f>
        <v/>
      </c>
      <c r="G77" s="24" t="inlineStr">
        <is>
          <t>Morning Tea Event 31.7.26 (PO-58817)</t>
        </is>
      </c>
      <c r="H77" s="24" t="inlineStr">
        <is>
          <t>Production</t>
        </is>
      </c>
      <c r="I77" s="24" t="inlineStr">
        <is>
          <t>PRODUCTION</t>
        </is>
      </c>
      <c r="J77" s="24" t="inlineStr">
        <is>
          <t>Project</t>
        </is>
      </c>
      <c r="K77" s="24" t="inlineStr">
        <is>
          <t>GST 10%</t>
        </is>
      </c>
      <c r="L77" s="26" t="n">
        <v>1120</v>
      </c>
      <c r="M77" s="27">
        <f>IF(L77="","",IF(K77="GST 10%",ROUND(L77*set_GSTRate,2),0))</f>
        <v/>
      </c>
      <c r="N77" s="27">
        <f>IF(L77="","",L77+M77)</f>
        <v/>
      </c>
      <c r="O77" s="24" t="inlineStr">
        <is>
          <t>42100</t>
        </is>
      </c>
      <c r="P77" s="24" t="inlineStr">
        <is>
          <t>Y</t>
        </is>
      </c>
      <c r="Q77" s="24" t="inlineStr">
        <is>
          <t>N</t>
        </is>
      </c>
      <c r="R77" s="22" t="n"/>
      <c r="S77" s="22" t="n"/>
      <c r="T77" s="24" t="inlineStr">
        <is>
          <t>Invoiced</t>
        </is>
      </c>
      <c r="U77" s="24" t="n"/>
      <c r="V77" s="25">
        <f>IF(COUNTA(A77,D77,C77,L77)=0,"",IF(A77="","No date - sits outside every month",IF(E77="","No job number",IF(F77="CHECK","Job number is not in the Xero job list",IF(I77="","No cost centre",IF(AND(P77="Y",C77=""),"Marked posted to Xero but has no invoice number",IF(AND(L77&lt;&gt;"",K77=""),"No tax code",IF(AND(L77&lt;&gt;"",O77=""),"No revenue GL code",""))))))))</f>
        <v/>
      </c>
      <c r="W77" s="25">
        <f>IF(E77="","",IFERROR(INDEX(lst_JobName,MATCH(E77&amp;"",lst_Jobs,0)),""))</f>
        <v/>
      </c>
      <c r="X77" s="28">
        <f>IF(E77="","",COUNTIFS(tbl_Finance[Job Number],E77&amp;"",tbl_Finance[Ex GST],"&lt;&gt;"))</f>
        <v/>
      </c>
      <c r="Y77" s="27">
        <f>IF(E77="","",SUMIFS(tbl_Finance[Ex GST],tbl_Finance[Job Number],E77&amp;""))</f>
        <v/>
      </c>
      <c r="Z77" s="27">
        <f>IF(E77="","",SUMIFS(tbl_Finance[Ex GST],tbl_Finance[Job Number],E77&amp;"",tbl_Finance[Xero Invoice No],"&lt;&gt;"))</f>
        <v/>
      </c>
      <c r="AA77" s="27">
        <f>IF(E77="","",Y77-Z77)</f>
        <v/>
      </c>
      <c r="AB77" s="25">
        <f>IF(E77="","",IF(H77="Onsite",IFERROR(INDEX(tbl_Onsite[Qwilr Quote],MATCH(E77&amp;"",tbl_Onsite[Job Number],0)),""),IF(H77="Production",IFERROR(IF(INDEX(tbl_Production[Current RMS No],MATCH(E77&amp;"",tbl_Production[Job Number],0))="",INDEX(tbl_Production[Qwilr Quote],MATCH(E77&amp;"",tbl_Production[Job Number],0)),INDEX(tbl_Production[Current RMS No],MATCH(E77&amp;"",tbl_Production[Job Number],0))),""),IF(H77="Consulting",IFERROR(INDEX(tbl_Consulting[Qwilr Quote],MATCH(E77&amp;"",tbl_Consulting[Job Number],0)),""),""))))</f>
        <v/>
      </c>
      <c r="AC77" s="25">
        <f>IF(AB77="","",IF(AND(LEFT(AB77,4)&lt;&gt;"http",IF(H77="Production",set_RMSBase,set_QwilrBase)=""),"",HYPERLINK(IF(LEFT(AB77,4)="http",AB77,IF(H77="Production",set_RMSBase,set_QwilrBase)&amp;AB77),"Open")))</f>
        <v/>
      </c>
      <c r="AD77" s="27">
        <f>IF(E77="","",IF(H77="Production",IFERROR(INDEX(tbl_Production[Total Expense],MATCH(E77&amp;"",tbl_Production[Job Number],0)),0),IF(H77="Consulting",IFERROR(INDEX(tbl_Consulting[Total Expense],MATCH(E77&amp;"",tbl_Consulting[Job Number],0)),0),0)))</f>
        <v/>
      </c>
      <c r="AE77" s="27">
        <f>IF(E77="","",Y77-N(AD77))</f>
        <v/>
      </c>
      <c r="AF77" s="29">
        <f>IFERROR(AE77/Y77,"")</f>
        <v/>
      </c>
      <c r="AG77" s="25">
        <f>IF(E77="","",IF(H77="Onsite",IFERROR(INDEX(tbl_Onsite[Notes],MATCH(E77&amp;"",tbl_Onsite[Job Number],0)),""),IF(H77="Production",IFERROR(INDEX(tbl_Production[Notes],MATCH(E77&amp;"",tbl_Production[Job Number],0)),""),IF(H77="Consulting",IFERROR(INDEX(tbl_Consulting[Notes],MATCH(E77&amp;"",tbl_Consulting[Job Number],0)),""),""))))</f>
        <v/>
      </c>
    </row>
    <row r="78" ht="15" customHeight="1">
      <c r="A78" s="22" t="n">
        <v>46234</v>
      </c>
      <c r="B78" s="23">
        <f>IF(A78="","",EOMONTH(A78,0))</f>
        <v/>
      </c>
      <c r="C78" s="24" t="inlineStr">
        <is>
          <t>INV-10559</t>
        </is>
      </c>
      <c r="D78" s="24" t="inlineStr">
        <is>
          <t>CBA</t>
        </is>
      </c>
      <c r="E78" s="24" t="inlineStr">
        <is>
          <t>26061701</t>
        </is>
      </c>
      <c r="F78" s="25">
        <f>IF(E78="","",IF(COUNTIF(lst_Jobs,E78&amp;"")&gt;0,"OK","CHECK"))</f>
        <v/>
      </c>
      <c r="G78" s="24" t="inlineStr">
        <is>
          <t>CBA LES July 2026</t>
        </is>
      </c>
      <c r="H78" s="24" t="inlineStr">
        <is>
          <t>Production</t>
        </is>
      </c>
      <c r="I78" s="24" t="inlineStr">
        <is>
          <t>PRODUCTION</t>
        </is>
      </c>
      <c r="J78" s="24" t="inlineStr">
        <is>
          <t>Project</t>
        </is>
      </c>
      <c r="K78" s="24" t="inlineStr">
        <is>
          <t>GST 10%</t>
        </is>
      </c>
      <c r="L78" s="26" t="n">
        <v>8550</v>
      </c>
      <c r="M78" s="27">
        <f>IF(L78="","",IF(K78="GST 10%",ROUND(L78*set_GSTRate,2),0))</f>
        <v/>
      </c>
      <c r="N78" s="27">
        <f>IF(L78="","",L78+M78)</f>
        <v/>
      </c>
      <c r="O78" s="24" t="inlineStr">
        <is>
          <t>42100</t>
        </is>
      </c>
      <c r="P78" s="24" t="inlineStr">
        <is>
          <t>Y</t>
        </is>
      </c>
      <c r="Q78" s="24" t="inlineStr">
        <is>
          <t>N</t>
        </is>
      </c>
      <c r="R78" s="22" t="n"/>
      <c r="S78" s="22" t="n"/>
      <c r="T78" s="24" t="inlineStr">
        <is>
          <t>Invoiced</t>
        </is>
      </c>
      <c r="U78" s="24" t="n"/>
      <c r="V78" s="25">
        <f>IF(COUNTA(A78,D78,C78,L78)=0,"",IF(A78="","No date - sits outside every month",IF(E78="","No job number",IF(F78="CHECK","Job number is not in the Xero job list",IF(I78="","No cost centre",IF(AND(P78="Y",C78=""),"Marked posted to Xero but has no invoice number",IF(AND(L78&lt;&gt;"",K78=""),"No tax code",IF(AND(L78&lt;&gt;"",O78=""),"No revenue GL code",""))))))))</f>
        <v/>
      </c>
      <c r="W78" s="25">
        <f>IF(E78="","",IFERROR(INDEX(lst_JobName,MATCH(E78&amp;"",lst_Jobs,0)),""))</f>
        <v/>
      </c>
      <c r="X78" s="28">
        <f>IF(E78="","",COUNTIFS(tbl_Finance[Job Number],E78&amp;"",tbl_Finance[Ex GST],"&lt;&gt;"))</f>
        <v/>
      </c>
      <c r="Y78" s="27">
        <f>IF(E78="","",SUMIFS(tbl_Finance[Ex GST],tbl_Finance[Job Number],E78&amp;""))</f>
        <v/>
      </c>
      <c r="Z78" s="27">
        <f>IF(E78="","",SUMIFS(tbl_Finance[Ex GST],tbl_Finance[Job Number],E78&amp;"",tbl_Finance[Xero Invoice No],"&lt;&gt;"))</f>
        <v/>
      </c>
      <c r="AA78" s="27">
        <f>IF(E78="","",Y78-Z78)</f>
        <v/>
      </c>
      <c r="AB78" s="25">
        <f>IF(E78="","",IF(H78="Onsite",IFERROR(INDEX(tbl_Onsite[Qwilr Quote],MATCH(E78&amp;"",tbl_Onsite[Job Number],0)),""),IF(H78="Production",IFERROR(IF(INDEX(tbl_Production[Current RMS No],MATCH(E78&amp;"",tbl_Production[Job Number],0))="",INDEX(tbl_Production[Qwilr Quote],MATCH(E78&amp;"",tbl_Production[Job Number],0)),INDEX(tbl_Production[Current RMS No],MATCH(E78&amp;"",tbl_Production[Job Number],0))),""),IF(H78="Consulting",IFERROR(INDEX(tbl_Consulting[Qwilr Quote],MATCH(E78&amp;"",tbl_Consulting[Job Number],0)),""),""))))</f>
        <v/>
      </c>
      <c r="AC78" s="25">
        <f>IF(AB78="","",IF(AND(LEFT(AB78,4)&lt;&gt;"http",IF(H78="Production",set_RMSBase,set_QwilrBase)=""),"",HYPERLINK(IF(LEFT(AB78,4)="http",AB78,IF(H78="Production",set_RMSBase,set_QwilrBase)&amp;AB78),"Open")))</f>
        <v/>
      </c>
      <c r="AD78" s="27">
        <f>IF(E78="","",IF(H78="Production",IFERROR(INDEX(tbl_Production[Total Expense],MATCH(E78&amp;"",tbl_Production[Job Number],0)),0),IF(H78="Consulting",IFERROR(INDEX(tbl_Consulting[Total Expense],MATCH(E78&amp;"",tbl_Consulting[Job Number],0)),0),0)))</f>
        <v/>
      </c>
      <c r="AE78" s="27">
        <f>IF(E78="","",Y78-N(AD78))</f>
        <v/>
      </c>
      <c r="AF78" s="29">
        <f>IFERROR(AE78/Y78,"")</f>
        <v/>
      </c>
      <c r="AG78" s="25">
        <f>IF(E78="","",IF(H78="Onsite",IFERROR(INDEX(tbl_Onsite[Notes],MATCH(E78&amp;"",tbl_Onsite[Job Number],0)),""),IF(H78="Production",IFERROR(INDEX(tbl_Production[Notes],MATCH(E78&amp;"",tbl_Production[Job Number],0)),""),IF(H78="Consulting",IFERROR(INDEX(tbl_Consulting[Notes],MATCH(E78&amp;"",tbl_Consulting[Job Number],0)),""),""))))</f>
        <v/>
      </c>
    </row>
    <row r="79" ht="15" customHeight="1">
      <c r="A79" s="22" t="n">
        <v>46247</v>
      </c>
      <c r="B79" s="23">
        <f>IF(A79="","",EOMONTH(A79,0))</f>
        <v/>
      </c>
      <c r="C79" s="24" t="inlineStr">
        <is>
          <t>CN-10563</t>
        </is>
      </c>
      <c r="D79" s="24" t="inlineStr">
        <is>
          <t>CBA</t>
        </is>
      </c>
      <c r="E79" s="24" t="inlineStr">
        <is>
          <t>26061701</t>
        </is>
      </c>
      <c r="F79" s="25">
        <f>IF(E79="","",IF(COUNTIF(lst_Jobs,E79&amp;"")&gt;0,"OK","CHECK"))</f>
        <v/>
      </c>
      <c r="G79" s="24" t="inlineStr">
        <is>
          <t>CBA LES July 2026 Loading Reversal</t>
        </is>
      </c>
      <c r="H79" s="24" t="inlineStr">
        <is>
          <t>Production</t>
        </is>
      </c>
      <c r="I79" s="24" t="inlineStr">
        <is>
          <t>PRODUCTION</t>
        </is>
      </c>
      <c r="J79" s="24" t="inlineStr">
        <is>
          <t>Project</t>
        </is>
      </c>
      <c r="K79" s="24" t="inlineStr">
        <is>
          <t>GST 10%</t>
        </is>
      </c>
      <c r="L79" s="26" t="n">
        <v>-332.5</v>
      </c>
      <c r="M79" s="27">
        <f>IF(L79="","",IF(K79="GST 10%",ROUND(L79*set_GSTRate,2),0))</f>
        <v/>
      </c>
      <c r="N79" s="27">
        <f>IF(L79="","",L79+M79)</f>
        <v/>
      </c>
      <c r="O79" s="24" t="inlineStr">
        <is>
          <t>42100</t>
        </is>
      </c>
      <c r="P79" s="24" t="inlineStr">
        <is>
          <t>Y</t>
        </is>
      </c>
      <c r="Q79" s="24" t="inlineStr">
        <is>
          <t>N</t>
        </is>
      </c>
      <c r="R79" s="22" t="n"/>
      <c r="S79" s="22" t="n"/>
      <c r="T79" s="24" t="inlineStr">
        <is>
          <t>Invoiced</t>
        </is>
      </c>
      <c r="U79" s="24" t="n"/>
      <c r="V79" s="25">
        <f>IF(COUNTA(A79,D79,C79,L79)=0,"",IF(A79="","No date - sits outside every month",IF(E79="","No job number",IF(F79="CHECK","Job number is not in the Xero job list",IF(I79="","No cost centre",IF(AND(P79="Y",C79=""),"Marked posted to Xero but has no invoice number",IF(AND(L79&lt;&gt;"",K79=""),"No tax code",IF(AND(L79&lt;&gt;"",O79=""),"No revenue GL code",""))))))))</f>
        <v/>
      </c>
      <c r="W79" s="25">
        <f>IF(E79="","",IFERROR(INDEX(lst_JobName,MATCH(E79&amp;"",lst_Jobs,0)),""))</f>
        <v/>
      </c>
      <c r="X79" s="28">
        <f>IF(E79="","",COUNTIFS(tbl_Finance[Job Number],E79&amp;"",tbl_Finance[Ex GST],"&lt;&gt;"))</f>
        <v/>
      </c>
      <c r="Y79" s="27">
        <f>IF(E79="","",SUMIFS(tbl_Finance[Ex GST],tbl_Finance[Job Number],E79&amp;""))</f>
        <v/>
      </c>
      <c r="Z79" s="27">
        <f>IF(E79="","",SUMIFS(tbl_Finance[Ex GST],tbl_Finance[Job Number],E79&amp;"",tbl_Finance[Xero Invoice No],"&lt;&gt;"))</f>
        <v/>
      </c>
      <c r="AA79" s="27">
        <f>IF(E79="","",Y79-Z79)</f>
        <v/>
      </c>
      <c r="AB79" s="25">
        <f>IF(E79="","",IF(H79="Onsite",IFERROR(INDEX(tbl_Onsite[Qwilr Quote],MATCH(E79&amp;"",tbl_Onsite[Job Number],0)),""),IF(H79="Production",IFERROR(IF(INDEX(tbl_Production[Current RMS No],MATCH(E79&amp;"",tbl_Production[Job Number],0))="",INDEX(tbl_Production[Qwilr Quote],MATCH(E79&amp;"",tbl_Production[Job Number],0)),INDEX(tbl_Production[Current RMS No],MATCH(E79&amp;"",tbl_Production[Job Number],0))),""),IF(H79="Consulting",IFERROR(INDEX(tbl_Consulting[Qwilr Quote],MATCH(E79&amp;"",tbl_Consulting[Job Number],0)),""),""))))</f>
        <v/>
      </c>
      <c r="AC79" s="25">
        <f>IF(AB79="","",IF(AND(LEFT(AB79,4)&lt;&gt;"http",IF(H79="Production",set_RMSBase,set_QwilrBase)=""),"",HYPERLINK(IF(LEFT(AB79,4)="http",AB79,IF(H79="Production",set_RMSBase,set_QwilrBase)&amp;AB79),"Open")))</f>
        <v/>
      </c>
      <c r="AD79" s="27">
        <f>IF(E79="","",IF(H79="Production",IFERROR(INDEX(tbl_Production[Total Expense],MATCH(E79&amp;"",tbl_Production[Job Number],0)),0),IF(H79="Consulting",IFERROR(INDEX(tbl_Consulting[Total Expense],MATCH(E79&amp;"",tbl_Consulting[Job Number],0)),0),0)))</f>
        <v/>
      </c>
      <c r="AE79" s="27">
        <f>IF(E79="","",Y79-N(AD79))</f>
        <v/>
      </c>
      <c r="AF79" s="29">
        <f>IFERROR(AE79/Y79,"")</f>
        <v/>
      </c>
      <c r="AG79" s="25">
        <f>IF(E79="","",IF(H79="Onsite",IFERROR(INDEX(tbl_Onsite[Notes],MATCH(E79&amp;"",tbl_Onsite[Job Number],0)),""),IF(H79="Production",IFERROR(INDEX(tbl_Production[Notes],MATCH(E79&amp;"",tbl_Production[Job Number],0)),""),IF(H79="Consulting",IFERROR(INDEX(tbl_Consulting[Notes],MATCH(E79&amp;"",tbl_Consulting[Job Number],0)),""),""))))</f>
        <v/>
      </c>
    </row>
    <row r="80" ht="15" customHeight="1">
      <c r="A80" s="22" t="n">
        <v>46247</v>
      </c>
      <c r="B80" s="23">
        <f>IF(A80="","",EOMONTH(A80,0))</f>
        <v/>
      </c>
      <c r="C80" s="24" t="inlineStr">
        <is>
          <t>INV-10561</t>
        </is>
      </c>
      <c r="D80" s="24" t="inlineStr">
        <is>
          <t>RSNSW</t>
        </is>
      </c>
      <c r="E80" s="24" t="inlineStr">
        <is>
          <t>2512804</t>
        </is>
      </c>
      <c r="F80" s="25">
        <f>IF(E80="","",IF(COUNTIF(lst_Jobs,E80&amp;"")&gt;0,"OK","CHECK"))</f>
        <v/>
      </c>
      <c r="G80" s="24" t="inlineStr">
        <is>
          <t>Ordinary General Meeting 5.8.26</t>
        </is>
      </c>
      <c r="H80" s="24" t="inlineStr">
        <is>
          <t>Production</t>
        </is>
      </c>
      <c r="I80" s="24" t="inlineStr">
        <is>
          <t>PRODUCTION</t>
        </is>
      </c>
      <c r="J80" s="24" t="inlineStr">
        <is>
          <t>Project</t>
        </is>
      </c>
      <c r="K80" s="24" t="inlineStr">
        <is>
          <t>GST 10%</t>
        </is>
      </c>
      <c r="L80" s="26" t="n">
        <v>2232</v>
      </c>
      <c r="M80" s="27">
        <f>IF(L80="","",IF(K80="GST 10%",ROUND(L80*set_GSTRate,2),0))</f>
        <v/>
      </c>
      <c r="N80" s="27">
        <f>IF(L80="","",L80+M80)</f>
        <v/>
      </c>
      <c r="O80" s="24" t="inlineStr">
        <is>
          <t>42100</t>
        </is>
      </c>
      <c r="P80" s="24" t="inlineStr">
        <is>
          <t>Y</t>
        </is>
      </c>
      <c r="Q80" s="24" t="inlineStr">
        <is>
          <t>N</t>
        </is>
      </c>
      <c r="R80" s="22" t="n"/>
      <c r="S80" s="22" t="n"/>
      <c r="T80" s="24" t="inlineStr">
        <is>
          <t>Invoiced</t>
        </is>
      </c>
      <c r="U80" s="24" t="inlineStr">
        <is>
          <t>Production portion of this invoice</t>
        </is>
      </c>
      <c r="V80" s="25">
        <f>IF(COUNTA(A80,D80,C80,L80)=0,"",IF(A80="","No date - sits outside every month",IF(E80="","No job number",IF(F80="CHECK","Job number is not in the Xero job list",IF(I80="","No cost centre",IF(AND(P80="Y",C80=""),"Marked posted to Xero but has no invoice number",IF(AND(L80&lt;&gt;"",K80=""),"No tax code",IF(AND(L80&lt;&gt;"",O80=""),"No revenue GL code",""))))))))</f>
        <v/>
      </c>
      <c r="W80" s="25">
        <f>IF(E80="","",IFERROR(INDEX(lst_JobName,MATCH(E80&amp;"",lst_Jobs,0)),""))</f>
        <v/>
      </c>
      <c r="X80" s="28">
        <f>IF(E80="","",COUNTIFS(tbl_Finance[Job Number],E80&amp;"",tbl_Finance[Ex GST],"&lt;&gt;"))</f>
        <v/>
      </c>
      <c r="Y80" s="27">
        <f>IF(E80="","",SUMIFS(tbl_Finance[Ex GST],tbl_Finance[Job Number],E80&amp;""))</f>
        <v/>
      </c>
      <c r="Z80" s="27">
        <f>IF(E80="","",SUMIFS(tbl_Finance[Ex GST],tbl_Finance[Job Number],E80&amp;"",tbl_Finance[Xero Invoice No],"&lt;&gt;"))</f>
        <v/>
      </c>
      <c r="AA80" s="27">
        <f>IF(E80="","",Y80-Z80)</f>
        <v/>
      </c>
      <c r="AB80" s="25">
        <f>IF(E80="","",IF(H80="Onsite",IFERROR(INDEX(tbl_Onsite[Qwilr Quote],MATCH(E80&amp;"",tbl_Onsite[Job Number],0)),""),IF(H80="Production",IFERROR(IF(INDEX(tbl_Production[Current RMS No],MATCH(E80&amp;"",tbl_Production[Job Number],0))="",INDEX(tbl_Production[Qwilr Quote],MATCH(E80&amp;"",tbl_Production[Job Number],0)),INDEX(tbl_Production[Current RMS No],MATCH(E80&amp;"",tbl_Production[Job Number],0))),""),IF(H80="Consulting",IFERROR(INDEX(tbl_Consulting[Qwilr Quote],MATCH(E80&amp;"",tbl_Consulting[Job Number],0)),""),""))))</f>
        <v/>
      </c>
      <c r="AC80" s="25">
        <f>IF(AB80="","",IF(AND(LEFT(AB80,4)&lt;&gt;"http",IF(H80="Production",set_RMSBase,set_QwilrBase)=""),"",HYPERLINK(IF(LEFT(AB80,4)="http",AB80,IF(H80="Production",set_RMSBase,set_QwilrBase)&amp;AB80),"Open")))</f>
        <v/>
      </c>
      <c r="AD80" s="27">
        <f>IF(E80="","",IF(H80="Production",IFERROR(INDEX(tbl_Production[Total Expense],MATCH(E80&amp;"",tbl_Production[Job Number],0)),0),IF(H80="Consulting",IFERROR(INDEX(tbl_Consulting[Total Expense],MATCH(E80&amp;"",tbl_Consulting[Job Number],0)),0),0)))</f>
        <v/>
      </c>
      <c r="AE80" s="27">
        <f>IF(E80="","",Y80-N(AD80))</f>
        <v/>
      </c>
      <c r="AF80" s="29">
        <f>IFERROR(AE80/Y80,"")</f>
        <v/>
      </c>
      <c r="AG80" s="25">
        <f>IF(E80="","",IF(H80="Onsite",IFERROR(INDEX(tbl_Onsite[Notes],MATCH(E80&amp;"",tbl_Onsite[Job Number],0)),""),IF(H80="Production",IFERROR(INDEX(tbl_Production[Notes],MATCH(E80&amp;"",tbl_Production[Job Number],0)),""),IF(H80="Consulting",IFERROR(INDEX(tbl_Consulting[Notes],MATCH(E80&amp;"",tbl_Consulting[Job Number],0)),""),""))))</f>
        <v/>
      </c>
    </row>
    <row r="81" ht="15" customHeight="1">
      <c r="A81" s="22" t="n">
        <v>46247</v>
      </c>
      <c r="B81" s="23">
        <f>IF(A81="","",EOMONTH(A81,0))</f>
        <v/>
      </c>
      <c r="C81" s="24" t="inlineStr">
        <is>
          <t>INV-10561</t>
        </is>
      </c>
      <c r="D81" s="24" t="inlineStr">
        <is>
          <t>RSNSW</t>
        </is>
      </c>
      <c r="E81" s="24" t="inlineStr">
        <is>
          <t>2512804</t>
        </is>
      </c>
      <c r="F81" s="25">
        <f>IF(E81="","",IF(COUNTIF(lst_Jobs,E81&amp;"")&gt;0,"OK","CHECK"))</f>
        <v/>
      </c>
      <c r="G81" s="24" t="inlineStr">
        <is>
          <t>Ordinary General Meeting 5.8.26</t>
        </is>
      </c>
      <c r="H81" s="24" t="inlineStr">
        <is>
          <t>Production</t>
        </is>
      </c>
      <c r="I81" s="24" t="inlineStr">
        <is>
          <t>VIDEO</t>
        </is>
      </c>
      <c r="J81" s="24" t="inlineStr">
        <is>
          <t>Project</t>
        </is>
      </c>
      <c r="K81" s="24" t="inlineStr">
        <is>
          <t>GST 10%</t>
        </is>
      </c>
      <c r="L81" s="26" t="n">
        <v>1029</v>
      </c>
      <c r="M81" s="27">
        <f>IF(L81="","",IF(K81="GST 10%",ROUND(L81*set_GSTRate,2),0))</f>
        <v/>
      </c>
      <c r="N81" s="27">
        <f>IF(L81="","",L81+M81)</f>
        <v/>
      </c>
      <c r="O81" s="24" t="inlineStr">
        <is>
          <t>42150</t>
        </is>
      </c>
      <c r="P81" s="24" t="inlineStr">
        <is>
          <t>Y</t>
        </is>
      </c>
      <c r="Q81" s="24" t="inlineStr">
        <is>
          <t>N</t>
        </is>
      </c>
      <c r="R81" s="22" t="n"/>
      <c r="S81" s="22" t="n"/>
      <c r="T81" s="24" t="inlineStr">
        <is>
          <t>Invoiced</t>
        </is>
      </c>
      <c r="U81" s="24" t="inlineStr">
        <is>
          <t>Video portion of this invoice</t>
        </is>
      </c>
      <c r="V81" s="25">
        <f>IF(COUNTA(A81,D81,C81,L81)=0,"",IF(A81="","No date - sits outside every month",IF(E81="","No job number",IF(F81="CHECK","Job number is not in the Xero job list",IF(I81="","No cost centre",IF(AND(P81="Y",C81=""),"Marked posted to Xero but has no invoice number",IF(AND(L81&lt;&gt;"",K81=""),"No tax code",IF(AND(L81&lt;&gt;"",O81=""),"No revenue GL code",""))))))))</f>
        <v/>
      </c>
      <c r="W81" s="25">
        <f>IF(E81="","",IFERROR(INDEX(lst_JobName,MATCH(E81&amp;"",lst_Jobs,0)),""))</f>
        <v/>
      </c>
      <c r="X81" s="28">
        <f>IF(E81="","",COUNTIFS(tbl_Finance[Job Number],E81&amp;"",tbl_Finance[Ex GST],"&lt;&gt;"))</f>
        <v/>
      </c>
      <c r="Y81" s="27">
        <f>IF(E81="","",SUMIFS(tbl_Finance[Ex GST],tbl_Finance[Job Number],E81&amp;""))</f>
        <v/>
      </c>
      <c r="Z81" s="27">
        <f>IF(E81="","",SUMIFS(tbl_Finance[Ex GST],tbl_Finance[Job Number],E81&amp;"",tbl_Finance[Xero Invoice No],"&lt;&gt;"))</f>
        <v/>
      </c>
      <c r="AA81" s="27">
        <f>IF(E81="","",Y81-Z81)</f>
        <v/>
      </c>
      <c r="AB81" s="25">
        <f>IF(E81="","",IF(H81="Onsite",IFERROR(INDEX(tbl_Onsite[Qwilr Quote],MATCH(E81&amp;"",tbl_Onsite[Job Number],0)),""),IF(H81="Production",IFERROR(IF(INDEX(tbl_Production[Current RMS No],MATCH(E81&amp;"",tbl_Production[Job Number],0))="",INDEX(tbl_Production[Qwilr Quote],MATCH(E81&amp;"",tbl_Production[Job Number],0)),INDEX(tbl_Production[Current RMS No],MATCH(E81&amp;"",tbl_Production[Job Number],0))),""),IF(H81="Consulting",IFERROR(INDEX(tbl_Consulting[Qwilr Quote],MATCH(E81&amp;"",tbl_Consulting[Job Number],0)),""),""))))</f>
        <v/>
      </c>
      <c r="AC81" s="25">
        <f>IF(AB81="","",IF(AND(LEFT(AB81,4)&lt;&gt;"http",IF(H81="Production",set_RMSBase,set_QwilrBase)=""),"",HYPERLINK(IF(LEFT(AB81,4)="http",AB81,IF(H81="Production",set_RMSBase,set_QwilrBase)&amp;AB81),"Open")))</f>
        <v/>
      </c>
      <c r="AD81" s="27">
        <f>IF(E81="","",IF(H81="Production",IFERROR(INDEX(tbl_Production[Total Expense],MATCH(E81&amp;"",tbl_Production[Job Number],0)),0),IF(H81="Consulting",IFERROR(INDEX(tbl_Consulting[Total Expense],MATCH(E81&amp;"",tbl_Consulting[Job Number],0)),0),0)))</f>
        <v/>
      </c>
      <c r="AE81" s="27">
        <f>IF(E81="","",Y81-N(AD81))</f>
        <v/>
      </c>
      <c r="AF81" s="29">
        <f>IFERROR(AE81/Y81,"")</f>
        <v/>
      </c>
      <c r="AG81" s="25">
        <f>IF(E81="","",IF(H81="Onsite",IFERROR(INDEX(tbl_Onsite[Notes],MATCH(E81&amp;"",tbl_Onsite[Job Number],0)),""),IF(H81="Production",IFERROR(INDEX(tbl_Production[Notes],MATCH(E81&amp;"",tbl_Production[Job Number],0)),""),IF(H81="Consulting",IFERROR(INDEX(tbl_Consulting[Notes],MATCH(E81&amp;"",tbl_Consulting[Job Number],0)),""),""))))</f>
        <v/>
      </c>
    </row>
    <row r="82" ht="15" customHeight="1">
      <c r="A82" s="22" t="n">
        <v>46247</v>
      </c>
      <c r="B82" s="23">
        <f>IF(A82="","",EOMONTH(A82,0))</f>
        <v/>
      </c>
      <c r="C82" s="24" t="inlineStr">
        <is>
          <t>INV-10560</t>
        </is>
      </c>
      <c r="D82" s="24" t="inlineStr">
        <is>
          <t>Garvan</t>
        </is>
      </c>
      <c r="E82" s="24" t="inlineStr">
        <is>
          <t>2607703</t>
        </is>
      </c>
      <c r="F82" s="25">
        <f>IF(E82="","",IF(COUNTIF(lst_Jobs,E82&amp;"")&gt;0,"OK","CHECK"))</f>
        <v/>
      </c>
      <c r="G82" s="24" t="inlineStr">
        <is>
          <t>YPO Event 6.8.26 (PO-58493)</t>
        </is>
      </c>
      <c r="H82" s="24" t="inlineStr">
        <is>
          <t>Production</t>
        </is>
      </c>
      <c r="I82" s="24" t="inlineStr">
        <is>
          <t>PRODUCTION</t>
        </is>
      </c>
      <c r="J82" s="24" t="inlineStr">
        <is>
          <t>Project</t>
        </is>
      </c>
      <c r="K82" s="24" t="inlineStr">
        <is>
          <t>GST 10%</t>
        </is>
      </c>
      <c r="L82" s="26" t="n">
        <v>2152.5</v>
      </c>
      <c r="M82" s="27">
        <f>IF(L82="","",IF(K82="GST 10%",ROUND(L82*set_GSTRate,2),0))</f>
        <v/>
      </c>
      <c r="N82" s="27">
        <f>IF(L82="","",L82+M82)</f>
        <v/>
      </c>
      <c r="O82" s="24" t="inlineStr">
        <is>
          <t>42100</t>
        </is>
      </c>
      <c r="P82" s="24" t="inlineStr">
        <is>
          <t>Y</t>
        </is>
      </c>
      <c r="Q82" s="24" t="inlineStr">
        <is>
          <t>N</t>
        </is>
      </c>
      <c r="R82" s="22" t="n"/>
      <c r="S82" s="22" t="n"/>
      <c r="T82" s="24" t="inlineStr">
        <is>
          <t>Invoiced</t>
        </is>
      </c>
      <c r="U82" s="24" t="n"/>
      <c r="V82" s="25">
        <f>IF(COUNTA(A82,D82,C82,L82)=0,"",IF(A82="","No date - sits outside every month",IF(E82="","No job number",IF(F82="CHECK","Job number is not in the Xero job list",IF(I82="","No cost centre",IF(AND(P82="Y",C82=""),"Marked posted to Xero but has no invoice number",IF(AND(L82&lt;&gt;"",K82=""),"No tax code",IF(AND(L82&lt;&gt;"",O82=""),"No revenue GL code",""))))))))</f>
        <v/>
      </c>
      <c r="W82" s="25">
        <f>IF(E82="","",IFERROR(INDEX(lst_JobName,MATCH(E82&amp;"",lst_Jobs,0)),""))</f>
        <v/>
      </c>
      <c r="X82" s="28">
        <f>IF(E82="","",COUNTIFS(tbl_Finance[Job Number],E82&amp;"",tbl_Finance[Ex GST],"&lt;&gt;"))</f>
        <v/>
      </c>
      <c r="Y82" s="27">
        <f>IF(E82="","",SUMIFS(tbl_Finance[Ex GST],tbl_Finance[Job Number],E82&amp;""))</f>
        <v/>
      </c>
      <c r="Z82" s="27">
        <f>IF(E82="","",SUMIFS(tbl_Finance[Ex GST],tbl_Finance[Job Number],E82&amp;"",tbl_Finance[Xero Invoice No],"&lt;&gt;"))</f>
        <v/>
      </c>
      <c r="AA82" s="27">
        <f>IF(E82="","",Y82-Z82)</f>
        <v/>
      </c>
      <c r="AB82" s="25">
        <f>IF(E82="","",IF(H82="Onsite",IFERROR(INDEX(tbl_Onsite[Qwilr Quote],MATCH(E82&amp;"",tbl_Onsite[Job Number],0)),""),IF(H82="Production",IFERROR(IF(INDEX(tbl_Production[Current RMS No],MATCH(E82&amp;"",tbl_Production[Job Number],0))="",INDEX(tbl_Production[Qwilr Quote],MATCH(E82&amp;"",tbl_Production[Job Number],0)),INDEX(tbl_Production[Current RMS No],MATCH(E82&amp;"",tbl_Production[Job Number],0))),""),IF(H82="Consulting",IFERROR(INDEX(tbl_Consulting[Qwilr Quote],MATCH(E82&amp;"",tbl_Consulting[Job Number],0)),""),""))))</f>
        <v/>
      </c>
      <c r="AC82" s="25">
        <f>IF(AB82="","",IF(AND(LEFT(AB82,4)&lt;&gt;"http",IF(H82="Production",set_RMSBase,set_QwilrBase)=""),"",HYPERLINK(IF(LEFT(AB82,4)="http",AB82,IF(H82="Production",set_RMSBase,set_QwilrBase)&amp;AB82),"Open")))</f>
        <v/>
      </c>
      <c r="AD82" s="27">
        <f>IF(E82="","",IF(H82="Production",IFERROR(INDEX(tbl_Production[Total Expense],MATCH(E82&amp;"",tbl_Production[Job Number],0)),0),IF(H82="Consulting",IFERROR(INDEX(tbl_Consulting[Total Expense],MATCH(E82&amp;"",tbl_Consulting[Job Number],0)),0),0)))</f>
        <v/>
      </c>
      <c r="AE82" s="27">
        <f>IF(E82="","",Y82-N(AD82))</f>
        <v/>
      </c>
      <c r="AF82" s="29">
        <f>IFERROR(AE82/Y82,"")</f>
        <v/>
      </c>
      <c r="AG82" s="25">
        <f>IF(E82="","",IF(H82="Onsite",IFERROR(INDEX(tbl_Onsite[Notes],MATCH(E82&amp;"",tbl_Onsite[Job Number],0)),""),IF(H82="Production",IFERROR(INDEX(tbl_Production[Notes],MATCH(E82&amp;"",tbl_Production[Job Number],0)),""),IF(H82="Consulting",IFERROR(INDEX(tbl_Consulting[Notes],MATCH(E82&amp;"",tbl_Consulting[Job Number],0)),""),""))))</f>
        <v/>
      </c>
    </row>
    <row r="83" ht="15" customHeight="1">
      <c r="A83" s="22" t="n">
        <v>46247</v>
      </c>
      <c r="B83" s="23">
        <f>IF(A83="","",EOMONTH(A83,0))</f>
        <v/>
      </c>
      <c r="C83" s="24" t="inlineStr">
        <is>
          <t>INV-10562</t>
        </is>
      </c>
      <c r="D83" s="24" t="inlineStr">
        <is>
          <t>PwC</t>
        </is>
      </c>
      <c r="E83" s="24" t="inlineStr">
        <is>
          <t>26072902</t>
        </is>
      </c>
      <c r="F83" s="25">
        <f>IF(E83="","",IF(COUNTIF(lst_Jobs,E83&amp;"")&gt;0,"OK","CHECK"))</f>
        <v/>
      </c>
      <c r="G83" s="24" t="inlineStr">
        <is>
          <t>AI Townhall 6.8.26 (PO2601703328)</t>
        </is>
      </c>
      <c r="H83" s="24" t="inlineStr">
        <is>
          <t>Production</t>
        </is>
      </c>
      <c r="I83" s="24" t="inlineStr">
        <is>
          <t>PRODUCTION</t>
        </is>
      </c>
      <c r="J83" s="24" t="inlineStr">
        <is>
          <t>Project</t>
        </is>
      </c>
      <c r="K83" s="24" t="inlineStr">
        <is>
          <t>GST 10%</t>
        </is>
      </c>
      <c r="L83" s="26" t="n">
        <v>1165</v>
      </c>
      <c r="M83" s="27">
        <f>IF(L83="","",IF(K83="GST 10%",ROUND(L83*set_GSTRate,2),0))</f>
        <v/>
      </c>
      <c r="N83" s="27">
        <f>IF(L83="","",L83+M83)</f>
        <v/>
      </c>
      <c r="O83" s="24" t="inlineStr">
        <is>
          <t>42100</t>
        </is>
      </c>
      <c r="P83" s="24" t="inlineStr">
        <is>
          <t>Y</t>
        </is>
      </c>
      <c r="Q83" s="24" t="inlineStr">
        <is>
          <t>N</t>
        </is>
      </c>
      <c r="R83" s="22" t="n"/>
      <c r="S83" s="22" t="n"/>
      <c r="T83" s="24" t="inlineStr">
        <is>
          <t>Invoiced</t>
        </is>
      </c>
      <c r="U83" s="24" t="inlineStr">
        <is>
          <t>Production portion of this invoice</t>
        </is>
      </c>
      <c r="V83" s="25">
        <f>IF(COUNTA(A83,D83,C83,L83)=0,"",IF(A83="","No date - sits outside every month",IF(E83="","No job number",IF(F83="CHECK","Job number is not in the Xero job list",IF(I83="","No cost centre",IF(AND(P83="Y",C83=""),"Marked posted to Xero but has no invoice number",IF(AND(L83&lt;&gt;"",K83=""),"No tax code",IF(AND(L83&lt;&gt;"",O83=""),"No revenue GL code",""))))))))</f>
        <v/>
      </c>
      <c r="W83" s="25">
        <f>IF(E83="","",IFERROR(INDEX(lst_JobName,MATCH(E83&amp;"",lst_Jobs,0)),""))</f>
        <v/>
      </c>
      <c r="X83" s="28">
        <f>IF(E83="","",COUNTIFS(tbl_Finance[Job Number],E83&amp;"",tbl_Finance[Ex GST],"&lt;&gt;"))</f>
        <v/>
      </c>
      <c r="Y83" s="27">
        <f>IF(E83="","",SUMIFS(tbl_Finance[Ex GST],tbl_Finance[Job Number],E83&amp;""))</f>
        <v/>
      </c>
      <c r="Z83" s="27">
        <f>IF(E83="","",SUMIFS(tbl_Finance[Ex GST],tbl_Finance[Job Number],E83&amp;"",tbl_Finance[Xero Invoice No],"&lt;&gt;"))</f>
        <v/>
      </c>
      <c r="AA83" s="27">
        <f>IF(E83="","",Y83-Z83)</f>
        <v/>
      </c>
      <c r="AB83" s="25">
        <f>IF(E83="","",IF(H83="Onsite",IFERROR(INDEX(tbl_Onsite[Qwilr Quote],MATCH(E83&amp;"",tbl_Onsite[Job Number],0)),""),IF(H83="Production",IFERROR(IF(INDEX(tbl_Production[Current RMS No],MATCH(E83&amp;"",tbl_Production[Job Number],0))="",INDEX(tbl_Production[Qwilr Quote],MATCH(E83&amp;"",tbl_Production[Job Number],0)),INDEX(tbl_Production[Current RMS No],MATCH(E83&amp;"",tbl_Production[Job Number],0))),""),IF(H83="Consulting",IFERROR(INDEX(tbl_Consulting[Qwilr Quote],MATCH(E83&amp;"",tbl_Consulting[Job Number],0)),""),""))))</f>
        <v/>
      </c>
      <c r="AC83" s="25">
        <f>IF(AB83="","",IF(AND(LEFT(AB83,4)&lt;&gt;"http",IF(H83="Production",set_RMSBase,set_QwilrBase)=""),"",HYPERLINK(IF(LEFT(AB83,4)="http",AB83,IF(H83="Production",set_RMSBase,set_QwilrBase)&amp;AB83),"Open")))</f>
        <v/>
      </c>
      <c r="AD83" s="27">
        <f>IF(E83="","",IF(H83="Production",IFERROR(INDEX(tbl_Production[Total Expense],MATCH(E83&amp;"",tbl_Production[Job Number],0)),0),IF(H83="Consulting",IFERROR(INDEX(tbl_Consulting[Total Expense],MATCH(E83&amp;"",tbl_Consulting[Job Number],0)),0),0)))</f>
        <v/>
      </c>
      <c r="AE83" s="27">
        <f>IF(E83="","",Y83-N(AD83))</f>
        <v/>
      </c>
      <c r="AF83" s="29">
        <f>IFERROR(AE83/Y83,"")</f>
        <v/>
      </c>
      <c r="AG83" s="25">
        <f>IF(E83="","",IF(H83="Onsite",IFERROR(INDEX(tbl_Onsite[Notes],MATCH(E83&amp;"",tbl_Onsite[Job Number],0)),""),IF(H83="Production",IFERROR(INDEX(tbl_Production[Notes],MATCH(E83&amp;"",tbl_Production[Job Number],0)),""),IF(H83="Consulting",IFERROR(INDEX(tbl_Consulting[Notes],MATCH(E83&amp;"",tbl_Consulting[Job Number],0)),""),""))))</f>
        <v/>
      </c>
    </row>
    <row r="84" ht="15" customHeight="1">
      <c r="A84" s="22" t="n">
        <v>46247</v>
      </c>
      <c r="B84" s="23">
        <f>IF(A84="","",EOMONTH(A84,0))</f>
        <v/>
      </c>
      <c r="C84" s="24" t="inlineStr">
        <is>
          <t>INV-10562</t>
        </is>
      </c>
      <c r="D84" s="24" t="inlineStr">
        <is>
          <t>PwC</t>
        </is>
      </c>
      <c r="E84" s="24" t="inlineStr">
        <is>
          <t>26072902</t>
        </is>
      </c>
      <c r="F84" s="25">
        <f>IF(E84="","",IF(COUNTIF(lst_Jobs,E84&amp;"")&gt;0,"OK","CHECK"))</f>
        <v/>
      </c>
      <c r="G84" s="24" t="inlineStr">
        <is>
          <t>AI Townhall 6.8.26 (PO2601703328)</t>
        </is>
      </c>
      <c r="H84" s="24" t="inlineStr">
        <is>
          <t>Production</t>
        </is>
      </c>
      <c r="I84" s="24" t="inlineStr">
        <is>
          <t>VIDEO</t>
        </is>
      </c>
      <c r="J84" s="24" t="inlineStr">
        <is>
          <t>Project</t>
        </is>
      </c>
      <c r="K84" s="24" t="inlineStr">
        <is>
          <t>GST 10%</t>
        </is>
      </c>
      <c r="L84" s="26" t="n">
        <v>485</v>
      </c>
      <c r="M84" s="27">
        <f>IF(L84="","",IF(K84="GST 10%",ROUND(L84*set_GSTRate,2),0))</f>
        <v/>
      </c>
      <c r="N84" s="27">
        <f>IF(L84="","",L84+M84)</f>
        <v/>
      </c>
      <c r="O84" s="24" t="inlineStr">
        <is>
          <t>42150</t>
        </is>
      </c>
      <c r="P84" s="24" t="inlineStr">
        <is>
          <t>Y</t>
        </is>
      </c>
      <c r="Q84" s="24" t="inlineStr">
        <is>
          <t>N</t>
        </is>
      </c>
      <c r="R84" s="22" t="n"/>
      <c r="S84" s="22" t="n"/>
      <c r="T84" s="24" t="inlineStr">
        <is>
          <t>Invoiced</t>
        </is>
      </c>
      <c r="U84" s="24" t="inlineStr">
        <is>
          <t>Video portion of this invoice</t>
        </is>
      </c>
      <c r="V84" s="25">
        <f>IF(COUNTA(A84,D84,C84,L84)=0,"",IF(A84="","No date - sits outside every month",IF(E84="","No job number",IF(F84="CHECK","Job number is not in the Xero job list",IF(I84="","No cost centre",IF(AND(P84="Y",C84=""),"Marked posted to Xero but has no invoice number",IF(AND(L84&lt;&gt;"",K84=""),"No tax code",IF(AND(L84&lt;&gt;"",O84=""),"No revenue GL code",""))))))))</f>
        <v/>
      </c>
      <c r="W84" s="25">
        <f>IF(E84="","",IFERROR(INDEX(lst_JobName,MATCH(E84&amp;"",lst_Jobs,0)),""))</f>
        <v/>
      </c>
      <c r="X84" s="28">
        <f>IF(E84="","",COUNTIFS(tbl_Finance[Job Number],E84&amp;"",tbl_Finance[Ex GST],"&lt;&gt;"))</f>
        <v/>
      </c>
      <c r="Y84" s="27">
        <f>IF(E84="","",SUMIFS(tbl_Finance[Ex GST],tbl_Finance[Job Number],E84&amp;""))</f>
        <v/>
      </c>
      <c r="Z84" s="27">
        <f>IF(E84="","",SUMIFS(tbl_Finance[Ex GST],tbl_Finance[Job Number],E84&amp;"",tbl_Finance[Xero Invoice No],"&lt;&gt;"))</f>
        <v/>
      </c>
      <c r="AA84" s="27">
        <f>IF(E84="","",Y84-Z84)</f>
        <v/>
      </c>
      <c r="AB84" s="25">
        <f>IF(E84="","",IF(H84="Onsite",IFERROR(INDEX(tbl_Onsite[Qwilr Quote],MATCH(E84&amp;"",tbl_Onsite[Job Number],0)),""),IF(H84="Production",IFERROR(IF(INDEX(tbl_Production[Current RMS No],MATCH(E84&amp;"",tbl_Production[Job Number],0))="",INDEX(tbl_Production[Qwilr Quote],MATCH(E84&amp;"",tbl_Production[Job Number],0)),INDEX(tbl_Production[Current RMS No],MATCH(E84&amp;"",tbl_Production[Job Number],0))),""),IF(H84="Consulting",IFERROR(INDEX(tbl_Consulting[Qwilr Quote],MATCH(E84&amp;"",tbl_Consulting[Job Number],0)),""),""))))</f>
        <v/>
      </c>
      <c r="AC84" s="25">
        <f>IF(AB84="","",IF(AND(LEFT(AB84,4)&lt;&gt;"http",IF(H84="Production",set_RMSBase,set_QwilrBase)=""),"",HYPERLINK(IF(LEFT(AB84,4)="http",AB84,IF(H84="Production",set_RMSBase,set_QwilrBase)&amp;AB84),"Open")))</f>
        <v/>
      </c>
      <c r="AD84" s="27">
        <f>IF(E84="","",IF(H84="Production",IFERROR(INDEX(tbl_Production[Total Expense],MATCH(E84&amp;"",tbl_Production[Job Number],0)),0),IF(H84="Consulting",IFERROR(INDEX(tbl_Consulting[Total Expense],MATCH(E84&amp;"",tbl_Consulting[Job Number],0)),0),0)))</f>
        <v/>
      </c>
      <c r="AE84" s="27">
        <f>IF(E84="","",Y84-N(AD84))</f>
        <v/>
      </c>
      <c r="AF84" s="29">
        <f>IFERROR(AE84/Y84,"")</f>
        <v/>
      </c>
      <c r="AG84" s="25">
        <f>IF(E84="","",IF(H84="Onsite",IFERROR(INDEX(tbl_Onsite[Notes],MATCH(E84&amp;"",tbl_Onsite[Job Number],0)),""),IF(H84="Production",IFERROR(INDEX(tbl_Production[Notes],MATCH(E84&amp;"",tbl_Production[Job Number],0)),""),IF(H84="Consulting",IFERROR(INDEX(tbl_Consulting[Notes],MATCH(E84&amp;"",tbl_Consulting[Job Number],0)),""),""))))</f>
        <v/>
      </c>
    </row>
    <row r="85" ht="15" customHeight="1">
      <c r="A85" s="22" t="n">
        <v>46255</v>
      </c>
      <c r="B85" s="23">
        <f>IF(A85="","",EOMONTH(A85,0))</f>
        <v/>
      </c>
      <c r="C85" s="24" t="inlineStr">
        <is>
          <t>INV-10580</t>
        </is>
      </c>
      <c r="D85" s="24" t="inlineStr">
        <is>
          <t>Elkiem</t>
        </is>
      </c>
      <c r="E85" s="24" t="inlineStr">
        <is>
          <t>26071901</t>
        </is>
      </c>
      <c r="F85" s="25">
        <f>IF(E85="","",IF(COUNTIF(lst_Jobs,E85&amp;"")&gt;0,"OK","CHECK"))</f>
        <v/>
      </c>
      <c r="G85" s="24" t="inlineStr">
        <is>
          <t>Studio Support 11.8.26</t>
        </is>
      </c>
      <c r="H85" s="24" t="inlineStr">
        <is>
          <t>Production</t>
        </is>
      </c>
      <c r="I85" s="24" t="inlineStr">
        <is>
          <t>PRODUCTION</t>
        </is>
      </c>
      <c r="J85" s="24" t="inlineStr">
        <is>
          <t>Project</t>
        </is>
      </c>
      <c r="K85" s="24" t="inlineStr">
        <is>
          <t>GST 10%</t>
        </is>
      </c>
      <c r="L85" s="26" t="n">
        <v>380</v>
      </c>
      <c r="M85" s="27">
        <f>IF(L85="","",IF(K85="GST 10%",ROUND(L85*set_GSTRate,2),0))</f>
        <v/>
      </c>
      <c r="N85" s="27">
        <f>IF(L85="","",L85+M85)</f>
        <v/>
      </c>
      <c r="O85" s="24" t="inlineStr">
        <is>
          <t>42100</t>
        </is>
      </c>
      <c r="P85" s="24" t="inlineStr">
        <is>
          <t>Y</t>
        </is>
      </c>
      <c r="Q85" s="24" t="inlineStr">
        <is>
          <t>N</t>
        </is>
      </c>
      <c r="R85" s="22" t="n"/>
      <c r="S85" s="22" t="n"/>
      <c r="T85" s="24" t="inlineStr">
        <is>
          <t>Invoiced</t>
        </is>
      </c>
      <c r="U85" s="24" t="n"/>
      <c r="V85" s="25">
        <f>IF(COUNTA(A85,D85,C85,L85)=0,"",IF(A85="","No date - sits outside every month",IF(E85="","No job number",IF(F85="CHECK","Job number is not in the Xero job list",IF(I85="","No cost centre",IF(AND(P85="Y",C85=""),"Marked posted to Xero but has no invoice number",IF(AND(L85&lt;&gt;"",K85=""),"No tax code",IF(AND(L85&lt;&gt;"",O85=""),"No revenue GL code",""))))))))</f>
        <v/>
      </c>
      <c r="W85" s="25">
        <f>IF(E85="","",IFERROR(INDEX(lst_JobName,MATCH(E85&amp;"",lst_Jobs,0)),""))</f>
        <v/>
      </c>
      <c r="X85" s="28">
        <f>IF(E85="","",COUNTIFS(tbl_Finance[Job Number],E85&amp;"",tbl_Finance[Ex GST],"&lt;&gt;"))</f>
        <v/>
      </c>
      <c r="Y85" s="27">
        <f>IF(E85="","",SUMIFS(tbl_Finance[Ex GST],tbl_Finance[Job Number],E85&amp;""))</f>
        <v/>
      </c>
      <c r="Z85" s="27">
        <f>IF(E85="","",SUMIFS(tbl_Finance[Ex GST],tbl_Finance[Job Number],E85&amp;"",tbl_Finance[Xero Invoice No],"&lt;&gt;"))</f>
        <v/>
      </c>
      <c r="AA85" s="27">
        <f>IF(E85="","",Y85-Z85)</f>
        <v/>
      </c>
      <c r="AB85" s="25">
        <f>IF(E85="","",IF(H85="Onsite",IFERROR(INDEX(tbl_Onsite[Qwilr Quote],MATCH(E85&amp;"",tbl_Onsite[Job Number],0)),""),IF(H85="Production",IFERROR(IF(INDEX(tbl_Production[Current RMS No],MATCH(E85&amp;"",tbl_Production[Job Number],0))="",INDEX(tbl_Production[Qwilr Quote],MATCH(E85&amp;"",tbl_Production[Job Number],0)),INDEX(tbl_Production[Current RMS No],MATCH(E85&amp;"",tbl_Production[Job Number],0))),""),IF(H85="Consulting",IFERROR(INDEX(tbl_Consulting[Qwilr Quote],MATCH(E85&amp;"",tbl_Consulting[Job Number],0)),""),""))))</f>
        <v/>
      </c>
      <c r="AC85" s="25">
        <f>IF(AB85="","",IF(AND(LEFT(AB85,4)&lt;&gt;"http",IF(H85="Production",set_RMSBase,set_QwilrBase)=""),"",HYPERLINK(IF(LEFT(AB85,4)="http",AB85,IF(H85="Production",set_RMSBase,set_QwilrBase)&amp;AB85),"Open")))</f>
        <v/>
      </c>
      <c r="AD85" s="27">
        <f>IF(E85="","",IF(H85="Production",IFERROR(INDEX(tbl_Production[Total Expense],MATCH(E85&amp;"",tbl_Production[Job Number],0)),0),IF(H85="Consulting",IFERROR(INDEX(tbl_Consulting[Total Expense],MATCH(E85&amp;"",tbl_Consulting[Job Number],0)),0),0)))</f>
        <v/>
      </c>
      <c r="AE85" s="27">
        <f>IF(E85="","",Y85-N(AD85))</f>
        <v/>
      </c>
      <c r="AF85" s="29">
        <f>IFERROR(AE85/Y85,"")</f>
        <v/>
      </c>
      <c r="AG85" s="25">
        <f>IF(E85="","",IF(H85="Onsite",IFERROR(INDEX(tbl_Onsite[Notes],MATCH(E85&amp;"",tbl_Onsite[Job Number],0)),""),IF(H85="Production",IFERROR(INDEX(tbl_Production[Notes],MATCH(E85&amp;"",tbl_Production[Job Number],0)),""),IF(H85="Consulting",IFERROR(INDEX(tbl_Consulting[Notes],MATCH(E85&amp;"",tbl_Consulting[Job Number],0)),""),""))))</f>
        <v/>
      </c>
    </row>
    <row r="86" ht="15" customHeight="1">
      <c r="A86" s="22" t="n">
        <v>46255</v>
      </c>
      <c r="B86" s="23">
        <f>IF(A86="","",EOMONTH(A86,0))</f>
        <v/>
      </c>
      <c r="C86" s="24" t="inlineStr">
        <is>
          <t>INV-10581</t>
        </is>
      </c>
      <c r="D86" s="24" t="inlineStr">
        <is>
          <t>CEO Institute</t>
        </is>
      </c>
      <c r="E86" s="24" t="inlineStr">
        <is>
          <t>26063002</t>
        </is>
      </c>
      <c r="F86" s="25">
        <f>IF(E86="","",IF(COUNTIF(lst_Jobs,E86&amp;"")&gt;0,"OK","CHECK"))</f>
        <v/>
      </c>
      <c r="G86" s="24" t="inlineStr">
        <is>
          <t>CEO Connect 11.8.26</t>
        </is>
      </c>
      <c r="H86" s="24" t="inlineStr">
        <is>
          <t>Production</t>
        </is>
      </c>
      <c r="I86" s="24" t="inlineStr">
        <is>
          <t>PRODUCTION</t>
        </is>
      </c>
      <c r="J86" s="24" t="inlineStr">
        <is>
          <t>Project</t>
        </is>
      </c>
      <c r="K86" s="24" t="inlineStr">
        <is>
          <t>GST 10%</t>
        </is>
      </c>
      <c r="L86" s="26" t="n">
        <v>6283</v>
      </c>
      <c r="M86" s="27">
        <f>IF(L86="","",IF(K86="GST 10%",ROUND(L86*set_GSTRate,2),0))</f>
        <v/>
      </c>
      <c r="N86" s="27">
        <f>IF(L86="","",L86+M86)</f>
        <v/>
      </c>
      <c r="O86" s="24" t="inlineStr">
        <is>
          <t>42100</t>
        </is>
      </c>
      <c r="P86" s="24" t="inlineStr">
        <is>
          <t>Y</t>
        </is>
      </c>
      <c r="Q86" s="24" t="inlineStr">
        <is>
          <t>N</t>
        </is>
      </c>
      <c r="R86" s="22" t="n"/>
      <c r="S86" s="22" t="n"/>
      <c r="T86" s="24" t="inlineStr">
        <is>
          <t>Invoiced</t>
        </is>
      </c>
      <c r="U86" s="24" t="inlineStr">
        <is>
          <t>Production portion of this invoice</t>
        </is>
      </c>
      <c r="V86" s="25">
        <f>IF(COUNTA(A86,D86,C86,L86)=0,"",IF(A86="","No date - sits outside every month",IF(E86="","No job number",IF(F86="CHECK","Job number is not in the Xero job list",IF(I86="","No cost centre",IF(AND(P86="Y",C86=""),"Marked posted to Xero but has no invoice number",IF(AND(L86&lt;&gt;"",K86=""),"No tax code",IF(AND(L86&lt;&gt;"",O86=""),"No revenue GL code",""))))))))</f>
        <v/>
      </c>
      <c r="W86" s="25">
        <f>IF(E86="","",IFERROR(INDEX(lst_JobName,MATCH(E86&amp;"",lst_Jobs,0)),""))</f>
        <v/>
      </c>
      <c r="X86" s="28">
        <f>IF(E86="","",COUNTIFS(tbl_Finance[Job Number],E86&amp;"",tbl_Finance[Ex GST],"&lt;&gt;"))</f>
        <v/>
      </c>
      <c r="Y86" s="27">
        <f>IF(E86="","",SUMIFS(tbl_Finance[Ex GST],tbl_Finance[Job Number],E86&amp;""))</f>
        <v/>
      </c>
      <c r="Z86" s="27">
        <f>IF(E86="","",SUMIFS(tbl_Finance[Ex GST],tbl_Finance[Job Number],E86&amp;"",tbl_Finance[Xero Invoice No],"&lt;&gt;"))</f>
        <v/>
      </c>
      <c r="AA86" s="27">
        <f>IF(E86="","",Y86-Z86)</f>
        <v/>
      </c>
      <c r="AB86" s="25">
        <f>IF(E86="","",IF(H86="Onsite",IFERROR(INDEX(tbl_Onsite[Qwilr Quote],MATCH(E86&amp;"",tbl_Onsite[Job Number],0)),""),IF(H86="Production",IFERROR(IF(INDEX(tbl_Production[Current RMS No],MATCH(E86&amp;"",tbl_Production[Job Number],0))="",INDEX(tbl_Production[Qwilr Quote],MATCH(E86&amp;"",tbl_Production[Job Number],0)),INDEX(tbl_Production[Current RMS No],MATCH(E86&amp;"",tbl_Production[Job Number],0))),""),IF(H86="Consulting",IFERROR(INDEX(tbl_Consulting[Qwilr Quote],MATCH(E86&amp;"",tbl_Consulting[Job Number],0)),""),""))))</f>
        <v/>
      </c>
      <c r="AC86" s="25">
        <f>IF(AB86="","",IF(AND(LEFT(AB86,4)&lt;&gt;"http",IF(H86="Production",set_RMSBase,set_QwilrBase)=""),"",HYPERLINK(IF(LEFT(AB86,4)="http",AB86,IF(H86="Production",set_RMSBase,set_QwilrBase)&amp;AB86),"Open")))</f>
        <v/>
      </c>
      <c r="AD86" s="27">
        <f>IF(E86="","",IF(H86="Production",IFERROR(INDEX(tbl_Production[Total Expense],MATCH(E86&amp;"",tbl_Production[Job Number],0)),0),IF(H86="Consulting",IFERROR(INDEX(tbl_Consulting[Total Expense],MATCH(E86&amp;"",tbl_Consulting[Job Number],0)),0),0)))</f>
        <v/>
      </c>
      <c r="AE86" s="27">
        <f>IF(E86="","",Y86-N(AD86))</f>
        <v/>
      </c>
      <c r="AF86" s="29">
        <f>IFERROR(AE86/Y86,"")</f>
        <v/>
      </c>
      <c r="AG86" s="25">
        <f>IF(E86="","",IF(H86="Onsite",IFERROR(INDEX(tbl_Onsite[Notes],MATCH(E86&amp;"",tbl_Onsite[Job Number],0)),""),IF(H86="Production",IFERROR(INDEX(tbl_Production[Notes],MATCH(E86&amp;"",tbl_Production[Job Number],0)),""),IF(H86="Consulting",IFERROR(INDEX(tbl_Consulting[Notes],MATCH(E86&amp;"",tbl_Consulting[Job Number],0)),""),""))))</f>
        <v/>
      </c>
    </row>
    <row r="87" ht="15" customHeight="1">
      <c r="A87" s="22" t="n">
        <v>46255</v>
      </c>
      <c r="B87" s="23">
        <f>IF(A87="","",EOMONTH(A87,0))</f>
        <v/>
      </c>
      <c r="C87" s="24" t="inlineStr">
        <is>
          <t>INV-10581</t>
        </is>
      </c>
      <c r="D87" s="24" t="inlineStr">
        <is>
          <t>CEO Institute</t>
        </is>
      </c>
      <c r="E87" s="24" t="inlineStr">
        <is>
          <t>26063002</t>
        </is>
      </c>
      <c r="F87" s="25">
        <f>IF(E87="","",IF(COUNTIF(lst_Jobs,E87&amp;"")&gt;0,"OK","CHECK"))</f>
        <v/>
      </c>
      <c r="G87" s="24" t="inlineStr">
        <is>
          <t>CEO Connect 11.8.26</t>
        </is>
      </c>
      <c r="H87" s="24" t="inlineStr">
        <is>
          <t>Production</t>
        </is>
      </c>
      <c r="I87" s="24" t="inlineStr">
        <is>
          <t>VIDEO</t>
        </is>
      </c>
      <c r="J87" s="24" t="inlineStr">
        <is>
          <t>Project</t>
        </is>
      </c>
      <c r="K87" s="24" t="inlineStr">
        <is>
          <t>GST 10%</t>
        </is>
      </c>
      <c r="L87" s="26" t="n">
        <v>1977.35</v>
      </c>
      <c r="M87" s="27">
        <f>IF(L87="","",IF(K87="GST 10%",ROUND(L87*set_GSTRate,2),0))</f>
        <v/>
      </c>
      <c r="N87" s="27">
        <f>IF(L87="","",L87+M87)</f>
        <v/>
      </c>
      <c r="O87" s="24" t="inlineStr">
        <is>
          <t>42150</t>
        </is>
      </c>
      <c r="P87" s="24" t="inlineStr">
        <is>
          <t>Y</t>
        </is>
      </c>
      <c r="Q87" s="24" t="inlineStr">
        <is>
          <t>N</t>
        </is>
      </c>
      <c r="R87" s="22" t="n"/>
      <c r="S87" s="22" t="n"/>
      <c r="T87" s="24" t="inlineStr">
        <is>
          <t>Invoiced</t>
        </is>
      </c>
      <c r="U87" s="24" t="inlineStr">
        <is>
          <t>Video portion of this invoice</t>
        </is>
      </c>
      <c r="V87" s="25">
        <f>IF(COUNTA(A87,D87,C87,L87)=0,"",IF(A87="","No date - sits outside every month",IF(E87="","No job number",IF(F87="CHECK","Job number is not in the Xero job list",IF(I87="","No cost centre",IF(AND(P87="Y",C87=""),"Marked posted to Xero but has no invoice number",IF(AND(L87&lt;&gt;"",K87=""),"No tax code",IF(AND(L87&lt;&gt;"",O87=""),"No revenue GL code",""))))))))</f>
        <v/>
      </c>
      <c r="W87" s="25">
        <f>IF(E87="","",IFERROR(INDEX(lst_JobName,MATCH(E87&amp;"",lst_Jobs,0)),""))</f>
        <v/>
      </c>
      <c r="X87" s="28">
        <f>IF(E87="","",COUNTIFS(tbl_Finance[Job Number],E87&amp;"",tbl_Finance[Ex GST],"&lt;&gt;"))</f>
        <v/>
      </c>
      <c r="Y87" s="27">
        <f>IF(E87="","",SUMIFS(tbl_Finance[Ex GST],tbl_Finance[Job Number],E87&amp;""))</f>
        <v/>
      </c>
      <c r="Z87" s="27">
        <f>IF(E87="","",SUMIFS(tbl_Finance[Ex GST],tbl_Finance[Job Number],E87&amp;"",tbl_Finance[Xero Invoice No],"&lt;&gt;"))</f>
        <v/>
      </c>
      <c r="AA87" s="27">
        <f>IF(E87="","",Y87-Z87)</f>
        <v/>
      </c>
      <c r="AB87" s="25">
        <f>IF(E87="","",IF(H87="Onsite",IFERROR(INDEX(tbl_Onsite[Qwilr Quote],MATCH(E87&amp;"",tbl_Onsite[Job Number],0)),""),IF(H87="Production",IFERROR(IF(INDEX(tbl_Production[Current RMS No],MATCH(E87&amp;"",tbl_Production[Job Number],0))="",INDEX(tbl_Production[Qwilr Quote],MATCH(E87&amp;"",tbl_Production[Job Number],0)),INDEX(tbl_Production[Current RMS No],MATCH(E87&amp;"",tbl_Production[Job Number],0))),""),IF(H87="Consulting",IFERROR(INDEX(tbl_Consulting[Qwilr Quote],MATCH(E87&amp;"",tbl_Consulting[Job Number],0)),""),""))))</f>
        <v/>
      </c>
      <c r="AC87" s="25">
        <f>IF(AB87="","",IF(AND(LEFT(AB87,4)&lt;&gt;"http",IF(H87="Production",set_RMSBase,set_QwilrBase)=""),"",HYPERLINK(IF(LEFT(AB87,4)="http",AB87,IF(H87="Production",set_RMSBase,set_QwilrBase)&amp;AB87),"Open")))</f>
        <v/>
      </c>
      <c r="AD87" s="27">
        <f>IF(E87="","",IF(H87="Production",IFERROR(INDEX(tbl_Production[Total Expense],MATCH(E87&amp;"",tbl_Production[Job Number],0)),0),IF(H87="Consulting",IFERROR(INDEX(tbl_Consulting[Total Expense],MATCH(E87&amp;"",tbl_Consulting[Job Number],0)),0),0)))</f>
        <v/>
      </c>
      <c r="AE87" s="27">
        <f>IF(E87="","",Y87-N(AD87))</f>
        <v/>
      </c>
      <c r="AF87" s="29">
        <f>IFERROR(AE87/Y87,"")</f>
        <v/>
      </c>
      <c r="AG87" s="25">
        <f>IF(E87="","",IF(H87="Onsite",IFERROR(INDEX(tbl_Onsite[Notes],MATCH(E87&amp;"",tbl_Onsite[Job Number],0)),""),IF(H87="Production",IFERROR(INDEX(tbl_Production[Notes],MATCH(E87&amp;"",tbl_Production[Job Number],0)),""),IF(H87="Consulting",IFERROR(INDEX(tbl_Consulting[Notes],MATCH(E87&amp;"",tbl_Consulting[Job Number],0)),""),""))))</f>
        <v/>
      </c>
    </row>
    <row r="88" ht="15" customHeight="1">
      <c r="A88" s="22" t="n">
        <v>46259</v>
      </c>
      <c r="B88" s="23">
        <f>IF(A88="","",EOMONTH(A88,0))</f>
        <v/>
      </c>
      <c r="C88" s="24" t="inlineStr">
        <is>
          <t>INV-10577</t>
        </is>
      </c>
      <c r="D88" s="24" t="inlineStr">
        <is>
          <t>PwC</t>
        </is>
      </c>
      <c r="E88" s="24" t="inlineStr">
        <is>
          <t>26072903</t>
        </is>
      </c>
      <c r="F88" s="25">
        <f>IF(E88="","",IF(COUNTIF(lst_Jobs,E88&amp;"")&gt;0,"OK","CHECK"))</f>
        <v/>
      </c>
      <c r="G88" s="24" t="inlineStr">
        <is>
          <t>GB Webcast 11.8.26</t>
        </is>
      </c>
      <c r="H88" s="24" t="inlineStr">
        <is>
          <t>Production</t>
        </is>
      </c>
      <c r="I88" s="24" t="inlineStr">
        <is>
          <t>PRODUCTION</t>
        </is>
      </c>
      <c r="J88" s="24" t="inlineStr">
        <is>
          <t>Project</t>
        </is>
      </c>
      <c r="K88" s="24" t="inlineStr">
        <is>
          <t>GST 10%</t>
        </is>
      </c>
      <c r="L88" s="26" t="n">
        <v>3235</v>
      </c>
      <c r="M88" s="27">
        <f>IF(L88="","",IF(K88="GST 10%",ROUND(L88*set_GSTRate,2),0))</f>
        <v/>
      </c>
      <c r="N88" s="27">
        <f>IF(L88="","",L88+M88)</f>
        <v/>
      </c>
      <c r="O88" s="24" t="inlineStr">
        <is>
          <t>42100</t>
        </is>
      </c>
      <c r="P88" s="24" t="inlineStr">
        <is>
          <t>Y</t>
        </is>
      </c>
      <c r="Q88" s="24" t="inlineStr">
        <is>
          <t>N</t>
        </is>
      </c>
      <c r="R88" s="22" t="n"/>
      <c r="S88" s="22" t="n"/>
      <c r="T88" s="24" t="inlineStr">
        <is>
          <t>Invoiced</t>
        </is>
      </c>
      <c r="U88" s="24" t="inlineStr">
        <is>
          <t>Production portion of this invoice</t>
        </is>
      </c>
      <c r="V88" s="25">
        <f>IF(COUNTA(A88,D88,C88,L88)=0,"",IF(A88="","No date - sits outside every month",IF(E88="","No job number",IF(F88="CHECK","Job number is not in the Xero job list",IF(I88="","No cost centre",IF(AND(P88="Y",C88=""),"Marked posted to Xero but has no invoice number",IF(AND(L88&lt;&gt;"",K88=""),"No tax code",IF(AND(L88&lt;&gt;"",O88=""),"No revenue GL code",""))))))))</f>
        <v/>
      </c>
      <c r="W88" s="25">
        <f>IF(E88="","",IFERROR(INDEX(lst_JobName,MATCH(E88&amp;"",lst_Jobs,0)),""))</f>
        <v/>
      </c>
      <c r="X88" s="28">
        <f>IF(E88="","",COUNTIFS(tbl_Finance[Job Number],E88&amp;"",tbl_Finance[Ex GST],"&lt;&gt;"))</f>
        <v/>
      </c>
      <c r="Y88" s="27">
        <f>IF(E88="","",SUMIFS(tbl_Finance[Ex GST],tbl_Finance[Job Number],E88&amp;""))</f>
        <v/>
      </c>
      <c r="Z88" s="27">
        <f>IF(E88="","",SUMIFS(tbl_Finance[Ex GST],tbl_Finance[Job Number],E88&amp;"",tbl_Finance[Xero Invoice No],"&lt;&gt;"))</f>
        <v/>
      </c>
      <c r="AA88" s="27">
        <f>IF(E88="","",Y88-Z88)</f>
        <v/>
      </c>
      <c r="AB88" s="25">
        <f>IF(E88="","",IF(H88="Onsite",IFERROR(INDEX(tbl_Onsite[Qwilr Quote],MATCH(E88&amp;"",tbl_Onsite[Job Number],0)),""),IF(H88="Production",IFERROR(IF(INDEX(tbl_Production[Current RMS No],MATCH(E88&amp;"",tbl_Production[Job Number],0))="",INDEX(tbl_Production[Qwilr Quote],MATCH(E88&amp;"",tbl_Production[Job Number],0)),INDEX(tbl_Production[Current RMS No],MATCH(E88&amp;"",tbl_Production[Job Number],0))),""),IF(H88="Consulting",IFERROR(INDEX(tbl_Consulting[Qwilr Quote],MATCH(E88&amp;"",tbl_Consulting[Job Number],0)),""),""))))</f>
        <v/>
      </c>
      <c r="AC88" s="25">
        <f>IF(AB88="","",IF(AND(LEFT(AB88,4)&lt;&gt;"http",IF(H88="Production",set_RMSBase,set_QwilrBase)=""),"",HYPERLINK(IF(LEFT(AB88,4)="http",AB88,IF(H88="Production",set_RMSBase,set_QwilrBase)&amp;AB88),"Open")))</f>
        <v/>
      </c>
      <c r="AD88" s="27">
        <f>IF(E88="","",IF(H88="Production",IFERROR(INDEX(tbl_Production[Total Expense],MATCH(E88&amp;"",tbl_Production[Job Number],0)),0),IF(H88="Consulting",IFERROR(INDEX(tbl_Consulting[Total Expense],MATCH(E88&amp;"",tbl_Consulting[Job Number],0)),0),0)))</f>
        <v/>
      </c>
      <c r="AE88" s="27">
        <f>IF(E88="","",Y88-N(AD88))</f>
        <v/>
      </c>
      <c r="AF88" s="29">
        <f>IFERROR(AE88/Y88,"")</f>
        <v/>
      </c>
      <c r="AG88" s="25">
        <f>IF(E88="","",IF(H88="Onsite",IFERROR(INDEX(tbl_Onsite[Notes],MATCH(E88&amp;"",tbl_Onsite[Job Number],0)),""),IF(H88="Production",IFERROR(INDEX(tbl_Production[Notes],MATCH(E88&amp;"",tbl_Production[Job Number],0)),""),IF(H88="Consulting",IFERROR(INDEX(tbl_Consulting[Notes],MATCH(E88&amp;"",tbl_Consulting[Job Number],0)),""),""))))</f>
        <v/>
      </c>
    </row>
    <row r="89" ht="15" customHeight="1">
      <c r="A89" s="22" t="n">
        <v>46259</v>
      </c>
      <c r="B89" s="23">
        <f>IF(A89="","",EOMONTH(A89,0))</f>
        <v/>
      </c>
      <c r="C89" s="24" t="inlineStr">
        <is>
          <t>INV-10577</t>
        </is>
      </c>
      <c r="D89" s="24" t="inlineStr">
        <is>
          <t>PwC</t>
        </is>
      </c>
      <c r="E89" s="24" t="inlineStr">
        <is>
          <t>26072903</t>
        </is>
      </c>
      <c r="F89" s="25">
        <f>IF(E89="","",IF(COUNTIF(lst_Jobs,E89&amp;"")&gt;0,"OK","CHECK"))</f>
        <v/>
      </c>
      <c r="G89" s="24" t="inlineStr">
        <is>
          <t>GB Webcast 11.8.26</t>
        </is>
      </c>
      <c r="H89" s="24" t="inlineStr">
        <is>
          <t>Production</t>
        </is>
      </c>
      <c r="I89" s="24" t="inlineStr">
        <is>
          <t>VIDEO</t>
        </is>
      </c>
      <c r="J89" s="24" t="inlineStr">
        <is>
          <t>Project</t>
        </is>
      </c>
      <c r="K89" s="24" t="inlineStr">
        <is>
          <t>GST 10%</t>
        </is>
      </c>
      <c r="L89" s="26" t="n">
        <v>1065</v>
      </c>
      <c r="M89" s="27">
        <f>IF(L89="","",IF(K89="GST 10%",ROUND(L89*set_GSTRate,2),0))</f>
        <v/>
      </c>
      <c r="N89" s="27">
        <f>IF(L89="","",L89+M89)</f>
        <v/>
      </c>
      <c r="O89" s="24" t="inlineStr">
        <is>
          <t>42150</t>
        </is>
      </c>
      <c r="P89" s="24" t="inlineStr">
        <is>
          <t>Y</t>
        </is>
      </c>
      <c r="Q89" s="24" t="inlineStr">
        <is>
          <t>N</t>
        </is>
      </c>
      <c r="R89" s="22" t="n"/>
      <c r="S89" s="22" t="n"/>
      <c r="T89" s="24" t="inlineStr">
        <is>
          <t>Invoiced</t>
        </is>
      </c>
      <c r="U89" s="24" t="inlineStr">
        <is>
          <t>Video portion of this invoice</t>
        </is>
      </c>
      <c r="V89" s="25">
        <f>IF(COUNTA(A89,D89,C89,L89)=0,"",IF(A89="","No date - sits outside every month",IF(E89="","No job number",IF(F89="CHECK","Job number is not in the Xero job list",IF(I89="","No cost centre",IF(AND(P89="Y",C89=""),"Marked posted to Xero but has no invoice number",IF(AND(L89&lt;&gt;"",K89=""),"No tax code",IF(AND(L89&lt;&gt;"",O89=""),"No revenue GL code",""))))))))</f>
        <v/>
      </c>
      <c r="W89" s="25">
        <f>IF(E89="","",IFERROR(INDEX(lst_JobName,MATCH(E89&amp;"",lst_Jobs,0)),""))</f>
        <v/>
      </c>
      <c r="X89" s="28">
        <f>IF(E89="","",COUNTIFS(tbl_Finance[Job Number],E89&amp;"",tbl_Finance[Ex GST],"&lt;&gt;"))</f>
        <v/>
      </c>
      <c r="Y89" s="27">
        <f>IF(E89="","",SUMIFS(tbl_Finance[Ex GST],tbl_Finance[Job Number],E89&amp;""))</f>
        <v/>
      </c>
      <c r="Z89" s="27">
        <f>IF(E89="","",SUMIFS(tbl_Finance[Ex GST],tbl_Finance[Job Number],E89&amp;"",tbl_Finance[Xero Invoice No],"&lt;&gt;"))</f>
        <v/>
      </c>
      <c r="AA89" s="27">
        <f>IF(E89="","",Y89-Z89)</f>
        <v/>
      </c>
      <c r="AB89" s="25">
        <f>IF(E89="","",IF(H89="Onsite",IFERROR(INDEX(tbl_Onsite[Qwilr Quote],MATCH(E89&amp;"",tbl_Onsite[Job Number],0)),""),IF(H89="Production",IFERROR(IF(INDEX(tbl_Production[Current RMS No],MATCH(E89&amp;"",tbl_Production[Job Number],0))="",INDEX(tbl_Production[Qwilr Quote],MATCH(E89&amp;"",tbl_Production[Job Number],0)),INDEX(tbl_Production[Current RMS No],MATCH(E89&amp;"",tbl_Production[Job Number],0))),""),IF(H89="Consulting",IFERROR(INDEX(tbl_Consulting[Qwilr Quote],MATCH(E89&amp;"",tbl_Consulting[Job Number],0)),""),""))))</f>
        <v/>
      </c>
      <c r="AC89" s="25">
        <f>IF(AB89="","",IF(AND(LEFT(AB89,4)&lt;&gt;"http",IF(H89="Production",set_RMSBase,set_QwilrBase)=""),"",HYPERLINK(IF(LEFT(AB89,4)="http",AB89,IF(H89="Production",set_RMSBase,set_QwilrBase)&amp;AB89),"Open")))</f>
        <v/>
      </c>
      <c r="AD89" s="27">
        <f>IF(E89="","",IF(H89="Production",IFERROR(INDEX(tbl_Production[Total Expense],MATCH(E89&amp;"",tbl_Production[Job Number],0)),0),IF(H89="Consulting",IFERROR(INDEX(tbl_Consulting[Total Expense],MATCH(E89&amp;"",tbl_Consulting[Job Number],0)),0),0)))</f>
        <v/>
      </c>
      <c r="AE89" s="27">
        <f>IF(E89="","",Y89-N(AD89))</f>
        <v/>
      </c>
      <c r="AF89" s="29">
        <f>IFERROR(AE89/Y89,"")</f>
        <v/>
      </c>
      <c r="AG89" s="25">
        <f>IF(E89="","",IF(H89="Onsite",IFERROR(INDEX(tbl_Onsite[Notes],MATCH(E89&amp;"",tbl_Onsite[Job Number],0)),""),IF(H89="Production",IFERROR(INDEX(tbl_Production[Notes],MATCH(E89&amp;"",tbl_Production[Job Number],0)),""),IF(H89="Consulting",IFERROR(INDEX(tbl_Consulting[Notes],MATCH(E89&amp;"",tbl_Consulting[Job Number],0)),""),""))))</f>
        <v/>
      </c>
    </row>
    <row r="90" ht="15" customHeight="1">
      <c r="A90" s="22" t="n">
        <v>46259</v>
      </c>
      <c r="B90" s="23">
        <f>IF(A90="","",EOMONTH(A90,0))</f>
        <v/>
      </c>
      <c r="C90" s="24" t="inlineStr">
        <is>
          <t>INV - 10584
INV - 10585</t>
        </is>
      </c>
      <c r="D90" s="24" t="inlineStr">
        <is>
          <t>MUFG</t>
        </is>
      </c>
      <c r="E90" s="24" t="inlineStr">
        <is>
          <t>26061104</t>
        </is>
      </c>
      <c r="F90" s="25">
        <f>IF(E90="","",IF(COUNTIF(lst_Jobs,E90&amp;"")&gt;0,"OK","CHECK"))</f>
        <v/>
      </c>
      <c r="G90" s="24" t="inlineStr">
        <is>
          <t>MUFG - Suncorp FYR</t>
        </is>
      </c>
      <c r="H90" s="24" t="inlineStr">
        <is>
          <t>Production</t>
        </is>
      </c>
      <c r="I90" s="24" t="inlineStr">
        <is>
          <t>PRODUCTION</t>
        </is>
      </c>
      <c r="J90" s="24" t="inlineStr">
        <is>
          <t>Project</t>
        </is>
      </c>
      <c r="K90" s="24" t="inlineStr">
        <is>
          <t>GST 10%</t>
        </is>
      </c>
      <c r="L90" s="26" t="n">
        <v>25635.25</v>
      </c>
      <c r="M90" s="27">
        <f>IF(L90="","",IF(K90="GST 10%",ROUND(L90*set_GSTRate,2),0))</f>
        <v/>
      </c>
      <c r="N90" s="27">
        <f>IF(L90="","",L90+M90)</f>
        <v/>
      </c>
      <c r="O90" s="24" t="inlineStr">
        <is>
          <t>42100</t>
        </is>
      </c>
      <c r="P90" s="24" t="inlineStr">
        <is>
          <t>Y</t>
        </is>
      </c>
      <c r="Q90" s="24" t="inlineStr">
        <is>
          <t>N</t>
        </is>
      </c>
      <c r="R90" s="22" t="n"/>
      <c r="S90" s="22" t="n"/>
      <c r="T90" s="24" t="inlineStr">
        <is>
          <t>Invoiced</t>
        </is>
      </c>
      <c r="U90" s="24" t="inlineStr">
        <is>
          <t>Production portion of this invoice</t>
        </is>
      </c>
      <c r="V90" s="25">
        <f>IF(COUNTA(A90,D90,C90,L90)=0,"",IF(A90="","No date - sits outside every month",IF(E90="","No job number",IF(F90="CHECK","Job number is not in the Xero job list",IF(I90="","No cost centre",IF(AND(P90="Y",C90=""),"Marked posted to Xero but has no invoice number",IF(AND(L90&lt;&gt;"",K90=""),"No tax code",IF(AND(L90&lt;&gt;"",O90=""),"No revenue GL code",""))))))))</f>
        <v/>
      </c>
      <c r="W90" s="25">
        <f>IF(E90="","",IFERROR(INDEX(lst_JobName,MATCH(E90&amp;"",lst_Jobs,0)),""))</f>
        <v/>
      </c>
      <c r="X90" s="28">
        <f>IF(E90="","",COUNTIFS(tbl_Finance[Job Number],E90&amp;"",tbl_Finance[Ex GST],"&lt;&gt;"))</f>
        <v/>
      </c>
      <c r="Y90" s="27">
        <f>IF(E90="","",SUMIFS(tbl_Finance[Ex GST],tbl_Finance[Job Number],E90&amp;""))</f>
        <v/>
      </c>
      <c r="Z90" s="27">
        <f>IF(E90="","",SUMIFS(tbl_Finance[Ex GST],tbl_Finance[Job Number],E90&amp;"",tbl_Finance[Xero Invoice No],"&lt;&gt;"))</f>
        <v/>
      </c>
      <c r="AA90" s="27">
        <f>IF(E90="","",Y90-Z90)</f>
        <v/>
      </c>
      <c r="AB90" s="25">
        <f>IF(E90="","",IF(H90="Onsite",IFERROR(INDEX(tbl_Onsite[Qwilr Quote],MATCH(E90&amp;"",tbl_Onsite[Job Number],0)),""),IF(H90="Production",IFERROR(IF(INDEX(tbl_Production[Current RMS No],MATCH(E90&amp;"",tbl_Production[Job Number],0))="",INDEX(tbl_Production[Qwilr Quote],MATCH(E90&amp;"",tbl_Production[Job Number],0)),INDEX(tbl_Production[Current RMS No],MATCH(E90&amp;"",tbl_Production[Job Number],0))),""),IF(H90="Consulting",IFERROR(INDEX(tbl_Consulting[Qwilr Quote],MATCH(E90&amp;"",tbl_Consulting[Job Number],0)),""),""))))</f>
        <v/>
      </c>
      <c r="AC90" s="25">
        <f>IF(AB90="","",IF(AND(LEFT(AB90,4)&lt;&gt;"http",IF(H90="Production",set_RMSBase,set_QwilrBase)=""),"",HYPERLINK(IF(LEFT(AB90,4)="http",AB90,IF(H90="Production",set_RMSBase,set_QwilrBase)&amp;AB90),"Open")))</f>
        <v/>
      </c>
      <c r="AD90" s="27">
        <f>IF(E90="","",IF(H90="Production",IFERROR(INDEX(tbl_Production[Total Expense],MATCH(E90&amp;"",tbl_Production[Job Number],0)),0),IF(H90="Consulting",IFERROR(INDEX(tbl_Consulting[Total Expense],MATCH(E90&amp;"",tbl_Consulting[Job Number],0)),0),0)))</f>
        <v/>
      </c>
      <c r="AE90" s="27">
        <f>IF(E90="","",Y90-N(AD90))</f>
        <v/>
      </c>
      <c r="AF90" s="29">
        <f>IFERROR(AE90/Y90,"")</f>
        <v/>
      </c>
      <c r="AG90" s="25">
        <f>IF(E90="","",IF(H90="Onsite",IFERROR(INDEX(tbl_Onsite[Notes],MATCH(E90&amp;"",tbl_Onsite[Job Number],0)),""),IF(H90="Production",IFERROR(INDEX(tbl_Production[Notes],MATCH(E90&amp;"",tbl_Production[Job Number],0)),""),IF(H90="Consulting",IFERROR(INDEX(tbl_Consulting[Notes],MATCH(E90&amp;"",tbl_Consulting[Job Number],0)),""),""))))</f>
        <v/>
      </c>
    </row>
    <row r="91" ht="15" customHeight="1">
      <c r="A91" s="22" t="n">
        <v>46259</v>
      </c>
      <c r="B91" s="23">
        <f>IF(A91="","",EOMONTH(A91,0))</f>
        <v/>
      </c>
      <c r="C91" s="24" t="inlineStr">
        <is>
          <t>INV - 10584
INV - 10585</t>
        </is>
      </c>
      <c r="D91" s="24" t="inlineStr">
        <is>
          <t>MUFG</t>
        </is>
      </c>
      <c r="E91" s="24" t="inlineStr">
        <is>
          <t>26061104</t>
        </is>
      </c>
      <c r="F91" s="25">
        <f>IF(E91="","",IF(COUNTIF(lst_Jobs,E91&amp;"")&gt;0,"OK","CHECK"))</f>
        <v/>
      </c>
      <c r="G91" s="24" t="inlineStr">
        <is>
          <t>MUFG - Suncorp FYR</t>
        </is>
      </c>
      <c r="H91" s="24" t="inlineStr">
        <is>
          <t>Production</t>
        </is>
      </c>
      <c r="I91" s="24" t="inlineStr">
        <is>
          <t>VIDEO</t>
        </is>
      </c>
      <c r="J91" s="24" t="inlineStr">
        <is>
          <t>Project</t>
        </is>
      </c>
      <c r="K91" s="24" t="inlineStr">
        <is>
          <t>GST 10%</t>
        </is>
      </c>
      <c r="L91" s="26" t="n">
        <v>3017</v>
      </c>
      <c r="M91" s="27">
        <f>IF(L91="","",IF(K91="GST 10%",ROUND(L91*set_GSTRate,2),0))</f>
        <v/>
      </c>
      <c r="N91" s="27">
        <f>IF(L91="","",L91+M91)</f>
        <v/>
      </c>
      <c r="O91" s="24" t="inlineStr">
        <is>
          <t>42150</t>
        </is>
      </c>
      <c r="P91" s="24" t="inlineStr">
        <is>
          <t>Y</t>
        </is>
      </c>
      <c r="Q91" s="24" t="inlineStr">
        <is>
          <t>N</t>
        </is>
      </c>
      <c r="R91" s="22" t="n"/>
      <c r="S91" s="22" t="n"/>
      <c r="T91" s="24" t="inlineStr">
        <is>
          <t>Invoiced</t>
        </is>
      </c>
      <c r="U91" s="24" t="inlineStr">
        <is>
          <t>Video portion of this invoice</t>
        </is>
      </c>
      <c r="V91" s="25">
        <f>IF(COUNTA(A91,D91,C91,L91)=0,"",IF(A91="","No date - sits outside every month",IF(E91="","No job number",IF(F91="CHECK","Job number is not in the Xero job list",IF(I91="","No cost centre",IF(AND(P91="Y",C91=""),"Marked posted to Xero but has no invoice number",IF(AND(L91&lt;&gt;"",K91=""),"No tax code",IF(AND(L91&lt;&gt;"",O91=""),"No revenue GL code",""))))))))</f>
        <v/>
      </c>
      <c r="W91" s="25">
        <f>IF(E91="","",IFERROR(INDEX(lst_JobName,MATCH(E91&amp;"",lst_Jobs,0)),""))</f>
        <v/>
      </c>
      <c r="X91" s="28">
        <f>IF(E91="","",COUNTIFS(tbl_Finance[Job Number],E91&amp;"",tbl_Finance[Ex GST],"&lt;&gt;"))</f>
        <v/>
      </c>
      <c r="Y91" s="27">
        <f>IF(E91="","",SUMIFS(tbl_Finance[Ex GST],tbl_Finance[Job Number],E91&amp;""))</f>
        <v/>
      </c>
      <c r="Z91" s="27">
        <f>IF(E91="","",SUMIFS(tbl_Finance[Ex GST],tbl_Finance[Job Number],E91&amp;"",tbl_Finance[Xero Invoice No],"&lt;&gt;"))</f>
        <v/>
      </c>
      <c r="AA91" s="27">
        <f>IF(E91="","",Y91-Z91)</f>
        <v/>
      </c>
      <c r="AB91" s="25">
        <f>IF(E91="","",IF(H91="Onsite",IFERROR(INDEX(tbl_Onsite[Qwilr Quote],MATCH(E91&amp;"",tbl_Onsite[Job Number],0)),""),IF(H91="Production",IFERROR(IF(INDEX(tbl_Production[Current RMS No],MATCH(E91&amp;"",tbl_Production[Job Number],0))="",INDEX(tbl_Production[Qwilr Quote],MATCH(E91&amp;"",tbl_Production[Job Number],0)),INDEX(tbl_Production[Current RMS No],MATCH(E91&amp;"",tbl_Production[Job Number],0))),""),IF(H91="Consulting",IFERROR(INDEX(tbl_Consulting[Qwilr Quote],MATCH(E91&amp;"",tbl_Consulting[Job Number],0)),""),""))))</f>
        <v/>
      </c>
      <c r="AC91" s="25">
        <f>IF(AB91="","",IF(AND(LEFT(AB91,4)&lt;&gt;"http",IF(H91="Production",set_RMSBase,set_QwilrBase)=""),"",HYPERLINK(IF(LEFT(AB91,4)="http",AB91,IF(H91="Production",set_RMSBase,set_QwilrBase)&amp;AB91),"Open")))</f>
        <v/>
      </c>
      <c r="AD91" s="27">
        <f>IF(E91="","",IF(H91="Production",IFERROR(INDEX(tbl_Production[Total Expense],MATCH(E91&amp;"",tbl_Production[Job Number],0)),0),IF(H91="Consulting",IFERROR(INDEX(tbl_Consulting[Total Expense],MATCH(E91&amp;"",tbl_Consulting[Job Number],0)),0),0)))</f>
        <v/>
      </c>
      <c r="AE91" s="27">
        <f>IF(E91="","",Y91-N(AD91))</f>
        <v/>
      </c>
      <c r="AF91" s="29">
        <f>IFERROR(AE91/Y91,"")</f>
        <v/>
      </c>
      <c r="AG91" s="25">
        <f>IF(E91="","",IF(H91="Onsite",IFERROR(INDEX(tbl_Onsite[Notes],MATCH(E91&amp;"",tbl_Onsite[Job Number],0)),""),IF(H91="Production",IFERROR(INDEX(tbl_Production[Notes],MATCH(E91&amp;"",tbl_Production[Job Number],0)),""),IF(H91="Consulting",IFERROR(INDEX(tbl_Consulting[Notes],MATCH(E91&amp;"",tbl_Consulting[Job Number],0)),""),""))))</f>
        <v/>
      </c>
    </row>
    <row r="92" ht="15" customHeight="1">
      <c r="A92" s="22" t="n">
        <v>46247</v>
      </c>
      <c r="B92" s="23">
        <f>IF(A92="","",EOMONTH(A92,0))</f>
        <v/>
      </c>
      <c r="C92" s="24" t="inlineStr">
        <is>
          <t>INV-10563</t>
        </is>
      </c>
      <c r="D92" s="24" t="inlineStr">
        <is>
          <t>CBA</t>
        </is>
      </c>
      <c r="E92" s="24" t="inlineStr">
        <is>
          <t>26061105</t>
        </is>
      </c>
      <c r="F92" s="25">
        <f>IF(E92="","",IF(COUNTIF(lst_Jobs,E92&amp;"")&gt;0,"OK","CHECK"))</f>
        <v/>
      </c>
      <c r="G92" s="24" t="inlineStr">
        <is>
          <t>CBA FYR 2026 (Order PO3308779)</t>
        </is>
      </c>
      <c r="H92" s="24" t="inlineStr">
        <is>
          <t>Production</t>
        </is>
      </c>
      <c r="I92" s="24" t="inlineStr">
        <is>
          <t>PRODUCTION</t>
        </is>
      </c>
      <c r="J92" s="24" t="inlineStr">
        <is>
          <t>Project</t>
        </is>
      </c>
      <c r="K92" s="24" t="inlineStr">
        <is>
          <t>GST 10%</t>
        </is>
      </c>
      <c r="L92" s="26" t="n">
        <v>11320</v>
      </c>
      <c r="M92" s="27">
        <f>IF(L92="","",IF(K92="GST 10%",ROUND(L92*set_GSTRate,2),0))</f>
        <v/>
      </c>
      <c r="N92" s="27">
        <f>IF(L92="","",L92+M92)</f>
        <v/>
      </c>
      <c r="O92" s="24" t="inlineStr">
        <is>
          <t>42100</t>
        </is>
      </c>
      <c r="P92" s="24" t="inlineStr">
        <is>
          <t>Y</t>
        </is>
      </c>
      <c r="Q92" s="24" t="inlineStr">
        <is>
          <t>N</t>
        </is>
      </c>
      <c r="R92" s="22" t="n"/>
      <c r="S92" s="22" t="n"/>
      <c r="T92" s="24" t="inlineStr">
        <is>
          <t>Invoiced</t>
        </is>
      </c>
      <c r="U92" s="24" t="inlineStr">
        <is>
          <t>Production portion of this invoice</t>
        </is>
      </c>
      <c r="V92" s="25">
        <f>IF(COUNTA(A92,D92,C92,L92)=0,"",IF(A92="","No date - sits outside every month",IF(E92="","No job number",IF(F92="CHECK","Job number is not in the Xero job list",IF(I92="","No cost centre",IF(AND(P92="Y",C92=""),"Marked posted to Xero but has no invoice number",IF(AND(L92&lt;&gt;"",K92=""),"No tax code",IF(AND(L92&lt;&gt;"",O92=""),"No revenue GL code",""))))))))</f>
        <v/>
      </c>
      <c r="W92" s="25">
        <f>IF(E92="","",IFERROR(INDEX(lst_JobName,MATCH(E92&amp;"",lst_Jobs,0)),""))</f>
        <v/>
      </c>
      <c r="X92" s="28">
        <f>IF(E92="","",COUNTIFS(tbl_Finance[Job Number],E92&amp;"",tbl_Finance[Ex GST],"&lt;&gt;"))</f>
        <v/>
      </c>
      <c r="Y92" s="27">
        <f>IF(E92="","",SUMIFS(tbl_Finance[Ex GST],tbl_Finance[Job Number],E92&amp;""))</f>
        <v/>
      </c>
      <c r="Z92" s="27">
        <f>IF(E92="","",SUMIFS(tbl_Finance[Ex GST],tbl_Finance[Job Number],E92&amp;"",tbl_Finance[Xero Invoice No],"&lt;&gt;"))</f>
        <v/>
      </c>
      <c r="AA92" s="27">
        <f>IF(E92="","",Y92-Z92)</f>
        <v/>
      </c>
      <c r="AB92" s="25">
        <f>IF(E92="","",IF(H92="Onsite",IFERROR(INDEX(tbl_Onsite[Qwilr Quote],MATCH(E92&amp;"",tbl_Onsite[Job Number],0)),""),IF(H92="Production",IFERROR(IF(INDEX(tbl_Production[Current RMS No],MATCH(E92&amp;"",tbl_Production[Job Number],0))="",INDEX(tbl_Production[Qwilr Quote],MATCH(E92&amp;"",tbl_Production[Job Number],0)),INDEX(tbl_Production[Current RMS No],MATCH(E92&amp;"",tbl_Production[Job Number],0))),""),IF(H92="Consulting",IFERROR(INDEX(tbl_Consulting[Qwilr Quote],MATCH(E92&amp;"",tbl_Consulting[Job Number],0)),""),""))))</f>
        <v/>
      </c>
      <c r="AC92" s="25">
        <f>IF(AB92="","",IF(AND(LEFT(AB92,4)&lt;&gt;"http",IF(H92="Production",set_RMSBase,set_QwilrBase)=""),"",HYPERLINK(IF(LEFT(AB92,4)="http",AB92,IF(H92="Production",set_RMSBase,set_QwilrBase)&amp;AB92),"Open")))</f>
        <v/>
      </c>
      <c r="AD92" s="27">
        <f>IF(E92="","",IF(H92="Production",IFERROR(INDEX(tbl_Production[Total Expense],MATCH(E92&amp;"",tbl_Production[Job Number],0)),0),IF(H92="Consulting",IFERROR(INDEX(tbl_Consulting[Total Expense],MATCH(E92&amp;"",tbl_Consulting[Job Number],0)),0),0)))</f>
        <v/>
      </c>
      <c r="AE92" s="27">
        <f>IF(E92="","",Y92-N(AD92))</f>
        <v/>
      </c>
      <c r="AF92" s="29">
        <f>IFERROR(AE92/Y92,"")</f>
        <v/>
      </c>
      <c r="AG92" s="25">
        <f>IF(E92="","",IF(H92="Onsite",IFERROR(INDEX(tbl_Onsite[Notes],MATCH(E92&amp;"",tbl_Onsite[Job Number],0)),""),IF(H92="Production",IFERROR(INDEX(tbl_Production[Notes],MATCH(E92&amp;"",tbl_Production[Job Number],0)),""),IF(H92="Consulting",IFERROR(INDEX(tbl_Consulting[Notes],MATCH(E92&amp;"",tbl_Consulting[Job Number],0)),""),""))))</f>
        <v/>
      </c>
    </row>
    <row r="93" ht="15" customHeight="1">
      <c r="A93" s="22" t="n">
        <v>46247</v>
      </c>
      <c r="B93" s="23">
        <f>IF(A93="","",EOMONTH(A93,0))</f>
        <v/>
      </c>
      <c r="C93" s="24" t="inlineStr">
        <is>
          <t>INV-10563</t>
        </is>
      </c>
      <c r="D93" s="24" t="inlineStr">
        <is>
          <t>CBA</t>
        </is>
      </c>
      <c r="E93" s="24" t="inlineStr">
        <is>
          <t>26061105</t>
        </is>
      </c>
      <c r="F93" s="25">
        <f>IF(E93="","",IF(COUNTIF(lst_Jobs,E93&amp;"")&gt;0,"OK","CHECK"))</f>
        <v/>
      </c>
      <c r="G93" s="24" t="inlineStr">
        <is>
          <t>CBA FYR 2026 (Order PO3308779)</t>
        </is>
      </c>
      <c r="H93" s="24" t="inlineStr">
        <is>
          <t>Production</t>
        </is>
      </c>
      <c r="I93" s="24" t="inlineStr">
        <is>
          <t>VIDEO</t>
        </is>
      </c>
      <c r="J93" s="24" t="inlineStr">
        <is>
          <t>Project</t>
        </is>
      </c>
      <c r="K93" s="24" t="inlineStr">
        <is>
          <t>GST 10%</t>
        </is>
      </c>
      <c r="L93" s="26" t="n">
        <v>850</v>
      </c>
      <c r="M93" s="27">
        <f>IF(L93="","",IF(K93="GST 10%",ROUND(L93*set_GSTRate,2),0))</f>
        <v/>
      </c>
      <c r="N93" s="27">
        <f>IF(L93="","",L93+M93)</f>
        <v/>
      </c>
      <c r="O93" s="24" t="inlineStr">
        <is>
          <t>42150</t>
        </is>
      </c>
      <c r="P93" s="24" t="inlineStr">
        <is>
          <t>Y</t>
        </is>
      </c>
      <c r="Q93" s="24" t="inlineStr">
        <is>
          <t>N</t>
        </is>
      </c>
      <c r="R93" s="22" t="n"/>
      <c r="S93" s="22" t="n"/>
      <c r="T93" s="24" t="inlineStr">
        <is>
          <t>Invoiced</t>
        </is>
      </c>
      <c r="U93" s="24" t="inlineStr">
        <is>
          <t>Video portion of this invoice</t>
        </is>
      </c>
      <c r="V93" s="25">
        <f>IF(COUNTA(A93,D93,C93,L93)=0,"",IF(A93="","No date - sits outside every month",IF(E93="","No job number",IF(F93="CHECK","Job number is not in the Xero job list",IF(I93="","No cost centre",IF(AND(P93="Y",C93=""),"Marked posted to Xero but has no invoice number",IF(AND(L93&lt;&gt;"",K93=""),"No tax code",IF(AND(L93&lt;&gt;"",O93=""),"No revenue GL code",""))))))))</f>
        <v/>
      </c>
      <c r="W93" s="25">
        <f>IF(E93="","",IFERROR(INDEX(lst_JobName,MATCH(E93&amp;"",lst_Jobs,0)),""))</f>
        <v/>
      </c>
      <c r="X93" s="28">
        <f>IF(E93="","",COUNTIFS(tbl_Finance[Job Number],E93&amp;"",tbl_Finance[Ex GST],"&lt;&gt;"))</f>
        <v/>
      </c>
      <c r="Y93" s="27">
        <f>IF(E93="","",SUMIFS(tbl_Finance[Ex GST],tbl_Finance[Job Number],E93&amp;""))</f>
        <v/>
      </c>
      <c r="Z93" s="27">
        <f>IF(E93="","",SUMIFS(tbl_Finance[Ex GST],tbl_Finance[Job Number],E93&amp;"",tbl_Finance[Xero Invoice No],"&lt;&gt;"))</f>
        <v/>
      </c>
      <c r="AA93" s="27">
        <f>IF(E93="","",Y93-Z93)</f>
        <v/>
      </c>
      <c r="AB93" s="25">
        <f>IF(E93="","",IF(H93="Onsite",IFERROR(INDEX(tbl_Onsite[Qwilr Quote],MATCH(E93&amp;"",tbl_Onsite[Job Number],0)),""),IF(H93="Production",IFERROR(IF(INDEX(tbl_Production[Current RMS No],MATCH(E93&amp;"",tbl_Production[Job Number],0))="",INDEX(tbl_Production[Qwilr Quote],MATCH(E93&amp;"",tbl_Production[Job Number],0)),INDEX(tbl_Production[Current RMS No],MATCH(E93&amp;"",tbl_Production[Job Number],0))),""),IF(H93="Consulting",IFERROR(INDEX(tbl_Consulting[Qwilr Quote],MATCH(E93&amp;"",tbl_Consulting[Job Number],0)),""),""))))</f>
        <v/>
      </c>
      <c r="AC93" s="25">
        <f>IF(AB93="","",IF(AND(LEFT(AB93,4)&lt;&gt;"http",IF(H93="Production",set_RMSBase,set_QwilrBase)=""),"",HYPERLINK(IF(LEFT(AB93,4)="http",AB93,IF(H93="Production",set_RMSBase,set_QwilrBase)&amp;AB93),"Open")))</f>
        <v/>
      </c>
      <c r="AD93" s="27">
        <f>IF(E93="","",IF(H93="Production",IFERROR(INDEX(tbl_Production[Total Expense],MATCH(E93&amp;"",tbl_Production[Job Number],0)),0),IF(H93="Consulting",IFERROR(INDEX(tbl_Consulting[Total Expense],MATCH(E93&amp;"",tbl_Consulting[Job Number],0)),0),0)))</f>
        <v/>
      </c>
      <c r="AE93" s="27">
        <f>IF(E93="","",Y93-N(AD93))</f>
        <v/>
      </c>
      <c r="AF93" s="29">
        <f>IFERROR(AE93/Y93,"")</f>
        <v/>
      </c>
      <c r="AG93" s="25">
        <f>IF(E93="","",IF(H93="Onsite",IFERROR(INDEX(tbl_Onsite[Notes],MATCH(E93&amp;"",tbl_Onsite[Job Number],0)),""),IF(H93="Production",IFERROR(INDEX(tbl_Production[Notes],MATCH(E93&amp;"",tbl_Production[Job Number],0)),""),IF(H93="Consulting",IFERROR(INDEX(tbl_Consulting[Notes],MATCH(E93&amp;"",tbl_Consulting[Job Number],0)),""),""))))</f>
        <v/>
      </c>
    </row>
    <row r="94" ht="15" customHeight="1">
      <c r="A94" s="22" t="n">
        <v>46255</v>
      </c>
      <c r="B94" s="23">
        <f>IF(A94="","",EOMONTH(A94,0))</f>
        <v/>
      </c>
      <c r="C94" s="24" t="inlineStr">
        <is>
          <t>INV-10579</t>
        </is>
      </c>
      <c r="D94" s="24" t="inlineStr">
        <is>
          <t>AGL</t>
        </is>
      </c>
      <c r="E94" s="24" t="inlineStr">
        <is>
          <t>2605401</t>
        </is>
      </c>
      <c r="F94" s="25">
        <f>IF(E94="","",IF(COUNTIF(lst_Jobs,E94&amp;"")&gt;0,"OK","CHECK"))</f>
        <v/>
      </c>
      <c r="G94" s="24" t="inlineStr">
        <is>
          <t>AGL FYR - Investor Briefing</t>
        </is>
      </c>
      <c r="H94" s="24" t="inlineStr">
        <is>
          <t>Production</t>
        </is>
      </c>
      <c r="I94" s="24" t="inlineStr">
        <is>
          <t>PRODUCTION</t>
        </is>
      </c>
      <c r="J94" s="24" t="inlineStr">
        <is>
          <t>Project</t>
        </is>
      </c>
      <c r="K94" s="24" t="inlineStr">
        <is>
          <t>GST 10%</t>
        </is>
      </c>
      <c r="L94" s="26" t="n">
        <v>12465.5</v>
      </c>
      <c r="M94" s="27">
        <f>IF(L94="","",IF(K94="GST 10%",ROUND(L94*set_GSTRate,2),0))</f>
        <v/>
      </c>
      <c r="N94" s="27">
        <f>IF(L94="","",L94+M94)</f>
        <v/>
      </c>
      <c r="O94" s="24" t="inlineStr">
        <is>
          <t>42100</t>
        </is>
      </c>
      <c r="P94" s="24" t="inlineStr">
        <is>
          <t>Y</t>
        </is>
      </c>
      <c r="Q94" s="24" t="inlineStr">
        <is>
          <t>N</t>
        </is>
      </c>
      <c r="R94" s="22" t="n"/>
      <c r="S94" s="22" t="n"/>
      <c r="T94" s="24" t="inlineStr">
        <is>
          <t>Invoiced</t>
        </is>
      </c>
      <c r="U94" s="24" t="inlineStr">
        <is>
          <t>Production portion of this invoice</t>
        </is>
      </c>
      <c r="V94" s="25">
        <f>IF(COUNTA(A94,D94,C94,L94)=0,"",IF(A94="","No date - sits outside every month",IF(E94="","No job number",IF(F94="CHECK","Job number is not in the Xero job list",IF(I94="","No cost centre",IF(AND(P94="Y",C94=""),"Marked posted to Xero but has no invoice number",IF(AND(L94&lt;&gt;"",K94=""),"No tax code",IF(AND(L94&lt;&gt;"",O94=""),"No revenue GL code",""))))))))</f>
        <v/>
      </c>
      <c r="W94" s="25">
        <f>IF(E94="","",IFERROR(INDEX(lst_JobName,MATCH(E94&amp;"",lst_Jobs,0)),""))</f>
        <v/>
      </c>
      <c r="X94" s="28">
        <f>IF(E94="","",COUNTIFS(tbl_Finance[Job Number],E94&amp;"",tbl_Finance[Ex GST],"&lt;&gt;"))</f>
        <v/>
      </c>
      <c r="Y94" s="27">
        <f>IF(E94="","",SUMIFS(tbl_Finance[Ex GST],tbl_Finance[Job Number],E94&amp;""))</f>
        <v/>
      </c>
      <c r="Z94" s="27">
        <f>IF(E94="","",SUMIFS(tbl_Finance[Ex GST],tbl_Finance[Job Number],E94&amp;"",tbl_Finance[Xero Invoice No],"&lt;&gt;"))</f>
        <v/>
      </c>
      <c r="AA94" s="27">
        <f>IF(E94="","",Y94-Z94)</f>
        <v/>
      </c>
      <c r="AB94" s="25">
        <f>IF(E94="","",IF(H94="Onsite",IFERROR(INDEX(tbl_Onsite[Qwilr Quote],MATCH(E94&amp;"",tbl_Onsite[Job Number],0)),""),IF(H94="Production",IFERROR(IF(INDEX(tbl_Production[Current RMS No],MATCH(E94&amp;"",tbl_Production[Job Number],0))="",INDEX(tbl_Production[Qwilr Quote],MATCH(E94&amp;"",tbl_Production[Job Number],0)),INDEX(tbl_Production[Current RMS No],MATCH(E94&amp;"",tbl_Production[Job Number],0))),""),IF(H94="Consulting",IFERROR(INDEX(tbl_Consulting[Qwilr Quote],MATCH(E94&amp;"",tbl_Consulting[Job Number],0)),""),""))))</f>
        <v/>
      </c>
      <c r="AC94" s="25">
        <f>IF(AB94="","",IF(AND(LEFT(AB94,4)&lt;&gt;"http",IF(H94="Production",set_RMSBase,set_QwilrBase)=""),"",HYPERLINK(IF(LEFT(AB94,4)="http",AB94,IF(H94="Production",set_RMSBase,set_QwilrBase)&amp;AB94),"Open")))</f>
        <v/>
      </c>
      <c r="AD94" s="27">
        <f>IF(E94="","",IF(H94="Production",IFERROR(INDEX(tbl_Production[Total Expense],MATCH(E94&amp;"",tbl_Production[Job Number],0)),0),IF(H94="Consulting",IFERROR(INDEX(tbl_Consulting[Total Expense],MATCH(E94&amp;"",tbl_Consulting[Job Number],0)),0),0)))</f>
        <v/>
      </c>
      <c r="AE94" s="27">
        <f>IF(E94="","",Y94-N(AD94))</f>
        <v/>
      </c>
      <c r="AF94" s="29">
        <f>IFERROR(AE94/Y94,"")</f>
        <v/>
      </c>
      <c r="AG94" s="25">
        <f>IF(E94="","",IF(H94="Onsite",IFERROR(INDEX(tbl_Onsite[Notes],MATCH(E94&amp;"",tbl_Onsite[Job Number],0)),""),IF(H94="Production",IFERROR(INDEX(tbl_Production[Notes],MATCH(E94&amp;"",tbl_Production[Job Number],0)),""),IF(H94="Consulting",IFERROR(INDEX(tbl_Consulting[Notes],MATCH(E94&amp;"",tbl_Consulting[Job Number],0)),""),""))))</f>
        <v/>
      </c>
    </row>
    <row r="95" ht="15" customHeight="1">
      <c r="A95" s="22" t="n">
        <v>46255</v>
      </c>
      <c r="B95" s="23">
        <f>IF(A95="","",EOMONTH(A95,0))</f>
        <v/>
      </c>
      <c r="C95" s="24" t="inlineStr">
        <is>
          <t>INV-10579</t>
        </is>
      </c>
      <c r="D95" s="24" t="inlineStr">
        <is>
          <t>AGL</t>
        </is>
      </c>
      <c r="E95" s="24" t="inlineStr">
        <is>
          <t>2605401</t>
        </is>
      </c>
      <c r="F95" s="25">
        <f>IF(E95="","",IF(COUNTIF(lst_Jobs,E95&amp;"")&gt;0,"OK","CHECK"))</f>
        <v/>
      </c>
      <c r="G95" s="24" t="inlineStr">
        <is>
          <t>AGL FYR - Investor Briefing</t>
        </is>
      </c>
      <c r="H95" s="24" t="inlineStr">
        <is>
          <t>Production</t>
        </is>
      </c>
      <c r="I95" s="24" t="inlineStr">
        <is>
          <t>VIDEO</t>
        </is>
      </c>
      <c r="J95" s="24" t="inlineStr">
        <is>
          <t>Project</t>
        </is>
      </c>
      <c r="K95" s="24" t="inlineStr">
        <is>
          <t>GST 10%</t>
        </is>
      </c>
      <c r="L95" s="26" t="n">
        <v>1806</v>
      </c>
      <c r="M95" s="27">
        <f>IF(L95="","",IF(K95="GST 10%",ROUND(L95*set_GSTRate,2),0))</f>
        <v/>
      </c>
      <c r="N95" s="27">
        <f>IF(L95="","",L95+M95)</f>
        <v/>
      </c>
      <c r="O95" s="24" t="inlineStr">
        <is>
          <t>42150</t>
        </is>
      </c>
      <c r="P95" s="24" t="inlineStr">
        <is>
          <t>Y</t>
        </is>
      </c>
      <c r="Q95" s="24" t="inlineStr">
        <is>
          <t>N</t>
        </is>
      </c>
      <c r="R95" s="22" t="n"/>
      <c r="S95" s="22" t="n"/>
      <c r="T95" s="24" t="inlineStr">
        <is>
          <t>Invoiced</t>
        </is>
      </c>
      <c r="U95" s="24" t="inlineStr">
        <is>
          <t>Video portion of this invoice</t>
        </is>
      </c>
      <c r="V95" s="25">
        <f>IF(COUNTA(A95,D95,C95,L95)=0,"",IF(A95="","No date - sits outside every month",IF(E95="","No job number",IF(F95="CHECK","Job number is not in the Xero job list",IF(I95="","No cost centre",IF(AND(P95="Y",C95=""),"Marked posted to Xero but has no invoice number",IF(AND(L95&lt;&gt;"",K95=""),"No tax code",IF(AND(L95&lt;&gt;"",O95=""),"No revenue GL code",""))))))))</f>
        <v/>
      </c>
      <c r="W95" s="25">
        <f>IF(E95="","",IFERROR(INDEX(lst_JobName,MATCH(E95&amp;"",lst_Jobs,0)),""))</f>
        <v/>
      </c>
      <c r="X95" s="28">
        <f>IF(E95="","",COUNTIFS(tbl_Finance[Job Number],E95&amp;"",tbl_Finance[Ex GST],"&lt;&gt;"))</f>
        <v/>
      </c>
      <c r="Y95" s="27">
        <f>IF(E95="","",SUMIFS(tbl_Finance[Ex GST],tbl_Finance[Job Number],E95&amp;""))</f>
        <v/>
      </c>
      <c r="Z95" s="27">
        <f>IF(E95="","",SUMIFS(tbl_Finance[Ex GST],tbl_Finance[Job Number],E95&amp;"",tbl_Finance[Xero Invoice No],"&lt;&gt;"))</f>
        <v/>
      </c>
      <c r="AA95" s="27">
        <f>IF(E95="","",Y95-Z95)</f>
        <v/>
      </c>
      <c r="AB95" s="25">
        <f>IF(E95="","",IF(H95="Onsite",IFERROR(INDEX(tbl_Onsite[Qwilr Quote],MATCH(E95&amp;"",tbl_Onsite[Job Number],0)),""),IF(H95="Production",IFERROR(IF(INDEX(tbl_Production[Current RMS No],MATCH(E95&amp;"",tbl_Production[Job Number],0))="",INDEX(tbl_Production[Qwilr Quote],MATCH(E95&amp;"",tbl_Production[Job Number],0)),INDEX(tbl_Production[Current RMS No],MATCH(E95&amp;"",tbl_Production[Job Number],0))),""),IF(H95="Consulting",IFERROR(INDEX(tbl_Consulting[Qwilr Quote],MATCH(E95&amp;"",tbl_Consulting[Job Number],0)),""),""))))</f>
        <v/>
      </c>
      <c r="AC95" s="25">
        <f>IF(AB95="","",IF(AND(LEFT(AB95,4)&lt;&gt;"http",IF(H95="Production",set_RMSBase,set_QwilrBase)=""),"",HYPERLINK(IF(LEFT(AB95,4)="http",AB95,IF(H95="Production",set_RMSBase,set_QwilrBase)&amp;AB95),"Open")))</f>
        <v/>
      </c>
      <c r="AD95" s="27">
        <f>IF(E95="","",IF(H95="Production",IFERROR(INDEX(tbl_Production[Total Expense],MATCH(E95&amp;"",tbl_Production[Job Number],0)),0),IF(H95="Consulting",IFERROR(INDEX(tbl_Consulting[Total Expense],MATCH(E95&amp;"",tbl_Consulting[Job Number],0)),0),0)))</f>
        <v/>
      </c>
      <c r="AE95" s="27">
        <f>IF(E95="","",Y95-N(AD95))</f>
        <v/>
      </c>
      <c r="AF95" s="29">
        <f>IFERROR(AE95/Y95,"")</f>
        <v/>
      </c>
      <c r="AG95" s="25">
        <f>IF(E95="","",IF(H95="Onsite",IFERROR(INDEX(tbl_Onsite[Notes],MATCH(E95&amp;"",tbl_Onsite[Job Number],0)),""),IF(H95="Production",IFERROR(INDEX(tbl_Production[Notes],MATCH(E95&amp;"",tbl_Production[Job Number],0)),""),IF(H95="Consulting",IFERROR(INDEX(tbl_Consulting[Notes],MATCH(E95&amp;"",tbl_Consulting[Job Number],0)),""),""))))</f>
        <v/>
      </c>
    </row>
    <row r="96" ht="15" customHeight="1">
      <c r="A96" s="22" t="n">
        <v>46255</v>
      </c>
      <c r="B96" s="23">
        <f>IF(A96="","",EOMONTH(A96,0))</f>
        <v/>
      </c>
      <c r="C96" s="24" t="inlineStr">
        <is>
          <t>INV-10578</t>
        </is>
      </c>
      <c r="D96" s="24" t="inlineStr">
        <is>
          <t>AGL</t>
        </is>
      </c>
      <c r="E96" s="24" t="inlineStr">
        <is>
          <t>2605402</t>
        </is>
      </c>
      <c r="F96" s="25">
        <f>IF(E96="","",IF(COUNTIF(lst_Jobs,E96&amp;"")&gt;0,"OK","CHECK"))</f>
        <v/>
      </c>
      <c r="G96" s="24" t="inlineStr">
        <is>
          <t>AGL FYR - Employee Town Hall</t>
        </is>
      </c>
      <c r="H96" s="24" t="inlineStr">
        <is>
          <t>Production</t>
        </is>
      </c>
      <c r="I96" s="24" t="inlineStr">
        <is>
          <t>PRODUCTION</t>
        </is>
      </c>
      <c r="J96" s="24" t="inlineStr">
        <is>
          <t>Project</t>
        </is>
      </c>
      <c r="K96" s="24" t="inlineStr">
        <is>
          <t>GST 10%</t>
        </is>
      </c>
      <c r="L96" s="26" t="n">
        <v>7148.75</v>
      </c>
      <c r="M96" s="27">
        <f>IF(L96="","",IF(K96="GST 10%",ROUND(L96*set_GSTRate,2),0))</f>
        <v/>
      </c>
      <c r="N96" s="27">
        <f>IF(L96="","",L96+M96)</f>
        <v/>
      </c>
      <c r="O96" s="24" t="inlineStr">
        <is>
          <t>42100</t>
        </is>
      </c>
      <c r="P96" s="24" t="inlineStr">
        <is>
          <t>Y</t>
        </is>
      </c>
      <c r="Q96" s="24" t="inlineStr">
        <is>
          <t>N</t>
        </is>
      </c>
      <c r="R96" s="22" t="n"/>
      <c r="S96" s="22" t="n"/>
      <c r="T96" s="24" t="inlineStr">
        <is>
          <t>Invoiced</t>
        </is>
      </c>
      <c r="U96" s="24" t="n"/>
      <c r="V96" s="25">
        <f>IF(COUNTA(A96,D96,C96,L96)=0,"",IF(A96="","No date - sits outside every month",IF(E96="","No job number",IF(F96="CHECK","Job number is not in the Xero job list",IF(I96="","No cost centre",IF(AND(P96="Y",C96=""),"Marked posted to Xero but has no invoice number",IF(AND(L96&lt;&gt;"",K96=""),"No tax code",IF(AND(L96&lt;&gt;"",O96=""),"No revenue GL code",""))))))))</f>
        <v/>
      </c>
      <c r="W96" s="25">
        <f>IF(E96="","",IFERROR(INDEX(lst_JobName,MATCH(E96&amp;"",lst_Jobs,0)),""))</f>
        <v/>
      </c>
      <c r="X96" s="28">
        <f>IF(E96="","",COUNTIFS(tbl_Finance[Job Number],E96&amp;"",tbl_Finance[Ex GST],"&lt;&gt;"))</f>
        <v/>
      </c>
      <c r="Y96" s="27">
        <f>IF(E96="","",SUMIFS(tbl_Finance[Ex GST],tbl_Finance[Job Number],E96&amp;""))</f>
        <v/>
      </c>
      <c r="Z96" s="27">
        <f>IF(E96="","",SUMIFS(tbl_Finance[Ex GST],tbl_Finance[Job Number],E96&amp;"",tbl_Finance[Xero Invoice No],"&lt;&gt;"))</f>
        <v/>
      </c>
      <c r="AA96" s="27">
        <f>IF(E96="","",Y96-Z96)</f>
        <v/>
      </c>
      <c r="AB96" s="25">
        <f>IF(E96="","",IF(H96="Onsite",IFERROR(INDEX(tbl_Onsite[Qwilr Quote],MATCH(E96&amp;"",tbl_Onsite[Job Number],0)),""),IF(H96="Production",IFERROR(IF(INDEX(tbl_Production[Current RMS No],MATCH(E96&amp;"",tbl_Production[Job Number],0))="",INDEX(tbl_Production[Qwilr Quote],MATCH(E96&amp;"",tbl_Production[Job Number],0)),INDEX(tbl_Production[Current RMS No],MATCH(E96&amp;"",tbl_Production[Job Number],0))),""),IF(H96="Consulting",IFERROR(INDEX(tbl_Consulting[Qwilr Quote],MATCH(E96&amp;"",tbl_Consulting[Job Number],0)),""),""))))</f>
        <v/>
      </c>
      <c r="AC96" s="25">
        <f>IF(AB96="","",IF(AND(LEFT(AB96,4)&lt;&gt;"http",IF(H96="Production",set_RMSBase,set_QwilrBase)=""),"",HYPERLINK(IF(LEFT(AB96,4)="http",AB96,IF(H96="Production",set_RMSBase,set_QwilrBase)&amp;AB96),"Open")))</f>
        <v/>
      </c>
      <c r="AD96" s="27">
        <f>IF(E96="","",IF(H96="Production",IFERROR(INDEX(tbl_Production[Total Expense],MATCH(E96&amp;"",tbl_Production[Job Number],0)),0),IF(H96="Consulting",IFERROR(INDEX(tbl_Consulting[Total Expense],MATCH(E96&amp;"",tbl_Consulting[Job Number],0)),0),0)))</f>
        <v/>
      </c>
      <c r="AE96" s="27">
        <f>IF(E96="","",Y96-N(AD96))</f>
        <v/>
      </c>
      <c r="AF96" s="29">
        <f>IFERROR(AE96/Y96,"")</f>
        <v/>
      </c>
      <c r="AG96" s="25">
        <f>IF(E96="","",IF(H96="Onsite",IFERROR(INDEX(tbl_Onsite[Notes],MATCH(E96&amp;"",tbl_Onsite[Job Number],0)),""),IF(H96="Production",IFERROR(INDEX(tbl_Production[Notes],MATCH(E96&amp;"",tbl_Production[Job Number],0)),""),IF(H96="Consulting",IFERROR(INDEX(tbl_Consulting[Notes],MATCH(E96&amp;"",tbl_Consulting[Job Number],0)),""),""))))</f>
        <v/>
      </c>
    </row>
    <row r="97" ht="15" customHeight="1">
      <c r="A97" s="22" t="n">
        <v>46255</v>
      </c>
      <c r="B97" s="23">
        <f>IF(A97="","",EOMONTH(A97,0))</f>
        <v/>
      </c>
      <c r="C97" s="24" t="inlineStr">
        <is>
          <t>INV-10599</t>
        </is>
      </c>
      <c r="D97" s="24" t="inlineStr">
        <is>
          <t>ASX</t>
        </is>
      </c>
      <c r="E97" s="24" t="inlineStr">
        <is>
          <t>2608604</t>
        </is>
      </c>
      <c r="F97" s="25">
        <f>IF(E97="","",IF(COUNTIF(lst_Jobs,E97&amp;"")&gt;0,"OK","CHECK"))</f>
        <v/>
      </c>
      <c r="G97" s="24" t="inlineStr">
        <is>
          <t>ASX Employee Townhall 13.8.26</t>
        </is>
      </c>
      <c r="H97" s="24" t="inlineStr">
        <is>
          <t>Production</t>
        </is>
      </c>
      <c r="I97" s="24" t="inlineStr">
        <is>
          <t>PRODUCTION</t>
        </is>
      </c>
      <c r="J97" s="24" t="inlineStr">
        <is>
          <t>Project</t>
        </is>
      </c>
      <c r="K97" s="24" t="inlineStr">
        <is>
          <t>GST 10%</t>
        </is>
      </c>
      <c r="L97" s="26" t="n">
        <v>1025</v>
      </c>
      <c r="M97" s="27">
        <f>IF(L97="","",IF(K97="GST 10%",ROUND(L97*set_GSTRate,2),0))</f>
        <v/>
      </c>
      <c r="N97" s="27">
        <f>IF(L97="","",L97+M97)</f>
        <v/>
      </c>
      <c r="O97" s="24" t="inlineStr">
        <is>
          <t>42100</t>
        </is>
      </c>
      <c r="P97" s="24" t="inlineStr">
        <is>
          <t>Y</t>
        </is>
      </c>
      <c r="Q97" s="24" t="inlineStr">
        <is>
          <t>N</t>
        </is>
      </c>
      <c r="R97" s="22" t="n"/>
      <c r="S97" s="22" t="n"/>
      <c r="T97" s="24" t="inlineStr">
        <is>
          <t>Invoiced</t>
        </is>
      </c>
      <c r="U97" s="24" t="inlineStr">
        <is>
          <t>Production portion of this invoice</t>
        </is>
      </c>
      <c r="V97" s="25">
        <f>IF(COUNTA(A97,D97,C97,L97)=0,"",IF(A97="","No date - sits outside every month",IF(E97="","No job number",IF(F97="CHECK","Job number is not in the Xero job list",IF(I97="","No cost centre",IF(AND(P97="Y",C97=""),"Marked posted to Xero but has no invoice number",IF(AND(L97&lt;&gt;"",K97=""),"No tax code",IF(AND(L97&lt;&gt;"",O97=""),"No revenue GL code",""))))))))</f>
        <v/>
      </c>
      <c r="W97" s="25">
        <f>IF(E97="","",IFERROR(INDEX(lst_JobName,MATCH(E97&amp;"",lst_Jobs,0)),""))</f>
        <v/>
      </c>
      <c r="X97" s="28">
        <f>IF(E97="","",COUNTIFS(tbl_Finance[Job Number],E97&amp;"",tbl_Finance[Ex GST],"&lt;&gt;"))</f>
        <v/>
      </c>
      <c r="Y97" s="27">
        <f>IF(E97="","",SUMIFS(tbl_Finance[Ex GST],tbl_Finance[Job Number],E97&amp;""))</f>
        <v/>
      </c>
      <c r="Z97" s="27">
        <f>IF(E97="","",SUMIFS(tbl_Finance[Ex GST],tbl_Finance[Job Number],E97&amp;"",tbl_Finance[Xero Invoice No],"&lt;&gt;"))</f>
        <v/>
      </c>
      <c r="AA97" s="27">
        <f>IF(E97="","",Y97-Z97)</f>
        <v/>
      </c>
      <c r="AB97" s="25">
        <f>IF(E97="","",IF(H97="Onsite",IFERROR(INDEX(tbl_Onsite[Qwilr Quote],MATCH(E97&amp;"",tbl_Onsite[Job Number],0)),""),IF(H97="Production",IFERROR(IF(INDEX(tbl_Production[Current RMS No],MATCH(E97&amp;"",tbl_Production[Job Number],0))="",INDEX(tbl_Production[Qwilr Quote],MATCH(E97&amp;"",tbl_Production[Job Number],0)),INDEX(tbl_Production[Current RMS No],MATCH(E97&amp;"",tbl_Production[Job Number],0))),""),IF(H97="Consulting",IFERROR(INDEX(tbl_Consulting[Qwilr Quote],MATCH(E97&amp;"",tbl_Consulting[Job Number],0)),""),""))))</f>
        <v/>
      </c>
      <c r="AC97" s="25">
        <f>IF(AB97="","",IF(AND(LEFT(AB97,4)&lt;&gt;"http",IF(H97="Production",set_RMSBase,set_QwilrBase)=""),"",HYPERLINK(IF(LEFT(AB97,4)="http",AB97,IF(H97="Production",set_RMSBase,set_QwilrBase)&amp;AB97),"Open")))</f>
        <v/>
      </c>
      <c r="AD97" s="27">
        <f>IF(E97="","",IF(H97="Production",IFERROR(INDEX(tbl_Production[Total Expense],MATCH(E97&amp;"",tbl_Production[Job Number],0)),0),IF(H97="Consulting",IFERROR(INDEX(tbl_Consulting[Total Expense],MATCH(E97&amp;"",tbl_Consulting[Job Number],0)),0),0)))</f>
        <v/>
      </c>
      <c r="AE97" s="27">
        <f>IF(E97="","",Y97-N(AD97))</f>
        <v/>
      </c>
      <c r="AF97" s="29">
        <f>IFERROR(AE97/Y97,"")</f>
        <v/>
      </c>
      <c r="AG97" s="25">
        <f>IF(E97="","",IF(H97="Onsite",IFERROR(INDEX(tbl_Onsite[Notes],MATCH(E97&amp;"",tbl_Onsite[Job Number],0)),""),IF(H97="Production",IFERROR(INDEX(tbl_Production[Notes],MATCH(E97&amp;"",tbl_Production[Job Number],0)),""),IF(H97="Consulting",IFERROR(INDEX(tbl_Consulting[Notes],MATCH(E97&amp;"",tbl_Consulting[Job Number],0)),""),""))))</f>
        <v/>
      </c>
    </row>
    <row r="98" ht="15" customHeight="1">
      <c r="A98" s="22" t="n">
        <v>46255</v>
      </c>
      <c r="B98" s="23">
        <f>IF(A98="","",EOMONTH(A98,0))</f>
        <v/>
      </c>
      <c r="C98" s="24" t="inlineStr">
        <is>
          <t>INV-10599</t>
        </is>
      </c>
      <c r="D98" s="24" t="inlineStr">
        <is>
          <t>ASX</t>
        </is>
      </c>
      <c r="E98" s="24" t="inlineStr">
        <is>
          <t>2608604</t>
        </is>
      </c>
      <c r="F98" s="25">
        <f>IF(E98="","",IF(COUNTIF(lst_Jobs,E98&amp;"")&gt;0,"OK","CHECK"))</f>
        <v/>
      </c>
      <c r="G98" s="24" t="inlineStr">
        <is>
          <t>ASX Employee Townhall 13.8.26</t>
        </is>
      </c>
      <c r="H98" s="24" t="inlineStr">
        <is>
          <t>Production</t>
        </is>
      </c>
      <c r="I98" s="24" t="inlineStr">
        <is>
          <t>VIDEO</t>
        </is>
      </c>
      <c r="J98" s="24" t="inlineStr">
        <is>
          <t>Project</t>
        </is>
      </c>
      <c r="K98" s="24" t="inlineStr">
        <is>
          <t>GST 10%</t>
        </is>
      </c>
      <c r="L98" s="26" t="n">
        <v>485</v>
      </c>
      <c r="M98" s="27">
        <f>IF(L98="","",IF(K98="GST 10%",ROUND(L98*set_GSTRate,2),0))</f>
        <v/>
      </c>
      <c r="N98" s="27">
        <f>IF(L98="","",L98+M98)</f>
        <v/>
      </c>
      <c r="O98" s="24" t="inlineStr">
        <is>
          <t>42150</t>
        </is>
      </c>
      <c r="P98" s="24" t="inlineStr">
        <is>
          <t>Y</t>
        </is>
      </c>
      <c r="Q98" s="24" t="inlineStr">
        <is>
          <t>N</t>
        </is>
      </c>
      <c r="R98" s="22" t="n"/>
      <c r="S98" s="22" t="n"/>
      <c r="T98" s="24" t="inlineStr">
        <is>
          <t>Invoiced</t>
        </is>
      </c>
      <c r="U98" s="24" t="inlineStr">
        <is>
          <t>Video portion of this invoice</t>
        </is>
      </c>
      <c r="V98" s="25">
        <f>IF(COUNTA(A98,D98,C98,L98)=0,"",IF(A98="","No date - sits outside every month",IF(E98="","No job number",IF(F98="CHECK","Job number is not in the Xero job list",IF(I98="","No cost centre",IF(AND(P98="Y",C98=""),"Marked posted to Xero but has no invoice number",IF(AND(L98&lt;&gt;"",K98=""),"No tax code",IF(AND(L98&lt;&gt;"",O98=""),"No revenue GL code",""))))))))</f>
        <v/>
      </c>
      <c r="W98" s="25">
        <f>IF(E98="","",IFERROR(INDEX(lst_JobName,MATCH(E98&amp;"",lst_Jobs,0)),""))</f>
        <v/>
      </c>
      <c r="X98" s="28">
        <f>IF(E98="","",COUNTIFS(tbl_Finance[Job Number],E98&amp;"",tbl_Finance[Ex GST],"&lt;&gt;"))</f>
        <v/>
      </c>
      <c r="Y98" s="27">
        <f>IF(E98="","",SUMIFS(tbl_Finance[Ex GST],tbl_Finance[Job Number],E98&amp;""))</f>
        <v/>
      </c>
      <c r="Z98" s="27">
        <f>IF(E98="","",SUMIFS(tbl_Finance[Ex GST],tbl_Finance[Job Number],E98&amp;"",tbl_Finance[Xero Invoice No],"&lt;&gt;"))</f>
        <v/>
      </c>
      <c r="AA98" s="27">
        <f>IF(E98="","",Y98-Z98)</f>
        <v/>
      </c>
      <c r="AB98" s="25">
        <f>IF(E98="","",IF(H98="Onsite",IFERROR(INDEX(tbl_Onsite[Qwilr Quote],MATCH(E98&amp;"",tbl_Onsite[Job Number],0)),""),IF(H98="Production",IFERROR(IF(INDEX(tbl_Production[Current RMS No],MATCH(E98&amp;"",tbl_Production[Job Number],0))="",INDEX(tbl_Production[Qwilr Quote],MATCH(E98&amp;"",tbl_Production[Job Number],0)),INDEX(tbl_Production[Current RMS No],MATCH(E98&amp;"",tbl_Production[Job Number],0))),""),IF(H98="Consulting",IFERROR(INDEX(tbl_Consulting[Qwilr Quote],MATCH(E98&amp;"",tbl_Consulting[Job Number],0)),""),""))))</f>
        <v/>
      </c>
      <c r="AC98" s="25">
        <f>IF(AB98="","",IF(AND(LEFT(AB98,4)&lt;&gt;"http",IF(H98="Production",set_RMSBase,set_QwilrBase)=""),"",HYPERLINK(IF(LEFT(AB98,4)="http",AB98,IF(H98="Production",set_RMSBase,set_QwilrBase)&amp;AB98),"Open")))</f>
        <v/>
      </c>
      <c r="AD98" s="27">
        <f>IF(E98="","",IF(H98="Production",IFERROR(INDEX(tbl_Production[Total Expense],MATCH(E98&amp;"",tbl_Production[Job Number],0)),0),IF(H98="Consulting",IFERROR(INDEX(tbl_Consulting[Total Expense],MATCH(E98&amp;"",tbl_Consulting[Job Number],0)),0),0)))</f>
        <v/>
      </c>
      <c r="AE98" s="27">
        <f>IF(E98="","",Y98-N(AD98))</f>
        <v/>
      </c>
      <c r="AF98" s="29">
        <f>IFERROR(AE98/Y98,"")</f>
        <v/>
      </c>
      <c r="AG98" s="25">
        <f>IF(E98="","",IF(H98="Onsite",IFERROR(INDEX(tbl_Onsite[Notes],MATCH(E98&amp;"",tbl_Onsite[Job Number],0)),""),IF(H98="Production",IFERROR(INDEX(tbl_Production[Notes],MATCH(E98&amp;"",tbl_Production[Job Number],0)),""),IF(H98="Consulting",IFERROR(INDEX(tbl_Consulting[Notes],MATCH(E98&amp;"",tbl_Consulting[Job Number],0)),""),""))))</f>
        <v/>
      </c>
    </row>
    <row r="99" ht="15" customHeight="1">
      <c r="A99" s="22" t="n">
        <v>46255</v>
      </c>
      <c r="B99" s="23">
        <f>IF(A99="","",EOMONTH(A99,0))</f>
        <v/>
      </c>
      <c r="C99" s="24" t="inlineStr">
        <is>
          <t>INV-10576</t>
        </is>
      </c>
      <c r="D99" s="24" t="inlineStr">
        <is>
          <t>ASX</t>
        </is>
      </c>
      <c r="E99" s="24" t="inlineStr">
        <is>
          <t>26052702</t>
        </is>
      </c>
      <c r="F99" s="25">
        <f>IF(E99="","",IF(COUNTIF(lst_Jobs,E99&amp;"")&gt;0,"OK","CHECK"))</f>
        <v/>
      </c>
      <c r="G99" s="24" t="inlineStr">
        <is>
          <t>ASX FYR Briefing 13.8.26</t>
        </is>
      </c>
      <c r="H99" s="24" t="inlineStr">
        <is>
          <t>Production</t>
        </is>
      </c>
      <c r="I99" s="24" t="inlineStr">
        <is>
          <t>PRODUCTION</t>
        </is>
      </c>
      <c r="J99" s="24" t="inlineStr">
        <is>
          <t>Project</t>
        </is>
      </c>
      <c r="K99" s="24" t="inlineStr">
        <is>
          <t>GST 10%</t>
        </is>
      </c>
      <c r="L99" s="26" t="n">
        <v>34222</v>
      </c>
      <c r="M99" s="27">
        <f>IF(L99="","",IF(K99="GST 10%",ROUND(L99*set_GSTRate,2),0))</f>
        <v/>
      </c>
      <c r="N99" s="27">
        <f>IF(L99="","",L99+M99)</f>
        <v/>
      </c>
      <c r="O99" s="24" t="inlineStr">
        <is>
          <t>42100</t>
        </is>
      </c>
      <c r="P99" s="24" t="inlineStr">
        <is>
          <t>Y</t>
        </is>
      </c>
      <c r="Q99" s="24" t="inlineStr">
        <is>
          <t>N</t>
        </is>
      </c>
      <c r="R99" s="22" t="n"/>
      <c r="S99" s="22" t="n"/>
      <c r="T99" s="24" t="inlineStr">
        <is>
          <t>Invoiced</t>
        </is>
      </c>
      <c r="U99" s="24" t="inlineStr">
        <is>
          <t>Production portion of this invoice</t>
        </is>
      </c>
      <c r="V99" s="25">
        <f>IF(COUNTA(A99,D99,C99,L99)=0,"",IF(A99="","No date - sits outside every month",IF(E99="","No job number",IF(F99="CHECK","Job number is not in the Xero job list",IF(I99="","No cost centre",IF(AND(P99="Y",C99=""),"Marked posted to Xero but has no invoice number",IF(AND(L99&lt;&gt;"",K99=""),"No tax code",IF(AND(L99&lt;&gt;"",O99=""),"No revenue GL code",""))))))))</f>
        <v/>
      </c>
      <c r="W99" s="25">
        <f>IF(E99="","",IFERROR(INDEX(lst_JobName,MATCH(E99&amp;"",lst_Jobs,0)),""))</f>
        <v/>
      </c>
      <c r="X99" s="28">
        <f>IF(E99="","",COUNTIFS(tbl_Finance[Job Number],E99&amp;"",tbl_Finance[Ex GST],"&lt;&gt;"))</f>
        <v/>
      </c>
      <c r="Y99" s="27">
        <f>IF(E99="","",SUMIFS(tbl_Finance[Ex GST],tbl_Finance[Job Number],E99&amp;""))</f>
        <v/>
      </c>
      <c r="Z99" s="27">
        <f>IF(E99="","",SUMIFS(tbl_Finance[Ex GST],tbl_Finance[Job Number],E99&amp;"",tbl_Finance[Xero Invoice No],"&lt;&gt;"))</f>
        <v/>
      </c>
      <c r="AA99" s="27">
        <f>IF(E99="","",Y99-Z99)</f>
        <v/>
      </c>
      <c r="AB99" s="25">
        <f>IF(E99="","",IF(H99="Onsite",IFERROR(INDEX(tbl_Onsite[Qwilr Quote],MATCH(E99&amp;"",tbl_Onsite[Job Number],0)),""),IF(H99="Production",IFERROR(IF(INDEX(tbl_Production[Current RMS No],MATCH(E99&amp;"",tbl_Production[Job Number],0))="",INDEX(tbl_Production[Qwilr Quote],MATCH(E99&amp;"",tbl_Production[Job Number],0)),INDEX(tbl_Production[Current RMS No],MATCH(E99&amp;"",tbl_Production[Job Number],0))),""),IF(H99="Consulting",IFERROR(INDEX(tbl_Consulting[Qwilr Quote],MATCH(E99&amp;"",tbl_Consulting[Job Number],0)),""),""))))</f>
        <v/>
      </c>
      <c r="AC99" s="25">
        <f>IF(AB99="","",IF(AND(LEFT(AB99,4)&lt;&gt;"http",IF(H99="Production",set_RMSBase,set_QwilrBase)=""),"",HYPERLINK(IF(LEFT(AB99,4)="http",AB99,IF(H99="Production",set_RMSBase,set_QwilrBase)&amp;AB99),"Open")))</f>
        <v/>
      </c>
      <c r="AD99" s="27">
        <f>IF(E99="","",IF(H99="Production",IFERROR(INDEX(tbl_Production[Total Expense],MATCH(E99&amp;"",tbl_Production[Job Number],0)),0),IF(H99="Consulting",IFERROR(INDEX(tbl_Consulting[Total Expense],MATCH(E99&amp;"",tbl_Consulting[Job Number],0)),0),0)))</f>
        <v/>
      </c>
      <c r="AE99" s="27">
        <f>IF(E99="","",Y99-N(AD99))</f>
        <v/>
      </c>
      <c r="AF99" s="29">
        <f>IFERROR(AE99/Y99,"")</f>
        <v/>
      </c>
      <c r="AG99" s="25">
        <f>IF(E99="","",IF(H99="Onsite",IFERROR(INDEX(tbl_Onsite[Notes],MATCH(E99&amp;"",tbl_Onsite[Job Number],0)),""),IF(H99="Production",IFERROR(INDEX(tbl_Production[Notes],MATCH(E99&amp;"",tbl_Production[Job Number],0)),""),IF(H99="Consulting",IFERROR(INDEX(tbl_Consulting[Notes],MATCH(E99&amp;"",tbl_Consulting[Job Number],0)),""),""))))</f>
        <v/>
      </c>
    </row>
    <row r="100" ht="15" customHeight="1">
      <c r="A100" s="22" t="n">
        <v>46255</v>
      </c>
      <c r="B100" s="23">
        <f>IF(A100="","",EOMONTH(A100,0))</f>
        <v/>
      </c>
      <c r="C100" s="24" t="inlineStr">
        <is>
          <t>INV-10576</t>
        </is>
      </c>
      <c r="D100" s="24" t="inlineStr">
        <is>
          <t>ASX</t>
        </is>
      </c>
      <c r="E100" s="24" t="inlineStr">
        <is>
          <t>26052702</t>
        </is>
      </c>
      <c r="F100" s="25">
        <f>IF(E100="","",IF(COUNTIF(lst_Jobs,E100&amp;"")&gt;0,"OK","CHECK"))</f>
        <v/>
      </c>
      <c r="G100" s="24" t="inlineStr">
        <is>
          <t>ASX FYR Briefing 13.8.26</t>
        </is>
      </c>
      <c r="H100" s="24" t="inlineStr">
        <is>
          <t>Production</t>
        </is>
      </c>
      <c r="I100" s="24" t="inlineStr">
        <is>
          <t>VIDEO</t>
        </is>
      </c>
      <c r="J100" s="24" t="inlineStr">
        <is>
          <t>Project</t>
        </is>
      </c>
      <c r="K100" s="24" t="inlineStr">
        <is>
          <t>GST 10%</t>
        </is>
      </c>
      <c r="L100" s="26" t="n">
        <v>3357</v>
      </c>
      <c r="M100" s="27">
        <f>IF(L100="","",IF(K100="GST 10%",ROUND(L100*set_GSTRate,2),0))</f>
        <v/>
      </c>
      <c r="N100" s="27">
        <f>IF(L100="","",L100+M100)</f>
        <v/>
      </c>
      <c r="O100" s="24" t="inlineStr">
        <is>
          <t>42150</t>
        </is>
      </c>
      <c r="P100" s="24" t="inlineStr">
        <is>
          <t>Y</t>
        </is>
      </c>
      <c r="Q100" s="24" t="inlineStr">
        <is>
          <t>N</t>
        </is>
      </c>
      <c r="R100" s="22" t="n"/>
      <c r="S100" s="22" t="n"/>
      <c r="T100" s="24" t="inlineStr">
        <is>
          <t>Invoiced</t>
        </is>
      </c>
      <c r="U100" s="24" t="inlineStr">
        <is>
          <t>Video portion of this invoice</t>
        </is>
      </c>
      <c r="V100" s="25">
        <f>IF(COUNTA(A100,D100,C100,L100)=0,"",IF(A100="","No date - sits outside every month",IF(E100="","No job number",IF(F100="CHECK","Job number is not in the Xero job list",IF(I100="","No cost centre",IF(AND(P100="Y",C100=""),"Marked posted to Xero but has no invoice number",IF(AND(L100&lt;&gt;"",K100=""),"No tax code",IF(AND(L100&lt;&gt;"",O100=""),"No revenue GL code",""))))))))</f>
        <v/>
      </c>
      <c r="W100" s="25">
        <f>IF(E100="","",IFERROR(INDEX(lst_JobName,MATCH(E100&amp;"",lst_Jobs,0)),""))</f>
        <v/>
      </c>
      <c r="X100" s="28">
        <f>IF(E100="","",COUNTIFS(tbl_Finance[Job Number],E100&amp;"",tbl_Finance[Ex GST],"&lt;&gt;"))</f>
        <v/>
      </c>
      <c r="Y100" s="27">
        <f>IF(E100="","",SUMIFS(tbl_Finance[Ex GST],tbl_Finance[Job Number],E100&amp;""))</f>
        <v/>
      </c>
      <c r="Z100" s="27">
        <f>IF(E100="","",SUMIFS(tbl_Finance[Ex GST],tbl_Finance[Job Number],E100&amp;"",tbl_Finance[Xero Invoice No],"&lt;&gt;"))</f>
        <v/>
      </c>
      <c r="AA100" s="27">
        <f>IF(E100="","",Y100-Z100)</f>
        <v/>
      </c>
      <c r="AB100" s="25">
        <f>IF(E100="","",IF(H100="Onsite",IFERROR(INDEX(tbl_Onsite[Qwilr Quote],MATCH(E100&amp;"",tbl_Onsite[Job Number],0)),""),IF(H100="Production",IFERROR(IF(INDEX(tbl_Production[Current RMS No],MATCH(E100&amp;"",tbl_Production[Job Number],0))="",INDEX(tbl_Production[Qwilr Quote],MATCH(E100&amp;"",tbl_Production[Job Number],0)),INDEX(tbl_Production[Current RMS No],MATCH(E100&amp;"",tbl_Production[Job Number],0))),""),IF(H100="Consulting",IFERROR(INDEX(tbl_Consulting[Qwilr Quote],MATCH(E100&amp;"",tbl_Consulting[Job Number],0)),""),""))))</f>
        <v/>
      </c>
      <c r="AC100" s="25">
        <f>IF(AB100="","",IF(AND(LEFT(AB100,4)&lt;&gt;"http",IF(H100="Production",set_RMSBase,set_QwilrBase)=""),"",HYPERLINK(IF(LEFT(AB100,4)="http",AB100,IF(H100="Production",set_RMSBase,set_QwilrBase)&amp;AB100),"Open")))</f>
        <v/>
      </c>
      <c r="AD100" s="27">
        <f>IF(E100="","",IF(H100="Production",IFERROR(INDEX(tbl_Production[Total Expense],MATCH(E100&amp;"",tbl_Production[Job Number],0)),0),IF(H100="Consulting",IFERROR(INDEX(tbl_Consulting[Total Expense],MATCH(E100&amp;"",tbl_Consulting[Job Number],0)),0),0)))</f>
        <v/>
      </c>
      <c r="AE100" s="27">
        <f>IF(E100="","",Y100-N(AD100))</f>
        <v/>
      </c>
      <c r="AF100" s="29">
        <f>IFERROR(AE100/Y100,"")</f>
        <v/>
      </c>
      <c r="AG100" s="25">
        <f>IF(E100="","",IF(H100="Onsite",IFERROR(INDEX(tbl_Onsite[Notes],MATCH(E100&amp;"",tbl_Onsite[Job Number],0)),""),IF(H100="Production",IFERROR(INDEX(tbl_Production[Notes],MATCH(E100&amp;"",tbl_Production[Job Number],0)),""),IF(H100="Consulting",IFERROR(INDEX(tbl_Consulting[Notes],MATCH(E100&amp;"",tbl_Consulting[Job Number],0)),""),""))))</f>
        <v/>
      </c>
    </row>
    <row r="101" ht="15" customHeight="1">
      <c r="A101" s="22" t="n">
        <v>46261</v>
      </c>
      <c r="B101" s="23">
        <f>IF(A101="","",EOMONTH(A101,0))</f>
        <v/>
      </c>
      <c r="C101" s="24" t="inlineStr">
        <is>
          <t>INV-10600</t>
        </is>
      </c>
      <c r="D101" s="24" t="inlineStr">
        <is>
          <t>ASX</t>
        </is>
      </c>
      <c r="E101" s="24" t="inlineStr">
        <is>
          <t>26072906</t>
        </is>
      </c>
      <c r="F101" s="25">
        <f>IF(E101="","",IF(COUNTIF(lst_Jobs,E101&amp;"")&gt;0,"OK","CHECK"))</f>
        <v/>
      </c>
      <c r="G101" s="24" t="inlineStr">
        <is>
          <t>ASX Advisory Group on Corporate Governance</t>
        </is>
      </c>
      <c r="H101" s="24" t="inlineStr">
        <is>
          <t>Production</t>
        </is>
      </c>
      <c r="I101" s="24" t="inlineStr">
        <is>
          <t>PRODUCTION</t>
        </is>
      </c>
      <c r="J101" s="24" t="inlineStr">
        <is>
          <t>Project</t>
        </is>
      </c>
      <c r="K101" s="24" t="inlineStr">
        <is>
          <t>GST 10%</t>
        </is>
      </c>
      <c r="L101" s="26" t="n">
        <v>380</v>
      </c>
      <c r="M101" s="27">
        <f>IF(L101="","",IF(K101="GST 10%",ROUND(L101*set_GSTRate,2),0))</f>
        <v/>
      </c>
      <c r="N101" s="27">
        <f>IF(L101="","",L101+M101)</f>
        <v/>
      </c>
      <c r="O101" s="24" t="inlineStr">
        <is>
          <t>42100</t>
        </is>
      </c>
      <c r="P101" s="24" t="inlineStr">
        <is>
          <t>Y</t>
        </is>
      </c>
      <c r="Q101" s="24" t="inlineStr">
        <is>
          <t>N</t>
        </is>
      </c>
      <c r="R101" s="22" t="n"/>
      <c r="S101" s="22" t="n"/>
      <c r="T101" s="24" t="inlineStr">
        <is>
          <t>Invoiced</t>
        </is>
      </c>
      <c r="U101" s="24" t="inlineStr">
        <is>
          <t>Production portion of this invoice</t>
        </is>
      </c>
      <c r="V101" s="25">
        <f>IF(COUNTA(A101,D101,C101,L101)=0,"",IF(A101="","No date - sits outside every month",IF(E101="","No job number",IF(F101="CHECK","Job number is not in the Xero job list",IF(I101="","No cost centre",IF(AND(P101="Y",C101=""),"Marked posted to Xero but has no invoice number",IF(AND(L101&lt;&gt;"",K101=""),"No tax code",IF(AND(L101&lt;&gt;"",O101=""),"No revenue GL code",""))))))))</f>
        <v/>
      </c>
      <c r="W101" s="25">
        <f>IF(E101="","",IFERROR(INDEX(lst_JobName,MATCH(E101&amp;"",lst_Jobs,0)),""))</f>
        <v/>
      </c>
      <c r="X101" s="28">
        <f>IF(E101="","",COUNTIFS(tbl_Finance[Job Number],E101&amp;"",tbl_Finance[Ex GST],"&lt;&gt;"))</f>
        <v/>
      </c>
      <c r="Y101" s="27">
        <f>IF(E101="","",SUMIFS(tbl_Finance[Ex GST],tbl_Finance[Job Number],E101&amp;""))</f>
        <v/>
      </c>
      <c r="Z101" s="27">
        <f>IF(E101="","",SUMIFS(tbl_Finance[Ex GST],tbl_Finance[Job Number],E101&amp;"",tbl_Finance[Xero Invoice No],"&lt;&gt;"))</f>
        <v/>
      </c>
      <c r="AA101" s="27">
        <f>IF(E101="","",Y101-Z101)</f>
        <v/>
      </c>
      <c r="AB101" s="25">
        <f>IF(E101="","",IF(H101="Onsite",IFERROR(INDEX(tbl_Onsite[Qwilr Quote],MATCH(E101&amp;"",tbl_Onsite[Job Number],0)),""),IF(H101="Production",IFERROR(IF(INDEX(tbl_Production[Current RMS No],MATCH(E101&amp;"",tbl_Production[Job Number],0))="",INDEX(tbl_Production[Qwilr Quote],MATCH(E101&amp;"",tbl_Production[Job Number],0)),INDEX(tbl_Production[Current RMS No],MATCH(E101&amp;"",tbl_Production[Job Number],0))),""),IF(H101="Consulting",IFERROR(INDEX(tbl_Consulting[Qwilr Quote],MATCH(E101&amp;"",tbl_Consulting[Job Number],0)),""),""))))</f>
        <v/>
      </c>
      <c r="AC101" s="25">
        <f>IF(AB101="","",IF(AND(LEFT(AB101,4)&lt;&gt;"http",IF(H101="Production",set_RMSBase,set_QwilrBase)=""),"",HYPERLINK(IF(LEFT(AB101,4)="http",AB101,IF(H101="Production",set_RMSBase,set_QwilrBase)&amp;AB101),"Open")))</f>
        <v/>
      </c>
      <c r="AD101" s="27">
        <f>IF(E101="","",IF(H101="Production",IFERROR(INDEX(tbl_Production[Total Expense],MATCH(E101&amp;"",tbl_Production[Job Number],0)),0),IF(H101="Consulting",IFERROR(INDEX(tbl_Consulting[Total Expense],MATCH(E101&amp;"",tbl_Consulting[Job Number],0)),0),0)))</f>
        <v/>
      </c>
      <c r="AE101" s="27">
        <f>IF(E101="","",Y101-N(AD101))</f>
        <v/>
      </c>
      <c r="AF101" s="29">
        <f>IFERROR(AE101/Y101,"")</f>
        <v/>
      </c>
      <c r="AG101" s="25">
        <f>IF(E101="","",IF(H101="Onsite",IFERROR(INDEX(tbl_Onsite[Notes],MATCH(E101&amp;"",tbl_Onsite[Job Number],0)),""),IF(H101="Production",IFERROR(INDEX(tbl_Production[Notes],MATCH(E101&amp;"",tbl_Production[Job Number],0)),""),IF(H101="Consulting",IFERROR(INDEX(tbl_Consulting[Notes],MATCH(E101&amp;"",tbl_Consulting[Job Number],0)),""),""))))</f>
        <v/>
      </c>
    </row>
    <row r="102" ht="15" customHeight="1">
      <c r="A102" s="22" t="n">
        <v>46261</v>
      </c>
      <c r="B102" s="23">
        <f>IF(A102="","",EOMONTH(A102,0))</f>
        <v/>
      </c>
      <c r="C102" s="24" t="inlineStr">
        <is>
          <t>INV-10600</t>
        </is>
      </c>
      <c r="D102" s="24" t="inlineStr">
        <is>
          <t>ASX</t>
        </is>
      </c>
      <c r="E102" s="24" t="inlineStr">
        <is>
          <t>26072906</t>
        </is>
      </c>
      <c r="F102" s="25">
        <f>IF(E102="","",IF(COUNTIF(lst_Jobs,E102&amp;"")&gt;0,"OK","CHECK"))</f>
        <v/>
      </c>
      <c r="G102" s="24" t="inlineStr">
        <is>
          <t>ASX Advisory Group on Corporate Governance</t>
        </is>
      </c>
      <c r="H102" s="24" t="inlineStr">
        <is>
          <t>Production</t>
        </is>
      </c>
      <c r="I102" s="24" t="inlineStr">
        <is>
          <t>VIDEO</t>
        </is>
      </c>
      <c r="J102" s="24" t="inlineStr">
        <is>
          <t>Project</t>
        </is>
      </c>
      <c r="K102" s="24" t="inlineStr">
        <is>
          <t>GST 10%</t>
        </is>
      </c>
      <c r="L102" s="26" t="n">
        <v>4221.7</v>
      </c>
      <c r="M102" s="27">
        <f>IF(L102="","",IF(K102="GST 10%",ROUND(L102*set_GSTRate,2),0))</f>
        <v/>
      </c>
      <c r="N102" s="27">
        <f>IF(L102="","",L102+M102)</f>
        <v/>
      </c>
      <c r="O102" s="24" t="inlineStr">
        <is>
          <t>42150</t>
        </is>
      </c>
      <c r="P102" s="24" t="inlineStr">
        <is>
          <t>Y</t>
        </is>
      </c>
      <c r="Q102" s="24" t="inlineStr">
        <is>
          <t>N</t>
        </is>
      </c>
      <c r="R102" s="22" t="n"/>
      <c r="S102" s="22" t="n"/>
      <c r="T102" s="24" t="inlineStr">
        <is>
          <t>Invoiced</t>
        </is>
      </c>
      <c r="U102" s="24" t="inlineStr">
        <is>
          <t>Video portion of this invoice</t>
        </is>
      </c>
      <c r="V102" s="25">
        <f>IF(COUNTA(A102,D102,C102,L102)=0,"",IF(A102="","No date - sits outside every month",IF(E102="","No job number",IF(F102="CHECK","Job number is not in the Xero job list",IF(I102="","No cost centre",IF(AND(P102="Y",C102=""),"Marked posted to Xero but has no invoice number",IF(AND(L102&lt;&gt;"",K102=""),"No tax code",IF(AND(L102&lt;&gt;"",O102=""),"No revenue GL code",""))))))))</f>
        <v/>
      </c>
      <c r="W102" s="25">
        <f>IF(E102="","",IFERROR(INDEX(lst_JobName,MATCH(E102&amp;"",lst_Jobs,0)),""))</f>
        <v/>
      </c>
      <c r="X102" s="28">
        <f>IF(E102="","",COUNTIFS(tbl_Finance[Job Number],E102&amp;"",tbl_Finance[Ex GST],"&lt;&gt;"))</f>
        <v/>
      </c>
      <c r="Y102" s="27">
        <f>IF(E102="","",SUMIFS(tbl_Finance[Ex GST],tbl_Finance[Job Number],E102&amp;""))</f>
        <v/>
      </c>
      <c r="Z102" s="27">
        <f>IF(E102="","",SUMIFS(tbl_Finance[Ex GST],tbl_Finance[Job Number],E102&amp;"",tbl_Finance[Xero Invoice No],"&lt;&gt;"))</f>
        <v/>
      </c>
      <c r="AA102" s="27">
        <f>IF(E102="","",Y102-Z102)</f>
        <v/>
      </c>
      <c r="AB102" s="25">
        <f>IF(E102="","",IF(H102="Onsite",IFERROR(INDEX(tbl_Onsite[Qwilr Quote],MATCH(E102&amp;"",tbl_Onsite[Job Number],0)),""),IF(H102="Production",IFERROR(IF(INDEX(tbl_Production[Current RMS No],MATCH(E102&amp;"",tbl_Production[Job Number],0))="",INDEX(tbl_Production[Qwilr Quote],MATCH(E102&amp;"",tbl_Production[Job Number],0)),INDEX(tbl_Production[Current RMS No],MATCH(E102&amp;"",tbl_Production[Job Number],0))),""),IF(H102="Consulting",IFERROR(INDEX(tbl_Consulting[Qwilr Quote],MATCH(E102&amp;"",tbl_Consulting[Job Number],0)),""),""))))</f>
        <v/>
      </c>
      <c r="AC102" s="25">
        <f>IF(AB102="","",IF(AND(LEFT(AB102,4)&lt;&gt;"http",IF(H102="Production",set_RMSBase,set_QwilrBase)=""),"",HYPERLINK(IF(LEFT(AB102,4)="http",AB102,IF(H102="Production",set_RMSBase,set_QwilrBase)&amp;AB102),"Open")))</f>
        <v/>
      </c>
      <c r="AD102" s="27">
        <f>IF(E102="","",IF(H102="Production",IFERROR(INDEX(tbl_Production[Total Expense],MATCH(E102&amp;"",tbl_Production[Job Number],0)),0),IF(H102="Consulting",IFERROR(INDEX(tbl_Consulting[Total Expense],MATCH(E102&amp;"",tbl_Consulting[Job Number],0)),0),0)))</f>
        <v/>
      </c>
      <c r="AE102" s="27">
        <f>IF(E102="","",Y102-N(AD102))</f>
        <v/>
      </c>
      <c r="AF102" s="29">
        <f>IFERROR(AE102/Y102,"")</f>
        <v/>
      </c>
      <c r="AG102" s="25">
        <f>IF(E102="","",IF(H102="Onsite",IFERROR(INDEX(tbl_Onsite[Notes],MATCH(E102&amp;"",tbl_Onsite[Job Number],0)),""),IF(H102="Production",IFERROR(INDEX(tbl_Production[Notes],MATCH(E102&amp;"",tbl_Production[Job Number],0)),""),IF(H102="Consulting",IFERROR(INDEX(tbl_Consulting[Notes],MATCH(E102&amp;"",tbl_Consulting[Job Number],0)),""),""))))</f>
        <v/>
      </c>
    </row>
    <row r="103" ht="15" customHeight="1">
      <c r="A103" s="22" t="n">
        <v>46265</v>
      </c>
      <c r="B103" s="23">
        <f>IF(A103="","",EOMONTH(A103,0))</f>
        <v/>
      </c>
      <c r="C103" s="24" t="inlineStr">
        <is>
          <t>INV-10590</t>
        </is>
      </c>
      <c r="D103" s="24" t="inlineStr">
        <is>
          <t>Cochlear</t>
        </is>
      </c>
      <c r="E103" s="24" t="inlineStr">
        <is>
          <t>2603104</t>
        </is>
      </c>
      <c r="F103" s="25">
        <f>IF(E103="","",IF(COUNTIF(lst_Jobs,E103&amp;"")&gt;0,"OK","CHECK"))</f>
        <v/>
      </c>
      <c r="G103" s="24" t="inlineStr">
        <is>
          <t>Cochlear FY26 Results 18.8.26</t>
        </is>
      </c>
      <c r="H103" s="24" t="inlineStr">
        <is>
          <t>Production</t>
        </is>
      </c>
      <c r="I103" s="24" t="inlineStr">
        <is>
          <t>PRODUCTION</t>
        </is>
      </c>
      <c r="J103" s="24" t="inlineStr">
        <is>
          <t>Project</t>
        </is>
      </c>
      <c r="K103" s="24" t="inlineStr">
        <is>
          <t>GST 10%</t>
        </is>
      </c>
      <c r="L103" s="26" t="n">
        <v>10540.5</v>
      </c>
      <c r="M103" s="27">
        <f>IF(L103="","",IF(K103="GST 10%",ROUND(L103*set_GSTRate,2),0))</f>
        <v/>
      </c>
      <c r="N103" s="27">
        <f>IF(L103="","",L103+M103)</f>
        <v/>
      </c>
      <c r="O103" s="24" t="inlineStr">
        <is>
          <t>42100</t>
        </is>
      </c>
      <c r="P103" s="24" t="inlineStr">
        <is>
          <t>Y</t>
        </is>
      </c>
      <c r="Q103" s="24" t="inlineStr">
        <is>
          <t>N</t>
        </is>
      </c>
      <c r="R103" s="22" t="n"/>
      <c r="S103" s="22" t="n"/>
      <c r="T103" s="24" t="inlineStr">
        <is>
          <t>Invoiced</t>
        </is>
      </c>
      <c r="U103" s="24" t="n"/>
      <c r="V103" s="25">
        <f>IF(COUNTA(A103,D103,C103,L103)=0,"",IF(A103="","No date - sits outside every month",IF(E103="","No job number",IF(F103="CHECK","Job number is not in the Xero job list",IF(I103="","No cost centre",IF(AND(P103="Y",C103=""),"Marked posted to Xero but has no invoice number",IF(AND(L103&lt;&gt;"",K103=""),"No tax code",IF(AND(L103&lt;&gt;"",O103=""),"No revenue GL code",""))))))))</f>
        <v/>
      </c>
      <c r="W103" s="25">
        <f>IF(E103="","",IFERROR(INDEX(lst_JobName,MATCH(E103&amp;"",lst_Jobs,0)),""))</f>
        <v/>
      </c>
      <c r="X103" s="28">
        <f>IF(E103="","",COUNTIFS(tbl_Finance[Job Number],E103&amp;"",tbl_Finance[Ex GST],"&lt;&gt;"))</f>
        <v/>
      </c>
      <c r="Y103" s="27">
        <f>IF(E103="","",SUMIFS(tbl_Finance[Ex GST],tbl_Finance[Job Number],E103&amp;""))</f>
        <v/>
      </c>
      <c r="Z103" s="27">
        <f>IF(E103="","",SUMIFS(tbl_Finance[Ex GST],tbl_Finance[Job Number],E103&amp;"",tbl_Finance[Xero Invoice No],"&lt;&gt;"))</f>
        <v/>
      </c>
      <c r="AA103" s="27">
        <f>IF(E103="","",Y103-Z103)</f>
        <v/>
      </c>
      <c r="AB103" s="25">
        <f>IF(E103="","",IF(H103="Onsite",IFERROR(INDEX(tbl_Onsite[Qwilr Quote],MATCH(E103&amp;"",tbl_Onsite[Job Number],0)),""),IF(H103="Production",IFERROR(IF(INDEX(tbl_Production[Current RMS No],MATCH(E103&amp;"",tbl_Production[Job Number],0))="",INDEX(tbl_Production[Qwilr Quote],MATCH(E103&amp;"",tbl_Production[Job Number],0)),INDEX(tbl_Production[Current RMS No],MATCH(E103&amp;"",tbl_Production[Job Number],0))),""),IF(H103="Consulting",IFERROR(INDEX(tbl_Consulting[Qwilr Quote],MATCH(E103&amp;"",tbl_Consulting[Job Number],0)),""),""))))</f>
        <v/>
      </c>
      <c r="AC103" s="25">
        <f>IF(AB103="","",IF(AND(LEFT(AB103,4)&lt;&gt;"http",IF(H103="Production",set_RMSBase,set_QwilrBase)=""),"",HYPERLINK(IF(LEFT(AB103,4)="http",AB103,IF(H103="Production",set_RMSBase,set_QwilrBase)&amp;AB103),"Open")))</f>
        <v/>
      </c>
      <c r="AD103" s="27">
        <f>IF(E103="","",IF(H103="Production",IFERROR(INDEX(tbl_Production[Total Expense],MATCH(E103&amp;"",tbl_Production[Job Number],0)),0),IF(H103="Consulting",IFERROR(INDEX(tbl_Consulting[Total Expense],MATCH(E103&amp;"",tbl_Consulting[Job Number],0)),0),0)))</f>
        <v/>
      </c>
      <c r="AE103" s="27">
        <f>IF(E103="","",Y103-N(AD103))</f>
        <v/>
      </c>
      <c r="AF103" s="29">
        <f>IFERROR(AE103/Y103,"")</f>
        <v/>
      </c>
      <c r="AG103" s="25">
        <f>IF(E103="","",IF(H103="Onsite",IFERROR(INDEX(tbl_Onsite[Notes],MATCH(E103&amp;"",tbl_Onsite[Job Number],0)),""),IF(H103="Production",IFERROR(INDEX(tbl_Production[Notes],MATCH(E103&amp;"",tbl_Production[Job Number],0)),""),IF(H103="Consulting",IFERROR(INDEX(tbl_Consulting[Notes],MATCH(E103&amp;"",tbl_Consulting[Job Number],0)),""),""))))</f>
        <v/>
      </c>
    </row>
    <row r="104" ht="15" customHeight="1">
      <c r="A104" s="22" t="n">
        <v>46260</v>
      </c>
      <c r="B104" s="23">
        <f>IF(A104="","",EOMONTH(A104,0))</f>
        <v/>
      </c>
      <c r="C104" s="24" t="inlineStr">
        <is>
          <t>INV-10589</t>
        </is>
      </c>
      <c r="D104" s="24" t="inlineStr">
        <is>
          <t>ON24</t>
        </is>
      </c>
      <c r="E104" s="24" t="inlineStr">
        <is>
          <t>26072802</t>
        </is>
      </c>
      <c r="F104" s="25">
        <f>IF(E104="","",IF(COUNTIF(lst_Jobs,E104&amp;"")&gt;0,"OK","CHECK"))</f>
        <v/>
      </c>
      <c r="G104" s="24" t="inlineStr">
        <is>
          <t>KWM Sydney Event 18.8.26 (PO25962)</t>
        </is>
      </c>
      <c r="H104" s="24" t="inlineStr">
        <is>
          <t>Production</t>
        </is>
      </c>
      <c r="I104" s="24" t="inlineStr">
        <is>
          <t>PRODUCTION</t>
        </is>
      </c>
      <c r="J104" s="24" t="inlineStr">
        <is>
          <t>Project</t>
        </is>
      </c>
      <c r="K104" s="24" t="inlineStr">
        <is>
          <t>GST 10%</t>
        </is>
      </c>
      <c r="L104" s="26" t="n">
        <v>2732.5</v>
      </c>
      <c r="M104" s="27">
        <f>IF(L104="","",IF(K104="GST 10%",ROUND(L104*set_GSTRate,2),0))</f>
        <v/>
      </c>
      <c r="N104" s="27">
        <f>IF(L104="","",L104+M104)</f>
        <v/>
      </c>
      <c r="O104" s="24" t="inlineStr">
        <is>
          <t>42100</t>
        </is>
      </c>
      <c r="P104" s="24" t="inlineStr">
        <is>
          <t>Y</t>
        </is>
      </c>
      <c r="Q104" s="24" t="inlineStr">
        <is>
          <t>N</t>
        </is>
      </c>
      <c r="R104" s="22" t="n"/>
      <c r="S104" s="22" t="n"/>
      <c r="T104" s="24" t="inlineStr">
        <is>
          <t>Invoiced</t>
        </is>
      </c>
      <c r="U104" s="24" t="n"/>
      <c r="V104" s="25">
        <f>IF(COUNTA(A104,D104,C104,L104)=0,"",IF(A104="","No date - sits outside every month",IF(E104="","No job number",IF(F104="CHECK","Job number is not in the Xero job list",IF(I104="","No cost centre",IF(AND(P104="Y",C104=""),"Marked posted to Xero but has no invoice number",IF(AND(L104&lt;&gt;"",K104=""),"No tax code",IF(AND(L104&lt;&gt;"",O104=""),"No revenue GL code",""))))))))</f>
        <v/>
      </c>
      <c r="W104" s="25">
        <f>IF(E104="","",IFERROR(INDEX(lst_JobName,MATCH(E104&amp;"",lst_Jobs,0)),""))</f>
        <v/>
      </c>
      <c r="X104" s="28">
        <f>IF(E104="","",COUNTIFS(tbl_Finance[Job Number],E104&amp;"",tbl_Finance[Ex GST],"&lt;&gt;"))</f>
        <v/>
      </c>
      <c r="Y104" s="27">
        <f>IF(E104="","",SUMIFS(tbl_Finance[Ex GST],tbl_Finance[Job Number],E104&amp;""))</f>
        <v/>
      </c>
      <c r="Z104" s="27">
        <f>IF(E104="","",SUMIFS(tbl_Finance[Ex GST],tbl_Finance[Job Number],E104&amp;"",tbl_Finance[Xero Invoice No],"&lt;&gt;"))</f>
        <v/>
      </c>
      <c r="AA104" s="27">
        <f>IF(E104="","",Y104-Z104)</f>
        <v/>
      </c>
      <c r="AB104" s="25">
        <f>IF(E104="","",IF(H104="Onsite",IFERROR(INDEX(tbl_Onsite[Qwilr Quote],MATCH(E104&amp;"",tbl_Onsite[Job Number],0)),""),IF(H104="Production",IFERROR(IF(INDEX(tbl_Production[Current RMS No],MATCH(E104&amp;"",tbl_Production[Job Number],0))="",INDEX(tbl_Production[Qwilr Quote],MATCH(E104&amp;"",tbl_Production[Job Number],0)),INDEX(tbl_Production[Current RMS No],MATCH(E104&amp;"",tbl_Production[Job Number],0))),""),IF(H104="Consulting",IFERROR(INDEX(tbl_Consulting[Qwilr Quote],MATCH(E104&amp;"",tbl_Consulting[Job Number],0)),""),""))))</f>
        <v/>
      </c>
      <c r="AC104" s="25">
        <f>IF(AB104="","",IF(AND(LEFT(AB104,4)&lt;&gt;"http",IF(H104="Production",set_RMSBase,set_QwilrBase)=""),"",HYPERLINK(IF(LEFT(AB104,4)="http",AB104,IF(H104="Production",set_RMSBase,set_QwilrBase)&amp;AB104),"Open")))</f>
        <v/>
      </c>
      <c r="AD104" s="27">
        <f>IF(E104="","",IF(H104="Production",IFERROR(INDEX(tbl_Production[Total Expense],MATCH(E104&amp;"",tbl_Production[Job Number],0)),0),IF(H104="Consulting",IFERROR(INDEX(tbl_Consulting[Total Expense],MATCH(E104&amp;"",tbl_Consulting[Job Number],0)),0),0)))</f>
        <v/>
      </c>
      <c r="AE104" s="27">
        <f>IF(E104="","",Y104-N(AD104))</f>
        <v/>
      </c>
      <c r="AF104" s="29">
        <f>IFERROR(AE104/Y104,"")</f>
        <v/>
      </c>
      <c r="AG104" s="25">
        <f>IF(E104="","",IF(H104="Onsite",IFERROR(INDEX(tbl_Onsite[Notes],MATCH(E104&amp;"",tbl_Onsite[Job Number],0)),""),IF(H104="Production",IFERROR(INDEX(tbl_Production[Notes],MATCH(E104&amp;"",tbl_Production[Job Number],0)),""),IF(H104="Consulting",IFERROR(INDEX(tbl_Consulting[Notes],MATCH(E104&amp;"",tbl_Consulting[Job Number],0)),""),""))))</f>
        <v/>
      </c>
    </row>
    <row r="105" ht="15" customHeight="1">
      <c r="A105" s="22" t="n">
        <v>46260</v>
      </c>
      <c r="B105" s="23">
        <f>IF(A105="","",EOMONTH(A105,0))</f>
        <v/>
      </c>
      <c r="C105" s="24" t="inlineStr">
        <is>
          <t>INV-10588</t>
        </is>
      </c>
      <c r="D105" s="24" t="inlineStr">
        <is>
          <t>Dimensional</t>
        </is>
      </c>
      <c r="E105" s="24" t="inlineStr">
        <is>
          <t>26081402</t>
        </is>
      </c>
      <c r="F105" s="25">
        <f>IF(E105="","",IF(COUNTIF(lst_Jobs,E105&amp;"")&gt;0,"OK","CHECK"))</f>
        <v/>
      </c>
      <c r="G105" s="24" t="inlineStr">
        <is>
          <t>AV Support 19.8.26</t>
        </is>
      </c>
      <c r="H105" s="24" t="inlineStr">
        <is>
          <t>Production</t>
        </is>
      </c>
      <c r="I105" s="24" t="inlineStr">
        <is>
          <t>PRODUCTION</t>
        </is>
      </c>
      <c r="J105" s="24" t="inlineStr">
        <is>
          <t>Project</t>
        </is>
      </c>
      <c r="K105" s="24" t="inlineStr">
        <is>
          <t>GST 10%</t>
        </is>
      </c>
      <c r="L105" s="26" t="n">
        <v>460</v>
      </c>
      <c r="M105" s="27">
        <f>IF(L105="","",IF(K105="GST 10%",ROUND(L105*set_GSTRate,2),0))</f>
        <v/>
      </c>
      <c r="N105" s="27">
        <f>IF(L105="","",L105+M105)</f>
        <v/>
      </c>
      <c r="O105" s="24" t="inlineStr">
        <is>
          <t>42100</t>
        </is>
      </c>
      <c r="P105" s="24" t="inlineStr">
        <is>
          <t>Y</t>
        </is>
      </c>
      <c r="Q105" s="24" t="inlineStr">
        <is>
          <t>N</t>
        </is>
      </c>
      <c r="R105" s="22" t="n"/>
      <c r="S105" s="22" t="n"/>
      <c r="T105" s="24" t="inlineStr">
        <is>
          <t>Invoiced</t>
        </is>
      </c>
      <c r="U105" s="24" t="n"/>
      <c r="V105" s="25">
        <f>IF(COUNTA(A105,D105,C105,L105)=0,"",IF(A105="","No date - sits outside every month",IF(E105="","No job number",IF(F105="CHECK","Job number is not in the Xero job list",IF(I105="","No cost centre",IF(AND(P105="Y",C105=""),"Marked posted to Xero but has no invoice number",IF(AND(L105&lt;&gt;"",K105=""),"No tax code",IF(AND(L105&lt;&gt;"",O105=""),"No revenue GL code",""))))))))</f>
        <v/>
      </c>
      <c r="W105" s="25">
        <f>IF(E105="","",IFERROR(INDEX(lst_JobName,MATCH(E105&amp;"",lst_Jobs,0)),""))</f>
        <v/>
      </c>
      <c r="X105" s="28">
        <f>IF(E105="","",COUNTIFS(tbl_Finance[Job Number],E105&amp;"",tbl_Finance[Ex GST],"&lt;&gt;"))</f>
        <v/>
      </c>
      <c r="Y105" s="27">
        <f>IF(E105="","",SUMIFS(tbl_Finance[Ex GST],tbl_Finance[Job Number],E105&amp;""))</f>
        <v/>
      </c>
      <c r="Z105" s="27">
        <f>IF(E105="","",SUMIFS(tbl_Finance[Ex GST],tbl_Finance[Job Number],E105&amp;"",tbl_Finance[Xero Invoice No],"&lt;&gt;"))</f>
        <v/>
      </c>
      <c r="AA105" s="27">
        <f>IF(E105="","",Y105-Z105)</f>
        <v/>
      </c>
      <c r="AB105" s="25">
        <f>IF(E105="","",IF(H105="Onsite",IFERROR(INDEX(tbl_Onsite[Qwilr Quote],MATCH(E105&amp;"",tbl_Onsite[Job Number],0)),""),IF(H105="Production",IFERROR(IF(INDEX(tbl_Production[Current RMS No],MATCH(E105&amp;"",tbl_Production[Job Number],0))="",INDEX(tbl_Production[Qwilr Quote],MATCH(E105&amp;"",tbl_Production[Job Number],0)),INDEX(tbl_Production[Current RMS No],MATCH(E105&amp;"",tbl_Production[Job Number],0))),""),IF(H105="Consulting",IFERROR(INDEX(tbl_Consulting[Qwilr Quote],MATCH(E105&amp;"",tbl_Consulting[Job Number],0)),""),""))))</f>
        <v/>
      </c>
      <c r="AC105" s="25">
        <f>IF(AB105="","",IF(AND(LEFT(AB105,4)&lt;&gt;"http",IF(H105="Production",set_RMSBase,set_QwilrBase)=""),"",HYPERLINK(IF(LEFT(AB105,4)="http",AB105,IF(H105="Production",set_RMSBase,set_QwilrBase)&amp;AB105),"Open")))</f>
        <v/>
      </c>
      <c r="AD105" s="27">
        <f>IF(E105="","",IF(H105="Production",IFERROR(INDEX(tbl_Production[Total Expense],MATCH(E105&amp;"",tbl_Production[Job Number],0)),0),IF(H105="Consulting",IFERROR(INDEX(tbl_Consulting[Total Expense],MATCH(E105&amp;"",tbl_Consulting[Job Number],0)),0),0)))</f>
        <v/>
      </c>
      <c r="AE105" s="27">
        <f>IF(E105="","",Y105-N(AD105))</f>
        <v/>
      </c>
      <c r="AF105" s="29">
        <f>IFERROR(AE105/Y105,"")</f>
        <v/>
      </c>
      <c r="AG105" s="25">
        <f>IF(E105="","",IF(H105="Onsite",IFERROR(INDEX(tbl_Onsite[Notes],MATCH(E105&amp;"",tbl_Onsite[Job Number],0)),""),IF(H105="Production",IFERROR(INDEX(tbl_Production[Notes],MATCH(E105&amp;"",tbl_Production[Job Number],0)),""),IF(H105="Consulting",IFERROR(INDEX(tbl_Consulting[Notes],MATCH(E105&amp;"",tbl_Consulting[Job Number],0)),""),""))))</f>
        <v/>
      </c>
    </row>
    <row r="106" ht="15" customHeight="1">
      <c r="A106" s="22" t="n">
        <v>46259</v>
      </c>
      <c r="B106" s="23">
        <f>IF(A106="","",EOMONTH(A106,0))</f>
        <v/>
      </c>
      <c r="C106" s="24" t="inlineStr">
        <is>
          <t>INV-10591</t>
        </is>
      </c>
      <c r="D106" s="24" t="inlineStr">
        <is>
          <t>TLC -  Melbourne</t>
        </is>
      </c>
      <c r="E106" s="24" t="inlineStr">
        <is>
          <t>26061106</t>
        </is>
      </c>
      <c r="F106" s="25">
        <f>IF(E106="","",IF(COUNTIF(lst_Jobs,E106&amp;"")&gt;0,"OK","CHECK"))</f>
        <v/>
      </c>
      <c r="G106" s="24" t="inlineStr">
        <is>
          <t>TLC Full Year Results</t>
        </is>
      </c>
      <c r="H106" s="24" t="inlineStr">
        <is>
          <t>Production</t>
        </is>
      </c>
      <c r="I106" s="24" t="inlineStr">
        <is>
          <t>PRODUCTION</t>
        </is>
      </c>
      <c r="J106" s="24" t="inlineStr">
        <is>
          <t>Project</t>
        </is>
      </c>
      <c r="K106" s="24" t="inlineStr">
        <is>
          <t>GST 10%</t>
        </is>
      </c>
      <c r="L106" s="26" t="n">
        <v>12987</v>
      </c>
      <c r="M106" s="27">
        <f>IF(L106="","",IF(K106="GST 10%",ROUND(L106*set_GSTRate,2),0))</f>
        <v/>
      </c>
      <c r="N106" s="27">
        <f>IF(L106="","",L106+M106)</f>
        <v/>
      </c>
      <c r="O106" s="24" t="inlineStr">
        <is>
          <t>42100</t>
        </is>
      </c>
      <c r="P106" s="24" t="inlineStr">
        <is>
          <t>Y</t>
        </is>
      </c>
      <c r="Q106" s="24" t="inlineStr">
        <is>
          <t>N</t>
        </is>
      </c>
      <c r="R106" s="22" t="n"/>
      <c r="S106" s="22" t="n"/>
      <c r="T106" s="24" t="inlineStr">
        <is>
          <t>Invoiced</t>
        </is>
      </c>
      <c r="U106" s="24" t="inlineStr">
        <is>
          <t>Production portion of this invoice</t>
        </is>
      </c>
      <c r="V106" s="25">
        <f>IF(COUNTA(A106,D106,C106,L106)=0,"",IF(A106="","No date - sits outside every month",IF(E106="","No job number",IF(F106="CHECK","Job number is not in the Xero job list",IF(I106="","No cost centre",IF(AND(P106="Y",C106=""),"Marked posted to Xero but has no invoice number",IF(AND(L106&lt;&gt;"",K106=""),"No tax code",IF(AND(L106&lt;&gt;"",O106=""),"No revenue GL code",""))))))))</f>
        <v/>
      </c>
      <c r="W106" s="25">
        <f>IF(E106="","",IFERROR(INDEX(lst_JobName,MATCH(E106&amp;"",lst_Jobs,0)),""))</f>
        <v/>
      </c>
      <c r="X106" s="28">
        <f>IF(E106="","",COUNTIFS(tbl_Finance[Job Number],E106&amp;"",tbl_Finance[Ex GST],"&lt;&gt;"))</f>
        <v/>
      </c>
      <c r="Y106" s="27">
        <f>IF(E106="","",SUMIFS(tbl_Finance[Ex GST],tbl_Finance[Job Number],E106&amp;""))</f>
        <v/>
      </c>
      <c r="Z106" s="27">
        <f>IF(E106="","",SUMIFS(tbl_Finance[Ex GST],tbl_Finance[Job Number],E106&amp;"",tbl_Finance[Xero Invoice No],"&lt;&gt;"))</f>
        <v/>
      </c>
      <c r="AA106" s="27">
        <f>IF(E106="","",Y106-Z106)</f>
        <v/>
      </c>
      <c r="AB106" s="25">
        <f>IF(E106="","",IF(H106="Onsite",IFERROR(INDEX(tbl_Onsite[Qwilr Quote],MATCH(E106&amp;"",tbl_Onsite[Job Number],0)),""),IF(H106="Production",IFERROR(IF(INDEX(tbl_Production[Current RMS No],MATCH(E106&amp;"",tbl_Production[Job Number],0))="",INDEX(tbl_Production[Qwilr Quote],MATCH(E106&amp;"",tbl_Production[Job Number],0)),INDEX(tbl_Production[Current RMS No],MATCH(E106&amp;"",tbl_Production[Job Number],0))),""),IF(H106="Consulting",IFERROR(INDEX(tbl_Consulting[Qwilr Quote],MATCH(E106&amp;"",tbl_Consulting[Job Number],0)),""),""))))</f>
        <v/>
      </c>
      <c r="AC106" s="25">
        <f>IF(AB106="","",IF(AND(LEFT(AB106,4)&lt;&gt;"http",IF(H106="Production",set_RMSBase,set_QwilrBase)=""),"",HYPERLINK(IF(LEFT(AB106,4)="http",AB106,IF(H106="Production",set_RMSBase,set_QwilrBase)&amp;AB106),"Open")))</f>
        <v/>
      </c>
      <c r="AD106" s="27">
        <f>IF(E106="","",IF(H106="Production",IFERROR(INDEX(tbl_Production[Total Expense],MATCH(E106&amp;"",tbl_Production[Job Number],0)),0),IF(H106="Consulting",IFERROR(INDEX(tbl_Consulting[Total Expense],MATCH(E106&amp;"",tbl_Consulting[Job Number],0)),0),0)))</f>
        <v/>
      </c>
      <c r="AE106" s="27">
        <f>IF(E106="","",Y106-N(AD106))</f>
        <v/>
      </c>
      <c r="AF106" s="29">
        <f>IFERROR(AE106/Y106,"")</f>
        <v/>
      </c>
      <c r="AG106" s="25">
        <f>IF(E106="","",IF(H106="Onsite",IFERROR(INDEX(tbl_Onsite[Notes],MATCH(E106&amp;"",tbl_Onsite[Job Number],0)),""),IF(H106="Production",IFERROR(INDEX(tbl_Production[Notes],MATCH(E106&amp;"",tbl_Production[Job Number],0)),""),IF(H106="Consulting",IFERROR(INDEX(tbl_Consulting[Notes],MATCH(E106&amp;"",tbl_Consulting[Job Number],0)),""),""))))</f>
        <v/>
      </c>
    </row>
    <row r="107" ht="15" customHeight="1">
      <c r="A107" s="22" t="n">
        <v>46259</v>
      </c>
      <c r="B107" s="23">
        <f>IF(A107="","",EOMONTH(A107,0))</f>
        <v/>
      </c>
      <c r="C107" s="24" t="inlineStr">
        <is>
          <t>INV-10591</t>
        </is>
      </c>
      <c r="D107" s="24" t="inlineStr">
        <is>
          <t>TLC -  Melbourne</t>
        </is>
      </c>
      <c r="E107" s="24" t="inlineStr">
        <is>
          <t>26061106</t>
        </is>
      </c>
      <c r="F107" s="25">
        <f>IF(E107="","",IF(COUNTIF(lst_Jobs,E107&amp;"")&gt;0,"OK","CHECK"))</f>
        <v/>
      </c>
      <c r="G107" s="24" t="inlineStr">
        <is>
          <t>TLC Full Year Results</t>
        </is>
      </c>
      <c r="H107" s="24" t="inlineStr">
        <is>
          <t>Production</t>
        </is>
      </c>
      <c r="I107" s="24" t="inlineStr">
        <is>
          <t>VIDEO</t>
        </is>
      </c>
      <c r="J107" s="24" t="inlineStr">
        <is>
          <t>Project</t>
        </is>
      </c>
      <c r="K107" s="24" t="inlineStr">
        <is>
          <t>GST 10%</t>
        </is>
      </c>
      <c r="L107" s="26" t="n">
        <v>674</v>
      </c>
      <c r="M107" s="27">
        <f>IF(L107="","",IF(K107="GST 10%",ROUND(L107*set_GSTRate,2),0))</f>
        <v/>
      </c>
      <c r="N107" s="27">
        <f>IF(L107="","",L107+M107)</f>
        <v/>
      </c>
      <c r="O107" s="24" t="inlineStr">
        <is>
          <t>42150</t>
        </is>
      </c>
      <c r="P107" s="24" t="inlineStr">
        <is>
          <t>Y</t>
        </is>
      </c>
      <c r="Q107" s="24" t="inlineStr">
        <is>
          <t>N</t>
        </is>
      </c>
      <c r="R107" s="22" t="n"/>
      <c r="S107" s="22" t="n"/>
      <c r="T107" s="24" t="inlineStr">
        <is>
          <t>Invoiced</t>
        </is>
      </c>
      <c r="U107" s="24" t="inlineStr">
        <is>
          <t>Video portion of this invoice</t>
        </is>
      </c>
      <c r="V107" s="25">
        <f>IF(COUNTA(A107,D107,C107,L107)=0,"",IF(A107="","No date - sits outside every month",IF(E107="","No job number",IF(F107="CHECK","Job number is not in the Xero job list",IF(I107="","No cost centre",IF(AND(P107="Y",C107=""),"Marked posted to Xero but has no invoice number",IF(AND(L107&lt;&gt;"",K107=""),"No tax code",IF(AND(L107&lt;&gt;"",O107=""),"No revenue GL code",""))))))))</f>
        <v/>
      </c>
      <c r="W107" s="25">
        <f>IF(E107="","",IFERROR(INDEX(lst_JobName,MATCH(E107&amp;"",lst_Jobs,0)),""))</f>
        <v/>
      </c>
      <c r="X107" s="28">
        <f>IF(E107="","",COUNTIFS(tbl_Finance[Job Number],E107&amp;"",tbl_Finance[Ex GST],"&lt;&gt;"))</f>
        <v/>
      </c>
      <c r="Y107" s="27">
        <f>IF(E107="","",SUMIFS(tbl_Finance[Ex GST],tbl_Finance[Job Number],E107&amp;""))</f>
        <v/>
      </c>
      <c r="Z107" s="27">
        <f>IF(E107="","",SUMIFS(tbl_Finance[Ex GST],tbl_Finance[Job Number],E107&amp;"",tbl_Finance[Xero Invoice No],"&lt;&gt;"))</f>
        <v/>
      </c>
      <c r="AA107" s="27">
        <f>IF(E107="","",Y107-Z107)</f>
        <v/>
      </c>
      <c r="AB107" s="25">
        <f>IF(E107="","",IF(H107="Onsite",IFERROR(INDEX(tbl_Onsite[Qwilr Quote],MATCH(E107&amp;"",tbl_Onsite[Job Number],0)),""),IF(H107="Production",IFERROR(IF(INDEX(tbl_Production[Current RMS No],MATCH(E107&amp;"",tbl_Production[Job Number],0))="",INDEX(tbl_Production[Qwilr Quote],MATCH(E107&amp;"",tbl_Production[Job Number],0)),INDEX(tbl_Production[Current RMS No],MATCH(E107&amp;"",tbl_Production[Job Number],0))),""),IF(H107="Consulting",IFERROR(INDEX(tbl_Consulting[Qwilr Quote],MATCH(E107&amp;"",tbl_Consulting[Job Number],0)),""),""))))</f>
        <v/>
      </c>
      <c r="AC107" s="25">
        <f>IF(AB107="","",IF(AND(LEFT(AB107,4)&lt;&gt;"http",IF(H107="Production",set_RMSBase,set_QwilrBase)=""),"",HYPERLINK(IF(LEFT(AB107,4)="http",AB107,IF(H107="Production",set_RMSBase,set_QwilrBase)&amp;AB107),"Open")))</f>
        <v/>
      </c>
      <c r="AD107" s="27">
        <f>IF(E107="","",IF(H107="Production",IFERROR(INDEX(tbl_Production[Total Expense],MATCH(E107&amp;"",tbl_Production[Job Number],0)),0),IF(H107="Consulting",IFERROR(INDEX(tbl_Consulting[Total Expense],MATCH(E107&amp;"",tbl_Consulting[Job Number],0)),0),0)))</f>
        <v/>
      </c>
      <c r="AE107" s="27">
        <f>IF(E107="","",Y107-N(AD107))</f>
        <v/>
      </c>
      <c r="AF107" s="29">
        <f>IFERROR(AE107/Y107,"")</f>
        <v/>
      </c>
      <c r="AG107" s="25">
        <f>IF(E107="","",IF(H107="Onsite",IFERROR(INDEX(tbl_Onsite[Notes],MATCH(E107&amp;"",tbl_Onsite[Job Number],0)),""),IF(H107="Production",IFERROR(INDEX(tbl_Production[Notes],MATCH(E107&amp;"",tbl_Production[Job Number],0)),""),IF(H107="Consulting",IFERROR(INDEX(tbl_Consulting[Notes],MATCH(E107&amp;"",tbl_Consulting[Job Number],0)),""),""))))</f>
        <v/>
      </c>
    </row>
    <row r="108" ht="15" customHeight="1">
      <c r="A108" s="22" t="n">
        <v>46259</v>
      </c>
      <c r="B108" s="23">
        <f>IF(A108="","",EOMONTH(A108,0))</f>
        <v/>
      </c>
      <c r="C108" s="24" t="inlineStr">
        <is>
          <t>INV-10587</t>
        </is>
      </c>
      <c r="D108" s="24" t="inlineStr">
        <is>
          <t>Downer</t>
        </is>
      </c>
      <c r="E108" s="24" t="inlineStr">
        <is>
          <t>26061107</t>
        </is>
      </c>
      <c r="F108" s="25">
        <f>IF(E108="","",IF(COUNTIF(lst_Jobs,E108&amp;"")&gt;0,"OK","CHECK"))</f>
        <v/>
      </c>
      <c r="G108" s="24" t="inlineStr">
        <is>
          <t>Downer FYR26 20.8.26</t>
        </is>
      </c>
      <c r="H108" s="24" t="inlineStr">
        <is>
          <t>Production</t>
        </is>
      </c>
      <c r="I108" s="24" t="inlineStr">
        <is>
          <t>PRODUCTION</t>
        </is>
      </c>
      <c r="J108" s="24" t="inlineStr">
        <is>
          <t>Project</t>
        </is>
      </c>
      <c r="K108" s="24" t="inlineStr">
        <is>
          <t>GST 10%</t>
        </is>
      </c>
      <c r="L108" s="26" t="n">
        <v>11380.75</v>
      </c>
      <c r="M108" s="27">
        <f>IF(L108="","",IF(K108="GST 10%",ROUND(L108*set_GSTRate,2),0))</f>
        <v/>
      </c>
      <c r="N108" s="27">
        <f>IF(L108="","",L108+M108)</f>
        <v/>
      </c>
      <c r="O108" s="24" t="inlineStr">
        <is>
          <t>42100</t>
        </is>
      </c>
      <c r="P108" s="24" t="inlineStr">
        <is>
          <t>Y</t>
        </is>
      </c>
      <c r="Q108" s="24" t="inlineStr">
        <is>
          <t>N</t>
        </is>
      </c>
      <c r="R108" s="22" t="n"/>
      <c r="S108" s="22" t="n"/>
      <c r="T108" s="24" t="inlineStr">
        <is>
          <t>Invoiced</t>
        </is>
      </c>
      <c r="U108" s="24" t="inlineStr">
        <is>
          <t>Production portion of this invoice</t>
        </is>
      </c>
      <c r="V108" s="25">
        <f>IF(COUNTA(A108,D108,C108,L108)=0,"",IF(A108="","No date - sits outside every month",IF(E108="","No job number",IF(F108="CHECK","Job number is not in the Xero job list",IF(I108="","No cost centre",IF(AND(P108="Y",C108=""),"Marked posted to Xero but has no invoice number",IF(AND(L108&lt;&gt;"",K108=""),"No tax code",IF(AND(L108&lt;&gt;"",O108=""),"No revenue GL code",""))))))))</f>
        <v/>
      </c>
      <c r="W108" s="25">
        <f>IF(E108="","",IFERROR(INDEX(lst_JobName,MATCH(E108&amp;"",lst_Jobs,0)),""))</f>
        <v/>
      </c>
      <c r="X108" s="28">
        <f>IF(E108="","",COUNTIFS(tbl_Finance[Job Number],E108&amp;"",tbl_Finance[Ex GST],"&lt;&gt;"))</f>
        <v/>
      </c>
      <c r="Y108" s="27">
        <f>IF(E108="","",SUMIFS(tbl_Finance[Ex GST],tbl_Finance[Job Number],E108&amp;""))</f>
        <v/>
      </c>
      <c r="Z108" s="27">
        <f>IF(E108="","",SUMIFS(tbl_Finance[Ex GST],tbl_Finance[Job Number],E108&amp;"",tbl_Finance[Xero Invoice No],"&lt;&gt;"))</f>
        <v/>
      </c>
      <c r="AA108" s="27">
        <f>IF(E108="","",Y108-Z108)</f>
        <v/>
      </c>
      <c r="AB108" s="25">
        <f>IF(E108="","",IF(H108="Onsite",IFERROR(INDEX(tbl_Onsite[Qwilr Quote],MATCH(E108&amp;"",tbl_Onsite[Job Number],0)),""),IF(H108="Production",IFERROR(IF(INDEX(tbl_Production[Current RMS No],MATCH(E108&amp;"",tbl_Production[Job Number],0))="",INDEX(tbl_Production[Qwilr Quote],MATCH(E108&amp;"",tbl_Production[Job Number],0)),INDEX(tbl_Production[Current RMS No],MATCH(E108&amp;"",tbl_Production[Job Number],0))),""),IF(H108="Consulting",IFERROR(INDEX(tbl_Consulting[Qwilr Quote],MATCH(E108&amp;"",tbl_Consulting[Job Number],0)),""),""))))</f>
        <v/>
      </c>
      <c r="AC108" s="25">
        <f>IF(AB108="","",IF(AND(LEFT(AB108,4)&lt;&gt;"http",IF(H108="Production",set_RMSBase,set_QwilrBase)=""),"",HYPERLINK(IF(LEFT(AB108,4)="http",AB108,IF(H108="Production",set_RMSBase,set_QwilrBase)&amp;AB108),"Open")))</f>
        <v/>
      </c>
      <c r="AD108" s="27">
        <f>IF(E108="","",IF(H108="Production",IFERROR(INDEX(tbl_Production[Total Expense],MATCH(E108&amp;"",tbl_Production[Job Number],0)),0),IF(H108="Consulting",IFERROR(INDEX(tbl_Consulting[Total Expense],MATCH(E108&amp;"",tbl_Consulting[Job Number],0)),0),0)))</f>
        <v/>
      </c>
      <c r="AE108" s="27">
        <f>IF(E108="","",Y108-N(AD108))</f>
        <v/>
      </c>
      <c r="AF108" s="29">
        <f>IFERROR(AE108/Y108,"")</f>
        <v/>
      </c>
      <c r="AG108" s="25">
        <f>IF(E108="","",IF(H108="Onsite",IFERROR(INDEX(tbl_Onsite[Notes],MATCH(E108&amp;"",tbl_Onsite[Job Number],0)),""),IF(H108="Production",IFERROR(INDEX(tbl_Production[Notes],MATCH(E108&amp;"",tbl_Production[Job Number],0)),""),IF(H108="Consulting",IFERROR(INDEX(tbl_Consulting[Notes],MATCH(E108&amp;"",tbl_Consulting[Job Number],0)),""),""))))</f>
        <v/>
      </c>
    </row>
    <row r="109" ht="15" customHeight="1">
      <c r="A109" s="22" t="n">
        <v>46259</v>
      </c>
      <c r="B109" s="23">
        <f>IF(A109="","",EOMONTH(A109,0))</f>
        <v/>
      </c>
      <c r="C109" s="24" t="inlineStr">
        <is>
          <t>INV-10587</t>
        </is>
      </c>
      <c r="D109" s="24" t="inlineStr">
        <is>
          <t>Downer</t>
        </is>
      </c>
      <c r="E109" s="24" t="inlineStr">
        <is>
          <t>26061107</t>
        </is>
      </c>
      <c r="F109" s="25">
        <f>IF(E109="","",IF(COUNTIF(lst_Jobs,E109&amp;"")&gt;0,"OK","CHECK"))</f>
        <v/>
      </c>
      <c r="G109" s="24" t="inlineStr">
        <is>
          <t>Downer FYR26 20.8.26</t>
        </is>
      </c>
      <c r="H109" s="24" t="inlineStr">
        <is>
          <t>Production</t>
        </is>
      </c>
      <c r="I109" s="24" t="inlineStr">
        <is>
          <t>VIDEO</t>
        </is>
      </c>
      <c r="J109" s="24" t="inlineStr">
        <is>
          <t>Project</t>
        </is>
      </c>
      <c r="K109" s="24" t="inlineStr">
        <is>
          <t>GST 10%</t>
        </is>
      </c>
      <c r="L109" s="26" t="n">
        <v>263.5</v>
      </c>
      <c r="M109" s="27">
        <f>IF(L109="","",IF(K109="GST 10%",ROUND(L109*set_GSTRate,2),0))</f>
        <v/>
      </c>
      <c r="N109" s="27">
        <f>IF(L109="","",L109+M109)</f>
        <v/>
      </c>
      <c r="O109" s="24" t="inlineStr">
        <is>
          <t>42150</t>
        </is>
      </c>
      <c r="P109" s="24" t="inlineStr">
        <is>
          <t>Y</t>
        </is>
      </c>
      <c r="Q109" s="24" t="inlineStr">
        <is>
          <t>N</t>
        </is>
      </c>
      <c r="R109" s="22" t="n"/>
      <c r="S109" s="22" t="n"/>
      <c r="T109" s="24" t="inlineStr">
        <is>
          <t>Invoiced</t>
        </is>
      </c>
      <c r="U109" s="24" t="inlineStr">
        <is>
          <t>Video portion of this invoice</t>
        </is>
      </c>
      <c r="V109" s="25">
        <f>IF(COUNTA(A109,D109,C109,L109)=0,"",IF(A109="","No date - sits outside every month",IF(E109="","No job number",IF(F109="CHECK","Job number is not in the Xero job list",IF(I109="","No cost centre",IF(AND(P109="Y",C109=""),"Marked posted to Xero but has no invoice number",IF(AND(L109&lt;&gt;"",K109=""),"No tax code",IF(AND(L109&lt;&gt;"",O109=""),"No revenue GL code",""))))))))</f>
        <v/>
      </c>
      <c r="W109" s="25">
        <f>IF(E109="","",IFERROR(INDEX(lst_JobName,MATCH(E109&amp;"",lst_Jobs,0)),""))</f>
        <v/>
      </c>
      <c r="X109" s="28">
        <f>IF(E109="","",COUNTIFS(tbl_Finance[Job Number],E109&amp;"",tbl_Finance[Ex GST],"&lt;&gt;"))</f>
        <v/>
      </c>
      <c r="Y109" s="27">
        <f>IF(E109="","",SUMIFS(tbl_Finance[Ex GST],tbl_Finance[Job Number],E109&amp;""))</f>
        <v/>
      </c>
      <c r="Z109" s="27">
        <f>IF(E109="","",SUMIFS(tbl_Finance[Ex GST],tbl_Finance[Job Number],E109&amp;"",tbl_Finance[Xero Invoice No],"&lt;&gt;"))</f>
        <v/>
      </c>
      <c r="AA109" s="27">
        <f>IF(E109="","",Y109-Z109)</f>
        <v/>
      </c>
      <c r="AB109" s="25">
        <f>IF(E109="","",IF(H109="Onsite",IFERROR(INDEX(tbl_Onsite[Qwilr Quote],MATCH(E109&amp;"",tbl_Onsite[Job Number],0)),""),IF(H109="Production",IFERROR(IF(INDEX(tbl_Production[Current RMS No],MATCH(E109&amp;"",tbl_Production[Job Number],0))="",INDEX(tbl_Production[Qwilr Quote],MATCH(E109&amp;"",tbl_Production[Job Number],0)),INDEX(tbl_Production[Current RMS No],MATCH(E109&amp;"",tbl_Production[Job Number],0))),""),IF(H109="Consulting",IFERROR(INDEX(tbl_Consulting[Qwilr Quote],MATCH(E109&amp;"",tbl_Consulting[Job Number],0)),""),""))))</f>
        <v/>
      </c>
      <c r="AC109" s="25">
        <f>IF(AB109="","",IF(AND(LEFT(AB109,4)&lt;&gt;"http",IF(H109="Production",set_RMSBase,set_QwilrBase)=""),"",HYPERLINK(IF(LEFT(AB109,4)="http",AB109,IF(H109="Production",set_RMSBase,set_QwilrBase)&amp;AB109),"Open")))</f>
        <v/>
      </c>
      <c r="AD109" s="27">
        <f>IF(E109="","",IF(H109="Production",IFERROR(INDEX(tbl_Production[Total Expense],MATCH(E109&amp;"",tbl_Production[Job Number],0)),0),IF(H109="Consulting",IFERROR(INDEX(tbl_Consulting[Total Expense],MATCH(E109&amp;"",tbl_Consulting[Job Number],0)),0),0)))</f>
        <v/>
      </c>
      <c r="AE109" s="27">
        <f>IF(E109="","",Y109-N(AD109))</f>
        <v/>
      </c>
      <c r="AF109" s="29">
        <f>IFERROR(AE109/Y109,"")</f>
        <v/>
      </c>
      <c r="AG109" s="25">
        <f>IF(E109="","",IF(H109="Onsite",IFERROR(INDEX(tbl_Onsite[Notes],MATCH(E109&amp;"",tbl_Onsite[Job Number],0)),""),IF(H109="Production",IFERROR(INDEX(tbl_Production[Notes],MATCH(E109&amp;"",tbl_Production[Job Number],0)),""),IF(H109="Consulting",IFERROR(INDEX(tbl_Consulting[Notes],MATCH(E109&amp;"",tbl_Consulting[Job Number],0)),""),""))))</f>
        <v/>
      </c>
    </row>
    <row r="110" ht="15" customHeight="1">
      <c r="A110" s="22" t="n">
        <v>46260</v>
      </c>
      <c r="B110" s="23">
        <f>IF(A110="","",EOMONTH(A110,0))</f>
        <v/>
      </c>
      <c r="C110" s="24" t="inlineStr">
        <is>
          <t>INV-10586</t>
        </is>
      </c>
      <c r="D110" s="24" t="inlineStr">
        <is>
          <t>Garvan</t>
        </is>
      </c>
      <c r="E110" s="24" t="inlineStr">
        <is>
          <t>26073110</t>
        </is>
      </c>
      <c r="F110" s="25">
        <f>IF(E110="","",IF(COUNTIF(lst_Jobs,E110&amp;"")&gt;0,"OK","CHECK"))</f>
        <v/>
      </c>
      <c r="G110" s="24" t="inlineStr">
        <is>
          <t>Garvan - Weizmann Dinner Event</t>
        </is>
      </c>
      <c r="H110" s="24" t="inlineStr">
        <is>
          <t>Production</t>
        </is>
      </c>
      <c r="I110" s="24" t="inlineStr">
        <is>
          <t>PRODUCTION</t>
        </is>
      </c>
      <c r="J110" s="24" t="inlineStr">
        <is>
          <t>Project</t>
        </is>
      </c>
      <c r="K110" s="24" t="inlineStr">
        <is>
          <t>GST 10%</t>
        </is>
      </c>
      <c r="L110" s="26" t="n">
        <v>1055</v>
      </c>
      <c r="M110" s="27">
        <f>IF(L110="","",IF(K110="GST 10%",ROUND(L110*set_GSTRate,2),0))</f>
        <v/>
      </c>
      <c r="N110" s="27">
        <f>IF(L110="","",L110+M110)</f>
        <v/>
      </c>
      <c r="O110" s="24" t="inlineStr">
        <is>
          <t>42100</t>
        </is>
      </c>
      <c r="P110" s="24" t="inlineStr">
        <is>
          <t>Y</t>
        </is>
      </c>
      <c r="Q110" s="24" t="inlineStr">
        <is>
          <t>N</t>
        </is>
      </c>
      <c r="R110" s="22" t="n"/>
      <c r="S110" s="22" t="n"/>
      <c r="T110" s="24" t="inlineStr">
        <is>
          <t>Invoiced</t>
        </is>
      </c>
      <c r="U110" s="24" t="n"/>
      <c r="V110" s="25">
        <f>IF(COUNTA(A110,D110,C110,L110)=0,"",IF(A110="","No date - sits outside every month",IF(E110="","No job number",IF(F110="CHECK","Job number is not in the Xero job list",IF(I110="","No cost centre",IF(AND(P110="Y",C110=""),"Marked posted to Xero but has no invoice number",IF(AND(L110&lt;&gt;"",K110=""),"No tax code",IF(AND(L110&lt;&gt;"",O110=""),"No revenue GL code",""))))))))</f>
        <v/>
      </c>
      <c r="W110" s="25">
        <f>IF(E110="","",IFERROR(INDEX(lst_JobName,MATCH(E110&amp;"",lst_Jobs,0)),""))</f>
        <v/>
      </c>
      <c r="X110" s="28">
        <f>IF(E110="","",COUNTIFS(tbl_Finance[Job Number],E110&amp;"",tbl_Finance[Ex GST],"&lt;&gt;"))</f>
        <v/>
      </c>
      <c r="Y110" s="27">
        <f>IF(E110="","",SUMIFS(tbl_Finance[Ex GST],tbl_Finance[Job Number],E110&amp;""))</f>
        <v/>
      </c>
      <c r="Z110" s="27">
        <f>IF(E110="","",SUMIFS(tbl_Finance[Ex GST],tbl_Finance[Job Number],E110&amp;"",tbl_Finance[Xero Invoice No],"&lt;&gt;"))</f>
        <v/>
      </c>
      <c r="AA110" s="27">
        <f>IF(E110="","",Y110-Z110)</f>
        <v/>
      </c>
      <c r="AB110" s="25">
        <f>IF(E110="","",IF(H110="Onsite",IFERROR(INDEX(tbl_Onsite[Qwilr Quote],MATCH(E110&amp;"",tbl_Onsite[Job Number],0)),""),IF(H110="Production",IFERROR(IF(INDEX(tbl_Production[Current RMS No],MATCH(E110&amp;"",tbl_Production[Job Number],0))="",INDEX(tbl_Production[Qwilr Quote],MATCH(E110&amp;"",tbl_Production[Job Number],0)),INDEX(tbl_Production[Current RMS No],MATCH(E110&amp;"",tbl_Production[Job Number],0))),""),IF(H110="Consulting",IFERROR(INDEX(tbl_Consulting[Qwilr Quote],MATCH(E110&amp;"",tbl_Consulting[Job Number],0)),""),""))))</f>
        <v/>
      </c>
      <c r="AC110" s="25">
        <f>IF(AB110="","",IF(AND(LEFT(AB110,4)&lt;&gt;"http",IF(H110="Production",set_RMSBase,set_QwilrBase)=""),"",HYPERLINK(IF(LEFT(AB110,4)="http",AB110,IF(H110="Production",set_RMSBase,set_QwilrBase)&amp;AB110),"Open")))</f>
        <v/>
      </c>
      <c r="AD110" s="27">
        <f>IF(E110="","",IF(H110="Production",IFERROR(INDEX(tbl_Production[Total Expense],MATCH(E110&amp;"",tbl_Production[Job Number],0)),0),IF(H110="Consulting",IFERROR(INDEX(tbl_Consulting[Total Expense],MATCH(E110&amp;"",tbl_Consulting[Job Number],0)),0),0)))</f>
        <v/>
      </c>
      <c r="AE110" s="27">
        <f>IF(E110="","",Y110-N(AD110))</f>
        <v/>
      </c>
      <c r="AF110" s="29">
        <f>IFERROR(AE110/Y110,"")</f>
        <v/>
      </c>
      <c r="AG110" s="25">
        <f>IF(E110="","",IF(H110="Onsite",IFERROR(INDEX(tbl_Onsite[Notes],MATCH(E110&amp;"",tbl_Onsite[Job Number],0)),""),IF(H110="Production",IFERROR(INDEX(tbl_Production[Notes],MATCH(E110&amp;"",tbl_Production[Job Number],0)),""),IF(H110="Consulting",IFERROR(INDEX(tbl_Consulting[Notes],MATCH(E110&amp;"",tbl_Consulting[Job Number],0)),""),""))))</f>
        <v/>
      </c>
    </row>
    <row r="111" ht="15" customHeight="1">
      <c r="A111" s="22" t="n"/>
      <c r="B111" s="23">
        <f>IF(A111="","",EOMONTH(A111,0))</f>
        <v/>
      </c>
      <c r="C111" s="24" t="inlineStr">
        <is>
          <t>Package</t>
        </is>
      </c>
      <c r="D111" s="24" t="inlineStr">
        <is>
          <t>APA</t>
        </is>
      </c>
      <c r="E111" s="24" t="inlineStr">
        <is>
          <t>25121208</t>
        </is>
      </c>
      <c r="F111" s="25">
        <f>IF(E111="","",IF(COUNTIF(lst_Jobs,E111&amp;"")&gt;0,"OK","CHECK"))</f>
        <v/>
      </c>
      <c r="G111" s="24" t="inlineStr">
        <is>
          <t>APA FYR Investor Briefing 20.8.26</t>
        </is>
      </c>
      <c r="H111" s="24" t="inlineStr">
        <is>
          <t>Production</t>
        </is>
      </c>
      <c r="I111" s="24" t="inlineStr">
        <is>
          <t>PRODUCTION</t>
        </is>
      </c>
      <c r="J111" s="24" t="inlineStr">
        <is>
          <t>Project</t>
        </is>
      </c>
      <c r="K111" s="24" t="inlineStr">
        <is>
          <t>GST 10%</t>
        </is>
      </c>
      <c r="L111" s="26" t="n">
        <v>8472.5</v>
      </c>
      <c r="M111" s="27">
        <f>IF(L111="","",IF(K111="GST 10%",ROUND(L111*set_GSTRate,2),0))</f>
        <v/>
      </c>
      <c r="N111" s="27">
        <f>IF(L111="","",L111+M111)</f>
        <v/>
      </c>
      <c r="O111" s="24" t="inlineStr">
        <is>
          <t>42100</t>
        </is>
      </c>
      <c r="P111" s="24" t="inlineStr">
        <is>
          <t>Y</t>
        </is>
      </c>
      <c r="Q111" s="24" t="inlineStr">
        <is>
          <t>N</t>
        </is>
      </c>
      <c r="R111" s="22" t="n"/>
      <c r="S111" s="22" t="n"/>
      <c r="T111" s="24" t="inlineStr">
        <is>
          <t>Invoiced</t>
        </is>
      </c>
      <c r="U111" s="24" t="n"/>
      <c r="V111" s="25">
        <f>IF(COUNTA(A111,D111,C111,L111)=0,"",IF(A111="","No date - sits outside every month",IF(E111="","No job number",IF(F111="CHECK","Job number is not in the Xero job list",IF(I111="","No cost centre",IF(AND(P111="Y",C111=""),"Marked posted to Xero but has no invoice number",IF(AND(L111&lt;&gt;"",K111=""),"No tax code",IF(AND(L111&lt;&gt;"",O111=""),"No revenue GL code",""))))))))</f>
        <v/>
      </c>
      <c r="W111" s="25">
        <f>IF(E111="","",IFERROR(INDEX(lst_JobName,MATCH(E111&amp;"",lst_Jobs,0)),""))</f>
        <v/>
      </c>
      <c r="X111" s="28">
        <f>IF(E111="","",COUNTIFS(tbl_Finance[Job Number],E111&amp;"",tbl_Finance[Ex GST],"&lt;&gt;"))</f>
        <v/>
      </c>
      <c r="Y111" s="27">
        <f>IF(E111="","",SUMIFS(tbl_Finance[Ex GST],tbl_Finance[Job Number],E111&amp;""))</f>
        <v/>
      </c>
      <c r="Z111" s="27">
        <f>IF(E111="","",SUMIFS(tbl_Finance[Ex GST],tbl_Finance[Job Number],E111&amp;"",tbl_Finance[Xero Invoice No],"&lt;&gt;"))</f>
        <v/>
      </c>
      <c r="AA111" s="27">
        <f>IF(E111="","",Y111-Z111)</f>
        <v/>
      </c>
      <c r="AB111" s="25">
        <f>IF(E111="","",IF(H111="Onsite",IFERROR(INDEX(tbl_Onsite[Qwilr Quote],MATCH(E111&amp;"",tbl_Onsite[Job Number],0)),""),IF(H111="Production",IFERROR(IF(INDEX(tbl_Production[Current RMS No],MATCH(E111&amp;"",tbl_Production[Job Number],0))="",INDEX(tbl_Production[Qwilr Quote],MATCH(E111&amp;"",tbl_Production[Job Number],0)),INDEX(tbl_Production[Current RMS No],MATCH(E111&amp;"",tbl_Production[Job Number],0))),""),IF(H111="Consulting",IFERROR(INDEX(tbl_Consulting[Qwilr Quote],MATCH(E111&amp;"",tbl_Consulting[Job Number],0)),""),""))))</f>
        <v/>
      </c>
      <c r="AC111" s="25">
        <f>IF(AB111="","",IF(AND(LEFT(AB111,4)&lt;&gt;"http",IF(H111="Production",set_RMSBase,set_QwilrBase)=""),"",HYPERLINK(IF(LEFT(AB111,4)="http",AB111,IF(H111="Production",set_RMSBase,set_QwilrBase)&amp;AB111),"Open")))</f>
        <v/>
      </c>
      <c r="AD111" s="27">
        <f>IF(E111="","",IF(H111="Production",IFERROR(INDEX(tbl_Production[Total Expense],MATCH(E111&amp;"",tbl_Production[Job Number],0)),0),IF(H111="Consulting",IFERROR(INDEX(tbl_Consulting[Total Expense],MATCH(E111&amp;"",tbl_Consulting[Job Number],0)),0),0)))</f>
        <v/>
      </c>
      <c r="AE111" s="27">
        <f>IF(E111="","",Y111-N(AD111))</f>
        <v/>
      </c>
      <c r="AF111" s="29">
        <f>IFERROR(AE111/Y111,"")</f>
        <v/>
      </c>
      <c r="AG111" s="25">
        <f>IF(E111="","",IF(H111="Onsite",IFERROR(INDEX(tbl_Onsite[Notes],MATCH(E111&amp;"",tbl_Onsite[Job Number],0)),""),IF(H111="Production",IFERROR(INDEX(tbl_Production[Notes],MATCH(E111&amp;"",tbl_Production[Job Number],0)),""),IF(H111="Consulting",IFERROR(INDEX(tbl_Consulting[Notes],MATCH(E111&amp;"",tbl_Consulting[Job Number],0)),""),""))))</f>
        <v/>
      </c>
    </row>
    <row r="112" ht="15" customHeight="1">
      <c r="A112" s="22" t="n"/>
      <c r="B112" s="23">
        <f>IF(A112="","",EOMONTH(A112,0))</f>
        <v/>
      </c>
      <c r="C112" s="24" t="inlineStr">
        <is>
          <t>Package</t>
        </is>
      </c>
      <c r="D112" s="24" t="inlineStr">
        <is>
          <t>APA</t>
        </is>
      </c>
      <c r="E112" s="24" t="inlineStr">
        <is>
          <t>26061108</t>
        </is>
      </c>
      <c r="F112" s="25">
        <f>IF(E112="","",IF(COUNTIF(lst_Jobs,E112&amp;"")&gt;0,"OK","CHECK"))</f>
        <v/>
      </c>
      <c r="G112" s="24" t="inlineStr">
        <is>
          <t>APA FYR Town Hall 20.8.26</t>
        </is>
      </c>
      <c r="H112" s="24" t="inlineStr">
        <is>
          <t>Production</t>
        </is>
      </c>
      <c r="I112" s="24" t="inlineStr">
        <is>
          <t>PRODUCTION</t>
        </is>
      </c>
      <c r="J112" s="24" t="inlineStr">
        <is>
          <t>Project</t>
        </is>
      </c>
      <c r="K112" s="24" t="inlineStr">
        <is>
          <t>GST 10%</t>
        </is>
      </c>
      <c r="L112" s="26" t="n">
        <v>11339</v>
      </c>
      <c r="M112" s="27">
        <f>IF(L112="","",IF(K112="GST 10%",ROUND(L112*set_GSTRate,2),0))</f>
        <v/>
      </c>
      <c r="N112" s="27">
        <f>IF(L112="","",L112+M112)</f>
        <v/>
      </c>
      <c r="O112" s="24" t="inlineStr">
        <is>
          <t>42100</t>
        </is>
      </c>
      <c r="P112" s="24" t="inlineStr">
        <is>
          <t>Y</t>
        </is>
      </c>
      <c r="Q112" s="24" t="inlineStr">
        <is>
          <t>N</t>
        </is>
      </c>
      <c r="R112" s="22" t="n"/>
      <c r="S112" s="22" t="n"/>
      <c r="T112" s="24" t="inlineStr">
        <is>
          <t>Invoiced</t>
        </is>
      </c>
      <c r="U112" s="24" t="inlineStr">
        <is>
          <t>Production portion of this invoice</t>
        </is>
      </c>
      <c r="V112" s="25">
        <f>IF(COUNTA(A112,D112,C112,L112)=0,"",IF(A112="","No date - sits outside every month",IF(E112="","No job number",IF(F112="CHECK","Job number is not in the Xero job list",IF(I112="","No cost centre",IF(AND(P112="Y",C112=""),"Marked posted to Xero but has no invoice number",IF(AND(L112&lt;&gt;"",K112=""),"No tax code",IF(AND(L112&lt;&gt;"",O112=""),"No revenue GL code",""))))))))</f>
        <v/>
      </c>
      <c r="W112" s="25">
        <f>IF(E112="","",IFERROR(INDEX(lst_JobName,MATCH(E112&amp;"",lst_Jobs,0)),""))</f>
        <v/>
      </c>
      <c r="X112" s="28">
        <f>IF(E112="","",COUNTIFS(tbl_Finance[Job Number],E112&amp;"",tbl_Finance[Ex GST],"&lt;&gt;"))</f>
        <v/>
      </c>
      <c r="Y112" s="27">
        <f>IF(E112="","",SUMIFS(tbl_Finance[Ex GST],tbl_Finance[Job Number],E112&amp;""))</f>
        <v/>
      </c>
      <c r="Z112" s="27">
        <f>IF(E112="","",SUMIFS(tbl_Finance[Ex GST],tbl_Finance[Job Number],E112&amp;"",tbl_Finance[Xero Invoice No],"&lt;&gt;"))</f>
        <v/>
      </c>
      <c r="AA112" s="27">
        <f>IF(E112="","",Y112-Z112)</f>
        <v/>
      </c>
      <c r="AB112" s="25">
        <f>IF(E112="","",IF(H112="Onsite",IFERROR(INDEX(tbl_Onsite[Qwilr Quote],MATCH(E112&amp;"",tbl_Onsite[Job Number],0)),""),IF(H112="Production",IFERROR(IF(INDEX(tbl_Production[Current RMS No],MATCH(E112&amp;"",tbl_Production[Job Number],0))="",INDEX(tbl_Production[Qwilr Quote],MATCH(E112&amp;"",tbl_Production[Job Number],0)),INDEX(tbl_Production[Current RMS No],MATCH(E112&amp;"",tbl_Production[Job Number],0))),""),IF(H112="Consulting",IFERROR(INDEX(tbl_Consulting[Qwilr Quote],MATCH(E112&amp;"",tbl_Consulting[Job Number],0)),""),""))))</f>
        <v/>
      </c>
      <c r="AC112" s="25">
        <f>IF(AB112="","",IF(AND(LEFT(AB112,4)&lt;&gt;"http",IF(H112="Production",set_RMSBase,set_QwilrBase)=""),"",HYPERLINK(IF(LEFT(AB112,4)="http",AB112,IF(H112="Production",set_RMSBase,set_QwilrBase)&amp;AB112),"Open")))</f>
        <v/>
      </c>
      <c r="AD112" s="27">
        <f>IF(E112="","",IF(H112="Production",IFERROR(INDEX(tbl_Production[Total Expense],MATCH(E112&amp;"",tbl_Production[Job Number],0)),0),IF(H112="Consulting",IFERROR(INDEX(tbl_Consulting[Total Expense],MATCH(E112&amp;"",tbl_Consulting[Job Number],0)),0),0)))</f>
        <v/>
      </c>
      <c r="AE112" s="27">
        <f>IF(E112="","",Y112-N(AD112))</f>
        <v/>
      </c>
      <c r="AF112" s="29">
        <f>IFERROR(AE112/Y112,"")</f>
        <v/>
      </c>
      <c r="AG112" s="25">
        <f>IF(E112="","",IF(H112="Onsite",IFERROR(INDEX(tbl_Onsite[Notes],MATCH(E112&amp;"",tbl_Onsite[Job Number],0)),""),IF(H112="Production",IFERROR(INDEX(tbl_Production[Notes],MATCH(E112&amp;"",tbl_Production[Job Number],0)),""),IF(H112="Consulting",IFERROR(INDEX(tbl_Consulting[Notes],MATCH(E112&amp;"",tbl_Consulting[Job Number],0)),""),""))))</f>
        <v/>
      </c>
    </row>
    <row r="113" ht="15" customHeight="1">
      <c r="A113" s="22" t="n"/>
      <c r="B113" s="23">
        <f>IF(A113="","",EOMONTH(A113,0))</f>
        <v/>
      </c>
      <c r="C113" s="24" t="inlineStr">
        <is>
          <t>Package</t>
        </is>
      </c>
      <c r="D113" s="24" t="inlineStr">
        <is>
          <t>APA</t>
        </is>
      </c>
      <c r="E113" s="24" t="inlineStr">
        <is>
          <t>26061108</t>
        </is>
      </c>
      <c r="F113" s="25">
        <f>IF(E113="","",IF(COUNTIF(lst_Jobs,E113&amp;"")&gt;0,"OK","CHECK"))</f>
        <v/>
      </c>
      <c r="G113" s="24" t="inlineStr">
        <is>
          <t>APA FYR Town Hall 20.8.26</t>
        </is>
      </c>
      <c r="H113" s="24" t="inlineStr">
        <is>
          <t>Production</t>
        </is>
      </c>
      <c r="I113" s="24" t="inlineStr">
        <is>
          <t>VIDEO</t>
        </is>
      </c>
      <c r="J113" s="24" t="inlineStr">
        <is>
          <t>Project</t>
        </is>
      </c>
      <c r="K113" s="24" t="inlineStr">
        <is>
          <t>GST 10%</t>
        </is>
      </c>
      <c r="L113" s="26" t="n">
        <v>1261.6</v>
      </c>
      <c r="M113" s="27">
        <f>IF(L113="","",IF(K113="GST 10%",ROUND(L113*set_GSTRate,2),0))</f>
        <v/>
      </c>
      <c r="N113" s="27">
        <f>IF(L113="","",L113+M113)</f>
        <v/>
      </c>
      <c r="O113" s="24" t="inlineStr">
        <is>
          <t>42150</t>
        </is>
      </c>
      <c r="P113" s="24" t="inlineStr">
        <is>
          <t>Y</t>
        </is>
      </c>
      <c r="Q113" s="24" t="inlineStr">
        <is>
          <t>N</t>
        </is>
      </c>
      <c r="R113" s="22" t="n"/>
      <c r="S113" s="22" t="n"/>
      <c r="T113" s="24" t="inlineStr">
        <is>
          <t>Invoiced</t>
        </is>
      </c>
      <c r="U113" s="24" t="inlineStr">
        <is>
          <t>Video portion of this invoice</t>
        </is>
      </c>
      <c r="V113" s="25">
        <f>IF(COUNTA(A113,D113,C113,L113)=0,"",IF(A113="","No date - sits outside every month",IF(E113="","No job number",IF(F113="CHECK","Job number is not in the Xero job list",IF(I113="","No cost centre",IF(AND(P113="Y",C113=""),"Marked posted to Xero but has no invoice number",IF(AND(L113&lt;&gt;"",K113=""),"No tax code",IF(AND(L113&lt;&gt;"",O113=""),"No revenue GL code",""))))))))</f>
        <v/>
      </c>
      <c r="W113" s="25">
        <f>IF(E113="","",IFERROR(INDEX(lst_JobName,MATCH(E113&amp;"",lst_Jobs,0)),""))</f>
        <v/>
      </c>
      <c r="X113" s="28">
        <f>IF(E113="","",COUNTIFS(tbl_Finance[Job Number],E113&amp;"",tbl_Finance[Ex GST],"&lt;&gt;"))</f>
        <v/>
      </c>
      <c r="Y113" s="27">
        <f>IF(E113="","",SUMIFS(tbl_Finance[Ex GST],tbl_Finance[Job Number],E113&amp;""))</f>
        <v/>
      </c>
      <c r="Z113" s="27">
        <f>IF(E113="","",SUMIFS(tbl_Finance[Ex GST],tbl_Finance[Job Number],E113&amp;"",tbl_Finance[Xero Invoice No],"&lt;&gt;"))</f>
        <v/>
      </c>
      <c r="AA113" s="27">
        <f>IF(E113="","",Y113-Z113)</f>
        <v/>
      </c>
      <c r="AB113" s="25">
        <f>IF(E113="","",IF(H113="Onsite",IFERROR(INDEX(tbl_Onsite[Qwilr Quote],MATCH(E113&amp;"",tbl_Onsite[Job Number],0)),""),IF(H113="Production",IFERROR(IF(INDEX(tbl_Production[Current RMS No],MATCH(E113&amp;"",tbl_Production[Job Number],0))="",INDEX(tbl_Production[Qwilr Quote],MATCH(E113&amp;"",tbl_Production[Job Number],0)),INDEX(tbl_Production[Current RMS No],MATCH(E113&amp;"",tbl_Production[Job Number],0))),""),IF(H113="Consulting",IFERROR(INDEX(tbl_Consulting[Qwilr Quote],MATCH(E113&amp;"",tbl_Consulting[Job Number],0)),""),""))))</f>
        <v/>
      </c>
      <c r="AC113" s="25">
        <f>IF(AB113="","",IF(AND(LEFT(AB113,4)&lt;&gt;"http",IF(H113="Production",set_RMSBase,set_QwilrBase)=""),"",HYPERLINK(IF(LEFT(AB113,4)="http",AB113,IF(H113="Production",set_RMSBase,set_QwilrBase)&amp;AB113),"Open")))</f>
        <v/>
      </c>
      <c r="AD113" s="27">
        <f>IF(E113="","",IF(H113="Production",IFERROR(INDEX(tbl_Production[Total Expense],MATCH(E113&amp;"",tbl_Production[Job Number],0)),0),IF(H113="Consulting",IFERROR(INDEX(tbl_Consulting[Total Expense],MATCH(E113&amp;"",tbl_Consulting[Job Number],0)),0),0)))</f>
        <v/>
      </c>
      <c r="AE113" s="27">
        <f>IF(E113="","",Y113-N(AD113))</f>
        <v/>
      </c>
      <c r="AF113" s="29">
        <f>IFERROR(AE113/Y113,"")</f>
        <v/>
      </c>
      <c r="AG113" s="25">
        <f>IF(E113="","",IF(H113="Onsite",IFERROR(INDEX(tbl_Onsite[Notes],MATCH(E113&amp;"",tbl_Onsite[Job Number],0)),""),IF(H113="Production",IFERROR(INDEX(tbl_Production[Notes],MATCH(E113&amp;"",tbl_Production[Job Number],0)),""),IF(H113="Consulting",IFERROR(INDEX(tbl_Consulting[Notes],MATCH(E113&amp;"",tbl_Consulting[Job Number],0)),""),""))))</f>
        <v/>
      </c>
    </row>
    <row r="114" ht="15" customHeight="1">
      <c r="A114" s="22" t="n">
        <v>46265</v>
      </c>
      <c r="B114" s="23">
        <f>IF(A114="","",EOMONTH(A114,0))</f>
        <v/>
      </c>
      <c r="C114" s="24" t="inlineStr">
        <is>
          <t>INV-10593</t>
        </is>
      </c>
      <c r="D114" s="24" t="inlineStr">
        <is>
          <t>Ventia</t>
        </is>
      </c>
      <c r="E114" s="24" t="inlineStr">
        <is>
          <t>26061109</t>
        </is>
      </c>
      <c r="F114" s="25">
        <f>IF(E114="","",IF(COUNTIF(lst_Jobs,E114&amp;"")&gt;0,"OK","CHECK"))</f>
        <v/>
      </c>
      <c r="G114" s="24" t="inlineStr">
        <is>
          <t>Ventia HYR Employee Town Hall 24.8.26 (PO 4701366307)</t>
        </is>
      </c>
      <c r="H114" s="24" t="inlineStr">
        <is>
          <t>Production</t>
        </is>
      </c>
      <c r="I114" s="24" t="inlineStr">
        <is>
          <t>PRODUCTION</t>
        </is>
      </c>
      <c r="J114" s="24" t="inlineStr">
        <is>
          <t>Project</t>
        </is>
      </c>
      <c r="K114" s="24" t="inlineStr">
        <is>
          <t>GST 10%</t>
        </is>
      </c>
      <c r="L114" s="26" t="n">
        <v>11630.5</v>
      </c>
      <c r="M114" s="27">
        <f>IF(L114="","",IF(K114="GST 10%",ROUND(L114*set_GSTRate,2),0))</f>
        <v/>
      </c>
      <c r="N114" s="27">
        <f>IF(L114="","",L114+M114)</f>
        <v/>
      </c>
      <c r="O114" s="24" t="inlineStr">
        <is>
          <t>42100</t>
        </is>
      </c>
      <c r="P114" s="24" t="inlineStr">
        <is>
          <t>Y</t>
        </is>
      </c>
      <c r="Q114" s="24" t="inlineStr">
        <is>
          <t>N</t>
        </is>
      </c>
      <c r="R114" s="22" t="n"/>
      <c r="S114" s="22" t="n"/>
      <c r="T114" s="24" t="inlineStr">
        <is>
          <t>Invoiced</t>
        </is>
      </c>
      <c r="U114" s="24" t="inlineStr">
        <is>
          <t>Production portion of this invoice</t>
        </is>
      </c>
      <c r="V114" s="25">
        <f>IF(COUNTA(A114,D114,C114,L114)=0,"",IF(A114="","No date - sits outside every month",IF(E114="","No job number",IF(F114="CHECK","Job number is not in the Xero job list",IF(I114="","No cost centre",IF(AND(P114="Y",C114=""),"Marked posted to Xero but has no invoice number",IF(AND(L114&lt;&gt;"",K114=""),"No tax code",IF(AND(L114&lt;&gt;"",O114=""),"No revenue GL code",""))))))))</f>
        <v/>
      </c>
      <c r="W114" s="25">
        <f>IF(E114="","",IFERROR(INDEX(lst_JobName,MATCH(E114&amp;"",lst_Jobs,0)),""))</f>
        <v/>
      </c>
      <c r="X114" s="28">
        <f>IF(E114="","",COUNTIFS(tbl_Finance[Job Number],E114&amp;"",tbl_Finance[Ex GST],"&lt;&gt;"))</f>
        <v/>
      </c>
      <c r="Y114" s="27">
        <f>IF(E114="","",SUMIFS(tbl_Finance[Ex GST],tbl_Finance[Job Number],E114&amp;""))</f>
        <v/>
      </c>
      <c r="Z114" s="27">
        <f>IF(E114="","",SUMIFS(tbl_Finance[Ex GST],tbl_Finance[Job Number],E114&amp;"",tbl_Finance[Xero Invoice No],"&lt;&gt;"))</f>
        <v/>
      </c>
      <c r="AA114" s="27">
        <f>IF(E114="","",Y114-Z114)</f>
        <v/>
      </c>
      <c r="AB114" s="25">
        <f>IF(E114="","",IF(H114="Onsite",IFERROR(INDEX(tbl_Onsite[Qwilr Quote],MATCH(E114&amp;"",tbl_Onsite[Job Number],0)),""),IF(H114="Production",IFERROR(IF(INDEX(tbl_Production[Current RMS No],MATCH(E114&amp;"",tbl_Production[Job Number],0))="",INDEX(tbl_Production[Qwilr Quote],MATCH(E114&amp;"",tbl_Production[Job Number],0)),INDEX(tbl_Production[Current RMS No],MATCH(E114&amp;"",tbl_Production[Job Number],0))),""),IF(H114="Consulting",IFERROR(INDEX(tbl_Consulting[Qwilr Quote],MATCH(E114&amp;"",tbl_Consulting[Job Number],0)),""),""))))</f>
        <v/>
      </c>
      <c r="AC114" s="25">
        <f>IF(AB114="","",IF(AND(LEFT(AB114,4)&lt;&gt;"http",IF(H114="Production",set_RMSBase,set_QwilrBase)=""),"",HYPERLINK(IF(LEFT(AB114,4)="http",AB114,IF(H114="Production",set_RMSBase,set_QwilrBase)&amp;AB114),"Open")))</f>
        <v/>
      </c>
      <c r="AD114" s="27">
        <f>IF(E114="","",IF(H114="Production",IFERROR(INDEX(tbl_Production[Total Expense],MATCH(E114&amp;"",tbl_Production[Job Number],0)),0),IF(H114="Consulting",IFERROR(INDEX(tbl_Consulting[Total Expense],MATCH(E114&amp;"",tbl_Consulting[Job Number],0)),0),0)))</f>
        <v/>
      </c>
      <c r="AE114" s="27">
        <f>IF(E114="","",Y114-N(AD114))</f>
        <v/>
      </c>
      <c r="AF114" s="29">
        <f>IFERROR(AE114/Y114,"")</f>
        <v/>
      </c>
      <c r="AG114" s="25">
        <f>IF(E114="","",IF(H114="Onsite",IFERROR(INDEX(tbl_Onsite[Notes],MATCH(E114&amp;"",tbl_Onsite[Job Number],0)),""),IF(H114="Production",IFERROR(INDEX(tbl_Production[Notes],MATCH(E114&amp;"",tbl_Production[Job Number],0)),""),IF(H114="Consulting",IFERROR(INDEX(tbl_Consulting[Notes],MATCH(E114&amp;"",tbl_Consulting[Job Number],0)),""),""))))</f>
        <v/>
      </c>
    </row>
    <row r="115" ht="15" customHeight="1">
      <c r="A115" s="22" t="n">
        <v>46265</v>
      </c>
      <c r="B115" s="23">
        <f>IF(A115="","",EOMONTH(A115,0))</f>
        <v/>
      </c>
      <c r="C115" s="24" t="inlineStr">
        <is>
          <t>INV-10593</t>
        </is>
      </c>
      <c r="D115" s="24" t="inlineStr">
        <is>
          <t>Ventia</t>
        </is>
      </c>
      <c r="E115" s="24" t="inlineStr">
        <is>
          <t>26061109</t>
        </is>
      </c>
      <c r="F115" s="25">
        <f>IF(E115="","",IF(COUNTIF(lst_Jobs,E115&amp;"")&gt;0,"OK","CHECK"))</f>
        <v/>
      </c>
      <c r="G115" s="24" t="inlineStr">
        <is>
          <t>Ventia HYR Employee Town Hall 24.8.26 (PO 4701366307)</t>
        </is>
      </c>
      <c r="H115" s="24" t="inlineStr">
        <is>
          <t>Production</t>
        </is>
      </c>
      <c r="I115" s="24" t="inlineStr">
        <is>
          <t>VIDEO</t>
        </is>
      </c>
      <c r="J115" s="24" t="inlineStr">
        <is>
          <t>Project</t>
        </is>
      </c>
      <c r="K115" s="24" t="inlineStr">
        <is>
          <t>GST 10%</t>
        </is>
      </c>
      <c r="L115" s="26" t="n">
        <v>1771</v>
      </c>
      <c r="M115" s="27">
        <f>IF(L115="","",IF(K115="GST 10%",ROUND(L115*set_GSTRate,2),0))</f>
        <v/>
      </c>
      <c r="N115" s="27">
        <f>IF(L115="","",L115+M115)</f>
        <v/>
      </c>
      <c r="O115" s="24" t="inlineStr">
        <is>
          <t>42150</t>
        </is>
      </c>
      <c r="P115" s="24" t="inlineStr">
        <is>
          <t>Y</t>
        </is>
      </c>
      <c r="Q115" s="24" t="inlineStr">
        <is>
          <t>N</t>
        </is>
      </c>
      <c r="R115" s="22" t="n"/>
      <c r="S115" s="22" t="n"/>
      <c r="T115" s="24" t="inlineStr">
        <is>
          <t>Invoiced</t>
        </is>
      </c>
      <c r="U115" s="24" t="inlineStr">
        <is>
          <t>Video portion of this invoice</t>
        </is>
      </c>
      <c r="V115" s="25">
        <f>IF(COUNTA(A115,D115,C115,L115)=0,"",IF(A115="","No date - sits outside every month",IF(E115="","No job number",IF(F115="CHECK","Job number is not in the Xero job list",IF(I115="","No cost centre",IF(AND(P115="Y",C115=""),"Marked posted to Xero but has no invoice number",IF(AND(L115&lt;&gt;"",K115=""),"No tax code",IF(AND(L115&lt;&gt;"",O115=""),"No revenue GL code",""))))))))</f>
        <v/>
      </c>
      <c r="W115" s="25">
        <f>IF(E115="","",IFERROR(INDEX(lst_JobName,MATCH(E115&amp;"",lst_Jobs,0)),""))</f>
        <v/>
      </c>
      <c r="X115" s="28">
        <f>IF(E115="","",COUNTIFS(tbl_Finance[Job Number],E115&amp;"",tbl_Finance[Ex GST],"&lt;&gt;"))</f>
        <v/>
      </c>
      <c r="Y115" s="27">
        <f>IF(E115="","",SUMIFS(tbl_Finance[Ex GST],tbl_Finance[Job Number],E115&amp;""))</f>
        <v/>
      </c>
      <c r="Z115" s="27">
        <f>IF(E115="","",SUMIFS(tbl_Finance[Ex GST],tbl_Finance[Job Number],E115&amp;"",tbl_Finance[Xero Invoice No],"&lt;&gt;"))</f>
        <v/>
      </c>
      <c r="AA115" s="27">
        <f>IF(E115="","",Y115-Z115)</f>
        <v/>
      </c>
      <c r="AB115" s="25">
        <f>IF(E115="","",IF(H115="Onsite",IFERROR(INDEX(tbl_Onsite[Qwilr Quote],MATCH(E115&amp;"",tbl_Onsite[Job Number],0)),""),IF(H115="Production",IFERROR(IF(INDEX(tbl_Production[Current RMS No],MATCH(E115&amp;"",tbl_Production[Job Number],0))="",INDEX(tbl_Production[Qwilr Quote],MATCH(E115&amp;"",tbl_Production[Job Number],0)),INDEX(tbl_Production[Current RMS No],MATCH(E115&amp;"",tbl_Production[Job Number],0))),""),IF(H115="Consulting",IFERROR(INDEX(tbl_Consulting[Qwilr Quote],MATCH(E115&amp;"",tbl_Consulting[Job Number],0)),""),""))))</f>
        <v/>
      </c>
      <c r="AC115" s="25">
        <f>IF(AB115="","",IF(AND(LEFT(AB115,4)&lt;&gt;"http",IF(H115="Production",set_RMSBase,set_QwilrBase)=""),"",HYPERLINK(IF(LEFT(AB115,4)="http",AB115,IF(H115="Production",set_RMSBase,set_QwilrBase)&amp;AB115),"Open")))</f>
        <v/>
      </c>
      <c r="AD115" s="27">
        <f>IF(E115="","",IF(H115="Production",IFERROR(INDEX(tbl_Production[Total Expense],MATCH(E115&amp;"",tbl_Production[Job Number],0)),0),IF(H115="Consulting",IFERROR(INDEX(tbl_Consulting[Total Expense],MATCH(E115&amp;"",tbl_Consulting[Job Number],0)),0),0)))</f>
        <v/>
      </c>
      <c r="AE115" s="27">
        <f>IF(E115="","",Y115-N(AD115))</f>
        <v/>
      </c>
      <c r="AF115" s="29">
        <f>IFERROR(AE115/Y115,"")</f>
        <v/>
      </c>
      <c r="AG115" s="25">
        <f>IF(E115="","",IF(H115="Onsite",IFERROR(INDEX(tbl_Onsite[Notes],MATCH(E115&amp;"",tbl_Onsite[Job Number],0)),""),IF(H115="Production",IFERROR(INDEX(tbl_Production[Notes],MATCH(E115&amp;"",tbl_Production[Job Number],0)),""),IF(H115="Consulting",IFERROR(INDEX(tbl_Consulting[Notes],MATCH(E115&amp;"",tbl_Consulting[Job Number],0)),""),""))))</f>
        <v/>
      </c>
    </row>
    <row r="116" ht="15" customHeight="1">
      <c r="A116" s="22" t="n">
        <v>46265</v>
      </c>
      <c r="B116" s="23">
        <f>IF(A116="","",EOMONTH(A116,0))</f>
        <v/>
      </c>
      <c r="C116" s="24" t="inlineStr">
        <is>
          <t>INV-10612</t>
        </is>
      </c>
      <c r="D116" s="24" t="inlineStr">
        <is>
          <t>Ventia</t>
        </is>
      </c>
      <c r="E116" s="24" t="inlineStr">
        <is>
          <t>26071501</t>
        </is>
      </c>
      <c r="F116" s="25">
        <f>IF(E116="","",IF(COUNTIF(lst_Jobs,E116&amp;"")&gt;0,"OK","CHECK"))</f>
        <v/>
      </c>
      <c r="G116" s="24" t="inlineStr">
        <is>
          <t>Ventia Half Year Results Briefing</t>
        </is>
      </c>
      <c r="H116" s="24" t="inlineStr">
        <is>
          <t>Production</t>
        </is>
      </c>
      <c r="I116" s="24" t="inlineStr">
        <is>
          <t>PRODUCTION</t>
        </is>
      </c>
      <c r="J116" s="24" t="inlineStr">
        <is>
          <t>Project</t>
        </is>
      </c>
      <c r="K116" s="24" t="inlineStr">
        <is>
          <t>GST 10%</t>
        </is>
      </c>
      <c r="L116" s="26" t="n">
        <v>10835.49</v>
      </c>
      <c r="M116" s="27">
        <f>IF(L116="","",IF(K116="GST 10%",ROUND(L116*set_GSTRate,2),0))</f>
        <v/>
      </c>
      <c r="N116" s="27">
        <f>IF(L116="","",L116+M116)</f>
        <v/>
      </c>
      <c r="O116" s="24" t="inlineStr">
        <is>
          <t>42100</t>
        </is>
      </c>
      <c r="P116" s="24" t="inlineStr">
        <is>
          <t>Y</t>
        </is>
      </c>
      <c r="Q116" s="24" t="inlineStr">
        <is>
          <t>N</t>
        </is>
      </c>
      <c r="R116" s="22" t="n"/>
      <c r="S116" s="22" t="n"/>
      <c r="T116" s="24" t="inlineStr">
        <is>
          <t>Invoiced</t>
        </is>
      </c>
      <c r="U116" s="24" t="n"/>
      <c r="V116" s="25">
        <f>IF(COUNTA(A116,D116,C116,L116)=0,"",IF(A116="","No date - sits outside every month",IF(E116="","No job number",IF(F116="CHECK","Job number is not in the Xero job list",IF(I116="","No cost centre",IF(AND(P116="Y",C116=""),"Marked posted to Xero but has no invoice number",IF(AND(L116&lt;&gt;"",K116=""),"No tax code",IF(AND(L116&lt;&gt;"",O116=""),"No revenue GL code",""))))))))</f>
        <v/>
      </c>
      <c r="W116" s="25">
        <f>IF(E116="","",IFERROR(INDEX(lst_JobName,MATCH(E116&amp;"",lst_Jobs,0)),""))</f>
        <v/>
      </c>
      <c r="X116" s="28">
        <f>IF(E116="","",COUNTIFS(tbl_Finance[Job Number],E116&amp;"",tbl_Finance[Ex GST],"&lt;&gt;"))</f>
        <v/>
      </c>
      <c r="Y116" s="27">
        <f>IF(E116="","",SUMIFS(tbl_Finance[Ex GST],tbl_Finance[Job Number],E116&amp;""))</f>
        <v/>
      </c>
      <c r="Z116" s="27">
        <f>IF(E116="","",SUMIFS(tbl_Finance[Ex GST],tbl_Finance[Job Number],E116&amp;"",tbl_Finance[Xero Invoice No],"&lt;&gt;"))</f>
        <v/>
      </c>
      <c r="AA116" s="27">
        <f>IF(E116="","",Y116-Z116)</f>
        <v/>
      </c>
      <c r="AB116" s="25">
        <f>IF(E116="","",IF(H116="Onsite",IFERROR(INDEX(tbl_Onsite[Qwilr Quote],MATCH(E116&amp;"",tbl_Onsite[Job Number],0)),""),IF(H116="Production",IFERROR(IF(INDEX(tbl_Production[Current RMS No],MATCH(E116&amp;"",tbl_Production[Job Number],0))="",INDEX(tbl_Production[Qwilr Quote],MATCH(E116&amp;"",tbl_Production[Job Number],0)),INDEX(tbl_Production[Current RMS No],MATCH(E116&amp;"",tbl_Production[Job Number],0))),""),IF(H116="Consulting",IFERROR(INDEX(tbl_Consulting[Qwilr Quote],MATCH(E116&amp;"",tbl_Consulting[Job Number],0)),""),""))))</f>
        <v/>
      </c>
      <c r="AC116" s="25">
        <f>IF(AB116="","",IF(AND(LEFT(AB116,4)&lt;&gt;"http",IF(H116="Production",set_RMSBase,set_QwilrBase)=""),"",HYPERLINK(IF(LEFT(AB116,4)="http",AB116,IF(H116="Production",set_RMSBase,set_QwilrBase)&amp;AB116),"Open")))</f>
        <v/>
      </c>
      <c r="AD116" s="27">
        <f>IF(E116="","",IF(H116="Production",IFERROR(INDEX(tbl_Production[Total Expense],MATCH(E116&amp;"",tbl_Production[Job Number],0)),0),IF(H116="Consulting",IFERROR(INDEX(tbl_Consulting[Total Expense],MATCH(E116&amp;"",tbl_Consulting[Job Number],0)),0),0)))</f>
        <v/>
      </c>
      <c r="AE116" s="27">
        <f>IF(E116="","",Y116-N(AD116))</f>
        <v/>
      </c>
      <c r="AF116" s="29">
        <f>IFERROR(AE116/Y116,"")</f>
        <v/>
      </c>
      <c r="AG116" s="25">
        <f>IF(E116="","",IF(H116="Onsite",IFERROR(INDEX(tbl_Onsite[Notes],MATCH(E116&amp;"",tbl_Onsite[Job Number],0)),""),IF(H116="Production",IFERROR(INDEX(tbl_Production[Notes],MATCH(E116&amp;"",tbl_Production[Job Number],0)),""),IF(H116="Consulting",IFERROR(INDEX(tbl_Consulting[Notes],MATCH(E116&amp;"",tbl_Consulting[Job Number],0)),""),""))))</f>
        <v/>
      </c>
    </row>
    <row r="117" ht="15" customHeight="1">
      <c r="A117" s="22" t="n">
        <v>46265</v>
      </c>
      <c r="B117" s="23">
        <f>IF(A117="","",EOMONTH(A117,0))</f>
        <v/>
      </c>
      <c r="C117" s="24" t="inlineStr">
        <is>
          <t>INV-10611</t>
        </is>
      </c>
      <c r="D117" s="24" t="inlineStr">
        <is>
          <t>Downer - Melbourne</t>
        </is>
      </c>
      <c r="E117" s="24" t="inlineStr">
        <is>
          <t>26073111</t>
        </is>
      </c>
      <c r="F117" s="25">
        <f>IF(E117="","",IF(COUNTIF(lst_Jobs,E117&amp;"")&gt;0,"OK","CHECK"))</f>
        <v/>
      </c>
      <c r="G117" s="24" t="inlineStr">
        <is>
          <t>Employee Results Briefing</t>
        </is>
      </c>
      <c r="H117" s="24" t="inlineStr">
        <is>
          <t>Production</t>
        </is>
      </c>
      <c r="I117" s="24" t="inlineStr">
        <is>
          <t>PRODUCTION</t>
        </is>
      </c>
      <c r="J117" s="24" t="inlineStr">
        <is>
          <t>Project</t>
        </is>
      </c>
      <c r="K117" s="24" t="inlineStr">
        <is>
          <t>GST 10%</t>
        </is>
      </c>
      <c r="L117" s="26" t="n">
        <v>22628.75</v>
      </c>
      <c r="M117" s="27">
        <f>IF(L117="","",IF(K117="GST 10%",ROUND(L117*set_GSTRate,2),0))</f>
        <v/>
      </c>
      <c r="N117" s="27">
        <f>IF(L117="","",L117+M117)</f>
        <v/>
      </c>
      <c r="O117" s="24" t="inlineStr">
        <is>
          <t>42100</t>
        </is>
      </c>
      <c r="P117" s="24" t="inlineStr">
        <is>
          <t>Y</t>
        </is>
      </c>
      <c r="Q117" s="24" t="inlineStr">
        <is>
          <t>N</t>
        </is>
      </c>
      <c r="R117" s="22" t="n"/>
      <c r="S117" s="22" t="n"/>
      <c r="T117" s="24" t="inlineStr">
        <is>
          <t>Invoiced</t>
        </is>
      </c>
      <c r="U117" s="24" t="inlineStr">
        <is>
          <t>Production portion of this invoice</t>
        </is>
      </c>
      <c r="V117" s="25">
        <f>IF(COUNTA(A117,D117,C117,L117)=0,"",IF(A117="","No date - sits outside every month",IF(E117="","No job number",IF(F117="CHECK","Job number is not in the Xero job list",IF(I117="","No cost centre",IF(AND(P117="Y",C117=""),"Marked posted to Xero but has no invoice number",IF(AND(L117&lt;&gt;"",K117=""),"No tax code",IF(AND(L117&lt;&gt;"",O117=""),"No revenue GL code",""))))))))</f>
        <v/>
      </c>
      <c r="W117" s="25">
        <f>IF(E117="","",IFERROR(INDEX(lst_JobName,MATCH(E117&amp;"",lst_Jobs,0)),""))</f>
        <v/>
      </c>
      <c r="X117" s="28">
        <f>IF(E117="","",COUNTIFS(tbl_Finance[Job Number],E117&amp;"",tbl_Finance[Ex GST],"&lt;&gt;"))</f>
        <v/>
      </c>
      <c r="Y117" s="27">
        <f>IF(E117="","",SUMIFS(tbl_Finance[Ex GST],tbl_Finance[Job Number],E117&amp;""))</f>
        <v/>
      </c>
      <c r="Z117" s="27">
        <f>IF(E117="","",SUMIFS(tbl_Finance[Ex GST],tbl_Finance[Job Number],E117&amp;"",tbl_Finance[Xero Invoice No],"&lt;&gt;"))</f>
        <v/>
      </c>
      <c r="AA117" s="27">
        <f>IF(E117="","",Y117-Z117)</f>
        <v/>
      </c>
      <c r="AB117" s="25">
        <f>IF(E117="","",IF(H117="Onsite",IFERROR(INDEX(tbl_Onsite[Qwilr Quote],MATCH(E117&amp;"",tbl_Onsite[Job Number],0)),""),IF(H117="Production",IFERROR(IF(INDEX(tbl_Production[Current RMS No],MATCH(E117&amp;"",tbl_Production[Job Number],0))="",INDEX(tbl_Production[Qwilr Quote],MATCH(E117&amp;"",tbl_Production[Job Number],0)),INDEX(tbl_Production[Current RMS No],MATCH(E117&amp;"",tbl_Production[Job Number],0))),""),IF(H117="Consulting",IFERROR(INDEX(tbl_Consulting[Qwilr Quote],MATCH(E117&amp;"",tbl_Consulting[Job Number],0)),""),""))))</f>
        <v/>
      </c>
      <c r="AC117" s="25">
        <f>IF(AB117="","",IF(AND(LEFT(AB117,4)&lt;&gt;"http",IF(H117="Production",set_RMSBase,set_QwilrBase)=""),"",HYPERLINK(IF(LEFT(AB117,4)="http",AB117,IF(H117="Production",set_RMSBase,set_QwilrBase)&amp;AB117),"Open")))</f>
        <v/>
      </c>
      <c r="AD117" s="27">
        <f>IF(E117="","",IF(H117="Production",IFERROR(INDEX(tbl_Production[Total Expense],MATCH(E117&amp;"",tbl_Production[Job Number],0)),0),IF(H117="Consulting",IFERROR(INDEX(tbl_Consulting[Total Expense],MATCH(E117&amp;"",tbl_Consulting[Job Number],0)),0),0)))</f>
        <v/>
      </c>
      <c r="AE117" s="27">
        <f>IF(E117="","",Y117-N(AD117))</f>
        <v/>
      </c>
      <c r="AF117" s="29">
        <f>IFERROR(AE117/Y117,"")</f>
        <v/>
      </c>
      <c r="AG117" s="25">
        <f>IF(E117="","",IF(H117="Onsite",IFERROR(INDEX(tbl_Onsite[Notes],MATCH(E117&amp;"",tbl_Onsite[Job Number],0)),""),IF(H117="Production",IFERROR(INDEX(tbl_Production[Notes],MATCH(E117&amp;"",tbl_Production[Job Number],0)),""),IF(H117="Consulting",IFERROR(INDEX(tbl_Consulting[Notes],MATCH(E117&amp;"",tbl_Consulting[Job Number],0)),""),""))))</f>
        <v/>
      </c>
    </row>
    <row r="118" ht="15" customHeight="1">
      <c r="A118" s="22" t="n">
        <v>46265</v>
      </c>
      <c r="B118" s="23">
        <f>IF(A118="","",EOMONTH(A118,0))</f>
        <v/>
      </c>
      <c r="C118" s="24" t="inlineStr">
        <is>
          <t>INV-10611</t>
        </is>
      </c>
      <c r="D118" s="24" t="inlineStr">
        <is>
          <t>Downer - Melbourne</t>
        </is>
      </c>
      <c r="E118" s="24" t="inlineStr">
        <is>
          <t>26073111</t>
        </is>
      </c>
      <c r="F118" s="25">
        <f>IF(E118="","",IF(COUNTIF(lst_Jobs,E118&amp;"")&gt;0,"OK","CHECK"))</f>
        <v/>
      </c>
      <c r="G118" s="24" t="inlineStr">
        <is>
          <t>Employee Results Briefing</t>
        </is>
      </c>
      <c r="H118" s="24" t="inlineStr">
        <is>
          <t>Production</t>
        </is>
      </c>
      <c r="I118" s="24" t="inlineStr">
        <is>
          <t>VIDEO</t>
        </is>
      </c>
      <c r="J118" s="24" t="inlineStr">
        <is>
          <t>Project</t>
        </is>
      </c>
      <c r="K118" s="24" t="inlineStr">
        <is>
          <t>GST 10%</t>
        </is>
      </c>
      <c r="L118" s="26" t="n">
        <v>1785</v>
      </c>
      <c r="M118" s="27">
        <f>IF(L118="","",IF(K118="GST 10%",ROUND(L118*set_GSTRate,2),0))</f>
        <v/>
      </c>
      <c r="N118" s="27">
        <f>IF(L118="","",L118+M118)</f>
        <v/>
      </c>
      <c r="O118" s="24" t="inlineStr">
        <is>
          <t>42150</t>
        </is>
      </c>
      <c r="P118" s="24" t="inlineStr">
        <is>
          <t>Y</t>
        </is>
      </c>
      <c r="Q118" s="24" t="inlineStr">
        <is>
          <t>N</t>
        </is>
      </c>
      <c r="R118" s="22" t="n"/>
      <c r="S118" s="22" t="n"/>
      <c r="T118" s="24" t="inlineStr">
        <is>
          <t>Invoiced</t>
        </is>
      </c>
      <c r="U118" s="24" t="inlineStr">
        <is>
          <t>Video portion of this invoice</t>
        </is>
      </c>
      <c r="V118" s="25">
        <f>IF(COUNTA(A118,D118,C118,L118)=0,"",IF(A118="","No date - sits outside every month",IF(E118="","No job number",IF(F118="CHECK","Job number is not in the Xero job list",IF(I118="","No cost centre",IF(AND(P118="Y",C118=""),"Marked posted to Xero but has no invoice number",IF(AND(L118&lt;&gt;"",K118=""),"No tax code",IF(AND(L118&lt;&gt;"",O118=""),"No revenue GL code",""))))))))</f>
        <v/>
      </c>
      <c r="W118" s="25">
        <f>IF(E118="","",IFERROR(INDEX(lst_JobName,MATCH(E118&amp;"",lst_Jobs,0)),""))</f>
        <v/>
      </c>
      <c r="X118" s="28">
        <f>IF(E118="","",COUNTIFS(tbl_Finance[Job Number],E118&amp;"",tbl_Finance[Ex GST],"&lt;&gt;"))</f>
        <v/>
      </c>
      <c r="Y118" s="27">
        <f>IF(E118="","",SUMIFS(tbl_Finance[Ex GST],tbl_Finance[Job Number],E118&amp;""))</f>
        <v/>
      </c>
      <c r="Z118" s="27">
        <f>IF(E118="","",SUMIFS(tbl_Finance[Ex GST],tbl_Finance[Job Number],E118&amp;"",tbl_Finance[Xero Invoice No],"&lt;&gt;"))</f>
        <v/>
      </c>
      <c r="AA118" s="27">
        <f>IF(E118="","",Y118-Z118)</f>
        <v/>
      </c>
      <c r="AB118" s="25">
        <f>IF(E118="","",IF(H118="Onsite",IFERROR(INDEX(tbl_Onsite[Qwilr Quote],MATCH(E118&amp;"",tbl_Onsite[Job Number],0)),""),IF(H118="Production",IFERROR(IF(INDEX(tbl_Production[Current RMS No],MATCH(E118&amp;"",tbl_Production[Job Number],0))="",INDEX(tbl_Production[Qwilr Quote],MATCH(E118&amp;"",tbl_Production[Job Number],0)),INDEX(tbl_Production[Current RMS No],MATCH(E118&amp;"",tbl_Production[Job Number],0))),""),IF(H118="Consulting",IFERROR(INDEX(tbl_Consulting[Qwilr Quote],MATCH(E118&amp;"",tbl_Consulting[Job Number],0)),""),""))))</f>
        <v/>
      </c>
      <c r="AC118" s="25">
        <f>IF(AB118="","",IF(AND(LEFT(AB118,4)&lt;&gt;"http",IF(H118="Production",set_RMSBase,set_QwilrBase)=""),"",HYPERLINK(IF(LEFT(AB118,4)="http",AB118,IF(H118="Production",set_RMSBase,set_QwilrBase)&amp;AB118),"Open")))</f>
        <v/>
      </c>
      <c r="AD118" s="27">
        <f>IF(E118="","",IF(H118="Production",IFERROR(INDEX(tbl_Production[Total Expense],MATCH(E118&amp;"",tbl_Production[Job Number],0)),0),IF(H118="Consulting",IFERROR(INDEX(tbl_Consulting[Total Expense],MATCH(E118&amp;"",tbl_Consulting[Job Number],0)),0),0)))</f>
        <v/>
      </c>
      <c r="AE118" s="27">
        <f>IF(E118="","",Y118-N(AD118))</f>
        <v/>
      </c>
      <c r="AF118" s="29">
        <f>IFERROR(AE118/Y118,"")</f>
        <v/>
      </c>
      <c r="AG118" s="25">
        <f>IF(E118="","",IF(H118="Onsite",IFERROR(INDEX(tbl_Onsite[Notes],MATCH(E118&amp;"",tbl_Onsite[Job Number],0)),""),IF(H118="Production",IFERROR(INDEX(tbl_Production[Notes],MATCH(E118&amp;"",tbl_Production[Job Number],0)),""),IF(H118="Consulting",IFERROR(INDEX(tbl_Consulting[Notes],MATCH(E118&amp;"",tbl_Consulting[Job Number],0)),""),""))))</f>
        <v/>
      </c>
    </row>
    <row r="119" ht="15" customHeight="1">
      <c r="A119" s="22" t="n">
        <v>46253</v>
      </c>
      <c r="B119" s="23">
        <f>IF(A119="","",EOMONTH(A119,0))</f>
        <v/>
      </c>
      <c r="C119" s="24" t="inlineStr">
        <is>
          <t>INV10567</t>
        </is>
      </c>
      <c r="D119" s="24" t="inlineStr">
        <is>
          <t>Symal - Melbourne</t>
        </is>
      </c>
      <c r="E119" s="24" t="inlineStr">
        <is>
          <t>2606904</t>
        </is>
      </c>
      <c r="F119" s="25">
        <f>IF(E119="","",IF(COUNTIF(lst_Jobs,E119&amp;"")&gt;0,"OK","CHECK"))</f>
        <v/>
      </c>
      <c r="G119" s="24" t="inlineStr">
        <is>
          <t>Symal FYR 2026</t>
        </is>
      </c>
      <c r="H119" s="24" t="inlineStr">
        <is>
          <t>Production</t>
        </is>
      </c>
      <c r="I119" s="24" t="inlineStr">
        <is>
          <t>PRODUCTION</t>
        </is>
      </c>
      <c r="J119" s="24" t="inlineStr">
        <is>
          <t>Project</t>
        </is>
      </c>
      <c r="K119" s="24" t="inlineStr">
        <is>
          <t>GST 10%</t>
        </is>
      </c>
      <c r="L119" s="26" t="n">
        <v>13260.5</v>
      </c>
      <c r="M119" s="27">
        <f>IF(L119="","",IF(K119="GST 10%",ROUND(L119*set_GSTRate,2),0))</f>
        <v/>
      </c>
      <c r="N119" s="27">
        <f>IF(L119="","",L119+M119)</f>
        <v/>
      </c>
      <c r="O119" s="24" t="inlineStr">
        <is>
          <t>42100</t>
        </is>
      </c>
      <c r="P119" s="24" t="inlineStr">
        <is>
          <t>Y</t>
        </is>
      </c>
      <c r="Q119" s="24" t="inlineStr">
        <is>
          <t>N</t>
        </is>
      </c>
      <c r="R119" s="22" t="n"/>
      <c r="S119" s="22" t="n"/>
      <c r="T119" s="24" t="inlineStr">
        <is>
          <t>Invoiced</t>
        </is>
      </c>
      <c r="U119" s="24" t="inlineStr">
        <is>
          <t>Production portion of this invoice</t>
        </is>
      </c>
      <c r="V119" s="25">
        <f>IF(COUNTA(A119,D119,C119,L119)=0,"",IF(A119="","No date - sits outside every month",IF(E119="","No job number",IF(F119="CHECK","Job number is not in the Xero job list",IF(I119="","No cost centre",IF(AND(P119="Y",C119=""),"Marked posted to Xero but has no invoice number",IF(AND(L119&lt;&gt;"",K119=""),"No tax code",IF(AND(L119&lt;&gt;"",O119=""),"No revenue GL code",""))))))))</f>
        <v/>
      </c>
      <c r="W119" s="25">
        <f>IF(E119="","",IFERROR(INDEX(lst_JobName,MATCH(E119&amp;"",lst_Jobs,0)),""))</f>
        <v/>
      </c>
      <c r="X119" s="28">
        <f>IF(E119="","",COUNTIFS(tbl_Finance[Job Number],E119&amp;"",tbl_Finance[Ex GST],"&lt;&gt;"))</f>
        <v/>
      </c>
      <c r="Y119" s="27">
        <f>IF(E119="","",SUMIFS(tbl_Finance[Ex GST],tbl_Finance[Job Number],E119&amp;""))</f>
        <v/>
      </c>
      <c r="Z119" s="27">
        <f>IF(E119="","",SUMIFS(tbl_Finance[Ex GST],tbl_Finance[Job Number],E119&amp;"",tbl_Finance[Xero Invoice No],"&lt;&gt;"))</f>
        <v/>
      </c>
      <c r="AA119" s="27">
        <f>IF(E119="","",Y119-Z119)</f>
        <v/>
      </c>
      <c r="AB119" s="25">
        <f>IF(E119="","",IF(H119="Onsite",IFERROR(INDEX(tbl_Onsite[Qwilr Quote],MATCH(E119&amp;"",tbl_Onsite[Job Number],0)),""),IF(H119="Production",IFERROR(IF(INDEX(tbl_Production[Current RMS No],MATCH(E119&amp;"",tbl_Production[Job Number],0))="",INDEX(tbl_Production[Qwilr Quote],MATCH(E119&amp;"",tbl_Production[Job Number],0)),INDEX(tbl_Production[Current RMS No],MATCH(E119&amp;"",tbl_Production[Job Number],0))),""),IF(H119="Consulting",IFERROR(INDEX(tbl_Consulting[Qwilr Quote],MATCH(E119&amp;"",tbl_Consulting[Job Number],0)),""),""))))</f>
        <v/>
      </c>
      <c r="AC119" s="25">
        <f>IF(AB119="","",IF(AND(LEFT(AB119,4)&lt;&gt;"http",IF(H119="Production",set_RMSBase,set_QwilrBase)=""),"",HYPERLINK(IF(LEFT(AB119,4)="http",AB119,IF(H119="Production",set_RMSBase,set_QwilrBase)&amp;AB119),"Open")))</f>
        <v/>
      </c>
      <c r="AD119" s="27">
        <f>IF(E119="","",IF(H119="Production",IFERROR(INDEX(tbl_Production[Total Expense],MATCH(E119&amp;"",tbl_Production[Job Number],0)),0),IF(H119="Consulting",IFERROR(INDEX(tbl_Consulting[Total Expense],MATCH(E119&amp;"",tbl_Consulting[Job Number],0)),0),0)))</f>
        <v/>
      </c>
      <c r="AE119" s="27">
        <f>IF(E119="","",Y119-N(AD119))</f>
        <v/>
      </c>
      <c r="AF119" s="29">
        <f>IFERROR(AE119/Y119,"")</f>
        <v/>
      </c>
      <c r="AG119" s="25">
        <f>IF(E119="","",IF(H119="Onsite",IFERROR(INDEX(tbl_Onsite[Notes],MATCH(E119&amp;"",tbl_Onsite[Job Number],0)),""),IF(H119="Production",IFERROR(INDEX(tbl_Production[Notes],MATCH(E119&amp;"",tbl_Production[Job Number],0)),""),IF(H119="Consulting",IFERROR(INDEX(tbl_Consulting[Notes],MATCH(E119&amp;"",tbl_Consulting[Job Number],0)),""),""))))</f>
        <v/>
      </c>
    </row>
    <row r="120" ht="15" customHeight="1">
      <c r="A120" s="22" t="n">
        <v>46253</v>
      </c>
      <c r="B120" s="23">
        <f>IF(A120="","",EOMONTH(A120,0))</f>
        <v/>
      </c>
      <c r="C120" s="24" t="inlineStr">
        <is>
          <t>INV10567</t>
        </is>
      </c>
      <c r="D120" s="24" t="inlineStr">
        <is>
          <t>Symal - Melbourne</t>
        </is>
      </c>
      <c r="E120" s="24" t="inlineStr">
        <is>
          <t>2606904</t>
        </is>
      </c>
      <c r="F120" s="25">
        <f>IF(E120="","",IF(COUNTIF(lst_Jobs,E120&amp;"")&gt;0,"OK","CHECK"))</f>
        <v/>
      </c>
      <c r="G120" s="24" t="inlineStr">
        <is>
          <t>Symal FYR 2026</t>
        </is>
      </c>
      <c r="H120" s="24" t="inlineStr">
        <is>
          <t>Production</t>
        </is>
      </c>
      <c r="I120" s="24" t="inlineStr">
        <is>
          <t>VIDEO</t>
        </is>
      </c>
      <c r="J120" s="24" t="inlineStr">
        <is>
          <t>Project</t>
        </is>
      </c>
      <c r="K120" s="24" t="inlineStr">
        <is>
          <t>GST 10%</t>
        </is>
      </c>
      <c r="L120" s="26" t="n">
        <v>86.5</v>
      </c>
      <c r="M120" s="27">
        <f>IF(L120="","",IF(K120="GST 10%",ROUND(L120*set_GSTRate,2),0))</f>
        <v/>
      </c>
      <c r="N120" s="27">
        <f>IF(L120="","",L120+M120)</f>
        <v/>
      </c>
      <c r="O120" s="24" t="inlineStr">
        <is>
          <t>42150</t>
        </is>
      </c>
      <c r="P120" s="24" t="inlineStr">
        <is>
          <t>Y</t>
        </is>
      </c>
      <c r="Q120" s="24" t="inlineStr">
        <is>
          <t>N</t>
        </is>
      </c>
      <c r="R120" s="22" t="n"/>
      <c r="S120" s="22" t="n"/>
      <c r="T120" s="24" t="inlineStr">
        <is>
          <t>Invoiced</t>
        </is>
      </c>
      <c r="U120" s="24" t="inlineStr">
        <is>
          <t>Video portion of this invoice</t>
        </is>
      </c>
      <c r="V120" s="25">
        <f>IF(COUNTA(A120,D120,C120,L120)=0,"",IF(A120="","No date - sits outside every month",IF(E120="","No job number",IF(F120="CHECK","Job number is not in the Xero job list",IF(I120="","No cost centre",IF(AND(P120="Y",C120=""),"Marked posted to Xero but has no invoice number",IF(AND(L120&lt;&gt;"",K120=""),"No tax code",IF(AND(L120&lt;&gt;"",O120=""),"No revenue GL code",""))))))))</f>
        <v/>
      </c>
      <c r="W120" s="25">
        <f>IF(E120="","",IFERROR(INDEX(lst_JobName,MATCH(E120&amp;"",lst_Jobs,0)),""))</f>
        <v/>
      </c>
      <c r="X120" s="28">
        <f>IF(E120="","",COUNTIFS(tbl_Finance[Job Number],E120&amp;"",tbl_Finance[Ex GST],"&lt;&gt;"))</f>
        <v/>
      </c>
      <c r="Y120" s="27">
        <f>IF(E120="","",SUMIFS(tbl_Finance[Ex GST],tbl_Finance[Job Number],E120&amp;""))</f>
        <v/>
      </c>
      <c r="Z120" s="27">
        <f>IF(E120="","",SUMIFS(tbl_Finance[Ex GST],tbl_Finance[Job Number],E120&amp;"",tbl_Finance[Xero Invoice No],"&lt;&gt;"))</f>
        <v/>
      </c>
      <c r="AA120" s="27">
        <f>IF(E120="","",Y120-Z120)</f>
        <v/>
      </c>
      <c r="AB120" s="25">
        <f>IF(E120="","",IF(H120="Onsite",IFERROR(INDEX(tbl_Onsite[Qwilr Quote],MATCH(E120&amp;"",tbl_Onsite[Job Number],0)),""),IF(H120="Production",IFERROR(IF(INDEX(tbl_Production[Current RMS No],MATCH(E120&amp;"",tbl_Production[Job Number],0))="",INDEX(tbl_Production[Qwilr Quote],MATCH(E120&amp;"",tbl_Production[Job Number],0)),INDEX(tbl_Production[Current RMS No],MATCH(E120&amp;"",tbl_Production[Job Number],0))),""),IF(H120="Consulting",IFERROR(INDEX(tbl_Consulting[Qwilr Quote],MATCH(E120&amp;"",tbl_Consulting[Job Number],0)),""),""))))</f>
        <v/>
      </c>
      <c r="AC120" s="25">
        <f>IF(AB120="","",IF(AND(LEFT(AB120,4)&lt;&gt;"http",IF(H120="Production",set_RMSBase,set_QwilrBase)=""),"",HYPERLINK(IF(LEFT(AB120,4)="http",AB120,IF(H120="Production",set_RMSBase,set_QwilrBase)&amp;AB120),"Open")))</f>
        <v/>
      </c>
      <c r="AD120" s="27">
        <f>IF(E120="","",IF(H120="Production",IFERROR(INDEX(tbl_Production[Total Expense],MATCH(E120&amp;"",tbl_Production[Job Number],0)),0),IF(H120="Consulting",IFERROR(INDEX(tbl_Consulting[Total Expense],MATCH(E120&amp;"",tbl_Consulting[Job Number],0)),0),0)))</f>
        <v/>
      </c>
      <c r="AE120" s="27">
        <f>IF(E120="","",Y120-N(AD120))</f>
        <v/>
      </c>
      <c r="AF120" s="29">
        <f>IFERROR(AE120/Y120,"")</f>
        <v/>
      </c>
      <c r="AG120" s="25">
        <f>IF(E120="","",IF(H120="Onsite",IFERROR(INDEX(tbl_Onsite[Notes],MATCH(E120&amp;"",tbl_Onsite[Job Number],0)),""),IF(H120="Production",IFERROR(INDEX(tbl_Production[Notes],MATCH(E120&amp;"",tbl_Production[Job Number],0)),""),IF(H120="Consulting",IFERROR(INDEX(tbl_Consulting[Notes],MATCH(E120&amp;"",tbl_Consulting[Job Number],0)),""),""))))</f>
        <v/>
      </c>
    </row>
    <row r="121" ht="15" customHeight="1">
      <c r="A121" s="22" t="n">
        <v>46261</v>
      </c>
      <c r="B121" s="23">
        <f>IF(A121="","",EOMONTH(A121,0))</f>
        <v/>
      </c>
      <c r="C121" s="24" t="inlineStr">
        <is>
          <t>INV-10595</t>
        </is>
      </c>
      <c r="D121" s="24" t="inlineStr">
        <is>
          <t>Garvan</t>
        </is>
      </c>
      <c r="E121" s="24" t="inlineStr">
        <is>
          <t>26061001</t>
        </is>
      </c>
      <c r="F121" s="25">
        <f>IF(E121="","",IF(COUNTIF(lst_Jobs,E121&amp;"")&gt;0,"OK","CHECK"))</f>
        <v/>
      </c>
      <c r="G121" s="24" t="inlineStr">
        <is>
          <t>Garvan August All Clear Event 25.8.26</t>
        </is>
      </c>
      <c r="H121" s="24" t="inlineStr">
        <is>
          <t>Production</t>
        </is>
      </c>
      <c r="I121" s="24" t="inlineStr">
        <is>
          <t>PRODUCTION</t>
        </is>
      </c>
      <c r="J121" s="24" t="inlineStr">
        <is>
          <t>Project</t>
        </is>
      </c>
      <c r="K121" s="24" t="inlineStr">
        <is>
          <t>GST 10%</t>
        </is>
      </c>
      <c r="L121" s="26" t="n">
        <v>770</v>
      </c>
      <c r="M121" s="27">
        <f>IF(L121="","",IF(K121="GST 10%",ROUND(L121*set_GSTRate,2),0))</f>
        <v/>
      </c>
      <c r="N121" s="27">
        <f>IF(L121="","",L121+M121)</f>
        <v/>
      </c>
      <c r="O121" s="24" t="inlineStr">
        <is>
          <t>42100</t>
        </is>
      </c>
      <c r="P121" s="24" t="inlineStr">
        <is>
          <t>Y</t>
        </is>
      </c>
      <c r="Q121" s="24" t="inlineStr">
        <is>
          <t>N</t>
        </is>
      </c>
      <c r="R121" s="22" t="n"/>
      <c r="S121" s="22" t="n"/>
      <c r="T121" s="24" t="inlineStr">
        <is>
          <t>Invoiced</t>
        </is>
      </c>
      <c r="U121" s="24" t="n"/>
      <c r="V121" s="25">
        <f>IF(COUNTA(A121,D121,C121,L121)=0,"",IF(A121="","No date - sits outside every month",IF(E121="","No job number",IF(F121="CHECK","Job number is not in the Xero job list",IF(I121="","No cost centre",IF(AND(P121="Y",C121=""),"Marked posted to Xero but has no invoice number",IF(AND(L121&lt;&gt;"",K121=""),"No tax code",IF(AND(L121&lt;&gt;"",O121=""),"No revenue GL code",""))))))))</f>
        <v/>
      </c>
      <c r="W121" s="25">
        <f>IF(E121="","",IFERROR(INDEX(lst_JobName,MATCH(E121&amp;"",lst_Jobs,0)),""))</f>
        <v/>
      </c>
      <c r="X121" s="28">
        <f>IF(E121="","",COUNTIFS(tbl_Finance[Job Number],E121&amp;"",tbl_Finance[Ex GST],"&lt;&gt;"))</f>
        <v/>
      </c>
      <c r="Y121" s="27">
        <f>IF(E121="","",SUMIFS(tbl_Finance[Ex GST],tbl_Finance[Job Number],E121&amp;""))</f>
        <v/>
      </c>
      <c r="Z121" s="27">
        <f>IF(E121="","",SUMIFS(tbl_Finance[Ex GST],tbl_Finance[Job Number],E121&amp;"",tbl_Finance[Xero Invoice No],"&lt;&gt;"))</f>
        <v/>
      </c>
      <c r="AA121" s="27">
        <f>IF(E121="","",Y121-Z121)</f>
        <v/>
      </c>
      <c r="AB121" s="25">
        <f>IF(E121="","",IF(H121="Onsite",IFERROR(INDEX(tbl_Onsite[Qwilr Quote],MATCH(E121&amp;"",tbl_Onsite[Job Number],0)),""),IF(H121="Production",IFERROR(IF(INDEX(tbl_Production[Current RMS No],MATCH(E121&amp;"",tbl_Production[Job Number],0))="",INDEX(tbl_Production[Qwilr Quote],MATCH(E121&amp;"",tbl_Production[Job Number],0)),INDEX(tbl_Production[Current RMS No],MATCH(E121&amp;"",tbl_Production[Job Number],0))),""),IF(H121="Consulting",IFERROR(INDEX(tbl_Consulting[Qwilr Quote],MATCH(E121&amp;"",tbl_Consulting[Job Number],0)),""),""))))</f>
        <v/>
      </c>
      <c r="AC121" s="25">
        <f>IF(AB121="","",IF(AND(LEFT(AB121,4)&lt;&gt;"http",IF(H121="Production",set_RMSBase,set_QwilrBase)=""),"",HYPERLINK(IF(LEFT(AB121,4)="http",AB121,IF(H121="Production",set_RMSBase,set_QwilrBase)&amp;AB121),"Open")))</f>
        <v/>
      </c>
      <c r="AD121" s="27">
        <f>IF(E121="","",IF(H121="Production",IFERROR(INDEX(tbl_Production[Total Expense],MATCH(E121&amp;"",tbl_Production[Job Number],0)),0),IF(H121="Consulting",IFERROR(INDEX(tbl_Consulting[Total Expense],MATCH(E121&amp;"",tbl_Consulting[Job Number],0)),0),0)))</f>
        <v/>
      </c>
      <c r="AE121" s="27">
        <f>IF(E121="","",Y121-N(AD121))</f>
        <v/>
      </c>
      <c r="AF121" s="29">
        <f>IFERROR(AE121/Y121,"")</f>
        <v/>
      </c>
      <c r="AG121" s="25">
        <f>IF(E121="","",IF(H121="Onsite",IFERROR(INDEX(tbl_Onsite[Notes],MATCH(E121&amp;"",tbl_Onsite[Job Number],0)),""),IF(H121="Production",IFERROR(INDEX(tbl_Production[Notes],MATCH(E121&amp;"",tbl_Production[Job Number],0)),""),IF(H121="Consulting",IFERROR(INDEX(tbl_Consulting[Notes],MATCH(E121&amp;"",tbl_Consulting[Job Number],0)),""),""))))</f>
        <v/>
      </c>
    </row>
    <row r="122" ht="15" customHeight="1">
      <c r="A122" s="22" t="n">
        <v>46260</v>
      </c>
      <c r="B122" s="23">
        <f>IF(A122="","",EOMONTH(A122,0))</f>
        <v/>
      </c>
      <c r="C122" s="24" t="inlineStr">
        <is>
          <t>INV-10594</t>
        </is>
      </c>
      <c r="D122" s="24" t="inlineStr">
        <is>
          <t>Elkiem</t>
        </is>
      </c>
      <c r="E122" s="24" t="inlineStr">
        <is>
          <t>26073105</t>
        </is>
      </c>
      <c r="F122" s="25">
        <f>IF(E122="","",IF(COUNTIF(lst_Jobs,E122&amp;"")&gt;0,"OK","CHECK"))</f>
        <v/>
      </c>
      <c r="G122" s="24" t="inlineStr">
        <is>
          <t>Studio Support 25.8.26</t>
        </is>
      </c>
      <c r="H122" s="24" t="inlineStr">
        <is>
          <t>Production</t>
        </is>
      </c>
      <c r="I122" s="24" t="inlineStr">
        <is>
          <t>PRODUCTION</t>
        </is>
      </c>
      <c r="J122" s="24" t="inlineStr">
        <is>
          <t>Project</t>
        </is>
      </c>
      <c r="K122" s="24" t="inlineStr">
        <is>
          <t>GST 10%</t>
        </is>
      </c>
      <c r="L122" s="26" t="n">
        <v>380</v>
      </c>
      <c r="M122" s="27">
        <f>IF(L122="","",IF(K122="GST 10%",ROUND(L122*set_GSTRate,2),0))</f>
        <v/>
      </c>
      <c r="N122" s="27">
        <f>IF(L122="","",L122+M122)</f>
        <v/>
      </c>
      <c r="O122" s="24" t="inlineStr">
        <is>
          <t>42100</t>
        </is>
      </c>
      <c r="P122" s="24" t="inlineStr">
        <is>
          <t>Y</t>
        </is>
      </c>
      <c r="Q122" s="24" t="inlineStr">
        <is>
          <t>N</t>
        </is>
      </c>
      <c r="R122" s="22" t="n"/>
      <c r="S122" s="22" t="n"/>
      <c r="T122" s="24" t="inlineStr">
        <is>
          <t>Invoiced</t>
        </is>
      </c>
      <c r="U122" s="24" t="n"/>
      <c r="V122" s="25">
        <f>IF(COUNTA(A122,D122,C122,L122)=0,"",IF(A122="","No date - sits outside every month",IF(E122="","No job number",IF(F122="CHECK","Job number is not in the Xero job list",IF(I122="","No cost centre",IF(AND(P122="Y",C122=""),"Marked posted to Xero but has no invoice number",IF(AND(L122&lt;&gt;"",K122=""),"No tax code",IF(AND(L122&lt;&gt;"",O122=""),"No revenue GL code",""))))))))</f>
        <v/>
      </c>
      <c r="W122" s="25">
        <f>IF(E122="","",IFERROR(INDEX(lst_JobName,MATCH(E122&amp;"",lst_Jobs,0)),""))</f>
        <v/>
      </c>
      <c r="X122" s="28">
        <f>IF(E122="","",COUNTIFS(tbl_Finance[Job Number],E122&amp;"",tbl_Finance[Ex GST],"&lt;&gt;"))</f>
        <v/>
      </c>
      <c r="Y122" s="27">
        <f>IF(E122="","",SUMIFS(tbl_Finance[Ex GST],tbl_Finance[Job Number],E122&amp;""))</f>
        <v/>
      </c>
      <c r="Z122" s="27">
        <f>IF(E122="","",SUMIFS(tbl_Finance[Ex GST],tbl_Finance[Job Number],E122&amp;"",tbl_Finance[Xero Invoice No],"&lt;&gt;"))</f>
        <v/>
      </c>
      <c r="AA122" s="27">
        <f>IF(E122="","",Y122-Z122)</f>
        <v/>
      </c>
      <c r="AB122" s="25">
        <f>IF(E122="","",IF(H122="Onsite",IFERROR(INDEX(tbl_Onsite[Qwilr Quote],MATCH(E122&amp;"",tbl_Onsite[Job Number],0)),""),IF(H122="Production",IFERROR(IF(INDEX(tbl_Production[Current RMS No],MATCH(E122&amp;"",tbl_Production[Job Number],0))="",INDEX(tbl_Production[Qwilr Quote],MATCH(E122&amp;"",tbl_Production[Job Number],0)),INDEX(tbl_Production[Current RMS No],MATCH(E122&amp;"",tbl_Production[Job Number],0))),""),IF(H122="Consulting",IFERROR(INDEX(tbl_Consulting[Qwilr Quote],MATCH(E122&amp;"",tbl_Consulting[Job Number],0)),""),""))))</f>
        <v/>
      </c>
      <c r="AC122" s="25">
        <f>IF(AB122="","",IF(AND(LEFT(AB122,4)&lt;&gt;"http",IF(H122="Production",set_RMSBase,set_QwilrBase)=""),"",HYPERLINK(IF(LEFT(AB122,4)="http",AB122,IF(H122="Production",set_RMSBase,set_QwilrBase)&amp;AB122),"Open")))</f>
        <v/>
      </c>
      <c r="AD122" s="27">
        <f>IF(E122="","",IF(H122="Production",IFERROR(INDEX(tbl_Production[Total Expense],MATCH(E122&amp;"",tbl_Production[Job Number],0)),0),IF(H122="Consulting",IFERROR(INDEX(tbl_Consulting[Total Expense],MATCH(E122&amp;"",tbl_Consulting[Job Number],0)),0),0)))</f>
        <v/>
      </c>
      <c r="AE122" s="27">
        <f>IF(E122="","",Y122-N(AD122))</f>
        <v/>
      </c>
      <c r="AF122" s="29">
        <f>IFERROR(AE122/Y122,"")</f>
        <v/>
      </c>
      <c r="AG122" s="25">
        <f>IF(E122="","",IF(H122="Onsite",IFERROR(INDEX(tbl_Onsite[Notes],MATCH(E122&amp;"",tbl_Onsite[Job Number],0)),""),IF(H122="Production",IFERROR(INDEX(tbl_Production[Notes],MATCH(E122&amp;"",tbl_Production[Job Number],0)),""),IF(H122="Consulting",IFERROR(INDEX(tbl_Consulting[Notes],MATCH(E122&amp;"",tbl_Consulting[Job Number],0)),""),""))))</f>
        <v/>
      </c>
    </row>
    <row r="123" ht="15" customHeight="1">
      <c r="A123" s="22" t="n">
        <v>46265</v>
      </c>
      <c r="B123" s="23">
        <f>IF(A123="","",EOMONTH(A123,0))</f>
        <v/>
      </c>
      <c r="C123" s="24" t="inlineStr">
        <is>
          <t>INV-10592</t>
        </is>
      </c>
      <c r="D123" s="24" t="inlineStr">
        <is>
          <t>APA</t>
        </is>
      </c>
      <c r="E123" s="24" t="inlineStr">
        <is>
          <t>2608702</t>
        </is>
      </c>
      <c r="F123" s="25">
        <f>IF(E123="","",IF(COUNTIF(lst_Jobs,E123&amp;"")&gt;0,"OK","CHECK"))</f>
        <v/>
      </c>
      <c r="G123" s="24" t="inlineStr">
        <is>
          <t>APA FYR Town Hall Screen Hire 20.8.26</t>
        </is>
      </c>
      <c r="H123" s="24" t="inlineStr">
        <is>
          <t>Production</t>
        </is>
      </c>
      <c r="I123" s="24" t="inlineStr">
        <is>
          <t>PRODUCTION</t>
        </is>
      </c>
      <c r="J123" s="24" t="inlineStr">
        <is>
          <t>Project</t>
        </is>
      </c>
      <c r="K123" s="24" t="inlineStr">
        <is>
          <t>GST 10%</t>
        </is>
      </c>
      <c r="L123" s="26" t="n">
        <v>830</v>
      </c>
      <c r="M123" s="27">
        <f>IF(L123="","",IF(K123="GST 10%",ROUND(L123*set_GSTRate,2),0))</f>
        <v/>
      </c>
      <c r="N123" s="27">
        <f>IF(L123="","",L123+M123)</f>
        <v/>
      </c>
      <c r="O123" s="24" t="inlineStr">
        <is>
          <t>42100</t>
        </is>
      </c>
      <c r="P123" s="24" t="inlineStr">
        <is>
          <t>Y</t>
        </is>
      </c>
      <c r="Q123" s="24" t="inlineStr">
        <is>
          <t>N</t>
        </is>
      </c>
      <c r="R123" s="22" t="n"/>
      <c r="S123" s="22" t="n"/>
      <c r="T123" s="24" t="inlineStr">
        <is>
          <t>Invoiced</t>
        </is>
      </c>
      <c r="U123" s="24" t="n"/>
      <c r="V123" s="25">
        <f>IF(COUNTA(A123,D123,C123,L123)=0,"",IF(A123="","No date - sits outside every month",IF(E123="","No job number",IF(F123="CHECK","Job number is not in the Xero job list",IF(I123="","No cost centre",IF(AND(P123="Y",C123=""),"Marked posted to Xero but has no invoice number",IF(AND(L123&lt;&gt;"",K123=""),"No tax code",IF(AND(L123&lt;&gt;"",O123=""),"No revenue GL code",""))))))))</f>
        <v/>
      </c>
      <c r="W123" s="25">
        <f>IF(E123="","",IFERROR(INDEX(lst_JobName,MATCH(E123&amp;"",lst_Jobs,0)),""))</f>
        <v/>
      </c>
      <c r="X123" s="28">
        <f>IF(E123="","",COUNTIFS(tbl_Finance[Job Number],E123&amp;"",tbl_Finance[Ex GST],"&lt;&gt;"))</f>
        <v/>
      </c>
      <c r="Y123" s="27">
        <f>IF(E123="","",SUMIFS(tbl_Finance[Ex GST],tbl_Finance[Job Number],E123&amp;""))</f>
        <v/>
      </c>
      <c r="Z123" s="27">
        <f>IF(E123="","",SUMIFS(tbl_Finance[Ex GST],tbl_Finance[Job Number],E123&amp;"",tbl_Finance[Xero Invoice No],"&lt;&gt;"))</f>
        <v/>
      </c>
      <c r="AA123" s="27">
        <f>IF(E123="","",Y123-Z123)</f>
        <v/>
      </c>
      <c r="AB123" s="25">
        <f>IF(E123="","",IF(H123="Onsite",IFERROR(INDEX(tbl_Onsite[Qwilr Quote],MATCH(E123&amp;"",tbl_Onsite[Job Number],0)),""),IF(H123="Production",IFERROR(IF(INDEX(tbl_Production[Current RMS No],MATCH(E123&amp;"",tbl_Production[Job Number],0))="",INDEX(tbl_Production[Qwilr Quote],MATCH(E123&amp;"",tbl_Production[Job Number],0)),INDEX(tbl_Production[Current RMS No],MATCH(E123&amp;"",tbl_Production[Job Number],0))),""),IF(H123="Consulting",IFERROR(INDEX(tbl_Consulting[Qwilr Quote],MATCH(E123&amp;"",tbl_Consulting[Job Number],0)),""),""))))</f>
        <v/>
      </c>
      <c r="AC123" s="25">
        <f>IF(AB123="","",IF(AND(LEFT(AB123,4)&lt;&gt;"http",IF(H123="Production",set_RMSBase,set_QwilrBase)=""),"",HYPERLINK(IF(LEFT(AB123,4)="http",AB123,IF(H123="Production",set_RMSBase,set_QwilrBase)&amp;AB123),"Open")))</f>
        <v/>
      </c>
      <c r="AD123" s="27">
        <f>IF(E123="","",IF(H123="Production",IFERROR(INDEX(tbl_Production[Total Expense],MATCH(E123&amp;"",tbl_Production[Job Number],0)),0),IF(H123="Consulting",IFERROR(INDEX(tbl_Consulting[Total Expense],MATCH(E123&amp;"",tbl_Consulting[Job Number],0)),0),0)))</f>
        <v/>
      </c>
      <c r="AE123" s="27">
        <f>IF(E123="","",Y123-N(AD123))</f>
        <v/>
      </c>
      <c r="AF123" s="29">
        <f>IFERROR(AE123/Y123,"")</f>
        <v/>
      </c>
      <c r="AG123" s="25">
        <f>IF(E123="","",IF(H123="Onsite",IFERROR(INDEX(tbl_Onsite[Notes],MATCH(E123&amp;"",tbl_Onsite[Job Number],0)),""),IF(H123="Production",IFERROR(INDEX(tbl_Production[Notes],MATCH(E123&amp;"",tbl_Production[Job Number],0)),""),IF(H123="Consulting",IFERROR(INDEX(tbl_Consulting[Notes],MATCH(E123&amp;"",tbl_Consulting[Job Number],0)),""),""))))</f>
        <v/>
      </c>
    </row>
    <row r="124" ht="15" customHeight="1">
      <c r="A124" s="22" t="n">
        <v>46265</v>
      </c>
      <c r="B124" s="23">
        <f>IF(A124="","",EOMONTH(A124,0))</f>
        <v/>
      </c>
      <c r="C124" s="24" t="inlineStr">
        <is>
          <t>INV-10617</t>
        </is>
      </c>
      <c r="D124" s="24" t="inlineStr">
        <is>
          <t>Virgin - BNE</t>
        </is>
      </c>
      <c r="E124" s="24" t="inlineStr">
        <is>
          <t>2606903</t>
        </is>
      </c>
      <c r="F124" s="25">
        <f>IF(E124="","",IF(COUNTIF(lst_Jobs,E124&amp;"")&gt;0,"OK","CHECK"))</f>
        <v/>
      </c>
      <c r="G124" s="24" t="inlineStr">
        <is>
          <t>FY26 Results - 28.8.26</t>
        </is>
      </c>
      <c r="H124" s="24" t="inlineStr">
        <is>
          <t>Production</t>
        </is>
      </c>
      <c r="I124" s="24" t="inlineStr">
        <is>
          <t>PRODUCTION</t>
        </is>
      </c>
      <c r="J124" s="24" t="inlineStr">
        <is>
          <t>Project</t>
        </is>
      </c>
      <c r="K124" s="24" t="inlineStr">
        <is>
          <t>GST 10%</t>
        </is>
      </c>
      <c r="L124" s="26" t="n">
        <v>13389.5</v>
      </c>
      <c r="M124" s="27">
        <f>IF(L124="","",IF(K124="GST 10%",ROUND(L124*set_GSTRate,2),0))</f>
        <v/>
      </c>
      <c r="N124" s="27">
        <f>IF(L124="","",L124+M124)</f>
        <v/>
      </c>
      <c r="O124" s="24" t="inlineStr">
        <is>
          <t>42100</t>
        </is>
      </c>
      <c r="P124" s="24" t="inlineStr">
        <is>
          <t>Y</t>
        </is>
      </c>
      <c r="Q124" s="24" t="inlineStr">
        <is>
          <t>N</t>
        </is>
      </c>
      <c r="R124" s="22" t="n"/>
      <c r="S124" s="22" t="n"/>
      <c r="T124" s="24" t="inlineStr">
        <is>
          <t>Invoiced</t>
        </is>
      </c>
      <c r="U124" s="24" t="n"/>
      <c r="V124" s="25">
        <f>IF(COUNTA(A124,D124,C124,L124)=0,"",IF(A124="","No date - sits outside every month",IF(E124="","No job number",IF(F124="CHECK","Job number is not in the Xero job list",IF(I124="","No cost centre",IF(AND(P124="Y",C124=""),"Marked posted to Xero but has no invoice number",IF(AND(L124&lt;&gt;"",K124=""),"No tax code",IF(AND(L124&lt;&gt;"",O124=""),"No revenue GL code",""))))))))</f>
        <v/>
      </c>
      <c r="W124" s="25">
        <f>IF(E124="","",IFERROR(INDEX(lst_JobName,MATCH(E124&amp;"",lst_Jobs,0)),""))</f>
        <v/>
      </c>
      <c r="X124" s="28">
        <f>IF(E124="","",COUNTIFS(tbl_Finance[Job Number],E124&amp;"",tbl_Finance[Ex GST],"&lt;&gt;"))</f>
        <v/>
      </c>
      <c r="Y124" s="27">
        <f>IF(E124="","",SUMIFS(tbl_Finance[Ex GST],tbl_Finance[Job Number],E124&amp;""))</f>
        <v/>
      </c>
      <c r="Z124" s="27">
        <f>IF(E124="","",SUMIFS(tbl_Finance[Ex GST],tbl_Finance[Job Number],E124&amp;"",tbl_Finance[Xero Invoice No],"&lt;&gt;"))</f>
        <v/>
      </c>
      <c r="AA124" s="27">
        <f>IF(E124="","",Y124-Z124)</f>
        <v/>
      </c>
      <c r="AB124" s="25">
        <f>IF(E124="","",IF(H124="Onsite",IFERROR(INDEX(tbl_Onsite[Qwilr Quote],MATCH(E124&amp;"",tbl_Onsite[Job Number],0)),""),IF(H124="Production",IFERROR(IF(INDEX(tbl_Production[Current RMS No],MATCH(E124&amp;"",tbl_Production[Job Number],0))="",INDEX(tbl_Production[Qwilr Quote],MATCH(E124&amp;"",tbl_Production[Job Number],0)),INDEX(tbl_Production[Current RMS No],MATCH(E124&amp;"",tbl_Production[Job Number],0))),""),IF(H124="Consulting",IFERROR(INDEX(tbl_Consulting[Qwilr Quote],MATCH(E124&amp;"",tbl_Consulting[Job Number],0)),""),""))))</f>
        <v/>
      </c>
      <c r="AC124" s="25">
        <f>IF(AB124="","",IF(AND(LEFT(AB124,4)&lt;&gt;"http",IF(H124="Production",set_RMSBase,set_QwilrBase)=""),"",HYPERLINK(IF(LEFT(AB124,4)="http",AB124,IF(H124="Production",set_RMSBase,set_QwilrBase)&amp;AB124),"Open")))</f>
        <v/>
      </c>
      <c r="AD124" s="27">
        <f>IF(E124="","",IF(H124="Production",IFERROR(INDEX(tbl_Production[Total Expense],MATCH(E124&amp;"",tbl_Production[Job Number],0)),0),IF(H124="Consulting",IFERROR(INDEX(tbl_Consulting[Total Expense],MATCH(E124&amp;"",tbl_Consulting[Job Number],0)),0),0)))</f>
        <v/>
      </c>
      <c r="AE124" s="27">
        <f>IF(E124="","",Y124-N(AD124))</f>
        <v/>
      </c>
      <c r="AF124" s="29">
        <f>IFERROR(AE124/Y124,"")</f>
        <v/>
      </c>
      <c r="AG124" s="25">
        <f>IF(E124="","",IF(H124="Onsite",IFERROR(INDEX(tbl_Onsite[Notes],MATCH(E124&amp;"",tbl_Onsite[Job Number],0)),""),IF(H124="Production",IFERROR(INDEX(tbl_Production[Notes],MATCH(E124&amp;"",tbl_Production[Job Number],0)),""),IF(H124="Consulting",IFERROR(INDEX(tbl_Consulting[Notes],MATCH(E124&amp;"",tbl_Consulting[Job Number],0)),""),""))))</f>
        <v/>
      </c>
    </row>
    <row r="125" ht="15" customHeight="1">
      <c r="A125" s="22" t="n">
        <v>46265</v>
      </c>
      <c r="B125" s="23">
        <f>IF(A125="","",EOMONTH(A125,0))</f>
        <v/>
      </c>
      <c r="C125" s="24" t="inlineStr">
        <is>
          <t>INV-10616</t>
        </is>
      </c>
      <c r="D125" s="24" t="inlineStr">
        <is>
          <t>CBA</t>
        </is>
      </c>
      <c r="E125" s="24" t="inlineStr">
        <is>
          <t>26072003</t>
        </is>
      </c>
      <c r="F125" s="25">
        <f>IF(E125="","",IF(COUNTIF(lst_Jobs,E125&amp;"")&gt;0,"OK","CHECK"))</f>
        <v/>
      </c>
      <c r="G125" s="24" t="inlineStr">
        <is>
          <t>CBA - Live Event Support - August</t>
        </is>
      </c>
      <c r="H125" s="24" t="inlineStr">
        <is>
          <t>Production</t>
        </is>
      </c>
      <c r="I125" s="24" t="inlineStr">
        <is>
          <t>PRODUCTION</t>
        </is>
      </c>
      <c r="J125" s="24" t="inlineStr">
        <is>
          <t>Project</t>
        </is>
      </c>
      <c r="K125" s="24" t="inlineStr">
        <is>
          <t>GST 10%</t>
        </is>
      </c>
      <c r="L125" s="26" t="n">
        <v>3990</v>
      </c>
      <c r="M125" s="27">
        <f>IF(L125="","",IF(K125="GST 10%",ROUND(L125*set_GSTRate,2),0))</f>
        <v/>
      </c>
      <c r="N125" s="27">
        <f>IF(L125="","",L125+M125)</f>
        <v/>
      </c>
      <c r="O125" s="24" t="inlineStr">
        <is>
          <t>42100</t>
        </is>
      </c>
      <c r="P125" s="24" t="inlineStr">
        <is>
          <t>Y</t>
        </is>
      </c>
      <c r="Q125" s="24" t="inlineStr">
        <is>
          <t>N</t>
        </is>
      </c>
      <c r="R125" s="22" t="n"/>
      <c r="S125" s="22" t="n"/>
      <c r="T125" s="24" t="inlineStr">
        <is>
          <t>Invoiced</t>
        </is>
      </c>
      <c r="U125" s="24" t="n"/>
      <c r="V125" s="25">
        <f>IF(COUNTA(A125,D125,C125,L125)=0,"",IF(A125="","No date - sits outside every month",IF(E125="","No job number",IF(F125="CHECK","Job number is not in the Xero job list",IF(I125="","No cost centre",IF(AND(P125="Y",C125=""),"Marked posted to Xero but has no invoice number",IF(AND(L125&lt;&gt;"",K125=""),"No tax code",IF(AND(L125&lt;&gt;"",O125=""),"No revenue GL code",""))))))))</f>
        <v/>
      </c>
      <c r="W125" s="25">
        <f>IF(E125="","",IFERROR(INDEX(lst_JobName,MATCH(E125&amp;"",lst_Jobs,0)),""))</f>
        <v/>
      </c>
      <c r="X125" s="28">
        <f>IF(E125="","",COUNTIFS(tbl_Finance[Job Number],E125&amp;"",tbl_Finance[Ex GST],"&lt;&gt;"))</f>
        <v/>
      </c>
      <c r="Y125" s="27">
        <f>IF(E125="","",SUMIFS(tbl_Finance[Ex GST],tbl_Finance[Job Number],E125&amp;""))</f>
        <v/>
      </c>
      <c r="Z125" s="27">
        <f>IF(E125="","",SUMIFS(tbl_Finance[Ex GST],tbl_Finance[Job Number],E125&amp;"",tbl_Finance[Xero Invoice No],"&lt;&gt;"))</f>
        <v/>
      </c>
      <c r="AA125" s="27">
        <f>IF(E125="","",Y125-Z125)</f>
        <v/>
      </c>
      <c r="AB125" s="25">
        <f>IF(E125="","",IF(H125="Onsite",IFERROR(INDEX(tbl_Onsite[Qwilr Quote],MATCH(E125&amp;"",tbl_Onsite[Job Number],0)),""),IF(H125="Production",IFERROR(IF(INDEX(tbl_Production[Current RMS No],MATCH(E125&amp;"",tbl_Production[Job Number],0))="",INDEX(tbl_Production[Qwilr Quote],MATCH(E125&amp;"",tbl_Production[Job Number],0)),INDEX(tbl_Production[Current RMS No],MATCH(E125&amp;"",tbl_Production[Job Number],0))),""),IF(H125="Consulting",IFERROR(INDEX(tbl_Consulting[Qwilr Quote],MATCH(E125&amp;"",tbl_Consulting[Job Number],0)),""),""))))</f>
        <v/>
      </c>
      <c r="AC125" s="25">
        <f>IF(AB125="","",IF(AND(LEFT(AB125,4)&lt;&gt;"http",IF(H125="Production",set_RMSBase,set_QwilrBase)=""),"",HYPERLINK(IF(LEFT(AB125,4)="http",AB125,IF(H125="Production",set_RMSBase,set_QwilrBase)&amp;AB125),"Open")))</f>
        <v/>
      </c>
      <c r="AD125" s="27">
        <f>IF(E125="","",IF(H125="Production",IFERROR(INDEX(tbl_Production[Total Expense],MATCH(E125&amp;"",tbl_Production[Job Number],0)),0),IF(H125="Consulting",IFERROR(INDEX(tbl_Consulting[Total Expense],MATCH(E125&amp;"",tbl_Consulting[Job Number],0)),0),0)))</f>
        <v/>
      </c>
      <c r="AE125" s="27">
        <f>IF(E125="","",Y125-N(AD125))</f>
        <v/>
      </c>
      <c r="AF125" s="29">
        <f>IFERROR(AE125/Y125,"")</f>
        <v/>
      </c>
      <c r="AG125" s="25">
        <f>IF(E125="","",IF(H125="Onsite",IFERROR(INDEX(tbl_Onsite[Notes],MATCH(E125&amp;"",tbl_Onsite[Job Number],0)),""),IF(H125="Production",IFERROR(INDEX(tbl_Production[Notes],MATCH(E125&amp;"",tbl_Production[Job Number],0)),""),IF(H125="Consulting",IFERROR(INDEX(tbl_Consulting[Notes],MATCH(E125&amp;"",tbl_Consulting[Job Number],0)),""),""))))</f>
        <v/>
      </c>
    </row>
    <row r="126" ht="15" customHeight="1">
      <c r="A126" s="22" t="n">
        <v>46218</v>
      </c>
      <c r="B126" s="23">
        <f>IF(A126="","",EOMONTH(A126,0))</f>
        <v/>
      </c>
      <c r="C126" s="24" t="inlineStr">
        <is>
          <t>INV-10521</t>
        </is>
      </c>
      <c r="D126" s="24" t="inlineStr">
        <is>
          <t>APA</t>
        </is>
      </c>
      <c r="E126" s="24" t="inlineStr">
        <is>
          <t>26061609/26061608/26061607/26061108</t>
        </is>
      </c>
      <c r="F126" s="25">
        <f>IF(E126="","",IF(COUNTIF(lst_Jobs,E126&amp;"")&gt;0,"OK","CHECK"))</f>
        <v/>
      </c>
      <c r="G126" s="24" t="inlineStr">
        <is>
          <t>APA - All Hands Package FY27 (PO-00030766)</t>
        </is>
      </c>
      <c r="H126" s="24" t="inlineStr">
        <is>
          <t>Production</t>
        </is>
      </c>
      <c r="I126" s="24" t="inlineStr">
        <is>
          <t>PRODUCTION</t>
        </is>
      </c>
      <c r="J126" s="24" t="inlineStr">
        <is>
          <t>Project</t>
        </is>
      </c>
      <c r="K126" s="24" t="inlineStr">
        <is>
          <t>GST 10%</t>
        </is>
      </c>
      <c r="L126" s="26" t="n">
        <v>49743.4</v>
      </c>
      <c r="M126" s="27">
        <f>IF(L126="","",IF(K126="GST 10%",ROUND(L126*set_GSTRate,2),0))</f>
        <v/>
      </c>
      <c r="N126" s="27">
        <f>IF(L126="","",L126+M126)</f>
        <v/>
      </c>
      <c r="O126" s="24" t="inlineStr">
        <is>
          <t>42100</t>
        </is>
      </c>
      <c r="P126" s="24" t="inlineStr">
        <is>
          <t>Y</t>
        </is>
      </c>
      <c r="Q126" s="24" t="inlineStr">
        <is>
          <t>N</t>
        </is>
      </c>
      <c r="R126" s="22" t="n"/>
      <c r="S126" s="22" t="n"/>
      <c r="T126" s="24" t="inlineStr">
        <is>
          <t>Invoiced</t>
        </is>
      </c>
      <c r="U126" s="24" t="inlineStr">
        <is>
          <t>Production portion of this invoice</t>
        </is>
      </c>
      <c r="V126" s="25">
        <f>IF(COUNTA(A126,D126,C126,L126)=0,"",IF(A126="","No date - sits outside every month",IF(E126="","No job number",IF(F126="CHECK","Job number is not in the Xero job list",IF(I126="","No cost centre",IF(AND(P126="Y",C126=""),"Marked posted to Xero but has no invoice number",IF(AND(L126&lt;&gt;"",K126=""),"No tax code",IF(AND(L126&lt;&gt;"",O126=""),"No revenue GL code",""))))))))</f>
        <v/>
      </c>
      <c r="W126" s="25">
        <f>IF(E126="","",IFERROR(INDEX(lst_JobName,MATCH(E126&amp;"",lst_Jobs,0)),""))</f>
        <v/>
      </c>
      <c r="X126" s="28">
        <f>IF(E126="","",COUNTIFS(tbl_Finance[Job Number],E126&amp;"",tbl_Finance[Ex GST],"&lt;&gt;"))</f>
        <v/>
      </c>
      <c r="Y126" s="27">
        <f>IF(E126="","",SUMIFS(tbl_Finance[Ex GST],tbl_Finance[Job Number],E126&amp;""))</f>
        <v/>
      </c>
      <c r="Z126" s="27">
        <f>IF(E126="","",SUMIFS(tbl_Finance[Ex GST],tbl_Finance[Job Number],E126&amp;"",tbl_Finance[Xero Invoice No],"&lt;&gt;"))</f>
        <v/>
      </c>
      <c r="AA126" s="27">
        <f>IF(E126="","",Y126-Z126)</f>
        <v/>
      </c>
      <c r="AB126" s="25">
        <f>IF(E126="","",IF(H126="Onsite",IFERROR(INDEX(tbl_Onsite[Qwilr Quote],MATCH(E126&amp;"",tbl_Onsite[Job Number],0)),""),IF(H126="Production",IFERROR(IF(INDEX(tbl_Production[Current RMS No],MATCH(E126&amp;"",tbl_Production[Job Number],0))="",INDEX(tbl_Production[Qwilr Quote],MATCH(E126&amp;"",tbl_Production[Job Number],0)),INDEX(tbl_Production[Current RMS No],MATCH(E126&amp;"",tbl_Production[Job Number],0))),""),IF(H126="Consulting",IFERROR(INDEX(tbl_Consulting[Qwilr Quote],MATCH(E126&amp;"",tbl_Consulting[Job Number],0)),""),""))))</f>
        <v/>
      </c>
      <c r="AC126" s="25">
        <f>IF(AB126="","",IF(AND(LEFT(AB126,4)&lt;&gt;"http",IF(H126="Production",set_RMSBase,set_QwilrBase)=""),"",HYPERLINK(IF(LEFT(AB126,4)="http",AB126,IF(H126="Production",set_RMSBase,set_QwilrBase)&amp;AB126),"Open")))</f>
        <v/>
      </c>
      <c r="AD126" s="27">
        <f>IF(E126="","",IF(H126="Production",IFERROR(INDEX(tbl_Production[Total Expense],MATCH(E126&amp;"",tbl_Production[Job Number],0)),0),IF(H126="Consulting",IFERROR(INDEX(tbl_Consulting[Total Expense],MATCH(E126&amp;"",tbl_Consulting[Job Number],0)),0),0)))</f>
        <v/>
      </c>
      <c r="AE126" s="27">
        <f>IF(E126="","",Y126-N(AD126))</f>
        <v/>
      </c>
      <c r="AF126" s="29">
        <f>IFERROR(AE126/Y126,"")</f>
        <v/>
      </c>
      <c r="AG126" s="25">
        <f>IF(E126="","",IF(H126="Onsite",IFERROR(INDEX(tbl_Onsite[Notes],MATCH(E126&amp;"",tbl_Onsite[Job Number],0)),""),IF(H126="Production",IFERROR(INDEX(tbl_Production[Notes],MATCH(E126&amp;"",tbl_Production[Job Number],0)),""),IF(H126="Consulting",IFERROR(INDEX(tbl_Consulting[Notes],MATCH(E126&amp;"",tbl_Consulting[Job Number],0)),""),""))))</f>
        <v/>
      </c>
    </row>
    <row r="127" ht="15" customHeight="1">
      <c r="A127" s="22" t="n">
        <v>46218</v>
      </c>
      <c r="B127" s="23">
        <f>IF(A127="","",EOMONTH(A127,0))</f>
        <v/>
      </c>
      <c r="C127" s="24" t="inlineStr">
        <is>
          <t>INV-10521</t>
        </is>
      </c>
      <c r="D127" s="24" t="inlineStr">
        <is>
          <t>APA</t>
        </is>
      </c>
      <c r="E127" s="24" t="inlineStr">
        <is>
          <t>26061609/26061608/26061607/26061108</t>
        </is>
      </c>
      <c r="F127" s="25">
        <f>IF(E127="","",IF(COUNTIF(lst_Jobs,E127&amp;"")&gt;0,"OK","CHECK"))</f>
        <v/>
      </c>
      <c r="G127" s="24" t="inlineStr">
        <is>
          <t>APA - All Hands Package FY27 (PO-00030766)</t>
        </is>
      </c>
      <c r="H127" s="24" t="inlineStr">
        <is>
          <t>Production</t>
        </is>
      </c>
      <c r="I127" s="24" t="inlineStr">
        <is>
          <t>VIDEO</t>
        </is>
      </c>
      <c r="J127" s="24" t="inlineStr">
        <is>
          <t>Project</t>
        </is>
      </c>
      <c r="K127" s="24" t="inlineStr">
        <is>
          <t>GST 10%</t>
        </is>
      </c>
      <c r="L127" s="26" t="n">
        <v>4308</v>
      </c>
      <c r="M127" s="27">
        <f>IF(L127="","",IF(K127="GST 10%",ROUND(L127*set_GSTRate,2),0))</f>
        <v/>
      </c>
      <c r="N127" s="27">
        <f>IF(L127="","",L127+M127)</f>
        <v/>
      </c>
      <c r="O127" s="24" t="inlineStr">
        <is>
          <t>42150</t>
        </is>
      </c>
      <c r="P127" s="24" t="inlineStr">
        <is>
          <t>Y</t>
        </is>
      </c>
      <c r="Q127" s="24" t="inlineStr">
        <is>
          <t>N</t>
        </is>
      </c>
      <c r="R127" s="22" t="n"/>
      <c r="S127" s="22" t="n"/>
      <c r="T127" s="24" t="inlineStr">
        <is>
          <t>Invoiced</t>
        </is>
      </c>
      <c r="U127" s="24" t="inlineStr">
        <is>
          <t>Video portion of this invoice</t>
        </is>
      </c>
      <c r="V127" s="25">
        <f>IF(COUNTA(A127,D127,C127,L127)=0,"",IF(A127="","No date - sits outside every month",IF(E127="","No job number",IF(F127="CHECK","Job number is not in the Xero job list",IF(I127="","No cost centre",IF(AND(P127="Y",C127=""),"Marked posted to Xero but has no invoice number",IF(AND(L127&lt;&gt;"",K127=""),"No tax code",IF(AND(L127&lt;&gt;"",O127=""),"No revenue GL code",""))))))))</f>
        <v/>
      </c>
      <c r="W127" s="25">
        <f>IF(E127="","",IFERROR(INDEX(lst_JobName,MATCH(E127&amp;"",lst_Jobs,0)),""))</f>
        <v/>
      </c>
      <c r="X127" s="28">
        <f>IF(E127="","",COUNTIFS(tbl_Finance[Job Number],E127&amp;"",tbl_Finance[Ex GST],"&lt;&gt;"))</f>
        <v/>
      </c>
      <c r="Y127" s="27">
        <f>IF(E127="","",SUMIFS(tbl_Finance[Ex GST],tbl_Finance[Job Number],E127&amp;""))</f>
        <v/>
      </c>
      <c r="Z127" s="27">
        <f>IF(E127="","",SUMIFS(tbl_Finance[Ex GST],tbl_Finance[Job Number],E127&amp;"",tbl_Finance[Xero Invoice No],"&lt;&gt;"))</f>
        <v/>
      </c>
      <c r="AA127" s="27">
        <f>IF(E127="","",Y127-Z127)</f>
        <v/>
      </c>
      <c r="AB127" s="25">
        <f>IF(E127="","",IF(H127="Onsite",IFERROR(INDEX(tbl_Onsite[Qwilr Quote],MATCH(E127&amp;"",tbl_Onsite[Job Number],0)),""),IF(H127="Production",IFERROR(IF(INDEX(tbl_Production[Current RMS No],MATCH(E127&amp;"",tbl_Production[Job Number],0))="",INDEX(tbl_Production[Qwilr Quote],MATCH(E127&amp;"",tbl_Production[Job Number],0)),INDEX(tbl_Production[Current RMS No],MATCH(E127&amp;"",tbl_Production[Job Number],0))),""),IF(H127="Consulting",IFERROR(INDEX(tbl_Consulting[Qwilr Quote],MATCH(E127&amp;"",tbl_Consulting[Job Number],0)),""),""))))</f>
        <v/>
      </c>
      <c r="AC127" s="25">
        <f>IF(AB127="","",IF(AND(LEFT(AB127,4)&lt;&gt;"http",IF(H127="Production",set_RMSBase,set_QwilrBase)=""),"",HYPERLINK(IF(LEFT(AB127,4)="http",AB127,IF(H127="Production",set_RMSBase,set_QwilrBase)&amp;AB127),"Open")))</f>
        <v/>
      </c>
      <c r="AD127" s="27">
        <f>IF(E127="","",IF(H127="Production",IFERROR(INDEX(tbl_Production[Total Expense],MATCH(E127&amp;"",tbl_Production[Job Number],0)),0),IF(H127="Consulting",IFERROR(INDEX(tbl_Consulting[Total Expense],MATCH(E127&amp;"",tbl_Consulting[Job Number],0)),0),0)))</f>
        <v/>
      </c>
      <c r="AE127" s="27">
        <f>IF(E127="","",Y127-N(AD127))</f>
        <v/>
      </c>
      <c r="AF127" s="29">
        <f>IFERROR(AE127/Y127,"")</f>
        <v/>
      </c>
      <c r="AG127" s="25">
        <f>IF(E127="","",IF(H127="Onsite",IFERROR(INDEX(tbl_Onsite[Notes],MATCH(E127&amp;"",tbl_Onsite[Job Number],0)),""),IF(H127="Production",IFERROR(INDEX(tbl_Production[Notes],MATCH(E127&amp;"",tbl_Production[Job Number],0)),""),IF(H127="Consulting",IFERROR(INDEX(tbl_Consulting[Notes],MATCH(E127&amp;"",tbl_Consulting[Job Number],0)),""),""))))</f>
        <v/>
      </c>
    </row>
    <row r="128" ht="15" customHeight="1">
      <c r="A128" s="22" t="n">
        <v>46216</v>
      </c>
      <c r="B128" s="23">
        <f>IF(A128="","",EOMONTH(A128,0))</f>
        <v/>
      </c>
      <c r="C128" s="24" t="inlineStr">
        <is>
          <t>INV-10523</t>
        </is>
      </c>
      <c r="D128" s="24" t="inlineStr">
        <is>
          <t>Jaaz Salanoa</t>
        </is>
      </c>
      <c r="E128" s="24" t="inlineStr">
        <is>
          <t>9100</t>
        </is>
      </c>
      <c r="F128" s="25">
        <f>IF(E128="","",IF(COUNTIF(lst_Jobs,E128&amp;"")&gt;0,"OK","CHECK"))</f>
        <v/>
      </c>
      <c r="G128" s="24" t="inlineStr">
        <is>
          <t>Jaaz - Goget Hire</t>
        </is>
      </c>
      <c r="H128" s="24" t="inlineStr">
        <is>
          <t>Production</t>
        </is>
      </c>
      <c r="I128" s="24" t="inlineStr">
        <is>
          <t>CTS</t>
        </is>
      </c>
      <c r="J128" s="24" t="inlineStr">
        <is>
          <t>Project</t>
        </is>
      </c>
      <c r="K128" s="24" t="inlineStr">
        <is>
          <t>GST 10%</t>
        </is>
      </c>
      <c r="L128" s="26" t="n"/>
      <c r="M128" s="27">
        <f>IF(L128="","",IF(K128="GST 10%",ROUND(L128*set_GSTRate,2),0))</f>
        <v/>
      </c>
      <c r="N128" s="27">
        <f>IF(L128="","",L128+M128)</f>
        <v/>
      </c>
      <c r="O128" s="24" t="inlineStr">
        <is>
          <t>42100</t>
        </is>
      </c>
      <c r="P128" s="24" t="inlineStr">
        <is>
          <t>Y</t>
        </is>
      </c>
      <c r="Q128" s="24" t="inlineStr">
        <is>
          <t>N</t>
        </is>
      </c>
      <c r="R128" s="22" t="n"/>
      <c r="S128" s="22" t="n"/>
      <c r="T128" s="24" t="inlineStr">
        <is>
          <t>Invoiced</t>
        </is>
      </c>
      <c r="U128" s="24" t="n"/>
      <c r="V128" s="25">
        <f>IF(COUNTA(A128,D128,C128,L128)=0,"",IF(A128="","No date - sits outside every month",IF(E128="","No job number",IF(F128="CHECK","Job number is not in the Xero job list",IF(I128="","No cost centre",IF(AND(P128="Y",C128=""),"Marked posted to Xero but has no invoice number",IF(AND(L128&lt;&gt;"",K128=""),"No tax code",IF(AND(L128&lt;&gt;"",O128=""),"No revenue GL code",""))))))))</f>
        <v/>
      </c>
      <c r="W128" s="25">
        <f>IF(E128="","",IFERROR(INDEX(lst_JobName,MATCH(E128&amp;"",lst_Jobs,0)),""))</f>
        <v/>
      </c>
      <c r="X128" s="28">
        <f>IF(E128="","",COUNTIFS(tbl_Finance[Job Number],E128&amp;"",tbl_Finance[Ex GST],"&lt;&gt;"))</f>
        <v/>
      </c>
      <c r="Y128" s="27">
        <f>IF(E128="","",SUMIFS(tbl_Finance[Ex GST],tbl_Finance[Job Number],E128&amp;""))</f>
        <v/>
      </c>
      <c r="Z128" s="27">
        <f>IF(E128="","",SUMIFS(tbl_Finance[Ex GST],tbl_Finance[Job Number],E128&amp;"",tbl_Finance[Xero Invoice No],"&lt;&gt;"))</f>
        <v/>
      </c>
      <c r="AA128" s="27">
        <f>IF(E128="","",Y128-Z128)</f>
        <v/>
      </c>
      <c r="AB128" s="25">
        <f>IF(E128="","",IF(H128="Onsite",IFERROR(INDEX(tbl_Onsite[Qwilr Quote],MATCH(E128&amp;"",tbl_Onsite[Job Number],0)),""),IF(H128="Production",IFERROR(IF(INDEX(tbl_Production[Current RMS No],MATCH(E128&amp;"",tbl_Production[Job Number],0))="",INDEX(tbl_Production[Qwilr Quote],MATCH(E128&amp;"",tbl_Production[Job Number],0)),INDEX(tbl_Production[Current RMS No],MATCH(E128&amp;"",tbl_Production[Job Number],0))),""),IF(H128="Consulting",IFERROR(INDEX(tbl_Consulting[Qwilr Quote],MATCH(E128&amp;"",tbl_Consulting[Job Number],0)),""),""))))</f>
        <v/>
      </c>
      <c r="AC128" s="25">
        <f>IF(AB128="","",IF(AND(LEFT(AB128,4)&lt;&gt;"http",IF(H128="Production",set_RMSBase,set_QwilrBase)=""),"",HYPERLINK(IF(LEFT(AB128,4)="http",AB128,IF(H128="Production",set_RMSBase,set_QwilrBase)&amp;AB128),"Open")))</f>
        <v/>
      </c>
      <c r="AD128" s="27">
        <f>IF(E128="","",IF(H128="Production",IFERROR(INDEX(tbl_Production[Total Expense],MATCH(E128&amp;"",tbl_Production[Job Number],0)),0),IF(H128="Consulting",IFERROR(INDEX(tbl_Consulting[Total Expense],MATCH(E128&amp;"",tbl_Consulting[Job Number],0)),0),0)))</f>
        <v/>
      </c>
      <c r="AE128" s="27">
        <f>IF(E128="","",Y128-N(AD128))</f>
        <v/>
      </c>
      <c r="AF128" s="29">
        <f>IFERROR(AE128/Y128,"")</f>
        <v/>
      </c>
      <c r="AG128" s="25">
        <f>IF(E128="","",IF(H128="Onsite",IFERROR(INDEX(tbl_Onsite[Notes],MATCH(E128&amp;"",tbl_Onsite[Job Number],0)),""),IF(H128="Production",IFERROR(INDEX(tbl_Production[Notes],MATCH(E128&amp;"",tbl_Production[Job Number],0)),""),IF(H128="Consulting",IFERROR(INDEX(tbl_Consulting[Notes],MATCH(E128&amp;"",tbl_Consulting[Job Number],0)),""),""))))</f>
        <v/>
      </c>
    </row>
    <row r="129" ht="15" customHeight="1">
      <c r="A129" s="22" t="n">
        <v>46265</v>
      </c>
      <c r="B129" s="23">
        <f>IF(A129="","",EOMONTH(A129,0))</f>
        <v/>
      </c>
      <c r="C129" s="24" t="inlineStr">
        <is>
          <t>INV-10621</t>
        </is>
      </c>
      <c r="D129" s="24" t="inlineStr">
        <is>
          <t>Jaaz Salanoa</t>
        </is>
      </c>
      <c r="E129" s="24" t="inlineStr">
        <is>
          <t>9100</t>
        </is>
      </c>
      <c r="F129" s="25">
        <f>IF(E129="","",IF(COUNTIF(lst_Jobs,E129&amp;"")&gt;0,"OK","CHECK"))</f>
        <v/>
      </c>
      <c r="G129" s="24" t="inlineStr">
        <is>
          <t>Jaaz - Goget Hire</t>
        </is>
      </c>
      <c r="H129" s="24" t="inlineStr">
        <is>
          <t>Production</t>
        </is>
      </c>
      <c r="I129" s="24" t="inlineStr">
        <is>
          <t>CTS</t>
        </is>
      </c>
      <c r="J129" s="24" t="inlineStr">
        <is>
          <t>Project</t>
        </is>
      </c>
      <c r="K129" s="24" t="inlineStr">
        <is>
          <t>GST 10%</t>
        </is>
      </c>
      <c r="L129" s="26" t="n"/>
      <c r="M129" s="27">
        <f>IF(L129="","",IF(K129="GST 10%",ROUND(L129*set_GSTRate,2),0))</f>
        <v/>
      </c>
      <c r="N129" s="27">
        <f>IF(L129="","",L129+M129)</f>
        <v/>
      </c>
      <c r="O129" s="24" t="inlineStr">
        <is>
          <t>42100</t>
        </is>
      </c>
      <c r="P129" s="24" t="inlineStr">
        <is>
          <t>Y</t>
        </is>
      </c>
      <c r="Q129" s="24" t="inlineStr">
        <is>
          <t>N</t>
        </is>
      </c>
      <c r="R129" s="22" t="n"/>
      <c r="S129" s="22" t="n"/>
      <c r="T129" s="24" t="inlineStr">
        <is>
          <t>Invoiced</t>
        </is>
      </c>
      <c r="U129" s="24" t="n"/>
      <c r="V129" s="25">
        <f>IF(COUNTA(A129,D129,C129,L129)=0,"",IF(A129="","No date - sits outside every month",IF(E129="","No job number",IF(F129="CHECK","Job number is not in the Xero job list",IF(I129="","No cost centre",IF(AND(P129="Y",C129=""),"Marked posted to Xero but has no invoice number",IF(AND(L129&lt;&gt;"",K129=""),"No tax code",IF(AND(L129&lt;&gt;"",O129=""),"No revenue GL code",""))))))))</f>
        <v/>
      </c>
      <c r="W129" s="25">
        <f>IF(E129="","",IFERROR(INDEX(lst_JobName,MATCH(E129&amp;"",lst_Jobs,0)),""))</f>
        <v/>
      </c>
      <c r="X129" s="28">
        <f>IF(E129="","",COUNTIFS(tbl_Finance[Job Number],E129&amp;"",tbl_Finance[Ex GST],"&lt;&gt;"))</f>
        <v/>
      </c>
      <c r="Y129" s="27">
        <f>IF(E129="","",SUMIFS(tbl_Finance[Ex GST],tbl_Finance[Job Number],E129&amp;""))</f>
        <v/>
      </c>
      <c r="Z129" s="27">
        <f>IF(E129="","",SUMIFS(tbl_Finance[Ex GST],tbl_Finance[Job Number],E129&amp;"",tbl_Finance[Xero Invoice No],"&lt;&gt;"))</f>
        <v/>
      </c>
      <c r="AA129" s="27">
        <f>IF(E129="","",Y129-Z129)</f>
        <v/>
      </c>
      <c r="AB129" s="25">
        <f>IF(E129="","",IF(H129="Onsite",IFERROR(INDEX(tbl_Onsite[Qwilr Quote],MATCH(E129&amp;"",tbl_Onsite[Job Number],0)),""),IF(H129="Production",IFERROR(IF(INDEX(tbl_Production[Current RMS No],MATCH(E129&amp;"",tbl_Production[Job Number],0))="",INDEX(tbl_Production[Qwilr Quote],MATCH(E129&amp;"",tbl_Production[Job Number],0)),INDEX(tbl_Production[Current RMS No],MATCH(E129&amp;"",tbl_Production[Job Number],0))),""),IF(H129="Consulting",IFERROR(INDEX(tbl_Consulting[Qwilr Quote],MATCH(E129&amp;"",tbl_Consulting[Job Number],0)),""),""))))</f>
        <v/>
      </c>
      <c r="AC129" s="25">
        <f>IF(AB129="","",IF(AND(LEFT(AB129,4)&lt;&gt;"http",IF(H129="Production",set_RMSBase,set_QwilrBase)=""),"",HYPERLINK(IF(LEFT(AB129,4)="http",AB129,IF(H129="Production",set_RMSBase,set_QwilrBase)&amp;AB129),"Open")))</f>
        <v/>
      </c>
      <c r="AD129" s="27">
        <f>IF(E129="","",IF(H129="Production",IFERROR(INDEX(tbl_Production[Total Expense],MATCH(E129&amp;"",tbl_Production[Job Number],0)),0),IF(H129="Consulting",IFERROR(INDEX(tbl_Consulting[Total Expense],MATCH(E129&amp;"",tbl_Consulting[Job Number],0)),0),0)))</f>
        <v/>
      </c>
      <c r="AE129" s="27">
        <f>IF(E129="","",Y129-N(AD129))</f>
        <v/>
      </c>
      <c r="AF129" s="29">
        <f>IFERROR(AE129/Y129,"")</f>
        <v/>
      </c>
      <c r="AG129" s="25">
        <f>IF(E129="","",IF(H129="Onsite",IFERROR(INDEX(tbl_Onsite[Notes],MATCH(E129&amp;"",tbl_Onsite[Job Number],0)),""),IF(H129="Production",IFERROR(INDEX(tbl_Production[Notes],MATCH(E129&amp;"",tbl_Production[Job Number],0)),""),IF(H129="Consulting",IFERROR(INDEX(tbl_Consulting[Notes],MATCH(E129&amp;"",tbl_Consulting[Job Number],0)),""),""))))</f>
        <v/>
      </c>
    </row>
    <row r="130" ht="15" customHeight="1">
      <c r="A130" s="22" t="n"/>
      <c r="B130" s="23">
        <f>IF(A130="","",EOMONTH(A130,0))</f>
        <v/>
      </c>
      <c r="C130" s="24" t="n"/>
      <c r="D130" s="24" t="inlineStr">
        <is>
          <t>ASX</t>
        </is>
      </c>
      <c r="E130" s="24" t="inlineStr">
        <is>
          <t>26061602</t>
        </is>
      </c>
      <c r="F130" s="25">
        <f>IF(E130="","",IF(COUNTIF(lst_Jobs,E130&amp;"")&gt;0,"OK","CHECK"))</f>
        <v/>
      </c>
      <c r="G130" s="24" t="inlineStr">
        <is>
          <t>CEO Connect (Extended Results)</t>
        </is>
      </c>
      <c r="H130" s="24" t="inlineStr">
        <is>
          <t>Production</t>
        </is>
      </c>
      <c r="I130" s="24" t="inlineStr">
        <is>
          <t>PRODUCTION</t>
        </is>
      </c>
      <c r="J130" s="24" t="inlineStr">
        <is>
          <t>Project</t>
        </is>
      </c>
      <c r="K130" s="24" t="inlineStr">
        <is>
          <t>GST 10%</t>
        </is>
      </c>
      <c r="L130" s="26" t="n">
        <v>2674</v>
      </c>
      <c r="M130" s="27">
        <f>IF(L130="","",IF(K130="GST 10%",ROUND(L130*set_GSTRate,2),0))</f>
        <v/>
      </c>
      <c r="N130" s="27">
        <f>IF(L130="","",L130+M130)</f>
        <v/>
      </c>
      <c r="O130" s="24" t="inlineStr">
        <is>
          <t>42100</t>
        </is>
      </c>
      <c r="P130" s="24" t="inlineStr">
        <is>
          <t>Y</t>
        </is>
      </c>
      <c r="Q130" s="24" t="inlineStr">
        <is>
          <t>N</t>
        </is>
      </c>
      <c r="R130" s="22" t="n"/>
      <c r="S130" s="22" t="n"/>
      <c r="T130" s="24" t="inlineStr">
        <is>
          <t>To Invoice</t>
        </is>
      </c>
      <c r="U130" s="24" t="inlineStr">
        <is>
          <t>Production portion of this invoice</t>
        </is>
      </c>
      <c r="V130" s="25">
        <f>IF(COUNTA(A130,D130,C130,L130)=0,"",IF(A130="","No date - sits outside every month",IF(E130="","No job number",IF(F130="CHECK","Job number is not in the Xero job list",IF(I130="","No cost centre",IF(AND(P130="Y",C130=""),"Marked posted to Xero but has no invoice number",IF(AND(L130&lt;&gt;"",K130=""),"No tax code",IF(AND(L130&lt;&gt;"",O130=""),"No revenue GL code",""))))))))</f>
        <v/>
      </c>
      <c r="W130" s="25">
        <f>IF(E130="","",IFERROR(INDEX(lst_JobName,MATCH(E130&amp;"",lst_Jobs,0)),""))</f>
        <v/>
      </c>
      <c r="X130" s="28">
        <f>IF(E130="","",COUNTIFS(tbl_Finance[Job Number],E130&amp;"",tbl_Finance[Ex GST],"&lt;&gt;"))</f>
        <v/>
      </c>
      <c r="Y130" s="27">
        <f>IF(E130="","",SUMIFS(tbl_Finance[Ex GST],tbl_Finance[Job Number],E130&amp;""))</f>
        <v/>
      </c>
      <c r="Z130" s="27">
        <f>IF(E130="","",SUMIFS(tbl_Finance[Ex GST],tbl_Finance[Job Number],E130&amp;"",tbl_Finance[Xero Invoice No],"&lt;&gt;"))</f>
        <v/>
      </c>
      <c r="AA130" s="27">
        <f>IF(E130="","",Y130-Z130)</f>
        <v/>
      </c>
      <c r="AB130" s="25">
        <f>IF(E130="","",IF(H130="Onsite",IFERROR(INDEX(tbl_Onsite[Qwilr Quote],MATCH(E130&amp;"",tbl_Onsite[Job Number],0)),""),IF(H130="Production",IFERROR(IF(INDEX(tbl_Production[Current RMS No],MATCH(E130&amp;"",tbl_Production[Job Number],0))="",INDEX(tbl_Production[Qwilr Quote],MATCH(E130&amp;"",tbl_Production[Job Number],0)),INDEX(tbl_Production[Current RMS No],MATCH(E130&amp;"",tbl_Production[Job Number],0))),""),IF(H130="Consulting",IFERROR(INDEX(tbl_Consulting[Qwilr Quote],MATCH(E130&amp;"",tbl_Consulting[Job Number],0)),""),""))))</f>
        <v/>
      </c>
      <c r="AC130" s="25">
        <f>IF(AB130="","",IF(AND(LEFT(AB130,4)&lt;&gt;"http",IF(H130="Production",set_RMSBase,set_QwilrBase)=""),"",HYPERLINK(IF(LEFT(AB130,4)="http",AB130,IF(H130="Production",set_RMSBase,set_QwilrBase)&amp;AB130),"Open")))</f>
        <v/>
      </c>
      <c r="AD130" s="27">
        <f>IF(E130="","",IF(H130="Production",IFERROR(INDEX(tbl_Production[Total Expense],MATCH(E130&amp;"",tbl_Production[Job Number],0)),0),IF(H130="Consulting",IFERROR(INDEX(tbl_Consulting[Total Expense],MATCH(E130&amp;"",tbl_Consulting[Job Number],0)),0),0)))</f>
        <v/>
      </c>
      <c r="AE130" s="27">
        <f>IF(E130="","",Y130-N(AD130))</f>
        <v/>
      </c>
      <c r="AF130" s="29">
        <f>IFERROR(AE130/Y130,"")</f>
        <v/>
      </c>
      <c r="AG130" s="25">
        <f>IF(E130="","",IF(H130="Onsite",IFERROR(INDEX(tbl_Onsite[Notes],MATCH(E130&amp;"",tbl_Onsite[Job Number],0)),""),IF(H130="Production",IFERROR(INDEX(tbl_Production[Notes],MATCH(E130&amp;"",tbl_Production[Job Number],0)),""),IF(H130="Consulting",IFERROR(INDEX(tbl_Consulting[Notes],MATCH(E130&amp;"",tbl_Consulting[Job Number],0)),""),""))))</f>
        <v/>
      </c>
    </row>
    <row r="131" ht="15" customHeight="1">
      <c r="A131" s="22" t="n"/>
      <c r="B131" s="23">
        <f>IF(A131="","",EOMONTH(A131,0))</f>
        <v/>
      </c>
      <c r="C131" s="24" t="n"/>
      <c r="D131" s="24" t="inlineStr">
        <is>
          <t>ASX</t>
        </is>
      </c>
      <c r="E131" s="24" t="inlineStr">
        <is>
          <t>26061602</t>
        </is>
      </c>
      <c r="F131" s="25">
        <f>IF(E131="","",IF(COUNTIF(lst_Jobs,E131&amp;"")&gt;0,"OK","CHECK"))</f>
        <v/>
      </c>
      <c r="G131" s="24" t="inlineStr">
        <is>
          <t>CEO Connect (Extended Results)</t>
        </is>
      </c>
      <c r="H131" s="24" t="inlineStr">
        <is>
          <t>Production</t>
        </is>
      </c>
      <c r="I131" s="24" t="inlineStr">
        <is>
          <t>VIDEO</t>
        </is>
      </c>
      <c r="J131" s="24" t="inlineStr">
        <is>
          <t>Project</t>
        </is>
      </c>
      <c r="K131" s="24" t="inlineStr">
        <is>
          <t>GST 10%</t>
        </is>
      </c>
      <c r="L131" s="26" t="n">
        <v>1500</v>
      </c>
      <c r="M131" s="27">
        <f>IF(L131="","",IF(K131="GST 10%",ROUND(L131*set_GSTRate,2),0))</f>
        <v/>
      </c>
      <c r="N131" s="27">
        <f>IF(L131="","",L131+M131)</f>
        <v/>
      </c>
      <c r="O131" s="24" t="inlineStr">
        <is>
          <t>42150</t>
        </is>
      </c>
      <c r="P131" s="24" t="inlineStr">
        <is>
          <t>Y</t>
        </is>
      </c>
      <c r="Q131" s="24" t="inlineStr">
        <is>
          <t>N</t>
        </is>
      </c>
      <c r="R131" s="22" t="n"/>
      <c r="S131" s="22" t="n"/>
      <c r="T131" s="24" t="inlineStr">
        <is>
          <t>To Invoice</t>
        </is>
      </c>
      <c r="U131" s="24" t="inlineStr">
        <is>
          <t>Video portion of this invoice</t>
        </is>
      </c>
      <c r="V131" s="25">
        <f>IF(COUNTA(A131,D131,C131,L131)=0,"",IF(A131="","No date - sits outside every month",IF(E131="","No job number",IF(F131="CHECK","Job number is not in the Xero job list",IF(I131="","No cost centre",IF(AND(P131="Y",C131=""),"Marked posted to Xero but has no invoice number",IF(AND(L131&lt;&gt;"",K131=""),"No tax code",IF(AND(L131&lt;&gt;"",O131=""),"No revenue GL code",""))))))))</f>
        <v/>
      </c>
      <c r="W131" s="25">
        <f>IF(E131="","",IFERROR(INDEX(lst_JobName,MATCH(E131&amp;"",lst_Jobs,0)),""))</f>
        <v/>
      </c>
      <c r="X131" s="28">
        <f>IF(E131="","",COUNTIFS(tbl_Finance[Job Number],E131&amp;"",tbl_Finance[Ex GST],"&lt;&gt;"))</f>
        <v/>
      </c>
      <c r="Y131" s="27">
        <f>IF(E131="","",SUMIFS(tbl_Finance[Ex GST],tbl_Finance[Job Number],E131&amp;""))</f>
        <v/>
      </c>
      <c r="Z131" s="27">
        <f>IF(E131="","",SUMIFS(tbl_Finance[Ex GST],tbl_Finance[Job Number],E131&amp;"",tbl_Finance[Xero Invoice No],"&lt;&gt;"))</f>
        <v/>
      </c>
      <c r="AA131" s="27">
        <f>IF(E131="","",Y131-Z131)</f>
        <v/>
      </c>
      <c r="AB131" s="25">
        <f>IF(E131="","",IF(H131="Onsite",IFERROR(INDEX(tbl_Onsite[Qwilr Quote],MATCH(E131&amp;"",tbl_Onsite[Job Number],0)),""),IF(H131="Production",IFERROR(IF(INDEX(tbl_Production[Current RMS No],MATCH(E131&amp;"",tbl_Production[Job Number],0))="",INDEX(tbl_Production[Qwilr Quote],MATCH(E131&amp;"",tbl_Production[Job Number],0)),INDEX(tbl_Production[Current RMS No],MATCH(E131&amp;"",tbl_Production[Job Number],0))),""),IF(H131="Consulting",IFERROR(INDEX(tbl_Consulting[Qwilr Quote],MATCH(E131&amp;"",tbl_Consulting[Job Number],0)),""),""))))</f>
        <v/>
      </c>
      <c r="AC131" s="25">
        <f>IF(AB131="","",IF(AND(LEFT(AB131,4)&lt;&gt;"http",IF(H131="Production",set_RMSBase,set_QwilrBase)=""),"",HYPERLINK(IF(LEFT(AB131,4)="http",AB131,IF(H131="Production",set_RMSBase,set_QwilrBase)&amp;AB131),"Open")))</f>
        <v/>
      </c>
      <c r="AD131" s="27">
        <f>IF(E131="","",IF(H131="Production",IFERROR(INDEX(tbl_Production[Total Expense],MATCH(E131&amp;"",tbl_Production[Job Number],0)),0),IF(H131="Consulting",IFERROR(INDEX(tbl_Consulting[Total Expense],MATCH(E131&amp;"",tbl_Consulting[Job Number],0)),0),0)))</f>
        <v/>
      </c>
      <c r="AE131" s="27">
        <f>IF(E131="","",Y131-N(AD131))</f>
        <v/>
      </c>
      <c r="AF131" s="29">
        <f>IFERROR(AE131/Y131,"")</f>
        <v/>
      </c>
      <c r="AG131" s="25">
        <f>IF(E131="","",IF(H131="Onsite",IFERROR(INDEX(tbl_Onsite[Notes],MATCH(E131&amp;"",tbl_Onsite[Job Number],0)),""),IF(H131="Production",IFERROR(INDEX(tbl_Production[Notes],MATCH(E131&amp;"",tbl_Production[Job Number],0)),""),IF(H131="Consulting",IFERROR(INDEX(tbl_Consulting[Notes],MATCH(E131&amp;"",tbl_Consulting[Job Number],0)),""),""))))</f>
        <v/>
      </c>
    </row>
    <row r="132" ht="15" customHeight="1">
      <c r="A132" s="22" t="n"/>
      <c r="B132" s="23">
        <f>IF(A132="","",EOMONTH(A132,0))</f>
        <v/>
      </c>
      <c r="C132" s="24" t="n"/>
      <c r="D132" s="24" t="inlineStr">
        <is>
          <t>ASX</t>
        </is>
      </c>
      <c r="E132" s="24" t="inlineStr">
        <is>
          <t>26071701</t>
        </is>
      </c>
      <c r="F132" s="25">
        <f>IF(E132="","",IF(COUNTIF(lst_Jobs,E132&amp;"")&gt;0,"OK","CHECK"))</f>
        <v/>
      </c>
      <c r="G132" s="24" t="inlineStr">
        <is>
          <t>ASX Live 1.9.26</t>
        </is>
      </c>
      <c r="H132" s="24" t="inlineStr">
        <is>
          <t>Production</t>
        </is>
      </c>
      <c r="I132" s="24" t="inlineStr">
        <is>
          <t>PRODUCTION</t>
        </is>
      </c>
      <c r="J132" s="24" t="inlineStr">
        <is>
          <t>Project</t>
        </is>
      </c>
      <c r="K132" s="24" t="inlineStr">
        <is>
          <t>GST 10%</t>
        </is>
      </c>
      <c r="L132" s="26" t="n">
        <v>6260</v>
      </c>
      <c r="M132" s="27">
        <f>IF(L132="","",IF(K132="GST 10%",ROUND(L132*set_GSTRate,2),0))</f>
        <v/>
      </c>
      <c r="N132" s="27">
        <f>IF(L132="","",L132+M132)</f>
        <v/>
      </c>
      <c r="O132" s="24" t="inlineStr">
        <is>
          <t>42100</t>
        </is>
      </c>
      <c r="P132" s="24" t="inlineStr">
        <is>
          <t>Y</t>
        </is>
      </c>
      <c r="Q132" s="24" t="inlineStr">
        <is>
          <t>N</t>
        </is>
      </c>
      <c r="R132" s="22" t="n"/>
      <c r="S132" s="22" t="n"/>
      <c r="T132" s="24" t="inlineStr">
        <is>
          <t>To Invoice</t>
        </is>
      </c>
      <c r="U132" s="24" t="inlineStr">
        <is>
          <t>Production portion of this invoice</t>
        </is>
      </c>
      <c r="V132" s="25">
        <f>IF(COUNTA(A132,D132,C132,L132)=0,"",IF(A132="","No date - sits outside every month",IF(E132="","No job number",IF(F132="CHECK","Job number is not in the Xero job list",IF(I132="","No cost centre",IF(AND(P132="Y",C132=""),"Marked posted to Xero but has no invoice number",IF(AND(L132&lt;&gt;"",K132=""),"No tax code",IF(AND(L132&lt;&gt;"",O132=""),"No revenue GL code",""))))))))</f>
        <v/>
      </c>
      <c r="W132" s="25">
        <f>IF(E132="","",IFERROR(INDEX(lst_JobName,MATCH(E132&amp;"",lst_Jobs,0)),""))</f>
        <v/>
      </c>
      <c r="X132" s="28">
        <f>IF(E132="","",COUNTIFS(tbl_Finance[Job Number],E132&amp;"",tbl_Finance[Ex GST],"&lt;&gt;"))</f>
        <v/>
      </c>
      <c r="Y132" s="27">
        <f>IF(E132="","",SUMIFS(tbl_Finance[Ex GST],tbl_Finance[Job Number],E132&amp;""))</f>
        <v/>
      </c>
      <c r="Z132" s="27">
        <f>IF(E132="","",SUMIFS(tbl_Finance[Ex GST],tbl_Finance[Job Number],E132&amp;"",tbl_Finance[Xero Invoice No],"&lt;&gt;"))</f>
        <v/>
      </c>
      <c r="AA132" s="27">
        <f>IF(E132="","",Y132-Z132)</f>
        <v/>
      </c>
      <c r="AB132" s="25">
        <f>IF(E132="","",IF(H132="Onsite",IFERROR(INDEX(tbl_Onsite[Qwilr Quote],MATCH(E132&amp;"",tbl_Onsite[Job Number],0)),""),IF(H132="Production",IFERROR(IF(INDEX(tbl_Production[Current RMS No],MATCH(E132&amp;"",tbl_Production[Job Number],0))="",INDEX(tbl_Production[Qwilr Quote],MATCH(E132&amp;"",tbl_Production[Job Number],0)),INDEX(tbl_Production[Current RMS No],MATCH(E132&amp;"",tbl_Production[Job Number],0))),""),IF(H132="Consulting",IFERROR(INDEX(tbl_Consulting[Qwilr Quote],MATCH(E132&amp;"",tbl_Consulting[Job Number],0)),""),""))))</f>
        <v/>
      </c>
      <c r="AC132" s="25">
        <f>IF(AB132="","",IF(AND(LEFT(AB132,4)&lt;&gt;"http",IF(H132="Production",set_RMSBase,set_QwilrBase)=""),"",HYPERLINK(IF(LEFT(AB132,4)="http",AB132,IF(H132="Production",set_RMSBase,set_QwilrBase)&amp;AB132),"Open")))</f>
        <v/>
      </c>
      <c r="AD132" s="27">
        <f>IF(E132="","",IF(H132="Production",IFERROR(INDEX(tbl_Production[Total Expense],MATCH(E132&amp;"",tbl_Production[Job Number],0)),0),IF(H132="Consulting",IFERROR(INDEX(tbl_Consulting[Total Expense],MATCH(E132&amp;"",tbl_Consulting[Job Number],0)),0),0)))</f>
        <v/>
      </c>
      <c r="AE132" s="27">
        <f>IF(E132="","",Y132-N(AD132))</f>
        <v/>
      </c>
      <c r="AF132" s="29">
        <f>IFERROR(AE132/Y132,"")</f>
        <v/>
      </c>
      <c r="AG132" s="25">
        <f>IF(E132="","",IF(H132="Onsite",IFERROR(INDEX(tbl_Onsite[Notes],MATCH(E132&amp;"",tbl_Onsite[Job Number],0)),""),IF(H132="Production",IFERROR(INDEX(tbl_Production[Notes],MATCH(E132&amp;"",tbl_Production[Job Number],0)),""),IF(H132="Consulting",IFERROR(INDEX(tbl_Consulting[Notes],MATCH(E132&amp;"",tbl_Consulting[Job Number],0)),""),""))))</f>
        <v/>
      </c>
    </row>
    <row r="133" ht="15" customHeight="1">
      <c r="A133" s="22" t="n"/>
      <c r="B133" s="23">
        <f>IF(A133="","",EOMONTH(A133,0))</f>
        <v/>
      </c>
      <c r="C133" s="24" t="n"/>
      <c r="D133" s="24" t="inlineStr">
        <is>
          <t>ASX</t>
        </is>
      </c>
      <c r="E133" s="24" t="inlineStr">
        <is>
          <t>26071701</t>
        </is>
      </c>
      <c r="F133" s="25">
        <f>IF(E133="","",IF(COUNTIF(lst_Jobs,E133&amp;"")&gt;0,"OK","CHECK"))</f>
        <v/>
      </c>
      <c r="G133" s="24" t="inlineStr">
        <is>
          <t>ASX Live 1.9.26</t>
        </is>
      </c>
      <c r="H133" s="24" t="inlineStr">
        <is>
          <t>Production</t>
        </is>
      </c>
      <c r="I133" s="24" t="inlineStr">
        <is>
          <t>VIDEO</t>
        </is>
      </c>
      <c r="J133" s="24" t="inlineStr">
        <is>
          <t>Project</t>
        </is>
      </c>
      <c r="K133" s="24" t="inlineStr">
        <is>
          <t>GST 10%</t>
        </is>
      </c>
      <c r="L133" s="26" t="n">
        <v>1508</v>
      </c>
      <c r="M133" s="27">
        <f>IF(L133="","",IF(K133="GST 10%",ROUND(L133*set_GSTRate,2),0))</f>
        <v/>
      </c>
      <c r="N133" s="27">
        <f>IF(L133="","",L133+M133)</f>
        <v/>
      </c>
      <c r="O133" s="24" t="inlineStr">
        <is>
          <t>42150</t>
        </is>
      </c>
      <c r="P133" s="24" t="inlineStr">
        <is>
          <t>Y</t>
        </is>
      </c>
      <c r="Q133" s="24" t="inlineStr">
        <is>
          <t>N</t>
        </is>
      </c>
      <c r="R133" s="22" t="n"/>
      <c r="S133" s="22" t="n"/>
      <c r="T133" s="24" t="inlineStr">
        <is>
          <t>To Invoice</t>
        </is>
      </c>
      <c r="U133" s="24" t="inlineStr">
        <is>
          <t>Video portion of this invoice</t>
        </is>
      </c>
      <c r="V133" s="25">
        <f>IF(COUNTA(A133,D133,C133,L133)=0,"",IF(A133="","No date - sits outside every month",IF(E133="","No job number",IF(F133="CHECK","Job number is not in the Xero job list",IF(I133="","No cost centre",IF(AND(P133="Y",C133=""),"Marked posted to Xero but has no invoice number",IF(AND(L133&lt;&gt;"",K133=""),"No tax code",IF(AND(L133&lt;&gt;"",O133=""),"No revenue GL code",""))))))))</f>
        <v/>
      </c>
      <c r="W133" s="25">
        <f>IF(E133="","",IFERROR(INDEX(lst_JobName,MATCH(E133&amp;"",lst_Jobs,0)),""))</f>
        <v/>
      </c>
      <c r="X133" s="28">
        <f>IF(E133="","",COUNTIFS(tbl_Finance[Job Number],E133&amp;"",tbl_Finance[Ex GST],"&lt;&gt;"))</f>
        <v/>
      </c>
      <c r="Y133" s="27">
        <f>IF(E133="","",SUMIFS(tbl_Finance[Ex GST],tbl_Finance[Job Number],E133&amp;""))</f>
        <v/>
      </c>
      <c r="Z133" s="27">
        <f>IF(E133="","",SUMIFS(tbl_Finance[Ex GST],tbl_Finance[Job Number],E133&amp;"",tbl_Finance[Xero Invoice No],"&lt;&gt;"))</f>
        <v/>
      </c>
      <c r="AA133" s="27">
        <f>IF(E133="","",Y133-Z133)</f>
        <v/>
      </c>
      <c r="AB133" s="25">
        <f>IF(E133="","",IF(H133="Onsite",IFERROR(INDEX(tbl_Onsite[Qwilr Quote],MATCH(E133&amp;"",tbl_Onsite[Job Number],0)),""),IF(H133="Production",IFERROR(IF(INDEX(tbl_Production[Current RMS No],MATCH(E133&amp;"",tbl_Production[Job Number],0))="",INDEX(tbl_Production[Qwilr Quote],MATCH(E133&amp;"",tbl_Production[Job Number],0)),INDEX(tbl_Production[Current RMS No],MATCH(E133&amp;"",tbl_Production[Job Number],0))),""),IF(H133="Consulting",IFERROR(INDEX(tbl_Consulting[Qwilr Quote],MATCH(E133&amp;"",tbl_Consulting[Job Number],0)),""),""))))</f>
        <v/>
      </c>
      <c r="AC133" s="25">
        <f>IF(AB133="","",IF(AND(LEFT(AB133,4)&lt;&gt;"http",IF(H133="Production",set_RMSBase,set_QwilrBase)=""),"",HYPERLINK(IF(LEFT(AB133,4)="http",AB133,IF(H133="Production",set_RMSBase,set_QwilrBase)&amp;AB133),"Open")))</f>
        <v/>
      </c>
      <c r="AD133" s="27">
        <f>IF(E133="","",IF(H133="Production",IFERROR(INDEX(tbl_Production[Total Expense],MATCH(E133&amp;"",tbl_Production[Job Number],0)),0),IF(H133="Consulting",IFERROR(INDEX(tbl_Consulting[Total Expense],MATCH(E133&amp;"",tbl_Consulting[Job Number],0)),0),0)))</f>
        <v/>
      </c>
      <c r="AE133" s="27">
        <f>IF(E133="","",Y133-N(AD133))</f>
        <v/>
      </c>
      <c r="AF133" s="29">
        <f>IFERROR(AE133/Y133,"")</f>
        <v/>
      </c>
      <c r="AG133" s="25">
        <f>IF(E133="","",IF(H133="Onsite",IFERROR(INDEX(tbl_Onsite[Notes],MATCH(E133&amp;"",tbl_Onsite[Job Number],0)),""),IF(H133="Production",IFERROR(INDEX(tbl_Production[Notes],MATCH(E133&amp;"",tbl_Production[Job Number],0)),""),IF(H133="Consulting",IFERROR(INDEX(tbl_Consulting[Notes],MATCH(E133&amp;"",tbl_Consulting[Job Number],0)),""),""))))</f>
        <v/>
      </c>
    </row>
    <row r="134" ht="15" customHeight="1">
      <c r="A134" s="22" t="n"/>
      <c r="B134" s="23">
        <f>IF(A134="","",EOMONTH(A134,0))</f>
        <v/>
      </c>
      <c r="C134" s="24" t="n"/>
      <c r="D134" s="24" t="inlineStr">
        <is>
          <t>SVHS</t>
        </is>
      </c>
      <c r="E134" s="24" t="inlineStr">
        <is>
          <t>2608404</t>
        </is>
      </c>
      <c r="F134" s="25">
        <f>IF(E134="","",IF(COUNTIF(lst_Jobs,E134&amp;"")&gt;0,"OK","CHECK"))</f>
        <v/>
      </c>
      <c r="G134" s="24" t="inlineStr">
        <is>
          <t>St Vincent's Hospital - Award Ceremony 2.9.26</t>
        </is>
      </c>
      <c r="H134" s="24" t="inlineStr">
        <is>
          <t>Production</t>
        </is>
      </c>
      <c r="I134" s="24" t="inlineStr">
        <is>
          <t>PRODUCTION</t>
        </is>
      </c>
      <c r="J134" s="24" t="inlineStr">
        <is>
          <t>Project</t>
        </is>
      </c>
      <c r="K134" s="24" t="inlineStr">
        <is>
          <t>GST 10%</t>
        </is>
      </c>
      <c r="L134" s="26" t="n">
        <v>495</v>
      </c>
      <c r="M134" s="27">
        <f>IF(L134="","",IF(K134="GST 10%",ROUND(L134*set_GSTRate,2),0))</f>
        <v/>
      </c>
      <c r="N134" s="27">
        <f>IF(L134="","",L134+M134)</f>
        <v/>
      </c>
      <c r="O134" s="24" t="inlineStr">
        <is>
          <t>42100</t>
        </is>
      </c>
      <c r="P134" s="24" t="inlineStr">
        <is>
          <t>Y</t>
        </is>
      </c>
      <c r="Q134" s="24" t="inlineStr">
        <is>
          <t>N</t>
        </is>
      </c>
      <c r="R134" s="22" t="n"/>
      <c r="S134" s="22" t="n"/>
      <c r="T134" s="24" t="inlineStr">
        <is>
          <t>To Invoice</t>
        </is>
      </c>
      <c r="U134" s="24" t="n"/>
      <c r="V134" s="25">
        <f>IF(COUNTA(A134,D134,C134,L134)=0,"",IF(A134="","No date - sits outside every month",IF(E134="","No job number",IF(F134="CHECK","Job number is not in the Xero job list",IF(I134="","No cost centre",IF(AND(P134="Y",C134=""),"Marked posted to Xero but has no invoice number",IF(AND(L134&lt;&gt;"",K134=""),"No tax code",IF(AND(L134&lt;&gt;"",O134=""),"No revenue GL code",""))))))))</f>
        <v/>
      </c>
      <c r="W134" s="25">
        <f>IF(E134="","",IFERROR(INDEX(lst_JobName,MATCH(E134&amp;"",lst_Jobs,0)),""))</f>
        <v/>
      </c>
      <c r="X134" s="28">
        <f>IF(E134="","",COUNTIFS(tbl_Finance[Job Number],E134&amp;"",tbl_Finance[Ex GST],"&lt;&gt;"))</f>
        <v/>
      </c>
      <c r="Y134" s="27">
        <f>IF(E134="","",SUMIFS(tbl_Finance[Ex GST],tbl_Finance[Job Number],E134&amp;""))</f>
        <v/>
      </c>
      <c r="Z134" s="27">
        <f>IF(E134="","",SUMIFS(tbl_Finance[Ex GST],tbl_Finance[Job Number],E134&amp;"",tbl_Finance[Xero Invoice No],"&lt;&gt;"))</f>
        <v/>
      </c>
      <c r="AA134" s="27">
        <f>IF(E134="","",Y134-Z134)</f>
        <v/>
      </c>
      <c r="AB134" s="25">
        <f>IF(E134="","",IF(H134="Onsite",IFERROR(INDEX(tbl_Onsite[Qwilr Quote],MATCH(E134&amp;"",tbl_Onsite[Job Number],0)),""),IF(H134="Production",IFERROR(IF(INDEX(tbl_Production[Current RMS No],MATCH(E134&amp;"",tbl_Production[Job Number],0))="",INDEX(tbl_Production[Qwilr Quote],MATCH(E134&amp;"",tbl_Production[Job Number],0)),INDEX(tbl_Production[Current RMS No],MATCH(E134&amp;"",tbl_Production[Job Number],0))),""),IF(H134="Consulting",IFERROR(INDEX(tbl_Consulting[Qwilr Quote],MATCH(E134&amp;"",tbl_Consulting[Job Number],0)),""),""))))</f>
        <v/>
      </c>
      <c r="AC134" s="25">
        <f>IF(AB134="","",IF(AND(LEFT(AB134,4)&lt;&gt;"http",IF(H134="Production",set_RMSBase,set_QwilrBase)=""),"",HYPERLINK(IF(LEFT(AB134,4)="http",AB134,IF(H134="Production",set_RMSBase,set_QwilrBase)&amp;AB134),"Open")))</f>
        <v/>
      </c>
      <c r="AD134" s="27">
        <f>IF(E134="","",IF(H134="Production",IFERROR(INDEX(tbl_Production[Total Expense],MATCH(E134&amp;"",tbl_Production[Job Number],0)),0),IF(H134="Consulting",IFERROR(INDEX(tbl_Consulting[Total Expense],MATCH(E134&amp;"",tbl_Consulting[Job Number],0)),0),0)))</f>
        <v/>
      </c>
      <c r="AE134" s="27">
        <f>IF(E134="","",Y134-N(AD134))</f>
        <v/>
      </c>
      <c r="AF134" s="29">
        <f>IFERROR(AE134/Y134,"")</f>
        <v/>
      </c>
      <c r="AG134" s="25">
        <f>IF(E134="","",IF(H134="Onsite",IFERROR(INDEX(tbl_Onsite[Notes],MATCH(E134&amp;"",tbl_Onsite[Job Number],0)),""),IF(H134="Production",IFERROR(INDEX(tbl_Production[Notes],MATCH(E134&amp;"",tbl_Production[Job Number],0)),""),IF(H134="Consulting",IFERROR(INDEX(tbl_Consulting[Notes],MATCH(E134&amp;"",tbl_Consulting[Job Number],0)),""),""))))</f>
        <v/>
      </c>
    </row>
    <row r="135" ht="15" customHeight="1">
      <c r="A135" s="22" t="n"/>
      <c r="B135" s="23">
        <f>IF(A135="","",EOMONTH(A135,0))</f>
        <v/>
      </c>
      <c r="C135" s="24" t="n"/>
      <c r="D135" s="24" t="inlineStr">
        <is>
          <t>Garvan</t>
        </is>
      </c>
      <c r="E135" s="24" t="inlineStr">
        <is>
          <t>26081904</t>
        </is>
      </c>
      <c r="F135" s="25">
        <f>IF(E135="","",IF(COUNTIF(lst_Jobs,E135&amp;"")&gt;0,"OK","CHECK"))</f>
        <v/>
      </c>
      <c r="G135" s="24" t="inlineStr">
        <is>
          <t>AllClear Program Meeting - 2.9.26</t>
        </is>
      </c>
      <c r="H135" s="24" t="inlineStr">
        <is>
          <t>Production</t>
        </is>
      </c>
      <c r="I135" s="24" t="inlineStr">
        <is>
          <t>PRODUCTION</t>
        </is>
      </c>
      <c r="J135" s="24" t="inlineStr">
        <is>
          <t>Project</t>
        </is>
      </c>
      <c r="K135" s="24" t="inlineStr">
        <is>
          <t>GST 10%</t>
        </is>
      </c>
      <c r="L135" s="26" t="n">
        <v>865</v>
      </c>
      <c r="M135" s="27">
        <f>IF(L135="","",IF(K135="GST 10%",ROUND(L135*set_GSTRate,2),0))</f>
        <v/>
      </c>
      <c r="N135" s="27">
        <f>IF(L135="","",L135+M135)</f>
        <v/>
      </c>
      <c r="O135" s="24" t="inlineStr">
        <is>
          <t>42100</t>
        </is>
      </c>
      <c r="P135" s="24" t="inlineStr">
        <is>
          <t>Y</t>
        </is>
      </c>
      <c r="Q135" s="24" t="inlineStr">
        <is>
          <t>N</t>
        </is>
      </c>
      <c r="R135" s="22" t="n"/>
      <c r="S135" s="22" t="n"/>
      <c r="T135" s="24" t="inlineStr">
        <is>
          <t>To Invoice</t>
        </is>
      </c>
      <c r="U135" s="24" t="n"/>
      <c r="V135" s="25">
        <f>IF(COUNTA(A135,D135,C135,L135)=0,"",IF(A135="","No date - sits outside every month",IF(E135="","No job number",IF(F135="CHECK","Job number is not in the Xero job list",IF(I135="","No cost centre",IF(AND(P135="Y",C135=""),"Marked posted to Xero but has no invoice number",IF(AND(L135&lt;&gt;"",K135=""),"No tax code",IF(AND(L135&lt;&gt;"",O135=""),"No revenue GL code",""))))))))</f>
        <v/>
      </c>
      <c r="W135" s="25">
        <f>IF(E135="","",IFERROR(INDEX(lst_JobName,MATCH(E135&amp;"",lst_Jobs,0)),""))</f>
        <v/>
      </c>
      <c r="X135" s="28">
        <f>IF(E135="","",COUNTIFS(tbl_Finance[Job Number],E135&amp;"",tbl_Finance[Ex GST],"&lt;&gt;"))</f>
        <v/>
      </c>
      <c r="Y135" s="27">
        <f>IF(E135="","",SUMIFS(tbl_Finance[Ex GST],tbl_Finance[Job Number],E135&amp;""))</f>
        <v/>
      </c>
      <c r="Z135" s="27">
        <f>IF(E135="","",SUMIFS(tbl_Finance[Ex GST],tbl_Finance[Job Number],E135&amp;"",tbl_Finance[Xero Invoice No],"&lt;&gt;"))</f>
        <v/>
      </c>
      <c r="AA135" s="27">
        <f>IF(E135="","",Y135-Z135)</f>
        <v/>
      </c>
      <c r="AB135" s="25">
        <f>IF(E135="","",IF(H135="Onsite",IFERROR(INDEX(tbl_Onsite[Qwilr Quote],MATCH(E135&amp;"",tbl_Onsite[Job Number],0)),""),IF(H135="Production",IFERROR(IF(INDEX(tbl_Production[Current RMS No],MATCH(E135&amp;"",tbl_Production[Job Number],0))="",INDEX(tbl_Production[Qwilr Quote],MATCH(E135&amp;"",tbl_Production[Job Number],0)),INDEX(tbl_Production[Current RMS No],MATCH(E135&amp;"",tbl_Production[Job Number],0))),""),IF(H135="Consulting",IFERROR(INDEX(tbl_Consulting[Qwilr Quote],MATCH(E135&amp;"",tbl_Consulting[Job Number],0)),""),""))))</f>
        <v/>
      </c>
      <c r="AC135" s="25">
        <f>IF(AB135="","",IF(AND(LEFT(AB135,4)&lt;&gt;"http",IF(H135="Production",set_RMSBase,set_QwilrBase)=""),"",HYPERLINK(IF(LEFT(AB135,4)="http",AB135,IF(H135="Production",set_RMSBase,set_QwilrBase)&amp;AB135),"Open")))</f>
        <v/>
      </c>
      <c r="AD135" s="27">
        <f>IF(E135="","",IF(H135="Production",IFERROR(INDEX(tbl_Production[Total Expense],MATCH(E135&amp;"",tbl_Production[Job Number],0)),0),IF(H135="Consulting",IFERROR(INDEX(tbl_Consulting[Total Expense],MATCH(E135&amp;"",tbl_Consulting[Job Number],0)),0),0)))</f>
        <v/>
      </c>
      <c r="AE135" s="27">
        <f>IF(E135="","",Y135-N(AD135))</f>
        <v/>
      </c>
      <c r="AF135" s="29">
        <f>IFERROR(AE135/Y135,"")</f>
        <v/>
      </c>
      <c r="AG135" s="25">
        <f>IF(E135="","",IF(H135="Onsite",IFERROR(INDEX(tbl_Onsite[Notes],MATCH(E135&amp;"",tbl_Onsite[Job Number],0)),""),IF(H135="Production",IFERROR(INDEX(tbl_Production[Notes],MATCH(E135&amp;"",tbl_Production[Job Number],0)),""),IF(H135="Consulting",IFERROR(INDEX(tbl_Consulting[Notes],MATCH(E135&amp;"",tbl_Consulting[Job Number],0)),""),""))))</f>
        <v/>
      </c>
    </row>
    <row r="136" ht="15" customHeight="1">
      <c r="A136" s="22" t="n"/>
      <c r="B136" s="23">
        <f>IF(A136="","",EOMONTH(A136,0))</f>
        <v/>
      </c>
      <c r="C136" s="24" t="n"/>
      <c r="D136" s="24" t="inlineStr">
        <is>
          <t>RSNSW</t>
        </is>
      </c>
      <c r="E136" s="24" t="inlineStr">
        <is>
          <t>26032302</t>
        </is>
      </c>
      <c r="F136" s="25">
        <f>IF(E136="","",IF(COUNTIF(lst_Jobs,E136&amp;"")&gt;0,"OK","CHECK"))</f>
        <v/>
      </c>
      <c r="G136" s="24" t="inlineStr">
        <is>
          <t>Ordinary General Meeting 2.9.26</t>
        </is>
      </c>
      <c r="H136" s="24" t="inlineStr">
        <is>
          <t>Production</t>
        </is>
      </c>
      <c r="I136" s="24" t="inlineStr">
        <is>
          <t>PRODUCTION</t>
        </is>
      </c>
      <c r="J136" s="24" t="inlineStr">
        <is>
          <t>Project</t>
        </is>
      </c>
      <c r="K136" s="24" t="inlineStr">
        <is>
          <t>GST 10%</t>
        </is>
      </c>
      <c r="L136" s="26" t="n">
        <v>2232</v>
      </c>
      <c r="M136" s="27">
        <f>IF(L136="","",IF(K136="GST 10%",ROUND(L136*set_GSTRate,2),0))</f>
        <v/>
      </c>
      <c r="N136" s="27">
        <f>IF(L136="","",L136+M136)</f>
        <v/>
      </c>
      <c r="O136" s="24" t="inlineStr">
        <is>
          <t>42100</t>
        </is>
      </c>
      <c r="P136" s="24" t="inlineStr">
        <is>
          <t>Y</t>
        </is>
      </c>
      <c r="Q136" s="24" t="inlineStr">
        <is>
          <t>N</t>
        </is>
      </c>
      <c r="R136" s="22" t="n"/>
      <c r="S136" s="22" t="n"/>
      <c r="T136" s="24" t="inlineStr">
        <is>
          <t>To Invoice</t>
        </is>
      </c>
      <c r="U136" s="24" t="inlineStr">
        <is>
          <t>Production portion of this invoice</t>
        </is>
      </c>
      <c r="V136" s="25">
        <f>IF(COUNTA(A136,D136,C136,L136)=0,"",IF(A136="","No date - sits outside every month",IF(E136="","No job number",IF(F136="CHECK","Job number is not in the Xero job list",IF(I136="","No cost centre",IF(AND(P136="Y",C136=""),"Marked posted to Xero but has no invoice number",IF(AND(L136&lt;&gt;"",K136=""),"No tax code",IF(AND(L136&lt;&gt;"",O136=""),"No revenue GL code",""))))))))</f>
        <v/>
      </c>
      <c r="W136" s="25">
        <f>IF(E136="","",IFERROR(INDEX(lst_JobName,MATCH(E136&amp;"",lst_Jobs,0)),""))</f>
        <v/>
      </c>
      <c r="X136" s="28">
        <f>IF(E136="","",COUNTIFS(tbl_Finance[Job Number],E136&amp;"",tbl_Finance[Ex GST],"&lt;&gt;"))</f>
        <v/>
      </c>
      <c r="Y136" s="27">
        <f>IF(E136="","",SUMIFS(tbl_Finance[Ex GST],tbl_Finance[Job Number],E136&amp;""))</f>
        <v/>
      </c>
      <c r="Z136" s="27">
        <f>IF(E136="","",SUMIFS(tbl_Finance[Ex GST],tbl_Finance[Job Number],E136&amp;"",tbl_Finance[Xero Invoice No],"&lt;&gt;"))</f>
        <v/>
      </c>
      <c r="AA136" s="27">
        <f>IF(E136="","",Y136-Z136)</f>
        <v/>
      </c>
      <c r="AB136" s="25">
        <f>IF(E136="","",IF(H136="Onsite",IFERROR(INDEX(tbl_Onsite[Qwilr Quote],MATCH(E136&amp;"",tbl_Onsite[Job Number],0)),""),IF(H136="Production",IFERROR(IF(INDEX(tbl_Production[Current RMS No],MATCH(E136&amp;"",tbl_Production[Job Number],0))="",INDEX(tbl_Production[Qwilr Quote],MATCH(E136&amp;"",tbl_Production[Job Number],0)),INDEX(tbl_Production[Current RMS No],MATCH(E136&amp;"",tbl_Production[Job Number],0))),""),IF(H136="Consulting",IFERROR(INDEX(tbl_Consulting[Qwilr Quote],MATCH(E136&amp;"",tbl_Consulting[Job Number],0)),""),""))))</f>
        <v/>
      </c>
      <c r="AC136" s="25">
        <f>IF(AB136="","",IF(AND(LEFT(AB136,4)&lt;&gt;"http",IF(H136="Production",set_RMSBase,set_QwilrBase)=""),"",HYPERLINK(IF(LEFT(AB136,4)="http",AB136,IF(H136="Production",set_RMSBase,set_QwilrBase)&amp;AB136),"Open")))</f>
        <v/>
      </c>
      <c r="AD136" s="27">
        <f>IF(E136="","",IF(H136="Production",IFERROR(INDEX(tbl_Production[Total Expense],MATCH(E136&amp;"",tbl_Production[Job Number],0)),0),IF(H136="Consulting",IFERROR(INDEX(tbl_Consulting[Total Expense],MATCH(E136&amp;"",tbl_Consulting[Job Number],0)),0),0)))</f>
        <v/>
      </c>
      <c r="AE136" s="27">
        <f>IF(E136="","",Y136-N(AD136))</f>
        <v/>
      </c>
      <c r="AF136" s="29">
        <f>IFERROR(AE136/Y136,"")</f>
        <v/>
      </c>
      <c r="AG136" s="25">
        <f>IF(E136="","",IF(H136="Onsite",IFERROR(INDEX(tbl_Onsite[Notes],MATCH(E136&amp;"",tbl_Onsite[Job Number],0)),""),IF(H136="Production",IFERROR(INDEX(tbl_Production[Notes],MATCH(E136&amp;"",tbl_Production[Job Number],0)),""),IF(H136="Consulting",IFERROR(INDEX(tbl_Consulting[Notes],MATCH(E136&amp;"",tbl_Consulting[Job Number],0)),""),""))))</f>
        <v/>
      </c>
    </row>
    <row r="137" ht="15" customHeight="1">
      <c r="A137" s="22" t="n"/>
      <c r="B137" s="23">
        <f>IF(A137="","",EOMONTH(A137,0))</f>
        <v/>
      </c>
      <c r="C137" s="24" t="n"/>
      <c r="D137" s="24" t="inlineStr">
        <is>
          <t>RSNSW</t>
        </is>
      </c>
      <c r="E137" s="24" t="inlineStr">
        <is>
          <t>26032302</t>
        </is>
      </c>
      <c r="F137" s="25">
        <f>IF(E137="","",IF(COUNTIF(lst_Jobs,E137&amp;"")&gt;0,"OK","CHECK"))</f>
        <v/>
      </c>
      <c r="G137" s="24" t="inlineStr">
        <is>
          <t>Ordinary General Meeting 2.9.26</t>
        </is>
      </c>
      <c r="H137" s="24" t="inlineStr">
        <is>
          <t>Production</t>
        </is>
      </c>
      <c r="I137" s="24" t="inlineStr">
        <is>
          <t>VIDEO</t>
        </is>
      </c>
      <c r="J137" s="24" t="inlineStr">
        <is>
          <t>Project</t>
        </is>
      </c>
      <c r="K137" s="24" t="inlineStr">
        <is>
          <t>GST 10%</t>
        </is>
      </c>
      <c r="L137" s="26" t="n">
        <v>1029</v>
      </c>
      <c r="M137" s="27">
        <f>IF(L137="","",IF(K137="GST 10%",ROUND(L137*set_GSTRate,2),0))</f>
        <v/>
      </c>
      <c r="N137" s="27">
        <f>IF(L137="","",L137+M137)</f>
        <v/>
      </c>
      <c r="O137" s="24" t="inlineStr">
        <is>
          <t>42150</t>
        </is>
      </c>
      <c r="P137" s="24" t="inlineStr">
        <is>
          <t>Y</t>
        </is>
      </c>
      <c r="Q137" s="24" t="inlineStr">
        <is>
          <t>N</t>
        </is>
      </c>
      <c r="R137" s="22" t="n"/>
      <c r="S137" s="22" t="n"/>
      <c r="T137" s="24" t="inlineStr">
        <is>
          <t>To Invoice</t>
        </is>
      </c>
      <c r="U137" s="24" t="inlineStr">
        <is>
          <t>Video portion of this invoice</t>
        </is>
      </c>
      <c r="V137" s="25">
        <f>IF(COUNTA(A137,D137,C137,L137)=0,"",IF(A137="","No date - sits outside every month",IF(E137="","No job number",IF(F137="CHECK","Job number is not in the Xero job list",IF(I137="","No cost centre",IF(AND(P137="Y",C137=""),"Marked posted to Xero but has no invoice number",IF(AND(L137&lt;&gt;"",K137=""),"No tax code",IF(AND(L137&lt;&gt;"",O137=""),"No revenue GL code",""))))))))</f>
        <v/>
      </c>
      <c r="W137" s="25">
        <f>IF(E137="","",IFERROR(INDEX(lst_JobName,MATCH(E137&amp;"",lst_Jobs,0)),""))</f>
        <v/>
      </c>
      <c r="X137" s="28">
        <f>IF(E137="","",COUNTIFS(tbl_Finance[Job Number],E137&amp;"",tbl_Finance[Ex GST],"&lt;&gt;"))</f>
        <v/>
      </c>
      <c r="Y137" s="27">
        <f>IF(E137="","",SUMIFS(tbl_Finance[Ex GST],tbl_Finance[Job Number],E137&amp;""))</f>
        <v/>
      </c>
      <c r="Z137" s="27">
        <f>IF(E137="","",SUMIFS(tbl_Finance[Ex GST],tbl_Finance[Job Number],E137&amp;"",tbl_Finance[Xero Invoice No],"&lt;&gt;"))</f>
        <v/>
      </c>
      <c r="AA137" s="27">
        <f>IF(E137="","",Y137-Z137)</f>
        <v/>
      </c>
      <c r="AB137" s="25">
        <f>IF(E137="","",IF(H137="Onsite",IFERROR(INDEX(tbl_Onsite[Qwilr Quote],MATCH(E137&amp;"",tbl_Onsite[Job Number],0)),""),IF(H137="Production",IFERROR(IF(INDEX(tbl_Production[Current RMS No],MATCH(E137&amp;"",tbl_Production[Job Number],0))="",INDEX(tbl_Production[Qwilr Quote],MATCH(E137&amp;"",tbl_Production[Job Number],0)),INDEX(tbl_Production[Current RMS No],MATCH(E137&amp;"",tbl_Production[Job Number],0))),""),IF(H137="Consulting",IFERROR(INDEX(tbl_Consulting[Qwilr Quote],MATCH(E137&amp;"",tbl_Consulting[Job Number],0)),""),""))))</f>
        <v/>
      </c>
      <c r="AC137" s="25">
        <f>IF(AB137="","",IF(AND(LEFT(AB137,4)&lt;&gt;"http",IF(H137="Production",set_RMSBase,set_QwilrBase)=""),"",HYPERLINK(IF(LEFT(AB137,4)="http",AB137,IF(H137="Production",set_RMSBase,set_QwilrBase)&amp;AB137),"Open")))</f>
        <v/>
      </c>
      <c r="AD137" s="27">
        <f>IF(E137="","",IF(H137="Production",IFERROR(INDEX(tbl_Production[Total Expense],MATCH(E137&amp;"",tbl_Production[Job Number],0)),0),IF(H137="Consulting",IFERROR(INDEX(tbl_Consulting[Total Expense],MATCH(E137&amp;"",tbl_Consulting[Job Number],0)),0),0)))</f>
        <v/>
      </c>
      <c r="AE137" s="27">
        <f>IF(E137="","",Y137-N(AD137))</f>
        <v/>
      </c>
      <c r="AF137" s="29">
        <f>IFERROR(AE137/Y137,"")</f>
        <v/>
      </c>
      <c r="AG137" s="25">
        <f>IF(E137="","",IF(H137="Onsite",IFERROR(INDEX(tbl_Onsite[Notes],MATCH(E137&amp;"",tbl_Onsite[Job Number],0)),""),IF(H137="Production",IFERROR(INDEX(tbl_Production[Notes],MATCH(E137&amp;"",tbl_Production[Job Number],0)),""),IF(H137="Consulting",IFERROR(INDEX(tbl_Consulting[Notes],MATCH(E137&amp;"",tbl_Consulting[Job Number],0)),""),""))))</f>
        <v/>
      </c>
    </row>
    <row r="138" ht="15" customHeight="1">
      <c r="A138" s="22" t="n"/>
      <c r="B138" s="23">
        <f>IF(A138="","",EOMONTH(A138,0))</f>
        <v/>
      </c>
      <c r="C138" s="24" t="n"/>
      <c r="D138" s="24" t="inlineStr">
        <is>
          <t>Ventia</t>
        </is>
      </c>
      <c r="E138" s="24" t="inlineStr">
        <is>
          <t>26072102</t>
        </is>
      </c>
      <c r="F138" s="25">
        <f>IF(E138="","",IF(COUNTIF(lst_Jobs,E138&amp;"")&gt;0,"OK","CHECK"))</f>
        <v/>
      </c>
      <c r="G138" s="24" t="inlineStr">
        <is>
          <t>RUOK? Day 10.9.26</t>
        </is>
      </c>
      <c r="H138" s="24" t="inlineStr">
        <is>
          <t>Production</t>
        </is>
      </c>
      <c r="I138" s="24" t="inlineStr">
        <is>
          <t>PRODUCTION</t>
        </is>
      </c>
      <c r="J138" s="24" t="inlineStr">
        <is>
          <t>Project</t>
        </is>
      </c>
      <c r="K138" s="24" t="inlineStr">
        <is>
          <t>GST 10%</t>
        </is>
      </c>
      <c r="L138" s="26" t="n">
        <v>8437.790000000001</v>
      </c>
      <c r="M138" s="27">
        <f>IF(L138="","",IF(K138="GST 10%",ROUND(L138*set_GSTRate,2),0))</f>
        <v/>
      </c>
      <c r="N138" s="27">
        <f>IF(L138="","",L138+M138)</f>
        <v/>
      </c>
      <c r="O138" s="24" t="inlineStr">
        <is>
          <t>42100</t>
        </is>
      </c>
      <c r="P138" s="24" t="inlineStr">
        <is>
          <t>Y</t>
        </is>
      </c>
      <c r="Q138" s="24" t="inlineStr">
        <is>
          <t>N</t>
        </is>
      </c>
      <c r="R138" s="22" t="n"/>
      <c r="S138" s="22" t="n"/>
      <c r="T138" s="24" t="inlineStr">
        <is>
          <t>To Invoice</t>
        </is>
      </c>
      <c r="U138" s="24" t="inlineStr">
        <is>
          <t>Production portion of this invoice</t>
        </is>
      </c>
      <c r="V138" s="25">
        <f>IF(COUNTA(A138,D138,C138,L138)=0,"",IF(A138="","No date - sits outside every month",IF(E138="","No job number",IF(F138="CHECK","Job number is not in the Xero job list",IF(I138="","No cost centre",IF(AND(P138="Y",C138=""),"Marked posted to Xero but has no invoice number",IF(AND(L138&lt;&gt;"",K138=""),"No tax code",IF(AND(L138&lt;&gt;"",O138=""),"No revenue GL code",""))))))))</f>
        <v/>
      </c>
      <c r="W138" s="25">
        <f>IF(E138="","",IFERROR(INDEX(lst_JobName,MATCH(E138&amp;"",lst_Jobs,0)),""))</f>
        <v/>
      </c>
      <c r="X138" s="28">
        <f>IF(E138="","",COUNTIFS(tbl_Finance[Job Number],E138&amp;"",tbl_Finance[Ex GST],"&lt;&gt;"))</f>
        <v/>
      </c>
      <c r="Y138" s="27">
        <f>IF(E138="","",SUMIFS(tbl_Finance[Ex GST],tbl_Finance[Job Number],E138&amp;""))</f>
        <v/>
      </c>
      <c r="Z138" s="27">
        <f>IF(E138="","",SUMIFS(tbl_Finance[Ex GST],tbl_Finance[Job Number],E138&amp;"",tbl_Finance[Xero Invoice No],"&lt;&gt;"))</f>
        <v/>
      </c>
      <c r="AA138" s="27">
        <f>IF(E138="","",Y138-Z138)</f>
        <v/>
      </c>
      <c r="AB138" s="25">
        <f>IF(E138="","",IF(H138="Onsite",IFERROR(INDEX(tbl_Onsite[Qwilr Quote],MATCH(E138&amp;"",tbl_Onsite[Job Number],0)),""),IF(H138="Production",IFERROR(IF(INDEX(tbl_Production[Current RMS No],MATCH(E138&amp;"",tbl_Production[Job Number],0))="",INDEX(tbl_Production[Qwilr Quote],MATCH(E138&amp;"",tbl_Production[Job Number],0)),INDEX(tbl_Production[Current RMS No],MATCH(E138&amp;"",tbl_Production[Job Number],0))),""),IF(H138="Consulting",IFERROR(INDEX(tbl_Consulting[Qwilr Quote],MATCH(E138&amp;"",tbl_Consulting[Job Number],0)),""),""))))</f>
        <v/>
      </c>
      <c r="AC138" s="25">
        <f>IF(AB138="","",IF(AND(LEFT(AB138,4)&lt;&gt;"http",IF(H138="Production",set_RMSBase,set_QwilrBase)=""),"",HYPERLINK(IF(LEFT(AB138,4)="http",AB138,IF(H138="Production",set_RMSBase,set_QwilrBase)&amp;AB138),"Open")))</f>
        <v/>
      </c>
      <c r="AD138" s="27">
        <f>IF(E138="","",IF(H138="Production",IFERROR(INDEX(tbl_Production[Total Expense],MATCH(E138&amp;"",tbl_Production[Job Number],0)),0),IF(H138="Consulting",IFERROR(INDEX(tbl_Consulting[Total Expense],MATCH(E138&amp;"",tbl_Consulting[Job Number],0)),0),0)))</f>
        <v/>
      </c>
      <c r="AE138" s="27">
        <f>IF(E138="","",Y138-N(AD138))</f>
        <v/>
      </c>
      <c r="AF138" s="29">
        <f>IFERROR(AE138/Y138,"")</f>
        <v/>
      </c>
      <c r="AG138" s="25">
        <f>IF(E138="","",IF(H138="Onsite",IFERROR(INDEX(tbl_Onsite[Notes],MATCH(E138&amp;"",tbl_Onsite[Job Number],0)),""),IF(H138="Production",IFERROR(INDEX(tbl_Production[Notes],MATCH(E138&amp;"",tbl_Production[Job Number],0)),""),IF(H138="Consulting",IFERROR(INDEX(tbl_Consulting[Notes],MATCH(E138&amp;"",tbl_Consulting[Job Number],0)),""),""))))</f>
        <v/>
      </c>
    </row>
    <row r="139" ht="15" customHeight="1">
      <c r="A139" s="22" t="n"/>
      <c r="B139" s="23">
        <f>IF(A139="","",EOMONTH(A139,0))</f>
        <v/>
      </c>
      <c r="C139" s="24" t="n"/>
      <c r="D139" s="24" t="inlineStr">
        <is>
          <t>Ventia</t>
        </is>
      </c>
      <c r="E139" s="24" t="inlineStr">
        <is>
          <t>26072102</t>
        </is>
      </c>
      <c r="F139" s="25">
        <f>IF(E139="","",IF(COUNTIF(lst_Jobs,E139&amp;"")&gt;0,"OK","CHECK"))</f>
        <v/>
      </c>
      <c r="G139" s="24" t="inlineStr">
        <is>
          <t>RUOK? Day 10.9.26</t>
        </is>
      </c>
      <c r="H139" s="24" t="inlineStr">
        <is>
          <t>Production</t>
        </is>
      </c>
      <c r="I139" s="24" t="inlineStr">
        <is>
          <t>VIDEO</t>
        </is>
      </c>
      <c r="J139" s="24" t="inlineStr">
        <is>
          <t>Project</t>
        </is>
      </c>
      <c r="K139" s="24" t="inlineStr">
        <is>
          <t>GST 10%</t>
        </is>
      </c>
      <c r="L139" s="26" t="n">
        <v>1578.1</v>
      </c>
      <c r="M139" s="27">
        <f>IF(L139="","",IF(K139="GST 10%",ROUND(L139*set_GSTRate,2),0))</f>
        <v/>
      </c>
      <c r="N139" s="27">
        <f>IF(L139="","",L139+M139)</f>
        <v/>
      </c>
      <c r="O139" s="24" t="inlineStr">
        <is>
          <t>42150</t>
        </is>
      </c>
      <c r="P139" s="24" t="inlineStr">
        <is>
          <t>Y</t>
        </is>
      </c>
      <c r="Q139" s="24" t="inlineStr">
        <is>
          <t>N</t>
        </is>
      </c>
      <c r="R139" s="22" t="n"/>
      <c r="S139" s="22" t="n"/>
      <c r="T139" s="24" t="inlineStr">
        <is>
          <t>To Invoice</t>
        </is>
      </c>
      <c r="U139" s="24" t="inlineStr">
        <is>
          <t>Video portion of this invoice</t>
        </is>
      </c>
      <c r="V139" s="25">
        <f>IF(COUNTA(A139,D139,C139,L139)=0,"",IF(A139="","No date - sits outside every month",IF(E139="","No job number",IF(F139="CHECK","Job number is not in the Xero job list",IF(I139="","No cost centre",IF(AND(P139="Y",C139=""),"Marked posted to Xero but has no invoice number",IF(AND(L139&lt;&gt;"",K139=""),"No tax code",IF(AND(L139&lt;&gt;"",O139=""),"No revenue GL code",""))))))))</f>
        <v/>
      </c>
      <c r="W139" s="25">
        <f>IF(E139="","",IFERROR(INDEX(lst_JobName,MATCH(E139&amp;"",lst_Jobs,0)),""))</f>
        <v/>
      </c>
      <c r="X139" s="28">
        <f>IF(E139="","",COUNTIFS(tbl_Finance[Job Number],E139&amp;"",tbl_Finance[Ex GST],"&lt;&gt;"))</f>
        <v/>
      </c>
      <c r="Y139" s="27">
        <f>IF(E139="","",SUMIFS(tbl_Finance[Ex GST],tbl_Finance[Job Number],E139&amp;""))</f>
        <v/>
      </c>
      <c r="Z139" s="27">
        <f>IF(E139="","",SUMIFS(tbl_Finance[Ex GST],tbl_Finance[Job Number],E139&amp;"",tbl_Finance[Xero Invoice No],"&lt;&gt;"))</f>
        <v/>
      </c>
      <c r="AA139" s="27">
        <f>IF(E139="","",Y139-Z139)</f>
        <v/>
      </c>
      <c r="AB139" s="25">
        <f>IF(E139="","",IF(H139="Onsite",IFERROR(INDEX(tbl_Onsite[Qwilr Quote],MATCH(E139&amp;"",tbl_Onsite[Job Number],0)),""),IF(H139="Production",IFERROR(IF(INDEX(tbl_Production[Current RMS No],MATCH(E139&amp;"",tbl_Production[Job Number],0))="",INDEX(tbl_Production[Qwilr Quote],MATCH(E139&amp;"",tbl_Production[Job Number],0)),INDEX(tbl_Production[Current RMS No],MATCH(E139&amp;"",tbl_Production[Job Number],0))),""),IF(H139="Consulting",IFERROR(INDEX(tbl_Consulting[Qwilr Quote],MATCH(E139&amp;"",tbl_Consulting[Job Number],0)),""),""))))</f>
        <v/>
      </c>
      <c r="AC139" s="25">
        <f>IF(AB139="","",IF(AND(LEFT(AB139,4)&lt;&gt;"http",IF(H139="Production",set_RMSBase,set_QwilrBase)=""),"",HYPERLINK(IF(LEFT(AB139,4)="http",AB139,IF(H139="Production",set_RMSBase,set_QwilrBase)&amp;AB139),"Open")))</f>
        <v/>
      </c>
      <c r="AD139" s="27">
        <f>IF(E139="","",IF(H139="Production",IFERROR(INDEX(tbl_Production[Total Expense],MATCH(E139&amp;"",tbl_Production[Job Number],0)),0),IF(H139="Consulting",IFERROR(INDEX(tbl_Consulting[Total Expense],MATCH(E139&amp;"",tbl_Consulting[Job Number],0)),0),0)))</f>
        <v/>
      </c>
      <c r="AE139" s="27">
        <f>IF(E139="","",Y139-N(AD139))</f>
        <v/>
      </c>
      <c r="AF139" s="29">
        <f>IFERROR(AE139/Y139,"")</f>
        <v/>
      </c>
      <c r="AG139" s="25">
        <f>IF(E139="","",IF(H139="Onsite",IFERROR(INDEX(tbl_Onsite[Notes],MATCH(E139&amp;"",tbl_Onsite[Job Number],0)),""),IF(H139="Production",IFERROR(INDEX(tbl_Production[Notes],MATCH(E139&amp;"",tbl_Production[Job Number],0)),""),IF(H139="Consulting",IFERROR(INDEX(tbl_Consulting[Notes],MATCH(E139&amp;"",tbl_Consulting[Job Number],0)),""),""))))</f>
        <v/>
      </c>
    </row>
    <row r="140" ht="15" customHeight="1">
      <c r="A140" s="22" t="n"/>
      <c r="B140" s="23">
        <f>IF(A140="","",EOMONTH(A140,0))</f>
        <v/>
      </c>
      <c r="C140" s="24" t="n"/>
      <c r="D140" s="24" t="inlineStr">
        <is>
          <t>APA</t>
        </is>
      </c>
      <c r="E140" s="24" t="inlineStr">
        <is>
          <t>26082703</t>
        </is>
      </c>
      <c r="F140" s="25">
        <f>IF(E140="","",IF(COUNTIF(lst_Jobs,E140&amp;"")&gt;0,"OK","CHECK"))</f>
        <v/>
      </c>
      <c r="G140" s="24" t="inlineStr">
        <is>
          <t>RUOK? Day 10.9.26</t>
        </is>
      </c>
      <c r="H140" s="24" t="inlineStr">
        <is>
          <t>Production</t>
        </is>
      </c>
      <c r="I140" s="24" t="inlineStr">
        <is>
          <t>PRODUCTION</t>
        </is>
      </c>
      <c r="J140" s="24" t="inlineStr">
        <is>
          <t>Project</t>
        </is>
      </c>
      <c r="K140" s="24" t="inlineStr">
        <is>
          <t>GST 10%</t>
        </is>
      </c>
      <c r="L140" s="26" t="n">
        <v>570</v>
      </c>
      <c r="M140" s="27">
        <f>IF(L140="","",IF(K140="GST 10%",ROUND(L140*set_GSTRate,2),0))</f>
        <v/>
      </c>
      <c r="N140" s="27">
        <f>IF(L140="","",L140+M140)</f>
        <v/>
      </c>
      <c r="O140" s="24" t="inlineStr">
        <is>
          <t>42100</t>
        </is>
      </c>
      <c r="P140" s="24" t="inlineStr">
        <is>
          <t>Y</t>
        </is>
      </c>
      <c r="Q140" s="24" t="inlineStr">
        <is>
          <t>N</t>
        </is>
      </c>
      <c r="R140" s="22" t="n"/>
      <c r="S140" s="22" t="n"/>
      <c r="T140" s="24" t="inlineStr">
        <is>
          <t>To Invoice</t>
        </is>
      </c>
      <c r="U140" s="24" t="n"/>
      <c r="V140" s="25">
        <f>IF(COUNTA(A140,D140,C140,L140)=0,"",IF(A140="","No date - sits outside every month",IF(E140="","No job number",IF(F140="CHECK","Job number is not in the Xero job list",IF(I140="","No cost centre",IF(AND(P140="Y",C140=""),"Marked posted to Xero but has no invoice number",IF(AND(L140&lt;&gt;"",K140=""),"No tax code",IF(AND(L140&lt;&gt;"",O140=""),"No revenue GL code",""))))))))</f>
        <v/>
      </c>
      <c r="W140" s="25">
        <f>IF(E140="","",IFERROR(INDEX(lst_JobName,MATCH(E140&amp;"",lst_Jobs,0)),""))</f>
        <v/>
      </c>
      <c r="X140" s="28">
        <f>IF(E140="","",COUNTIFS(tbl_Finance[Job Number],E140&amp;"",tbl_Finance[Ex GST],"&lt;&gt;"))</f>
        <v/>
      </c>
      <c r="Y140" s="27">
        <f>IF(E140="","",SUMIFS(tbl_Finance[Ex GST],tbl_Finance[Job Number],E140&amp;""))</f>
        <v/>
      </c>
      <c r="Z140" s="27">
        <f>IF(E140="","",SUMIFS(tbl_Finance[Ex GST],tbl_Finance[Job Number],E140&amp;"",tbl_Finance[Xero Invoice No],"&lt;&gt;"))</f>
        <v/>
      </c>
      <c r="AA140" s="27">
        <f>IF(E140="","",Y140-Z140)</f>
        <v/>
      </c>
      <c r="AB140" s="25">
        <f>IF(E140="","",IF(H140="Onsite",IFERROR(INDEX(tbl_Onsite[Qwilr Quote],MATCH(E140&amp;"",tbl_Onsite[Job Number],0)),""),IF(H140="Production",IFERROR(IF(INDEX(tbl_Production[Current RMS No],MATCH(E140&amp;"",tbl_Production[Job Number],0))="",INDEX(tbl_Production[Qwilr Quote],MATCH(E140&amp;"",tbl_Production[Job Number],0)),INDEX(tbl_Production[Current RMS No],MATCH(E140&amp;"",tbl_Production[Job Number],0))),""),IF(H140="Consulting",IFERROR(INDEX(tbl_Consulting[Qwilr Quote],MATCH(E140&amp;"",tbl_Consulting[Job Number],0)),""),""))))</f>
        <v/>
      </c>
      <c r="AC140" s="25">
        <f>IF(AB140="","",IF(AND(LEFT(AB140,4)&lt;&gt;"http",IF(H140="Production",set_RMSBase,set_QwilrBase)=""),"",HYPERLINK(IF(LEFT(AB140,4)="http",AB140,IF(H140="Production",set_RMSBase,set_QwilrBase)&amp;AB140),"Open")))</f>
        <v/>
      </c>
      <c r="AD140" s="27">
        <f>IF(E140="","",IF(H140="Production",IFERROR(INDEX(tbl_Production[Total Expense],MATCH(E140&amp;"",tbl_Production[Job Number],0)),0),IF(H140="Consulting",IFERROR(INDEX(tbl_Consulting[Total Expense],MATCH(E140&amp;"",tbl_Consulting[Job Number],0)),0),0)))</f>
        <v/>
      </c>
      <c r="AE140" s="27">
        <f>IF(E140="","",Y140-N(AD140))</f>
        <v/>
      </c>
      <c r="AF140" s="29">
        <f>IFERROR(AE140/Y140,"")</f>
        <v/>
      </c>
      <c r="AG140" s="25">
        <f>IF(E140="","",IF(H140="Onsite",IFERROR(INDEX(tbl_Onsite[Notes],MATCH(E140&amp;"",tbl_Onsite[Job Number],0)),""),IF(H140="Production",IFERROR(INDEX(tbl_Production[Notes],MATCH(E140&amp;"",tbl_Production[Job Number],0)),""),IF(H140="Consulting",IFERROR(INDEX(tbl_Consulting[Notes],MATCH(E140&amp;"",tbl_Consulting[Job Number],0)),""),""))))</f>
        <v/>
      </c>
    </row>
    <row r="141" ht="15" customHeight="1">
      <c r="A141" s="22" t="n"/>
      <c r="B141" s="23">
        <f>IF(A141="","",EOMONTH(A141,0))</f>
        <v/>
      </c>
      <c r="C141" s="24" t="n"/>
      <c r="D141" s="24" t="inlineStr">
        <is>
          <t>Ventia</t>
        </is>
      </c>
      <c r="E141" s="24" t="inlineStr">
        <is>
          <t>2608701</t>
        </is>
      </c>
      <c r="F141" s="25">
        <f>IF(E141="","",IF(COUNTIF(lst_Jobs,E141&amp;"")&gt;0,"OK","CHECK"))</f>
        <v/>
      </c>
      <c r="G141" s="24" t="inlineStr">
        <is>
          <t>Elkiem Studio Support 10.9.26</t>
        </is>
      </c>
      <c r="H141" s="24" t="inlineStr">
        <is>
          <t>Production</t>
        </is>
      </c>
      <c r="I141" s="24" t="inlineStr">
        <is>
          <t>PRODUCTION</t>
        </is>
      </c>
      <c r="J141" s="24" t="inlineStr">
        <is>
          <t>Project</t>
        </is>
      </c>
      <c r="K141" s="24" t="inlineStr">
        <is>
          <t>GST 10%</t>
        </is>
      </c>
      <c r="L141" s="26" t="n">
        <v>380</v>
      </c>
      <c r="M141" s="27">
        <f>IF(L141="","",IF(K141="GST 10%",ROUND(L141*set_GSTRate,2),0))</f>
        <v/>
      </c>
      <c r="N141" s="27">
        <f>IF(L141="","",L141+M141)</f>
        <v/>
      </c>
      <c r="O141" s="24" t="inlineStr">
        <is>
          <t>42100</t>
        </is>
      </c>
      <c r="P141" s="24" t="inlineStr">
        <is>
          <t>Y</t>
        </is>
      </c>
      <c r="Q141" s="24" t="inlineStr">
        <is>
          <t>N</t>
        </is>
      </c>
      <c r="R141" s="22" t="n"/>
      <c r="S141" s="22" t="n"/>
      <c r="T141" s="24" t="inlineStr">
        <is>
          <t>To Invoice</t>
        </is>
      </c>
      <c r="U141" s="24" t="n"/>
      <c r="V141" s="25">
        <f>IF(COUNTA(A141,D141,C141,L141)=0,"",IF(A141="","No date - sits outside every month",IF(E141="","No job number",IF(F141="CHECK","Job number is not in the Xero job list",IF(I141="","No cost centre",IF(AND(P141="Y",C141=""),"Marked posted to Xero but has no invoice number",IF(AND(L141&lt;&gt;"",K141=""),"No tax code",IF(AND(L141&lt;&gt;"",O141=""),"No revenue GL code",""))))))))</f>
        <v/>
      </c>
      <c r="W141" s="25">
        <f>IF(E141="","",IFERROR(INDEX(lst_JobName,MATCH(E141&amp;"",lst_Jobs,0)),""))</f>
        <v/>
      </c>
      <c r="X141" s="28">
        <f>IF(E141="","",COUNTIFS(tbl_Finance[Job Number],E141&amp;"",tbl_Finance[Ex GST],"&lt;&gt;"))</f>
        <v/>
      </c>
      <c r="Y141" s="27">
        <f>IF(E141="","",SUMIFS(tbl_Finance[Ex GST],tbl_Finance[Job Number],E141&amp;""))</f>
        <v/>
      </c>
      <c r="Z141" s="27">
        <f>IF(E141="","",SUMIFS(tbl_Finance[Ex GST],tbl_Finance[Job Number],E141&amp;"",tbl_Finance[Xero Invoice No],"&lt;&gt;"))</f>
        <v/>
      </c>
      <c r="AA141" s="27">
        <f>IF(E141="","",Y141-Z141)</f>
        <v/>
      </c>
      <c r="AB141" s="25">
        <f>IF(E141="","",IF(H141="Onsite",IFERROR(INDEX(tbl_Onsite[Qwilr Quote],MATCH(E141&amp;"",tbl_Onsite[Job Number],0)),""),IF(H141="Production",IFERROR(IF(INDEX(tbl_Production[Current RMS No],MATCH(E141&amp;"",tbl_Production[Job Number],0))="",INDEX(tbl_Production[Qwilr Quote],MATCH(E141&amp;"",tbl_Production[Job Number],0)),INDEX(tbl_Production[Current RMS No],MATCH(E141&amp;"",tbl_Production[Job Number],0))),""),IF(H141="Consulting",IFERROR(INDEX(tbl_Consulting[Qwilr Quote],MATCH(E141&amp;"",tbl_Consulting[Job Number],0)),""),""))))</f>
        <v/>
      </c>
      <c r="AC141" s="25">
        <f>IF(AB141="","",IF(AND(LEFT(AB141,4)&lt;&gt;"http",IF(H141="Production",set_RMSBase,set_QwilrBase)=""),"",HYPERLINK(IF(LEFT(AB141,4)="http",AB141,IF(H141="Production",set_RMSBase,set_QwilrBase)&amp;AB141),"Open")))</f>
        <v/>
      </c>
      <c r="AD141" s="27">
        <f>IF(E141="","",IF(H141="Production",IFERROR(INDEX(tbl_Production[Total Expense],MATCH(E141&amp;"",tbl_Production[Job Number],0)),0),IF(H141="Consulting",IFERROR(INDEX(tbl_Consulting[Total Expense],MATCH(E141&amp;"",tbl_Consulting[Job Number],0)),0),0)))</f>
        <v/>
      </c>
      <c r="AE141" s="27">
        <f>IF(E141="","",Y141-N(AD141))</f>
        <v/>
      </c>
      <c r="AF141" s="29">
        <f>IFERROR(AE141/Y141,"")</f>
        <v/>
      </c>
      <c r="AG141" s="25">
        <f>IF(E141="","",IF(H141="Onsite",IFERROR(INDEX(tbl_Onsite[Notes],MATCH(E141&amp;"",tbl_Onsite[Job Number],0)),""),IF(H141="Production",IFERROR(INDEX(tbl_Production[Notes],MATCH(E141&amp;"",tbl_Production[Job Number],0)),""),IF(H141="Consulting",IFERROR(INDEX(tbl_Consulting[Notes],MATCH(E141&amp;"",tbl_Consulting[Job Number],0)),""),""))))</f>
        <v/>
      </c>
    </row>
    <row r="142" ht="15" customHeight="1">
      <c r="A142" s="22" t="n"/>
      <c r="B142" s="23">
        <f>IF(A142="","",EOMONTH(A142,0))</f>
        <v/>
      </c>
      <c r="C142" s="24" t="n"/>
      <c r="D142" s="24" t="inlineStr">
        <is>
          <t>Elkeim</t>
        </is>
      </c>
      <c r="E142" s="24" t="inlineStr">
        <is>
          <t>2609801</t>
        </is>
      </c>
      <c r="F142" s="25">
        <f>IF(E142="","",IF(COUNTIF(lst_Jobs,E142&amp;"")&gt;0,"OK","CHECK"))</f>
        <v/>
      </c>
      <c r="G142" s="24" t="inlineStr">
        <is>
          <t>Elkiem Studio Support 16.9.26</t>
        </is>
      </c>
      <c r="H142" s="24" t="inlineStr">
        <is>
          <t>Production</t>
        </is>
      </c>
      <c r="I142" s="24" t="inlineStr">
        <is>
          <t>PRODUCTION</t>
        </is>
      </c>
      <c r="J142" s="24" t="inlineStr">
        <is>
          <t>Project</t>
        </is>
      </c>
      <c r="K142" s="24" t="inlineStr">
        <is>
          <t>GST 10%</t>
        </is>
      </c>
      <c r="L142" s="26" t="n">
        <v>380</v>
      </c>
      <c r="M142" s="27">
        <f>IF(L142="","",IF(K142="GST 10%",ROUND(L142*set_GSTRate,2),0))</f>
        <v/>
      </c>
      <c r="N142" s="27">
        <f>IF(L142="","",L142+M142)</f>
        <v/>
      </c>
      <c r="O142" s="24" t="inlineStr">
        <is>
          <t>42100</t>
        </is>
      </c>
      <c r="P142" s="24" t="inlineStr">
        <is>
          <t>Y</t>
        </is>
      </c>
      <c r="Q142" s="24" t="inlineStr">
        <is>
          <t>N</t>
        </is>
      </c>
      <c r="R142" s="22" t="n"/>
      <c r="S142" s="22" t="n"/>
      <c r="T142" s="24" t="inlineStr">
        <is>
          <t>To Invoice</t>
        </is>
      </c>
      <c r="U142" s="24" t="n"/>
      <c r="V142" s="25">
        <f>IF(COUNTA(A142,D142,C142,L142)=0,"",IF(A142="","No date - sits outside every month",IF(E142="","No job number",IF(F142="CHECK","Job number is not in the Xero job list",IF(I142="","No cost centre",IF(AND(P142="Y",C142=""),"Marked posted to Xero but has no invoice number",IF(AND(L142&lt;&gt;"",K142=""),"No tax code",IF(AND(L142&lt;&gt;"",O142=""),"No revenue GL code",""))))))))</f>
        <v/>
      </c>
      <c r="W142" s="25">
        <f>IF(E142="","",IFERROR(INDEX(lst_JobName,MATCH(E142&amp;"",lst_Jobs,0)),""))</f>
        <v/>
      </c>
      <c r="X142" s="28">
        <f>IF(E142="","",COUNTIFS(tbl_Finance[Job Number],E142&amp;"",tbl_Finance[Ex GST],"&lt;&gt;"))</f>
        <v/>
      </c>
      <c r="Y142" s="27">
        <f>IF(E142="","",SUMIFS(tbl_Finance[Ex GST],tbl_Finance[Job Number],E142&amp;""))</f>
        <v/>
      </c>
      <c r="Z142" s="27">
        <f>IF(E142="","",SUMIFS(tbl_Finance[Ex GST],tbl_Finance[Job Number],E142&amp;"",tbl_Finance[Xero Invoice No],"&lt;&gt;"))</f>
        <v/>
      </c>
      <c r="AA142" s="27">
        <f>IF(E142="","",Y142-Z142)</f>
        <v/>
      </c>
      <c r="AB142" s="25">
        <f>IF(E142="","",IF(H142="Onsite",IFERROR(INDEX(tbl_Onsite[Qwilr Quote],MATCH(E142&amp;"",tbl_Onsite[Job Number],0)),""),IF(H142="Production",IFERROR(IF(INDEX(tbl_Production[Current RMS No],MATCH(E142&amp;"",tbl_Production[Job Number],0))="",INDEX(tbl_Production[Qwilr Quote],MATCH(E142&amp;"",tbl_Production[Job Number],0)),INDEX(tbl_Production[Current RMS No],MATCH(E142&amp;"",tbl_Production[Job Number],0))),""),IF(H142="Consulting",IFERROR(INDEX(tbl_Consulting[Qwilr Quote],MATCH(E142&amp;"",tbl_Consulting[Job Number],0)),""),""))))</f>
        <v/>
      </c>
      <c r="AC142" s="25">
        <f>IF(AB142="","",IF(AND(LEFT(AB142,4)&lt;&gt;"http",IF(H142="Production",set_RMSBase,set_QwilrBase)=""),"",HYPERLINK(IF(LEFT(AB142,4)="http",AB142,IF(H142="Production",set_RMSBase,set_QwilrBase)&amp;AB142),"Open")))</f>
        <v/>
      </c>
      <c r="AD142" s="27">
        <f>IF(E142="","",IF(H142="Production",IFERROR(INDEX(tbl_Production[Total Expense],MATCH(E142&amp;"",tbl_Production[Job Number],0)),0),IF(H142="Consulting",IFERROR(INDEX(tbl_Consulting[Total Expense],MATCH(E142&amp;"",tbl_Consulting[Job Number],0)),0),0)))</f>
        <v/>
      </c>
      <c r="AE142" s="27">
        <f>IF(E142="","",Y142-N(AD142))</f>
        <v/>
      </c>
      <c r="AF142" s="29">
        <f>IFERROR(AE142/Y142,"")</f>
        <v/>
      </c>
      <c r="AG142" s="25">
        <f>IF(E142="","",IF(H142="Onsite",IFERROR(INDEX(tbl_Onsite[Notes],MATCH(E142&amp;"",tbl_Onsite[Job Number],0)),""),IF(H142="Production",IFERROR(INDEX(tbl_Production[Notes],MATCH(E142&amp;"",tbl_Production[Job Number],0)),""),IF(H142="Consulting",IFERROR(INDEX(tbl_Consulting[Notes],MATCH(E142&amp;"",tbl_Consulting[Job Number],0)),""),""))))</f>
        <v/>
      </c>
    </row>
    <row r="143" ht="15" customHeight="1">
      <c r="A143" s="22" t="n"/>
      <c r="B143" s="23">
        <f>IF(A143="","",EOMONTH(A143,0))</f>
        <v/>
      </c>
      <c r="C143" s="24" t="n"/>
      <c r="D143" s="24" t="inlineStr">
        <is>
          <t>ICC</t>
        </is>
      </c>
      <c r="E143" s="24" t="inlineStr">
        <is>
          <t>26082502</t>
        </is>
      </c>
      <c r="F143" s="25">
        <f>IF(E143="","",IF(COUNTIF(lst_Jobs,E143&amp;"")&gt;0,"OK","CHECK"))</f>
        <v/>
      </c>
      <c r="G143" s="24" t="inlineStr">
        <is>
          <t>ICC - September Presenter Support Presentations - ISE</t>
        </is>
      </c>
      <c r="H143" s="24" t="inlineStr">
        <is>
          <t>Production</t>
        </is>
      </c>
      <c r="I143" s="24" t="inlineStr">
        <is>
          <t>PRODUCTION</t>
        </is>
      </c>
      <c r="J143" s="24" t="inlineStr">
        <is>
          <t>Project</t>
        </is>
      </c>
      <c r="K143" s="24" t="inlineStr">
        <is>
          <t>GST 10%</t>
        </is>
      </c>
      <c r="L143" s="26" t="n">
        <v>4729</v>
      </c>
      <c r="M143" s="27">
        <f>IF(L143="","",IF(K143="GST 10%",ROUND(L143*set_GSTRate,2),0))</f>
        <v/>
      </c>
      <c r="N143" s="27">
        <f>IF(L143="","",L143+M143)</f>
        <v/>
      </c>
      <c r="O143" s="24" t="inlineStr">
        <is>
          <t>42100</t>
        </is>
      </c>
      <c r="P143" s="24" t="inlineStr">
        <is>
          <t>Y</t>
        </is>
      </c>
      <c r="Q143" s="24" t="inlineStr">
        <is>
          <t>N</t>
        </is>
      </c>
      <c r="R143" s="22" t="n"/>
      <c r="S143" s="22" t="n"/>
      <c r="T143" s="24" t="inlineStr">
        <is>
          <t>To Invoice</t>
        </is>
      </c>
      <c r="U143" s="24" t="n"/>
      <c r="V143" s="25">
        <f>IF(COUNTA(A143,D143,C143,L143)=0,"",IF(A143="","No date - sits outside every month",IF(E143="","No job number",IF(F143="CHECK","Job number is not in the Xero job list",IF(I143="","No cost centre",IF(AND(P143="Y",C143=""),"Marked posted to Xero but has no invoice number",IF(AND(L143&lt;&gt;"",K143=""),"No tax code",IF(AND(L143&lt;&gt;"",O143=""),"No revenue GL code",""))))))))</f>
        <v/>
      </c>
      <c r="W143" s="25">
        <f>IF(E143="","",IFERROR(INDEX(lst_JobName,MATCH(E143&amp;"",lst_Jobs,0)),""))</f>
        <v/>
      </c>
      <c r="X143" s="28">
        <f>IF(E143="","",COUNTIFS(tbl_Finance[Job Number],E143&amp;"",tbl_Finance[Ex GST],"&lt;&gt;"))</f>
        <v/>
      </c>
      <c r="Y143" s="27">
        <f>IF(E143="","",SUMIFS(tbl_Finance[Ex GST],tbl_Finance[Job Number],E143&amp;""))</f>
        <v/>
      </c>
      <c r="Z143" s="27">
        <f>IF(E143="","",SUMIFS(tbl_Finance[Ex GST],tbl_Finance[Job Number],E143&amp;"",tbl_Finance[Xero Invoice No],"&lt;&gt;"))</f>
        <v/>
      </c>
      <c r="AA143" s="27">
        <f>IF(E143="","",Y143-Z143)</f>
        <v/>
      </c>
      <c r="AB143" s="25">
        <f>IF(E143="","",IF(H143="Onsite",IFERROR(INDEX(tbl_Onsite[Qwilr Quote],MATCH(E143&amp;"",tbl_Onsite[Job Number],0)),""),IF(H143="Production",IFERROR(IF(INDEX(tbl_Production[Current RMS No],MATCH(E143&amp;"",tbl_Production[Job Number],0))="",INDEX(tbl_Production[Qwilr Quote],MATCH(E143&amp;"",tbl_Production[Job Number],0)),INDEX(tbl_Production[Current RMS No],MATCH(E143&amp;"",tbl_Production[Job Number],0))),""),IF(H143="Consulting",IFERROR(INDEX(tbl_Consulting[Qwilr Quote],MATCH(E143&amp;"",tbl_Consulting[Job Number],0)),""),""))))</f>
        <v/>
      </c>
      <c r="AC143" s="25">
        <f>IF(AB143="","",IF(AND(LEFT(AB143,4)&lt;&gt;"http",IF(H143="Production",set_RMSBase,set_QwilrBase)=""),"",HYPERLINK(IF(LEFT(AB143,4)="http",AB143,IF(H143="Production",set_RMSBase,set_QwilrBase)&amp;AB143),"Open")))</f>
        <v/>
      </c>
      <c r="AD143" s="27">
        <f>IF(E143="","",IF(H143="Production",IFERROR(INDEX(tbl_Production[Total Expense],MATCH(E143&amp;"",tbl_Production[Job Number],0)),0),IF(H143="Consulting",IFERROR(INDEX(tbl_Consulting[Total Expense],MATCH(E143&amp;"",tbl_Consulting[Job Number],0)),0),0)))</f>
        <v/>
      </c>
      <c r="AE143" s="27">
        <f>IF(E143="","",Y143-N(AD143))</f>
        <v/>
      </c>
      <c r="AF143" s="29">
        <f>IFERROR(AE143/Y143,"")</f>
        <v/>
      </c>
      <c r="AG143" s="25">
        <f>IF(E143="","",IF(H143="Onsite",IFERROR(INDEX(tbl_Onsite[Notes],MATCH(E143&amp;"",tbl_Onsite[Job Number],0)),""),IF(H143="Production",IFERROR(INDEX(tbl_Production[Notes],MATCH(E143&amp;"",tbl_Production[Job Number],0)),""),IF(H143="Consulting",IFERROR(INDEX(tbl_Consulting[Notes],MATCH(E143&amp;"",tbl_Consulting[Job Number],0)),""),""))))</f>
        <v/>
      </c>
    </row>
    <row r="144" ht="15" customHeight="1">
      <c r="A144" s="22" t="n"/>
      <c r="B144" s="23">
        <f>IF(A144="","",EOMONTH(A144,0))</f>
        <v/>
      </c>
      <c r="C144" s="24" t="n"/>
      <c r="D144" s="24" t="inlineStr">
        <is>
          <t>ICC</t>
        </is>
      </c>
      <c r="E144" s="24" t="inlineStr">
        <is>
          <t>26082503</t>
        </is>
      </c>
      <c r="F144" s="25">
        <f>IF(E144="","",IF(COUNTIF(lst_Jobs,E144&amp;"")&gt;0,"OK","CHECK"))</f>
        <v/>
      </c>
      <c r="G144" s="24" t="inlineStr">
        <is>
          <t>ICC - September Presenter Support Presentations - ICAS</t>
        </is>
      </c>
      <c r="H144" s="24" t="inlineStr">
        <is>
          <t>Production</t>
        </is>
      </c>
      <c r="I144" s="24" t="inlineStr">
        <is>
          <t>PRODUCTION</t>
        </is>
      </c>
      <c r="J144" s="24" t="inlineStr">
        <is>
          <t>Project</t>
        </is>
      </c>
      <c r="K144" s="24" t="inlineStr">
        <is>
          <t>GST 10%</t>
        </is>
      </c>
      <c r="L144" s="26" t="n">
        <v>946</v>
      </c>
      <c r="M144" s="27">
        <f>IF(L144="","",IF(K144="GST 10%",ROUND(L144*set_GSTRate,2),0))</f>
        <v/>
      </c>
      <c r="N144" s="27">
        <f>IF(L144="","",L144+M144)</f>
        <v/>
      </c>
      <c r="O144" s="24" t="inlineStr">
        <is>
          <t>42100</t>
        </is>
      </c>
      <c r="P144" s="24" t="inlineStr">
        <is>
          <t>Y</t>
        </is>
      </c>
      <c r="Q144" s="24" t="inlineStr">
        <is>
          <t>N</t>
        </is>
      </c>
      <c r="R144" s="22" t="n"/>
      <c r="S144" s="22" t="n"/>
      <c r="T144" s="24" t="inlineStr">
        <is>
          <t>To Invoice</t>
        </is>
      </c>
      <c r="U144" s="24" t="n"/>
      <c r="V144" s="25">
        <f>IF(COUNTA(A144,D144,C144,L144)=0,"",IF(A144="","No date - sits outside every month",IF(E144="","No job number",IF(F144="CHECK","Job number is not in the Xero job list",IF(I144="","No cost centre",IF(AND(P144="Y",C144=""),"Marked posted to Xero but has no invoice number",IF(AND(L144&lt;&gt;"",K144=""),"No tax code",IF(AND(L144&lt;&gt;"",O144=""),"No revenue GL code",""))))))))</f>
        <v/>
      </c>
      <c r="W144" s="25">
        <f>IF(E144="","",IFERROR(INDEX(lst_JobName,MATCH(E144&amp;"",lst_Jobs,0)),""))</f>
        <v/>
      </c>
      <c r="X144" s="28">
        <f>IF(E144="","",COUNTIFS(tbl_Finance[Job Number],E144&amp;"",tbl_Finance[Ex GST],"&lt;&gt;"))</f>
        <v/>
      </c>
      <c r="Y144" s="27">
        <f>IF(E144="","",SUMIFS(tbl_Finance[Ex GST],tbl_Finance[Job Number],E144&amp;""))</f>
        <v/>
      </c>
      <c r="Z144" s="27">
        <f>IF(E144="","",SUMIFS(tbl_Finance[Ex GST],tbl_Finance[Job Number],E144&amp;"",tbl_Finance[Xero Invoice No],"&lt;&gt;"))</f>
        <v/>
      </c>
      <c r="AA144" s="27">
        <f>IF(E144="","",Y144-Z144)</f>
        <v/>
      </c>
      <c r="AB144" s="25">
        <f>IF(E144="","",IF(H144="Onsite",IFERROR(INDEX(tbl_Onsite[Qwilr Quote],MATCH(E144&amp;"",tbl_Onsite[Job Number],0)),""),IF(H144="Production",IFERROR(IF(INDEX(tbl_Production[Current RMS No],MATCH(E144&amp;"",tbl_Production[Job Number],0))="",INDEX(tbl_Production[Qwilr Quote],MATCH(E144&amp;"",tbl_Production[Job Number],0)),INDEX(tbl_Production[Current RMS No],MATCH(E144&amp;"",tbl_Production[Job Number],0))),""),IF(H144="Consulting",IFERROR(INDEX(tbl_Consulting[Qwilr Quote],MATCH(E144&amp;"",tbl_Consulting[Job Number],0)),""),""))))</f>
        <v/>
      </c>
      <c r="AC144" s="25">
        <f>IF(AB144="","",IF(AND(LEFT(AB144,4)&lt;&gt;"http",IF(H144="Production",set_RMSBase,set_QwilrBase)=""),"",HYPERLINK(IF(LEFT(AB144,4)="http",AB144,IF(H144="Production",set_RMSBase,set_QwilrBase)&amp;AB144),"Open")))</f>
        <v/>
      </c>
      <c r="AD144" s="27">
        <f>IF(E144="","",IF(H144="Production",IFERROR(INDEX(tbl_Production[Total Expense],MATCH(E144&amp;"",tbl_Production[Job Number],0)),0),IF(H144="Consulting",IFERROR(INDEX(tbl_Consulting[Total Expense],MATCH(E144&amp;"",tbl_Consulting[Job Number],0)),0),0)))</f>
        <v/>
      </c>
      <c r="AE144" s="27">
        <f>IF(E144="","",Y144-N(AD144))</f>
        <v/>
      </c>
      <c r="AF144" s="29">
        <f>IFERROR(AE144/Y144,"")</f>
        <v/>
      </c>
      <c r="AG144" s="25">
        <f>IF(E144="","",IF(H144="Onsite",IFERROR(INDEX(tbl_Onsite[Notes],MATCH(E144&amp;"",tbl_Onsite[Job Number],0)),""),IF(H144="Production",IFERROR(INDEX(tbl_Production[Notes],MATCH(E144&amp;"",tbl_Production[Job Number],0)),""),IF(H144="Consulting",IFERROR(INDEX(tbl_Consulting[Notes],MATCH(E144&amp;"",tbl_Consulting[Job Number],0)),""),""))))</f>
        <v/>
      </c>
    </row>
    <row r="145" ht="15" customHeight="1">
      <c r="A145" s="22" t="n">
        <v>45805</v>
      </c>
      <c r="B145" s="23">
        <f>IF(A145="","",EOMONTH(A145,0))</f>
        <v/>
      </c>
      <c r="C145" s="24" t="inlineStr">
        <is>
          <t>INV-9860</t>
        </is>
      </c>
      <c r="D145" s="24" t="inlineStr">
        <is>
          <t>DAFF</t>
        </is>
      </c>
      <c r="E145" s="24" t="inlineStr">
        <is>
          <t>25021901</t>
        </is>
      </c>
      <c r="F145" s="25">
        <f>IF(E145="","",IF(COUNTIF(lst_Jobs,E145&amp;"")&gt;0,"OK","CHECK"))</f>
        <v/>
      </c>
      <c r="G145" s="24" t="inlineStr">
        <is>
          <t>Technology Standards Evaluation</t>
        </is>
      </c>
      <c r="H145" s="24" t="inlineStr">
        <is>
          <t>Consulting</t>
        </is>
      </c>
      <c r="I145" s="24" t="inlineStr">
        <is>
          <t>CONSULTING</t>
        </is>
      </c>
      <c r="J145" s="24" t="inlineStr">
        <is>
          <t>Project</t>
        </is>
      </c>
      <c r="K145" s="24" t="inlineStr">
        <is>
          <t>GST 10%</t>
        </is>
      </c>
      <c r="L145" s="26" t="n">
        <v>9875</v>
      </c>
      <c r="M145" s="27">
        <f>IF(L145="","",IF(K145="GST 10%",ROUND(L145*set_GSTRate,2),0))</f>
        <v/>
      </c>
      <c r="N145" s="27">
        <f>IF(L145="","",L145+M145)</f>
        <v/>
      </c>
      <c r="O145" s="24" t="inlineStr">
        <is>
          <t>42800</t>
        </is>
      </c>
      <c r="P145" s="24" t="inlineStr">
        <is>
          <t>Y</t>
        </is>
      </c>
      <c r="Q145" s="24" t="inlineStr">
        <is>
          <t>N</t>
        </is>
      </c>
      <c r="R145" s="22" t="n"/>
      <c r="S145" s="22" t="n"/>
      <c r="T145" s="24" t="inlineStr">
        <is>
          <t>Invoiced</t>
        </is>
      </c>
      <c r="U145" s="24" t="inlineStr">
        <is>
          <t>Revenue still in WIP</t>
        </is>
      </c>
      <c r="V145" s="25">
        <f>IF(COUNTA(A145,D145,C145,L145)=0,"",IF(A145="","No date - sits outside every month",IF(E145="","No job number",IF(F145="CHECK","Job number is not in the Xero job list",IF(I145="","No cost centre",IF(AND(P145="Y",C145=""),"Marked posted to Xero but has no invoice number",IF(AND(L145&lt;&gt;"",K145=""),"No tax code",IF(AND(L145&lt;&gt;"",O145=""),"No revenue GL code",""))))))))</f>
        <v/>
      </c>
      <c r="W145" s="25">
        <f>IF(E145="","",IFERROR(INDEX(lst_JobName,MATCH(E145&amp;"",lst_Jobs,0)),""))</f>
        <v/>
      </c>
      <c r="X145" s="28">
        <f>IF(E145="","",COUNTIFS(tbl_Finance[Job Number],E145&amp;"",tbl_Finance[Ex GST],"&lt;&gt;"))</f>
        <v/>
      </c>
      <c r="Y145" s="27">
        <f>IF(E145="","",SUMIFS(tbl_Finance[Ex GST],tbl_Finance[Job Number],E145&amp;""))</f>
        <v/>
      </c>
      <c r="Z145" s="27">
        <f>IF(E145="","",SUMIFS(tbl_Finance[Ex GST],tbl_Finance[Job Number],E145&amp;"",tbl_Finance[Xero Invoice No],"&lt;&gt;"))</f>
        <v/>
      </c>
      <c r="AA145" s="27">
        <f>IF(E145="","",Y145-Z145)</f>
        <v/>
      </c>
      <c r="AB145" s="25">
        <f>IF(E145="","",IF(H145="Onsite",IFERROR(INDEX(tbl_Onsite[Qwilr Quote],MATCH(E145&amp;"",tbl_Onsite[Job Number],0)),""),IF(H145="Production",IFERROR(IF(INDEX(tbl_Production[Current RMS No],MATCH(E145&amp;"",tbl_Production[Job Number],0))="",INDEX(tbl_Production[Qwilr Quote],MATCH(E145&amp;"",tbl_Production[Job Number],0)),INDEX(tbl_Production[Current RMS No],MATCH(E145&amp;"",tbl_Production[Job Number],0))),""),IF(H145="Consulting",IFERROR(INDEX(tbl_Consulting[Qwilr Quote],MATCH(E145&amp;"",tbl_Consulting[Job Number],0)),""),""))))</f>
        <v/>
      </c>
      <c r="AC145" s="25">
        <f>IF(AB145="","",IF(AND(LEFT(AB145,4)&lt;&gt;"http",IF(H145="Production",set_RMSBase,set_QwilrBase)=""),"",HYPERLINK(IF(LEFT(AB145,4)="http",AB145,IF(H145="Production",set_RMSBase,set_QwilrBase)&amp;AB145),"Open")))</f>
        <v/>
      </c>
      <c r="AD145" s="27">
        <f>IF(E145="","",IF(H145="Production",IFERROR(INDEX(tbl_Production[Total Expense],MATCH(E145&amp;"",tbl_Production[Job Number],0)),0),IF(H145="Consulting",IFERROR(INDEX(tbl_Consulting[Total Expense],MATCH(E145&amp;"",tbl_Consulting[Job Number],0)),0),0)))</f>
        <v/>
      </c>
      <c r="AE145" s="27">
        <f>IF(E145="","",Y145-N(AD145))</f>
        <v/>
      </c>
      <c r="AF145" s="29">
        <f>IFERROR(AE145/Y145,"")</f>
        <v/>
      </c>
      <c r="AG145" s="25">
        <f>IF(E145="","",IF(H145="Onsite",IFERROR(INDEX(tbl_Onsite[Notes],MATCH(E145&amp;"",tbl_Onsite[Job Number],0)),""),IF(H145="Production",IFERROR(INDEX(tbl_Production[Notes],MATCH(E145&amp;"",tbl_Production[Job Number],0)),""),IF(H145="Consulting",IFERROR(INDEX(tbl_Consulting[Notes],MATCH(E145&amp;"",tbl_Consulting[Job Number],0)),""),""))))</f>
        <v/>
      </c>
    </row>
    <row r="146" ht="15" customHeight="1">
      <c r="A146" s="22" t="n">
        <v>46101</v>
      </c>
      <c r="B146" s="23">
        <f>IF(A146="","",EOMONTH(A146,0))</f>
        <v/>
      </c>
      <c r="C146" s="24" t="inlineStr">
        <is>
          <t>INV-10319</t>
        </is>
      </c>
      <c r="D146" s="24" t="inlineStr">
        <is>
          <t>DEWR</t>
        </is>
      </c>
      <c r="E146" s="24" t="inlineStr">
        <is>
          <t>25102701</t>
        </is>
      </c>
      <c r="F146" s="25">
        <f>IF(E146="","",IF(COUNTIF(lst_Jobs,E146&amp;"")&gt;0,"OK","CHECK"))</f>
        <v/>
      </c>
      <c r="G146" s="24" t="inlineStr">
        <is>
          <t>DEWR Studio Upgrade</t>
        </is>
      </c>
      <c r="H146" s="24" t="inlineStr">
        <is>
          <t>Consulting</t>
        </is>
      </c>
      <c r="I146" s="24" t="inlineStr">
        <is>
          <t>CONSULTING</t>
        </is>
      </c>
      <c r="J146" s="24" t="inlineStr">
        <is>
          <t>Project</t>
        </is>
      </c>
      <c r="K146" s="24" t="inlineStr">
        <is>
          <t>GST 10%</t>
        </is>
      </c>
      <c r="L146" s="26" t="n">
        <v>23050</v>
      </c>
      <c r="M146" s="27">
        <f>IF(L146="","",IF(K146="GST 10%",ROUND(L146*set_GSTRate,2),0))</f>
        <v/>
      </c>
      <c r="N146" s="27">
        <f>IF(L146="","",L146+M146)</f>
        <v/>
      </c>
      <c r="O146" s="24" t="inlineStr">
        <is>
          <t>42800</t>
        </is>
      </c>
      <c r="P146" s="24" t="inlineStr">
        <is>
          <t>Y</t>
        </is>
      </c>
      <c r="Q146" s="24" t="inlineStr">
        <is>
          <t>N</t>
        </is>
      </c>
      <c r="R146" s="22" t="n"/>
      <c r="S146" s="22" t="n"/>
      <c r="T146" s="24" t="inlineStr">
        <is>
          <t>To Invoice</t>
        </is>
      </c>
      <c r="U146" s="24" t="inlineStr">
        <is>
          <t>Progress Claim 01</t>
        </is>
      </c>
      <c r="V146" s="25">
        <f>IF(COUNTA(A146,D146,C146,L146)=0,"",IF(A146="","No date - sits outside every month",IF(E146="","No job number",IF(F146="CHECK","Job number is not in the Xero job list",IF(I146="","No cost centre",IF(AND(P146="Y",C146=""),"Marked posted to Xero but has no invoice number",IF(AND(L146&lt;&gt;"",K146=""),"No tax code",IF(AND(L146&lt;&gt;"",O146=""),"No revenue GL code",""))))))))</f>
        <v/>
      </c>
      <c r="W146" s="25">
        <f>IF(E146="","",IFERROR(INDEX(lst_JobName,MATCH(E146&amp;"",lst_Jobs,0)),""))</f>
        <v/>
      </c>
      <c r="X146" s="28">
        <f>IF(E146="","",COUNTIFS(tbl_Finance[Job Number],E146&amp;"",tbl_Finance[Ex GST],"&lt;&gt;"))</f>
        <v/>
      </c>
      <c r="Y146" s="27">
        <f>IF(E146="","",SUMIFS(tbl_Finance[Ex GST],tbl_Finance[Job Number],E146&amp;""))</f>
        <v/>
      </c>
      <c r="Z146" s="27">
        <f>IF(E146="","",SUMIFS(tbl_Finance[Ex GST],tbl_Finance[Job Number],E146&amp;"",tbl_Finance[Xero Invoice No],"&lt;&gt;"))</f>
        <v/>
      </c>
      <c r="AA146" s="27">
        <f>IF(E146="","",Y146-Z146)</f>
        <v/>
      </c>
      <c r="AB146" s="25">
        <f>IF(E146="","",IF(H146="Onsite",IFERROR(INDEX(tbl_Onsite[Qwilr Quote],MATCH(E146&amp;"",tbl_Onsite[Job Number],0)),""),IF(H146="Production",IFERROR(IF(INDEX(tbl_Production[Current RMS No],MATCH(E146&amp;"",tbl_Production[Job Number],0))="",INDEX(tbl_Production[Qwilr Quote],MATCH(E146&amp;"",tbl_Production[Job Number],0)),INDEX(tbl_Production[Current RMS No],MATCH(E146&amp;"",tbl_Production[Job Number],0))),""),IF(H146="Consulting",IFERROR(INDEX(tbl_Consulting[Qwilr Quote],MATCH(E146&amp;"",tbl_Consulting[Job Number],0)),""),""))))</f>
        <v/>
      </c>
      <c r="AC146" s="25">
        <f>IF(AB146="","",IF(AND(LEFT(AB146,4)&lt;&gt;"http",IF(H146="Production",set_RMSBase,set_QwilrBase)=""),"",HYPERLINK(IF(LEFT(AB146,4)="http",AB146,IF(H146="Production",set_RMSBase,set_QwilrBase)&amp;AB146),"Open")))</f>
        <v/>
      </c>
      <c r="AD146" s="27">
        <f>IF(E146="","",IF(H146="Production",IFERROR(INDEX(tbl_Production[Total Expense],MATCH(E146&amp;"",tbl_Production[Job Number],0)),0),IF(H146="Consulting",IFERROR(INDEX(tbl_Consulting[Total Expense],MATCH(E146&amp;"",tbl_Consulting[Job Number],0)),0),0)))</f>
        <v/>
      </c>
      <c r="AE146" s="27">
        <f>IF(E146="","",Y146-N(AD146))</f>
        <v/>
      </c>
      <c r="AF146" s="29">
        <f>IFERROR(AE146/Y146,"")</f>
        <v/>
      </c>
      <c r="AG146" s="25">
        <f>IF(E146="","",IF(H146="Onsite",IFERROR(INDEX(tbl_Onsite[Notes],MATCH(E146&amp;"",tbl_Onsite[Job Number],0)),""),IF(H146="Production",IFERROR(INDEX(tbl_Production[Notes],MATCH(E146&amp;"",tbl_Production[Job Number],0)),""),IF(H146="Consulting",IFERROR(INDEX(tbl_Consulting[Notes],MATCH(E146&amp;"",tbl_Consulting[Job Number],0)),""),""))))</f>
        <v/>
      </c>
    </row>
    <row r="147" ht="15" customHeight="1">
      <c r="A147" s="22" t="n">
        <v>46104</v>
      </c>
      <c r="B147" s="23">
        <f>IF(A147="","",EOMONTH(A147,0))</f>
        <v/>
      </c>
      <c r="C147" s="24" t="inlineStr">
        <is>
          <t>INV-10320</t>
        </is>
      </c>
      <c r="D147" s="24" t="inlineStr">
        <is>
          <t>DEWR</t>
        </is>
      </c>
      <c r="E147" s="24" t="inlineStr">
        <is>
          <t>25102701</t>
        </is>
      </c>
      <c r="F147" s="25">
        <f>IF(E147="","",IF(COUNTIF(lst_Jobs,E147&amp;"")&gt;0,"OK","CHECK"))</f>
        <v/>
      </c>
      <c r="G147" s="24" t="inlineStr">
        <is>
          <t>DEWR Studio Upgrade</t>
        </is>
      </c>
      <c r="H147" s="24" t="inlineStr">
        <is>
          <t>Consulting</t>
        </is>
      </c>
      <c r="I147" s="24" t="inlineStr">
        <is>
          <t>CONSULTING</t>
        </is>
      </c>
      <c r="J147" s="24" t="inlineStr">
        <is>
          <t>Project</t>
        </is>
      </c>
      <c r="K147" s="24" t="inlineStr">
        <is>
          <t>GST 10%</t>
        </is>
      </c>
      <c r="L147" s="26" t="n">
        <v>13250</v>
      </c>
      <c r="M147" s="27">
        <f>IF(L147="","",IF(K147="GST 10%",ROUND(L147*set_GSTRate,2),0))</f>
        <v/>
      </c>
      <c r="N147" s="27">
        <f>IF(L147="","",L147+M147)</f>
        <v/>
      </c>
      <c r="O147" s="24" t="inlineStr">
        <is>
          <t>42800</t>
        </is>
      </c>
      <c r="P147" s="24" t="inlineStr">
        <is>
          <t>Y</t>
        </is>
      </c>
      <c r="Q147" s="24" t="inlineStr">
        <is>
          <t>N</t>
        </is>
      </c>
      <c r="R147" s="22" t="n"/>
      <c r="S147" s="22" t="n"/>
      <c r="T147" s="24" t="inlineStr">
        <is>
          <t>To Invoice</t>
        </is>
      </c>
      <c r="U147" s="24" t="inlineStr">
        <is>
          <t>Progress Claim 02</t>
        </is>
      </c>
      <c r="V147" s="25">
        <f>IF(COUNTA(A147,D147,C147,L147)=0,"",IF(A147="","No date - sits outside every month",IF(E147="","No job number",IF(F147="CHECK","Job number is not in the Xero job list",IF(I147="","No cost centre",IF(AND(P147="Y",C147=""),"Marked posted to Xero but has no invoice number",IF(AND(L147&lt;&gt;"",K147=""),"No tax code",IF(AND(L147&lt;&gt;"",O147=""),"No revenue GL code",""))))))))</f>
        <v/>
      </c>
      <c r="W147" s="25">
        <f>IF(E147="","",IFERROR(INDEX(lst_JobName,MATCH(E147&amp;"",lst_Jobs,0)),""))</f>
        <v/>
      </c>
      <c r="X147" s="28">
        <f>IF(E147="","",COUNTIFS(tbl_Finance[Job Number],E147&amp;"",tbl_Finance[Ex GST],"&lt;&gt;"))</f>
        <v/>
      </c>
      <c r="Y147" s="27">
        <f>IF(E147="","",SUMIFS(tbl_Finance[Ex GST],tbl_Finance[Job Number],E147&amp;""))</f>
        <v/>
      </c>
      <c r="Z147" s="27">
        <f>IF(E147="","",SUMIFS(tbl_Finance[Ex GST],tbl_Finance[Job Number],E147&amp;"",tbl_Finance[Xero Invoice No],"&lt;&gt;"))</f>
        <v/>
      </c>
      <c r="AA147" s="27">
        <f>IF(E147="","",Y147-Z147)</f>
        <v/>
      </c>
      <c r="AB147" s="25">
        <f>IF(E147="","",IF(H147="Onsite",IFERROR(INDEX(tbl_Onsite[Qwilr Quote],MATCH(E147&amp;"",tbl_Onsite[Job Number],0)),""),IF(H147="Production",IFERROR(IF(INDEX(tbl_Production[Current RMS No],MATCH(E147&amp;"",tbl_Production[Job Number],0))="",INDEX(tbl_Production[Qwilr Quote],MATCH(E147&amp;"",tbl_Production[Job Number],0)),INDEX(tbl_Production[Current RMS No],MATCH(E147&amp;"",tbl_Production[Job Number],0))),""),IF(H147="Consulting",IFERROR(INDEX(tbl_Consulting[Qwilr Quote],MATCH(E147&amp;"",tbl_Consulting[Job Number],0)),""),""))))</f>
        <v/>
      </c>
      <c r="AC147" s="25">
        <f>IF(AB147="","",IF(AND(LEFT(AB147,4)&lt;&gt;"http",IF(H147="Production",set_RMSBase,set_QwilrBase)=""),"",HYPERLINK(IF(LEFT(AB147,4)="http",AB147,IF(H147="Production",set_RMSBase,set_QwilrBase)&amp;AB147),"Open")))</f>
        <v/>
      </c>
      <c r="AD147" s="27">
        <f>IF(E147="","",IF(H147="Production",IFERROR(INDEX(tbl_Production[Total Expense],MATCH(E147&amp;"",tbl_Production[Job Number],0)),0),IF(H147="Consulting",IFERROR(INDEX(tbl_Consulting[Total Expense],MATCH(E147&amp;"",tbl_Consulting[Job Number],0)),0),0)))</f>
        <v/>
      </c>
      <c r="AE147" s="27">
        <f>IF(E147="","",Y147-N(AD147))</f>
        <v/>
      </c>
      <c r="AF147" s="29">
        <f>IFERROR(AE147/Y147,"")</f>
        <v/>
      </c>
      <c r="AG147" s="25">
        <f>IF(E147="","",IF(H147="Onsite",IFERROR(INDEX(tbl_Onsite[Notes],MATCH(E147&amp;"",tbl_Onsite[Job Number],0)),""),IF(H147="Production",IFERROR(INDEX(tbl_Production[Notes],MATCH(E147&amp;"",tbl_Production[Job Number],0)),""),IF(H147="Consulting",IFERROR(INDEX(tbl_Consulting[Notes],MATCH(E147&amp;"",tbl_Consulting[Job Number],0)),""),""))))</f>
        <v/>
      </c>
    </row>
    <row r="148" ht="15" customHeight="1">
      <c r="A148" s="22" t="n">
        <v>46128</v>
      </c>
      <c r="B148" s="23">
        <f>IF(A148="","",EOMONTH(A148,0))</f>
        <v/>
      </c>
      <c r="C148" s="24" t="inlineStr">
        <is>
          <t>INV-10353</t>
        </is>
      </c>
      <c r="D148" s="24" t="inlineStr">
        <is>
          <t>DEWR</t>
        </is>
      </c>
      <c r="E148" s="24" t="inlineStr">
        <is>
          <t>25102701</t>
        </is>
      </c>
      <c r="F148" s="25">
        <f>IF(E148="","",IF(COUNTIF(lst_Jobs,E148&amp;"")&gt;0,"OK","CHECK"))</f>
        <v/>
      </c>
      <c r="G148" s="24" t="inlineStr">
        <is>
          <t>DEWR Studio Upgrade</t>
        </is>
      </c>
      <c r="H148" s="24" t="inlineStr">
        <is>
          <t>Consulting</t>
        </is>
      </c>
      <c r="I148" s="24" t="inlineStr">
        <is>
          <t>CONSULTING</t>
        </is>
      </c>
      <c r="J148" s="24" t="inlineStr">
        <is>
          <t>Project</t>
        </is>
      </c>
      <c r="K148" s="24" t="inlineStr">
        <is>
          <t>GST 10%</t>
        </is>
      </c>
      <c r="L148" s="26" t="n">
        <v>24410</v>
      </c>
      <c r="M148" s="27">
        <f>IF(L148="","",IF(K148="GST 10%",ROUND(L148*set_GSTRate,2),0))</f>
        <v/>
      </c>
      <c r="N148" s="27">
        <f>IF(L148="","",L148+M148)</f>
        <v/>
      </c>
      <c r="O148" s="24" t="inlineStr">
        <is>
          <t>42800</t>
        </is>
      </c>
      <c r="P148" s="24" t="inlineStr">
        <is>
          <t>Y</t>
        </is>
      </c>
      <c r="Q148" s="24" t="inlineStr">
        <is>
          <t>N</t>
        </is>
      </c>
      <c r="R148" s="22" t="n"/>
      <c r="S148" s="22" t="n"/>
      <c r="T148" s="24" t="inlineStr">
        <is>
          <t>To Invoice</t>
        </is>
      </c>
      <c r="U148" s="24" t="inlineStr">
        <is>
          <t>Progress Claim 03</t>
        </is>
      </c>
      <c r="V148" s="25">
        <f>IF(COUNTA(A148,D148,C148,L148)=0,"",IF(A148="","No date - sits outside every month",IF(E148="","No job number",IF(F148="CHECK","Job number is not in the Xero job list",IF(I148="","No cost centre",IF(AND(P148="Y",C148=""),"Marked posted to Xero but has no invoice number",IF(AND(L148&lt;&gt;"",K148=""),"No tax code",IF(AND(L148&lt;&gt;"",O148=""),"No revenue GL code",""))))))))</f>
        <v/>
      </c>
      <c r="W148" s="25">
        <f>IF(E148="","",IFERROR(INDEX(lst_JobName,MATCH(E148&amp;"",lst_Jobs,0)),""))</f>
        <v/>
      </c>
      <c r="X148" s="28">
        <f>IF(E148="","",COUNTIFS(tbl_Finance[Job Number],E148&amp;"",tbl_Finance[Ex GST],"&lt;&gt;"))</f>
        <v/>
      </c>
      <c r="Y148" s="27">
        <f>IF(E148="","",SUMIFS(tbl_Finance[Ex GST],tbl_Finance[Job Number],E148&amp;""))</f>
        <v/>
      </c>
      <c r="Z148" s="27">
        <f>IF(E148="","",SUMIFS(tbl_Finance[Ex GST],tbl_Finance[Job Number],E148&amp;"",tbl_Finance[Xero Invoice No],"&lt;&gt;"))</f>
        <v/>
      </c>
      <c r="AA148" s="27">
        <f>IF(E148="","",Y148-Z148)</f>
        <v/>
      </c>
      <c r="AB148" s="25">
        <f>IF(E148="","",IF(H148="Onsite",IFERROR(INDEX(tbl_Onsite[Qwilr Quote],MATCH(E148&amp;"",tbl_Onsite[Job Number],0)),""),IF(H148="Production",IFERROR(IF(INDEX(tbl_Production[Current RMS No],MATCH(E148&amp;"",tbl_Production[Job Number],0))="",INDEX(tbl_Production[Qwilr Quote],MATCH(E148&amp;"",tbl_Production[Job Number],0)),INDEX(tbl_Production[Current RMS No],MATCH(E148&amp;"",tbl_Production[Job Number],0))),""),IF(H148="Consulting",IFERROR(INDEX(tbl_Consulting[Qwilr Quote],MATCH(E148&amp;"",tbl_Consulting[Job Number],0)),""),""))))</f>
        <v/>
      </c>
      <c r="AC148" s="25">
        <f>IF(AB148="","",IF(AND(LEFT(AB148,4)&lt;&gt;"http",IF(H148="Production",set_RMSBase,set_QwilrBase)=""),"",HYPERLINK(IF(LEFT(AB148,4)="http",AB148,IF(H148="Production",set_RMSBase,set_QwilrBase)&amp;AB148),"Open")))</f>
        <v/>
      </c>
      <c r="AD148" s="27">
        <f>IF(E148="","",IF(H148="Production",IFERROR(INDEX(tbl_Production[Total Expense],MATCH(E148&amp;"",tbl_Production[Job Number],0)),0),IF(H148="Consulting",IFERROR(INDEX(tbl_Consulting[Total Expense],MATCH(E148&amp;"",tbl_Consulting[Job Number],0)),0),0)))</f>
        <v/>
      </c>
      <c r="AE148" s="27">
        <f>IF(E148="","",Y148-N(AD148))</f>
        <v/>
      </c>
      <c r="AF148" s="29">
        <f>IFERROR(AE148/Y148,"")</f>
        <v/>
      </c>
      <c r="AG148" s="25">
        <f>IF(E148="","",IF(H148="Onsite",IFERROR(INDEX(tbl_Onsite[Notes],MATCH(E148&amp;"",tbl_Onsite[Job Number],0)),""),IF(H148="Production",IFERROR(INDEX(tbl_Production[Notes],MATCH(E148&amp;"",tbl_Production[Job Number],0)),""),IF(H148="Consulting",IFERROR(INDEX(tbl_Consulting[Notes],MATCH(E148&amp;"",tbl_Consulting[Job Number],0)),""),""))))</f>
        <v/>
      </c>
    </row>
    <row r="149" ht="15" customHeight="1">
      <c r="A149" s="22" t="n">
        <v>46162</v>
      </c>
      <c r="B149" s="23">
        <f>IF(A149="","",EOMONTH(A149,0))</f>
        <v/>
      </c>
      <c r="C149" s="24" t="inlineStr">
        <is>
          <t>INV-10425</t>
        </is>
      </c>
      <c r="D149" s="24" t="inlineStr">
        <is>
          <t>DTTL</t>
        </is>
      </c>
      <c r="E149" s="24" t="inlineStr">
        <is>
          <t>26052002</t>
        </is>
      </c>
      <c r="F149" s="25">
        <f>IF(E149="","",IF(COUNTIF(lst_Jobs,E149&amp;"")&gt;0,"OK","CHECK"))</f>
        <v/>
      </c>
      <c r="G149" s="24" t="inlineStr">
        <is>
          <t>BNE ​L23 Training Rooms Upgrade</t>
        </is>
      </c>
      <c r="H149" s="24" t="inlineStr">
        <is>
          <t>Consulting</t>
        </is>
      </c>
      <c r="I149" s="24" t="inlineStr">
        <is>
          <t>INTEGRATION</t>
        </is>
      </c>
      <c r="J149" s="24" t="inlineStr">
        <is>
          <t>Project</t>
        </is>
      </c>
      <c r="K149" s="24" t="inlineStr">
        <is>
          <t>GST 10%</t>
        </is>
      </c>
      <c r="L149" s="26" t="n">
        <v>57706</v>
      </c>
      <c r="M149" s="27">
        <f>IF(L149="","",IF(K149="GST 10%",ROUND(L149*set_GSTRate,2),0))</f>
        <v/>
      </c>
      <c r="N149" s="27">
        <f>IF(L149="","",L149+M149)</f>
        <v/>
      </c>
      <c r="O149" s="24" t="inlineStr">
        <is>
          <t>42300</t>
        </is>
      </c>
      <c r="P149" s="24" t="inlineStr">
        <is>
          <t>Y</t>
        </is>
      </c>
      <c r="Q149" s="24" t="inlineStr">
        <is>
          <t>N</t>
        </is>
      </c>
      <c r="R149" s="22" t="n"/>
      <c r="S149" s="22" t="n"/>
      <c r="T149" s="24" t="inlineStr">
        <is>
          <t>To Invoice</t>
        </is>
      </c>
      <c r="U149" s="24" t="n"/>
      <c r="V149" s="25">
        <f>IF(COUNTA(A149,D149,C149,L149)=0,"",IF(A149="","No date - sits outside every month",IF(E149="","No job number",IF(F149="CHECK","Job number is not in the Xero job list",IF(I149="","No cost centre",IF(AND(P149="Y",C149=""),"Marked posted to Xero but has no invoice number",IF(AND(L149&lt;&gt;"",K149=""),"No tax code",IF(AND(L149&lt;&gt;"",O149=""),"No revenue GL code",""))))))))</f>
        <v/>
      </c>
      <c r="W149" s="25">
        <f>IF(E149="","",IFERROR(INDEX(lst_JobName,MATCH(E149&amp;"",lst_Jobs,0)),""))</f>
        <v/>
      </c>
      <c r="X149" s="28">
        <f>IF(E149="","",COUNTIFS(tbl_Finance[Job Number],E149&amp;"",tbl_Finance[Ex GST],"&lt;&gt;"))</f>
        <v/>
      </c>
      <c r="Y149" s="27">
        <f>IF(E149="","",SUMIFS(tbl_Finance[Ex GST],tbl_Finance[Job Number],E149&amp;""))</f>
        <v/>
      </c>
      <c r="Z149" s="27">
        <f>IF(E149="","",SUMIFS(tbl_Finance[Ex GST],tbl_Finance[Job Number],E149&amp;"",tbl_Finance[Xero Invoice No],"&lt;&gt;"))</f>
        <v/>
      </c>
      <c r="AA149" s="27">
        <f>IF(E149="","",Y149-Z149)</f>
        <v/>
      </c>
      <c r="AB149" s="25">
        <f>IF(E149="","",IF(H149="Onsite",IFERROR(INDEX(tbl_Onsite[Qwilr Quote],MATCH(E149&amp;"",tbl_Onsite[Job Number],0)),""),IF(H149="Production",IFERROR(IF(INDEX(tbl_Production[Current RMS No],MATCH(E149&amp;"",tbl_Production[Job Number],0))="",INDEX(tbl_Production[Qwilr Quote],MATCH(E149&amp;"",tbl_Production[Job Number],0)),INDEX(tbl_Production[Current RMS No],MATCH(E149&amp;"",tbl_Production[Job Number],0))),""),IF(H149="Consulting",IFERROR(INDEX(tbl_Consulting[Qwilr Quote],MATCH(E149&amp;"",tbl_Consulting[Job Number],0)),""),""))))</f>
        <v/>
      </c>
      <c r="AC149" s="25">
        <f>IF(AB149="","",IF(AND(LEFT(AB149,4)&lt;&gt;"http",IF(H149="Production",set_RMSBase,set_QwilrBase)=""),"",HYPERLINK(IF(LEFT(AB149,4)="http",AB149,IF(H149="Production",set_RMSBase,set_QwilrBase)&amp;AB149),"Open")))</f>
        <v/>
      </c>
      <c r="AD149" s="27">
        <f>IF(E149="","",IF(H149="Production",IFERROR(INDEX(tbl_Production[Total Expense],MATCH(E149&amp;"",tbl_Production[Job Number],0)),0),IF(H149="Consulting",IFERROR(INDEX(tbl_Consulting[Total Expense],MATCH(E149&amp;"",tbl_Consulting[Job Number],0)),0),0)))</f>
        <v/>
      </c>
      <c r="AE149" s="27">
        <f>IF(E149="","",Y149-N(AD149))</f>
        <v/>
      </c>
      <c r="AF149" s="29">
        <f>IFERROR(AE149/Y149,"")</f>
        <v/>
      </c>
      <c r="AG149" s="25">
        <f>IF(E149="","",IF(H149="Onsite",IFERROR(INDEX(tbl_Onsite[Notes],MATCH(E149&amp;"",tbl_Onsite[Job Number],0)),""),IF(H149="Production",IFERROR(INDEX(tbl_Production[Notes],MATCH(E149&amp;"",tbl_Production[Job Number],0)),""),IF(H149="Consulting",IFERROR(INDEX(tbl_Consulting[Notes],MATCH(E149&amp;"",tbl_Consulting[Job Number],0)),""),""))))</f>
        <v/>
      </c>
    </row>
    <row r="150" ht="15" customHeight="1">
      <c r="A150" s="22" t="n">
        <v>46163</v>
      </c>
      <c r="B150" s="23">
        <f>IF(A150="","",EOMONTH(A150,0))</f>
        <v/>
      </c>
      <c r="C150" s="24" t="inlineStr">
        <is>
          <t>INV-10426</t>
        </is>
      </c>
      <c r="D150" s="24" t="inlineStr">
        <is>
          <t>DTTL</t>
        </is>
      </c>
      <c r="E150" s="24" t="inlineStr">
        <is>
          <t>26052003</t>
        </is>
      </c>
      <c r="F150" s="25">
        <f>IF(E150="","",IF(COUNTIF(lst_Jobs,E150&amp;"")&gt;0,"OK","CHECK"))</f>
        <v/>
      </c>
      <c r="G150" s="24" t="inlineStr">
        <is>
          <t>SYD Mobile Display Supply</t>
        </is>
      </c>
      <c r="H150" s="24" t="inlineStr">
        <is>
          <t>Consulting</t>
        </is>
      </c>
      <c r="I150" s="24" t="inlineStr">
        <is>
          <t>INTEGRATION</t>
        </is>
      </c>
      <c r="J150" s="24" t="inlineStr">
        <is>
          <t>Project</t>
        </is>
      </c>
      <c r="K150" s="24" t="inlineStr">
        <is>
          <t>GST 10%</t>
        </is>
      </c>
      <c r="L150" s="26" t="n">
        <v>26234</v>
      </c>
      <c r="M150" s="27">
        <f>IF(L150="","",IF(K150="GST 10%",ROUND(L150*set_GSTRate,2),0))</f>
        <v/>
      </c>
      <c r="N150" s="27">
        <f>IF(L150="","",L150+M150)</f>
        <v/>
      </c>
      <c r="O150" s="24" t="inlineStr">
        <is>
          <t>42300</t>
        </is>
      </c>
      <c r="P150" s="24" t="inlineStr">
        <is>
          <t>Y</t>
        </is>
      </c>
      <c r="Q150" s="24" t="inlineStr">
        <is>
          <t>N</t>
        </is>
      </c>
      <c r="R150" s="22" t="n"/>
      <c r="S150" s="22" t="n"/>
      <c r="T150" s="24" t="inlineStr">
        <is>
          <t>Paid</t>
        </is>
      </c>
      <c r="U150" s="24" t="n"/>
      <c r="V150" s="25">
        <f>IF(COUNTA(A150,D150,C150,L150)=0,"",IF(A150="","No date - sits outside every month",IF(E150="","No job number",IF(F150="CHECK","Job number is not in the Xero job list",IF(I150="","No cost centre",IF(AND(P150="Y",C150=""),"Marked posted to Xero but has no invoice number",IF(AND(L150&lt;&gt;"",K150=""),"No tax code",IF(AND(L150&lt;&gt;"",O150=""),"No revenue GL code",""))))))))</f>
        <v/>
      </c>
      <c r="W150" s="25">
        <f>IF(E150="","",IFERROR(INDEX(lst_JobName,MATCH(E150&amp;"",lst_Jobs,0)),""))</f>
        <v/>
      </c>
      <c r="X150" s="28">
        <f>IF(E150="","",COUNTIFS(tbl_Finance[Job Number],E150&amp;"",tbl_Finance[Ex GST],"&lt;&gt;"))</f>
        <v/>
      </c>
      <c r="Y150" s="27">
        <f>IF(E150="","",SUMIFS(tbl_Finance[Ex GST],tbl_Finance[Job Number],E150&amp;""))</f>
        <v/>
      </c>
      <c r="Z150" s="27">
        <f>IF(E150="","",SUMIFS(tbl_Finance[Ex GST],tbl_Finance[Job Number],E150&amp;"",tbl_Finance[Xero Invoice No],"&lt;&gt;"))</f>
        <v/>
      </c>
      <c r="AA150" s="27">
        <f>IF(E150="","",Y150-Z150)</f>
        <v/>
      </c>
      <c r="AB150" s="25">
        <f>IF(E150="","",IF(H150="Onsite",IFERROR(INDEX(tbl_Onsite[Qwilr Quote],MATCH(E150&amp;"",tbl_Onsite[Job Number],0)),""),IF(H150="Production",IFERROR(IF(INDEX(tbl_Production[Current RMS No],MATCH(E150&amp;"",tbl_Production[Job Number],0))="",INDEX(tbl_Production[Qwilr Quote],MATCH(E150&amp;"",tbl_Production[Job Number],0)),INDEX(tbl_Production[Current RMS No],MATCH(E150&amp;"",tbl_Production[Job Number],0))),""),IF(H150="Consulting",IFERROR(INDEX(tbl_Consulting[Qwilr Quote],MATCH(E150&amp;"",tbl_Consulting[Job Number],0)),""),""))))</f>
        <v/>
      </c>
      <c r="AC150" s="25">
        <f>IF(AB150="","",IF(AND(LEFT(AB150,4)&lt;&gt;"http",IF(H150="Production",set_RMSBase,set_QwilrBase)=""),"",HYPERLINK(IF(LEFT(AB150,4)="http",AB150,IF(H150="Production",set_RMSBase,set_QwilrBase)&amp;AB150),"Open")))</f>
        <v/>
      </c>
      <c r="AD150" s="27">
        <f>IF(E150="","",IF(H150="Production",IFERROR(INDEX(tbl_Production[Total Expense],MATCH(E150&amp;"",tbl_Production[Job Number],0)),0),IF(H150="Consulting",IFERROR(INDEX(tbl_Consulting[Total Expense],MATCH(E150&amp;"",tbl_Consulting[Job Number],0)),0),0)))</f>
        <v/>
      </c>
      <c r="AE150" s="27">
        <f>IF(E150="","",Y150-N(AD150))</f>
        <v/>
      </c>
      <c r="AF150" s="29">
        <f>IFERROR(AE150/Y150,"")</f>
        <v/>
      </c>
      <c r="AG150" s="25">
        <f>IF(E150="","",IF(H150="Onsite",IFERROR(INDEX(tbl_Onsite[Notes],MATCH(E150&amp;"",tbl_Onsite[Job Number],0)),""),IF(H150="Production",IFERROR(INDEX(tbl_Production[Notes],MATCH(E150&amp;"",tbl_Production[Job Number],0)),""),IF(H150="Consulting",IFERROR(INDEX(tbl_Consulting[Notes],MATCH(E150&amp;"",tbl_Consulting[Job Number],0)),""),""))))</f>
        <v/>
      </c>
    </row>
    <row r="151" ht="15" customHeight="1">
      <c r="A151" s="22" t="n">
        <v>46171</v>
      </c>
      <c r="B151" s="23">
        <f>IF(A151="","",EOMONTH(A151,0))</f>
        <v/>
      </c>
      <c r="C151" s="24" t="inlineStr">
        <is>
          <t>INV-10442</t>
        </is>
      </c>
      <c r="D151" s="24" t="inlineStr">
        <is>
          <t>DEWR</t>
        </is>
      </c>
      <c r="E151" s="24" t="inlineStr">
        <is>
          <t>25102701</t>
        </is>
      </c>
      <c r="F151" s="25">
        <f>IF(E151="","",IF(COUNTIF(lst_Jobs,E151&amp;"")&gt;0,"OK","CHECK"))</f>
        <v/>
      </c>
      <c r="G151" s="24" t="inlineStr">
        <is>
          <t>DEWR Studio Upgrade</t>
        </is>
      </c>
      <c r="H151" s="24" t="inlineStr">
        <is>
          <t>Consulting</t>
        </is>
      </c>
      <c r="I151" s="24" t="inlineStr">
        <is>
          <t>CONSULTING</t>
        </is>
      </c>
      <c r="J151" s="24" t="inlineStr">
        <is>
          <t>Project</t>
        </is>
      </c>
      <c r="K151" s="24" t="inlineStr">
        <is>
          <t>GST 10%</t>
        </is>
      </c>
      <c r="L151" s="26" t="n">
        <v>7563</v>
      </c>
      <c r="M151" s="27">
        <f>IF(L151="","",IF(K151="GST 10%",ROUND(L151*set_GSTRate,2),0))</f>
        <v/>
      </c>
      <c r="N151" s="27">
        <f>IF(L151="","",L151+M151)</f>
        <v/>
      </c>
      <c r="O151" s="24" t="inlineStr">
        <is>
          <t>42800</t>
        </is>
      </c>
      <c r="P151" s="24" t="inlineStr">
        <is>
          <t>Y</t>
        </is>
      </c>
      <c r="Q151" s="24" t="inlineStr">
        <is>
          <t>N</t>
        </is>
      </c>
      <c r="R151" s="22" t="n"/>
      <c r="S151" s="22" t="n"/>
      <c r="T151" s="24" t="inlineStr">
        <is>
          <t>To Invoice</t>
        </is>
      </c>
      <c r="U151" s="24" t="inlineStr">
        <is>
          <t>Progress Claim 04</t>
        </is>
      </c>
      <c r="V151" s="25">
        <f>IF(COUNTA(A151,D151,C151,L151)=0,"",IF(A151="","No date - sits outside every month",IF(E151="","No job number",IF(F151="CHECK","Job number is not in the Xero job list",IF(I151="","No cost centre",IF(AND(P151="Y",C151=""),"Marked posted to Xero but has no invoice number",IF(AND(L151&lt;&gt;"",K151=""),"No tax code",IF(AND(L151&lt;&gt;"",O151=""),"No revenue GL code",""))))))))</f>
        <v/>
      </c>
      <c r="W151" s="25">
        <f>IF(E151="","",IFERROR(INDEX(lst_JobName,MATCH(E151&amp;"",lst_Jobs,0)),""))</f>
        <v/>
      </c>
      <c r="X151" s="28">
        <f>IF(E151="","",COUNTIFS(tbl_Finance[Job Number],E151&amp;"",tbl_Finance[Ex GST],"&lt;&gt;"))</f>
        <v/>
      </c>
      <c r="Y151" s="27">
        <f>IF(E151="","",SUMIFS(tbl_Finance[Ex GST],tbl_Finance[Job Number],E151&amp;""))</f>
        <v/>
      </c>
      <c r="Z151" s="27">
        <f>IF(E151="","",SUMIFS(tbl_Finance[Ex GST],tbl_Finance[Job Number],E151&amp;"",tbl_Finance[Xero Invoice No],"&lt;&gt;"))</f>
        <v/>
      </c>
      <c r="AA151" s="27">
        <f>IF(E151="","",Y151-Z151)</f>
        <v/>
      </c>
      <c r="AB151" s="25">
        <f>IF(E151="","",IF(H151="Onsite",IFERROR(INDEX(tbl_Onsite[Qwilr Quote],MATCH(E151&amp;"",tbl_Onsite[Job Number],0)),""),IF(H151="Production",IFERROR(IF(INDEX(tbl_Production[Current RMS No],MATCH(E151&amp;"",tbl_Production[Job Number],0))="",INDEX(tbl_Production[Qwilr Quote],MATCH(E151&amp;"",tbl_Production[Job Number],0)),INDEX(tbl_Production[Current RMS No],MATCH(E151&amp;"",tbl_Production[Job Number],0))),""),IF(H151="Consulting",IFERROR(INDEX(tbl_Consulting[Qwilr Quote],MATCH(E151&amp;"",tbl_Consulting[Job Number],0)),""),""))))</f>
        <v/>
      </c>
      <c r="AC151" s="25">
        <f>IF(AB151="","",IF(AND(LEFT(AB151,4)&lt;&gt;"http",IF(H151="Production",set_RMSBase,set_QwilrBase)=""),"",HYPERLINK(IF(LEFT(AB151,4)="http",AB151,IF(H151="Production",set_RMSBase,set_QwilrBase)&amp;AB151),"Open")))</f>
        <v/>
      </c>
      <c r="AD151" s="27">
        <f>IF(E151="","",IF(H151="Production",IFERROR(INDEX(tbl_Production[Total Expense],MATCH(E151&amp;"",tbl_Production[Job Number],0)),0),IF(H151="Consulting",IFERROR(INDEX(tbl_Consulting[Total Expense],MATCH(E151&amp;"",tbl_Consulting[Job Number],0)),0),0)))</f>
        <v/>
      </c>
      <c r="AE151" s="27">
        <f>IF(E151="","",Y151-N(AD151))</f>
        <v/>
      </c>
      <c r="AF151" s="29">
        <f>IFERROR(AE151/Y151,"")</f>
        <v/>
      </c>
      <c r="AG151" s="25">
        <f>IF(E151="","",IF(H151="Onsite",IFERROR(INDEX(tbl_Onsite[Notes],MATCH(E151&amp;"",tbl_Onsite[Job Number],0)),""),IF(H151="Production",IFERROR(INDEX(tbl_Production[Notes],MATCH(E151&amp;"",tbl_Production[Job Number],0)),""),IF(H151="Consulting",IFERROR(INDEX(tbl_Consulting[Notes],MATCH(E151&amp;"",tbl_Consulting[Job Number],0)),""),""))))</f>
        <v/>
      </c>
    </row>
    <row r="152" ht="15" customHeight="1">
      <c r="A152" s="22" t="n">
        <v>46190</v>
      </c>
      <c r="B152" s="23">
        <f>IF(A152="","",EOMONTH(A152,0))</f>
        <v/>
      </c>
      <c r="C152" s="24" t="inlineStr">
        <is>
          <t>INV-10462</t>
        </is>
      </c>
      <c r="D152" s="24" t="inlineStr">
        <is>
          <t>PwC</t>
        </is>
      </c>
      <c r="E152" s="24" t="inlineStr">
        <is>
          <t>26051801</t>
        </is>
      </c>
      <c r="F152" s="25">
        <f>IF(E152="","",IF(COUNTIF(lst_Jobs,E152&amp;"")&gt;0,"OK","CHECK"))</f>
        <v/>
      </c>
      <c r="G152" s="24" t="inlineStr">
        <is>
          <t>Mel Studio Equipment</t>
        </is>
      </c>
      <c r="H152" s="24" t="inlineStr">
        <is>
          <t>Consulting</t>
        </is>
      </c>
      <c r="I152" s="24" t="inlineStr">
        <is>
          <t>INTEGRATION</t>
        </is>
      </c>
      <c r="J152" s="24" t="inlineStr">
        <is>
          <t>Project</t>
        </is>
      </c>
      <c r="K152" s="24" t="inlineStr">
        <is>
          <t>GST 10%</t>
        </is>
      </c>
      <c r="L152" s="26" t="n">
        <v>12039</v>
      </c>
      <c r="M152" s="27">
        <f>IF(L152="","",IF(K152="GST 10%",ROUND(L152*set_GSTRate,2),0))</f>
        <v/>
      </c>
      <c r="N152" s="27">
        <f>IF(L152="","",L152+M152)</f>
        <v/>
      </c>
      <c r="O152" s="24" t="inlineStr">
        <is>
          <t>42300</t>
        </is>
      </c>
      <c r="P152" s="24" t="inlineStr">
        <is>
          <t>Y</t>
        </is>
      </c>
      <c r="Q152" s="24" t="inlineStr">
        <is>
          <t>N</t>
        </is>
      </c>
      <c r="R152" s="22" t="n"/>
      <c r="S152" s="22" t="n"/>
      <c r="T152" s="24" t="inlineStr">
        <is>
          <t>Invoiced</t>
        </is>
      </c>
      <c r="U152" s="24" t="n"/>
      <c r="V152" s="25">
        <f>IF(COUNTA(A152,D152,C152,L152)=0,"",IF(A152="","No date - sits outside every month",IF(E152="","No job number",IF(F152="CHECK","Job number is not in the Xero job list",IF(I152="","No cost centre",IF(AND(P152="Y",C152=""),"Marked posted to Xero but has no invoice number",IF(AND(L152&lt;&gt;"",K152=""),"No tax code",IF(AND(L152&lt;&gt;"",O152=""),"No revenue GL code",""))))))))</f>
        <v/>
      </c>
      <c r="W152" s="25">
        <f>IF(E152="","",IFERROR(INDEX(lst_JobName,MATCH(E152&amp;"",lst_Jobs,0)),""))</f>
        <v/>
      </c>
      <c r="X152" s="28">
        <f>IF(E152="","",COUNTIFS(tbl_Finance[Job Number],E152&amp;"",tbl_Finance[Ex GST],"&lt;&gt;"))</f>
        <v/>
      </c>
      <c r="Y152" s="27">
        <f>IF(E152="","",SUMIFS(tbl_Finance[Ex GST],tbl_Finance[Job Number],E152&amp;""))</f>
        <v/>
      </c>
      <c r="Z152" s="27">
        <f>IF(E152="","",SUMIFS(tbl_Finance[Ex GST],tbl_Finance[Job Number],E152&amp;"",tbl_Finance[Xero Invoice No],"&lt;&gt;"))</f>
        <v/>
      </c>
      <c r="AA152" s="27">
        <f>IF(E152="","",Y152-Z152)</f>
        <v/>
      </c>
      <c r="AB152" s="25">
        <f>IF(E152="","",IF(H152="Onsite",IFERROR(INDEX(tbl_Onsite[Qwilr Quote],MATCH(E152&amp;"",tbl_Onsite[Job Number],0)),""),IF(H152="Production",IFERROR(IF(INDEX(tbl_Production[Current RMS No],MATCH(E152&amp;"",tbl_Production[Job Number],0))="",INDEX(tbl_Production[Qwilr Quote],MATCH(E152&amp;"",tbl_Production[Job Number],0)),INDEX(tbl_Production[Current RMS No],MATCH(E152&amp;"",tbl_Production[Job Number],0))),""),IF(H152="Consulting",IFERROR(INDEX(tbl_Consulting[Qwilr Quote],MATCH(E152&amp;"",tbl_Consulting[Job Number],0)),""),""))))</f>
        <v/>
      </c>
      <c r="AC152" s="25">
        <f>IF(AB152="","",IF(AND(LEFT(AB152,4)&lt;&gt;"http",IF(H152="Production",set_RMSBase,set_QwilrBase)=""),"",HYPERLINK(IF(LEFT(AB152,4)="http",AB152,IF(H152="Production",set_RMSBase,set_QwilrBase)&amp;AB152),"Open")))</f>
        <v/>
      </c>
      <c r="AD152" s="27">
        <f>IF(E152="","",IF(H152="Production",IFERROR(INDEX(tbl_Production[Total Expense],MATCH(E152&amp;"",tbl_Production[Job Number],0)),0),IF(H152="Consulting",IFERROR(INDEX(tbl_Consulting[Total Expense],MATCH(E152&amp;"",tbl_Consulting[Job Number],0)),0),0)))</f>
        <v/>
      </c>
      <c r="AE152" s="27">
        <f>IF(E152="","",Y152-N(AD152))</f>
        <v/>
      </c>
      <c r="AF152" s="29">
        <f>IFERROR(AE152/Y152,"")</f>
        <v/>
      </c>
      <c r="AG152" s="25">
        <f>IF(E152="","",IF(H152="Onsite",IFERROR(INDEX(tbl_Onsite[Notes],MATCH(E152&amp;"",tbl_Onsite[Job Number],0)),""),IF(H152="Production",IFERROR(INDEX(tbl_Production[Notes],MATCH(E152&amp;"",tbl_Production[Job Number],0)),""),IF(H152="Consulting",IFERROR(INDEX(tbl_Consulting[Notes],MATCH(E152&amp;"",tbl_Consulting[Job Number],0)),""),""))))</f>
        <v/>
      </c>
    </row>
    <row r="153" ht="15" customHeight="1">
      <c r="A153" s="22" t="n">
        <v>46190</v>
      </c>
      <c r="B153" s="23">
        <f>IF(A153="","",EOMONTH(A153,0))</f>
        <v/>
      </c>
      <c r="C153" s="24" t="inlineStr">
        <is>
          <t>INV-10461</t>
        </is>
      </c>
      <c r="D153" s="24" t="inlineStr">
        <is>
          <t>PwC</t>
        </is>
      </c>
      <c r="E153" s="24" t="inlineStr">
        <is>
          <t>26043003</t>
        </is>
      </c>
      <c r="F153" s="25">
        <f>IF(E153="","",IF(COUNTIF(lst_Jobs,E153&amp;"")&gt;0,"OK","CHECK"))</f>
        <v/>
      </c>
      <c r="G153" s="24" t="inlineStr">
        <is>
          <t>Screen Replacements (SYD/MEL)</t>
        </is>
      </c>
      <c r="H153" s="24" t="inlineStr">
        <is>
          <t>Consulting</t>
        </is>
      </c>
      <c r="I153" s="24" t="inlineStr">
        <is>
          <t>INTEGRATION</t>
        </is>
      </c>
      <c r="J153" s="24" t="inlineStr">
        <is>
          <t>Project</t>
        </is>
      </c>
      <c r="K153" s="24" t="inlineStr">
        <is>
          <t>GST 10%</t>
        </is>
      </c>
      <c r="L153" s="26" t="n">
        <v>96068</v>
      </c>
      <c r="M153" s="27">
        <f>IF(L153="","",IF(K153="GST 10%",ROUND(L153*set_GSTRate,2),0))</f>
        <v/>
      </c>
      <c r="N153" s="27">
        <f>IF(L153="","",L153+M153)</f>
        <v/>
      </c>
      <c r="O153" s="24" t="inlineStr">
        <is>
          <t>42300</t>
        </is>
      </c>
      <c r="P153" s="24" t="inlineStr">
        <is>
          <t>Y</t>
        </is>
      </c>
      <c r="Q153" s="24" t="inlineStr">
        <is>
          <t>N</t>
        </is>
      </c>
      <c r="R153" s="22" t="n"/>
      <c r="S153" s="22" t="n"/>
      <c r="T153" s="24" t="inlineStr">
        <is>
          <t>Paid</t>
        </is>
      </c>
      <c r="U153" s="24" t="n"/>
      <c r="V153" s="25">
        <f>IF(COUNTA(A153,D153,C153,L153)=0,"",IF(A153="","No date - sits outside every month",IF(E153="","No job number",IF(F153="CHECK","Job number is not in the Xero job list",IF(I153="","No cost centre",IF(AND(P153="Y",C153=""),"Marked posted to Xero but has no invoice number",IF(AND(L153&lt;&gt;"",K153=""),"No tax code",IF(AND(L153&lt;&gt;"",O153=""),"No revenue GL code",""))))))))</f>
        <v/>
      </c>
      <c r="W153" s="25">
        <f>IF(E153="","",IFERROR(INDEX(lst_JobName,MATCH(E153&amp;"",lst_Jobs,0)),""))</f>
        <v/>
      </c>
      <c r="X153" s="28">
        <f>IF(E153="","",COUNTIFS(tbl_Finance[Job Number],E153&amp;"",tbl_Finance[Ex GST],"&lt;&gt;"))</f>
        <v/>
      </c>
      <c r="Y153" s="27">
        <f>IF(E153="","",SUMIFS(tbl_Finance[Ex GST],tbl_Finance[Job Number],E153&amp;""))</f>
        <v/>
      </c>
      <c r="Z153" s="27">
        <f>IF(E153="","",SUMIFS(tbl_Finance[Ex GST],tbl_Finance[Job Number],E153&amp;"",tbl_Finance[Xero Invoice No],"&lt;&gt;"))</f>
        <v/>
      </c>
      <c r="AA153" s="27">
        <f>IF(E153="","",Y153-Z153)</f>
        <v/>
      </c>
      <c r="AB153" s="25">
        <f>IF(E153="","",IF(H153="Onsite",IFERROR(INDEX(tbl_Onsite[Qwilr Quote],MATCH(E153&amp;"",tbl_Onsite[Job Number],0)),""),IF(H153="Production",IFERROR(IF(INDEX(tbl_Production[Current RMS No],MATCH(E153&amp;"",tbl_Production[Job Number],0))="",INDEX(tbl_Production[Qwilr Quote],MATCH(E153&amp;"",tbl_Production[Job Number],0)),INDEX(tbl_Production[Current RMS No],MATCH(E153&amp;"",tbl_Production[Job Number],0))),""),IF(H153="Consulting",IFERROR(INDEX(tbl_Consulting[Qwilr Quote],MATCH(E153&amp;"",tbl_Consulting[Job Number],0)),""),""))))</f>
        <v/>
      </c>
      <c r="AC153" s="25">
        <f>IF(AB153="","",IF(AND(LEFT(AB153,4)&lt;&gt;"http",IF(H153="Production",set_RMSBase,set_QwilrBase)=""),"",HYPERLINK(IF(LEFT(AB153,4)="http",AB153,IF(H153="Production",set_RMSBase,set_QwilrBase)&amp;AB153),"Open")))</f>
        <v/>
      </c>
      <c r="AD153" s="27">
        <f>IF(E153="","",IF(H153="Production",IFERROR(INDEX(tbl_Production[Total Expense],MATCH(E153&amp;"",tbl_Production[Job Number],0)),0),IF(H153="Consulting",IFERROR(INDEX(tbl_Consulting[Total Expense],MATCH(E153&amp;"",tbl_Consulting[Job Number],0)),0),0)))</f>
        <v/>
      </c>
      <c r="AE153" s="27">
        <f>IF(E153="","",Y153-N(AD153))</f>
        <v/>
      </c>
      <c r="AF153" s="29">
        <f>IFERROR(AE153/Y153,"")</f>
        <v/>
      </c>
      <c r="AG153" s="25">
        <f>IF(E153="","",IF(H153="Onsite",IFERROR(INDEX(tbl_Onsite[Notes],MATCH(E153&amp;"",tbl_Onsite[Job Number],0)),""),IF(H153="Production",IFERROR(INDEX(tbl_Production[Notes],MATCH(E153&amp;"",tbl_Production[Job Number],0)),""),IF(H153="Consulting",IFERROR(INDEX(tbl_Consulting[Notes],MATCH(E153&amp;"",tbl_Consulting[Job Number],0)),""),""))))</f>
        <v/>
      </c>
    </row>
    <row r="154" ht="15" customHeight="1">
      <c r="A154" s="22" t="n">
        <v>46198</v>
      </c>
      <c r="B154" s="23">
        <f>IF(A154="","",EOMONTH(A154,0))</f>
        <v/>
      </c>
      <c r="C154" s="24" t="inlineStr">
        <is>
          <t>INV-10500</t>
        </is>
      </c>
      <c r="D154" s="24" t="inlineStr">
        <is>
          <t>PwC</t>
        </is>
      </c>
      <c r="E154" s="24" t="inlineStr">
        <is>
          <t>2606901</t>
        </is>
      </c>
      <c r="F154" s="25">
        <f>IF(E154="","",IF(COUNTIF(lst_Jobs,E154&amp;"")&gt;0,"OK","CHECK"))</f>
        <v/>
      </c>
      <c r="G154" s="24" t="inlineStr">
        <is>
          <t>Sydney Office box drop</t>
        </is>
      </c>
      <c r="H154" s="24" t="inlineStr">
        <is>
          <t>Consulting</t>
        </is>
      </c>
      <c r="I154" s="24" t="inlineStr">
        <is>
          <t>INTEGRATION</t>
        </is>
      </c>
      <c r="J154" s="24" t="inlineStr">
        <is>
          <t>Project</t>
        </is>
      </c>
      <c r="K154" s="24" t="inlineStr">
        <is>
          <t>GST 10%</t>
        </is>
      </c>
      <c r="L154" s="26" t="n">
        <v>561</v>
      </c>
      <c r="M154" s="27">
        <f>IF(L154="","",IF(K154="GST 10%",ROUND(L154*set_GSTRate,2),0))</f>
        <v/>
      </c>
      <c r="N154" s="27">
        <f>IF(L154="","",L154+M154)</f>
        <v/>
      </c>
      <c r="O154" s="24" t="inlineStr">
        <is>
          <t>42300</t>
        </is>
      </c>
      <c r="P154" s="24" t="inlineStr">
        <is>
          <t>Y</t>
        </is>
      </c>
      <c r="Q154" s="24" t="inlineStr">
        <is>
          <t>N</t>
        </is>
      </c>
      <c r="R154" s="22" t="n"/>
      <c r="S154" s="22" t="n"/>
      <c r="T154" s="24" t="inlineStr">
        <is>
          <t>Paid</t>
        </is>
      </c>
      <c r="U154" s="24" t="n"/>
      <c r="V154" s="25">
        <f>IF(COUNTA(A154,D154,C154,L154)=0,"",IF(A154="","No date - sits outside every month",IF(E154="","No job number",IF(F154="CHECK","Job number is not in the Xero job list",IF(I154="","No cost centre",IF(AND(P154="Y",C154=""),"Marked posted to Xero but has no invoice number",IF(AND(L154&lt;&gt;"",K154=""),"No tax code",IF(AND(L154&lt;&gt;"",O154=""),"No revenue GL code",""))))))))</f>
        <v/>
      </c>
      <c r="W154" s="25">
        <f>IF(E154="","",IFERROR(INDEX(lst_JobName,MATCH(E154&amp;"",lst_Jobs,0)),""))</f>
        <v/>
      </c>
      <c r="X154" s="28">
        <f>IF(E154="","",COUNTIFS(tbl_Finance[Job Number],E154&amp;"",tbl_Finance[Ex GST],"&lt;&gt;"))</f>
        <v/>
      </c>
      <c r="Y154" s="27">
        <f>IF(E154="","",SUMIFS(tbl_Finance[Ex GST],tbl_Finance[Job Number],E154&amp;""))</f>
        <v/>
      </c>
      <c r="Z154" s="27">
        <f>IF(E154="","",SUMIFS(tbl_Finance[Ex GST],tbl_Finance[Job Number],E154&amp;"",tbl_Finance[Xero Invoice No],"&lt;&gt;"))</f>
        <v/>
      </c>
      <c r="AA154" s="27">
        <f>IF(E154="","",Y154-Z154)</f>
        <v/>
      </c>
      <c r="AB154" s="25">
        <f>IF(E154="","",IF(H154="Onsite",IFERROR(INDEX(tbl_Onsite[Qwilr Quote],MATCH(E154&amp;"",tbl_Onsite[Job Number],0)),""),IF(H154="Production",IFERROR(IF(INDEX(tbl_Production[Current RMS No],MATCH(E154&amp;"",tbl_Production[Job Number],0))="",INDEX(tbl_Production[Qwilr Quote],MATCH(E154&amp;"",tbl_Production[Job Number],0)),INDEX(tbl_Production[Current RMS No],MATCH(E154&amp;"",tbl_Production[Job Number],0))),""),IF(H154="Consulting",IFERROR(INDEX(tbl_Consulting[Qwilr Quote],MATCH(E154&amp;"",tbl_Consulting[Job Number],0)),""),""))))</f>
        <v/>
      </c>
      <c r="AC154" s="25">
        <f>IF(AB154="","",IF(AND(LEFT(AB154,4)&lt;&gt;"http",IF(H154="Production",set_RMSBase,set_QwilrBase)=""),"",HYPERLINK(IF(LEFT(AB154,4)="http",AB154,IF(H154="Production",set_RMSBase,set_QwilrBase)&amp;AB154),"Open")))</f>
        <v/>
      </c>
      <c r="AD154" s="27">
        <f>IF(E154="","",IF(H154="Production",IFERROR(INDEX(tbl_Production[Total Expense],MATCH(E154&amp;"",tbl_Production[Job Number],0)),0),IF(H154="Consulting",IFERROR(INDEX(tbl_Consulting[Total Expense],MATCH(E154&amp;"",tbl_Consulting[Job Number],0)),0),0)))</f>
        <v/>
      </c>
      <c r="AE154" s="27">
        <f>IF(E154="","",Y154-N(AD154))</f>
        <v/>
      </c>
      <c r="AF154" s="29">
        <f>IFERROR(AE154/Y154,"")</f>
        <v/>
      </c>
      <c r="AG154" s="25">
        <f>IF(E154="","",IF(H154="Onsite",IFERROR(INDEX(tbl_Onsite[Notes],MATCH(E154&amp;"",tbl_Onsite[Job Number],0)),""),IF(H154="Production",IFERROR(INDEX(tbl_Production[Notes],MATCH(E154&amp;"",tbl_Production[Job Number],0)),""),IF(H154="Consulting",IFERROR(INDEX(tbl_Consulting[Notes],MATCH(E154&amp;"",tbl_Consulting[Job Number],0)),""),""))))</f>
        <v/>
      </c>
    </row>
    <row r="155" ht="15" customHeight="1">
      <c r="A155" s="22" t="n">
        <v>46198</v>
      </c>
      <c r="B155" s="23">
        <f>IF(A155="","",EOMONTH(A155,0))</f>
        <v/>
      </c>
      <c r="C155" s="24" t="inlineStr">
        <is>
          <t>INV-10499</t>
        </is>
      </c>
      <c r="D155" s="24" t="inlineStr">
        <is>
          <t>YSG Studio</t>
        </is>
      </c>
      <c r="E155" s="24" t="inlineStr">
        <is>
          <t>2602203</t>
        </is>
      </c>
      <c r="F155" s="25">
        <f>IF(E155="","",IF(COUNTIF(lst_Jobs,E155&amp;"")&gt;0,"OK","CHECK"))</f>
        <v/>
      </c>
      <c r="G155" s="24" t="inlineStr">
        <is>
          <t>Orange Room Upgrade CONS</t>
        </is>
      </c>
      <c r="H155" s="24" t="inlineStr">
        <is>
          <t>Consulting</t>
        </is>
      </c>
      <c r="I155" s="24" t="inlineStr">
        <is>
          <t>CONSULTING</t>
        </is>
      </c>
      <c r="J155" s="24" t="inlineStr">
        <is>
          <t>Project</t>
        </is>
      </c>
      <c r="K155" s="24" t="inlineStr">
        <is>
          <t>GST 10%</t>
        </is>
      </c>
      <c r="L155" s="26" t="n">
        <v>2247.5</v>
      </c>
      <c r="M155" s="27">
        <f>IF(L155="","",IF(K155="GST 10%",ROUND(L155*set_GSTRate,2),0))</f>
        <v/>
      </c>
      <c r="N155" s="27">
        <f>IF(L155="","",L155+M155)</f>
        <v/>
      </c>
      <c r="O155" s="24" t="inlineStr">
        <is>
          <t>42800</t>
        </is>
      </c>
      <c r="P155" s="24" t="inlineStr">
        <is>
          <t>Y</t>
        </is>
      </c>
      <c r="Q155" s="24" t="inlineStr">
        <is>
          <t>N</t>
        </is>
      </c>
      <c r="R155" s="22" t="n"/>
      <c r="S155" s="22" t="n"/>
      <c r="T155" s="24" t="inlineStr">
        <is>
          <t>To Invoice</t>
        </is>
      </c>
      <c r="U155" s="24" t="inlineStr">
        <is>
          <t>Progress Claim 03</t>
        </is>
      </c>
      <c r="V155" s="25">
        <f>IF(COUNTA(A155,D155,C155,L155)=0,"",IF(A155="","No date - sits outside every month",IF(E155="","No job number",IF(F155="CHECK","Job number is not in the Xero job list",IF(I155="","No cost centre",IF(AND(P155="Y",C155=""),"Marked posted to Xero but has no invoice number",IF(AND(L155&lt;&gt;"",K155=""),"No tax code",IF(AND(L155&lt;&gt;"",O155=""),"No revenue GL code",""))))))))</f>
        <v/>
      </c>
      <c r="W155" s="25">
        <f>IF(E155="","",IFERROR(INDEX(lst_JobName,MATCH(E155&amp;"",lst_Jobs,0)),""))</f>
        <v/>
      </c>
      <c r="X155" s="28">
        <f>IF(E155="","",COUNTIFS(tbl_Finance[Job Number],E155&amp;"",tbl_Finance[Ex GST],"&lt;&gt;"))</f>
        <v/>
      </c>
      <c r="Y155" s="27">
        <f>IF(E155="","",SUMIFS(tbl_Finance[Ex GST],tbl_Finance[Job Number],E155&amp;""))</f>
        <v/>
      </c>
      <c r="Z155" s="27">
        <f>IF(E155="","",SUMIFS(tbl_Finance[Ex GST],tbl_Finance[Job Number],E155&amp;"",tbl_Finance[Xero Invoice No],"&lt;&gt;"))</f>
        <v/>
      </c>
      <c r="AA155" s="27">
        <f>IF(E155="","",Y155-Z155)</f>
        <v/>
      </c>
      <c r="AB155" s="25">
        <f>IF(E155="","",IF(H155="Onsite",IFERROR(INDEX(tbl_Onsite[Qwilr Quote],MATCH(E155&amp;"",tbl_Onsite[Job Number],0)),""),IF(H155="Production",IFERROR(IF(INDEX(tbl_Production[Current RMS No],MATCH(E155&amp;"",tbl_Production[Job Number],0))="",INDEX(tbl_Production[Qwilr Quote],MATCH(E155&amp;"",tbl_Production[Job Number],0)),INDEX(tbl_Production[Current RMS No],MATCH(E155&amp;"",tbl_Production[Job Number],0))),""),IF(H155="Consulting",IFERROR(INDEX(tbl_Consulting[Qwilr Quote],MATCH(E155&amp;"",tbl_Consulting[Job Number],0)),""),""))))</f>
        <v/>
      </c>
      <c r="AC155" s="25">
        <f>IF(AB155="","",IF(AND(LEFT(AB155,4)&lt;&gt;"http",IF(H155="Production",set_RMSBase,set_QwilrBase)=""),"",HYPERLINK(IF(LEFT(AB155,4)="http",AB155,IF(H155="Production",set_RMSBase,set_QwilrBase)&amp;AB155),"Open")))</f>
        <v/>
      </c>
      <c r="AD155" s="27">
        <f>IF(E155="","",IF(H155="Production",IFERROR(INDEX(tbl_Production[Total Expense],MATCH(E155&amp;"",tbl_Production[Job Number],0)),0),IF(H155="Consulting",IFERROR(INDEX(tbl_Consulting[Total Expense],MATCH(E155&amp;"",tbl_Consulting[Job Number],0)),0),0)))</f>
        <v/>
      </c>
      <c r="AE155" s="27">
        <f>IF(E155="","",Y155-N(AD155))</f>
        <v/>
      </c>
      <c r="AF155" s="29">
        <f>IFERROR(AE155/Y155,"")</f>
        <v/>
      </c>
      <c r="AG155" s="25">
        <f>IF(E155="","",IF(H155="Onsite",IFERROR(INDEX(tbl_Onsite[Notes],MATCH(E155&amp;"",tbl_Onsite[Job Number],0)),""),IF(H155="Production",IFERROR(INDEX(tbl_Production[Notes],MATCH(E155&amp;"",tbl_Production[Job Number],0)),""),IF(H155="Consulting",IFERROR(INDEX(tbl_Consulting[Notes],MATCH(E155&amp;"",tbl_Consulting[Job Number],0)),""),""))))</f>
        <v/>
      </c>
    </row>
    <row r="156" ht="15" customHeight="1">
      <c r="A156" s="22" t="n">
        <v>46203</v>
      </c>
      <c r="B156" s="23">
        <f>IF(A156="","",EOMONTH(A156,0))</f>
        <v/>
      </c>
      <c r="C156" s="24" t="inlineStr">
        <is>
          <t>INV-10510</t>
        </is>
      </c>
      <c r="D156" s="24" t="inlineStr">
        <is>
          <t>CoS</t>
        </is>
      </c>
      <c r="E156" s="24" t="inlineStr">
        <is>
          <t>25111203</t>
        </is>
      </c>
      <c r="F156" s="25">
        <f>IF(E156="","",IF(COUNTIF(lst_Jobs,E156&amp;"")&gt;0,"OK","CHECK"))</f>
        <v/>
      </c>
      <c r="G156" s="24" t="inlineStr">
        <is>
          <t>Barco E3 Sale</t>
        </is>
      </c>
      <c r="H156" s="24" t="inlineStr">
        <is>
          <t>Consulting</t>
        </is>
      </c>
      <c r="I156" s="24" t="inlineStr">
        <is>
          <t>INTEGRATION</t>
        </is>
      </c>
      <c r="J156" s="24" t="inlineStr">
        <is>
          <t>Project</t>
        </is>
      </c>
      <c r="K156" s="24" t="inlineStr">
        <is>
          <t>GST 10%</t>
        </is>
      </c>
      <c r="L156" s="26" t="n">
        <v>159150</v>
      </c>
      <c r="M156" s="27">
        <f>IF(L156="","",IF(K156="GST 10%",ROUND(L156*set_GSTRate,2),0))</f>
        <v/>
      </c>
      <c r="N156" s="27">
        <f>IF(L156="","",L156+M156)</f>
        <v/>
      </c>
      <c r="O156" s="24" t="inlineStr">
        <is>
          <t>42300</t>
        </is>
      </c>
      <c r="P156" s="24" t="inlineStr">
        <is>
          <t>Y</t>
        </is>
      </c>
      <c r="Q156" s="24" t="inlineStr">
        <is>
          <t>N</t>
        </is>
      </c>
      <c r="R156" s="22" t="n"/>
      <c r="S156" s="22" t="n"/>
      <c r="T156" s="24" t="inlineStr">
        <is>
          <t>Paid</t>
        </is>
      </c>
      <c r="U156" s="24" t="n"/>
      <c r="V156" s="25">
        <f>IF(COUNTA(A156,D156,C156,L156)=0,"",IF(A156="","No date - sits outside every month",IF(E156="","No job number",IF(F156="CHECK","Job number is not in the Xero job list",IF(I156="","No cost centre",IF(AND(P156="Y",C156=""),"Marked posted to Xero but has no invoice number",IF(AND(L156&lt;&gt;"",K156=""),"No tax code",IF(AND(L156&lt;&gt;"",O156=""),"No revenue GL code",""))))))))</f>
        <v/>
      </c>
      <c r="W156" s="25">
        <f>IF(E156="","",IFERROR(INDEX(lst_JobName,MATCH(E156&amp;"",lst_Jobs,0)),""))</f>
        <v/>
      </c>
      <c r="X156" s="28">
        <f>IF(E156="","",COUNTIFS(tbl_Finance[Job Number],E156&amp;"",tbl_Finance[Ex GST],"&lt;&gt;"))</f>
        <v/>
      </c>
      <c r="Y156" s="27">
        <f>IF(E156="","",SUMIFS(tbl_Finance[Ex GST],tbl_Finance[Job Number],E156&amp;""))</f>
        <v/>
      </c>
      <c r="Z156" s="27">
        <f>IF(E156="","",SUMIFS(tbl_Finance[Ex GST],tbl_Finance[Job Number],E156&amp;"",tbl_Finance[Xero Invoice No],"&lt;&gt;"))</f>
        <v/>
      </c>
      <c r="AA156" s="27">
        <f>IF(E156="","",Y156-Z156)</f>
        <v/>
      </c>
      <c r="AB156" s="25">
        <f>IF(E156="","",IF(H156="Onsite",IFERROR(INDEX(tbl_Onsite[Qwilr Quote],MATCH(E156&amp;"",tbl_Onsite[Job Number],0)),""),IF(H156="Production",IFERROR(IF(INDEX(tbl_Production[Current RMS No],MATCH(E156&amp;"",tbl_Production[Job Number],0))="",INDEX(tbl_Production[Qwilr Quote],MATCH(E156&amp;"",tbl_Production[Job Number],0)),INDEX(tbl_Production[Current RMS No],MATCH(E156&amp;"",tbl_Production[Job Number],0))),""),IF(H156="Consulting",IFERROR(INDEX(tbl_Consulting[Qwilr Quote],MATCH(E156&amp;"",tbl_Consulting[Job Number],0)),""),""))))</f>
        <v/>
      </c>
      <c r="AC156" s="25">
        <f>IF(AB156="","",IF(AND(LEFT(AB156,4)&lt;&gt;"http",IF(H156="Production",set_RMSBase,set_QwilrBase)=""),"",HYPERLINK(IF(LEFT(AB156,4)="http",AB156,IF(H156="Production",set_RMSBase,set_QwilrBase)&amp;AB156),"Open")))</f>
        <v/>
      </c>
      <c r="AD156" s="27">
        <f>IF(E156="","",IF(H156="Production",IFERROR(INDEX(tbl_Production[Total Expense],MATCH(E156&amp;"",tbl_Production[Job Number],0)),0),IF(H156="Consulting",IFERROR(INDEX(tbl_Consulting[Total Expense],MATCH(E156&amp;"",tbl_Consulting[Job Number],0)),0),0)))</f>
        <v/>
      </c>
      <c r="AE156" s="27">
        <f>IF(E156="","",Y156-N(AD156))</f>
        <v/>
      </c>
      <c r="AF156" s="29">
        <f>IFERROR(AE156/Y156,"")</f>
        <v/>
      </c>
      <c r="AG156" s="25">
        <f>IF(E156="","",IF(H156="Onsite",IFERROR(INDEX(tbl_Onsite[Notes],MATCH(E156&amp;"",tbl_Onsite[Job Number],0)),""),IF(H156="Production",IFERROR(INDEX(tbl_Production[Notes],MATCH(E156&amp;"",tbl_Production[Job Number],0)),""),IF(H156="Consulting",IFERROR(INDEX(tbl_Consulting[Notes],MATCH(E156&amp;"",tbl_Consulting[Job Number],0)),""),""))))</f>
        <v/>
      </c>
    </row>
    <row r="157" ht="15" customHeight="1">
      <c r="A157" s="22" t="n">
        <v>46203</v>
      </c>
      <c r="B157" s="23">
        <f>IF(A157="","",EOMONTH(A157,0))</f>
        <v/>
      </c>
      <c r="C157" s="24" t="inlineStr">
        <is>
          <t>INV-10355</t>
        </is>
      </c>
      <c r="D157" s="24" t="inlineStr">
        <is>
          <t>DTTL</t>
        </is>
      </c>
      <c r="E157" s="24" t="inlineStr">
        <is>
          <t>26033003</t>
        </is>
      </c>
      <c r="F157" s="25">
        <f>IF(E157="","",IF(COUNTIF(lst_Jobs,E157&amp;"")&gt;0,"OK","CHECK"))</f>
        <v/>
      </c>
      <c r="G157" s="24" t="inlineStr">
        <is>
          <t>8PSQ-Dream-Big-Microphones</t>
        </is>
      </c>
      <c r="H157" s="24" t="inlineStr">
        <is>
          <t>Consulting</t>
        </is>
      </c>
      <c r="I157" s="24" t="inlineStr">
        <is>
          <t>INTEGRATION</t>
        </is>
      </c>
      <c r="J157" s="24" t="inlineStr">
        <is>
          <t>Project</t>
        </is>
      </c>
      <c r="K157" s="24" t="inlineStr">
        <is>
          <t>GST 10%</t>
        </is>
      </c>
      <c r="L157" s="26" t="n">
        <v>27408</v>
      </c>
      <c r="M157" s="27">
        <f>IF(L157="","",IF(K157="GST 10%",ROUND(L157*set_GSTRate,2),0))</f>
        <v/>
      </c>
      <c r="N157" s="27">
        <f>IF(L157="","",L157+M157)</f>
        <v/>
      </c>
      <c r="O157" s="24" t="inlineStr">
        <is>
          <t>42300</t>
        </is>
      </c>
      <c r="P157" s="24" t="inlineStr">
        <is>
          <t>Y</t>
        </is>
      </c>
      <c r="Q157" s="24" t="inlineStr">
        <is>
          <t>N</t>
        </is>
      </c>
      <c r="R157" s="22" t="n"/>
      <c r="S157" s="22" t="n"/>
      <c r="T157" s="24" t="inlineStr">
        <is>
          <t>Paid</t>
        </is>
      </c>
      <c r="U157" s="24" t="inlineStr">
        <is>
          <t>Invoiced in DTTL Additionals</t>
        </is>
      </c>
      <c r="V157" s="25">
        <f>IF(COUNTA(A157,D157,C157,L157)=0,"",IF(A157="","No date - sits outside every month",IF(E157="","No job number",IF(F157="CHECK","Job number is not in the Xero job list",IF(I157="","No cost centre",IF(AND(P157="Y",C157=""),"Marked posted to Xero but has no invoice number",IF(AND(L157&lt;&gt;"",K157=""),"No tax code",IF(AND(L157&lt;&gt;"",O157=""),"No revenue GL code",""))))))))</f>
        <v/>
      </c>
      <c r="W157" s="25">
        <f>IF(E157="","",IFERROR(INDEX(lst_JobName,MATCH(E157&amp;"",lst_Jobs,0)),""))</f>
        <v/>
      </c>
      <c r="X157" s="28">
        <f>IF(E157="","",COUNTIFS(tbl_Finance[Job Number],E157&amp;"",tbl_Finance[Ex GST],"&lt;&gt;"))</f>
        <v/>
      </c>
      <c r="Y157" s="27">
        <f>IF(E157="","",SUMIFS(tbl_Finance[Ex GST],tbl_Finance[Job Number],E157&amp;""))</f>
        <v/>
      </c>
      <c r="Z157" s="27">
        <f>IF(E157="","",SUMIFS(tbl_Finance[Ex GST],tbl_Finance[Job Number],E157&amp;"",tbl_Finance[Xero Invoice No],"&lt;&gt;"))</f>
        <v/>
      </c>
      <c r="AA157" s="27">
        <f>IF(E157="","",Y157-Z157)</f>
        <v/>
      </c>
      <c r="AB157" s="25">
        <f>IF(E157="","",IF(H157="Onsite",IFERROR(INDEX(tbl_Onsite[Qwilr Quote],MATCH(E157&amp;"",tbl_Onsite[Job Number],0)),""),IF(H157="Production",IFERROR(IF(INDEX(tbl_Production[Current RMS No],MATCH(E157&amp;"",tbl_Production[Job Number],0))="",INDEX(tbl_Production[Qwilr Quote],MATCH(E157&amp;"",tbl_Production[Job Number],0)),INDEX(tbl_Production[Current RMS No],MATCH(E157&amp;"",tbl_Production[Job Number],0))),""),IF(H157="Consulting",IFERROR(INDEX(tbl_Consulting[Qwilr Quote],MATCH(E157&amp;"",tbl_Consulting[Job Number],0)),""),""))))</f>
        <v/>
      </c>
      <c r="AC157" s="25">
        <f>IF(AB157="","",IF(AND(LEFT(AB157,4)&lt;&gt;"http",IF(H157="Production",set_RMSBase,set_QwilrBase)=""),"",HYPERLINK(IF(LEFT(AB157,4)="http",AB157,IF(H157="Production",set_RMSBase,set_QwilrBase)&amp;AB157),"Open")))</f>
        <v/>
      </c>
      <c r="AD157" s="27">
        <f>IF(E157="","",IF(H157="Production",IFERROR(INDEX(tbl_Production[Total Expense],MATCH(E157&amp;"",tbl_Production[Job Number],0)),0),IF(H157="Consulting",IFERROR(INDEX(tbl_Consulting[Total Expense],MATCH(E157&amp;"",tbl_Consulting[Job Number],0)),0),0)))</f>
        <v/>
      </c>
      <c r="AE157" s="27">
        <f>IF(E157="","",Y157-N(AD157))</f>
        <v/>
      </c>
      <c r="AF157" s="29">
        <f>IFERROR(AE157/Y157,"")</f>
        <v/>
      </c>
      <c r="AG157" s="25">
        <f>IF(E157="","",IF(H157="Onsite",IFERROR(INDEX(tbl_Onsite[Notes],MATCH(E157&amp;"",tbl_Onsite[Job Number],0)),""),IF(H157="Production",IFERROR(INDEX(tbl_Production[Notes],MATCH(E157&amp;"",tbl_Production[Job Number],0)),""),IF(H157="Consulting",IFERROR(INDEX(tbl_Consulting[Notes],MATCH(E157&amp;"",tbl_Consulting[Job Number],0)),""),""))))</f>
        <v/>
      </c>
    </row>
    <row r="158" ht="15" customHeight="1">
      <c r="A158" s="22" t="n">
        <v>46203</v>
      </c>
      <c r="B158" s="23">
        <f>IF(A158="","",EOMONTH(A158,0))</f>
        <v/>
      </c>
      <c r="C158" s="24" t="inlineStr">
        <is>
          <t>INV-10355</t>
        </is>
      </c>
      <c r="D158" s="24" t="inlineStr">
        <is>
          <t>DTTL</t>
        </is>
      </c>
      <c r="E158" s="24" t="inlineStr">
        <is>
          <t>26033005</t>
        </is>
      </c>
      <c r="F158" s="25">
        <f>IF(E158="","",IF(COUNTIF(lst_Jobs,E158&amp;"")&gt;0,"OK","CHECK"))</f>
        <v/>
      </c>
      <c r="G158" s="24" t="inlineStr">
        <is>
          <t>QQT &amp; 8PSQ_Crestron Connect Adaptor</t>
        </is>
      </c>
      <c r="H158" s="24" t="inlineStr">
        <is>
          <t>Consulting</t>
        </is>
      </c>
      <c r="I158" s="24" t="inlineStr">
        <is>
          <t>INTEGRATION</t>
        </is>
      </c>
      <c r="J158" s="24" t="inlineStr">
        <is>
          <t>Project</t>
        </is>
      </c>
      <c r="K158" s="24" t="inlineStr">
        <is>
          <t>GST 10%</t>
        </is>
      </c>
      <c r="L158" s="26" t="n">
        <v>20128</v>
      </c>
      <c r="M158" s="27">
        <f>IF(L158="","",IF(K158="GST 10%",ROUND(L158*set_GSTRate,2),0))</f>
        <v/>
      </c>
      <c r="N158" s="27">
        <f>IF(L158="","",L158+M158)</f>
        <v/>
      </c>
      <c r="O158" s="24" t="inlineStr">
        <is>
          <t>42300</t>
        </is>
      </c>
      <c r="P158" s="24" t="inlineStr">
        <is>
          <t>Y</t>
        </is>
      </c>
      <c r="Q158" s="24" t="inlineStr">
        <is>
          <t>N</t>
        </is>
      </c>
      <c r="R158" s="22" t="n"/>
      <c r="S158" s="22" t="n"/>
      <c r="T158" s="24" t="inlineStr">
        <is>
          <t>To Invoice</t>
        </is>
      </c>
      <c r="U158" s="24" t="n"/>
      <c r="V158" s="25">
        <f>IF(COUNTA(A158,D158,C158,L158)=0,"",IF(A158="","No date - sits outside every month",IF(E158="","No job number",IF(F158="CHECK","Job number is not in the Xero job list",IF(I158="","No cost centre",IF(AND(P158="Y",C158=""),"Marked posted to Xero but has no invoice number",IF(AND(L158&lt;&gt;"",K158=""),"No tax code",IF(AND(L158&lt;&gt;"",O158=""),"No revenue GL code",""))))))))</f>
        <v/>
      </c>
      <c r="W158" s="25">
        <f>IF(E158="","",IFERROR(INDEX(lst_JobName,MATCH(E158&amp;"",lst_Jobs,0)),""))</f>
        <v/>
      </c>
      <c r="X158" s="28">
        <f>IF(E158="","",COUNTIFS(tbl_Finance[Job Number],E158&amp;"",tbl_Finance[Ex GST],"&lt;&gt;"))</f>
        <v/>
      </c>
      <c r="Y158" s="27">
        <f>IF(E158="","",SUMIFS(tbl_Finance[Ex GST],tbl_Finance[Job Number],E158&amp;""))</f>
        <v/>
      </c>
      <c r="Z158" s="27">
        <f>IF(E158="","",SUMIFS(tbl_Finance[Ex GST],tbl_Finance[Job Number],E158&amp;"",tbl_Finance[Xero Invoice No],"&lt;&gt;"))</f>
        <v/>
      </c>
      <c r="AA158" s="27">
        <f>IF(E158="","",Y158-Z158)</f>
        <v/>
      </c>
      <c r="AB158" s="25">
        <f>IF(E158="","",IF(H158="Onsite",IFERROR(INDEX(tbl_Onsite[Qwilr Quote],MATCH(E158&amp;"",tbl_Onsite[Job Number],0)),""),IF(H158="Production",IFERROR(IF(INDEX(tbl_Production[Current RMS No],MATCH(E158&amp;"",tbl_Production[Job Number],0))="",INDEX(tbl_Production[Qwilr Quote],MATCH(E158&amp;"",tbl_Production[Job Number],0)),INDEX(tbl_Production[Current RMS No],MATCH(E158&amp;"",tbl_Production[Job Number],0))),""),IF(H158="Consulting",IFERROR(INDEX(tbl_Consulting[Qwilr Quote],MATCH(E158&amp;"",tbl_Consulting[Job Number],0)),""),""))))</f>
        <v/>
      </c>
      <c r="AC158" s="25">
        <f>IF(AB158="","",IF(AND(LEFT(AB158,4)&lt;&gt;"http",IF(H158="Production",set_RMSBase,set_QwilrBase)=""),"",HYPERLINK(IF(LEFT(AB158,4)="http",AB158,IF(H158="Production",set_RMSBase,set_QwilrBase)&amp;AB158),"Open")))</f>
        <v/>
      </c>
      <c r="AD158" s="27">
        <f>IF(E158="","",IF(H158="Production",IFERROR(INDEX(tbl_Production[Total Expense],MATCH(E158&amp;"",tbl_Production[Job Number],0)),0),IF(H158="Consulting",IFERROR(INDEX(tbl_Consulting[Total Expense],MATCH(E158&amp;"",tbl_Consulting[Job Number],0)),0),0)))</f>
        <v/>
      </c>
      <c r="AE158" s="27">
        <f>IF(E158="","",Y158-N(AD158))</f>
        <v/>
      </c>
      <c r="AF158" s="29">
        <f>IFERROR(AE158/Y158,"")</f>
        <v/>
      </c>
      <c r="AG158" s="25">
        <f>IF(E158="","",IF(H158="Onsite",IFERROR(INDEX(tbl_Onsite[Notes],MATCH(E158&amp;"",tbl_Onsite[Job Number],0)),""),IF(H158="Production",IFERROR(INDEX(tbl_Production[Notes],MATCH(E158&amp;"",tbl_Production[Job Number],0)),""),IF(H158="Consulting",IFERROR(INDEX(tbl_Consulting[Notes],MATCH(E158&amp;"",tbl_Consulting[Job Number],0)),""),""))))</f>
        <v/>
      </c>
    </row>
    <row r="159" ht="15" customHeight="1">
      <c r="A159" s="22" t="n">
        <v>46203</v>
      </c>
      <c r="B159" s="23">
        <f>IF(A159="","",EOMONTH(A159,0))</f>
        <v/>
      </c>
      <c r="C159" s="24" t="inlineStr">
        <is>
          <t>INV-10355</t>
        </is>
      </c>
      <c r="D159" s="24" t="inlineStr">
        <is>
          <t>DTTL</t>
        </is>
      </c>
      <c r="E159" s="24" t="inlineStr">
        <is>
          <t>26033006</t>
        </is>
      </c>
      <c r="F159" s="25">
        <f>IF(E159="","",IF(COUNTIF(lst_Jobs,E159&amp;"")&gt;0,"OK","CHECK"))</f>
        <v/>
      </c>
      <c r="G159" s="24" t="inlineStr">
        <is>
          <t>8PSQ_Bluetooth Audio</t>
        </is>
      </c>
      <c r="H159" s="24" t="inlineStr">
        <is>
          <t>Consulting</t>
        </is>
      </c>
      <c r="I159" s="24" t="inlineStr">
        <is>
          <t>INTEGRATION</t>
        </is>
      </c>
      <c r="J159" s="24" t="inlineStr">
        <is>
          <t>Project</t>
        </is>
      </c>
      <c r="K159" s="24" t="inlineStr">
        <is>
          <t>GST 10%</t>
        </is>
      </c>
      <c r="L159" s="26" t="n">
        <v>5065</v>
      </c>
      <c r="M159" s="27">
        <f>IF(L159="","",IF(K159="GST 10%",ROUND(L159*set_GSTRate,2),0))</f>
        <v/>
      </c>
      <c r="N159" s="27">
        <f>IF(L159="","",L159+M159)</f>
        <v/>
      </c>
      <c r="O159" s="24" t="inlineStr">
        <is>
          <t>42300</t>
        </is>
      </c>
      <c r="P159" s="24" t="inlineStr">
        <is>
          <t>Y</t>
        </is>
      </c>
      <c r="Q159" s="24" t="inlineStr">
        <is>
          <t>N</t>
        </is>
      </c>
      <c r="R159" s="22" t="n"/>
      <c r="S159" s="22" t="n"/>
      <c r="T159" s="24" t="inlineStr">
        <is>
          <t>To Invoice</t>
        </is>
      </c>
      <c r="U159" s="24" t="n"/>
      <c r="V159" s="25">
        <f>IF(COUNTA(A159,D159,C159,L159)=0,"",IF(A159="","No date - sits outside every month",IF(E159="","No job number",IF(F159="CHECK","Job number is not in the Xero job list",IF(I159="","No cost centre",IF(AND(P159="Y",C159=""),"Marked posted to Xero but has no invoice number",IF(AND(L159&lt;&gt;"",K159=""),"No tax code",IF(AND(L159&lt;&gt;"",O159=""),"No revenue GL code",""))))))))</f>
        <v/>
      </c>
      <c r="W159" s="25">
        <f>IF(E159="","",IFERROR(INDEX(lst_JobName,MATCH(E159&amp;"",lst_Jobs,0)),""))</f>
        <v/>
      </c>
      <c r="X159" s="28">
        <f>IF(E159="","",COUNTIFS(tbl_Finance[Job Number],E159&amp;"",tbl_Finance[Ex GST],"&lt;&gt;"))</f>
        <v/>
      </c>
      <c r="Y159" s="27">
        <f>IF(E159="","",SUMIFS(tbl_Finance[Ex GST],tbl_Finance[Job Number],E159&amp;""))</f>
        <v/>
      </c>
      <c r="Z159" s="27">
        <f>IF(E159="","",SUMIFS(tbl_Finance[Ex GST],tbl_Finance[Job Number],E159&amp;"",tbl_Finance[Xero Invoice No],"&lt;&gt;"))</f>
        <v/>
      </c>
      <c r="AA159" s="27">
        <f>IF(E159="","",Y159-Z159)</f>
        <v/>
      </c>
      <c r="AB159" s="25">
        <f>IF(E159="","",IF(H159="Onsite",IFERROR(INDEX(tbl_Onsite[Qwilr Quote],MATCH(E159&amp;"",tbl_Onsite[Job Number],0)),""),IF(H159="Production",IFERROR(IF(INDEX(tbl_Production[Current RMS No],MATCH(E159&amp;"",tbl_Production[Job Number],0))="",INDEX(tbl_Production[Qwilr Quote],MATCH(E159&amp;"",tbl_Production[Job Number],0)),INDEX(tbl_Production[Current RMS No],MATCH(E159&amp;"",tbl_Production[Job Number],0))),""),IF(H159="Consulting",IFERROR(INDEX(tbl_Consulting[Qwilr Quote],MATCH(E159&amp;"",tbl_Consulting[Job Number],0)),""),""))))</f>
        <v/>
      </c>
      <c r="AC159" s="25">
        <f>IF(AB159="","",IF(AND(LEFT(AB159,4)&lt;&gt;"http",IF(H159="Production",set_RMSBase,set_QwilrBase)=""),"",HYPERLINK(IF(LEFT(AB159,4)="http",AB159,IF(H159="Production",set_RMSBase,set_QwilrBase)&amp;AB159),"Open")))</f>
        <v/>
      </c>
      <c r="AD159" s="27">
        <f>IF(E159="","",IF(H159="Production",IFERROR(INDEX(tbl_Production[Total Expense],MATCH(E159&amp;"",tbl_Production[Job Number],0)),0),IF(H159="Consulting",IFERROR(INDEX(tbl_Consulting[Total Expense],MATCH(E159&amp;"",tbl_Consulting[Job Number],0)),0),0)))</f>
        <v/>
      </c>
      <c r="AE159" s="27">
        <f>IF(E159="","",Y159-N(AD159))</f>
        <v/>
      </c>
      <c r="AF159" s="29">
        <f>IFERROR(AE159/Y159,"")</f>
        <v/>
      </c>
      <c r="AG159" s="25">
        <f>IF(E159="","",IF(H159="Onsite",IFERROR(INDEX(tbl_Onsite[Notes],MATCH(E159&amp;"",tbl_Onsite[Job Number],0)),""),IF(H159="Production",IFERROR(INDEX(tbl_Production[Notes],MATCH(E159&amp;"",tbl_Production[Job Number],0)),""),IF(H159="Consulting",IFERROR(INDEX(tbl_Consulting[Notes],MATCH(E159&amp;"",tbl_Consulting[Job Number],0)),""),""))))</f>
        <v/>
      </c>
    </row>
    <row r="160" ht="15" customHeight="1">
      <c r="A160" s="22" t="n">
        <v>46203</v>
      </c>
      <c r="B160" s="23">
        <f>IF(A160="","",EOMONTH(A160,0))</f>
        <v/>
      </c>
      <c r="C160" s="24" t="inlineStr">
        <is>
          <t>INV-10355</t>
        </is>
      </c>
      <c r="D160" s="24" t="inlineStr">
        <is>
          <t>DTTL</t>
        </is>
      </c>
      <c r="E160" s="24" t="inlineStr">
        <is>
          <t>26033007</t>
        </is>
      </c>
      <c r="F160" s="25">
        <f>IF(E160="","",IF(COUNTIF(lst_Jobs,E160&amp;"")&gt;0,"OK","CHECK"))</f>
        <v/>
      </c>
      <c r="G160" s="24" t="inlineStr">
        <is>
          <t>QQT_Lv45 Seminar-Wheels repair</t>
        </is>
      </c>
      <c r="H160" s="24" t="inlineStr">
        <is>
          <t>Consulting</t>
        </is>
      </c>
      <c r="I160" s="24" t="inlineStr">
        <is>
          <t>INTEGRATION</t>
        </is>
      </c>
      <c r="J160" s="24" t="inlineStr">
        <is>
          <t>Project</t>
        </is>
      </c>
      <c r="K160" s="24" t="inlineStr">
        <is>
          <t>GST 10%</t>
        </is>
      </c>
      <c r="L160" s="26" t="n">
        <v>354</v>
      </c>
      <c r="M160" s="27">
        <f>IF(L160="","",IF(K160="GST 10%",ROUND(L160*set_GSTRate,2),0))</f>
        <v/>
      </c>
      <c r="N160" s="27">
        <f>IF(L160="","",L160+M160)</f>
        <v/>
      </c>
      <c r="O160" s="24" t="inlineStr">
        <is>
          <t>42300</t>
        </is>
      </c>
      <c r="P160" s="24" t="inlineStr">
        <is>
          <t>Y</t>
        </is>
      </c>
      <c r="Q160" s="24" t="inlineStr">
        <is>
          <t>N</t>
        </is>
      </c>
      <c r="R160" s="22" t="n"/>
      <c r="S160" s="22" t="n"/>
      <c r="T160" s="24" t="inlineStr">
        <is>
          <t>To Invoice</t>
        </is>
      </c>
      <c r="U160" s="24" t="n"/>
      <c r="V160" s="25">
        <f>IF(COUNTA(A160,D160,C160,L160)=0,"",IF(A160="","No date - sits outside every month",IF(E160="","No job number",IF(F160="CHECK","Job number is not in the Xero job list",IF(I160="","No cost centre",IF(AND(P160="Y",C160=""),"Marked posted to Xero but has no invoice number",IF(AND(L160&lt;&gt;"",K160=""),"No tax code",IF(AND(L160&lt;&gt;"",O160=""),"No revenue GL code",""))))))))</f>
        <v/>
      </c>
      <c r="W160" s="25">
        <f>IF(E160="","",IFERROR(INDEX(lst_JobName,MATCH(E160&amp;"",lst_Jobs,0)),""))</f>
        <v/>
      </c>
      <c r="X160" s="28">
        <f>IF(E160="","",COUNTIFS(tbl_Finance[Job Number],E160&amp;"",tbl_Finance[Ex GST],"&lt;&gt;"))</f>
        <v/>
      </c>
      <c r="Y160" s="27">
        <f>IF(E160="","",SUMIFS(tbl_Finance[Ex GST],tbl_Finance[Job Number],E160&amp;""))</f>
        <v/>
      </c>
      <c r="Z160" s="27">
        <f>IF(E160="","",SUMIFS(tbl_Finance[Ex GST],tbl_Finance[Job Number],E160&amp;"",tbl_Finance[Xero Invoice No],"&lt;&gt;"))</f>
        <v/>
      </c>
      <c r="AA160" s="27">
        <f>IF(E160="","",Y160-Z160)</f>
        <v/>
      </c>
      <c r="AB160" s="25">
        <f>IF(E160="","",IF(H160="Onsite",IFERROR(INDEX(tbl_Onsite[Qwilr Quote],MATCH(E160&amp;"",tbl_Onsite[Job Number],0)),""),IF(H160="Production",IFERROR(IF(INDEX(tbl_Production[Current RMS No],MATCH(E160&amp;"",tbl_Production[Job Number],0))="",INDEX(tbl_Production[Qwilr Quote],MATCH(E160&amp;"",tbl_Production[Job Number],0)),INDEX(tbl_Production[Current RMS No],MATCH(E160&amp;"",tbl_Production[Job Number],0))),""),IF(H160="Consulting",IFERROR(INDEX(tbl_Consulting[Qwilr Quote],MATCH(E160&amp;"",tbl_Consulting[Job Number],0)),""),""))))</f>
        <v/>
      </c>
      <c r="AC160" s="25">
        <f>IF(AB160="","",IF(AND(LEFT(AB160,4)&lt;&gt;"http",IF(H160="Production",set_RMSBase,set_QwilrBase)=""),"",HYPERLINK(IF(LEFT(AB160,4)="http",AB160,IF(H160="Production",set_RMSBase,set_QwilrBase)&amp;AB160),"Open")))</f>
        <v/>
      </c>
      <c r="AD160" s="27">
        <f>IF(E160="","",IF(H160="Production",IFERROR(INDEX(tbl_Production[Total Expense],MATCH(E160&amp;"",tbl_Production[Job Number],0)),0),IF(H160="Consulting",IFERROR(INDEX(tbl_Consulting[Total Expense],MATCH(E160&amp;"",tbl_Consulting[Job Number],0)),0),0)))</f>
        <v/>
      </c>
      <c r="AE160" s="27">
        <f>IF(E160="","",Y160-N(AD160))</f>
        <v/>
      </c>
      <c r="AF160" s="29">
        <f>IFERROR(AE160/Y160,"")</f>
        <v/>
      </c>
      <c r="AG160" s="25">
        <f>IF(E160="","",IF(H160="Onsite",IFERROR(INDEX(tbl_Onsite[Notes],MATCH(E160&amp;"",tbl_Onsite[Job Number],0)),""),IF(H160="Production",IFERROR(INDEX(tbl_Production[Notes],MATCH(E160&amp;"",tbl_Production[Job Number],0)),""),IF(H160="Consulting",IFERROR(INDEX(tbl_Consulting[Notes],MATCH(E160&amp;"",tbl_Consulting[Job Number],0)),""),""))))</f>
        <v/>
      </c>
    </row>
    <row r="161" ht="15" customHeight="1">
      <c r="A161" s="22" t="n">
        <v>46209</v>
      </c>
      <c r="B161" s="23">
        <f>IF(A161="","",EOMONTH(A161,0))</f>
        <v/>
      </c>
      <c r="C161" s="24" t="inlineStr">
        <is>
          <t>INV-10516</t>
        </is>
      </c>
      <c r="D161" s="24" t="inlineStr">
        <is>
          <t>HP Poly - BAE</t>
        </is>
      </c>
      <c r="E161" s="24" t="inlineStr">
        <is>
          <t>26051301</t>
        </is>
      </c>
      <c r="F161" s="25">
        <f>IF(E161="","",IF(COUNTIF(lst_Jobs,E161&amp;"")&gt;0,"OK","CHECK"))</f>
        <v/>
      </c>
      <c r="G161" s="24" t="inlineStr">
        <is>
          <t>Phone Mod</t>
        </is>
      </c>
      <c r="H161" s="24" t="inlineStr">
        <is>
          <t>Consulting</t>
        </is>
      </c>
      <c r="I161" s="24" t="inlineStr">
        <is>
          <t>INTEGRATION</t>
        </is>
      </c>
      <c r="J161" s="24" t="inlineStr">
        <is>
          <t>Project</t>
        </is>
      </c>
      <c r="K161" s="24" t="inlineStr">
        <is>
          <t>GST 10%</t>
        </is>
      </c>
      <c r="L161" s="26" t="n">
        <v>1161</v>
      </c>
      <c r="M161" s="27">
        <f>IF(L161="","",IF(K161="GST 10%",ROUND(L161*set_GSTRate,2),0))</f>
        <v/>
      </c>
      <c r="N161" s="27">
        <f>IF(L161="","",L161+M161)</f>
        <v/>
      </c>
      <c r="O161" s="24" t="inlineStr">
        <is>
          <t>42300</t>
        </is>
      </c>
      <c r="P161" s="24" t="inlineStr">
        <is>
          <t>Y</t>
        </is>
      </c>
      <c r="Q161" s="24" t="inlineStr">
        <is>
          <t>N</t>
        </is>
      </c>
      <c r="R161" s="22" t="n"/>
      <c r="S161" s="22" t="n"/>
      <c r="T161" s="24" t="inlineStr">
        <is>
          <t>Paid</t>
        </is>
      </c>
      <c r="U161" s="24" t="n"/>
      <c r="V161" s="25">
        <f>IF(COUNTA(A161,D161,C161,L161)=0,"",IF(A161="","No date - sits outside every month",IF(E161="","No job number",IF(F161="CHECK","Job number is not in the Xero job list",IF(I161="","No cost centre",IF(AND(P161="Y",C161=""),"Marked posted to Xero but has no invoice number",IF(AND(L161&lt;&gt;"",K161=""),"No tax code",IF(AND(L161&lt;&gt;"",O161=""),"No revenue GL code",""))))))))</f>
        <v/>
      </c>
      <c r="W161" s="25">
        <f>IF(E161="","",IFERROR(INDEX(lst_JobName,MATCH(E161&amp;"",lst_Jobs,0)),""))</f>
        <v/>
      </c>
      <c r="X161" s="28">
        <f>IF(E161="","",COUNTIFS(tbl_Finance[Job Number],E161&amp;"",tbl_Finance[Ex GST],"&lt;&gt;"))</f>
        <v/>
      </c>
      <c r="Y161" s="27">
        <f>IF(E161="","",SUMIFS(tbl_Finance[Ex GST],tbl_Finance[Job Number],E161&amp;""))</f>
        <v/>
      </c>
      <c r="Z161" s="27">
        <f>IF(E161="","",SUMIFS(tbl_Finance[Ex GST],tbl_Finance[Job Number],E161&amp;"",tbl_Finance[Xero Invoice No],"&lt;&gt;"))</f>
        <v/>
      </c>
      <c r="AA161" s="27">
        <f>IF(E161="","",Y161-Z161)</f>
        <v/>
      </c>
      <c r="AB161" s="25">
        <f>IF(E161="","",IF(H161="Onsite",IFERROR(INDEX(tbl_Onsite[Qwilr Quote],MATCH(E161&amp;"",tbl_Onsite[Job Number],0)),""),IF(H161="Production",IFERROR(IF(INDEX(tbl_Production[Current RMS No],MATCH(E161&amp;"",tbl_Production[Job Number],0))="",INDEX(tbl_Production[Qwilr Quote],MATCH(E161&amp;"",tbl_Production[Job Number],0)),INDEX(tbl_Production[Current RMS No],MATCH(E161&amp;"",tbl_Production[Job Number],0))),""),IF(H161="Consulting",IFERROR(INDEX(tbl_Consulting[Qwilr Quote],MATCH(E161&amp;"",tbl_Consulting[Job Number],0)),""),""))))</f>
        <v/>
      </c>
      <c r="AC161" s="25">
        <f>IF(AB161="","",IF(AND(LEFT(AB161,4)&lt;&gt;"http",IF(H161="Production",set_RMSBase,set_QwilrBase)=""),"",HYPERLINK(IF(LEFT(AB161,4)="http",AB161,IF(H161="Production",set_RMSBase,set_QwilrBase)&amp;AB161),"Open")))</f>
        <v/>
      </c>
      <c r="AD161" s="27">
        <f>IF(E161="","",IF(H161="Production",IFERROR(INDEX(tbl_Production[Total Expense],MATCH(E161&amp;"",tbl_Production[Job Number],0)),0),IF(H161="Consulting",IFERROR(INDEX(tbl_Consulting[Total Expense],MATCH(E161&amp;"",tbl_Consulting[Job Number],0)),0),0)))</f>
        <v/>
      </c>
      <c r="AE161" s="27">
        <f>IF(E161="","",Y161-N(AD161))</f>
        <v/>
      </c>
      <c r="AF161" s="29">
        <f>IFERROR(AE161/Y161,"")</f>
        <v/>
      </c>
      <c r="AG161" s="25">
        <f>IF(E161="","",IF(H161="Onsite",IFERROR(INDEX(tbl_Onsite[Notes],MATCH(E161&amp;"",tbl_Onsite[Job Number],0)),""),IF(H161="Production",IFERROR(INDEX(tbl_Production[Notes],MATCH(E161&amp;"",tbl_Production[Job Number],0)),""),IF(H161="Consulting",IFERROR(INDEX(tbl_Consulting[Notes],MATCH(E161&amp;"",tbl_Consulting[Job Number],0)),""),""))))</f>
        <v/>
      </c>
    </row>
    <row r="162" ht="15" customHeight="1">
      <c r="A162" s="22" t="n">
        <v>46233</v>
      </c>
      <c r="B162" s="23">
        <f>IF(A162="","",EOMONTH(A162,0))</f>
        <v/>
      </c>
      <c r="C162" s="24" t="inlineStr">
        <is>
          <t>INV-10546</t>
        </is>
      </c>
      <c r="D162" s="24" t="inlineStr">
        <is>
          <t>DTTL</t>
        </is>
      </c>
      <c r="E162" s="24" t="inlineStr">
        <is>
          <t>26061501</t>
        </is>
      </c>
      <c r="F162" s="25">
        <f>IF(E162="","",IF(COUNTIF(lst_Jobs,E162&amp;"")&gt;0,"OK","CHECK"))</f>
        <v/>
      </c>
      <c r="G162" s="24" t="inlineStr">
        <is>
          <t>MEL Lv29 Display Supply</t>
        </is>
      </c>
      <c r="H162" s="24" t="inlineStr">
        <is>
          <t>Consulting</t>
        </is>
      </c>
      <c r="I162" s="24" t="inlineStr">
        <is>
          <t>INTEGRATION</t>
        </is>
      </c>
      <c r="J162" s="24" t="inlineStr">
        <is>
          <t>Project</t>
        </is>
      </c>
      <c r="K162" s="24" t="inlineStr">
        <is>
          <t>GST 10%</t>
        </is>
      </c>
      <c r="L162" s="26" t="n">
        <v>3890</v>
      </c>
      <c r="M162" s="27">
        <f>IF(L162="","",IF(K162="GST 10%",ROUND(L162*set_GSTRate,2),0))</f>
        <v/>
      </c>
      <c r="N162" s="27">
        <f>IF(L162="","",L162+M162)</f>
        <v/>
      </c>
      <c r="O162" s="24" t="inlineStr">
        <is>
          <t>42300</t>
        </is>
      </c>
      <c r="P162" s="24" t="inlineStr">
        <is>
          <t>Y</t>
        </is>
      </c>
      <c r="Q162" s="24" t="inlineStr">
        <is>
          <t>N</t>
        </is>
      </c>
      <c r="R162" s="22" t="n"/>
      <c r="S162" s="22" t="n"/>
      <c r="T162" s="24" t="inlineStr">
        <is>
          <t>Paid</t>
        </is>
      </c>
      <c r="U162" s="24" t="n"/>
      <c r="V162" s="25">
        <f>IF(COUNTA(A162,D162,C162,L162)=0,"",IF(A162="","No date - sits outside every month",IF(E162="","No job number",IF(F162="CHECK","Job number is not in the Xero job list",IF(I162="","No cost centre",IF(AND(P162="Y",C162=""),"Marked posted to Xero but has no invoice number",IF(AND(L162&lt;&gt;"",K162=""),"No tax code",IF(AND(L162&lt;&gt;"",O162=""),"No revenue GL code",""))))))))</f>
        <v/>
      </c>
      <c r="W162" s="25">
        <f>IF(E162="","",IFERROR(INDEX(lst_JobName,MATCH(E162&amp;"",lst_Jobs,0)),""))</f>
        <v/>
      </c>
      <c r="X162" s="28">
        <f>IF(E162="","",COUNTIFS(tbl_Finance[Job Number],E162&amp;"",tbl_Finance[Ex GST],"&lt;&gt;"))</f>
        <v/>
      </c>
      <c r="Y162" s="27">
        <f>IF(E162="","",SUMIFS(tbl_Finance[Ex GST],tbl_Finance[Job Number],E162&amp;""))</f>
        <v/>
      </c>
      <c r="Z162" s="27">
        <f>IF(E162="","",SUMIFS(tbl_Finance[Ex GST],tbl_Finance[Job Number],E162&amp;"",tbl_Finance[Xero Invoice No],"&lt;&gt;"))</f>
        <v/>
      </c>
      <c r="AA162" s="27">
        <f>IF(E162="","",Y162-Z162)</f>
        <v/>
      </c>
      <c r="AB162" s="25">
        <f>IF(E162="","",IF(H162="Onsite",IFERROR(INDEX(tbl_Onsite[Qwilr Quote],MATCH(E162&amp;"",tbl_Onsite[Job Number],0)),""),IF(H162="Production",IFERROR(IF(INDEX(tbl_Production[Current RMS No],MATCH(E162&amp;"",tbl_Production[Job Number],0))="",INDEX(tbl_Production[Qwilr Quote],MATCH(E162&amp;"",tbl_Production[Job Number],0)),INDEX(tbl_Production[Current RMS No],MATCH(E162&amp;"",tbl_Production[Job Number],0))),""),IF(H162="Consulting",IFERROR(INDEX(tbl_Consulting[Qwilr Quote],MATCH(E162&amp;"",tbl_Consulting[Job Number],0)),""),""))))</f>
        <v/>
      </c>
      <c r="AC162" s="25">
        <f>IF(AB162="","",IF(AND(LEFT(AB162,4)&lt;&gt;"http",IF(H162="Production",set_RMSBase,set_QwilrBase)=""),"",HYPERLINK(IF(LEFT(AB162,4)="http",AB162,IF(H162="Production",set_RMSBase,set_QwilrBase)&amp;AB162),"Open")))</f>
        <v/>
      </c>
      <c r="AD162" s="27">
        <f>IF(E162="","",IF(H162="Production",IFERROR(INDEX(tbl_Production[Total Expense],MATCH(E162&amp;"",tbl_Production[Job Number],0)),0),IF(H162="Consulting",IFERROR(INDEX(tbl_Consulting[Total Expense],MATCH(E162&amp;"",tbl_Consulting[Job Number],0)),0),0)))</f>
        <v/>
      </c>
      <c r="AE162" s="27">
        <f>IF(E162="","",Y162-N(AD162))</f>
        <v/>
      </c>
      <c r="AF162" s="29">
        <f>IFERROR(AE162/Y162,"")</f>
        <v/>
      </c>
      <c r="AG162" s="25">
        <f>IF(E162="","",IF(H162="Onsite",IFERROR(INDEX(tbl_Onsite[Notes],MATCH(E162&amp;"",tbl_Onsite[Job Number],0)),""),IF(H162="Production",IFERROR(INDEX(tbl_Production[Notes],MATCH(E162&amp;"",tbl_Production[Job Number],0)),""),IF(H162="Consulting",IFERROR(INDEX(tbl_Consulting[Notes],MATCH(E162&amp;"",tbl_Consulting[Job Number],0)),""),""))))</f>
        <v/>
      </c>
    </row>
    <row r="163" ht="15" customHeight="1">
      <c r="A163" s="22" t="n">
        <v>46233</v>
      </c>
      <c r="B163" s="23">
        <f>IF(A163="","",EOMONTH(A163,0))</f>
        <v/>
      </c>
      <c r="C163" s="24" t="inlineStr">
        <is>
          <t>INV-10546</t>
        </is>
      </c>
      <c r="D163" s="24" t="inlineStr">
        <is>
          <t>DTTL</t>
        </is>
      </c>
      <c r="E163" s="24" t="inlineStr">
        <is>
          <t>2605605</t>
        </is>
      </c>
      <c r="F163" s="25">
        <f>IF(E163="","",IF(COUNTIF(lst_Jobs,E163&amp;"")&gt;0,"OK","CHECK"))</f>
        <v/>
      </c>
      <c r="G163" s="24" t="inlineStr">
        <is>
          <t>HBA AV Fitout</t>
        </is>
      </c>
      <c r="H163" s="24" t="inlineStr">
        <is>
          <t>Consulting</t>
        </is>
      </c>
      <c r="I163" s="24" t="inlineStr">
        <is>
          <t>INTEGRATION</t>
        </is>
      </c>
      <c r="J163" s="24" t="inlineStr">
        <is>
          <t>Project</t>
        </is>
      </c>
      <c r="K163" s="24" t="inlineStr">
        <is>
          <t>GST 10%</t>
        </is>
      </c>
      <c r="L163" s="26" t="n">
        <v>60348</v>
      </c>
      <c r="M163" s="27">
        <f>IF(L163="","",IF(K163="GST 10%",ROUND(L163*set_GSTRate,2),0))</f>
        <v/>
      </c>
      <c r="N163" s="27">
        <f>IF(L163="","",L163+M163)</f>
        <v/>
      </c>
      <c r="O163" s="24" t="inlineStr">
        <is>
          <t>42300</t>
        </is>
      </c>
      <c r="P163" s="24" t="inlineStr">
        <is>
          <t>Y</t>
        </is>
      </c>
      <c r="Q163" s="24" t="inlineStr">
        <is>
          <t>N</t>
        </is>
      </c>
      <c r="R163" s="22" t="n"/>
      <c r="S163" s="22" t="n"/>
      <c r="T163" s="24" t="inlineStr">
        <is>
          <t>To Invoice</t>
        </is>
      </c>
      <c r="U163" s="24" t="n"/>
      <c r="V163" s="25">
        <f>IF(COUNTA(A163,D163,C163,L163)=0,"",IF(A163="","No date - sits outside every month",IF(E163="","No job number",IF(F163="CHECK","Job number is not in the Xero job list",IF(I163="","No cost centre",IF(AND(P163="Y",C163=""),"Marked posted to Xero but has no invoice number",IF(AND(L163&lt;&gt;"",K163=""),"No tax code",IF(AND(L163&lt;&gt;"",O163=""),"No revenue GL code",""))))))))</f>
        <v/>
      </c>
      <c r="W163" s="25">
        <f>IF(E163="","",IFERROR(INDEX(lst_JobName,MATCH(E163&amp;"",lst_Jobs,0)),""))</f>
        <v/>
      </c>
      <c r="X163" s="28">
        <f>IF(E163="","",COUNTIFS(tbl_Finance[Job Number],E163&amp;"",tbl_Finance[Ex GST],"&lt;&gt;"))</f>
        <v/>
      </c>
      <c r="Y163" s="27">
        <f>IF(E163="","",SUMIFS(tbl_Finance[Ex GST],tbl_Finance[Job Number],E163&amp;""))</f>
        <v/>
      </c>
      <c r="Z163" s="27">
        <f>IF(E163="","",SUMIFS(tbl_Finance[Ex GST],tbl_Finance[Job Number],E163&amp;"",tbl_Finance[Xero Invoice No],"&lt;&gt;"))</f>
        <v/>
      </c>
      <c r="AA163" s="27">
        <f>IF(E163="","",Y163-Z163)</f>
        <v/>
      </c>
      <c r="AB163" s="25">
        <f>IF(E163="","",IF(H163="Onsite",IFERROR(INDEX(tbl_Onsite[Qwilr Quote],MATCH(E163&amp;"",tbl_Onsite[Job Number],0)),""),IF(H163="Production",IFERROR(IF(INDEX(tbl_Production[Current RMS No],MATCH(E163&amp;"",tbl_Production[Job Number],0))="",INDEX(tbl_Production[Qwilr Quote],MATCH(E163&amp;"",tbl_Production[Job Number],0)),INDEX(tbl_Production[Current RMS No],MATCH(E163&amp;"",tbl_Production[Job Number],0))),""),IF(H163="Consulting",IFERROR(INDEX(tbl_Consulting[Qwilr Quote],MATCH(E163&amp;"",tbl_Consulting[Job Number],0)),""),""))))</f>
        <v/>
      </c>
      <c r="AC163" s="25">
        <f>IF(AB163="","",IF(AND(LEFT(AB163,4)&lt;&gt;"http",IF(H163="Production",set_RMSBase,set_QwilrBase)=""),"",HYPERLINK(IF(LEFT(AB163,4)="http",AB163,IF(H163="Production",set_RMSBase,set_QwilrBase)&amp;AB163),"Open")))</f>
        <v/>
      </c>
      <c r="AD163" s="27">
        <f>IF(E163="","",IF(H163="Production",IFERROR(INDEX(tbl_Production[Total Expense],MATCH(E163&amp;"",tbl_Production[Job Number],0)),0),IF(H163="Consulting",IFERROR(INDEX(tbl_Consulting[Total Expense],MATCH(E163&amp;"",tbl_Consulting[Job Number],0)),0),0)))</f>
        <v/>
      </c>
      <c r="AE163" s="27">
        <f>IF(E163="","",Y163-N(AD163))</f>
        <v/>
      </c>
      <c r="AF163" s="29">
        <f>IFERROR(AE163/Y163,"")</f>
        <v/>
      </c>
      <c r="AG163" s="25">
        <f>IF(E163="","",IF(H163="Onsite",IFERROR(INDEX(tbl_Onsite[Notes],MATCH(E163&amp;"",tbl_Onsite[Job Number],0)),""),IF(H163="Production",IFERROR(INDEX(tbl_Production[Notes],MATCH(E163&amp;"",tbl_Production[Job Number],0)),""),IF(H163="Consulting",IFERROR(INDEX(tbl_Consulting[Notes],MATCH(E163&amp;"",tbl_Consulting[Job Number],0)),""),""))))</f>
        <v/>
      </c>
    </row>
    <row r="164" ht="15" customHeight="1">
      <c r="A164" s="22" t="n">
        <v>46233</v>
      </c>
      <c r="B164" s="23">
        <f>IF(A164="","",EOMONTH(A164,0))</f>
        <v/>
      </c>
      <c r="C164" s="24" t="inlineStr">
        <is>
          <t>INV-10546</t>
        </is>
      </c>
      <c r="D164" s="24" t="inlineStr">
        <is>
          <t>DTTL</t>
        </is>
      </c>
      <c r="E164" s="24" t="inlineStr">
        <is>
          <t>26052003</t>
        </is>
      </c>
      <c r="F164" s="25">
        <f>IF(E164="","",IF(COUNTIF(lst_Jobs,E164&amp;"")&gt;0,"OK","CHECK"))</f>
        <v/>
      </c>
      <c r="G164" s="24" t="inlineStr">
        <is>
          <t>SYD Mobile Display Supply</t>
        </is>
      </c>
      <c r="H164" s="24" t="inlineStr">
        <is>
          <t>Consulting</t>
        </is>
      </c>
      <c r="I164" s="24" t="inlineStr">
        <is>
          <t>INTEGRATION</t>
        </is>
      </c>
      <c r="J164" s="24" t="inlineStr">
        <is>
          <t>Project</t>
        </is>
      </c>
      <c r="K164" s="24" t="inlineStr">
        <is>
          <t>GST 10%</t>
        </is>
      </c>
      <c r="L164" s="26" t="n">
        <v>7705</v>
      </c>
      <c r="M164" s="27">
        <f>IF(L164="","",IF(K164="GST 10%",ROUND(L164*set_GSTRate,2),0))</f>
        <v/>
      </c>
      <c r="N164" s="27">
        <f>IF(L164="","",L164+M164)</f>
        <v/>
      </c>
      <c r="O164" s="24" t="inlineStr">
        <is>
          <t>42300</t>
        </is>
      </c>
      <c r="P164" s="24" t="inlineStr">
        <is>
          <t>Y</t>
        </is>
      </c>
      <c r="Q164" s="24" t="inlineStr">
        <is>
          <t>N</t>
        </is>
      </c>
      <c r="R164" s="22" t="n"/>
      <c r="S164" s="22" t="n"/>
      <c r="T164" s="24" t="inlineStr">
        <is>
          <t>Paid</t>
        </is>
      </c>
      <c r="U164" s="24" t="inlineStr">
        <is>
          <t>Variation for slot in PC's</t>
        </is>
      </c>
      <c r="V164" s="25">
        <f>IF(COUNTA(A164,D164,C164,L164)=0,"",IF(A164="","No date - sits outside every month",IF(E164="","No job number",IF(F164="CHECK","Job number is not in the Xero job list",IF(I164="","No cost centre",IF(AND(P164="Y",C164=""),"Marked posted to Xero but has no invoice number",IF(AND(L164&lt;&gt;"",K164=""),"No tax code",IF(AND(L164&lt;&gt;"",O164=""),"No revenue GL code",""))))))))</f>
        <v/>
      </c>
      <c r="W164" s="25">
        <f>IF(E164="","",IFERROR(INDEX(lst_JobName,MATCH(E164&amp;"",lst_Jobs,0)),""))</f>
        <v/>
      </c>
      <c r="X164" s="28">
        <f>IF(E164="","",COUNTIFS(tbl_Finance[Job Number],E164&amp;"",tbl_Finance[Ex GST],"&lt;&gt;"))</f>
        <v/>
      </c>
      <c r="Y164" s="27">
        <f>IF(E164="","",SUMIFS(tbl_Finance[Ex GST],tbl_Finance[Job Number],E164&amp;""))</f>
        <v/>
      </c>
      <c r="Z164" s="27">
        <f>IF(E164="","",SUMIFS(tbl_Finance[Ex GST],tbl_Finance[Job Number],E164&amp;"",tbl_Finance[Xero Invoice No],"&lt;&gt;"))</f>
        <v/>
      </c>
      <c r="AA164" s="27">
        <f>IF(E164="","",Y164-Z164)</f>
        <v/>
      </c>
      <c r="AB164" s="25">
        <f>IF(E164="","",IF(H164="Onsite",IFERROR(INDEX(tbl_Onsite[Qwilr Quote],MATCH(E164&amp;"",tbl_Onsite[Job Number],0)),""),IF(H164="Production",IFERROR(IF(INDEX(tbl_Production[Current RMS No],MATCH(E164&amp;"",tbl_Production[Job Number],0))="",INDEX(tbl_Production[Qwilr Quote],MATCH(E164&amp;"",tbl_Production[Job Number],0)),INDEX(tbl_Production[Current RMS No],MATCH(E164&amp;"",tbl_Production[Job Number],0))),""),IF(H164="Consulting",IFERROR(INDEX(tbl_Consulting[Qwilr Quote],MATCH(E164&amp;"",tbl_Consulting[Job Number],0)),""),""))))</f>
        <v/>
      </c>
      <c r="AC164" s="25">
        <f>IF(AB164="","",IF(AND(LEFT(AB164,4)&lt;&gt;"http",IF(H164="Production",set_RMSBase,set_QwilrBase)=""),"",HYPERLINK(IF(LEFT(AB164,4)="http",AB164,IF(H164="Production",set_RMSBase,set_QwilrBase)&amp;AB164),"Open")))</f>
        <v/>
      </c>
      <c r="AD164" s="27">
        <f>IF(E164="","",IF(H164="Production",IFERROR(INDEX(tbl_Production[Total Expense],MATCH(E164&amp;"",tbl_Production[Job Number],0)),0),IF(H164="Consulting",IFERROR(INDEX(tbl_Consulting[Total Expense],MATCH(E164&amp;"",tbl_Consulting[Job Number],0)),0),0)))</f>
        <v/>
      </c>
      <c r="AE164" s="27">
        <f>IF(E164="","",Y164-N(AD164))</f>
        <v/>
      </c>
      <c r="AF164" s="29">
        <f>IFERROR(AE164/Y164,"")</f>
        <v/>
      </c>
      <c r="AG164" s="25">
        <f>IF(E164="","",IF(H164="Onsite",IFERROR(INDEX(tbl_Onsite[Notes],MATCH(E164&amp;"",tbl_Onsite[Job Number],0)),""),IF(H164="Production",IFERROR(INDEX(tbl_Production[Notes],MATCH(E164&amp;"",tbl_Production[Job Number],0)),""),IF(H164="Consulting",IFERROR(INDEX(tbl_Consulting[Notes],MATCH(E164&amp;"",tbl_Consulting[Job Number],0)),""),""))))</f>
        <v/>
      </c>
    </row>
    <row r="165" ht="15" customHeight="1">
      <c r="A165" s="22" t="n">
        <v>46234</v>
      </c>
      <c r="B165" s="23">
        <f>IF(A165="","",EOMONTH(A165,0))</f>
        <v/>
      </c>
      <c r="C165" s="24" t="inlineStr">
        <is>
          <t>INV-10549</t>
        </is>
      </c>
      <c r="D165" s="24" t="inlineStr">
        <is>
          <t>Aware Super</t>
        </is>
      </c>
      <c r="E165" s="24" t="inlineStr">
        <is>
          <t>26072101</t>
        </is>
      </c>
      <c r="F165" s="25">
        <f>IF(E165="","",IF(COUNTIF(lst_Jobs,E165&amp;"")&gt;0,"OK","CHECK"))</f>
        <v/>
      </c>
      <c r="G165" s="24" t="inlineStr">
        <is>
          <t>MEL 17.02 Amp Replacement</t>
        </is>
      </c>
      <c r="H165" s="24" t="inlineStr">
        <is>
          <t>Consulting</t>
        </is>
      </c>
      <c r="I165" s="24" t="inlineStr">
        <is>
          <t>INTEGRATION</t>
        </is>
      </c>
      <c r="J165" s="24" t="inlineStr">
        <is>
          <t>Project</t>
        </is>
      </c>
      <c r="K165" s="24" t="inlineStr">
        <is>
          <t>GST 10%</t>
        </is>
      </c>
      <c r="L165" s="26" t="n">
        <v>6137</v>
      </c>
      <c r="M165" s="27">
        <f>IF(L165="","",IF(K165="GST 10%",ROUND(L165*set_GSTRate,2),0))</f>
        <v/>
      </c>
      <c r="N165" s="27">
        <f>IF(L165="","",L165+M165)</f>
        <v/>
      </c>
      <c r="O165" s="24" t="inlineStr">
        <is>
          <t>42300</t>
        </is>
      </c>
      <c r="P165" s="24" t="inlineStr">
        <is>
          <t>Y</t>
        </is>
      </c>
      <c r="Q165" s="24" t="inlineStr">
        <is>
          <t>N</t>
        </is>
      </c>
      <c r="R165" s="22" t="n"/>
      <c r="S165" s="22" t="n"/>
      <c r="T165" s="24" t="inlineStr">
        <is>
          <t>Paid</t>
        </is>
      </c>
      <c r="U165" s="24" t="n"/>
      <c r="V165" s="25">
        <f>IF(COUNTA(A165,D165,C165,L165)=0,"",IF(A165="","No date - sits outside every month",IF(E165="","No job number",IF(F165="CHECK","Job number is not in the Xero job list",IF(I165="","No cost centre",IF(AND(P165="Y",C165=""),"Marked posted to Xero but has no invoice number",IF(AND(L165&lt;&gt;"",K165=""),"No tax code",IF(AND(L165&lt;&gt;"",O165=""),"No revenue GL code",""))))))))</f>
        <v/>
      </c>
      <c r="W165" s="25">
        <f>IF(E165="","",IFERROR(INDEX(lst_JobName,MATCH(E165&amp;"",lst_Jobs,0)),""))</f>
        <v/>
      </c>
      <c r="X165" s="28">
        <f>IF(E165="","",COUNTIFS(tbl_Finance[Job Number],E165&amp;"",tbl_Finance[Ex GST],"&lt;&gt;"))</f>
        <v/>
      </c>
      <c r="Y165" s="27">
        <f>IF(E165="","",SUMIFS(tbl_Finance[Ex GST],tbl_Finance[Job Number],E165&amp;""))</f>
        <v/>
      </c>
      <c r="Z165" s="27">
        <f>IF(E165="","",SUMIFS(tbl_Finance[Ex GST],tbl_Finance[Job Number],E165&amp;"",tbl_Finance[Xero Invoice No],"&lt;&gt;"))</f>
        <v/>
      </c>
      <c r="AA165" s="27">
        <f>IF(E165="","",Y165-Z165)</f>
        <v/>
      </c>
      <c r="AB165" s="25">
        <f>IF(E165="","",IF(H165="Onsite",IFERROR(INDEX(tbl_Onsite[Qwilr Quote],MATCH(E165&amp;"",tbl_Onsite[Job Number],0)),""),IF(H165="Production",IFERROR(IF(INDEX(tbl_Production[Current RMS No],MATCH(E165&amp;"",tbl_Production[Job Number],0))="",INDEX(tbl_Production[Qwilr Quote],MATCH(E165&amp;"",tbl_Production[Job Number],0)),INDEX(tbl_Production[Current RMS No],MATCH(E165&amp;"",tbl_Production[Job Number],0))),""),IF(H165="Consulting",IFERROR(INDEX(tbl_Consulting[Qwilr Quote],MATCH(E165&amp;"",tbl_Consulting[Job Number],0)),""),""))))</f>
        <v/>
      </c>
      <c r="AC165" s="25">
        <f>IF(AB165="","",IF(AND(LEFT(AB165,4)&lt;&gt;"http",IF(H165="Production",set_RMSBase,set_QwilrBase)=""),"",HYPERLINK(IF(LEFT(AB165,4)="http",AB165,IF(H165="Production",set_RMSBase,set_QwilrBase)&amp;AB165),"Open")))</f>
        <v/>
      </c>
      <c r="AD165" s="27">
        <f>IF(E165="","",IF(H165="Production",IFERROR(INDEX(tbl_Production[Total Expense],MATCH(E165&amp;"",tbl_Production[Job Number],0)),0),IF(H165="Consulting",IFERROR(INDEX(tbl_Consulting[Total Expense],MATCH(E165&amp;"",tbl_Consulting[Job Number],0)),0),0)))</f>
        <v/>
      </c>
      <c r="AE165" s="27">
        <f>IF(E165="","",Y165-N(AD165))</f>
        <v/>
      </c>
      <c r="AF165" s="29">
        <f>IFERROR(AE165/Y165,"")</f>
        <v/>
      </c>
      <c r="AG165" s="25">
        <f>IF(E165="","",IF(H165="Onsite",IFERROR(INDEX(tbl_Onsite[Notes],MATCH(E165&amp;"",tbl_Onsite[Job Number],0)),""),IF(H165="Production",IFERROR(INDEX(tbl_Production[Notes],MATCH(E165&amp;"",tbl_Production[Job Number],0)),""),IF(H165="Consulting",IFERROR(INDEX(tbl_Consulting[Notes],MATCH(E165&amp;"",tbl_Consulting[Job Number],0)),""),""))))</f>
        <v/>
      </c>
    </row>
    <row r="166" ht="15" customHeight="1">
      <c r="A166" s="22" t="n">
        <v>46234</v>
      </c>
      <c r="B166" s="23">
        <f>IF(A166="","",EOMONTH(A166,0))</f>
        <v/>
      </c>
      <c r="C166" s="24" t="inlineStr">
        <is>
          <t>INV-10548</t>
        </is>
      </c>
      <c r="D166" s="24" t="inlineStr">
        <is>
          <t>APA</t>
        </is>
      </c>
      <c r="E166" s="24" t="inlineStr">
        <is>
          <t>2606101</t>
        </is>
      </c>
      <c r="F166" s="25">
        <f>IF(E166="","",IF(COUNTIF(lst_Jobs,E166&amp;"")&gt;0,"OK","CHECK"))</f>
        <v/>
      </c>
      <c r="G166" s="24" t="inlineStr">
        <is>
          <t>Young Eptura Proxyclick Licence Renewal</t>
        </is>
      </c>
      <c r="H166" s="24" t="inlineStr">
        <is>
          <t>Consulting</t>
        </is>
      </c>
      <c r="I166" s="24" t="inlineStr">
        <is>
          <t>INTEGRATION</t>
        </is>
      </c>
      <c r="J166" s="24" t="inlineStr">
        <is>
          <t>Project</t>
        </is>
      </c>
      <c r="K166" s="24" t="inlineStr">
        <is>
          <t>GST 10%</t>
        </is>
      </c>
      <c r="L166" s="26" t="n">
        <v>4205</v>
      </c>
      <c r="M166" s="27">
        <f>IF(L166="","",IF(K166="GST 10%",ROUND(L166*set_GSTRate,2),0))</f>
        <v/>
      </c>
      <c r="N166" s="27">
        <f>IF(L166="","",L166+M166)</f>
        <v/>
      </c>
      <c r="O166" s="24" t="inlineStr">
        <is>
          <t>42300</t>
        </is>
      </c>
      <c r="P166" s="24" t="inlineStr">
        <is>
          <t>Y</t>
        </is>
      </c>
      <c r="Q166" s="24" t="inlineStr">
        <is>
          <t>N</t>
        </is>
      </c>
      <c r="R166" s="22" t="n"/>
      <c r="S166" s="22" t="n"/>
      <c r="T166" s="24" t="inlineStr">
        <is>
          <t>Paid</t>
        </is>
      </c>
      <c r="U166" s="24" t="inlineStr">
        <is>
          <t>01/03/2027 to 29/02/2028</t>
        </is>
      </c>
      <c r="V166" s="25">
        <f>IF(COUNTA(A166,D166,C166,L166)=0,"",IF(A166="","No date - sits outside every month",IF(E166="","No job number",IF(F166="CHECK","Job number is not in the Xero job list",IF(I166="","No cost centre",IF(AND(P166="Y",C166=""),"Marked posted to Xero but has no invoice number",IF(AND(L166&lt;&gt;"",K166=""),"No tax code",IF(AND(L166&lt;&gt;"",O166=""),"No revenue GL code",""))))))))</f>
        <v/>
      </c>
      <c r="W166" s="25">
        <f>IF(E166="","",IFERROR(INDEX(lst_JobName,MATCH(E166&amp;"",lst_Jobs,0)),""))</f>
        <v/>
      </c>
      <c r="X166" s="28">
        <f>IF(E166="","",COUNTIFS(tbl_Finance[Job Number],E166&amp;"",tbl_Finance[Ex GST],"&lt;&gt;"))</f>
        <v/>
      </c>
      <c r="Y166" s="27">
        <f>IF(E166="","",SUMIFS(tbl_Finance[Ex GST],tbl_Finance[Job Number],E166&amp;""))</f>
        <v/>
      </c>
      <c r="Z166" s="27">
        <f>IF(E166="","",SUMIFS(tbl_Finance[Ex GST],tbl_Finance[Job Number],E166&amp;"",tbl_Finance[Xero Invoice No],"&lt;&gt;"))</f>
        <v/>
      </c>
      <c r="AA166" s="27">
        <f>IF(E166="","",Y166-Z166)</f>
        <v/>
      </c>
      <c r="AB166" s="25">
        <f>IF(E166="","",IF(H166="Onsite",IFERROR(INDEX(tbl_Onsite[Qwilr Quote],MATCH(E166&amp;"",tbl_Onsite[Job Number],0)),""),IF(H166="Production",IFERROR(IF(INDEX(tbl_Production[Current RMS No],MATCH(E166&amp;"",tbl_Production[Job Number],0))="",INDEX(tbl_Production[Qwilr Quote],MATCH(E166&amp;"",tbl_Production[Job Number],0)),INDEX(tbl_Production[Current RMS No],MATCH(E166&amp;"",tbl_Production[Job Number],0))),""),IF(H166="Consulting",IFERROR(INDEX(tbl_Consulting[Qwilr Quote],MATCH(E166&amp;"",tbl_Consulting[Job Number],0)),""),""))))</f>
        <v/>
      </c>
      <c r="AC166" s="25">
        <f>IF(AB166="","",IF(AND(LEFT(AB166,4)&lt;&gt;"http",IF(H166="Production",set_RMSBase,set_QwilrBase)=""),"",HYPERLINK(IF(LEFT(AB166,4)="http",AB166,IF(H166="Production",set_RMSBase,set_QwilrBase)&amp;AB166),"Open")))</f>
        <v/>
      </c>
      <c r="AD166" s="27">
        <f>IF(E166="","",IF(H166="Production",IFERROR(INDEX(tbl_Production[Total Expense],MATCH(E166&amp;"",tbl_Production[Job Number],0)),0),IF(H166="Consulting",IFERROR(INDEX(tbl_Consulting[Total Expense],MATCH(E166&amp;"",tbl_Consulting[Job Number],0)),0),0)))</f>
        <v/>
      </c>
      <c r="AE166" s="27">
        <f>IF(E166="","",Y166-N(AD166))</f>
        <v/>
      </c>
      <c r="AF166" s="29">
        <f>IFERROR(AE166/Y166,"")</f>
        <v/>
      </c>
      <c r="AG166" s="25">
        <f>IF(E166="","",IF(H166="Onsite",IFERROR(INDEX(tbl_Onsite[Notes],MATCH(E166&amp;"",tbl_Onsite[Job Number],0)),""),IF(H166="Production",IFERROR(INDEX(tbl_Production[Notes],MATCH(E166&amp;"",tbl_Production[Job Number],0)),""),IF(H166="Consulting",IFERROR(INDEX(tbl_Consulting[Notes],MATCH(E166&amp;"",tbl_Consulting[Job Number],0)),""),""))))</f>
        <v/>
      </c>
    </row>
    <row r="167" ht="15" customHeight="1">
      <c r="A167" s="22" t="n">
        <v>46234</v>
      </c>
      <c r="B167" s="23">
        <f>IF(A167="","",EOMONTH(A167,0))</f>
        <v/>
      </c>
      <c r="C167" s="24" t="inlineStr">
        <is>
          <t>INV-10547</t>
        </is>
      </c>
      <c r="D167" s="24" t="inlineStr">
        <is>
          <t>YSG Studio</t>
        </is>
      </c>
      <c r="E167" s="24" t="inlineStr">
        <is>
          <t>26071304</t>
        </is>
      </c>
      <c r="F167" s="25">
        <f>IF(E167="","",IF(COUNTIF(lst_Jobs,E167&amp;"")&gt;0,"OK","CHECK"))</f>
        <v/>
      </c>
      <c r="G167" s="24" t="inlineStr">
        <is>
          <t>Orange Room Upgrade INT</t>
        </is>
      </c>
      <c r="H167" s="24" t="inlineStr">
        <is>
          <t>Consulting</t>
        </is>
      </c>
      <c r="I167" s="24" t="inlineStr">
        <is>
          <t>INTEGRATION</t>
        </is>
      </c>
      <c r="J167" s="24" t="inlineStr">
        <is>
          <t>Project</t>
        </is>
      </c>
      <c r="K167" s="24" t="inlineStr">
        <is>
          <t>GST 10%</t>
        </is>
      </c>
      <c r="L167" s="26" t="n">
        <v>4702</v>
      </c>
      <c r="M167" s="27">
        <f>IF(L167="","",IF(K167="GST 10%",ROUND(L167*set_GSTRate,2),0))</f>
        <v/>
      </c>
      <c r="N167" s="27">
        <f>IF(L167="","",L167+M167)</f>
        <v/>
      </c>
      <c r="O167" s="24" t="inlineStr">
        <is>
          <t>42300</t>
        </is>
      </c>
      <c r="P167" s="24" t="inlineStr">
        <is>
          <t>Y</t>
        </is>
      </c>
      <c r="Q167" s="24" t="inlineStr">
        <is>
          <t>N</t>
        </is>
      </c>
      <c r="R167" s="22" t="n"/>
      <c r="S167" s="22" t="n"/>
      <c r="T167" s="24" t="inlineStr">
        <is>
          <t>Paid</t>
        </is>
      </c>
      <c r="U167" s="24" t="inlineStr">
        <is>
          <t>Invoice 1/2 Equipment only</t>
        </is>
      </c>
      <c r="V167" s="25">
        <f>IF(COUNTA(A167,D167,C167,L167)=0,"",IF(A167="","No date - sits outside every month",IF(E167="","No job number",IF(F167="CHECK","Job number is not in the Xero job list",IF(I167="","No cost centre",IF(AND(P167="Y",C167=""),"Marked posted to Xero but has no invoice number",IF(AND(L167&lt;&gt;"",K167=""),"No tax code",IF(AND(L167&lt;&gt;"",O167=""),"No revenue GL code",""))))))))</f>
        <v/>
      </c>
      <c r="W167" s="25">
        <f>IF(E167="","",IFERROR(INDEX(lst_JobName,MATCH(E167&amp;"",lst_Jobs,0)),""))</f>
        <v/>
      </c>
      <c r="X167" s="28">
        <f>IF(E167="","",COUNTIFS(tbl_Finance[Job Number],E167&amp;"",tbl_Finance[Ex GST],"&lt;&gt;"))</f>
        <v/>
      </c>
      <c r="Y167" s="27">
        <f>IF(E167="","",SUMIFS(tbl_Finance[Ex GST],tbl_Finance[Job Number],E167&amp;""))</f>
        <v/>
      </c>
      <c r="Z167" s="27">
        <f>IF(E167="","",SUMIFS(tbl_Finance[Ex GST],tbl_Finance[Job Number],E167&amp;"",tbl_Finance[Xero Invoice No],"&lt;&gt;"))</f>
        <v/>
      </c>
      <c r="AA167" s="27">
        <f>IF(E167="","",Y167-Z167)</f>
        <v/>
      </c>
      <c r="AB167" s="25">
        <f>IF(E167="","",IF(H167="Onsite",IFERROR(INDEX(tbl_Onsite[Qwilr Quote],MATCH(E167&amp;"",tbl_Onsite[Job Number],0)),""),IF(H167="Production",IFERROR(IF(INDEX(tbl_Production[Current RMS No],MATCH(E167&amp;"",tbl_Production[Job Number],0))="",INDEX(tbl_Production[Qwilr Quote],MATCH(E167&amp;"",tbl_Production[Job Number],0)),INDEX(tbl_Production[Current RMS No],MATCH(E167&amp;"",tbl_Production[Job Number],0))),""),IF(H167="Consulting",IFERROR(INDEX(tbl_Consulting[Qwilr Quote],MATCH(E167&amp;"",tbl_Consulting[Job Number],0)),""),""))))</f>
        <v/>
      </c>
      <c r="AC167" s="25">
        <f>IF(AB167="","",IF(AND(LEFT(AB167,4)&lt;&gt;"http",IF(H167="Production",set_RMSBase,set_QwilrBase)=""),"",HYPERLINK(IF(LEFT(AB167,4)="http",AB167,IF(H167="Production",set_RMSBase,set_QwilrBase)&amp;AB167),"Open")))</f>
        <v/>
      </c>
      <c r="AD167" s="27">
        <f>IF(E167="","",IF(H167="Production",IFERROR(INDEX(tbl_Production[Total Expense],MATCH(E167&amp;"",tbl_Production[Job Number],0)),0),IF(H167="Consulting",IFERROR(INDEX(tbl_Consulting[Total Expense],MATCH(E167&amp;"",tbl_Consulting[Job Number],0)),0),0)))</f>
        <v/>
      </c>
      <c r="AE167" s="27">
        <f>IF(E167="","",Y167-N(AD167))</f>
        <v/>
      </c>
      <c r="AF167" s="29">
        <f>IFERROR(AE167/Y167,"")</f>
        <v/>
      </c>
      <c r="AG167" s="25">
        <f>IF(E167="","",IF(H167="Onsite",IFERROR(INDEX(tbl_Onsite[Notes],MATCH(E167&amp;"",tbl_Onsite[Job Number],0)),""),IF(H167="Production",IFERROR(INDEX(tbl_Production[Notes],MATCH(E167&amp;"",tbl_Production[Job Number],0)),""),IF(H167="Consulting",IFERROR(INDEX(tbl_Consulting[Notes],MATCH(E167&amp;"",tbl_Consulting[Job Number],0)),""),""))))</f>
        <v/>
      </c>
    </row>
    <row r="168" ht="15" customHeight="1">
      <c r="A168" s="22" t="n">
        <v>46274</v>
      </c>
      <c r="B168" s="23">
        <f>IF(A168="","",EOMONTH(A168,0))</f>
        <v/>
      </c>
      <c r="C168" s="24" t="inlineStr">
        <is>
          <t>To be invoiced 9th Sept 26</t>
        </is>
      </c>
      <c r="D168" s="24" t="inlineStr">
        <is>
          <t>Aware Super</t>
        </is>
      </c>
      <c r="E168" s="24" t="inlineStr">
        <is>
          <t>2604704</t>
        </is>
      </c>
      <c r="F168" s="25">
        <f>IF(E168="","",IF(COUNTIF(lst_Jobs,E168&amp;"")&gt;0,"OK","CHECK"))</f>
        <v/>
      </c>
      <c r="G168" s="24" t="inlineStr">
        <is>
          <t>SYD Seminar Room Audio Upgrade</t>
        </is>
      </c>
      <c r="H168" s="24" t="inlineStr">
        <is>
          <t>Consulting</t>
        </is>
      </c>
      <c r="I168" s="24" t="inlineStr">
        <is>
          <t>INTEGRATION</t>
        </is>
      </c>
      <c r="J168" s="24" t="inlineStr">
        <is>
          <t>Project</t>
        </is>
      </c>
      <c r="K168" s="24" t="inlineStr">
        <is>
          <t>GST 10%</t>
        </is>
      </c>
      <c r="L168" s="26" t="n">
        <v>202647</v>
      </c>
      <c r="M168" s="27">
        <f>IF(L168="","",IF(K168="GST 10%",ROUND(L168*set_GSTRate,2),0))</f>
        <v/>
      </c>
      <c r="N168" s="27">
        <f>IF(L168="","",L168+M168)</f>
        <v/>
      </c>
      <c r="O168" s="24" t="inlineStr">
        <is>
          <t>42300</t>
        </is>
      </c>
      <c r="P168" s="24" t="inlineStr">
        <is>
          <t>Y</t>
        </is>
      </c>
      <c r="Q168" s="24" t="inlineStr">
        <is>
          <t>N</t>
        </is>
      </c>
      <c r="R168" s="22" t="n"/>
      <c r="S168" s="22" t="n"/>
      <c r="T168" s="24" t="inlineStr">
        <is>
          <t>Invoiced</t>
        </is>
      </c>
      <c r="U168" s="24" t="n"/>
      <c r="V168" s="25">
        <f>IF(COUNTA(A168,D168,C168,L168)=0,"",IF(A168="","No date - sits outside every month",IF(E168="","No job number",IF(F168="CHECK","Job number is not in the Xero job list",IF(I168="","No cost centre",IF(AND(P168="Y",C168=""),"Marked posted to Xero but has no invoice number",IF(AND(L168&lt;&gt;"",K168=""),"No tax code",IF(AND(L168&lt;&gt;"",O168=""),"No revenue GL code",""))))))))</f>
        <v/>
      </c>
      <c r="W168" s="25">
        <f>IF(E168="","",IFERROR(INDEX(lst_JobName,MATCH(E168&amp;"",lst_Jobs,0)),""))</f>
        <v/>
      </c>
      <c r="X168" s="28">
        <f>IF(E168="","",COUNTIFS(tbl_Finance[Job Number],E168&amp;"",tbl_Finance[Ex GST],"&lt;&gt;"))</f>
        <v/>
      </c>
      <c r="Y168" s="27">
        <f>IF(E168="","",SUMIFS(tbl_Finance[Ex GST],tbl_Finance[Job Number],E168&amp;""))</f>
        <v/>
      </c>
      <c r="Z168" s="27">
        <f>IF(E168="","",SUMIFS(tbl_Finance[Ex GST],tbl_Finance[Job Number],E168&amp;"",tbl_Finance[Xero Invoice No],"&lt;&gt;"))</f>
        <v/>
      </c>
      <c r="AA168" s="27">
        <f>IF(E168="","",Y168-Z168)</f>
        <v/>
      </c>
      <c r="AB168" s="25">
        <f>IF(E168="","",IF(H168="Onsite",IFERROR(INDEX(tbl_Onsite[Qwilr Quote],MATCH(E168&amp;"",tbl_Onsite[Job Number],0)),""),IF(H168="Production",IFERROR(IF(INDEX(tbl_Production[Current RMS No],MATCH(E168&amp;"",tbl_Production[Job Number],0))="",INDEX(tbl_Production[Qwilr Quote],MATCH(E168&amp;"",tbl_Production[Job Number],0)),INDEX(tbl_Production[Current RMS No],MATCH(E168&amp;"",tbl_Production[Job Number],0))),""),IF(H168="Consulting",IFERROR(INDEX(tbl_Consulting[Qwilr Quote],MATCH(E168&amp;"",tbl_Consulting[Job Number],0)),""),""))))</f>
        <v/>
      </c>
      <c r="AC168" s="25">
        <f>IF(AB168="","",IF(AND(LEFT(AB168,4)&lt;&gt;"http",IF(H168="Production",set_RMSBase,set_QwilrBase)=""),"",HYPERLINK(IF(LEFT(AB168,4)="http",AB168,IF(H168="Production",set_RMSBase,set_QwilrBase)&amp;AB168),"Open")))</f>
        <v/>
      </c>
      <c r="AD168" s="27">
        <f>IF(E168="","",IF(H168="Production",IFERROR(INDEX(tbl_Production[Total Expense],MATCH(E168&amp;"",tbl_Production[Job Number],0)),0),IF(H168="Consulting",IFERROR(INDEX(tbl_Consulting[Total Expense],MATCH(E168&amp;"",tbl_Consulting[Job Number],0)),0),0)))</f>
        <v/>
      </c>
      <c r="AE168" s="27">
        <f>IF(E168="","",Y168-N(AD168))</f>
        <v/>
      </c>
      <c r="AF168" s="29">
        <f>IFERROR(AE168/Y168,"")</f>
        <v/>
      </c>
      <c r="AG168" s="25">
        <f>IF(E168="","",IF(H168="Onsite",IFERROR(INDEX(tbl_Onsite[Notes],MATCH(E168&amp;"",tbl_Onsite[Job Number],0)),""),IF(H168="Production",IFERROR(INDEX(tbl_Production[Notes],MATCH(E168&amp;"",tbl_Production[Job Number],0)),""),IF(H168="Consulting",IFERROR(INDEX(tbl_Consulting[Notes],MATCH(E168&amp;"",tbl_Consulting[Job Number],0)),""),""))))</f>
        <v/>
      </c>
    </row>
    <row r="169" ht="15" customHeight="1">
      <c r="A169" s="22" t="n">
        <v>46254</v>
      </c>
      <c r="B169" s="23">
        <f>IF(A169="","",EOMONTH(A169,0))</f>
        <v/>
      </c>
      <c r="C169" s="24" t="inlineStr">
        <is>
          <t>INV-10575</t>
        </is>
      </c>
      <c r="D169" s="24" t="inlineStr">
        <is>
          <t>HP Poly - Data#3</t>
        </is>
      </c>
      <c r="E169" s="24" t="inlineStr">
        <is>
          <t>26052102</t>
        </is>
      </c>
      <c r="F169" s="25">
        <f>IF(E169="","",IF(COUNTIF(lst_Jobs,E169&amp;"")&gt;0,"OK","CHECK"))</f>
        <v/>
      </c>
      <c r="G169" s="24" t="inlineStr">
        <is>
          <t>AUSTRAC Phone Mods</t>
        </is>
      </c>
      <c r="H169" s="24" t="inlineStr">
        <is>
          <t>Consulting</t>
        </is>
      </c>
      <c r="I169" s="24" t="inlineStr">
        <is>
          <t>INTEGRATION</t>
        </is>
      </c>
      <c r="J169" s="24" t="inlineStr">
        <is>
          <t>Project</t>
        </is>
      </c>
      <c r="K169" s="24" t="inlineStr">
        <is>
          <t>GST 10%</t>
        </is>
      </c>
      <c r="L169" s="26" t="n">
        <v>45909</v>
      </c>
      <c r="M169" s="27">
        <f>IF(L169="","",IF(K169="GST 10%",ROUND(L169*set_GSTRate,2),0))</f>
        <v/>
      </c>
      <c r="N169" s="27">
        <f>IF(L169="","",L169+M169)</f>
        <v/>
      </c>
      <c r="O169" s="24" t="inlineStr">
        <is>
          <t>42300</t>
        </is>
      </c>
      <c r="P169" s="24" t="inlineStr">
        <is>
          <t>Y</t>
        </is>
      </c>
      <c r="Q169" s="24" t="inlineStr">
        <is>
          <t>N</t>
        </is>
      </c>
      <c r="R169" s="22" t="n"/>
      <c r="S169" s="22" t="n"/>
      <c r="T169" s="24" t="inlineStr">
        <is>
          <t>Paid</t>
        </is>
      </c>
      <c r="U169" s="24" t="n"/>
      <c r="V169" s="25">
        <f>IF(COUNTA(A169,D169,C169,L169)=0,"",IF(A169="","No date - sits outside every month",IF(E169="","No job number",IF(F169="CHECK","Job number is not in the Xero job list",IF(I169="","No cost centre",IF(AND(P169="Y",C169=""),"Marked posted to Xero but has no invoice number",IF(AND(L169&lt;&gt;"",K169=""),"No tax code",IF(AND(L169&lt;&gt;"",O169=""),"No revenue GL code",""))))))))</f>
        <v/>
      </c>
      <c r="W169" s="25">
        <f>IF(E169="","",IFERROR(INDEX(lst_JobName,MATCH(E169&amp;"",lst_Jobs,0)),""))</f>
        <v/>
      </c>
      <c r="X169" s="28">
        <f>IF(E169="","",COUNTIFS(tbl_Finance[Job Number],E169&amp;"",tbl_Finance[Ex GST],"&lt;&gt;"))</f>
        <v/>
      </c>
      <c r="Y169" s="27">
        <f>IF(E169="","",SUMIFS(tbl_Finance[Ex GST],tbl_Finance[Job Number],E169&amp;""))</f>
        <v/>
      </c>
      <c r="Z169" s="27">
        <f>IF(E169="","",SUMIFS(tbl_Finance[Ex GST],tbl_Finance[Job Number],E169&amp;"",tbl_Finance[Xero Invoice No],"&lt;&gt;"))</f>
        <v/>
      </c>
      <c r="AA169" s="27">
        <f>IF(E169="","",Y169-Z169)</f>
        <v/>
      </c>
      <c r="AB169" s="25">
        <f>IF(E169="","",IF(H169="Onsite",IFERROR(INDEX(tbl_Onsite[Qwilr Quote],MATCH(E169&amp;"",tbl_Onsite[Job Number],0)),""),IF(H169="Production",IFERROR(IF(INDEX(tbl_Production[Current RMS No],MATCH(E169&amp;"",tbl_Production[Job Number],0))="",INDEX(tbl_Production[Qwilr Quote],MATCH(E169&amp;"",tbl_Production[Job Number],0)),INDEX(tbl_Production[Current RMS No],MATCH(E169&amp;"",tbl_Production[Job Number],0))),""),IF(H169="Consulting",IFERROR(INDEX(tbl_Consulting[Qwilr Quote],MATCH(E169&amp;"",tbl_Consulting[Job Number],0)),""),""))))</f>
        <v/>
      </c>
      <c r="AC169" s="25">
        <f>IF(AB169="","",IF(AND(LEFT(AB169,4)&lt;&gt;"http",IF(H169="Production",set_RMSBase,set_QwilrBase)=""),"",HYPERLINK(IF(LEFT(AB169,4)="http",AB169,IF(H169="Production",set_RMSBase,set_QwilrBase)&amp;AB169),"Open")))</f>
        <v/>
      </c>
      <c r="AD169" s="27">
        <f>IF(E169="","",IF(H169="Production",IFERROR(INDEX(tbl_Production[Total Expense],MATCH(E169&amp;"",tbl_Production[Job Number],0)),0),IF(H169="Consulting",IFERROR(INDEX(tbl_Consulting[Total Expense],MATCH(E169&amp;"",tbl_Consulting[Job Number],0)),0),0)))</f>
        <v/>
      </c>
      <c r="AE169" s="27">
        <f>IF(E169="","",Y169-N(AD169))</f>
        <v/>
      </c>
      <c r="AF169" s="29">
        <f>IFERROR(AE169/Y169,"")</f>
        <v/>
      </c>
      <c r="AG169" s="25">
        <f>IF(E169="","",IF(H169="Onsite",IFERROR(INDEX(tbl_Onsite[Notes],MATCH(E169&amp;"",tbl_Onsite[Job Number],0)),""),IF(H169="Production",IFERROR(INDEX(tbl_Production[Notes],MATCH(E169&amp;"",tbl_Production[Job Number],0)),""),IF(H169="Consulting",IFERROR(INDEX(tbl_Consulting[Notes],MATCH(E169&amp;"",tbl_Consulting[Job Number],0)),""),""))))</f>
        <v/>
      </c>
    </row>
    <row r="170" ht="15" customHeight="1">
      <c r="A170" s="22" t="n">
        <v>46237</v>
      </c>
      <c r="B170" s="23">
        <f>IF(A170="","",EOMONTH(A170,0))</f>
        <v/>
      </c>
      <c r="C170" s="24" t="inlineStr">
        <is>
          <t>INV-10553</t>
        </is>
      </c>
      <c r="D170" s="24" t="inlineStr">
        <is>
          <t>Aware Super</t>
        </is>
      </c>
      <c r="E170" s="24" t="inlineStr">
        <is>
          <t>26052701</t>
        </is>
      </c>
      <c r="F170" s="25">
        <f>IF(E170="","",IF(COUNTIF(lst_Jobs,E170&amp;"")&gt;0,"OK","CHECK"))</f>
        <v/>
      </c>
      <c r="G170" s="24" t="inlineStr">
        <is>
          <t>SYD 28.06 Equipment</t>
        </is>
      </c>
      <c r="H170" s="24" t="inlineStr">
        <is>
          <t>Consulting</t>
        </is>
      </c>
      <c r="I170" s="24" t="inlineStr">
        <is>
          <t>INTEGRATION</t>
        </is>
      </c>
      <c r="J170" s="24" t="inlineStr">
        <is>
          <t>Project</t>
        </is>
      </c>
      <c r="K170" s="24" t="inlineStr">
        <is>
          <t>GST 10%</t>
        </is>
      </c>
      <c r="L170" s="26" t="n">
        <v>12271</v>
      </c>
      <c r="M170" s="27">
        <f>IF(L170="","",IF(K170="GST 10%",ROUND(L170*set_GSTRate,2),0))</f>
        <v/>
      </c>
      <c r="N170" s="27">
        <f>IF(L170="","",L170+M170)</f>
        <v/>
      </c>
      <c r="O170" s="24" t="inlineStr">
        <is>
          <t>42300</t>
        </is>
      </c>
      <c r="P170" s="24" t="inlineStr">
        <is>
          <t>Y</t>
        </is>
      </c>
      <c r="Q170" s="24" t="inlineStr">
        <is>
          <t>N</t>
        </is>
      </c>
      <c r="R170" s="22" t="n"/>
      <c r="S170" s="22" t="n"/>
      <c r="T170" s="24" t="inlineStr">
        <is>
          <t>Invoiced</t>
        </is>
      </c>
      <c r="U170" s="24" t="n"/>
      <c r="V170" s="25">
        <f>IF(COUNTA(A170,D170,C170,L170)=0,"",IF(A170="","No date - sits outside every month",IF(E170="","No job number",IF(F170="CHECK","Job number is not in the Xero job list",IF(I170="","No cost centre",IF(AND(P170="Y",C170=""),"Marked posted to Xero but has no invoice number",IF(AND(L170&lt;&gt;"",K170=""),"No tax code",IF(AND(L170&lt;&gt;"",O170=""),"No revenue GL code",""))))))))</f>
        <v/>
      </c>
      <c r="W170" s="25">
        <f>IF(E170="","",IFERROR(INDEX(lst_JobName,MATCH(E170&amp;"",lst_Jobs,0)),""))</f>
        <v/>
      </c>
      <c r="X170" s="28">
        <f>IF(E170="","",COUNTIFS(tbl_Finance[Job Number],E170&amp;"",tbl_Finance[Ex GST],"&lt;&gt;"))</f>
        <v/>
      </c>
      <c r="Y170" s="27">
        <f>IF(E170="","",SUMIFS(tbl_Finance[Ex GST],tbl_Finance[Job Number],E170&amp;""))</f>
        <v/>
      </c>
      <c r="Z170" s="27">
        <f>IF(E170="","",SUMIFS(tbl_Finance[Ex GST],tbl_Finance[Job Number],E170&amp;"",tbl_Finance[Xero Invoice No],"&lt;&gt;"))</f>
        <v/>
      </c>
      <c r="AA170" s="27">
        <f>IF(E170="","",Y170-Z170)</f>
        <v/>
      </c>
      <c r="AB170" s="25">
        <f>IF(E170="","",IF(H170="Onsite",IFERROR(INDEX(tbl_Onsite[Qwilr Quote],MATCH(E170&amp;"",tbl_Onsite[Job Number],0)),""),IF(H170="Production",IFERROR(IF(INDEX(tbl_Production[Current RMS No],MATCH(E170&amp;"",tbl_Production[Job Number],0))="",INDEX(tbl_Production[Qwilr Quote],MATCH(E170&amp;"",tbl_Production[Job Number],0)),INDEX(tbl_Production[Current RMS No],MATCH(E170&amp;"",tbl_Production[Job Number],0))),""),IF(H170="Consulting",IFERROR(INDEX(tbl_Consulting[Qwilr Quote],MATCH(E170&amp;"",tbl_Consulting[Job Number],0)),""),""))))</f>
        <v/>
      </c>
      <c r="AC170" s="25">
        <f>IF(AB170="","",IF(AND(LEFT(AB170,4)&lt;&gt;"http",IF(H170="Production",set_RMSBase,set_QwilrBase)=""),"",HYPERLINK(IF(LEFT(AB170,4)="http",AB170,IF(H170="Production",set_RMSBase,set_QwilrBase)&amp;AB170),"Open")))</f>
        <v/>
      </c>
      <c r="AD170" s="27">
        <f>IF(E170="","",IF(H170="Production",IFERROR(INDEX(tbl_Production[Total Expense],MATCH(E170&amp;"",tbl_Production[Job Number],0)),0),IF(H170="Consulting",IFERROR(INDEX(tbl_Consulting[Total Expense],MATCH(E170&amp;"",tbl_Consulting[Job Number],0)),0),0)))</f>
        <v/>
      </c>
      <c r="AE170" s="27">
        <f>IF(E170="","",Y170-N(AD170))</f>
        <v/>
      </c>
      <c r="AF170" s="29">
        <f>IFERROR(AE170/Y170,"")</f>
        <v/>
      </c>
      <c r="AG170" s="25">
        <f>IF(E170="","",IF(H170="Onsite",IFERROR(INDEX(tbl_Onsite[Notes],MATCH(E170&amp;"",tbl_Onsite[Job Number],0)),""),IF(H170="Production",IFERROR(INDEX(tbl_Production[Notes],MATCH(E170&amp;"",tbl_Production[Job Number],0)),""),IF(H170="Consulting",IFERROR(INDEX(tbl_Consulting[Notes],MATCH(E170&amp;"",tbl_Consulting[Job Number],0)),""),""))))</f>
        <v/>
      </c>
    </row>
    <row r="171" ht="15" customHeight="1">
      <c r="A171" s="22" t="n">
        <v>46261</v>
      </c>
      <c r="B171" s="23">
        <f>IF(A171="","",EOMONTH(A171,0))</f>
        <v/>
      </c>
      <c r="C171" s="24" t="inlineStr">
        <is>
          <t>INV-10601</t>
        </is>
      </c>
      <c r="D171" s="24" t="inlineStr">
        <is>
          <t>YSG Studio</t>
        </is>
      </c>
      <c r="E171" s="24" t="inlineStr">
        <is>
          <t>26071304</t>
        </is>
      </c>
      <c r="F171" s="25">
        <f>IF(E171="","",IF(COUNTIF(lst_Jobs,E171&amp;"")&gt;0,"OK","CHECK"))</f>
        <v/>
      </c>
      <c r="G171" s="24" t="inlineStr">
        <is>
          <t>Orange Room Upgrade INT</t>
        </is>
      </c>
      <c r="H171" s="24" t="inlineStr">
        <is>
          <t>Consulting</t>
        </is>
      </c>
      <c r="I171" s="24" t="inlineStr">
        <is>
          <t>INTEGRATION</t>
        </is>
      </c>
      <c r="J171" s="24" t="inlineStr">
        <is>
          <t>Project</t>
        </is>
      </c>
      <c r="K171" s="24" t="inlineStr">
        <is>
          <t>GST 10%</t>
        </is>
      </c>
      <c r="L171" s="26" t="n">
        <v>4462</v>
      </c>
      <c r="M171" s="27">
        <f>IF(L171="","",IF(K171="GST 10%",ROUND(L171*set_GSTRate,2),0))</f>
        <v/>
      </c>
      <c r="N171" s="27">
        <f>IF(L171="","",L171+M171)</f>
        <v/>
      </c>
      <c r="O171" s="24" t="inlineStr">
        <is>
          <t>42300</t>
        </is>
      </c>
      <c r="P171" s="24" t="inlineStr">
        <is>
          <t>Y</t>
        </is>
      </c>
      <c r="Q171" s="24" t="inlineStr">
        <is>
          <t>N</t>
        </is>
      </c>
      <c r="R171" s="22" t="n"/>
      <c r="S171" s="22" t="n"/>
      <c r="T171" s="24" t="inlineStr">
        <is>
          <t>Paid</t>
        </is>
      </c>
      <c r="U171" s="24" t="inlineStr">
        <is>
          <t>2/2 Labour only</t>
        </is>
      </c>
      <c r="V171" s="25">
        <f>IF(COUNTA(A171,D171,C171,L171)=0,"",IF(A171="","No date - sits outside every month",IF(E171="","No job number",IF(F171="CHECK","Job number is not in the Xero job list",IF(I171="","No cost centre",IF(AND(P171="Y",C171=""),"Marked posted to Xero but has no invoice number",IF(AND(L171&lt;&gt;"",K171=""),"No tax code",IF(AND(L171&lt;&gt;"",O171=""),"No revenue GL code",""))))))))</f>
        <v/>
      </c>
      <c r="W171" s="25">
        <f>IF(E171="","",IFERROR(INDEX(lst_JobName,MATCH(E171&amp;"",lst_Jobs,0)),""))</f>
        <v/>
      </c>
      <c r="X171" s="28">
        <f>IF(E171="","",COUNTIFS(tbl_Finance[Job Number],E171&amp;"",tbl_Finance[Ex GST],"&lt;&gt;"))</f>
        <v/>
      </c>
      <c r="Y171" s="27">
        <f>IF(E171="","",SUMIFS(tbl_Finance[Ex GST],tbl_Finance[Job Number],E171&amp;""))</f>
        <v/>
      </c>
      <c r="Z171" s="27">
        <f>IF(E171="","",SUMIFS(tbl_Finance[Ex GST],tbl_Finance[Job Number],E171&amp;"",tbl_Finance[Xero Invoice No],"&lt;&gt;"))</f>
        <v/>
      </c>
      <c r="AA171" s="27">
        <f>IF(E171="","",Y171-Z171)</f>
        <v/>
      </c>
      <c r="AB171" s="25">
        <f>IF(E171="","",IF(H171="Onsite",IFERROR(INDEX(tbl_Onsite[Qwilr Quote],MATCH(E171&amp;"",tbl_Onsite[Job Number],0)),""),IF(H171="Production",IFERROR(IF(INDEX(tbl_Production[Current RMS No],MATCH(E171&amp;"",tbl_Production[Job Number],0))="",INDEX(tbl_Production[Qwilr Quote],MATCH(E171&amp;"",tbl_Production[Job Number],0)),INDEX(tbl_Production[Current RMS No],MATCH(E171&amp;"",tbl_Production[Job Number],0))),""),IF(H171="Consulting",IFERROR(INDEX(tbl_Consulting[Qwilr Quote],MATCH(E171&amp;"",tbl_Consulting[Job Number],0)),""),""))))</f>
        <v/>
      </c>
      <c r="AC171" s="25">
        <f>IF(AB171="","",IF(AND(LEFT(AB171,4)&lt;&gt;"http",IF(H171="Production",set_RMSBase,set_QwilrBase)=""),"",HYPERLINK(IF(LEFT(AB171,4)="http",AB171,IF(H171="Production",set_RMSBase,set_QwilrBase)&amp;AB171),"Open")))</f>
        <v/>
      </c>
      <c r="AD171" s="27">
        <f>IF(E171="","",IF(H171="Production",IFERROR(INDEX(tbl_Production[Total Expense],MATCH(E171&amp;"",tbl_Production[Job Number],0)),0),IF(H171="Consulting",IFERROR(INDEX(tbl_Consulting[Total Expense],MATCH(E171&amp;"",tbl_Consulting[Job Number],0)),0),0)))</f>
        <v/>
      </c>
      <c r="AE171" s="27">
        <f>IF(E171="","",Y171-N(AD171))</f>
        <v/>
      </c>
      <c r="AF171" s="29">
        <f>IFERROR(AE171/Y171,"")</f>
        <v/>
      </c>
      <c r="AG171" s="25">
        <f>IF(E171="","",IF(H171="Onsite",IFERROR(INDEX(tbl_Onsite[Notes],MATCH(E171&amp;"",tbl_Onsite[Job Number],0)),""),IF(H171="Production",IFERROR(INDEX(tbl_Production[Notes],MATCH(E171&amp;"",tbl_Production[Job Number],0)),""),IF(H171="Consulting",IFERROR(INDEX(tbl_Consulting[Notes],MATCH(E171&amp;"",tbl_Consulting[Job Number],0)),""),""))))</f>
        <v/>
      </c>
    </row>
    <row r="172" ht="15" customHeight="1">
      <c r="A172" s="22" t="n">
        <v>46253</v>
      </c>
      <c r="B172" s="23">
        <f>IF(A172="","",EOMONTH(A172,0))</f>
        <v/>
      </c>
      <c r="C172" s="24" t="inlineStr">
        <is>
          <t>INV-10564</t>
        </is>
      </c>
      <c r="D172" s="24" t="inlineStr">
        <is>
          <t>Aware Super</t>
        </is>
      </c>
      <c r="E172" s="24" t="inlineStr">
        <is>
          <t>26062902</t>
        </is>
      </c>
      <c r="F172" s="25">
        <f>IF(E172="","",IF(COUNTIF(lst_Jobs,E172&amp;"")&gt;0,"OK","CHECK"))</f>
        <v/>
      </c>
      <c r="G172" s="24" t="inlineStr">
        <is>
          <t>SYD Occupancy Sensors</t>
        </is>
      </c>
      <c r="H172" s="24" t="inlineStr">
        <is>
          <t>Consulting</t>
        </is>
      </c>
      <c r="I172" s="24" t="inlineStr">
        <is>
          <t>INTEGRATION</t>
        </is>
      </c>
      <c r="J172" s="24" t="inlineStr">
        <is>
          <t>Project</t>
        </is>
      </c>
      <c r="K172" s="24" t="inlineStr">
        <is>
          <t>GST 10%</t>
        </is>
      </c>
      <c r="L172" s="26" t="n">
        <v>3489</v>
      </c>
      <c r="M172" s="27">
        <f>IF(L172="","",IF(K172="GST 10%",ROUND(L172*set_GSTRate,2),0))</f>
        <v/>
      </c>
      <c r="N172" s="27">
        <f>IF(L172="","",L172+M172)</f>
        <v/>
      </c>
      <c r="O172" s="24" t="inlineStr">
        <is>
          <t>42300</t>
        </is>
      </c>
      <c r="P172" s="24" t="inlineStr">
        <is>
          <t>Y</t>
        </is>
      </c>
      <c r="Q172" s="24" t="inlineStr">
        <is>
          <t>N</t>
        </is>
      </c>
      <c r="R172" s="22" t="n"/>
      <c r="S172" s="22" t="n"/>
      <c r="T172" s="24" t="inlineStr">
        <is>
          <t>Paid</t>
        </is>
      </c>
      <c r="U172" s="24" t="inlineStr">
        <is>
          <t>Invoice 1/2 Equipment only</t>
        </is>
      </c>
      <c r="V172" s="25">
        <f>IF(COUNTA(A172,D172,C172,L172)=0,"",IF(A172="","No date - sits outside every month",IF(E172="","No job number",IF(F172="CHECK","Job number is not in the Xero job list",IF(I172="","No cost centre",IF(AND(P172="Y",C172=""),"Marked posted to Xero but has no invoice number",IF(AND(L172&lt;&gt;"",K172=""),"No tax code",IF(AND(L172&lt;&gt;"",O172=""),"No revenue GL code",""))))))))</f>
        <v/>
      </c>
      <c r="W172" s="25">
        <f>IF(E172="","",IFERROR(INDEX(lst_JobName,MATCH(E172&amp;"",lst_Jobs,0)),""))</f>
        <v/>
      </c>
      <c r="X172" s="28">
        <f>IF(E172="","",COUNTIFS(tbl_Finance[Job Number],E172&amp;"",tbl_Finance[Ex GST],"&lt;&gt;"))</f>
        <v/>
      </c>
      <c r="Y172" s="27">
        <f>IF(E172="","",SUMIFS(tbl_Finance[Ex GST],tbl_Finance[Job Number],E172&amp;""))</f>
        <v/>
      </c>
      <c r="Z172" s="27">
        <f>IF(E172="","",SUMIFS(tbl_Finance[Ex GST],tbl_Finance[Job Number],E172&amp;"",tbl_Finance[Xero Invoice No],"&lt;&gt;"))</f>
        <v/>
      </c>
      <c r="AA172" s="27">
        <f>IF(E172="","",Y172-Z172)</f>
        <v/>
      </c>
      <c r="AB172" s="25">
        <f>IF(E172="","",IF(H172="Onsite",IFERROR(INDEX(tbl_Onsite[Qwilr Quote],MATCH(E172&amp;"",tbl_Onsite[Job Number],0)),""),IF(H172="Production",IFERROR(IF(INDEX(tbl_Production[Current RMS No],MATCH(E172&amp;"",tbl_Production[Job Number],0))="",INDEX(tbl_Production[Qwilr Quote],MATCH(E172&amp;"",tbl_Production[Job Number],0)),INDEX(tbl_Production[Current RMS No],MATCH(E172&amp;"",tbl_Production[Job Number],0))),""),IF(H172="Consulting",IFERROR(INDEX(tbl_Consulting[Qwilr Quote],MATCH(E172&amp;"",tbl_Consulting[Job Number],0)),""),""))))</f>
        <v/>
      </c>
      <c r="AC172" s="25">
        <f>IF(AB172="","",IF(AND(LEFT(AB172,4)&lt;&gt;"http",IF(H172="Production",set_RMSBase,set_QwilrBase)=""),"",HYPERLINK(IF(LEFT(AB172,4)="http",AB172,IF(H172="Production",set_RMSBase,set_QwilrBase)&amp;AB172),"Open")))</f>
        <v/>
      </c>
      <c r="AD172" s="27">
        <f>IF(E172="","",IF(H172="Production",IFERROR(INDEX(tbl_Production[Total Expense],MATCH(E172&amp;"",tbl_Production[Job Number],0)),0),IF(H172="Consulting",IFERROR(INDEX(tbl_Consulting[Total Expense],MATCH(E172&amp;"",tbl_Consulting[Job Number],0)),0),0)))</f>
        <v/>
      </c>
      <c r="AE172" s="27">
        <f>IF(E172="","",Y172-N(AD172))</f>
        <v/>
      </c>
      <c r="AF172" s="29">
        <f>IFERROR(AE172/Y172,"")</f>
        <v/>
      </c>
      <c r="AG172" s="25">
        <f>IF(E172="","",IF(H172="Onsite",IFERROR(INDEX(tbl_Onsite[Notes],MATCH(E172&amp;"",tbl_Onsite[Job Number],0)),""),IF(H172="Production",IFERROR(INDEX(tbl_Production[Notes],MATCH(E172&amp;"",tbl_Production[Job Number],0)),""),IF(H172="Consulting",IFERROR(INDEX(tbl_Consulting[Notes],MATCH(E172&amp;"",tbl_Consulting[Job Number],0)),""),""))))</f>
        <v/>
      </c>
    </row>
    <row r="173" ht="15" customHeight="1">
      <c r="A173" s="22" t="n"/>
      <c r="B173" s="23">
        <f>IF(A173="","",EOMONTH(A173,0))</f>
        <v/>
      </c>
      <c r="C173" s="24" t="n"/>
      <c r="D173" s="24" t="inlineStr">
        <is>
          <t>Aware Super</t>
        </is>
      </c>
      <c r="E173" s="24" t="inlineStr">
        <is>
          <t>26062902</t>
        </is>
      </c>
      <c r="F173" s="25">
        <f>IF(E173="","",IF(COUNTIF(lst_Jobs,E173&amp;"")&gt;0,"OK","CHECK"))</f>
        <v/>
      </c>
      <c r="G173" s="24" t="inlineStr">
        <is>
          <t>SYD Occupancy Sensors</t>
        </is>
      </c>
      <c r="H173" s="24" t="inlineStr">
        <is>
          <t>Consulting</t>
        </is>
      </c>
      <c r="I173" s="24" t="inlineStr">
        <is>
          <t>INTEGRATION</t>
        </is>
      </c>
      <c r="J173" s="24" t="inlineStr">
        <is>
          <t>Project</t>
        </is>
      </c>
      <c r="K173" s="24" t="inlineStr">
        <is>
          <t>GST 10%</t>
        </is>
      </c>
      <c r="L173" s="26" t="n">
        <v>2707</v>
      </c>
      <c r="M173" s="27">
        <f>IF(L173="","",IF(K173="GST 10%",ROUND(L173*set_GSTRate,2),0))</f>
        <v/>
      </c>
      <c r="N173" s="27">
        <f>IF(L173="","",L173+M173)</f>
        <v/>
      </c>
      <c r="O173" s="24" t="inlineStr">
        <is>
          <t>42300</t>
        </is>
      </c>
      <c r="P173" s="24" t="inlineStr">
        <is>
          <t>N</t>
        </is>
      </c>
      <c r="Q173" s="24" t="inlineStr">
        <is>
          <t>N</t>
        </is>
      </c>
      <c r="R173" s="22" t="n"/>
      <c r="S173" s="22" t="n"/>
      <c r="T173" s="24" t="inlineStr">
        <is>
          <t>To Invoice</t>
        </is>
      </c>
      <c r="U173" s="24" t="inlineStr">
        <is>
          <t>2/2 Labour only; Not invoiced yet</t>
        </is>
      </c>
      <c r="V173" s="25">
        <f>IF(COUNTA(A173,D173,C173,L173)=0,"",IF(A173="","No date - sits outside every month",IF(E173="","No job number",IF(F173="CHECK","Job number is not in the Xero job list",IF(I173="","No cost centre",IF(AND(P173="Y",C173=""),"Marked posted to Xero but has no invoice number",IF(AND(L173&lt;&gt;"",K173=""),"No tax code",IF(AND(L173&lt;&gt;"",O173=""),"No revenue GL code",""))))))))</f>
        <v/>
      </c>
      <c r="W173" s="25">
        <f>IF(E173="","",IFERROR(INDEX(lst_JobName,MATCH(E173&amp;"",lst_Jobs,0)),""))</f>
        <v/>
      </c>
      <c r="X173" s="28">
        <f>IF(E173="","",COUNTIFS(tbl_Finance[Job Number],E173&amp;"",tbl_Finance[Ex GST],"&lt;&gt;"))</f>
        <v/>
      </c>
      <c r="Y173" s="27">
        <f>IF(E173="","",SUMIFS(tbl_Finance[Ex GST],tbl_Finance[Job Number],E173&amp;""))</f>
        <v/>
      </c>
      <c r="Z173" s="27">
        <f>IF(E173="","",SUMIFS(tbl_Finance[Ex GST],tbl_Finance[Job Number],E173&amp;"",tbl_Finance[Xero Invoice No],"&lt;&gt;"))</f>
        <v/>
      </c>
      <c r="AA173" s="27">
        <f>IF(E173="","",Y173-Z173)</f>
        <v/>
      </c>
      <c r="AB173" s="25">
        <f>IF(E173="","",IF(H173="Onsite",IFERROR(INDEX(tbl_Onsite[Qwilr Quote],MATCH(E173&amp;"",tbl_Onsite[Job Number],0)),""),IF(H173="Production",IFERROR(IF(INDEX(tbl_Production[Current RMS No],MATCH(E173&amp;"",tbl_Production[Job Number],0))="",INDEX(tbl_Production[Qwilr Quote],MATCH(E173&amp;"",tbl_Production[Job Number],0)),INDEX(tbl_Production[Current RMS No],MATCH(E173&amp;"",tbl_Production[Job Number],0))),""),IF(H173="Consulting",IFERROR(INDEX(tbl_Consulting[Qwilr Quote],MATCH(E173&amp;"",tbl_Consulting[Job Number],0)),""),""))))</f>
        <v/>
      </c>
      <c r="AC173" s="25">
        <f>IF(AB173="","",IF(AND(LEFT(AB173,4)&lt;&gt;"http",IF(H173="Production",set_RMSBase,set_QwilrBase)=""),"",HYPERLINK(IF(LEFT(AB173,4)="http",AB173,IF(H173="Production",set_RMSBase,set_QwilrBase)&amp;AB173),"Open")))</f>
        <v/>
      </c>
      <c r="AD173" s="27">
        <f>IF(E173="","",IF(H173="Production",IFERROR(INDEX(tbl_Production[Total Expense],MATCH(E173&amp;"",tbl_Production[Job Number],0)),0),IF(H173="Consulting",IFERROR(INDEX(tbl_Consulting[Total Expense],MATCH(E173&amp;"",tbl_Consulting[Job Number],0)),0),0)))</f>
        <v/>
      </c>
      <c r="AE173" s="27">
        <f>IF(E173="","",Y173-N(AD173))</f>
        <v/>
      </c>
      <c r="AF173" s="29">
        <f>IFERROR(AE173/Y173,"")</f>
        <v/>
      </c>
      <c r="AG173" s="25">
        <f>IF(E173="","",IF(H173="Onsite",IFERROR(INDEX(tbl_Onsite[Notes],MATCH(E173&amp;"",tbl_Onsite[Job Number],0)),""),IF(H173="Production",IFERROR(INDEX(tbl_Production[Notes],MATCH(E173&amp;"",tbl_Production[Job Number],0)),""),IF(H173="Consulting",IFERROR(INDEX(tbl_Consulting[Notes],MATCH(E173&amp;"",tbl_Consulting[Job Number],0)),""),""))))</f>
        <v/>
      </c>
    </row>
    <row r="174" ht="15" customHeight="1">
      <c r="A174" s="22" t="n"/>
      <c r="B174" s="23">
        <f>IF(A174="","",EOMONTH(A174,0))</f>
        <v/>
      </c>
      <c r="C174" s="24" t="n"/>
      <c r="D174" s="24" t="inlineStr">
        <is>
          <t>Aware Super</t>
        </is>
      </c>
      <c r="E174" s="24" t="inlineStr">
        <is>
          <t>26062901</t>
        </is>
      </c>
      <c r="F174" s="25">
        <f>IF(E174="","",IF(COUNTIF(lst_Jobs,E174&amp;"")&gt;0,"OK","CHECK"))</f>
        <v/>
      </c>
      <c r="G174" s="24" t="inlineStr">
        <is>
          <t>Aware | SYD 28.06 Services</t>
        </is>
      </c>
      <c r="H174" s="24" t="inlineStr">
        <is>
          <t>Consulting</t>
        </is>
      </c>
      <c r="I174" s="24" t="inlineStr">
        <is>
          <t>INTEGRATION</t>
        </is>
      </c>
      <c r="J174" s="24" t="inlineStr">
        <is>
          <t>Project</t>
        </is>
      </c>
      <c r="K174" s="24" t="inlineStr">
        <is>
          <t>GST 10%</t>
        </is>
      </c>
      <c r="L174" s="26" t="n">
        <v>4631</v>
      </c>
      <c r="M174" s="27">
        <f>IF(L174="","",IF(K174="GST 10%",ROUND(L174*set_GSTRate,2),0))</f>
        <v/>
      </c>
      <c r="N174" s="27">
        <f>IF(L174="","",L174+M174)</f>
        <v/>
      </c>
      <c r="O174" s="24" t="inlineStr">
        <is>
          <t>42300</t>
        </is>
      </c>
      <c r="P174" s="24" t="inlineStr">
        <is>
          <t>N</t>
        </is>
      </c>
      <c r="Q174" s="24" t="inlineStr">
        <is>
          <t>N</t>
        </is>
      </c>
      <c r="R174" s="22" t="n"/>
      <c r="S174" s="22" t="n"/>
      <c r="T174" s="24" t="inlineStr">
        <is>
          <t>To Invoice</t>
        </is>
      </c>
      <c r="U174" s="24" t="n"/>
      <c r="V174" s="25">
        <f>IF(COUNTA(A174,D174,C174,L174)=0,"",IF(A174="","No date - sits outside every month",IF(E174="","No job number",IF(F174="CHECK","Job number is not in the Xero job list",IF(I174="","No cost centre",IF(AND(P174="Y",C174=""),"Marked posted to Xero but has no invoice number",IF(AND(L174&lt;&gt;"",K174=""),"No tax code",IF(AND(L174&lt;&gt;"",O174=""),"No revenue GL code",""))))))))</f>
        <v/>
      </c>
      <c r="W174" s="25">
        <f>IF(E174="","",IFERROR(INDEX(lst_JobName,MATCH(E174&amp;"",lst_Jobs,0)),""))</f>
        <v/>
      </c>
      <c r="X174" s="28">
        <f>IF(E174="","",COUNTIFS(tbl_Finance[Job Number],E174&amp;"",tbl_Finance[Ex GST],"&lt;&gt;"))</f>
        <v/>
      </c>
      <c r="Y174" s="27">
        <f>IF(E174="","",SUMIFS(tbl_Finance[Ex GST],tbl_Finance[Job Number],E174&amp;""))</f>
        <v/>
      </c>
      <c r="Z174" s="27">
        <f>IF(E174="","",SUMIFS(tbl_Finance[Ex GST],tbl_Finance[Job Number],E174&amp;"",tbl_Finance[Xero Invoice No],"&lt;&gt;"))</f>
        <v/>
      </c>
      <c r="AA174" s="27">
        <f>IF(E174="","",Y174-Z174)</f>
        <v/>
      </c>
      <c r="AB174" s="25">
        <f>IF(E174="","",IF(H174="Onsite",IFERROR(INDEX(tbl_Onsite[Qwilr Quote],MATCH(E174&amp;"",tbl_Onsite[Job Number],0)),""),IF(H174="Production",IFERROR(IF(INDEX(tbl_Production[Current RMS No],MATCH(E174&amp;"",tbl_Production[Job Number],0))="",INDEX(tbl_Production[Qwilr Quote],MATCH(E174&amp;"",tbl_Production[Job Number],0)),INDEX(tbl_Production[Current RMS No],MATCH(E174&amp;"",tbl_Production[Job Number],0))),""),IF(H174="Consulting",IFERROR(INDEX(tbl_Consulting[Qwilr Quote],MATCH(E174&amp;"",tbl_Consulting[Job Number],0)),""),""))))</f>
        <v/>
      </c>
      <c r="AC174" s="25">
        <f>IF(AB174="","",IF(AND(LEFT(AB174,4)&lt;&gt;"http",IF(H174="Production",set_RMSBase,set_QwilrBase)=""),"",HYPERLINK(IF(LEFT(AB174,4)="http",AB174,IF(H174="Production",set_RMSBase,set_QwilrBase)&amp;AB174),"Open")))</f>
        <v/>
      </c>
      <c r="AD174" s="27">
        <f>IF(E174="","",IF(H174="Production",IFERROR(INDEX(tbl_Production[Total Expense],MATCH(E174&amp;"",tbl_Production[Job Number],0)),0),IF(H174="Consulting",IFERROR(INDEX(tbl_Consulting[Total Expense],MATCH(E174&amp;"",tbl_Consulting[Job Number],0)),0),0)))</f>
        <v/>
      </c>
      <c r="AE174" s="27">
        <f>IF(E174="","",Y174-N(AD174))</f>
        <v/>
      </c>
      <c r="AF174" s="29">
        <f>IFERROR(AE174/Y174,"")</f>
        <v/>
      </c>
      <c r="AG174" s="25">
        <f>IF(E174="","",IF(H174="Onsite",IFERROR(INDEX(tbl_Onsite[Notes],MATCH(E174&amp;"",tbl_Onsite[Job Number],0)),""),IF(H174="Production",IFERROR(INDEX(tbl_Production[Notes],MATCH(E174&amp;"",tbl_Production[Job Number],0)),""),IF(H174="Consulting",IFERROR(INDEX(tbl_Consulting[Notes],MATCH(E174&amp;"",tbl_Consulting[Job Number],0)),""),""))))</f>
        <v/>
      </c>
    </row>
    <row r="175" ht="15" customHeight="1">
      <c r="A175" s="22" t="n">
        <v>46254</v>
      </c>
      <c r="B175" s="23">
        <f>IF(A175="","",EOMONTH(A175,0))</f>
        <v/>
      </c>
      <c r="C175" s="24" t="inlineStr">
        <is>
          <t>INV-10574</t>
        </is>
      </c>
      <c r="D175" s="24" t="inlineStr">
        <is>
          <t>AusPayNet</t>
        </is>
      </c>
      <c r="E175" s="24" t="inlineStr">
        <is>
          <t>26081901</t>
        </is>
      </c>
      <c r="F175" s="25">
        <f>IF(E175="","",IF(COUNTIF(lst_Jobs,E175&amp;"")&gt;0,"OK","CHECK"))</f>
        <v/>
      </c>
      <c r="G175" s="24" t="inlineStr">
        <is>
          <t>Logi Subscription</t>
        </is>
      </c>
      <c r="H175" s="24" t="inlineStr">
        <is>
          <t>Consulting</t>
        </is>
      </c>
      <c r="I175" s="24" t="inlineStr">
        <is>
          <t>INTEGRATION</t>
        </is>
      </c>
      <c r="J175" s="24" t="inlineStr">
        <is>
          <t>Project</t>
        </is>
      </c>
      <c r="K175" s="24" t="inlineStr">
        <is>
          <t>GST 10%</t>
        </is>
      </c>
      <c r="L175" s="26" t="n">
        <v>993</v>
      </c>
      <c r="M175" s="27">
        <f>IF(L175="","",IF(K175="GST 10%",ROUND(L175*set_GSTRate,2),0))</f>
        <v/>
      </c>
      <c r="N175" s="27">
        <f>IF(L175="","",L175+M175)</f>
        <v/>
      </c>
      <c r="O175" s="24" t="inlineStr">
        <is>
          <t>42300</t>
        </is>
      </c>
      <c r="P175" s="24" t="inlineStr">
        <is>
          <t>Y</t>
        </is>
      </c>
      <c r="Q175" s="24" t="inlineStr">
        <is>
          <t>N</t>
        </is>
      </c>
      <c r="R175" s="22" t="n"/>
      <c r="S175" s="22" t="n"/>
      <c r="T175" s="24" t="inlineStr">
        <is>
          <t>Paid</t>
        </is>
      </c>
      <c r="U175" s="24" t="n"/>
      <c r="V175" s="25">
        <f>IF(COUNTA(A175,D175,C175,L175)=0,"",IF(A175="","No date - sits outside every month",IF(E175="","No job number",IF(F175="CHECK","Job number is not in the Xero job list",IF(I175="","No cost centre",IF(AND(P175="Y",C175=""),"Marked posted to Xero but has no invoice number",IF(AND(L175&lt;&gt;"",K175=""),"No tax code",IF(AND(L175&lt;&gt;"",O175=""),"No revenue GL code",""))))))))</f>
        <v/>
      </c>
      <c r="W175" s="25">
        <f>IF(E175="","",IFERROR(INDEX(lst_JobName,MATCH(E175&amp;"",lst_Jobs,0)),""))</f>
        <v/>
      </c>
      <c r="X175" s="28">
        <f>IF(E175="","",COUNTIFS(tbl_Finance[Job Number],E175&amp;"",tbl_Finance[Ex GST],"&lt;&gt;"))</f>
        <v/>
      </c>
      <c r="Y175" s="27">
        <f>IF(E175="","",SUMIFS(tbl_Finance[Ex GST],tbl_Finance[Job Number],E175&amp;""))</f>
        <v/>
      </c>
      <c r="Z175" s="27">
        <f>IF(E175="","",SUMIFS(tbl_Finance[Ex GST],tbl_Finance[Job Number],E175&amp;"",tbl_Finance[Xero Invoice No],"&lt;&gt;"))</f>
        <v/>
      </c>
      <c r="AA175" s="27">
        <f>IF(E175="","",Y175-Z175)</f>
        <v/>
      </c>
      <c r="AB175" s="25">
        <f>IF(E175="","",IF(H175="Onsite",IFERROR(INDEX(tbl_Onsite[Qwilr Quote],MATCH(E175&amp;"",tbl_Onsite[Job Number],0)),""),IF(H175="Production",IFERROR(IF(INDEX(tbl_Production[Current RMS No],MATCH(E175&amp;"",tbl_Production[Job Number],0))="",INDEX(tbl_Production[Qwilr Quote],MATCH(E175&amp;"",tbl_Production[Job Number],0)),INDEX(tbl_Production[Current RMS No],MATCH(E175&amp;"",tbl_Production[Job Number],0))),""),IF(H175="Consulting",IFERROR(INDEX(tbl_Consulting[Qwilr Quote],MATCH(E175&amp;"",tbl_Consulting[Job Number],0)),""),""))))</f>
        <v/>
      </c>
      <c r="AC175" s="25">
        <f>IF(AB175="","",IF(AND(LEFT(AB175,4)&lt;&gt;"http",IF(H175="Production",set_RMSBase,set_QwilrBase)=""),"",HYPERLINK(IF(LEFT(AB175,4)="http",AB175,IF(H175="Production",set_RMSBase,set_QwilrBase)&amp;AB175),"Open")))</f>
        <v/>
      </c>
      <c r="AD175" s="27">
        <f>IF(E175="","",IF(H175="Production",IFERROR(INDEX(tbl_Production[Total Expense],MATCH(E175&amp;"",tbl_Production[Job Number],0)),0),IF(H175="Consulting",IFERROR(INDEX(tbl_Consulting[Total Expense],MATCH(E175&amp;"",tbl_Consulting[Job Number],0)),0),0)))</f>
        <v/>
      </c>
      <c r="AE175" s="27">
        <f>IF(E175="","",Y175-N(AD175))</f>
        <v/>
      </c>
      <c r="AF175" s="29">
        <f>IFERROR(AE175/Y175,"")</f>
        <v/>
      </c>
      <c r="AG175" s="25">
        <f>IF(E175="","",IF(H175="Onsite",IFERROR(INDEX(tbl_Onsite[Notes],MATCH(E175&amp;"",tbl_Onsite[Job Number],0)),""),IF(H175="Production",IFERROR(INDEX(tbl_Production[Notes],MATCH(E175&amp;"",tbl_Production[Job Number],0)),""),IF(H175="Consulting",IFERROR(INDEX(tbl_Consulting[Notes],MATCH(E175&amp;"",tbl_Consulting[Job Number],0)),""),""))))</f>
        <v/>
      </c>
    </row>
    <row r="176" ht="15" customHeight="1">
      <c r="A176" s="22" t="n"/>
      <c r="B176" s="23">
        <f>IF(A176="","",EOMONTH(A176,0))</f>
        <v/>
      </c>
      <c r="C176" s="24" t="n"/>
      <c r="D176" s="24" t="inlineStr">
        <is>
          <t>Aware Super</t>
        </is>
      </c>
      <c r="E176" s="24" t="inlineStr">
        <is>
          <t>26071601</t>
        </is>
      </c>
      <c r="F176" s="25">
        <f>IF(E176="","",IF(COUNTIF(lst_Jobs,E176&amp;"")&gt;0,"OK","CHECK"))</f>
        <v/>
      </c>
      <c r="G176" s="24" t="inlineStr">
        <is>
          <t>PER USB-C Cable Replacement</t>
        </is>
      </c>
      <c r="H176" s="24" t="inlineStr">
        <is>
          <t>Consulting</t>
        </is>
      </c>
      <c r="I176" s="24" t="inlineStr">
        <is>
          <t>INTEGRATION</t>
        </is>
      </c>
      <c r="J176" s="24" t="inlineStr">
        <is>
          <t>Project</t>
        </is>
      </c>
      <c r="K176" s="24" t="inlineStr">
        <is>
          <t>GST 10%</t>
        </is>
      </c>
      <c r="L176" s="26" t="n">
        <v>2957</v>
      </c>
      <c r="M176" s="27">
        <f>IF(L176="","",IF(K176="GST 10%",ROUND(L176*set_GSTRate,2),0))</f>
        <v/>
      </c>
      <c r="N176" s="27">
        <f>IF(L176="","",L176+M176)</f>
        <v/>
      </c>
      <c r="O176" s="24" t="inlineStr">
        <is>
          <t>42300</t>
        </is>
      </c>
      <c r="P176" s="24" t="inlineStr">
        <is>
          <t>N</t>
        </is>
      </c>
      <c r="Q176" s="24" t="inlineStr">
        <is>
          <t>N</t>
        </is>
      </c>
      <c r="R176" s="22" t="n"/>
      <c r="S176" s="22" t="n"/>
      <c r="T176" s="24" t="inlineStr">
        <is>
          <t>To Invoice</t>
        </is>
      </c>
      <c r="U176" s="24" t="n"/>
      <c r="V176" s="25">
        <f>IF(COUNTA(A176,D176,C176,L176)=0,"",IF(A176="","No date - sits outside every month",IF(E176="","No job number",IF(F176="CHECK","Job number is not in the Xero job list",IF(I176="","No cost centre",IF(AND(P176="Y",C176=""),"Marked posted to Xero but has no invoice number",IF(AND(L176&lt;&gt;"",K176=""),"No tax code",IF(AND(L176&lt;&gt;"",O176=""),"No revenue GL code",""))))))))</f>
        <v/>
      </c>
      <c r="W176" s="25">
        <f>IF(E176="","",IFERROR(INDEX(lst_JobName,MATCH(E176&amp;"",lst_Jobs,0)),""))</f>
        <v/>
      </c>
      <c r="X176" s="28">
        <f>IF(E176="","",COUNTIFS(tbl_Finance[Job Number],E176&amp;"",tbl_Finance[Ex GST],"&lt;&gt;"))</f>
        <v/>
      </c>
      <c r="Y176" s="27">
        <f>IF(E176="","",SUMIFS(tbl_Finance[Ex GST],tbl_Finance[Job Number],E176&amp;""))</f>
        <v/>
      </c>
      <c r="Z176" s="27">
        <f>IF(E176="","",SUMIFS(tbl_Finance[Ex GST],tbl_Finance[Job Number],E176&amp;"",tbl_Finance[Xero Invoice No],"&lt;&gt;"))</f>
        <v/>
      </c>
      <c r="AA176" s="27">
        <f>IF(E176="","",Y176-Z176)</f>
        <v/>
      </c>
      <c r="AB176" s="25">
        <f>IF(E176="","",IF(H176="Onsite",IFERROR(INDEX(tbl_Onsite[Qwilr Quote],MATCH(E176&amp;"",tbl_Onsite[Job Number],0)),""),IF(H176="Production",IFERROR(IF(INDEX(tbl_Production[Current RMS No],MATCH(E176&amp;"",tbl_Production[Job Number],0))="",INDEX(tbl_Production[Qwilr Quote],MATCH(E176&amp;"",tbl_Production[Job Number],0)),INDEX(tbl_Production[Current RMS No],MATCH(E176&amp;"",tbl_Production[Job Number],0))),""),IF(H176="Consulting",IFERROR(INDEX(tbl_Consulting[Qwilr Quote],MATCH(E176&amp;"",tbl_Consulting[Job Number],0)),""),""))))</f>
        <v/>
      </c>
      <c r="AC176" s="25">
        <f>IF(AB176="","",IF(AND(LEFT(AB176,4)&lt;&gt;"http",IF(H176="Production",set_RMSBase,set_QwilrBase)=""),"",HYPERLINK(IF(LEFT(AB176,4)="http",AB176,IF(H176="Production",set_RMSBase,set_QwilrBase)&amp;AB176),"Open")))</f>
        <v/>
      </c>
      <c r="AD176" s="27">
        <f>IF(E176="","",IF(H176="Production",IFERROR(INDEX(tbl_Production[Total Expense],MATCH(E176&amp;"",tbl_Production[Job Number],0)),0),IF(H176="Consulting",IFERROR(INDEX(tbl_Consulting[Total Expense],MATCH(E176&amp;"",tbl_Consulting[Job Number],0)),0),0)))</f>
        <v/>
      </c>
      <c r="AE176" s="27">
        <f>IF(E176="","",Y176-N(AD176))</f>
        <v/>
      </c>
      <c r="AF176" s="29">
        <f>IFERROR(AE176/Y176,"")</f>
        <v/>
      </c>
      <c r="AG176" s="25">
        <f>IF(E176="","",IF(H176="Onsite",IFERROR(INDEX(tbl_Onsite[Notes],MATCH(E176&amp;"",tbl_Onsite[Job Number],0)),""),IF(H176="Production",IFERROR(INDEX(tbl_Production[Notes],MATCH(E176&amp;"",tbl_Production[Job Number],0)),""),IF(H176="Consulting",IFERROR(INDEX(tbl_Consulting[Notes],MATCH(E176&amp;"",tbl_Consulting[Job Number],0)),""),""))))</f>
        <v/>
      </c>
    </row>
    <row r="177" ht="15" customHeight="1">
      <c r="A177" s="22" t="n">
        <v>46267</v>
      </c>
      <c r="B177" s="23">
        <f>IF(A177="","",EOMONTH(A177,0))</f>
        <v/>
      </c>
      <c r="C177" s="24" t="inlineStr">
        <is>
          <t>INV-10619</t>
        </is>
      </c>
      <c r="D177" s="24" t="inlineStr">
        <is>
          <t>Aware Super</t>
        </is>
      </c>
      <c r="E177" s="24" t="inlineStr">
        <is>
          <t>26062503</t>
        </is>
      </c>
      <c r="F177" s="25">
        <f>IF(E177="","",IF(COUNTIF(lst_Jobs,E177&amp;"")&gt;0,"OK","CHECK"))</f>
        <v/>
      </c>
      <c r="G177" s="24" t="inlineStr">
        <is>
          <t>24.16 UC Engine Reimaging</t>
        </is>
      </c>
      <c r="H177" s="24" t="inlineStr">
        <is>
          <t>Consulting</t>
        </is>
      </c>
      <c r="I177" s="24" t="inlineStr">
        <is>
          <t>INTEGRATION</t>
        </is>
      </c>
      <c r="J177" s="24" t="inlineStr">
        <is>
          <t>Project</t>
        </is>
      </c>
      <c r="K177" s="24" t="inlineStr">
        <is>
          <t>GST 10%</t>
        </is>
      </c>
      <c r="L177" s="26" t="n">
        <v>671</v>
      </c>
      <c r="M177" s="27">
        <f>IF(L177="","",IF(K177="GST 10%",ROUND(L177*set_GSTRate,2),0))</f>
        <v/>
      </c>
      <c r="N177" s="27">
        <f>IF(L177="","",L177+M177)</f>
        <v/>
      </c>
      <c r="O177" s="24" t="inlineStr">
        <is>
          <t>42300</t>
        </is>
      </c>
      <c r="P177" s="24" t="inlineStr">
        <is>
          <t>Y</t>
        </is>
      </c>
      <c r="Q177" s="24" t="inlineStr">
        <is>
          <t>N</t>
        </is>
      </c>
      <c r="R177" s="22" t="n"/>
      <c r="S177" s="22" t="n"/>
      <c r="T177" s="24" t="inlineStr">
        <is>
          <t>To Invoice</t>
        </is>
      </c>
      <c r="U177" s="24" t="n"/>
      <c r="V177" s="25">
        <f>IF(COUNTA(A177,D177,C177,L177)=0,"",IF(A177="","No date - sits outside every month",IF(E177="","No job number",IF(F177="CHECK","Job number is not in the Xero job list",IF(I177="","No cost centre",IF(AND(P177="Y",C177=""),"Marked posted to Xero but has no invoice number",IF(AND(L177&lt;&gt;"",K177=""),"No tax code",IF(AND(L177&lt;&gt;"",O177=""),"No revenue GL code",""))))))))</f>
        <v/>
      </c>
      <c r="W177" s="25">
        <f>IF(E177="","",IFERROR(INDEX(lst_JobName,MATCH(E177&amp;"",lst_Jobs,0)),""))</f>
        <v/>
      </c>
      <c r="X177" s="28">
        <f>IF(E177="","",COUNTIFS(tbl_Finance[Job Number],E177&amp;"",tbl_Finance[Ex GST],"&lt;&gt;"))</f>
        <v/>
      </c>
      <c r="Y177" s="27">
        <f>IF(E177="","",SUMIFS(tbl_Finance[Ex GST],tbl_Finance[Job Number],E177&amp;""))</f>
        <v/>
      </c>
      <c r="Z177" s="27">
        <f>IF(E177="","",SUMIFS(tbl_Finance[Ex GST],tbl_Finance[Job Number],E177&amp;"",tbl_Finance[Xero Invoice No],"&lt;&gt;"))</f>
        <v/>
      </c>
      <c r="AA177" s="27">
        <f>IF(E177="","",Y177-Z177)</f>
        <v/>
      </c>
      <c r="AB177" s="25">
        <f>IF(E177="","",IF(H177="Onsite",IFERROR(INDEX(tbl_Onsite[Qwilr Quote],MATCH(E177&amp;"",tbl_Onsite[Job Number],0)),""),IF(H177="Production",IFERROR(IF(INDEX(tbl_Production[Current RMS No],MATCH(E177&amp;"",tbl_Production[Job Number],0))="",INDEX(tbl_Production[Qwilr Quote],MATCH(E177&amp;"",tbl_Production[Job Number],0)),INDEX(tbl_Production[Current RMS No],MATCH(E177&amp;"",tbl_Production[Job Number],0))),""),IF(H177="Consulting",IFERROR(INDEX(tbl_Consulting[Qwilr Quote],MATCH(E177&amp;"",tbl_Consulting[Job Number],0)),""),""))))</f>
        <v/>
      </c>
      <c r="AC177" s="25">
        <f>IF(AB177="","",IF(AND(LEFT(AB177,4)&lt;&gt;"http",IF(H177="Production",set_RMSBase,set_QwilrBase)=""),"",HYPERLINK(IF(LEFT(AB177,4)="http",AB177,IF(H177="Production",set_RMSBase,set_QwilrBase)&amp;AB177),"Open")))</f>
        <v/>
      </c>
      <c r="AD177" s="27">
        <f>IF(E177="","",IF(H177="Production",IFERROR(INDEX(tbl_Production[Total Expense],MATCH(E177&amp;"",tbl_Production[Job Number],0)),0),IF(H177="Consulting",IFERROR(INDEX(tbl_Consulting[Total Expense],MATCH(E177&amp;"",tbl_Consulting[Job Number],0)),0),0)))</f>
        <v/>
      </c>
      <c r="AE177" s="27">
        <f>IF(E177="","",Y177-N(AD177))</f>
        <v/>
      </c>
      <c r="AF177" s="29">
        <f>IFERROR(AE177/Y177,"")</f>
        <v/>
      </c>
      <c r="AG177" s="25">
        <f>IF(E177="","",IF(H177="Onsite",IFERROR(INDEX(tbl_Onsite[Notes],MATCH(E177&amp;"",tbl_Onsite[Job Number],0)),""),IF(H177="Production",IFERROR(INDEX(tbl_Production[Notes],MATCH(E177&amp;"",tbl_Production[Job Number],0)),""),IF(H177="Consulting",IFERROR(INDEX(tbl_Consulting[Notes],MATCH(E177&amp;"",tbl_Consulting[Job Number],0)),""),""))))</f>
        <v/>
      </c>
    </row>
    <row r="178" ht="15" customHeight="1">
      <c r="A178" s="22" t="n">
        <v>46275</v>
      </c>
      <c r="B178" s="23">
        <f>IF(A178="","",EOMONTH(A178,0))</f>
        <v/>
      </c>
      <c r="C178" s="24" t="inlineStr">
        <is>
          <t>INV-10622</t>
        </is>
      </c>
      <c r="D178" s="24" t="inlineStr">
        <is>
          <t>APA</t>
        </is>
      </c>
      <c r="E178" s="24" t="inlineStr">
        <is>
          <t>25070702</t>
        </is>
      </c>
      <c r="F178" s="25">
        <f>IF(E178="","",IF(COUNTIF(lst_Jobs,E178&amp;"")&gt;0,"OK","CHECK"))</f>
        <v/>
      </c>
      <c r="G178" s="24" t="inlineStr">
        <is>
          <t>APA BNE &amp; NT Year 2 license</t>
        </is>
      </c>
      <c r="H178" s="24" t="inlineStr">
        <is>
          <t>Consulting</t>
        </is>
      </c>
      <c r="I178" s="24" t="inlineStr">
        <is>
          <t>INTEGRATION</t>
        </is>
      </c>
      <c r="J178" s="24" t="inlineStr">
        <is>
          <t>Project</t>
        </is>
      </c>
      <c r="K178" s="24" t="inlineStr">
        <is>
          <t>GST 10%</t>
        </is>
      </c>
      <c r="L178" s="26" t="n">
        <v>3956.77</v>
      </c>
      <c r="M178" s="27">
        <f>IF(L178="","",IF(K178="GST 10%",ROUND(L178*set_GSTRate,2),0))</f>
        <v/>
      </c>
      <c r="N178" s="27">
        <f>IF(L178="","",L178+M178)</f>
        <v/>
      </c>
      <c r="O178" s="24" t="inlineStr">
        <is>
          <t>42300</t>
        </is>
      </c>
      <c r="P178" s="24" t="inlineStr">
        <is>
          <t>Y</t>
        </is>
      </c>
      <c r="Q178" s="24" t="inlineStr">
        <is>
          <t>N</t>
        </is>
      </c>
      <c r="R178" s="22" t="n"/>
      <c r="S178" s="22" t="n"/>
      <c r="T178" s="24" t="inlineStr">
        <is>
          <t>Paid</t>
        </is>
      </c>
      <c r="U178" s="24" t="n"/>
      <c r="V178" s="25">
        <f>IF(COUNTA(A178,D178,C178,L178)=0,"",IF(A178="","No date - sits outside every month",IF(E178="","No job number",IF(F178="CHECK","Job number is not in the Xero job list",IF(I178="","No cost centre",IF(AND(P178="Y",C178=""),"Marked posted to Xero but has no invoice number",IF(AND(L178&lt;&gt;"",K178=""),"No tax code",IF(AND(L178&lt;&gt;"",O178=""),"No revenue GL code",""))))))))</f>
        <v/>
      </c>
      <c r="W178" s="25">
        <f>IF(E178="","",IFERROR(INDEX(lst_JobName,MATCH(E178&amp;"",lst_Jobs,0)),""))</f>
        <v/>
      </c>
      <c r="X178" s="28">
        <f>IF(E178="","",COUNTIFS(tbl_Finance[Job Number],E178&amp;"",tbl_Finance[Ex GST],"&lt;&gt;"))</f>
        <v/>
      </c>
      <c r="Y178" s="27">
        <f>IF(E178="","",SUMIFS(tbl_Finance[Ex GST],tbl_Finance[Job Number],E178&amp;""))</f>
        <v/>
      </c>
      <c r="Z178" s="27">
        <f>IF(E178="","",SUMIFS(tbl_Finance[Ex GST],tbl_Finance[Job Number],E178&amp;"",tbl_Finance[Xero Invoice No],"&lt;&gt;"))</f>
        <v/>
      </c>
      <c r="AA178" s="27">
        <f>IF(E178="","",Y178-Z178)</f>
        <v/>
      </c>
      <c r="AB178" s="25">
        <f>IF(E178="","",IF(H178="Onsite",IFERROR(INDEX(tbl_Onsite[Qwilr Quote],MATCH(E178&amp;"",tbl_Onsite[Job Number],0)),""),IF(H178="Production",IFERROR(IF(INDEX(tbl_Production[Current RMS No],MATCH(E178&amp;"",tbl_Production[Job Number],0))="",INDEX(tbl_Production[Qwilr Quote],MATCH(E178&amp;"",tbl_Production[Job Number],0)),INDEX(tbl_Production[Current RMS No],MATCH(E178&amp;"",tbl_Production[Job Number],0))),""),IF(H178="Consulting",IFERROR(INDEX(tbl_Consulting[Qwilr Quote],MATCH(E178&amp;"",tbl_Consulting[Job Number],0)),""),""))))</f>
        <v/>
      </c>
      <c r="AC178" s="25">
        <f>IF(AB178="","",IF(AND(LEFT(AB178,4)&lt;&gt;"http",IF(H178="Production",set_RMSBase,set_QwilrBase)=""),"",HYPERLINK(IF(LEFT(AB178,4)="http",AB178,IF(H178="Production",set_RMSBase,set_QwilrBase)&amp;AB178),"Open")))</f>
        <v/>
      </c>
      <c r="AD178" s="27">
        <f>IF(E178="","",IF(H178="Production",IFERROR(INDEX(tbl_Production[Total Expense],MATCH(E178&amp;"",tbl_Production[Job Number],0)),0),IF(H178="Consulting",IFERROR(INDEX(tbl_Consulting[Total Expense],MATCH(E178&amp;"",tbl_Consulting[Job Number],0)),0),0)))</f>
        <v/>
      </c>
      <c r="AE178" s="27">
        <f>IF(E178="","",Y178-N(AD178))</f>
        <v/>
      </c>
      <c r="AF178" s="29">
        <f>IFERROR(AE178/Y178,"")</f>
        <v/>
      </c>
      <c r="AG178" s="25">
        <f>IF(E178="","",IF(H178="Onsite",IFERROR(INDEX(tbl_Onsite[Notes],MATCH(E178&amp;"",tbl_Onsite[Job Number],0)),""),IF(H178="Production",IFERROR(INDEX(tbl_Production[Notes],MATCH(E178&amp;"",tbl_Production[Job Number],0)),""),IF(H178="Consulting",IFERROR(INDEX(tbl_Consulting[Notes],MATCH(E178&amp;"",tbl_Consulting[Job Number],0)),""),""))))</f>
        <v/>
      </c>
    </row>
    <row r="179" ht="15" customHeight="1">
      <c r="A179" s="22" t="n"/>
      <c r="B179" s="23">
        <f>IF(A179="","",EOMONTH(A179,0))</f>
        <v/>
      </c>
      <c r="C179" s="24" t="n"/>
      <c r="D179" s="24" t="n"/>
      <c r="E179" s="24" t="n"/>
      <c r="F179" s="25">
        <f>IF(E179="","",IF(COUNTIF(lst_Jobs,E179&amp;"")&gt;0,"OK","CHECK"))</f>
        <v/>
      </c>
      <c r="G179" s="24" t="n"/>
      <c r="H179" s="24" t="n"/>
      <c r="I179" s="24" t="n"/>
      <c r="J179" s="24" t="n"/>
      <c r="K179" s="24" t="n"/>
      <c r="L179" s="26" t="n"/>
      <c r="M179" s="27">
        <f>IF(L179="","",IF(K179="GST 10%",ROUND(L179*set_GSTRate,2),0))</f>
        <v/>
      </c>
      <c r="N179" s="27">
        <f>IF(L179="","",L179+M179)</f>
        <v/>
      </c>
      <c r="O179" s="24" t="n"/>
      <c r="P179" s="24" t="n"/>
      <c r="Q179" s="24" t="n"/>
      <c r="R179" s="22" t="n"/>
      <c r="S179" s="22" t="n"/>
      <c r="T179" s="24" t="n"/>
      <c r="U179" s="24" t="n"/>
      <c r="V179" s="25">
        <f>IF(COUNTA(A179,D179,C179,L179)=0,"",IF(A179="","No date - sits outside every month",IF(E179="","No job number",IF(F179="CHECK","Job number is not in the Xero job list",IF(I179="","No cost centre",IF(AND(P179="Y",C179=""),"Marked posted to Xero but has no invoice number",IF(AND(L179&lt;&gt;"",K179=""),"No tax code",IF(AND(L179&lt;&gt;"",O179=""),"No revenue GL code",""))))))))</f>
        <v/>
      </c>
      <c r="W179" s="25">
        <f>IF(E179="","",IFERROR(INDEX(lst_JobName,MATCH(E179&amp;"",lst_Jobs,0)),""))</f>
        <v/>
      </c>
      <c r="X179" s="28">
        <f>IF(E179="","",COUNTIFS(tbl_Finance[Job Number],E179&amp;"",tbl_Finance[Ex GST],"&lt;&gt;"))</f>
        <v/>
      </c>
      <c r="Y179" s="27">
        <f>IF(E179="","",SUMIFS(tbl_Finance[Ex GST],tbl_Finance[Job Number],E179&amp;""))</f>
        <v/>
      </c>
      <c r="Z179" s="27">
        <f>IF(E179="","",SUMIFS(tbl_Finance[Ex GST],tbl_Finance[Job Number],E179&amp;"",tbl_Finance[Xero Invoice No],"&lt;&gt;"))</f>
        <v/>
      </c>
      <c r="AA179" s="27">
        <f>IF(E179="","",Y179-Z179)</f>
        <v/>
      </c>
      <c r="AB179" s="25">
        <f>IF(E179="","",IF(H179="Onsite",IFERROR(INDEX(tbl_Onsite[Qwilr Quote],MATCH(E179&amp;"",tbl_Onsite[Job Number],0)),""),IF(H179="Production",IFERROR(IF(INDEX(tbl_Production[Current RMS No],MATCH(E179&amp;"",tbl_Production[Job Number],0))="",INDEX(tbl_Production[Qwilr Quote],MATCH(E179&amp;"",tbl_Production[Job Number],0)),INDEX(tbl_Production[Current RMS No],MATCH(E179&amp;"",tbl_Production[Job Number],0))),""),IF(H179="Consulting",IFERROR(INDEX(tbl_Consulting[Qwilr Quote],MATCH(E179&amp;"",tbl_Consulting[Job Number],0)),""),""))))</f>
        <v/>
      </c>
      <c r="AC179" s="25">
        <f>IF(AB179="","",IF(AND(LEFT(AB179,4)&lt;&gt;"http",IF(H179="Production",set_RMSBase,set_QwilrBase)=""),"",HYPERLINK(IF(LEFT(AB179,4)="http",AB179,IF(H179="Production",set_RMSBase,set_QwilrBase)&amp;AB179),"Open")))</f>
        <v/>
      </c>
      <c r="AD179" s="27">
        <f>IF(E179="","",IF(H179="Production",IFERROR(INDEX(tbl_Production[Total Expense],MATCH(E179&amp;"",tbl_Production[Job Number],0)),0),IF(H179="Consulting",IFERROR(INDEX(tbl_Consulting[Total Expense],MATCH(E179&amp;"",tbl_Consulting[Job Number],0)),0),0)))</f>
        <v/>
      </c>
      <c r="AE179" s="27">
        <f>IF(E179="","",Y179-N(AD179))</f>
        <v/>
      </c>
      <c r="AF179" s="29">
        <f>IFERROR(AE179/Y179,"")</f>
        <v/>
      </c>
      <c r="AG179" s="25">
        <f>IF(E179="","",IF(H179="Onsite",IFERROR(INDEX(tbl_Onsite[Notes],MATCH(E179&amp;"",tbl_Onsite[Job Number],0)),""),IF(H179="Production",IFERROR(INDEX(tbl_Production[Notes],MATCH(E179&amp;"",tbl_Production[Job Number],0)),""),IF(H179="Consulting",IFERROR(INDEX(tbl_Consulting[Notes],MATCH(E179&amp;"",tbl_Consulting[Job Number],0)),""),""))))</f>
        <v/>
      </c>
    </row>
    <row r="180" ht="15" customHeight="1">
      <c r="A180" s="22" t="n"/>
      <c r="B180" s="23">
        <f>IF(A180="","",EOMONTH(A180,0))</f>
        <v/>
      </c>
      <c r="C180" s="24" t="n"/>
      <c r="D180" s="24" t="n"/>
      <c r="E180" s="24" t="n"/>
      <c r="F180" s="25">
        <f>IF(E180="","",IF(COUNTIF(lst_Jobs,E180&amp;"")&gt;0,"OK","CHECK"))</f>
        <v/>
      </c>
      <c r="G180" s="24" t="n"/>
      <c r="H180" s="24" t="n"/>
      <c r="I180" s="24" t="n"/>
      <c r="J180" s="24" t="n"/>
      <c r="K180" s="24" t="n"/>
      <c r="L180" s="26" t="n"/>
      <c r="M180" s="27">
        <f>IF(L180="","",IF(K180="GST 10%",ROUND(L180*set_GSTRate,2),0))</f>
        <v/>
      </c>
      <c r="N180" s="27">
        <f>IF(L180="","",L180+M180)</f>
        <v/>
      </c>
      <c r="O180" s="24" t="n"/>
      <c r="P180" s="24" t="n"/>
      <c r="Q180" s="24" t="n"/>
      <c r="R180" s="22" t="n"/>
      <c r="S180" s="22" t="n"/>
      <c r="T180" s="24" t="n"/>
      <c r="U180" s="24" t="n"/>
      <c r="V180" s="25">
        <f>IF(COUNTA(A180,D180,C180,L180)=0,"",IF(A180="","No date - sits outside every month",IF(E180="","No job number",IF(F180="CHECK","Job number is not in the Xero job list",IF(I180="","No cost centre",IF(AND(P180="Y",C180=""),"Marked posted to Xero but has no invoice number",IF(AND(L180&lt;&gt;"",K180=""),"No tax code",IF(AND(L180&lt;&gt;"",O180=""),"No revenue GL code",""))))))))</f>
        <v/>
      </c>
      <c r="W180" s="25">
        <f>IF(E180="","",IFERROR(INDEX(lst_JobName,MATCH(E180&amp;"",lst_Jobs,0)),""))</f>
        <v/>
      </c>
      <c r="X180" s="28">
        <f>IF(E180="","",COUNTIFS(tbl_Finance[Job Number],E180&amp;"",tbl_Finance[Ex GST],"&lt;&gt;"))</f>
        <v/>
      </c>
      <c r="Y180" s="27">
        <f>IF(E180="","",SUMIFS(tbl_Finance[Ex GST],tbl_Finance[Job Number],E180&amp;""))</f>
        <v/>
      </c>
      <c r="Z180" s="27">
        <f>IF(E180="","",SUMIFS(tbl_Finance[Ex GST],tbl_Finance[Job Number],E180&amp;"",tbl_Finance[Xero Invoice No],"&lt;&gt;"))</f>
        <v/>
      </c>
      <c r="AA180" s="27">
        <f>IF(E180="","",Y180-Z180)</f>
        <v/>
      </c>
      <c r="AB180" s="25">
        <f>IF(E180="","",IF(H180="Onsite",IFERROR(INDEX(tbl_Onsite[Qwilr Quote],MATCH(E180&amp;"",tbl_Onsite[Job Number],0)),""),IF(H180="Production",IFERROR(IF(INDEX(tbl_Production[Current RMS No],MATCH(E180&amp;"",tbl_Production[Job Number],0))="",INDEX(tbl_Production[Qwilr Quote],MATCH(E180&amp;"",tbl_Production[Job Number],0)),INDEX(tbl_Production[Current RMS No],MATCH(E180&amp;"",tbl_Production[Job Number],0))),""),IF(H180="Consulting",IFERROR(INDEX(tbl_Consulting[Qwilr Quote],MATCH(E180&amp;"",tbl_Consulting[Job Number],0)),""),""))))</f>
        <v/>
      </c>
      <c r="AC180" s="25">
        <f>IF(AB180="","",IF(AND(LEFT(AB180,4)&lt;&gt;"http",IF(H180="Production",set_RMSBase,set_QwilrBase)=""),"",HYPERLINK(IF(LEFT(AB180,4)="http",AB180,IF(H180="Production",set_RMSBase,set_QwilrBase)&amp;AB180),"Open")))</f>
        <v/>
      </c>
      <c r="AD180" s="27">
        <f>IF(E180="","",IF(H180="Production",IFERROR(INDEX(tbl_Production[Total Expense],MATCH(E180&amp;"",tbl_Production[Job Number],0)),0),IF(H180="Consulting",IFERROR(INDEX(tbl_Consulting[Total Expense],MATCH(E180&amp;"",tbl_Consulting[Job Number],0)),0),0)))</f>
        <v/>
      </c>
      <c r="AE180" s="27">
        <f>IF(E180="","",Y180-N(AD180))</f>
        <v/>
      </c>
      <c r="AF180" s="29">
        <f>IFERROR(AE180/Y180,"")</f>
        <v/>
      </c>
      <c r="AG180" s="25">
        <f>IF(E180="","",IF(H180="Onsite",IFERROR(INDEX(tbl_Onsite[Notes],MATCH(E180&amp;"",tbl_Onsite[Job Number],0)),""),IF(H180="Production",IFERROR(INDEX(tbl_Production[Notes],MATCH(E180&amp;"",tbl_Production[Job Number],0)),""),IF(H180="Consulting",IFERROR(INDEX(tbl_Consulting[Notes],MATCH(E180&amp;"",tbl_Consulting[Job Number],0)),""),""))))</f>
        <v/>
      </c>
    </row>
    <row r="181" ht="15" customHeight="1">
      <c r="A181" s="22" t="n"/>
      <c r="B181" s="23">
        <f>IF(A181="","",EOMONTH(A181,0))</f>
        <v/>
      </c>
      <c r="C181" s="24" t="n"/>
      <c r="D181" s="24" t="n"/>
      <c r="E181" s="24" t="n"/>
      <c r="F181" s="25">
        <f>IF(E181="","",IF(COUNTIF(lst_Jobs,E181&amp;"")&gt;0,"OK","CHECK"))</f>
        <v/>
      </c>
      <c r="G181" s="24" t="n"/>
      <c r="H181" s="24" t="n"/>
      <c r="I181" s="24" t="n"/>
      <c r="J181" s="24" t="n"/>
      <c r="K181" s="24" t="n"/>
      <c r="L181" s="26" t="n"/>
      <c r="M181" s="27">
        <f>IF(L181="","",IF(K181="GST 10%",ROUND(L181*set_GSTRate,2),0))</f>
        <v/>
      </c>
      <c r="N181" s="27">
        <f>IF(L181="","",L181+M181)</f>
        <v/>
      </c>
      <c r="O181" s="24" t="n"/>
      <c r="P181" s="24" t="n"/>
      <c r="Q181" s="24" t="n"/>
      <c r="R181" s="22" t="n"/>
      <c r="S181" s="22" t="n"/>
      <c r="T181" s="24" t="n"/>
      <c r="U181" s="24" t="n"/>
      <c r="V181" s="25">
        <f>IF(COUNTA(A181,D181,C181,L181)=0,"",IF(A181="","No date - sits outside every month",IF(E181="","No job number",IF(F181="CHECK","Job number is not in the Xero job list",IF(I181="","No cost centre",IF(AND(P181="Y",C181=""),"Marked posted to Xero but has no invoice number",IF(AND(L181&lt;&gt;"",K181=""),"No tax code",IF(AND(L181&lt;&gt;"",O181=""),"No revenue GL code",""))))))))</f>
        <v/>
      </c>
      <c r="W181" s="25">
        <f>IF(E181="","",IFERROR(INDEX(lst_JobName,MATCH(E181&amp;"",lst_Jobs,0)),""))</f>
        <v/>
      </c>
      <c r="X181" s="28">
        <f>IF(E181="","",COUNTIFS(tbl_Finance[Job Number],E181&amp;"",tbl_Finance[Ex GST],"&lt;&gt;"))</f>
        <v/>
      </c>
      <c r="Y181" s="27">
        <f>IF(E181="","",SUMIFS(tbl_Finance[Ex GST],tbl_Finance[Job Number],E181&amp;""))</f>
        <v/>
      </c>
      <c r="Z181" s="27">
        <f>IF(E181="","",SUMIFS(tbl_Finance[Ex GST],tbl_Finance[Job Number],E181&amp;"",tbl_Finance[Xero Invoice No],"&lt;&gt;"))</f>
        <v/>
      </c>
      <c r="AA181" s="27">
        <f>IF(E181="","",Y181-Z181)</f>
        <v/>
      </c>
      <c r="AB181" s="25">
        <f>IF(E181="","",IF(H181="Onsite",IFERROR(INDEX(tbl_Onsite[Qwilr Quote],MATCH(E181&amp;"",tbl_Onsite[Job Number],0)),""),IF(H181="Production",IFERROR(IF(INDEX(tbl_Production[Current RMS No],MATCH(E181&amp;"",tbl_Production[Job Number],0))="",INDEX(tbl_Production[Qwilr Quote],MATCH(E181&amp;"",tbl_Production[Job Number],0)),INDEX(tbl_Production[Current RMS No],MATCH(E181&amp;"",tbl_Production[Job Number],0))),""),IF(H181="Consulting",IFERROR(INDEX(tbl_Consulting[Qwilr Quote],MATCH(E181&amp;"",tbl_Consulting[Job Number],0)),""),""))))</f>
        <v/>
      </c>
      <c r="AC181" s="25">
        <f>IF(AB181="","",IF(AND(LEFT(AB181,4)&lt;&gt;"http",IF(H181="Production",set_RMSBase,set_QwilrBase)=""),"",HYPERLINK(IF(LEFT(AB181,4)="http",AB181,IF(H181="Production",set_RMSBase,set_QwilrBase)&amp;AB181),"Open")))</f>
        <v/>
      </c>
      <c r="AD181" s="27">
        <f>IF(E181="","",IF(H181="Production",IFERROR(INDEX(tbl_Production[Total Expense],MATCH(E181&amp;"",tbl_Production[Job Number],0)),0),IF(H181="Consulting",IFERROR(INDEX(tbl_Consulting[Total Expense],MATCH(E181&amp;"",tbl_Consulting[Job Number],0)),0),0)))</f>
        <v/>
      </c>
      <c r="AE181" s="27">
        <f>IF(E181="","",Y181-N(AD181))</f>
        <v/>
      </c>
      <c r="AF181" s="29">
        <f>IFERROR(AE181/Y181,"")</f>
        <v/>
      </c>
      <c r="AG181" s="25">
        <f>IF(E181="","",IF(H181="Onsite",IFERROR(INDEX(tbl_Onsite[Notes],MATCH(E181&amp;"",tbl_Onsite[Job Number],0)),""),IF(H181="Production",IFERROR(INDEX(tbl_Production[Notes],MATCH(E181&amp;"",tbl_Production[Job Number],0)),""),IF(H181="Consulting",IFERROR(INDEX(tbl_Consulting[Notes],MATCH(E181&amp;"",tbl_Consulting[Job Number],0)),""),""))))</f>
        <v/>
      </c>
    </row>
    <row r="182" ht="15" customHeight="1">
      <c r="A182" s="22" t="n"/>
      <c r="B182" s="23">
        <f>IF(A182="","",EOMONTH(A182,0))</f>
        <v/>
      </c>
      <c r="C182" s="24" t="n"/>
      <c r="D182" s="24" t="n"/>
      <c r="E182" s="24" t="n"/>
      <c r="F182" s="25">
        <f>IF(E182="","",IF(COUNTIF(lst_Jobs,E182&amp;"")&gt;0,"OK","CHECK"))</f>
        <v/>
      </c>
      <c r="G182" s="24" t="n"/>
      <c r="H182" s="24" t="n"/>
      <c r="I182" s="24" t="n"/>
      <c r="J182" s="24" t="n"/>
      <c r="K182" s="24" t="n"/>
      <c r="L182" s="26" t="n"/>
      <c r="M182" s="27">
        <f>IF(L182="","",IF(K182="GST 10%",ROUND(L182*set_GSTRate,2),0))</f>
        <v/>
      </c>
      <c r="N182" s="27">
        <f>IF(L182="","",L182+M182)</f>
        <v/>
      </c>
      <c r="O182" s="24" t="n"/>
      <c r="P182" s="24" t="n"/>
      <c r="Q182" s="24" t="n"/>
      <c r="R182" s="22" t="n"/>
      <c r="S182" s="22" t="n"/>
      <c r="T182" s="24" t="n"/>
      <c r="U182" s="24" t="n"/>
      <c r="V182" s="25">
        <f>IF(COUNTA(A182,D182,C182,L182)=0,"",IF(A182="","No date - sits outside every month",IF(E182="","No job number",IF(F182="CHECK","Job number is not in the Xero job list",IF(I182="","No cost centre",IF(AND(P182="Y",C182=""),"Marked posted to Xero but has no invoice number",IF(AND(L182&lt;&gt;"",K182=""),"No tax code",IF(AND(L182&lt;&gt;"",O182=""),"No revenue GL code",""))))))))</f>
        <v/>
      </c>
      <c r="W182" s="25">
        <f>IF(E182="","",IFERROR(INDEX(lst_JobName,MATCH(E182&amp;"",lst_Jobs,0)),""))</f>
        <v/>
      </c>
      <c r="X182" s="28">
        <f>IF(E182="","",COUNTIFS(tbl_Finance[Job Number],E182&amp;"",tbl_Finance[Ex GST],"&lt;&gt;"))</f>
        <v/>
      </c>
      <c r="Y182" s="27">
        <f>IF(E182="","",SUMIFS(tbl_Finance[Ex GST],tbl_Finance[Job Number],E182&amp;""))</f>
        <v/>
      </c>
      <c r="Z182" s="27">
        <f>IF(E182="","",SUMIFS(tbl_Finance[Ex GST],tbl_Finance[Job Number],E182&amp;"",tbl_Finance[Xero Invoice No],"&lt;&gt;"))</f>
        <v/>
      </c>
      <c r="AA182" s="27">
        <f>IF(E182="","",Y182-Z182)</f>
        <v/>
      </c>
      <c r="AB182" s="25">
        <f>IF(E182="","",IF(H182="Onsite",IFERROR(INDEX(tbl_Onsite[Qwilr Quote],MATCH(E182&amp;"",tbl_Onsite[Job Number],0)),""),IF(H182="Production",IFERROR(IF(INDEX(tbl_Production[Current RMS No],MATCH(E182&amp;"",tbl_Production[Job Number],0))="",INDEX(tbl_Production[Qwilr Quote],MATCH(E182&amp;"",tbl_Production[Job Number],0)),INDEX(tbl_Production[Current RMS No],MATCH(E182&amp;"",tbl_Production[Job Number],0))),""),IF(H182="Consulting",IFERROR(INDEX(tbl_Consulting[Qwilr Quote],MATCH(E182&amp;"",tbl_Consulting[Job Number],0)),""),""))))</f>
        <v/>
      </c>
      <c r="AC182" s="25">
        <f>IF(AB182="","",IF(AND(LEFT(AB182,4)&lt;&gt;"http",IF(H182="Production",set_RMSBase,set_QwilrBase)=""),"",HYPERLINK(IF(LEFT(AB182,4)="http",AB182,IF(H182="Production",set_RMSBase,set_QwilrBase)&amp;AB182),"Open")))</f>
        <v/>
      </c>
      <c r="AD182" s="27">
        <f>IF(E182="","",IF(H182="Production",IFERROR(INDEX(tbl_Production[Total Expense],MATCH(E182&amp;"",tbl_Production[Job Number],0)),0),IF(H182="Consulting",IFERROR(INDEX(tbl_Consulting[Total Expense],MATCH(E182&amp;"",tbl_Consulting[Job Number],0)),0),0)))</f>
        <v/>
      </c>
      <c r="AE182" s="27">
        <f>IF(E182="","",Y182-N(AD182))</f>
        <v/>
      </c>
      <c r="AF182" s="29">
        <f>IFERROR(AE182/Y182,"")</f>
        <v/>
      </c>
      <c r="AG182" s="25">
        <f>IF(E182="","",IF(H182="Onsite",IFERROR(INDEX(tbl_Onsite[Notes],MATCH(E182&amp;"",tbl_Onsite[Job Number],0)),""),IF(H182="Production",IFERROR(INDEX(tbl_Production[Notes],MATCH(E182&amp;"",tbl_Production[Job Number],0)),""),IF(H182="Consulting",IFERROR(INDEX(tbl_Consulting[Notes],MATCH(E182&amp;"",tbl_Consulting[Job Number],0)),""),""))))</f>
        <v/>
      </c>
    </row>
    <row r="183" ht="15" customHeight="1">
      <c r="A183" s="22" t="n"/>
      <c r="B183" s="23">
        <f>IF(A183="","",EOMONTH(A183,0))</f>
        <v/>
      </c>
      <c r="C183" s="24" t="n"/>
      <c r="D183" s="24" t="n"/>
      <c r="E183" s="24" t="n"/>
      <c r="F183" s="25">
        <f>IF(E183="","",IF(COUNTIF(lst_Jobs,E183&amp;"")&gt;0,"OK","CHECK"))</f>
        <v/>
      </c>
      <c r="G183" s="24" t="n"/>
      <c r="H183" s="24" t="n"/>
      <c r="I183" s="24" t="n"/>
      <c r="J183" s="24" t="n"/>
      <c r="K183" s="24" t="n"/>
      <c r="L183" s="26" t="n"/>
      <c r="M183" s="27">
        <f>IF(L183="","",IF(K183="GST 10%",ROUND(L183*set_GSTRate,2),0))</f>
        <v/>
      </c>
      <c r="N183" s="27">
        <f>IF(L183="","",L183+M183)</f>
        <v/>
      </c>
      <c r="O183" s="24" t="n"/>
      <c r="P183" s="24" t="n"/>
      <c r="Q183" s="24" t="n"/>
      <c r="R183" s="22" t="n"/>
      <c r="S183" s="22" t="n"/>
      <c r="T183" s="24" t="n"/>
      <c r="U183" s="24" t="n"/>
      <c r="V183" s="25">
        <f>IF(COUNTA(A183,D183,C183,L183)=0,"",IF(A183="","No date - sits outside every month",IF(E183="","No job number",IF(F183="CHECK","Job number is not in the Xero job list",IF(I183="","No cost centre",IF(AND(P183="Y",C183=""),"Marked posted to Xero but has no invoice number",IF(AND(L183&lt;&gt;"",K183=""),"No tax code",IF(AND(L183&lt;&gt;"",O183=""),"No revenue GL code",""))))))))</f>
        <v/>
      </c>
      <c r="W183" s="25">
        <f>IF(E183="","",IFERROR(INDEX(lst_JobName,MATCH(E183&amp;"",lst_Jobs,0)),""))</f>
        <v/>
      </c>
      <c r="X183" s="28">
        <f>IF(E183="","",COUNTIFS(tbl_Finance[Job Number],E183&amp;"",tbl_Finance[Ex GST],"&lt;&gt;"))</f>
        <v/>
      </c>
      <c r="Y183" s="27">
        <f>IF(E183="","",SUMIFS(tbl_Finance[Ex GST],tbl_Finance[Job Number],E183&amp;""))</f>
        <v/>
      </c>
      <c r="Z183" s="27">
        <f>IF(E183="","",SUMIFS(tbl_Finance[Ex GST],tbl_Finance[Job Number],E183&amp;"",tbl_Finance[Xero Invoice No],"&lt;&gt;"))</f>
        <v/>
      </c>
      <c r="AA183" s="27">
        <f>IF(E183="","",Y183-Z183)</f>
        <v/>
      </c>
      <c r="AB183" s="25">
        <f>IF(E183="","",IF(H183="Onsite",IFERROR(INDEX(tbl_Onsite[Qwilr Quote],MATCH(E183&amp;"",tbl_Onsite[Job Number],0)),""),IF(H183="Production",IFERROR(IF(INDEX(tbl_Production[Current RMS No],MATCH(E183&amp;"",tbl_Production[Job Number],0))="",INDEX(tbl_Production[Qwilr Quote],MATCH(E183&amp;"",tbl_Production[Job Number],0)),INDEX(tbl_Production[Current RMS No],MATCH(E183&amp;"",tbl_Production[Job Number],0))),""),IF(H183="Consulting",IFERROR(INDEX(tbl_Consulting[Qwilr Quote],MATCH(E183&amp;"",tbl_Consulting[Job Number],0)),""),""))))</f>
        <v/>
      </c>
      <c r="AC183" s="25">
        <f>IF(AB183="","",IF(AND(LEFT(AB183,4)&lt;&gt;"http",IF(H183="Production",set_RMSBase,set_QwilrBase)=""),"",HYPERLINK(IF(LEFT(AB183,4)="http",AB183,IF(H183="Production",set_RMSBase,set_QwilrBase)&amp;AB183),"Open")))</f>
        <v/>
      </c>
      <c r="AD183" s="27">
        <f>IF(E183="","",IF(H183="Production",IFERROR(INDEX(tbl_Production[Total Expense],MATCH(E183&amp;"",tbl_Production[Job Number],0)),0),IF(H183="Consulting",IFERROR(INDEX(tbl_Consulting[Total Expense],MATCH(E183&amp;"",tbl_Consulting[Job Number],0)),0),0)))</f>
        <v/>
      </c>
      <c r="AE183" s="27">
        <f>IF(E183="","",Y183-N(AD183))</f>
        <v/>
      </c>
      <c r="AF183" s="29">
        <f>IFERROR(AE183/Y183,"")</f>
        <v/>
      </c>
      <c r="AG183" s="25">
        <f>IF(E183="","",IF(H183="Onsite",IFERROR(INDEX(tbl_Onsite[Notes],MATCH(E183&amp;"",tbl_Onsite[Job Number],0)),""),IF(H183="Production",IFERROR(INDEX(tbl_Production[Notes],MATCH(E183&amp;"",tbl_Production[Job Number],0)),""),IF(H183="Consulting",IFERROR(INDEX(tbl_Consulting[Notes],MATCH(E183&amp;"",tbl_Consulting[Job Number],0)),""),""))))</f>
        <v/>
      </c>
    </row>
    <row r="184" ht="15" customHeight="1">
      <c r="A184" s="22" t="n"/>
      <c r="B184" s="23">
        <f>IF(A184="","",EOMONTH(A184,0))</f>
        <v/>
      </c>
      <c r="C184" s="24" t="n"/>
      <c r="D184" s="24" t="n"/>
      <c r="E184" s="24" t="n"/>
      <c r="F184" s="25">
        <f>IF(E184="","",IF(COUNTIF(lst_Jobs,E184&amp;"")&gt;0,"OK","CHECK"))</f>
        <v/>
      </c>
      <c r="G184" s="24" t="n"/>
      <c r="H184" s="24" t="n"/>
      <c r="I184" s="24" t="n"/>
      <c r="J184" s="24" t="n"/>
      <c r="K184" s="24" t="n"/>
      <c r="L184" s="26" t="n"/>
      <c r="M184" s="27">
        <f>IF(L184="","",IF(K184="GST 10%",ROUND(L184*set_GSTRate,2),0))</f>
        <v/>
      </c>
      <c r="N184" s="27">
        <f>IF(L184="","",L184+M184)</f>
        <v/>
      </c>
      <c r="O184" s="24" t="n"/>
      <c r="P184" s="24" t="n"/>
      <c r="Q184" s="24" t="n"/>
      <c r="R184" s="22" t="n"/>
      <c r="S184" s="22" t="n"/>
      <c r="T184" s="24" t="n"/>
      <c r="U184" s="24" t="n"/>
      <c r="V184" s="25">
        <f>IF(COUNTA(A184,D184,C184,L184)=0,"",IF(A184="","No date - sits outside every month",IF(E184="","No job number",IF(F184="CHECK","Job number is not in the Xero job list",IF(I184="","No cost centre",IF(AND(P184="Y",C184=""),"Marked posted to Xero but has no invoice number",IF(AND(L184&lt;&gt;"",K184=""),"No tax code",IF(AND(L184&lt;&gt;"",O184=""),"No revenue GL code",""))))))))</f>
        <v/>
      </c>
      <c r="W184" s="25">
        <f>IF(E184="","",IFERROR(INDEX(lst_JobName,MATCH(E184&amp;"",lst_Jobs,0)),""))</f>
        <v/>
      </c>
      <c r="X184" s="28">
        <f>IF(E184="","",COUNTIFS(tbl_Finance[Job Number],E184&amp;"",tbl_Finance[Ex GST],"&lt;&gt;"))</f>
        <v/>
      </c>
      <c r="Y184" s="27">
        <f>IF(E184="","",SUMIFS(tbl_Finance[Ex GST],tbl_Finance[Job Number],E184&amp;""))</f>
        <v/>
      </c>
      <c r="Z184" s="27">
        <f>IF(E184="","",SUMIFS(tbl_Finance[Ex GST],tbl_Finance[Job Number],E184&amp;"",tbl_Finance[Xero Invoice No],"&lt;&gt;"))</f>
        <v/>
      </c>
      <c r="AA184" s="27">
        <f>IF(E184="","",Y184-Z184)</f>
        <v/>
      </c>
      <c r="AB184" s="25">
        <f>IF(E184="","",IF(H184="Onsite",IFERROR(INDEX(tbl_Onsite[Qwilr Quote],MATCH(E184&amp;"",tbl_Onsite[Job Number],0)),""),IF(H184="Production",IFERROR(IF(INDEX(tbl_Production[Current RMS No],MATCH(E184&amp;"",tbl_Production[Job Number],0))="",INDEX(tbl_Production[Qwilr Quote],MATCH(E184&amp;"",tbl_Production[Job Number],0)),INDEX(tbl_Production[Current RMS No],MATCH(E184&amp;"",tbl_Production[Job Number],0))),""),IF(H184="Consulting",IFERROR(INDEX(tbl_Consulting[Qwilr Quote],MATCH(E184&amp;"",tbl_Consulting[Job Number],0)),""),""))))</f>
        <v/>
      </c>
      <c r="AC184" s="25">
        <f>IF(AB184="","",IF(AND(LEFT(AB184,4)&lt;&gt;"http",IF(H184="Production",set_RMSBase,set_QwilrBase)=""),"",HYPERLINK(IF(LEFT(AB184,4)="http",AB184,IF(H184="Production",set_RMSBase,set_QwilrBase)&amp;AB184),"Open")))</f>
        <v/>
      </c>
      <c r="AD184" s="27">
        <f>IF(E184="","",IF(H184="Production",IFERROR(INDEX(tbl_Production[Total Expense],MATCH(E184&amp;"",tbl_Production[Job Number],0)),0),IF(H184="Consulting",IFERROR(INDEX(tbl_Consulting[Total Expense],MATCH(E184&amp;"",tbl_Consulting[Job Number],0)),0),0)))</f>
        <v/>
      </c>
      <c r="AE184" s="27">
        <f>IF(E184="","",Y184-N(AD184))</f>
        <v/>
      </c>
      <c r="AF184" s="29">
        <f>IFERROR(AE184/Y184,"")</f>
        <v/>
      </c>
      <c r="AG184" s="25">
        <f>IF(E184="","",IF(H184="Onsite",IFERROR(INDEX(tbl_Onsite[Notes],MATCH(E184&amp;"",tbl_Onsite[Job Number],0)),""),IF(H184="Production",IFERROR(INDEX(tbl_Production[Notes],MATCH(E184&amp;"",tbl_Production[Job Number],0)),""),IF(H184="Consulting",IFERROR(INDEX(tbl_Consulting[Notes],MATCH(E184&amp;"",tbl_Consulting[Job Number],0)),""),""))))</f>
        <v/>
      </c>
    </row>
    <row r="185" ht="15" customHeight="1">
      <c r="A185" s="22" t="n"/>
      <c r="B185" s="23">
        <f>IF(A185="","",EOMONTH(A185,0))</f>
        <v/>
      </c>
      <c r="C185" s="24" t="n"/>
      <c r="D185" s="24" t="n"/>
      <c r="E185" s="24" t="n"/>
      <c r="F185" s="25">
        <f>IF(E185="","",IF(COUNTIF(lst_Jobs,E185&amp;"")&gt;0,"OK","CHECK"))</f>
        <v/>
      </c>
      <c r="G185" s="24" t="n"/>
      <c r="H185" s="24" t="n"/>
      <c r="I185" s="24" t="n"/>
      <c r="J185" s="24" t="n"/>
      <c r="K185" s="24" t="n"/>
      <c r="L185" s="26" t="n"/>
      <c r="M185" s="27">
        <f>IF(L185="","",IF(K185="GST 10%",ROUND(L185*set_GSTRate,2),0))</f>
        <v/>
      </c>
      <c r="N185" s="27">
        <f>IF(L185="","",L185+M185)</f>
        <v/>
      </c>
      <c r="O185" s="24" t="n"/>
      <c r="P185" s="24" t="n"/>
      <c r="Q185" s="24" t="n"/>
      <c r="R185" s="22" t="n"/>
      <c r="S185" s="22" t="n"/>
      <c r="T185" s="24" t="n"/>
      <c r="U185" s="24" t="n"/>
      <c r="V185" s="25">
        <f>IF(COUNTA(A185,D185,C185,L185)=0,"",IF(A185="","No date - sits outside every month",IF(E185="","No job number",IF(F185="CHECK","Job number is not in the Xero job list",IF(I185="","No cost centre",IF(AND(P185="Y",C185=""),"Marked posted to Xero but has no invoice number",IF(AND(L185&lt;&gt;"",K185=""),"No tax code",IF(AND(L185&lt;&gt;"",O185=""),"No revenue GL code",""))))))))</f>
        <v/>
      </c>
      <c r="W185" s="25">
        <f>IF(E185="","",IFERROR(INDEX(lst_JobName,MATCH(E185&amp;"",lst_Jobs,0)),""))</f>
        <v/>
      </c>
      <c r="X185" s="28">
        <f>IF(E185="","",COUNTIFS(tbl_Finance[Job Number],E185&amp;"",tbl_Finance[Ex GST],"&lt;&gt;"))</f>
        <v/>
      </c>
      <c r="Y185" s="27">
        <f>IF(E185="","",SUMIFS(tbl_Finance[Ex GST],tbl_Finance[Job Number],E185&amp;""))</f>
        <v/>
      </c>
      <c r="Z185" s="27">
        <f>IF(E185="","",SUMIFS(tbl_Finance[Ex GST],tbl_Finance[Job Number],E185&amp;"",tbl_Finance[Xero Invoice No],"&lt;&gt;"))</f>
        <v/>
      </c>
      <c r="AA185" s="27">
        <f>IF(E185="","",Y185-Z185)</f>
        <v/>
      </c>
      <c r="AB185" s="25">
        <f>IF(E185="","",IF(H185="Onsite",IFERROR(INDEX(tbl_Onsite[Qwilr Quote],MATCH(E185&amp;"",tbl_Onsite[Job Number],0)),""),IF(H185="Production",IFERROR(IF(INDEX(tbl_Production[Current RMS No],MATCH(E185&amp;"",tbl_Production[Job Number],0))="",INDEX(tbl_Production[Qwilr Quote],MATCH(E185&amp;"",tbl_Production[Job Number],0)),INDEX(tbl_Production[Current RMS No],MATCH(E185&amp;"",tbl_Production[Job Number],0))),""),IF(H185="Consulting",IFERROR(INDEX(tbl_Consulting[Qwilr Quote],MATCH(E185&amp;"",tbl_Consulting[Job Number],0)),""),""))))</f>
        <v/>
      </c>
      <c r="AC185" s="25">
        <f>IF(AB185="","",IF(AND(LEFT(AB185,4)&lt;&gt;"http",IF(H185="Production",set_RMSBase,set_QwilrBase)=""),"",HYPERLINK(IF(LEFT(AB185,4)="http",AB185,IF(H185="Production",set_RMSBase,set_QwilrBase)&amp;AB185),"Open")))</f>
        <v/>
      </c>
      <c r="AD185" s="27">
        <f>IF(E185="","",IF(H185="Production",IFERROR(INDEX(tbl_Production[Total Expense],MATCH(E185&amp;"",tbl_Production[Job Number],0)),0),IF(H185="Consulting",IFERROR(INDEX(tbl_Consulting[Total Expense],MATCH(E185&amp;"",tbl_Consulting[Job Number],0)),0),0)))</f>
        <v/>
      </c>
      <c r="AE185" s="27">
        <f>IF(E185="","",Y185-N(AD185))</f>
        <v/>
      </c>
      <c r="AF185" s="29">
        <f>IFERROR(AE185/Y185,"")</f>
        <v/>
      </c>
      <c r="AG185" s="25">
        <f>IF(E185="","",IF(H185="Onsite",IFERROR(INDEX(tbl_Onsite[Notes],MATCH(E185&amp;"",tbl_Onsite[Job Number],0)),""),IF(H185="Production",IFERROR(INDEX(tbl_Production[Notes],MATCH(E185&amp;"",tbl_Production[Job Number],0)),""),IF(H185="Consulting",IFERROR(INDEX(tbl_Consulting[Notes],MATCH(E185&amp;"",tbl_Consulting[Job Number],0)),""),""))))</f>
        <v/>
      </c>
    </row>
    <row r="186" ht="15" customHeight="1">
      <c r="A186" s="22" t="n"/>
      <c r="B186" s="23">
        <f>IF(A186="","",EOMONTH(A186,0))</f>
        <v/>
      </c>
      <c r="C186" s="24" t="n"/>
      <c r="D186" s="24" t="n"/>
      <c r="E186" s="24" t="n"/>
      <c r="F186" s="25">
        <f>IF(E186="","",IF(COUNTIF(lst_Jobs,E186&amp;"")&gt;0,"OK","CHECK"))</f>
        <v/>
      </c>
      <c r="G186" s="24" t="n"/>
      <c r="H186" s="24" t="n"/>
      <c r="I186" s="24" t="n"/>
      <c r="J186" s="24" t="n"/>
      <c r="K186" s="24" t="n"/>
      <c r="L186" s="26" t="n"/>
      <c r="M186" s="27">
        <f>IF(L186="","",IF(K186="GST 10%",ROUND(L186*set_GSTRate,2),0))</f>
        <v/>
      </c>
      <c r="N186" s="27">
        <f>IF(L186="","",L186+M186)</f>
        <v/>
      </c>
      <c r="O186" s="24" t="n"/>
      <c r="P186" s="24" t="n"/>
      <c r="Q186" s="24" t="n"/>
      <c r="R186" s="22" t="n"/>
      <c r="S186" s="22" t="n"/>
      <c r="T186" s="24" t="n"/>
      <c r="U186" s="24" t="n"/>
      <c r="V186" s="25">
        <f>IF(COUNTA(A186,D186,C186,L186)=0,"",IF(A186="","No date - sits outside every month",IF(E186="","No job number",IF(F186="CHECK","Job number is not in the Xero job list",IF(I186="","No cost centre",IF(AND(P186="Y",C186=""),"Marked posted to Xero but has no invoice number",IF(AND(L186&lt;&gt;"",K186=""),"No tax code",IF(AND(L186&lt;&gt;"",O186=""),"No revenue GL code",""))))))))</f>
        <v/>
      </c>
      <c r="W186" s="25">
        <f>IF(E186="","",IFERROR(INDEX(lst_JobName,MATCH(E186&amp;"",lst_Jobs,0)),""))</f>
        <v/>
      </c>
      <c r="X186" s="28">
        <f>IF(E186="","",COUNTIFS(tbl_Finance[Job Number],E186&amp;"",tbl_Finance[Ex GST],"&lt;&gt;"))</f>
        <v/>
      </c>
      <c r="Y186" s="27">
        <f>IF(E186="","",SUMIFS(tbl_Finance[Ex GST],tbl_Finance[Job Number],E186&amp;""))</f>
        <v/>
      </c>
      <c r="Z186" s="27">
        <f>IF(E186="","",SUMIFS(tbl_Finance[Ex GST],tbl_Finance[Job Number],E186&amp;"",tbl_Finance[Xero Invoice No],"&lt;&gt;"))</f>
        <v/>
      </c>
      <c r="AA186" s="27">
        <f>IF(E186="","",Y186-Z186)</f>
        <v/>
      </c>
      <c r="AB186" s="25">
        <f>IF(E186="","",IF(H186="Onsite",IFERROR(INDEX(tbl_Onsite[Qwilr Quote],MATCH(E186&amp;"",tbl_Onsite[Job Number],0)),""),IF(H186="Production",IFERROR(IF(INDEX(tbl_Production[Current RMS No],MATCH(E186&amp;"",tbl_Production[Job Number],0))="",INDEX(tbl_Production[Qwilr Quote],MATCH(E186&amp;"",tbl_Production[Job Number],0)),INDEX(tbl_Production[Current RMS No],MATCH(E186&amp;"",tbl_Production[Job Number],0))),""),IF(H186="Consulting",IFERROR(INDEX(tbl_Consulting[Qwilr Quote],MATCH(E186&amp;"",tbl_Consulting[Job Number],0)),""),""))))</f>
        <v/>
      </c>
      <c r="AC186" s="25">
        <f>IF(AB186="","",IF(AND(LEFT(AB186,4)&lt;&gt;"http",IF(H186="Production",set_RMSBase,set_QwilrBase)=""),"",HYPERLINK(IF(LEFT(AB186,4)="http",AB186,IF(H186="Production",set_RMSBase,set_QwilrBase)&amp;AB186),"Open")))</f>
        <v/>
      </c>
      <c r="AD186" s="27">
        <f>IF(E186="","",IF(H186="Production",IFERROR(INDEX(tbl_Production[Total Expense],MATCH(E186&amp;"",tbl_Production[Job Number],0)),0),IF(H186="Consulting",IFERROR(INDEX(tbl_Consulting[Total Expense],MATCH(E186&amp;"",tbl_Consulting[Job Number],0)),0),0)))</f>
        <v/>
      </c>
      <c r="AE186" s="27">
        <f>IF(E186="","",Y186-N(AD186))</f>
        <v/>
      </c>
      <c r="AF186" s="29">
        <f>IFERROR(AE186/Y186,"")</f>
        <v/>
      </c>
      <c r="AG186" s="25">
        <f>IF(E186="","",IF(H186="Onsite",IFERROR(INDEX(tbl_Onsite[Notes],MATCH(E186&amp;"",tbl_Onsite[Job Number],0)),""),IF(H186="Production",IFERROR(INDEX(tbl_Production[Notes],MATCH(E186&amp;"",tbl_Production[Job Number],0)),""),IF(H186="Consulting",IFERROR(INDEX(tbl_Consulting[Notes],MATCH(E186&amp;"",tbl_Consulting[Job Number],0)),""),""))))</f>
        <v/>
      </c>
    </row>
    <row r="187" ht="15" customHeight="1">
      <c r="A187" s="22" t="n"/>
      <c r="B187" s="23">
        <f>IF(A187="","",EOMONTH(A187,0))</f>
        <v/>
      </c>
      <c r="C187" s="24" t="n"/>
      <c r="D187" s="24" t="n"/>
      <c r="E187" s="24" t="n"/>
      <c r="F187" s="25">
        <f>IF(E187="","",IF(COUNTIF(lst_Jobs,E187&amp;"")&gt;0,"OK","CHECK"))</f>
        <v/>
      </c>
      <c r="G187" s="24" t="n"/>
      <c r="H187" s="24" t="n"/>
      <c r="I187" s="24" t="n"/>
      <c r="J187" s="24" t="n"/>
      <c r="K187" s="24" t="n"/>
      <c r="L187" s="26" t="n"/>
      <c r="M187" s="27">
        <f>IF(L187="","",IF(K187="GST 10%",ROUND(L187*set_GSTRate,2),0))</f>
        <v/>
      </c>
      <c r="N187" s="27">
        <f>IF(L187="","",L187+M187)</f>
        <v/>
      </c>
      <c r="O187" s="24" t="n"/>
      <c r="P187" s="24" t="n"/>
      <c r="Q187" s="24" t="n"/>
      <c r="R187" s="22" t="n"/>
      <c r="S187" s="22" t="n"/>
      <c r="T187" s="24" t="n"/>
      <c r="U187" s="24" t="n"/>
      <c r="V187" s="25">
        <f>IF(COUNTA(A187,D187,C187,L187)=0,"",IF(A187="","No date - sits outside every month",IF(E187="","No job number",IF(F187="CHECK","Job number is not in the Xero job list",IF(I187="","No cost centre",IF(AND(P187="Y",C187=""),"Marked posted to Xero but has no invoice number",IF(AND(L187&lt;&gt;"",K187=""),"No tax code",IF(AND(L187&lt;&gt;"",O187=""),"No revenue GL code",""))))))))</f>
        <v/>
      </c>
      <c r="W187" s="25">
        <f>IF(E187="","",IFERROR(INDEX(lst_JobName,MATCH(E187&amp;"",lst_Jobs,0)),""))</f>
        <v/>
      </c>
      <c r="X187" s="28">
        <f>IF(E187="","",COUNTIFS(tbl_Finance[Job Number],E187&amp;"",tbl_Finance[Ex GST],"&lt;&gt;"))</f>
        <v/>
      </c>
      <c r="Y187" s="27">
        <f>IF(E187="","",SUMIFS(tbl_Finance[Ex GST],tbl_Finance[Job Number],E187&amp;""))</f>
        <v/>
      </c>
      <c r="Z187" s="27">
        <f>IF(E187="","",SUMIFS(tbl_Finance[Ex GST],tbl_Finance[Job Number],E187&amp;"",tbl_Finance[Xero Invoice No],"&lt;&gt;"))</f>
        <v/>
      </c>
      <c r="AA187" s="27">
        <f>IF(E187="","",Y187-Z187)</f>
        <v/>
      </c>
      <c r="AB187" s="25">
        <f>IF(E187="","",IF(H187="Onsite",IFERROR(INDEX(tbl_Onsite[Qwilr Quote],MATCH(E187&amp;"",tbl_Onsite[Job Number],0)),""),IF(H187="Production",IFERROR(IF(INDEX(tbl_Production[Current RMS No],MATCH(E187&amp;"",tbl_Production[Job Number],0))="",INDEX(tbl_Production[Qwilr Quote],MATCH(E187&amp;"",tbl_Production[Job Number],0)),INDEX(tbl_Production[Current RMS No],MATCH(E187&amp;"",tbl_Production[Job Number],0))),""),IF(H187="Consulting",IFERROR(INDEX(tbl_Consulting[Qwilr Quote],MATCH(E187&amp;"",tbl_Consulting[Job Number],0)),""),""))))</f>
        <v/>
      </c>
      <c r="AC187" s="25">
        <f>IF(AB187="","",IF(AND(LEFT(AB187,4)&lt;&gt;"http",IF(H187="Production",set_RMSBase,set_QwilrBase)=""),"",HYPERLINK(IF(LEFT(AB187,4)="http",AB187,IF(H187="Production",set_RMSBase,set_QwilrBase)&amp;AB187),"Open")))</f>
        <v/>
      </c>
      <c r="AD187" s="27">
        <f>IF(E187="","",IF(H187="Production",IFERROR(INDEX(tbl_Production[Total Expense],MATCH(E187&amp;"",tbl_Production[Job Number],0)),0),IF(H187="Consulting",IFERROR(INDEX(tbl_Consulting[Total Expense],MATCH(E187&amp;"",tbl_Consulting[Job Number],0)),0),0)))</f>
        <v/>
      </c>
      <c r="AE187" s="27">
        <f>IF(E187="","",Y187-N(AD187))</f>
        <v/>
      </c>
      <c r="AF187" s="29">
        <f>IFERROR(AE187/Y187,"")</f>
        <v/>
      </c>
      <c r="AG187" s="25">
        <f>IF(E187="","",IF(H187="Onsite",IFERROR(INDEX(tbl_Onsite[Notes],MATCH(E187&amp;"",tbl_Onsite[Job Number],0)),""),IF(H187="Production",IFERROR(INDEX(tbl_Production[Notes],MATCH(E187&amp;"",tbl_Production[Job Number],0)),""),IF(H187="Consulting",IFERROR(INDEX(tbl_Consulting[Notes],MATCH(E187&amp;"",tbl_Consulting[Job Number],0)),""),""))))</f>
        <v/>
      </c>
    </row>
    <row r="188" ht="15" customHeight="1">
      <c r="A188" s="22" t="n"/>
      <c r="B188" s="23">
        <f>IF(A188="","",EOMONTH(A188,0))</f>
        <v/>
      </c>
      <c r="C188" s="24" t="n"/>
      <c r="D188" s="24" t="n"/>
      <c r="E188" s="24" t="n"/>
      <c r="F188" s="25">
        <f>IF(E188="","",IF(COUNTIF(lst_Jobs,E188&amp;"")&gt;0,"OK","CHECK"))</f>
        <v/>
      </c>
      <c r="G188" s="24" t="n"/>
      <c r="H188" s="24" t="n"/>
      <c r="I188" s="24" t="n"/>
      <c r="J188" s="24" t="n"/>
      <c r="K188" s="24" t="n"/>
      <c r="L188" s="26" t="n"/>
      <c r="M188" s="27">
        <f>IF(L188="","",IF(K188="GST 10%",ROUND(L188*set_GSTRate,2),0))</f>
        <v/>
      </c>
      <c r="N188" s="27">
        <f>IF(L188="","",L188+M188)</f>
        <v/>
      </c>
      <c r="O188" s="24" t="n"/>
      <c r="P188" s="24" t="n"/>
      <c r="Q188" s="24" t="n"/>
      <c r="R188" s="22" t="n"/>
      <c r="S188" s="22" t="n"/>
      <c r="T188" s="24" t="n"/>
      <c r="U188" s="24" t="n"/>
      <c r="V188" s="25">
        <f>IF(COUNTA(A188,D188,C188,L188)=0,"",IF(A188="","No date - sits outside every month",IF(E188="","No job number",IF(F188="CHECK","Job number is not in the Xero job list",IF(I188="","No cost centre",IF(AND(P188="Y",C188=""),"Marked posted to Xero but has no invoice number",IF(AND(L188&lt;&gt;"",K188=""),"No tax code",IF(AND(L188&lt;&gt;"",O188=""),"No revenue GL code",""))))))))</f>
        <v/>
      </c>
      <c r="W188" s="25">
        <f>IF(E188="","",IFERROR(INDEX(lst_JobName,MATCH(E188&amp;"",lst_Jobs,0)),""))</f>
        <v/>
      </c>
      <c r="X188" s="28">
        <f>IF(E188="","",COUNTIFS(tbl_Finance[Job Number],E188&amp;"",tbl_Finance[Ex GST],"&lt;&gt;"))</f>
        <v/>
      </c>
      <c r="Y188" s="27">
        <f>IF(E188="","",SUMIFS(tbl_Finance[Ex GST],tbl_Finance[Job Number],E188&amp;""))</f>
        <v/>
      </c>
      <c r="Z188" s="27">
        <f>IF(E188="","",SUMIFS(tbl_Finance[Ex GST],tbl_Finance[Job Number],E188&amp;"",tbl_Finance[Xero Invoice No],"&lt;&gt;"))</f>
        <v/>
      </c>
      <c r="AA188" s="27">
        <f>IF(E188="","",Y188-Z188)</f>
        <v/>
      </c>
      <c r="AB188" s="25">
        <f>IF(E188="","",IF(H188="Onsite",IFERROR(INDEX(tbl_Onsite[Qwilr Quote],MATCH(E188&amp;"",tbl_Onsite[Job Number],0)),""),IF(H188="Production",IFERROR(IF(INDEX(tbl_Production[Current RMS No],MATCH(E188&amp;"",tbl_Production[Job Number],0))="",INDEX(tbl_Production[Qwilr Quote],MATCH(E188&amp;"",tbl_Production[Job Number],0)),INDEX(tbl_Production[Current RMS No],MATCH(E188&amp;"",tbl_Production[Job Number],0))),""),IF(H188="Consulting",IFERROR(INDEX(tbl_Consulting[Qwilr Quote],MATCH(E188&amp;"",tbl_Consulting[Job Number],0)),""),""))))</f>
        <v/>
      </c>
      <c r="AC188" s="25">
        <f>IF(AB188="","",IF(AND(LEFT(AB188,4)&lt;&gt;"http",IF(H188="Production",set_RMSBase,set_QwilrBase)=""),"",HYPERLINK(IF(LEFT(AB188,4)="http",AB188,IF(H188="Production",set_RMSBase,set_QwilrBase)&amp;AB188),"Open")))</f>
        <v/>
      </c>
      <c r="AD188" s="27">
        <f>IF(E188="","",IF(H188="Production",IFERROR(INDEX(tbl_Production[Total Expense],MATCH(E188&amp;"",tbl_Production[Job Number],0)),0),IF(H188="Consulting",IFERROR(INDEX(tbl_Consulting[Total Expense],MATCH(E188&amp;"",tbl_Consulting[Job Number],0)),0),0)))</f>
        <v/>
      </c>
      <c r="AE188" s="27">
        <f>IF(E188="","",Y188-N(AD188))</f>
        <v/>
      </c>
      <c r="AF188" s="29">
        <f>IFERROR(AE188/Y188,"")</f>
        <v/>
      </c>
      <c r="AG188" s="25">
        <f>IF(E188="","",IF(H188="Onsite",IFERROR(INDEX(tbl_Onsite[Notes],MATCH(E188&amp;"",tbl_Onsite[Job Number],0)),""),IF(H188="Production",IFERROR(INDEX(tbl_Production[Notes],MATCH(E188&amp;"",tbl_Production[Job Number],0)),""),IF(H188="Consulting",IFERROR(INDEX(tbl_Consulting[Notes],MATCH(E188&amp;"",tbl_Consulting[Job Number],0)),""),""))))</f>
        <v/>
      </c>
    </row>
    <row r="189" ht="15" customHeight="1">
      <c r="A189" s="22" t="n"/>
      <c r="B189" s="23">
        <f>IF(A189="","",EOMONTH(A189,0))</f>
        <v/>
      </c>
      <c r="C189" s="24" t="n"/>
      <c r="D189" s="24" t="n"/>
      <c r="E189" s="24" t="n"/>
      <c r="F189" s="25">
        <f>IF(E189="","",IF(COUNTIF(lst_Jobs,E189&amp;"")&gt;0,"OK","CHECK"))</f>
        <v/>
      </c>
      <c r="G189" s="24" t="n"/>
      <c r="H189" s="24" t="n"/>
      <c r="I189" s="24" t="n"/>
      <c r="J189" s="24" t="n"/>
      <c r="K189" s="24" t="n"/>
      <c r="L189" s="26" t="n"/>
      <c r="M189" s="27">
        <f>IF(L189="","",IF(K189="GST 10%",ROUND(L189*set_GSTRate,2),0))</f>
        <v/>
      </c>
      <c r="N189" s="27">
        <f>IF(L189="","",L189+M189)</f>
        <v/>
      </c>
      <c r="O189" s="24" t="n"/>
      <c r="P189" s="24" t="n"/>
      <c r="Q189" s="24" t="n"/>
      <c r="R189" s="22" t="n"/>
      <c r="S189" s="22" t="n"/>
      <c r="T189" s="24" t="n"/>
      <c r="U189" s="24" t="n"/>
      <c r="V189" s="25">
        <f>IF(COUNTA(A189,D189,C189,L189)=0,"",IF(A189="","No date - sits outside every month",IF(E189="","No job number",IF(F189="CHECK","Job number is not in the Xero job list",IF(I189="","No cost centre",IF(AND(P189="Y",C189=""),"Marked posted to Xero but has no invoice number",IF(AND(L189&lt;&gt;"",K189=""),"No tax code",IF(AND(L189&lt;&gt;"",O189=""),"No revenue GL code",""))))))))</f>
        <v/>
      </c>
      <c r="W189" s="25">
        <f>IF(E189="","",IFERROR(INDEX(lst_JobName,MATCH(E189&amp;"",lst_Jobs,0)),""))</f>
        <v/>
      </c>
      <c r="X189" s="28">
        <f>IF(E189="","",COUNTIFS(tbl_Finance[Job Number],E189&amp;"",tbl_Finance[Ex GST],"&lt;&gt;"))</f>
        <v/>
      </c>
      <c r="Y189" s="27">
        <f>IF(E189="","",SUMIFS(tbl_Finance[Ex GST],tbl_Finance[Job Number],E189&amp;""))</f>
        <v/>
      </c>
      <c r="Z189" s="27">
        <f>IF(E189="","",SUMIFS(tbl_Finance[Ex GST],tbl_Finance[Job Number],E189&amp;"",tbl_Finance[Xero Invoice No],"&lt;&gt;"))</f>
        <v/>
      </c>
      <c r="AA189" s="27">
        <f>IF(E189="","",Y189-Z189)</f>
        <v/>
      </c>
      <c r="AB189" s="25">
        <f>IF(E189="","",IF(H189="Onsite",IFERROR(INDEX(tbl_Onsite[Qwilr Quote],MATCH(E189&amp;"",tbl_Onsite[Job Number],0)),""),IF(H189="Production",IFERROR(IF(INDEX(tbl_Production[Current RMS No],MATCH(E189&amp;"",tbl_Production[Job Number],0))="",INDEX(tbl_Production[Qwilr Quote],MATCH(E189&amp;"",tbl_Production[Job Number],0)),INDEX(tbl_Production[Current RMS No],MATCH(E189&amp;"",tbl_Production[Job Number],0))),""),IF(H189="Consulting",IFERROR(INDEX(tbl_Consulting[Qwilr Quote],MATCH(E189&amp;"",tbl_Consulting[Job Number],0)),""),""))))</f>
        <v/>
      </c>
      <c r="AC189" s="25">
        <f>IF(AB189="","",IF(AND(LEFT(AB189,4)&lt;&gt;"http",IF(H189="Production",set_RMSBase,set_QwilrBase)=""),"",HYPERLINK(IF(LEFT(AB189,4)="http",AB189,IF(H189="Production",set_RMSBase,set_QwilrBase)&amp;AB189),"Open")))</f>
        <v/>
      </c>
      <c r="AD189" s="27">
        <f>IF(E189="","",IF(H189="Production",IFERROR(INDEX(tbl_Production[Total Expense],MATCH(E189&amp;"",tbl_Production[Job Number],0)),0),IF(H189="Consulting",IFERROR(INDEX(tbl_Consulting[Total Expense],MATCH(E189&amp;"",tbl_Consulting[Job Number],0)),0),0)))</f>
        <v/>
      </c>
      <c r="AE189" s="27">
        <f>IF(E189="","",Y189-N(AD189))</f>
        <v/>
      </c>
      <c r="AF189" s="29">
        <f>IFERROR(AE189/Y189,"")</f>
        <v/>
      </c>
      <c r="AG189" s="25">
        <f>IF(E189="","",IF(H189="Onsite",IFERROR(INDEX(tbl_Onsite[Notes],MATCH(E189&amp;"",tbl_Onsite[Job Number],0)),""),IF(H189="Production",IFERROR(INDEX(tbl_Production[Notes],MATCH(E189&amp;"",tbl_Production[Job Number],0)),""),IF(H189="Consulting",IFERROR(INDEX(tbl_Consulting[Notes],MATCH(E189&amp;"",tbl_Consulting[Job Number],0)),""),""))))</f>
        <v/>
      </c>
    </row>
    <row r="190" ht="15" customHeight="1">
      <c r="A190" s="22" t="n"/>
      <c r="B190" s="23">
        <f>IF(A190="","",EOMONTH(A190,0))</f>
        <v/>
      </c>
      <c r="C190" s="24" t="n"/>
      <c r="D190" s="24" t="n"/>
      <c r="E190" s="24" t="n"/>
      <c r="F190" s="25">
        <f>IF(E190="","",IF(COUNTIF(lst_Jobs,E190&amp;"")&gt;0,"OK","CHECK"))</f>
        <v/>
      </c>
      <c r="G190" s="24" t="n"/>
      <c r="H190" s="24" t="n"/>
      <c r="I190" s="24" t="n"/>
      <c r="J190" s="24" t="n"/>
      <c r="K190" s="24" t="n"/>
      <c r="L190" s="26" t="n"/>
      <c r="M190" s="27">
        <f>IF(L190="","",IF(K190="GST 10%",ROUND(L190*set_GSTRate,2),0))</f>
        <v/>
      </c>
      <c r="N190" s="27">
        <f>IF(L190="","",L190+M190)</f>
        <v/>
      </c>
      <c r="O190" s="24" t="n"/>
      <c r="P190" s="24" t="n"/>
      <c r="Q190" s="24" t="n"/>
      <c r="R190" s="22" t="n"/>
      <c r="S190" s="22" t="n"/>
      <c r="T190" s="24" t="n"/>
      <c r="U190" s="24" t="n"/>
      <c r="V190" s="25">
        <f>IF(COUNTA(A190,D190,C190,L190)=0,"",IF(A190="","No date - sits outside every month",IF(E190="","No job number",IF(F190="CHECK","Job number is not in the Xero job list",IF(I190="","No cost centre",IF(AND(P190="Y",C190=""),"Marked posted to Xero but has no invoice number",IF(AND(L190&lt;&gt;"",K190=""),"No tax code",IF(AND(L190&lt;&gt;"",O190=""),"No revenue GL code",""))))))))</f>
        <v/>
      </c>
      <c r="W190" s="25">
        <f>IF(E190="","",IFERROR(INDEX(lst_JobName,MATCH(E190&amp;"",lst_Jobs,0)),""))</f>
        <v/>
      </c>
      <c r="X190" s="28">
        <f>IF(E190="","",COUNTIFS(tbl_Finance[Job Number],E190&amp;"",tbl_Finance[Ex GST],"&lt;&gt;"))</f>
        <v/>
      </c>
      <c r="Y190" s="27">
        <f>IF(E190="","",SUMIFS(tbl_Finance[Ex GST],tbl_Finance[Job Number],E190&amp;""))</f>
        <v/>
      </c>
      <c r="Z190" s="27">
        <f>IF(E190="","",SUMIFS(tbl_Finance[Ex GST],tbl_Finance[Job Number],E190&amp;"",tbl_Finance[Xero Invoice No],"&lt;&gt;"))</f>
        <v/>
      </c>
      <c r="AA190" s="27">
        <f>IF(E190="","",Y190-Z190)</f>
        <v/>
      </c>
      <c r="AB190" s="25">
        <f>IF(E190="","",IF(H190="Onsite",IFERROR(INDEX(tbl_Onsite[Qwilr Quote],MATCH(E190&amp;"",tbl_Onsite[Job Number],0)),""),IF(H190="Production",IFERROR(IF(INDEX(tbl_Production[Current RMS No],MATCH(E190&amp;"",tbl_Production[Job Number],0))="",INDEX(tbl_Production[Qwilr Quote],MATCH(E190&amp;"",tbl_Production[Job Number],0)),INDEX(tbl_Production[Current RMS No],MATCH(E190&amp;"",tbl_Production[Job Number],0))),""),IF(H190="Consulting",IFERROR(INDEX(tbl_Consulting[Qwilr Quote],MATCH(E190&amp;"",tbl_Consulting[Job Number],0)),""),""))))</f>
        <v/>
      </c>
      <c r="AC190" s="25">
        <f>IF(AB190="","",IF(AND(LEFT(AB190,4)&lt;&gt;"http",IF(H190="Production",set_RMSBase,set_QwilrBase)=""),"",HYPERLINK(IF(LEFT(AB190,4)="http",AB190,IF(H190="Production",set_RMSBase,set_QwilrBase)&amp;AB190),"Open")))</f>
        <v/>
      </c>
      <c r="AD190" s="27">
        <f>IF(E190="","",IF(H190="Production",IFERROR(INDEX(tbl_Production[Total Expense],MATCH(E190&amp;"",tbl_Production[Job Number],0)),0),IF(H190="Consulting",IFERROR(INDEX(tbl_Consulting[Total Expense],MATCH(E190&amp;"",tbl_Consulting[Job Number],0)),0),0)))</f>
        <v/>
      </c>
      <c r="AE190" s="27">
        <f>IF(E190="","",Y190-N(AD190))</f>
        <v/>
      </c>
      <c r="AF190" s="29">
        <f>IFERROR(AE190/Y190,"")</f>
        <v/>
      </c>
      <c r="AG190" s="25">
        <f>IF(E190="","",IF(H190="Onsite",IFERROR(INDEX(tbl_Onsite[Notes],MATCH(E190&amp;"",tbl_Onsite[Job Number],0)),""),IF(H190="Production",IFERROR(INDEX(tbl_Production[Notes],MATCH(E190&amp;"",tbl_Production[Job Number],0)),""),IF(H190="Consulting",IFERROR(INDEX(tbl_Consulting[Notes],MATCH(E190&amp;"",tbl_Consulting[Job Number],0)),""),""))))</f>
        <v/>
      </c>
    </row>
    <row r="191" ht="15" customHeight="1">
      <c r="A191" s="22" t="n"/>
      <c r="B191" s="23">
        <f>IF(A191="","",EOMONTH(A191,0))</f>
        <v/>
      </c>
      <c r="C191" s="24" t="n"/>
      <c r="D191" s="24" t="n"/>
      <c r="E191" s="24" t="n"/>
      <c r="F191" s="25">
        <f>IF(E191="","",IF(COUNTIF(lst_Jobs,E191&amp;"")&gt;0,"OK","CHECK"))</f>
        <v/>
      </c>
      <c r="G191" s="24" t="n"/>
      <c r="H191" s="24" t="n"/>
      <c r="I191" s="24" t="n"/>
      <c r="J191" s="24" t="n"/>
      <c r="K191" s="24" t="n"/>
      <c r="L191" s="26" t="n"/>
      <c r="M191" s="27">
        <f>IF(L191="","",IF(K191="GST 10%",ROUND(L191*set_GSTRate,2),0))</f>
        <v/>
      </c>
      <c r="N191" s="27">
        <f>IF(L191="","",L191+M191)</f>
        <v/>
      </c>
      <c r="O191" s="24" t="n"/>
      <c r="P191" s="24" t="n"/>
      <c r="Q191" s="24" t="n"/>
      <c r="R191" s="22" t="n"/>
      <c r="S191" s="22" t="n"/>
      <c r="T191" s="24" t="n"/>
      <c r="U191" s="24" t="n"/>
      <c r="V191" s="25">
        <f>IF(COUNTA(A191,D191,C191,L191)=0,"",IF(A191="","No date - sits outside every month",IF(E191="","No job number",IF(F191="CHECK","Job number is not in the Xero job list",IF(I191="","No cost centre",IF(AND(P191="Y",C191=""),"Marked posted to Xero but has no invoice number",IF(AND(L191&lt;&gt;"",K191=""),"No tax code",IF(AND(L191&lt;&gt;"",O191=""),"No revenue GL code",""))))))))</f>
        <v/>
      </c>
      <c r="W191" s="25">
        <f>IF(E191="","",IFERROR(INDEX(lst_JobName,MATCH(E191&amp;"",lst_Jobs,0)),""))</f>
        <v/>
      </c>
      <c r="X191" s="28">
        <f>IF(E191="","",COUNTIFS(tbl_Finance[Job Number],E191&amp;"",tbl_Finance[Ex GST],"&lt;&gt;"))</f>
        <v/>
      </c>
      <c r="Y191" s="27">
        <f>IF(E191="","",SUMIFS(tbl_Finance[Ex GST],tbl_Finance[Job Number],E191&amp;""))</f>
        <v/>
      </c>
      <c r="Z191" s="27">
        <f>IF(E191="","",SUMIFS(tbl_Finance[Ex GST],tbl_Finance[Job Number],E191&amp;"",tbl_Finance[Xero Invoice No],"&lt;&gt;"))</f>
        <v/>
      </c>
      <c r="AA191" s="27">
        <f>IF(E191="","",Y191-Z191)</f>
        <v/>
      </c>
      <c r="AB191" s="25">
        <f>IF(E191="","",IF(H191="Onsite",IFERROR(INDEX(tbl_Onsite[Qwilr Quote],MATCH(E191&amp;"",tbl_Onsite[Job Number],0)),""),IF(H191="Production",IFERROR(IF(INDEX(tbl_Production[Current RMS No],MATCH(E191&amp;"",tbl_Production[Job Number],0))="",INDEX(tbl_Production[Qwilr Quote],MATCH(E191&amp;"",tbl_Production[Job Number],0)),INDEX(tbl_Production[Current RMS No],MATCH(E191&amp;"",tbl_Production[Job Number],0))),""),IF(H191="Consulting",IFERROR(INDEX(tbl_Consulting[Qwilr Quote],MATCH(E191&amp;"",tbl_Consulting[Job Number],0)),""),""))))</f>
        <v/>
      </c>
      <c r="AC191" s="25">
        <f>IF(AB191="","",IF(AND(LEFT(AB191,4)&lt;&gt;"http",IF(H191="Production",set_RMSBase,set_QwilrBase)=""),"",HYPERLINK(IF(LEFT(AB191,4)="http",AB191,IF(H191="Production",set_RMSBase,set_QwilrBase)&amp;AB191),"Open")))</f>
        <v/>
      </c>
      <c r="AD191" s="27">
        <f>IF(E191="","",IF(H191="Production",IFERROR(INDEX(tbl_Production[Total Expense],MATCH(E191&amp;"",tbl_Production[Job Number],0)),0),IF(H191="Consulting",IFERROR(INDEX(tbl_Consulting[Total Expense],MATCH(E191&amp;"",tbl_Consulting[Job Number],0)),0),0)))</f>
        <v/>
      </c>
      <c r="AE191" s="27">
        <f>IF(E191="","",Y191-N(AD191))</f>
        <v/>
      </c>
      <c r="AF191" s="29">
        <f>IFERROR(AE191/Y191,"")</f>
        <v/>
      </c>
      <c r="AG191" s="25">
        <f>IF(E191="","",IF(H191="Onsite",IFERROR(INDEX(tbl_Onsite[Notes],MATCH(E191&amp;"",tbl_Onsite[Job Number],0)),""),IF(H191="Production",IFERROR(INDEX(tbl_Production[Notes],MATCH(E191&amp;"",tbl_Production[Job Number],0)),""),IF(H191="Consulting",IFERROR(INDEX(tbl_Consulting[Notes],MATCH(E191&amp;"",tbl_Consulting[Job Number],0)),""),""))))</f>
        <v/>
      </c>
    </row>
    <row r="192" ht="15" customHeight="1">
      <c r="A192" s="22" t="n"/>
      <c r="B192" s="23">
        <f>IF(A192="","",EOMONTH(A192,0))</f>
        <v/>
      </c>
      <c r="C192" s="24" t="n"/>
      <c r="D192" s="24" t="n"/>
      <c r="E192" s="24" t="n"/>
      <c r="F192" s="25">
        <f>IF(E192="","",IF(COUNTIF(lst_Jobs,E192&amp;"")&gt;0,"OK","CHECK"))</f>
        <v/>
      </c>
      <c r="G192" s="24" t="n"/>
      <c r="H192" s="24" t="n"/>
      <c r="I192" s="24" t="n"/>
      <c r="J192" s="24" t="n"/>
      <c r="K192" s="24" t="n"/>
      <c r="L192" s="26" t="n"/>
      <c r="M192" s="27">
        <f>IF(L192="","",IF(K192="GST 10%",ROUND(L192*set_GSTRate,2),0))</f>
        <v/>
      </c>
      <c r="N192" s="27">
        <f>IF(L192="","",L192+M192)</f>
        <v/>
      </c>
      <c r="O192" s="24" t="n"/>
      <c r="P192" s="24" t="n"/>
      <c r="Q192" s="24" t="n"/>
      <c r="R192" s="22" t="n"/>
      <c r="S192" s="22" t="n"/>
      <c r="T192" s="24" t="n"/>
      <c r="U192" s="24" t="n"/>
      <c r="V192" s="25">
        <f>IF(COUNTA(A192,D192,C192,L192)=0,"",IF(A192="","No date - sits outside every month",IF(E192="","No job number",IF(F192="CHECK","Job number is not in the Xero job list",IF(I192="","No cost centre",IF(AND(P192="Y",C192=""),"Marked posted to Xero but has no invoice number",IF(AND(L192&lt;&gt;"",K192=""),"No tax code",IF(AND(L192&lt;&gt;"",O192=""),"No revenue GL code",""))))))))</f>
        <v/>
      </c>
      <c r="W192" s="25">
        <f>IF(E192="","",IFERROR(INDEX(lst_JobName,MATCH(E192&amp;"",lst_Jobs,0)),""))</f>
        <v/>
      </c>
      <c r="X192" s="28">
        <f>IF(E192="","",COUNTIFS(tbl_Finance[Job Number],E192&amp;"",tbl_Finance[Ex GST],"&lt;&gt;"))</f>
        <v/>
      </c>
      <c r="Y192" s="27">
        <f>IF(E192="","",SUMIFS(tbl_Finance[Ex GST],tbl_Finance[Job Number],E192&amp;""))</f>
        <v/>
      </c>
      <c r="Z192" s="27">
        <f>IF(E192="","",SUMIFS(tbl_Finance[Ex GST],tbl_Finance[Job Number],E192&amp;"",tbl_Finance[Xero Invoice No],"&lt;&gt;"))</f>
        <v/>
      </c>
      <c r="AA192" s="27">
        <f>IF(E192="","",Y192-Z192)</f>
        <v/>
      </c>
      <c r="AB192" s="25">
        <f>IF(E192="","",IF(H192="Onsite",IFERROR(INDEX(tbl_Onsite[Qwilr Quote],MATCH(E192&amp;"",tbl_Onsite[Job Number],0)),""),IF(H192="Production",IFERROR(IF(INDEX(tbl_Production[Current RMS No],MATCH(E192&amp;"",tbl_Production[Job Number],0))="",INDEX(tbl_Production[Qwilr Quote],MATCH(E192&amp;"",tbl_Production[Job Number],0)),INDEX(tbl_Production[Current RMS No],MATCH(E192&amp;"",tbl_Production[Job Number],0))),""),IF(H192="Consulting",IFERROR(INDEX(tbl_Consulting[Qwilr Quote],MATCH(E192&amp;"",tbl_Consulting[Job Number],0)),""),""))))</f>
        <v/>
      </c>
      <c r="AC192" s="25">
        <f>IF(AB192="","",IF(AND(LEFT(AB192,4)&lt;&gt;"http",IF(H192="Production",set_RMSBase,set_QwilrBase)=""),"",HYPERLINK(IF(LEFT(AB192,4)="http",AB192,IF(H192="Production",set_RMSBase,set_QwilrBase)&amp;AB192),"Open")))</f>
        <v/>
      </c>
      <c r="AD192" s="27">
        <f>IF(E192="","",IF(H192="Production",IFERROR(INDEX(tbl_Production[Total Expense],MATCH(E192&amp;"",tbl_Production[Job Number],0)),0),IF(H192="Consulting",IFERROR(INDEX(tbl_Consulting[Total Expense],MATCH(E192&amp;"",tbl_Consulting[Job Number],0)),0),0)))</f>
        <v/>
      </c>
      <c r="AE192" s="27">
        <f>IF(E192="","",Y192-N(AD192))</f>
        <v/>
      </c>
      <c r="AF192" s="29">
        <f>IFERROR(AE192/Y192,"")</f>
        <v/>
      </c>
      <c r="AG192" s="25">
        <f>IF(E192="","",IF(H192="Onsite",IFERROR(INDEX(tbl_Onsite[Notes],MATCH(E192&amp;"",tbl_Onsite[Job Number],0)),""),IF(H192="Production",IFERROR(INDEX(tbl_Production[Notes],MATCH(E192&amp;"",tbl_Production[Job Number],0)),""),IF(H192="Consulting",IFERROR(INDEX(tbl_Consulting[Notes],MATCH(E192&amp;"",tbl_Consulting[Job Number],0)),""),""))))</f>
        <v/>
      </c>
    </row>
    <row r="193" ht="15" customHeight="1">
      <c r="A193" s="22" t="n"/>
      <c r="B193" s="23">
        <f>IF(A193="","",EOMONTH(A193,0))</f>
        <v/>
      </c>
      <c r="C193" s="24" t="n"/>
      <c r="D193" s="24" t="n"/>
      <c r="E193" s="24" t="n"/>
      <c r="F193" s="25">
        <f>IF(E193="","",IF(COUNTIF(lst_Jobs,E193&amp;"")&gt;0,"OK","CHECK"))</f>
        <v/>
      </c>
      <c r="G193" s="24" t="n"/>
      <c r="H193" s="24" t="n"/>
      <c r="I193" s="24" t="n"/>
      <c r="J193" s="24" t="n"/>
      <c r="K193" s="24" t="n"/>
      <c r="L193" s="26" t="n"/>
      <c r="M193" s="27">
        <f>IF(L193="","",IF(K193="GST 10%",ROUND(L193*set_GSTRate,2),0))</f>
        <v/>
      </c>
      <c r="N193" s="27">
        <f>IF(L193="","",L193+M193)</f>
        <v/>
      </c>
      <c r="O193" s="24" t="n"/>
      <c r="P193" s="24" t="n"/>
      <c r="Q193" s="24" t="n"/>
      <c r="R193" s="22" t="n"/>
      <c r="S193" s="22" t="n"/>
      <c r="T193" s="24" t="n"/>
      <c r="U193" s="24" t="n"/>
      <c r="V193" s="25">
        <f>IF(COUNTA(A193,D193,C193,L193)=0,"",IF(A193="","No date - sits outside every month",IF(E193="","No job number",IF(F193="CHECK","Job number is not in the Xero job list",IF(I193="","No cost centre",IF(AND(P193="Y",C193=""),"Marked posted to Xero but has no invoice number",IF(AND(L193&lt;&gt;"",K193=""),"No tax code",IF(AND(L193&lt;&gt;"",O193=""),"No revenue GL code",""))))))))</f>
        <v/>
      </c>
      <c r="W193" s="25">
        <f>IF(E193="","",IFERROR(INDEX(lst_JobName,MATCH(E193&amp;"",lst_Jobs,0)),""))</f>
        <v/>
      </c>
      <c r="X193" s="28">
        <f>IF(E193="","",COUNTIFS(tbl_Finance[Job Number],E193&amp;"",tbl_Finance[Ex GST],"&lt;&gt;"))</f>
        <v/>
      </c>
      <c r="Y193" s="27">
        <f>IF(E193="","",SUMIFS(tbl_Finance[Ex GST],tbl_Finance[Job Number],E193&amp;""))</f>
        <v/>
      </c>
      <c r="Z193" s="27">
        <f>IF(E193="","",SUMIFS(tbl_Finance[Ex GST],tbl_Finance[Job Number],E193&amp;"",tbl_Finance[Xero Invoice No],"&lt;&gt;"))</f>
        <v/>
      </c>
      <c r="AA193" s="27">
        <f>IF(E193="","",Y193-Z193)</f>
        <v/>
      </c>
      <c r="AB193" s="25">
        <f>IF(E193="","",IF(H193="Onsite",IFERROR(INDEX(tbl_Onsite[Qwilr Quote],MATCH(E193&amp;"",tbl_Onsite[Job Number],0)),""),IF(H193="Production",IFERROR(IF(INDEX(tbl_Production[Current RMS No],MATCH(E193&amp;"",tbl_Production[Job Number],0))="",INDEX(tbl_Production[Qwilr Quote],MATCH(E193&amp;"",tbl_Production[Job Number],0)),INDEX(tbl_Production[Current RMS No],MATCH(E193&amp;"",tbl_Production[Job Number],0))),""),IF(H193="Consulting",IFERROR(INDEX(tbl_Consulting[Qwilr Quote],MATCH(E193&amp;"",tbl_Consulting[Job Number],0)),""),""))))</f>
        <v/>
      </c>
      <c r="AC193" s="25">
        <f>IF(AB193="","",IF(AND(LEFT(AB193,4)&lt;&gt;"http",IF(H193="Production",set_RMSBase,set_QwilrBase)=""),"",HYPERLINK(IF(LEFT(AB193,4)="http",AB193,IF(H193="Production",set_RMSBase,set_QwilrBase)&amp;AB193),"Open")))</f>
        <v/>
      </c>
      <c r="AD193" s="27">
        <f>IF(E193="","",IF(H193="Production",IFERROR(INDEX(tbl_Production[Total Expense],MATCH(E193&amp;"",tbl_Production[Job Number],0)),0),IF(H193="Consulting",IFERROR(INDEX(tbl_Consulting[Total Expense],MATCH(E193&amp;"",tbl_Consulting[Job Number],0)),0),0)))</f>
        <v/>
      </c>
      <c r="AE193" s="27">
        <f>IF(E193="","",Y193-N(AD193))</f>
        <v/>
      </c>
      <c r="AF193" s="29">
        <f>IFERROR(AE193/Y193,"")</f>
        <v/>
      </c>
      <c r="AG193" s="25">
        <f>IF(E193="","",IF(H193="Onsite",IFERROR(INDEX(tbl_Onsite[Notes],MATCH(E193&amp;"",tbl_Onsite[Job Number],0)),""),IF(H193="Production",IFERROR(INDEX(tbl_Production[Notes],MATCH(E193&amp;"",tbl_Production[Job Number],0)),""),IF(H193="Consulting",IFERROR(INDEX(tbl_Consulting[Notes],MATCH(E193&amp;"",tbl_Consulting[Job Number],0)),""),""))))</f>
        <v/>
      </c>
    </row>
    <row r="194" ht="15" customHeight="1">
      <c r="A194" s="22" t="n"/>
      <c r="B194" s="23">
        <f>IF(A194="","",EOMONTH(A194,0))</f>
        <v/>
      </c>
      <c r="C194" s="24" t="n"/>
      <c r="D194" s="24" t="n"/>
      <c r="E194" s="24" t="n"/>
      <c r="F194" s="25">
        <f>IF(E194="","",IF(COUNTIF(lst_Jobs,E194&amp;"")&gt;0,"OK","CHECK"))</f>
        <v/>
      </c>
      <c r="G194" s="24" t="n"/>
      <c r="H194" s="24" t="n"/>
      <c r="I194" s="24" t="n"/>
      <c r="J194" s="24" t="n"/>
      <c r="K194" s="24" t="n"/>
      <c r="L194" s="26" t="n"/>
      <c r="M194" s="27">
        <f>IF(L194="","",IF(K194="GST 10%",ROUND(L194*set_GSTRate,2),0))</f>
        <v/>
      </c>
      <c r="N194" s="27">
        <f>IF(L194="","",L194+M194)</f>
        <v/>
      </c>
      <c r="O194" s="24" t="n"/>
      <c r="P194" s="24" t="n"/>
      <c r="Q194" s="24" t="n"/>
      <c r="R194" s="22" t="n"/>
      <c r="S194" s="22" t="n"/>
      <c r="T194" s="24" t="n"/>
      <c r="U194" s="24" t="n"/>
      <c r="V194" s="25">
        <f>IF(COUNTA(A194,D194,C194,L194)=0,"",IF(A194="","No date - sits outside every month",IF(E194="","No job number",IF(F194="CHECK","Job number is not in the Xero job list",IF(I194="","No cost centre",IF(AND(P194="Y",C194=""),"Marked posted to Xero but has no invoice number",IF(AND(L194&lt;&gt;"",K194=""),"No tax code",IF(AND(L194&lt;&gt;"",O194=""),"No revenue GL code",""))))))))</f>
        <v/>
      </c>
      <c r="W194" s="25">
        <f>IF(E194="","",IFERROR(INDEX(lst_JobName,MATCH(E194&amp;"",lst_Jobs,0)),""))</f>
        <v/>
      </c>
      <c r="X194" s="28">
        <f>IF(E194="","",COUNTIFS(tbl_Finance[Job Number],E194&amp;"",tbl_Finance[Ex GST],"&lt;&gt;"))</f>
        <v/>
      </c>
      <c r="Y194" s="27">
        <f>IF(E194="","",SUMIFS(tbl_Finance[Ex GST],tbl_Finance[Job Number],E194&amp;""))</f>
        <v/>
      </c>
      <c r="Z194" s="27">
        <f>IF(E194="","",SUMIFS(tbl_Finance[Ex GST],tbl_Finance[Job Number],E194&amp;"",tbl_Finance[Xero Invoice No],"&lt;&gt;"))</f>
        <v/>
      </c>
      <c r="AA194" s="27">
        <f>IF(E194="","",Y194-Z194)</f>
        <v/>
      </c>
      <c r="AB194" s="25">
        <f>IF(E194="","",IF(H194="Onsite",IFERROR(INDEX(tbl_Onsite[Qwilr Quote],MATCH(E194&amp;"",tbl_Onsite[Job Number],0)),""),IF(H194="Production",IFERROR(IF(INDEX(tbl_Production[Current RMS No],MATCH(E194&amp;"",tbl_Production[Job Number],0))="",INDEX(tbl_Production[Qwilr Quote],MATCH(E194&amp;"",tbl_Production[Job Number],0)),INDEX(tbl_Production[Current RMS No],MATCH(E194&amp;"",tbl_Production[Job Number],0))),""),IF(H194="Consulting",IFERROR(INDEX(tbl_Consulting[Qwilr Quote],MATCH(E194&amp;"",tbl_Consulting[Job Number],0)),""),""))))</f>
        <v/>
      </c>
      <c r="AC194" s="25">
        <f>IF(AB194="","",IF(AND(LEFT(AB194,4)&lt;&gt;"http",IF(H194="Production",set_RMSBase,set_QwilrBase)=""),"",HYPERLINK(IF(LEFT(AB194,4)="http",AB194,IF(H194="Production",set_RMSBase,set_QwilrBase)&amp;AB194),"Open")))</f>
        <v/>
      </c>
      <c r="AD194" s="27">
        <f>IF(E194="","",IF(H194="Production",IFERROR(INDEX(tbl_Production[Total Expense],MATCH(E194&amp;"",tbl_Production[Job Number],0)),0),IF(H194="Consulting",IFERROR(INDEX(tbl_Consulting[Total Expense],MATCH(E194&amp;"",tbl_Consulting[Job Number],0)),0),0)))</f>
        <v/>
      </c>
      <c r="AE194" s="27">
        <f>IF(E194="","",Y194-N(AD194))</f>
        <v/>
      </c>
      <c r="AF194" s="29">
        <f>IFERROR(AE194/Y194,"")</f>
        <v/>
      </c>
      <c r="AG194" s="25">
        <f>IF(E194="","",IF(H194="Onsite",IFERROR(INDEX(tbl_Onsite[Notes],MATCH(E194&amp;"",tbl_Onsite[Job Number],0)),""),IF(H194="Production",IFERROR(INDEX(tbl_Production[Notes],MATCH(E194&amp;"",tbl_Production[Job Number],0)),""),IF(H194="Consulting",IFERROR(INDEX(tbl_Consulting[Notes],MATCH(E194&amp;"",tbl_Consulting[Job Number],0)),""),""))))</f>
        <v/>
      </c>
    </row>
    <row r="195" ht="15" customHeight="1">
      <c r="A195" s="22" t="n"/>
      <c r="B195" s="23">
        <f>IF(A195="","",EOMONTH(A195,0))</f>
        <v/>
      </c>
      <c r="C195" s="24" t="n"/>
      <c r="D195" s="24" t="n"/>
      <c r="E195" s="24" t="n"/>
      <c r="F195" s="25">
        <f>IF(E195="","",IF(COUNTIF(lst_Jobs,E195&amp;"")&gt;0,"OK","CHECK"))</f>
        <v/>
      </c>
      <c r="G195" s="24" t="n"/>
      <c r="H195" s="24" t="n"/>
      <c r="I195" s="24" t="n"/>
      <c r="J195" s="24" t="n"/>
      <c r="K195" s="24" t="n"/>
      <c r="L195" s="26" t="n"/>
      <c r="M195" s="27">
        <f>IF(L195="","",IF(K195="GST 10%",ROUND(L195*set_GSTRate,2),0))</f>
        <v/>
      </c>
      <c r="N195" s="27">
        <f>IF(L195="","",L195+M195)</f>
        <v/>
      </c>
      <c r="O195" s="24" t="n"/>
      <c r="P195" s="24" t="n"/>
      <c r="Q195" s="24" t="n"/>
      <c r="R195" s="22" t="n"/>
      <c r="S195" s="22" t="n"/>
      <c r="T195" s="24" t="n"/>
      <c r="U195" s="24" t="n"/>
      <c r="V195" s="25">
        <f>IF(COUNTA(A195,D195,C195,L195)=0,"",IF(A195="","No date - sits outside every month",IF(E195="","No job number",IF(F195="CHECK","Job number is not in the Xero job list",IF(I195="","No cost centre",IF(AND(P195="Y",C195=""),"Marked posted to Xero but has no invoice number",IF(AND(L195&lt;&gt;"",K195=""),"No tax code",IF(AND(L195&lt;&gt;"",O195=""),"No revenue GL code",""))))))))</f>
        <v/>
      </c>
      <c r="W195" s="25">
        <f>IF(E195="","",IFERROR(INDEX(lst_JobName,MATCH(E195&amp;"",lst_Jobs,0)),""))</f>
        <v/>
      </c>
      <c r="X195" s="28">
        <f>IF(E195="","",COUNTIFS(tbl_Finance[Job Number],E195&amp;"",tbl_Finance[Ex GST],"&lt;&gt;"))</f>
        <v/>
      </c>
      <c r="Y195" s="27">
        <f>IF(E195="","",SUMIFS(tbl_Finance[Ex GST],tbl_Finance[Job Number],E195&amp;""))</f>
        <v/>
      </c>
      <c r="Z195" s="27">
        <f>IF(E195="","",SUMIFS(tbl_Finance[Ex GST],tbl_Finance[Job Number],E195&amp;"",tbl_Finance[Xero Invoice No],"&lt;&gt;"))</f>
        <v/>
      </c>
      <c r="AA195" s="27">
        <f>IF(E195="","",Y195-Z195)</f>
        <v/>
      </c>
      <c r="AB195" s="25">
        <f>IF(E195="","",IF(H195="Onsite",IFERROR(INDEX(tbl_Onsite[Qwilr Quote],MATCH(E195&amp;"",tbl_Onsite[Job Number],0)),""),IF(H195="Production",IFERROR(IF(INDEX(tbl_Production[Current RMS No],MATCH(E195&amp;"",tbl_Production[Job Number],0))="",INDEX(tbl_Production[Qwilr Quote],MATCH(E195&amp;"",tbl_Production[Job Number],0)),INDEX(tbl_Production[Current RMS No],MATCH(E195&amp;"",tbl_Production[Job Number],0))),""),IF(H195="Consulting",IFERROR(INDEX(tbl_Consulting[Qwilr Quote],MATCH(E195&amp;"",tbl_Consulting[Job Number],0)),""),""))))</f>
        <v/>
      </c>
      <c r="AC195" s="25">
        <f>IF(AB195="","",IF(AND(LEFT(AB195,4)&lt;&gt;"http",IF(H195="Production",set_RMSBase,set_QwilrBase)=""),"",HYPERLINK(IF(LEFT(AB195,4)="http",AB195,IF(H195="Production",set_RMSBase,set_QwilrBase)&amp;AB195),"Open")))</f>
        <v/>
      </c>
      <c r="AD195" s="27">
        <f>IF(E195="","",IF(H195="Production",IFERROR(INDEX(tbl_Production[Total Expense],MATCH(E195&amp;"",tbl_Production[Job Number],0)),0),IF(H195="Consulting",IFERROR(INDEX(tbl_Consulting[Total Expense],MATCH(E195&amp;"",tbl_Consulting[Job Number],0)),0),0)))</f>
        <v/>
      </c>
      <c r="AE195" s="27">
        <f>IF(E195="","",Y195-N(AD195))</f>
        <v/>
      </c>
      <c r="AF195" s="29">
        <f>IFERROR(AE195/Y195,"")</f>
        <v/>
      </c>
      <c r="AG195" s="25">
        <f>IF(E195="","",IF(H195="Onsite",IFERROR(INDEX(tbl_Onsite[Notes],MATCH(E195&amp;"",tbl_Onsite[Job Number],0)),""),IF(H195="Production",IFERROR(INDEX(tbl_Production[Notes],MATCH(E195&amp;"",tbl_Production[Job Number],0)),""),IF(H195="Consulting",IFERROR(INDEX(tbl_Consulting[Notes],MATCH(E195&amp;"",tbl_Consulting[Job Number],0)),""),""))))</f>
        <v/>
      </c>
    </row>
    <row r="196" ht="15" customHeight="1">
      <c r="A196" s="22" t="n"/>
      <c r="B196" s="23">
        <f>IF(A196="","",EOMONTH(A196,0))</f>
        <v/>
      </c>
      <c r="C196" s="24" t="n"/>
      <c r="D196" s="24" t="n"/>
      <c r="E196" s="24" t="n"/>
      <c r="F196" s="25">
        <f>IF(E196="","",IF(COUNTIF(lst_Jobs,E196&amp;"")&gt;0,"OK","CHECK"))</f>
        <v/>
      </c>
      <c r="G196" s="24" t="n"/>
      <c r="H196" s="24" t="n"/>
      <c r="I196" s="24" t="n"/>
      <c r="J196" s="24" t="n"/>
      <c r="K196" s="24" t="n"/>
      <c r="L196" s="26" t="n"/>
      <c r="M196" s="27">
        <f>IF(L196="","",IF(K196="GST 10%",ROUND(L196*set_GSTRate,2),0))</f>
        <v/>
      </c>
      <c r="N196" s="27">
        <f>IF(L196="","",L196+M196)</f>
        <v/>
      </c>
      <c r="O196" s="24" t="n"/>
      <c r="P196" s="24" t="n"/>
      <c r="Q196" s="24" t="n"/>
      <c r="R196" s="22" t="n"/>
      <c r="S196" s="22" t="n"/>
      <c r="T196" s="24" t="n"/>
      <c r="U196" s="24" t="n"/>
      <c r="V196" s="25">
        <f>IF(COUNTA(A196,D196,C196,L196)=0,"",IF(A196="","No date - sits outside every month",IF(E196="","No job number",IF(F196="CHECK","Job number is not in the Xero job list",IF(I196="","No cost centre",IF(AND(P196="Y",C196=""),"Marked posted to Xero but has no invoice number",IF(AND(L196&lt;&gt;"",K196=""),"No tax code",IF(AND(L196&lt;&gt;"",O196=""),"No revenue GL code",""))))))))</f>
        <v/>
      </c>
      <c r="W196" s="25">
        <f>IF(E196="","",IFERROR(INDEX(lst_JobName,MATCH(E196&amp;"",lst_Jobs,0)),""))</f>
        <v/>
      </c>
      <c r="X196" s="28">
        <f>IF(E196="","",COUNTIFS(tbl_Finance[Job Number],E196&amp;"",tbl_Finance[Ex GST],"&lt;&gt;"))</f>
        <v/>
      </c>
      <c r="Y196" s="27">
        <f>IF(E196="","",SUMIFS(tbl_Finance[Ex GST],tbl_Finance[Job Number],E196&amp;""))</f>
        <v/>
      </c>
      <c r="Z196" s="27">
        <f>IF(E196="","",SUMIFS(tbl_Finance[Ex GST],tbl_Finance[Job Number],E196&amp;"",tbl_Finance[Xero Invoice No],"&lt;&gt;"))</f>
        <v/>
      </c>
      <c r="AA196" s="27">
        <f>IF(E196="","",Y196-Z196)</f>
        <v/>
      </c>
      <c r="AB196" s="25">
        <f>IF(E196="","",IF(H196="Onsite",IFERROR(INDEX(tbl_Onsite[Qwilr Quote],MATCH(E196&amp;"",tbl_Onsite[Job Number],0)),""),IF(H196="Production",IFERROR(IF(INDEX(tbl_Production[Current RMS No],MATCH(E196&amp;"",tbl_Production[Job Number],0))="",INDEX(tbl_Production[Qwilr Quote],MATCH(E196&amp;"",tbl_Production[Job Number],0)),INDEX(tbl_Production[Current RMS No],MATCH(E196&amp;"",tbl_Production[Job Number],0))),""),IF(H196="Consulting",IFERROR(INDEX(tbl_Consulting[Qwilr Quote],MATCH(E196&amp;"",tbl_Consulting[Job Number],0)),""),""))))</f>
        <v/>
      </c>
      <c r="AC196" s="25">
        <f>IF(AB196="","",IF(AND(LEFT(AB196,4)&lt;&gt;"http",IF(H196="Production",set_RMSBase,set_QwilrBase)=""),"",HYPERLINK(IF(LEFT(AB196,4)="http",AB196,IF(H196="Production",set_RMSBase,set_QwilrBase)&amp;AB196),"Open")))</f>
        <v/>
      </c>
      <c r="AD196" s="27">
        <f>IF(E196="","",IF(H196="Production",IFERROR(INDEX(tbl_Production[Total Expense],MATCH(E196&amp;"",tbl_Production[Job Number],0)),0),IF(H196="Consulting",IFERROR(INDEX(tbl_Consulting[Total Expense],MATCH(E196&amp;"",tbl_Consulting[Job Number],0)),0),0)))</f>
        <v/>
      </c>
      <c r="AE196" s="27">
        <f>IF(E196="","",Y196-N(AD196))</f>
        <v/>
      </c>
      <c r="AF196" s="29">
        <f>IFERROR(AE196/Y196,"")</f>
        <v/>
      </c>
      <c r="AG196" s="25">
        <f>IF(E196="","",IF(H196="Onsite",IFERROR(INDEX(tbl_Onsite[Notes],MATCH(E196&amp;"",tbl_Onsite[Job Number],0)),""),IF(H196="Production",IFERROR(INDEX(tbl_Production[Notes],MATCH(E196&amp;"",tbl_Production[Job Number],0)),""),IF(H196="Consulting",IFERROR(INDEX(tbl_Consulting[Notes],MATCH(E196&amp;"",tbl_Consulting[Job Number],0)),""),""))))</f>
        <v/>
      </c>
    </row>
    <row r="197" ht="15" customHeight="1">
      <c r="A197" s="22" t="n"/>
      <c r="B197" s="23">
        <f>IF(A197="","",EOMONTH(A197,0))</f>
        <v/>
      </c>
      <c r="C197" s="24" t="n"/>
      <c r="D197" s="24" t="n"/>
      <c r="E197" s="24" t="n"/>
      <c r="F197" s="25">
        <f>IF(E197="","",IF(COUNTIF(lst_Jobs,E197&amp;"")&gt;0,"OK","CHECK"))</f>
        <v/>
      </c>
      <c r="G197" s="24" t="n"/>
      <c r="H197" s="24" t="n"/>
      <c r="I197" s="24" t="n"/>
      <c r="J197" s="24" t="n"/>
      <c r="K197" s="24" t="n"/>
      <c r="L197" s="26" t="n"/>
      <c r="M197" s="27">
        <f>IF(L197="","",IF(K197="GST 10%",ROUND(L197*set_GSTRate,2),0))</f>
        <v/>
      </c>
      <c r="N197" s="27">
        <f>IF(L197="","",L197+M197)</f>
        <v/>
      </c>
      <c r="O197" s="24" t="n"/>
      <c r="P197" s="24" t="n"/>
      <c r="Q197" s="24" t="n"/>
      <c r="R197" s="22" t="n"/>
      <c r="S197" s="22" t="n"/>
      <c r="T197" s="24" t="n"/>
      <c r="U197" s="24" t="n"/>
      <c r="V197" s="25">
        <f>IF(COUNTA(A197,D197,C197,L197)=0,"",IF(A197="","No date - sits outside every month",IF(E197="","No job number",IF(F197="CHECK","Job number is not in the Xero job list",IF(I197="","No cost centre",IF(AND(P197="Y",C197=""),"Marked posted to Xero but has no invoice number",IF(AND(L197&lt;&gt;"",K197=""),"No tax code",IF(AND(L197&lt;&gt;"",O197=""),"No revenue GL code",""))))))))</f>
        <v/>
      </c>
      <c r="W197" s="25">
        <f>IF(E197="","",IFERROR(INDEX(lst_JobName,MATCH(E197&amp;"",lst_Jobs,0)),""))</f>
        <v/>
      </c>
      <c r="X197" s="28">
        <f>IF(E197="","",COUNTIFS(tbl_Finance[Job Number],E197&amp;"",tbl_Finance[Ex GST],"&lt;&gt;"))</f>
        <v/>
      </c>
      <c r="Y197" s="27">
        <f>IF(E197="","",SUMIFS(tbl_Finance[Ex GST],tbl_Finance[Job Number],E197&amp;""))</f>
        <v/>
      </c>
      <c r="Z197" s="27">
        <f>IF(E197="","",SUMIFS(tbl_Finance[Ex GST],tbl_Finance[Job Number],E197&amp;"",tbl_Finance[Xero Invoice No],"&lt;&gt;"))</f>
        <v/>
      </c>
      <c r="AA197" s="27">
        <f>IF(E197="","",Y197-Z197)</f>
        <v/>
      </c>
      <c r="AB197" s="25">
        <f>IF(E197="","",IF(H197="Onsite",IFERROR(INDEX(tbl_Onsite[Qwilr Quote],MATCH(E197&amp;"",tbl_Onsite[Job Number],0)),""),IF(H197="Production",IFERROR(IF(INDEX(tbl_Production[Current RMS No],MATCH(E197&amp;"",tbl_Production[Job Number],0))="",INDEX(tbl_Production[Qwilr Quote],MATCH(E197&amp;"",tbl_Production[Job Number],0)),INDEX(tbl_Production[Current RMS No],MATCH(E197&amp;"",tbl_Production[Job Number],0))),""),IF(H197="Consulting",IFERROR(INDEX(tbl_Consulting[Qwilr Quote],MATCH(E197&amp;"",tbl_Consulting[Job Number],0)),""),""))))</f>
        <v/>
      </c>
      <c r="AC197" s="25">
        <f>IF(AB197="","",IF(AND(LEFT(AB197,4)&lt;&gt;"http",IF(H197="Production",set_RMSBase,set_QwilrBase)=""),"",HYPERLINK(IF(LEFT(AB197,4)="http",AB197,IF(H197="Production",set_RMSBase,set_QwilrBase)&amp;AB197),"Open")))</f>
        <v/>
      </c>
      <c r="AD197" s="27">
        <f>IF(E197="","",IF(H197="Production",IFERROR(INDEX(tbl_Production[Total Expense],MATCH(E197&amp;"",tbl_Production[Job Number],0)),0),IF(H197="Consulting",IFERROR(INDEX(tbl_Consulting[Total Expense],MATCH(E197&amp;"",tbl_Consulting[Job Number],0)),0),0)))</f>
        <v/>
      </c>
      <c r="AE197" s="27">
        <f>IF(E197="","",Y197-N(AD197))</f>
        <v/>
      </c>
      <c r="AF197" s="29">
        <f>IFERROR(AE197/Y197,"")</f>
        <v/>
      </c>
      <c r="AG197" s="25">
        <f>IF(E197="","",IF(H197="Onsite",IFERROR(INDEX(tbl_Onsite[Notes],MATCH(E197&amp;"",tbl_Onsite[Job Number],0)),""),IF(H197="Production",IFERROR(INDEX(tbl_Production[Notes],MATCH(E197&amp;"",tbl_Production[Job Number],0)),""),IF(H197="Consulting",IFERROR(INDEX(tbl_Consulting[Notes],MATCH(E197&amp;"",tbl_Consulting[Job Number],0)),""),""))))</f>
        <v/>
      </c>
    </row>
    <row r="198" ht="15" customHeight="1">
      <c r="A198" s="22" t="n"/>
      <c r="B198" s="23">
        <f>IF(A198="","",EOMONTH(A198,0))</f>
        <v/>
      </c>
      <c r="C198" s="24" t="n"/>
      <c r="D198" s="24" t="n"/>
      <c r="E198" s="24" t="n"/>
      <c r="F198" s="25">
        <f>IF(E198="","",IF(COUNTIF(lst_Jobs,E198&amp;"")&gt;0,"OK","CHECK"))</f>
        <v/>
      </c>
      <c r="G198" s="24" t="n"/>
      <c r="H198" s="24" t="n"/>
      <c r="I198" s="24" t="n"/>
      <c r="J198" s="24" t="n"/>
      <c r="K198" s="24" t="n"/>
      <c r="L198" s="26" t="n"/>
      <c r="M198" s="27">
        <f>IF(L198="","",IF(K198="GST 10%",ROUND(L198*set_GSTRate,2),0))</f>
        <v/>
      </c>
      <c r="N198" s="27">
        <f>IF(L198="","",L198+M198)</f>
        <v/>
      </c>
      <c r="O198" s="24" t="n"/>
      <c r="P198" s="24" t="n"/>
      <c r="Q198" s="24" t="n"/>
      <c r="R198" s="22" t="n"/>
      <c r="S198" s="22" t="n"/>
      <c r="T198" s="24" t="n"/>
      <c r="U198" s="24" t="n"/>
      <c r="V198" s="25">
        <f>IF(COUNTA(A198,D198,C198,L198)=0,"",IF(A198="","No date - sits outside every month",IF(E198="","No job number",IF(F198="CHECK","Job number is not in the Xero job list",IF(I198="","No cost centre",IF(AND(P198="Y",C198=""),"Marked posted to Xero but has no invoice number",IF(AND(L198&lt;&gt;"",K198=""),"No tax code",IF(AND(L198&lt;&gt;"",O198=""),"No revenue GL code",""))))))))</f>
        <v/>
      </c>
      <c r="W198" s="25">
        <f>IF(E198="","",IFERROR(INDEX(lst_JobName,MATCH(E198&amp;"",lst_Jobs,0)),""))</f>
        <v/>
      </c>
      <c r="X198" s="28">
        <f>IF(E198="","",COUNTIFS(tbl_Finance[Job Number],E198&amp;"",tbl_Finance[Ex GST],"&lt;&gt;"))</f>
        <v/>
      </c>
      <c r="Y198" s="27">
        <f>IF(E198="","",SUMIFS(tbl_Finance[Ex GST],tbl_Finance[Job Number],E198&amp;""))</f>
        <v/>
      </c>
      <c r="Z198" s="27">
        <f>IF(E198="","",SUMIFS(tbl_Finance[Ex GST],tbl_Finance[Job Number],E198&amp;"",tbl_Finance[Xero Invoice No],"&lt;&gt;"))</f>
        <v/>
      </c>
      <c r="AA198" s="27">
        <f>IF(E198="","",Y198-Z198)</f>
        <v/>
      </c>
      <c r="AB198" s="25">
        <f>IF(E198="","",IF(H198="Onsite",IFERROR(INDEX(tbl_Onsite[Qwilr Quote],MATCH(E198&amp;"",tbl_Onsite[Job Number],0)),""),IF(H198="Production",IFERROR(IF(INDEX(tbl_Production[Current RMS No],MATCH(E198&amp;"",tbl_Production[Job Number],0))="",INDEX(tbl_Production[Qwilr Quote],MATCH(E198&amp;"",tbl_Production[Job Number],0)),INDEX(tbl_Production[Current RMS No],MATCH(E198&amp;"",tbl_Production[Job Number],0))),""),IF(H198="Consulting",IFERROR(INDEX(tbl_Consulting[Qwilr Quote],MATCH(E198&amp;"",tbl_Consulting[Job Number],0)),""),""))))</f>
        <v/>
      </c>
      <c r="AC198" s="25">
        <f>IF(AB198="","",IF(AND(LEFT(AB198,4)&lt;&gt;"http",IF(H198="Production",set_RMSBase,set_QwilrBase)=""),"",HYPERLINK(IF(LEFT(AB198,4)="http",AB198,IF(H198="Production",set_RMSBase,set_QwilrBase)&amp;AB198),"Open")))</f>
        <v/>
      </c>
      <c r="AD198" s="27">
        <f>IF(E198="","",IF(H198="Production",IFERROR(INDEX(tbl_Production[Total Expense],MATCH(E198&amp;"",tbl_Production[Job Number],0)),0),IF(H198="Consulting",IFERROR(INDEX(tbl_Consulting[Total Expense],MATCH(E198&amp;"",tbl_Consulting[Job Number],0)),0),0)))</f>
        <v/>
      </c>
      <c r="AE198" s="27">
        <f>IF(E198="","",Y198-N(AD198))</f>
        <v/>
      </c>
      <c r="AF198" s="29">
        <f>IFERROR(AE198/Y198,"")</f>
        <v/>
      </c>
      <c r="AG198" s="25">
        <f>IF(E198="","",IF(H198="Onsite",IFERROR(INDEX(tbl_Onsite[Notes],MATCH(E198&amp;"",tbl_Onsite[Job Number],0)),""),IF(H198="Production",IFERROR(INDEX(tbl_Production[Notes],MATCH(E198&amp;"",tbl_Production[Job Number],0)),""),IF(H198="Consulting",IFERROR(INDEX(tbl_Consulting[Notes],MATCH(E198&amp;"",tbl_Consulting[Job Number],0)),""),""))))</f>
        <v/>
      </c>
    </row>
    <row r="199" ht="15" customHeight="1">
      <c r="A199" s="22" t="n"/>
      <c r="B199" s="23">
        <f>IF(A199="","",EOMONTH(A199,0))</f>
        <v/>
      </c>
      <c r="C199" s="24" t="n"/>
      <c r="D199" s="24" t="n"/>
      <c r="E199" s="24" t="n"/>
      <c r="F199" s="25">
        <f>IF(E199="","",IF(COUNTIF(lst_Jobs,E199&amp;"")&gt;0,"OK","CHECK"))</f>
        <v/>
      </c>
      <c r="G199" s="24" t="n"/>
      <c r="H199" s="24" t="n"/>
      <c r="I199" s="24" t="n"/>
      <c r="J199" s="24" t="n"/>
      <c r="K199" s="24" t="n"/>
      <c r="L199" s="26" t="n"/>
      <c r="M199" s="27">
        <f>IF(L199="","",IF(K199="GST 10%",ROUND(L199*set_GSTRate,2),0))</f>
        <v/>
      </c>
      <c r="N199" s="27">
        <f>IF(L199="","",L199+M199)</f>
        <v/>
      </c>
      <c r="O199" s="24" t="n"/>
      <c r="P199" s="24" t="n"/>
      <c r="Q199" s="24" t="n"/>
      <c r="R199" s="22" t="n"/>
      <c r="S199" s="22" t="n"/>
      <c r="T199" s="24" t="n"/>
      <c r="U199" s="24" t="n"/>
      <c r="V199" s="25">
        <f>IF(COUNTA(A199,D199,C199,L199)=0,"",IF(A199="","No date - sits outside every month",IF(E199="","No job number",IF(F199="CHECK","Job number is not in the Xero job list",IF(I199="","No cost centre",IF(AND(P199="Y",C199=""),"Marked posted to Xero but has no invoice number",IF(AND(L199&lt;&gt;"",K199=""),"No tax code",IF(AND(L199&lt;&gt;"",O199=""),"No revenue GL code",""))))))))</f>
        <v/>
      </c>
      <c r="W199" s="25">
        <f>IF(E199="","",IFERROR(INDEX(lst_JobName,MATCH(E199&amp;"",lst_Jobs,0)),""))</f>
        <v/>
      </c>
      <c r="X199" s="28">
        <f>IF(E199="","",COUNTIFS(tbl_Finance[Job Number],E199&amp;"",tbl_Finance[Ex GST],"&lt;&gt;"))</f>
        <v/>
      </c>
      <c r="Y199" s="27">
        <f>IF(E199="","",SUMIFS(tbl_Finance[Ex GST],tbl_Finance[Job Number],E199&amp;""))</f>
        <v/>
      </c>
      <c r="Z199" s="27">
        <f>IF(E199="","",SUMIFS(tbl_Finance[Ex GST],tbl_Finance[Job Number],E199&amp;"",tbl_Finance[Xero Invoice No],"&lt;&gt;"))</f>
        <v/>
      </c>
      <c r="AA199" s="27">
        <f>IF(E199="","",Y199-Z199)</f>
        <v/>
      </c>
      <c r="AB199" s="25">
        <f>IF(E199="","",IF(H199="Onsite",IFERROR(INDEX(tbl_Onsite[Qwilr Quote],MATCH(E199&amp;"",tbl_Onsite[Job Number],0)),""),IF(H199="Production",IFERROR(IF(INDEX(tbl_Production[Current RMS No],MATCH(E199&amp;"",tbl_Production[Job Number],0))="",INDEX(tbl_Production[Qwilr Quote],MATCH(E199&amp;"",tbl_Production[Job Number],0)),INDEX(tbl_Production[Current RMS No],MATCH(E199&amp;"",tbl_Production[Job Number],0))),""),IF(H199="Consulting",IFERROR(INDEX(tbl_Consulting[Qwilr Quote],MATCH(E199&amp;"",tbl_Consulting[Job Number],0)),""),""))))</f>
        <v/>
      </c>
      <c r="AC199" s="25">
        <f>IF(AB199="","",IF(AND(LEFT(AB199,4)&lt;&gt;"http",IF(H199="Production",set_RMSBase,set_QwilrBase)=""),"",HYPERLINK(IF(LEFT(AB199,4)="http",AB199,IF(H199="Production",set_RMSBase,set_QwilrBase)&amp;AB199),"Open")))</f>
        <v/>
      </c>
      <c r="AD199" s="27">
        <f>IF(E199="","",IF(H199="Production",IFERROR(INDEX(tbl_Production[Total Expense],MATCH(E199&amp;"",tbl_Production[Job Number],0)),0),IF(H199="Consulting",IFERROR(INDEX(tbl_Consulting[Total Expense],MATCH(E199&amp;"",tbl_Consulting[Job Number],0)),0),0)))</f>
        <v/>
      </c>
      <c r="AE199" s="27">
        <f>IF(E199="","",Y199-N(AD199))</f>
        <v/>
      </c>
      <c r="AF199" s="29">
        <f>IFERROR(AE199/Y199,"")</f>
        <v/>
      </c>
      <c r="AG199" s="25">
        <f>IF(E199="","",IF(H199="Onsite",IFERROR(INDEX(tbl_Onsite[Notes],MATCH(E199&amp;"",tbl_Onsite[Job Number],0)),""),IF(H199="Production",IFERROR(INDEX(tbl_Production[Notes],MATCH(E199&amp;"",tbl_Production[Job Number],0)),""),IF(H199="Consulting",IFERROR(INDEX(tbl_Consulting[Notes],MATCH(E199&amp;"",tbl_Consulting[Job Number],0)),""),""))))</f>
        <v/>
      </c>
    </row>
    <row r="200" ht="15" customHeight="1">
      <c r="A200" s="22" t="n"/>
      <c r="B200" s="23">
        <f>IF(A200="","",EOMONTH(A200,0))</f>
        <v/>
      </c>
      <c r="C200" s="24" t="n"/>
      <c r="D200" s="24" t="n"/>
      <c r="E200" s="24" t="n"/>
      <c r="F200" s="25">
        <f>IF(E200="","",IF(COUNTIF(lst_Jobs,E200&amp;"")&gt;0,"OK","CHECK"))</f>
        <v/>
      </c>
      <c r="G200" s="24" t="n"/>
      <c r="H200" s="24" t="n"/>
      <c r="I200" s="24" t="n"/>
      <c r="J200" s="24" t="n"/>
      <c r="K200" s="24" t="n"/>
      <c r="L200" s="26" t="n"/>
      <c r="M200" s="27">
        <f>IF(L200="","",IF(K200="GST 10%",ROUND(L200*set_GSTRate,2),0))</f>
        <v/>
      </c>
      <c r="N200" s="27">
        <f>IF(L200="","",L200+M200)</f>
        <v/>
      </c>
      <c r="O200" s="24" t="n"/>
      <c r="P200" s="24" t="n"/>
      <c r="Q200" s="24" t="n"/>
      <c r="R200" s="22" t="n"/>
      <c r="S200" s="22" t="n"/>
      <c r="T200" s="24" t="n"/>
      <c r="U200" s="24" t="n"/>
      <c r="V200" s="25">
        <f>IF(COUNTA(A200,D200,C200,L200)=0,"",IF(A200="","No date - sits outside every month",IF(E200="","No job number",IF(F200="CHECK","Job number is not in the Xero job list",IF(I200="","No cost centre",IF(AND(P200="Y",C200=""),"Marked posted to Xero but has no invoice number",IF(AND(L200&lt;&gt;"",K200=""),"No tax code",IF(AND(L200&lt;&gt;"",O200=""),"No revenue GL code",""))))))))</f>
        <v/>
      </c>
      <c r="W200" s="25">
        <f>IF(E200="","",IFERROR(INDEX(lst_JobName,MATCH(E200&amp;"",lst_Jobs,0)),""))</f>
        <v/>
      </c>
      <c r="X200" s="28">
        <f>IF(E200="","",COUNTIFS(tbl_Finance[Job Number],E200&amp;"",tbl_Finance[Ex GST],"&lt;&gt;"))</f>
        <v/>
      </c>
      <c r="Y200" s="27">
        <f>IF(E200="","",SUMIFS(tbl_Finance[Ex GST],tbl_Finance[Job Number],E200&amp;""))</f>
        <v/>
      </c>
      <c r="Z200" s="27">
        <f>IF(E200="","",SUMIFS(tbl_Finance[Ex GST],tbl_Finance[Job Number],E200&amp;"",tbl_Finance[Xero Invoice No],"&lt;&gt;"))</f>
        <v/>
      </c>
      <c r="AA200" s="27">
        <f>IF(E200="","",Y200-Z200)</f>
        <v/>
      </c>
      <c r="AB200" s="25">
        <f>IF(E200="","",IF(H200="Onsite",IFERROR(INDEX(tbl_Onsite[Qwilr Quote],MATCH(E200&amp;"",tbl_Onsite[Job Number],0)),""),IF(H200="Production",IFERROR(IF(INDEX(tbl_Production[Current RMS No],MATCH(E200&amp;"",tbl_Production[Job Number],0))="",INDEX(tbl_Production[Qwilr Quote],MATCH(E200&amp;"",tbl_Production[Job Number],0)),INDEX(tbl_Production[Current RMS No],MATCH(E200&amp;"",tbl_Production[Job Number],0))),""),IF(H200="Consulting",IFERROR(INDEX(tbl_Consulting[Qwilr Quote],MATCH(E200&amp;"",tbl_Consulting[Job Number],0)),""),""))))</f>
        <v/>
      </c>
      <c r="AC200" s="25">
        <f>IF(AB200="","",IF(AND(LEFT(AB200,4)&lt;&gt;"http",IF(H200="Production",set_RMSBase,set_QwilrBase)=""),"",HYPERLINK(IF(LEFT(AB200,4)="http",AB200,IF(H200="Production",set_RMSBase,set_QwilrBase)&amp;AB200),"Open")))</f>
        <v/>
      </c>
      <c r="AD200" s="27">
        <f>IF(E200="","",IF(H200="Production",IFERROR(INDEX(tbl_Production[Total Expense],MATCH(E200&amp;"",tbl_Production[Job Number],0)),0),IF(H200="Consulting",IFERROR(INDEX(tbl_Consulting[Total Expense],MATCH(E200&amp;"",tbl_Consulting[Job Number],0)),0),0)))</f>
        <v/>
      </c>
      <c r="AE200" s="27">
        <f>IF(E200="","",Y200-N(AD200))</f>
        <v/>
      </c>
      <c r="AF200" s="29">
        <f>IFERROR(AE200/Y200,"")</f>
        <v/>
      </c>
      <c r="AG200" s="25">
        <f>IF(E200="","",IF(H200="Onsite",IFERROR(INDEX(tbl_Onsite[Notes],MATCH(E200&amp;"",tbl_Onsite[Job Number],0)),""),IF(H200="Production",IFERROR(INDEX(tbl_Production[Notes],MATCH(E200&amp;"",tbl_Production[Job Number],0)),""),IF(H200="Consulting",IFERROR(INDEX(tbl_Consulting[Notes],MATCH(E200&amp;"",tbl_Consulting[Job Number],0)),""),""))))</f>
        <v/>
      </c>
    </row>
    <row r="201" ht="15" customHeight="1">
      <c r="A201" s="22" t="n"/>
      <c r="B201" s="23">
        <f>IF(A201="","",EOMONTH(A201,0))</f>
        <v/>
      </c>
      <c r="C201" s="24" t="n"/>
      <c r="D201" s="24" t="n"/>
      <c r="E201" s="24" t="n"/>
      <c r="F201" s="25">
        <f>IF(E201="","",IF(COUNTIF(lst_Jobs,E201&amp;"")&gt;0,"OK","CHECK"))</f>
        <v/>
      </c>
      <c r="G201" s="24" t="n"/>
      <c r="H201" s="24" t="n"/>
      <c r="I201" s="24" t="n"/>
      <c r="J201" s="24" t="n"/>
      <c r="K201" s="24" t="n"/>
      <c r="L201" s="26" t="n"/>
      <c r="M201" s="27">
        <f>IF(L201="","",IF(K201="GST 10%",ROUND(L201*set_GSTRate,2),0))</f>
        <v/>
      </c>
      <c r="N201" s="27">
        <f>IF(L201="","",L201+M201)</f>
        <v/>
      </c>
      <c r="O201" s="24" t="n"/>
      <c r="P201" s="24" t="n"/>
      <c r="Q201" s="24" t="n"/>
      <c r="R201" s="22" t="n"/>
      <c r="S201" s="22" t="n"/>
      <c r="T201" s="24" t="n"/>
      <c r="U201" s="24" t="n"/>
      <c r="V201" s="25">
        <f>IF(COUNTA(A201,D201,C201,L201)=0,"",IF(A201="","No date - sits outside every month",IF(E201="","No job number",IF(F201="CHECK","Job number is not in the Xero job list",IF(I201="","No cost centre",IF(AND(P201="Y",C201=""),"Marked posted to Xero but has no invoice number",IF(AND(L201&lt;&gt;"",K201=""),"No tax code",IF(AND(L201&lt;&gt;"",O201=""),"No revenue GL code",""))))))))</f>
        <v/>
      </c>
      <c r="W201" s="25">
        <f>IF(E201="","",IFERROR(INDEX(lst_JobName,MATCH(E201&amp;"",lst_Jobs,0)),""))</f>
        <v/>
      </c>
      <c r="X201" s="28">
        <f>IF(E201="","",COUNTIFS(tbl_Finance[Job Number],E201&amp;"",tbl_Finance[Ex GST],"&lt;&gt;"))</f>
        <v/>
      </c>
      <c r="Y201" s="27">
        <f>IF(E201="","",SUMIFS(tbl_Finance[Ex GST],tbl_Finance[Job Number],E201&amp;""))</f>
        <v/>
      </c>
      <c r="Z201" s="27">
        <f>IF(E201="","",SUMIFS(tbl_Finance[Ex GST],tbl_Finance[Job Number],E201&amp;"",tbl_Finance[Xero Invoice No],"&lt;&gt;"))</f>
        <v/>
      </c>
      <c r="AA201" s="27">
        <f>IF(E201="","",Y201-Z201)</f>
        <v/>
      </c>
      <c r="AB201" s="25">
        <f>IF(E201="","",IF(H201="Onsite",IFERROR(INDEX(tbl_Onsite[Qwilr Quote],MATCH(E201&amp;"",tbl_Onsite[Job Number],0)),""),IF(H201="Production",IFERROR(IF(INDEX(tbl_Production[Current RMS No],MATCH(E201&amp;"",tbl_Production[Job Number],0))="",INDEX(tbl_Production[Qwilr Quote],MATCH(E201&amp;"",tbl_Production[Job Number],0)),INDEX(tbl_Production[Current RMS No],MATCH(E201&amp;"",tbl_Production[Job Number],0))),""),IF(H201="Consulting",IFERROR(INDEX(tbl_Consulting[Qwilr Quote],MATCH(E201&amp;"",tbl_Consulting[Job Number],0)),""),""))))</f>
        <v/>
      </c>
      <c r="AC201" s="25">
        <f>IF(AB201="","",IF(AND(LEFT(AB201,4)&lt;&gt;"http",IF(H201="Production",set_RMSBase,set_QwilrBase)=""),"",HYPERLINK(IF(LEFT(AB201,4)="http",AB201,IF(H201="Production",set_RMSBase,set_QwilrBase)&amp;AB201),"Open")))</f>
        <v/>
      </c>
      <c r="AD201" s="27">
        <f>IF(E201="","",IF(H201="Production",IFERROR(INDEX(tbl_Production[Total Expense],MATCH(E201&amp;"",tbl_Production[Job Number],0)),0),IF(H201="Consulting",IFERROR(INDEX(tbl_Consulting[Total Expense],MATCH(E201&amp;"",tbl_Consulting[Job Number],0)),0),0)))</f>
        <v/>
      </c>
      <c r="AE201" s="27">
        <f>IF(E201="","",Y201-N(AD201))</f>
        <v/>
      </c>
      <c r="AF201" s="29">
        <f>IFERROR(AE201/Y201,"")</f>
        <v/>
      </c>
      <c r="AG201" s="25">
        <f>IF(E201="","",IF(H201="Onsite",IFERROR(INDEX(tbl_Onsite[Notes],MATCH(E201&amp;"",tbl_Onsite[Job Number],0)),""),IF(H201="Production",IFERROR(INDEX(tbl_Production[Notes],MATCH(E201&amp;"",tbl_Production[Job Number],0)),""),IF(H201="Consulting",IFERROR(INDEX(tbl_Consulting[Notes],MATCH(E201&amp;"",tbl_Consulting[Job Number],0)),""),""))))</f>
        <v/>
      </c>
    </row>
    <row r="202" ht="15" customHeight="1">
      <c r="A202" s="22" t="n"/>
      <c r="B202" s="23">
        <f>IF(A202="","",EOMONTH(A202,0))</f>
        <v/>
      </c>
      <c r="C202" s="24" t="n"/>
      <c r="D202" s="24" t="n"/>
      <c r="E202" s="24" t="n"/>
      <c r="F202" s="25">
        <f>IF(E202="","",IF(COUNTIF(lst_Jobs,E202&amp;"")&gt;0,"OK","CHECK"))</f>
        <v/>
      </c>
      <c r="G202" s="24" t="n"/>
      <c r="H202" s="24" t="n"/>
      <c r="I202" s="24" t="n"/>
      <c r="J202" s="24" t="n"/>
      <c r="K202" s="24" t="n"/>
      <c r="L202" s="26" t="n"/>
      <c r="M202" s="27">
        <f>IF(L202="","",IF(K202="GST 10%",ROUND(L202*set_GSTRate,2),0))</f>
        <v/>
      </c>
      <c r="N202" s="27">
        <f>IF(L202="","",L202+M202)</f>
        <v/>
      </c>
      <c r="O202" s="24" t="n"/>
      <c r="P202" s="24" t="n"/>
      <c r="Q202" s="24" t="n"/>
      <c r="R202" s="22" t="n"/>
      <c r="S202" s="22" t="n"/>
      <c r="T202" s="24" t="n"/>
      <c r="U202" s="24" t="n"/>
      <c r="V202" s="25">
        <f>IF(COUNTA(A202,D202,C202,L202)=0,"",IF(A202="","No date - sits outside every month",IF(E202="","No job number",IF(F202="CHECK","Job number is not in the Xero job list",IF(I202="","No cost centre",IF(AND(P202="Y",C202=""),"Marked posted to Xero but has no invoice number",IF(AND(L202&lt;&gt;"",K202=""),"No tax code",IF(AND(L202&lt;&gt;"",O202=""),"No revenue GL code",""))))))))</f>
        <v/>
      </c>
      <c r="W202" s="25">
        <f>IF(E202="","",IFERROR(INDEX(lst_JobName,MATCH(E202&amp;"",lst_Jobs,0)),""))</f>
        <v/>
      </c>
      <c r="X202" s="28">
        <f>IF(E202="","",COUNTIFS(tbl_Finance[Job Number],E202&amp;"",tbl_Finance[Ex GST],"&lt;&gt;"))</f>
        <v/>
      </c>
      <c r="Y202" s="27">
        <f>IF(E202="","",SUMIFS(tbl_Finance[Ex GST],tbl_Finance[Job Number],E202&amp;""))</f>
        <v/>
      </c>
      <c r="Z202" s="27">
        <f>IF(E202="","",SUMIFS(tbl_Finance[Ex GST],tbl_Finance[Job Number],E202&amp;"",tbl_Finance[Xero Invoice No],"&lt;&gt;"))</f>
        <v/>
      </c>
      <c r="AA202" s="27">
        <f>IF(E202="","",Y202-Z202)</f>
        <v/>
      </c>
      <c r="AB202" s="25">
        <f>IF(E202="","",IF(H202="Onsite",IFERROR(INDEX(tbl_Onsite[Qwilr Quote],MATCH(E202&amp;"",tbl_Onsite[Job Number],0)),""),IF(H202="Production",IFERROR(IF(INDEX(tbl_Production[Current RMS No],MATCH(E202&amp;"",tbl_Production[Job Number],0))="",INDEX(tbl_Production[Qwilr Quote],MATCH(E202&amp;"",tbl_Production[Job Number],0)),INDEX(tbl_Production[Current RMS No],MATCH(E202&amp;"",tbl_Production[Job Number],0))),""),IF(H202="Consulting",IFERROR(INDEX(tbl_Consulting[Qwilr Quote],MATCH(E202&amp;"",tbl_Consulting[Job Number],0)),""),""))))</f>
        <v/>
      </c>
      <c r="AC202" s="25">
        <f>IF(AB202="","",IF(AND(LEFT(AB202,4)&lt;&gt;"http",IF(H202="Production",set_RMSBase,set_QwilrBase)=""),"",HYPERLINK(IF(LEFT(AB202,4)="http",AB202,IF(H202="Production",set_RMSBase,set_QwilrBase)&amp;AB202),"Open")))</f>
        <v/>
      </c>
      <c r="AD202" s="27">
        <f>IF(E202="","",IF(H202="Production",IFERROR(INDEX(tbl_Production[Total Expense],MATCH(E202&amp;"",tbl_Production[Job Number],0)),0),IF(H202="Consulting",IFERROR(INDEX(tbl_Consulting[Total Expense],MATCH(E202&amp;"",tbl_Consulting[Job Number],0)),0),0)))</f>
        <v/>
      </c>
      <c r="AE202" s="27">
        <f>IF(E202="","",Y202-N(AD202))</f>
        <v/>
      </c>
      <c r="AF202" s="29">
        <f>IFERROR(AE202/Y202,"")</f>
        <v/>
      </c>
      <c r="AG202" s="25">
        <f>IF(E202="","",IF(H202="Onsite",IFERROR(INDEX(tbl_Onsite[Notes],MATCH(E202&amp;"",tbl_Onsite[Job Number],0)),""),IF(H202="Production",IFERROR(INDEX(tbl_Production[Notes],MATCH(E202&amp;"",tbl_Production[Job Number],0)),""),IF(H202="Consulting",IFERROR(INDEX(tbl_Consulting[Notes],MATCH(E202&amp;"",tbl_Consulting[Job Number],0)),""),""))))</f>
        <v/>
      </c>
    </row>
    <row r="203" ht="15" customHeight="1">
      <c r="A203" s="22" t="n"/>
      <c r="B203" s="23">
        <f>IF(A203="","",EOMONTH(A203,0))</f>
        <v/>
      </c>
      <c r="C203" s="24" t="n"/>
      <c r="D203" s="24" t="n"/>
      <c r="E203" s="24" t="n"/>
      <c r="F203" s="25">
        <f>IF(E203="","",IF(COUNTIF(lst_Jobs,E203&amp;"")&gt;0,"OK","CHECK"))</f>
        <v/>
      </c>
      <c r="G203" s="24" t="n"/>
      <c r="H203" s="24" t="n"/>
      <c r="I203" s="24" t="n"/>
      <c r="J203" s="24" t="n"/>
      <c r="K203" s="24" t="n"/>
      <c r="L203" s="26" t="n"/>
      <c r="M203" s="27">
        <f>IF(L203="","",IF(K203="GST 10%",ROUND(L203*set_GSTRate,2),0))</f>
        <v/>
      </c>
      <c r="N203" s="27">
        <f>IF(L203="","",L203+M203)</f>
        <v/>
      </c>
      <c r="O203" s="24" t="n"/>
      <c r="P203" s="24" t="n"/>
      <c r="Q203" s="24" t="n"/>
      <c r="R203" s="22" t="n"/>
      <c r="S203" s="22" t="n"/>
      <c r="T203" s="24" t="n"/>
      <c r="U203" s="24" t="n"/>
      <c r="V203" s="25">
        <f>IF(COUNTA(A203,D203,C203,L203)=0,"",IF(A203="","No date - sits outside every month",IF(E203="","No job number",IF(F203="CHECK","Job number is not in the Xero job list",IF(I203="","No cost centre",IF(AND(P203="Y",C203=""),"Marked posted to Xero but has no invoice number",IF(AND(L203&lt;&gt;"",K203=""),"No tax code",IF(AND(L203&lt;&gt;"",O203=""),"No revenue GL code",""))))))))</f>
        <v/>
      </c>
      <c r="W203" s="25">
        <f>IF(E203="","",IFERROR(INDEX(lst_JobName,MATCH(E203&amp;"",lst_Jobs,0)),""))</f>
        <v/>
      </c>
      <c r="X203" s="28">
        <f>IF(E203="","",COUNTIFS(tbl_Finance[Job Number],E203&amp;"",tbl_Finance[Ex GST],"&lt;&gt;"))</f>
        <v/>
      </c>
      <c r="Y203" s="27">
        <f>IF(E203="","",SUMIFS(tbl_Finance[Ex GST],tbl_Finance[Job Number],E203&amp;""))</f>
        <v/>
      </c>
      <c r="Z203" s="27">
        <f>IF(E203="","",SUMIFS(tbl_Finance[Ex GST],tbl_Finance[Job Number],E203&amp;"",tbl_Finance[Xero Invoice No],"&lt;&gt;"))</f>
        <v/>
      </c>
      <c r="AA203" s="27">
        <f>IF(E203="","",Y203-Z203)</f>
        <v/>
      </c>
      <c r="AB203" s="25">
        <f>IF(E203="","",IF(H203="Onsite",IFERROR(INDEX(tbl_Onsite[Qwilr Quote],MATCH(E203&amp;"",tbl_Onsite[Job Number],0)),""),IF(H203="Production",IFERROR(IF(INDEX(tbl_Production[Current RMS No],MATCH(E203&amp;"",tbl_Production[Job Number],0))="",INDEX(tbl_Production[Qwilr Quote],MATCH(E203&amp;"",tbl_Production[Job Number],0)),INDEX(tbl_Production[Current RMS No],MATCH(E203&amp;"",tbl_Production[Job Number],0))),""),IF(H203="Consulting",IFERROR(INDEX(tbl_Consulting[Qwilr Quote],MATCH(E203&amp;"",tbl_Consulting[Job Number],0)),""),""))))</f>
        <v/>
      </c>
      <c r="AC203" s="25">
        <f>IF(AB203="","",IF(AND(LEFT(AB203,4)&lt;&gt;"http",IF(H203="Production",set_RMSBase,set_QwilrBase)=""),"",HYPERLINK(IF(LEFT(AB203,4)="http",AB203,IF(H203="Production",set_RMSBase,set_QwilrBase)&amp;AB203),"Open")))</f>
        <v/>
      </c>
      <c r="AD203" s="27">
        <f>IF(E203="","",IF(H203="Production",IFERROR(INDEX(tbl_Production[Total Expense],MATCH(E203&amp;"",tbl_Production[Job Number],0)),0),IF(H203="Consulting",IFERROR(INDEX(tbl_Consulting[Total Expense],MATCH(E203&amp;"",tbl_Consulting[Job Number],0)),0),0)))</f>
        <v/>
      </c>
      <c r="AE203" s="27">
        <f>IF(E203="","",Y203-N(AD203))</f>
        <v/>
      </c>
      <c r="AF203" s="29">
        <f>IFERROR(AE203/Y203,"")</f>
        <v/>
      </c>
      <c r="AG203" s="25">
        <f>IF(E203="","",IF(H203="Onsite",IFERROR(INDEX(tbl_Onsite[Notes],MATCH(E203&amp;"",tbl_Onsite[Job Number],0)),""),IF(H203="Production",IFERROR(INDEX(tbl_Production[Notes],MATCH(E203&amp;"",tbl_Production[Job Number],0)),""),IF(H203="Consulting",IFERROR(INDEX(tbl_Consulting[Notes],MATCH(E203&amp;"",tbl_Consulting[Job Number],0)),""),""))))</f>
        <v/>
      </c>
    </row>
    <row r="204" ht="15" customHeight="1">
      <c r="A204" s="22" t="n"/>
      <c r="B204" s="23">
        <f>IF(A204="","",EOMONTH(A204,0))</f>
        <v/>
      </c>
      <c r="C204" s="24" t="n"/>
      <c r="D204" s="24" t="n"/>
      <c r="E204" s="24" t="n"/>
      <c r="F204" s="25">
        <f>IF(E204="","",IF(COUNTIF(lst_Jobs,E204&amp;"")&gt;0,"OK","CHECK"))</f>
        <v/>
      </c>
      <c r="G204" s="24" t="n"/>
      <c r="H204" s="24" t="n"/>
      <c r="I204" s="24" t="n"/>
      <c r="J204" s="24" t="n"/>
      <c r="K204" s="24" t="n"/>
      <c r="L204" s="26" t="n"/>
      <c r="M204" s="27">
        <f>IF(L204="","",IF(K204="GST 10%",ROUND(L204*set_GSTRate,2),0))</f>
        <v/>
      </c>
      <c r="N204" s="27">
        <f>IF(L204="","",L204+M204)</f>
        <v/>
      </c>
      <c r="O204" s="24" t="n"/>
      <c r="P204" s="24" t="n"/>
      <c r="Q204" s="24" t="n"/>
      <c r="R204" s="22" t="n"/>
      <c r="S204" s="22" t="n"/>
      <c r="T204" s="24" t="n"/>
      <c r="U204" s="24" t="n"/>
      <c r="V204" s="25">
        <f>IF(COUNTA(A204,D204,C204,L204)=0,"",IF(A204="","No date - sits outside every month",IF(E204="","No job number",IF(F204="CHECK","Job number is not in the Xero job list",IF(I204="","No cost centre",IF(AND(P204="Y",C204=""),"Marked posted to Xero but has no invoice number",IF(AND(L204&lt;&gt;"",K204=""),"No tax code",IF(AND(L204&lt;&gt;"",O204=""),"No revenue GL code",""))))))))</f>
        <v/>
      </c>
      <c r="W204" s="25">
        <f>IF(E204="","",IFERROR(INDEX(lst_JobName,MATCH(E204&amp;"",lst_Jobs,0)),""))</f>
        <v/>
      </c>
      <c r="X204" s="28">
        <f>IF(E204="","",COUNTIFS(tbl_Finance[Job Number],E204&amp;"",tbl_Finance[Ex GST],"&lt;&gt;"))</f>
        <v/>
      </c>
      <c r="Y204" s="27">
        <f>IF(E204="","",SUMIFS(tbl_Finance[Ex GST],tbl_Finance[Job Number],E204&amp;""))</f>
        <v/>
      </c>
      <c r="Z204" s="27">
        <f>IF(E204="","",SUMIFS(tbl_Finance[Ex GST],tbl_Finance[Job Number],E204&amp;"",tbl_Finance[Xero Invoice No],"&lt;&gt;"))</f>
        <v/>
      </c>
      <c r="AA204" s="27">
        <f>IF(E204="","",Y204-Z204)</f>
        <v/>
      </c>
      <c r="AB204" s="25">
        <f>IF(E204="","",IF(H204="Onsite",IFERROR(INDEX(tbl_Onsite[Qwilr Quote],MATCH(E204&amp;"",tbl_Onsite[Job Number],0)),""),IF(H204="Production",IFERROR(IF(INDEX(tbl_Production[Current RMS No],MATCH(E204&amp;"",tbl_Production[Job Number],0))="",INDEX(tbl_Production[Qwilr Quote],MATCH(E204&amp;"",tbl_Production[Job Number],0)),INDEX(tbl_Production[Current RMS No],MATCH(E204&amp;"",tbl_Production[Job Number],0))),""),IF(H204="Consulting",IFERROR(INDEX(tbl_Consulting[Qwilr Quote],MATCH(E204&amp;"",tbl_Consulting[Job Number],0)),""),""))))</f>
        <v/>
      </c>
      <c r="AC204" s="25">
        <f>IF(AB204="","",IF(AND(LEFT(AB204,4)&lt;&gt;"http",IF(H204="Production",set_RMSBase,set_QwilrBase)=""),"",HYPERLINK(IF(LEFT(AB204,4)="http",AB204,IF(H204="Production",set_RMSBase,set_QwilrBase)&amp;AB204),"Open")))</f>
        <v/>
      </c>
      <c r="AD204" s="27">
        <f>IF(E204="","",IF(H204="Production",IFERROR(INDEX(tbl_Production[Total Expense],MATCH(E204&amp;"",tbl_Production[Job Number],0)),0),IF(H204="Consulting",IFERROR(INDEX(tbl_Consulting[Total Expense],MATCH(E204&amp;"",tbl_Consulting[Job Number],0)),0),0)))</f>
        <v/>
      </c>
      <c r="AE204" s="27">
        <f>IF(E204="","",Y204-N(AD204))</f>
        <v/>
      </c>
      <c r="AF204" s="29">
        <f>IFERROR(AE204/Y204,"")</f>
        <v/>
      </c>
      <c r="AG204" s="25">
        <f>IF(E204="","",IF(H204="Onsite",IFERROR(INDEX(tbl_Onsite[Notes],MATCH(E204&amp;"",tbl_Onsite[Job Number],0)),""),IF(H204="Production",IFERROR(INDEX(tbl_Production[Notes],MATCH(E204&amp;"",tbl_Production[Job Number],0)),""),IF(H204="Consulting",IFERROR(INDEX(tbl_Consulting[Notes],MATCH(E204&amp;"",tbl_Consulting[Job Number],0)),""),""))))</f>
        <v/>
      </c>
    </row>
    <row r="205" ht="15" customHeight="1">
      <c r="A205" s="22" t="n"/>
      <c r="B205" s="23">
        <f>IF(A205="","",EOMONTH(A205,0))</f>
        <v/>
      </c>
      <c r="C205" s="24" t="n"/>
      <c r="D205" s="24" t="n"/>
      <c r="E205" s="24" t="n"/>
      <c r="F205" s="25">
        <f>IF(E205="","",IF(COUNTIF(lst_Jobs,E205&amp;"")&gt;0,"OK","CHECK"))</f>
        <v/>
      </c>
      <c r="G205" s="24" t="n"/>
      <c r="H205" s="24" t="n"/>
      <c r="I205" s="24" t="n"/>
      <c r="J205" s="24" t="n"/>
      <c r="K205" s="24" t="n"/>
      <c r="L205" s="26" t="n"/>
      <c r="M205" s="27">
        <f>IF(L205="","",IF(K205="GST 10%",ROUND(L205*set_GSTRate,2),0))</f>
        <v/>
      </c>
      <c r="N205" s="27">
        <f>IF(L205="","",L205+M205)</f>
        <v/>
      </c>
      <c r="O205" s="24" t="n"/>
      <c r="P205" s="24" t="n"/>
      <c r="Q205" s="24" t="n"/>
      <c r="R205" s="22" t="n"/>
      <c r="S205" s="22" t="n"/>
      <c r="T205" s="24" t="n"/>
      <c r="U205" s="24" t="n"/>
      <c r="V205" s="25">
        <f>IF(COUNTA(A205,D205,C205,L205)=0,"",IF(A205="","No date - sits outside every month",IF(E205="","No job number",IF(F205="CHECK","Job number is not in the Xero job list",IF(I205="","No cost centre",IF(AND(P205="Y",C205=""),"Marked posted to Xero but has no invoice number",IF(AND(L205&lt;&gt;"",K205=""),"No tax code",IF(AND(L205&lt;&gt;"",O205=""),"No revenue GL code",""))))))))</f>
        <v/>
      </c>
      <c r="W205" s="25">
        <f>IF(E205="","",IFERROR(INDEX(lst_JobName,MATCH(E205&amp;"",lst_Jobs,0)),""))</f>
        <v/>
      </c>
      <c r="X205" s="28">
        <f>IF(E205="","",COUNTIFS(tbl_Finance[Job Number],E205&amp;"",tbl_Finance[Ex GST],"&lt;&gt;"))</f>
        <v/>
      </c>
      <c r="Y205" s="27">
        <f>IF(E205="","",SUMIFS(tbl_Finance[Ex GST],tbl_Finance[Job Number],E205&amp;""))</f>
        <v/>
      </c>
      <c r="Z205" s="27">
        <f>IF(E205="","",SUMIFS(tbl_Finance[Ex GST],tbl_Finance[Job Number],E205&amp;"",tbl_Finance[Xero Invoice No],"&lt;&gt;"))</f>
        <v/>
      </c>
      <c r="AA205" s="27">
        <f>IF(E205="","",Y205-Z205)</f>
        <v/>
      </c>
      <c r="AB205" s="25">
        <f>IF(E205="","",IF(H205="Onsite",IFERROR(INDEX(tbl_Onsite[Qwilr Quote],MATCH(E205&amp;"",tbl_Onsite[Job Number],0)),""),IF(H205="Production",IFERROR(IF(INDEX(tbl_Production[Current RMS No],MATCH(E205&amp;"",tbl_Production[Job Number],0))="",INDEX(tbl_Production[Qwilr Quote],MATCH(E205&amp;"",tbl_Production[Job Number],0)),INDEX(tbl_Production[Current RMS No],MATCH(E205&amp;"",tbl_Production[Job Number],0))),""),IF(H205="Consulting",IFERROR(INDEX(tbl_Consulting[Qwilr Quote],MATCH(E205&amp;"",tbl_Consulting[Job Number],0)),""),""))))</f>
        <v/>
      </c>
      <c r="AC205" s="25">
        <f>IF(AB205="","",IF(AND(LEFT(AB205,4)&lt;&gt;"http",IF(H205="Production",set_RMSBase,set_QwilrBase)=""),"",HYPERLINK(IF(LEFT(AB205,4)="http",AB205,IF(H205="Production",set_RMSBase,set_QwilrBase)&amp;AB205),"Open")))</f>
        <v/>
      </c>
      <c r="AD205" s="27">
        <f>IF(E205="","",IF(H205="Production",IFERROR(INDEX(tbl_Production[Total Expense],MATCH(E205&amp;"",tbl_Production[Job Number],0)),0),IF(H205="Consulting",IFERROR(INDEX(tbl_Consulting[Total Expense],MATCH(E205&amp;"",tbl_Consulting[Job Number],0)),0),0)))</f>
        <v/>
      </c>
      <c r="AE205" s="27">
        <f>IF(E205="","",Y205-N(AD205))</f>
        <v/>
      </c>
      <c r="AF205" s="29">
        <f>IFERROR(AE205/Y205,"")</f>
        <v/>
      </c>
      <c r="AG205" s="25">
        <f>IF(E205="","",IF(H205="Onsite",IFERROR(INDEX(tbl_Onsite[Notes],MATCH(E205&amp;"",tbl_Onsite[Job Number],0)),""),IF(H205="Production",IFERROR(INDEX(tbl_Production[Notes],MATCH(E205&amp;"",tbl_Production[Job Number],0)),""),IF(H205="Consulting",IFERROR(INDEX(tbl_Consulting[Notes],MATCH(E205&amp;"",tbl_Consulting[Job Number],0)),""),""))))</f>
        <v/>
      </c>
    </row>
    <row r="206" ht="15" customHeight="1">
      <c r="A206" s="22" t="n"/>
      <c r="B206" s="23">
        <f>IF(A206="","",EOMONTH(A206,0))</f>
        <v/>
      </c>
      <c r="C206" s="24" t="n"/>
      <c r="D206" s="24" t="n"/>
      <c r="E206" s="24" t="n"/>
      <c r="F206" s="25">
        <f>IF(E206="","",IF(COUNTIF(lst_Jobs,E206&amp;"")&gt;0,"OK","CHECK"))</f>
        <v/>
      </c>
      <c r="G206" s="24" t="n"/>
      <c r="H206" s="24" t="n"/>
      <c r="I206" s="24" t="n"/>
      <c r="J206" s="24" t="n"/>
      <c r="K206" s="24" t="n"/>
      <c r="L206" s="26" t="n"/>
      <c r="M206" s="27">
        <f>IF(L206="","",IF(K206="GST 10%",ROUND(L206*set_GSTRate,2),0))</f>
        <v/>
      </c>
      <c r="N206" s="27">
        <f>IF(L206="","",L206+M206)</f>
        <v/>
      </c>
      <c r="O206" s="24" t="n"/>
      <c r="P206" s="24" t="n"/>
      <c r="Q206" s="24" t="n"/>
      <c r="R206" s="22" t="n"/>
      <c r="S206" s="22" t="n"/>
      <c r="T206" s="24" t="n"/>
      <c r="U206" s="24" t="n"/>
      <c r="V206" s="25">
        <f>IF(COUNTA(A206,D206,C206,L206)=0,"",IF(A206="","No date - sits outside every month",IF(E206="","No job number",IF(F206="CHECK","Job number is not in the Xero job list",IF(I206="","No cost centre",IF(AND(P206="Y",C206=""),"Marked posted to Xero but has no invoice number",IF(AND(L206&lt;&gt;"",K206=""),"No tax code",IF(AND(L206&lt;&gt;"",O206=""),"No revenue GL code",""))))))))</f>
        <v/>
      </c>
      <c r="W206" s="25">
        <f>IF(E206="","",IFERROR(INDEX(lst_JobName,MATCH(E206&amp;"",lst_Jobs,0)),""))</f>
        <v/>
      </c>
      <c r="X206" s="28">
        <f>IF(E206="","",COUNTIFS(tbl_Finance[Job Number],E206&amp;"",tbl_Finance[Ex GST],"&lt;&gt;"))</f>
        <v/>
      </c>
      <c r="Y206" s="27">
        <f>IF(E206="","",SUMIFS(tbl_Finance[Ex GST],tbl_Finance[Job Number],E206&amp;""))</f>
        <v/>
      </c>
      <c r="Z206" s="27">
        <f>IF(E206="","",SUMIFS(tbl_Finance[Ex GST],tbl_Finance[Job Number],E206&amp;"",tbl_Finance[Xero Invoice No],"&lt;&gt;"))</f>
        <v/>
      </c>
      <c r="AA206" s="27">
        <f>IF(E206="","",Y206-Z206)</f>
        <v/>
      </c>
      <c r="AB206" s="25">
        <f>IF(E206="","",IF(H206="Onsite",IFERROR(INDEX(tbl_Onsite[Qwilr Quote],MATCH(E206&amp;"",tbl_Onsite[Job Number],0)),""),IF(H206="Production",IFERROR(IF(INDEX(tbl_Production[Current RMS No],MATCH(E206&amp;"",tbl_Production[Job Number],0))="",INDEX(tbl_Production[Qwilr Quote],MATCH(E206&amp;"",tbl_Production[Job Number],0)),INDEX(tbl_Production[Current RMS No],MATCH(E206&amp;"",tbl_Production[Job Number],0))),""),IF(H206="Consulting",IFERROR(INDEX(tbl_Consulting[Qwilr Quote],MATCH(E206&amp;"",tbl_Consulting[Job Number],0)),""),""))))</f>
        <v/>
      </c>
      <c r="AC206" s="25">
        <f>IF(AB206="","",IF(AND(LEFT(AB206,4)&lt;&gt;"http",IF(H206="Production",set_RMSBase,set_QwilrBase)=""),"",HYPERLINK(IF(LEFT(AB206,4)="http",AB206,IF(H206="Production",set_RMSBase,set_QwilrBase)&amp;AB206),"Open")))</f>
        <v/>
      </c>
      <c r="AD206" s="27">
        <f>IF(E206="","",IF(H206="Production",IFERROR(INDEX(tbl_Production[Total Expense],MATCH(E206&amp;"",tbl_Production[Job Number],0)),0),IF(H206="Consulting",IFERROR(INDEX(tbl_Consulting[Total Expense],MATCH(E206&amp;"",tbl_Consulting[Job Number],0)),0),0)))</f>
        <v/>
      </c>
      <c r="AE206" s="27">
        <f>IF(E206="","",Y206-N(AD206))</f>
        <v/>
      </c>
      <c r="AF206" s="29">
        <f>IFERROR(AE206/Y206,"")</f>
        <v/>
      </c>
      <c r="AG206" s="25">
        <f>IF(E206="","",IF(H206="Onsite",IFERROR(INDEX(tbl_Onsite[Notes],MATCH(E206&amp;"",tbl_Onsite[Job Number],0)),""),IF(H206="Production",IFERROR(INDEX(tbl_Production[Notes],MATCH(E206&amp;"",tbl_Production[Job Number],0)),""),IF(H206="Consulting",IFERROR(INDEX(tbl_Consulting[Notes],MATCH(E206&amp;"",tbl_Consulting[Job Number],0)),""),""))))</f>
        <v/>
      </c>
    </row>
    <row r="207" ht="15" customHeight="1">
      <c r="A207" s="22" t="n"/>
      <c r="B207" s="23">
        <f>IF(A207="","",EOMONTH(A207,0))</f>
        <v/>
      </c>
      <c r="C207" s="24" t="n"/>
      <c r="D207" s="24" t="n"/>
      <c r="E207" s="24" t="n"/>
      <c r="F207" s="25">
        <f>IF(E207="","",IF(COUNTIF(lst_Jobs,E207&amp;"")&gt;0,"OK","CHECK"))</f>
        <v/>
      </c>
      <c r="G207" s="24" t="n"/>
      <c r="H207" s="24" t="n"/>
      <c r="I207" s="24" t="n"/>
      <c r="J207" s="24" t="n"/>
      <c r="K207" s="24" t="n"/>
      <c r="L207" s="26" t="n"/>
      <c r="M207" s="27">
        <f>IF(L207="","",IF(K207="GST 10%",ROUND(L207*set_GSTRate,2),0))</f>
        <v/>
      </c>
      <c r="N207" s="27">
        <f>IF(L207="","",L207+M207)</f>
        <v/>
      </c>
      <c r="O207" s="24" t="n"/>
      <c r="P207" s="24" t="n"/>
      <c r="Q207" s="24" t="n"/>
      <c r="R207" s="22" t="n"/>
      <c r="S207" s="22" t="n"/>
      <c r="T207" s="24" t="n"/>
      <c r="U207" s="24" t="n"/>
      <c r="V207" s="25">
        <f>IF(COUNTA(A207,D207,C207,L207)=0,"",IF(A207="","No date - sits outside every month",IF(E207="","No job number",IF(F207="CHECK","Job number is not in the Xero job list",IF(I207="","No cost centre",IF(AND(P207="Y",C207=""),"Marked posted to Xero but has no invoice number",IF(AND(L207&lt;&gt;"",K207=""),"No tax code",IF(AND(L207&lt;&gt;"",O207=""),"No revenue GL code",""))))))))</f>
        <v/>
      </c>
      <c r="W207" s="25">
        <f>IF(E207="","",IFERROR(INDEX(lst_JobName,MATCH(E207&amp;"",lst_Jobs,0)),""))</f>
        <v/>
      </c>
      <c r="X207" s="28">
        <f>IF(E207="","",COUNTIFS(tbl_Finance[Job Number],E207&amp;"",tbl_Finance[Ex GST],"&lt;&gt;"))</f>
        <v/>
      </c>
      <c r="Y207" s="27">
        <f>IF(E207="","",SUMIFS(tbl_Finance[Ex GST],tbl_Finance[Job Number],E207&amp;""))</f>
        <v/>
      </c>
      <c r="Z207" s="27">
        <f>IF(E207="","",SUMIFS(tbl_Finance[Ex GST],tbl_Finance[Job Number],E207&amp;"",tbl_Finance[Xero Invoice No],"&lt;&gt;"))</f>
        <v/>
      </c>
      <c r="AA207" s="27">
        <f>IF(E207="","",Y207-Z207)</f>
        <v/>
      </c>
      <c r="AB207" s="25">
        <f>IF(E207="","",IF(H207="Onsite",IFERROR(INDEX(tbl_Onsite[Qwilr Quote],MATCH(E207&amp;"",tbl_Onsite[Job Number],0)),""),IF(H207="Production",IFERROR(IF(INDEX(tbl_Production[Current RMS No],MATCH(E207&amp;"",tbl_Production[Job Number],0))="",INDEX(tbl_Production[Qwilr Quote],MATCH(E207&amp;"",tbl_Production[Job Number],0)),INDEX(tbl_Production[Current RMS No],MATCH(E207&amp;"",tbl_Production[Job Number],0))),""),IF(H207="Consulting",IFERROR(INDEX(tbl_Consulting[Qwilr Quote],MATCH(E207&amp;"",tbl_Consulting[Job Number],0)),""),""))))</f>
        <v/>
      </c>
      <c r="AC207" s="25">
        <f>IF(AB207="","",IF(AND(LEFT(AB207,4)&lt;&gt;"http",IF(H207="Production",set_RMSBase,set_QwilrBase)=""),"",HYPERLINK(IF(LEFT(AB207,4)="http",AB207,IF(H207="Production",set_RMSBase,set_QwilrBase)&amp;AB207),"Open")))</f>
        <v/>
      </c>
      <c r="AD207" s="27">
        <f>IF(E207="","",IF(H207="Production",IFERROR(INDEX(tbl_Production[Total Expense],MATCH(E207&amp;"",tbl_Production[Job Number],0)),0),IF(H207="Consulting",IFERROR(INDEX(tbl_Consulting[Total Expense],MATCH(E207&amp;"",tbl_Consulting[Job Number],0)),0),0)))</f>
        <v/>
      </c>
      <c r="AE207" s="27">
        <f>IF(E207="","",Y207-N(AD207))</f>
        <v/>
      </c>
      <c r="AF207" s="29">
        <f>IFERROR(AE207/Y207,"")</f>
        <v/>
      </c>
      <c r="AG207" s="25">
        <f>IF(E207="","",IF(H207="Onsite",IFERROR(INDEX(tbl_Onsite[Notes],MATCH(E207&amp;"",tbl_Onsite[Job Number],0)),""),IF(H207="Production",IFERROR(INDEX(tbl_Production[Notes],MATCH(E207&amp;"",tbl_Production[Job Number],0)),""),IF(H207="Consulting",IFERROR(INDEX(tbl_Consulting[Notes],MATCH(E207&amp;"",tbl_Consulting[Job Number],0)),""),""))))</f>
        <v/>
      </c>
    </row>
    <row r="208" ht="15" customHeight="1">
      <c r="A208" s="22" t="n"/>
      <c r="B208" s="23">
        <f>IF(A208="","",EOMONTH(A208,0))</f>
        <v/>
      </c>
      <c r="C208" s="24" t="n"/>
      <c r="D208" s="24" t="n"/>
      <c r="E208" s="24" t="n"/>
      <c r="F208" s="25">
        <f>IF(E208="","",IF(COUNTIF(lst_Jobs,E208&amp;"")&gt;0,"OK","CHECK"))</f>
        <v/>
      </c>
      <c r="G208" s="24" t="n"/>
      <c r="H208" s="24" t="n"/>
      <c r="I208" s="24" t="n"/>
      <c r="J208" s="24" t="n"/>
      <c r="K208" s="24" t="n"/>
      <c r="L208" s="26" t="n"/>
      <c r="M208" s="27">
        <f>IF(L208="","",IF(K208="GST 10%",ROUND(L208*set_GSTRate,2),0))</f>
        <v/>
      </c>
      <c r="N208" s="27">
        <f>IF(L208="","",L208+M208)</f>
        <v/>
      </c>
      <c r="O208" s="24" t="n"/>
      <c r="P208" s="24" t="n"/>
      <c r="Q208" s="24" t="n"/>
      <c r="R208" s="22" t="n"/>
      <c r="S208" s="22" t="n"/>
      <c r="T208" s="24" t="n"/>
      <c r="U208" s="24" t="n"/>
      <c r="V208" s="25">
        <f>IF(COUNTA(A208,D208,C208,L208)=0,"",IF(A208="","No date - sits outside every month",IF(E208="","No job number",IF(F208="CHECK","Job number is not in the Xero job list",IF(I208="","No cost centre",IF(AND(P208="Y",C208=""),"Marked posted to Xero but has no invoice number",IF(AND(L208&lt;&gt;"",K208=""),"No tax code",IF(AND(L208&lt;&gt;"",O208=""),"No revenue GL code",""))))))))</f>
        <v/>
      </c>
      <c r="W208" s="25">
        <f>IF(E208="","",IFERROR(INDEX(lst_JobName,MATCH(E208&amp;"",lst_Jobs,0)),""))</f>
        <v/>
      </c>
      <c r="X208" s="28">
        <f>IF(E208="","",COUNTIFS(tbl_Finance[Job Number],E208&amp;"",tbl_Finance[Ex GST],"&lt;&gt;"))</f>
        <v/>
      </c>
      <c r="Y208" s="27">
        <f>IF(E208="","",SUMIFS(tbl_Finance[Ex GST],tbl_Finance[Job Number],E208&amp;""))</f>
        <v/>
      </c>
      <c r="Z208" s="27">
        <f>IF(E208="","",SUMIFS(tbl_Finance[Ex GST],tbl_Finance[Job Number],E208&amp;"",tbl_Finance[Xero Invoice No],"&lt;&gt;"))</f>
        <v/>
      </c>
      <c r="AA208" s="27">
        <f>IF(E208="","",Y208-Z208)</f>
        <v/>
      </c>
      <c r="AB208" s="25">
        <f>IF(E208="","",IF(H208="Onsite",IFERROR(INDEX(tbl_Onsite[Qwilr Quote],MATCH(E208&amp;"",tbl_Onsite[Job Number],0)),""),IF(H208="Production",IFERROR(IF(INDEX(tbl_Production[Current RMS No],MATCH(E208&amp;"",tbl_Production[Job Number],0))="",INDEX(tbl_Production[Qwilr Quote],MATCH(E208&amp;"",tbl_Production[Job Number],0)),INDEX(tbl_Production[Current RMS No],MATCH(E208&amp;"",tbl_Production[Job Number],0))),""),IF(H208="Consulting",IFERROR(INDEX(tbl_Consulting[Qwilr Quote],MATCH(E208&amp;"",tbl_Consulting[Job Number],0)),""),""))))</f>
        <v/>
      </c>
      <c r="AC208" s="25">
        <f>IF(AB208="","",IF(AND(LEFT(AB208,4)&lt;&gt;"http",IF(H208="Production",set_RMSBase,set_QwilrBase)=""),"",HYPERLINK(IF(LEFT(AB208,4)="http",AB208,IF(H208="Production",set_RMSBase,set_QwilrBase)&amp;AB208),"Open")))</f>
        <v/>
      </c>
      <c r="AD208" s="27">
        <f>IF(E208="","",IF(H208="Production",IFERROR(INDEX(tbl_Production[Total Expense],MATCH(E208&amp;"",tbl_Production[Job Number],0)),0),IF(H208="Consulting",IFERROR(INDEX(tbl_Consulting[Total Expense],MATCH(E208&amp;"",tbl_Consulting[Job Number],0)),0),0)))</f>
        <v/>
      </c>
      <c r="AE208" s="27">
        <f>IF(E208="","",Y208-N(AD208))</f>
        <v/>
      </c>
      <c r="AF208" s="29">
        <f>IFERROR(AE208/Y208,"")</f>
        <v/>
      </c>
      <c r="AG208" s="25">
        <f>IF(E208="","",IF(H208="Onsite",IFERROR(INDEX(tbl_Onsite[Notes],MATCH(E208&amp;"",tbl_Onsite[Job Number],0)),""),IF(H208="Production",IFERROR(INDEX(tbl_Production[Notes],MATCH(E208&amp;"",tbl_Production[Job Number],0)),""),IF(H208="Consulting",IFERROR(INDEX(tbl_Consulting[Notes],MATCH(E208&amp;"",tbl_Consulting[Job Number],0)),""),""))))</f>
        <v/>
      </c>
    </row>
    <row r="209" ht="15" customHeight="1">
      <c r="A209" s="22" t="n"/>
      <c r="B209" s="23">
        <f>IF(A209="","",EOMONTH(A209,0))</f>
        <v/>
      </c>
      <c r="C209" s="24" t="n"/>
      <c r="D209" s="24" t="n"/>
      <c r="E209" s="24" t="n"/>
      <c r="F209" s="25">
        <f>IF(E209="","",IF(COUNTIF(lst_Jobs,E209&amp;"")&gt;0,"OK","CHECK"))</f>
        <v/>
      </c>
      <c r="G209" s="24" t="n"/>
      <c r="H209" s="24" t="n"/>
      <c r="I209" s="24" t="n"/>
      <c r="J209" s="24" t="n"/>
      <c r="K209" s="24" t="n"/>
      <c r="L209" s="26" t="n"/>
      <c r="M209" s="27">
        <f>IF(L209="","",IF(K209="GST 10%",ROUND(L209*set_GSTRate,2),0))</f>
        <v/>
      </c>
      <c r="N209" s="27">
        <f>IF(L209="","",L209+M209)</f>
        <v/>
      </c>
      <c r="O209" s="24" t="n"/>
      <c r="P209" s="24" t="n"/>
      <c r="Q209" s="24" t="n"/>
      <c r="R209" s="22" t="n"/>
      <c r="S209" s="22" t="n"/>
      <c r="T209" s="24" t="n"/>
      <c r="U209" s="24" t="n"/>
      <c r="V209" s="25">
        <f>IF(COUNTA(A209,D209,C209,L209)=0,"",IF(A209="","No date - sits outside every month",IF(E209="","No job number",IF(F209="CHECK","Job number is not in the Xero job list",IF(I209="","No cost centre",IF(AND(P209="Y",C209=""),"Marked posted to Xero but has no invoice number",IF(AND(L209&lt;&gt;"",K209=""),"No tax code",IF(AND(L209&lt;&gt;"",O209=""),"No revenue GL code",""))))))))</f>
        <v/>
      </c>
      <c r="W209" s="25">
        <f>IF(E209="","",IFERROR(INDEX(lst_JobName,MATCH(E209&amp;"",lst_Jobs,0)),""))</f>
        <v/>
      </c>
      <c r="X209" s="28">
        <f>IF(E209="","",COUNTIFS(tbl_Finance[Job Number],E209&amp;"",tbl_Finance[Ex GST],"&lt;&gt;"))</f>
        <v/>
      </c>
      <c r="Y209" s="27">
        <f>IF(E209="","",SUMIFS(tbl_Finance[Ex GST],tbl_Finance[Job Number],E209&amp;""))</f>
        <v/>
      </c>
      <c r="Z209" s="27">
        <f>IF(E209="","",SUMIFS(tbl_Finance[Ex GST],tbl_Finance[Job Number],E209&amp;"",tbl_Finance[Xero Invoice No],"&lt;&gt;"))</f>
        <v/>
      </c>
      <c r="AA209" s="27">
        <f>IF(E209="","",Y209-Z209)</f>
        <v/>
      </c>
      <c r="AB209" s="25">
        <f>IF(E209="","",IF(H209="Onsite",IFERROR(INDEX(tbl_Onsite[Qwilr Quote],MATCH(E209&amp;"",tbl_Onsite[Job Number],0)),""),IF(H209="Production",IFERROR(IF(INDEX(tbl_Production[Current RMS No],MATCH(E209&amp;"",tbl_Production[Job Number],0))="",INDEX(tbl_Production[Qwilr Quote],MATCH(E209&amp;"",tbl_Production[Job Number],0)),INDEX(tbl_Production[Current RMS No],MATCH(E209&amp;"",tbl_Production[Job Number],0))),""),IF(H209="Consulting",IFERROR(INDEX(tbl_Consulting[Qwilr Quote],MATCH(E209&amp;"",tbl_Consulting[Job Number],0)),""),""))))</f>
        <v/>
      </c>
      <c r="AC209" s="25">
        <f>IF(AB209="","",IF(AND(LEFT(AB209,4)&lt;&gt;"http",IF(H209="Production",set_RMSBase,set_QwilrBase)=""),"",HYPERLINK(IF(LEFT(AB209,4)="http",AB209,IF(H209="Production",set_RMSBase,set_QwilrBase)&amp;AB209),"Open")))</f>
        <v/>
      </c>
      <c r="AD209" s="27">
        <f>IF(E209="","",IF(H209="Production",IFERROR(INDEX(tbl_Production[Total Expense],MATCH(E209&amp;"",tbl_Production[Job Number],0)),0),IF(H209="Consulting",IFERROR(INDEX(tbl_Consulting[Total Expense],MATCH(E209&amp;"",tbl_Consulting[Job Number],0)),0),0)))</f>
        <v/>
      </c>
      <c r="AE209" s="27">
        <f>IF(E209="","",Y209-N(AD209))</f>
        <v/>
      </c>
      <c r="AF209" s="29">
        <f>IFERROR(AE209/Y209,"")</f>
        <v/>
      </c>
      <c r="AG209" s="25">
        <f>IF(E209="","",IF(H209="Onsite",IFERROR(INDEX(tbl_Onsite[Notes],MATCH(E209&amp;"",tbl_Onsite[Job Number],0)),""),IF(H209="Production",IFERROR(INDEX(tbl_Production[Notes],MATCH(E209&amp;"",tbl_Production[Job Number],0)),""),IF(H209="Consulting",IFERROR(INDEX(tbl_Consulting[Notes],MATCH(E209&amp;"",tbl_Consulting[Job Number],0)),""),""))))</f>
        <v/>
      </c>
    </row>
    <row r="210" ht="15" customHeight="1">
      <c r="A210" s="22" t="n"/>
      <c r="B210" s="23">
        <f>IF(A210="","",EOMONTH(A210,0))</f>
        <v/>
      </c>
      <c r="C210" s="24" t="n"/>
      <c r="D210" s="24" t="n"/>
      <c r="E210" s="24" t="n"/>
      <c r="F210" s="25">
        <f>IF(E210="","",IF(COUNTIF(lst_Jobs,E210&amp;"")&gt;0,"OK","CHECK"))</f>
        <v/>
      </c>
      <c r="G210" s="24" t="n"/>
      <c r="H210" s="24" t="n"/>
      <c r="I210" s="24" t="n"/>
      <c r="J210" s="24" t="n"/>
      <c r="K210" s="24" t="n"/>
      <c r="L210" s="26" t="n"/>
      <c r="M210" s="27">
        <f>IF(L210="","",IF(K210="GST 10%",ROUND(L210*set_GSTRate,2),0))</f>
        <v/>
      </c>
      <c r="N210" s="27">
        <f>IF(L210="","",L210+M210)</f>
        <v/>
      </c>
      <c r="O210" s="24" t="n"/>
      <c r="P210" s="24" t="n"/>
      <c r="Q210" s="24" t="n"/>
      <c r="R210" s="22" t="n"/>
      <c r="S210" s="22" t="n"/>
      <c r="T210" s="24" t="n"/>
      <c r="U210" s="24" t="n"/>
      <c r="V210" s="25">
        <f>IF(COUNTA(A210,D210,C210,L210)=0,"",IF(A210="","No date - sits outside every month",IF(E210="","No job number",IF(F210="CHECK","Job number is not in the Xero job list",IF(I210="","No cost centre",IF(AND(P210="Y",C210=""),"Marked posted to Xero but has no invoice number",IF(AND(L210&lt;&gt;"",K210=""),"No tax code",IF(AND(L210&lt;&gt;"",O210=""),"No revenue GL code",""))))))))</f>
        <v/>
      </c>
      <c r="W210" s="25">
        <f>IF(E210="","",IFERROR(INDEX(lst_JobName,MATCH(E210&amp;"",lst_Jobs,0)),""))</f>
        <v/>
      </c>
      <c r="X210" s="28">
        <f>IF(E210="","",COUNTIFS(tbl_Finance[Job Number],E210&amp;"",tbl_Finance[Ex GST],"&lt;&gt;"))</f>
        <v/>
      </c>
      <c r="Y210" s="27">
        <f>IF(E210="","",SUMIFS(tbl_Finance[Ex GST],tbl_Finance[Job Number],E210&amp;""))</f>
        <v/>
      </c>
      <c r="Z210" s="27">
        <f>IF(E210="","",SUMIFS(tbl_Finance[Ex GST],tbl_Finance[Job Number],E210&amp;"",tbl_Finance[Xero Invoice No],"&lt;&gt;"))</f>
        <v/>
      </c>
      <c r="AA210" s="27">
        <f>IF(E210="","",Y210-Z210)</f>
        <v/>
      </c>
      <c r="AB210" s="25">
        <f>IF(E210="","",IF(H210="Onsite",IFERROR(INDEX(tbl_Onsite[Qwilr Quote],MATCH(E210&amp;"",tbl_Onsite[Job Number],0)),""),IF(H210="Production",IFERROR(IF(INDEX(tbl_Production[Current RMS No],MATCH(E210&amp;"",tbl_Production[Job Number],0))="",INDEX(tbl_Production[Qwilr Quote],MATCH(E210&amp;"",tbl_Production[Job Number],0)),INDEX(tbl_Production[Current RMS No],MATCH(E210&amp;"",tbl_Production[Job Number],0))),""),IF(H210="Consulting",IFERROR(INDEX(tbl_Consulting[Qwilr Quote],MATCH(E210&amp;"",tbl_Consulting[Job Number],0)),""),""))))</f>
        <v/>
      </c>
      <c r="AC210" s="25">
        <f>IF(AB210="","",IF(AND(LEFT(AB210,4)&lt;&gt;"http",IF(H210="Production",set_RMSBase,set_QwilrBase)=""),"",HYPERLINK(IF(LEFT(AB210,4)="http",AB210,IF(H210="Production",set_RMSBase,set_QwilrBase)&amp;AB210),"Open")))</f>
        <v/>
      </c>
      <c r="AD210" s="27">
        <f>IF(E210="","",IF(H210="Production",IFERROR(INDEX(tbl_Production[Total Expense],MATCH(E210&amp;"",tbl_Production[Job Number],0)),0),IF(H210="Consulting",IFERROR(INDEX(tbl_Consulting[Total Expense],MATCH(E210&amp;"",tbl_Consulting[Job Number],0)),0),0)))</f>
        <v/>
      </c>
      <c r="AE210" s="27">
        <f>IF(E210="","",Y210-N(AD210))</f>
        <v/>
      </c>
      <c r="AF210" s="29">
        <f>IFERROR(AE210/Y210,"")</f>
        <v/>
      </c>
      <c r="AG210" s="25">
        <f>IF(E210="","",IF(H210="Onsite",IFERROR(INDEX(tbl_Onsite[Notes],MATCH(E210&amp;"",tbl_Onsite[Job Number],0)),""),IF(H210="Production",IFERROR(INDEX(tbl_Production[Notes],MATCH(E210&amp;"",tbl_Production[Job Number],0)),""),IF(H210="Consulting",IFERROR(INDEX(tbl_Consulting[Notes],MATCH(E210&amp;"",tbl_Consulting[Job Number],0)),""),""))))</f>
        <v/>
      </c>
    </row>
    <row r="211" ht="15" customHeight="1">
      <c r="A211" s="22" t="n"/>
      <c r="B211" s="23">
        <f>IF(A211="","",EOMONTH(A211,0))</f>
        <v/>
      </c>
      <c r="C211" s="24" t="n"/>
      <c r="D211" s="24" t="n"/>
      <c r="E211" s="24" t="n"/>
      <c r="F211" s="25">
        <f>IF(E211="","",IF(COUNTIF(lst_Jobs,E211&amp;"")&gt;0,"OK","CHECK"))</f>
        <v/>
      </c>
      <c r="G211" s="24" t="n"/>
      <c r="H211" s="24" t="n"/>
      <c r="I211" s="24" t="n"/>
      <c r="J211" s="24" t="n"/>
      <c r="K211" s="24" t="n"/>
      <c r="L211" s="26" t="n"/>
      <c r="M211" s="27">
        <f>IF(L211="","",IF(K211="GST 10%",ROUND(L211*set_GSTRate,2),0))</f>
        <v/>
      </c>
      <c r="N211" s="27">
        <f>IF(L211="","",L211+M211)</f>
        <v/>
      </c>
      <c r="O211" s="24" t="n"/>
      <c r="P211" s="24" t="n"/>
      <c r="Q211" s="24" t="n"/>
      <c r="R211" s="22" t="n"/>
      <c r="S211" s="22" t="n"/>
      <c r="T211" s="24" t="n"/>
      <c r="U211" s="24" t="n"/>
      <c r="V211" s="25">
        <f>IF(COUNTA(A211,D211,C211,L211)=0,"",IF(A211="","No date - sits outside every month",IF(E211="","No job number",IF(F211="CHECK","Job number is not in the Xero job list",IF(I211="","No cost centre",IF(AND(P211="Y",C211=""),"Marked posted to Xero but has no invoice number",IF(AND(L211&lt;&gt;"",K211=""),"No tax code",IF(AND(L211&lt;&gt;"",O211=""),"No revenue GL code",""))))))))</f>
        <v/>
      </c>
      <c r="W211" s="25">
        <f>IF(E211="","",IFERROR(INDEX(lst_JobName,MATCH(E211&amp;"",lst_Jobs,0)),""))</f>
        <v/>
      </c>
      <c r="X211" s="28">
        <f>IF(E211="","",COUNTIFS(tbl_Finance[Job Number],E211&amp;"",tbl_Finance[Ex GST],"&lt;&gt;"))</f>
        <v/>
      </c>
      <c r="Y211" s="27">
        <f>IF(E211="","",SUMIFS(tbl_Finance[Ex GST],tbl_Finance[Job Number],E211&amp;""))</f>
        <v/>
      </c>
      <c r="Z211" s="27">
        <f>IF(E211="","",SUMIFS(tbl_Finance[Ex GST],tbl_Finance[Job Number],E211&amp;"",tbl_Finance[Xero Invoice No],"&lt;&gt;"))</f>
        <v/>
      </c>
      <c r="AA211" s="27">
        <f>IF(E211="","",Y211-Z211)</f>
        <v/>
      </c>
      <c r="AB211" s="25">
        <f>IF(E211="","",IF(H211="Onsite",IFERROR(INDEX(tbl_Onsite[Qwilr Quote],MATCH(E211&amp;"",tbl_Onsite[Job Number],0)),""),IF(H211="Production",IFERROR(IF(INDEX(tbl_Production[Current RMS No],MATCH(E211&amp;"",tbl_Production[Job Number],0))="",INDEX(tbl_Production[Qwilr Quote],MATCH(E211&amp;"",tbl_Production[Job Number],0)),INDEX(tbl_Production[Current RMS No],MATCH(E211&amp;"",tbl_Production[Job Number],0))),""),IF(H211="Consulting",IFERROR(INDEX(tbl_Consulting[Qwilr Quote],MATCH(E211&amp;"",tbl_Consulting[Job Number],0)),""),""))))</f>
        <v/>
      </c>
      <c r="AC211" s="25">
        <f>IF(AB211="","",IF(AND(LEFT(AB211,4)&lt;&gt;"http",IF(H211="Production",set_RMSBase,set_QwilrBase)=""),"",HYPERLINK(IF(LEFT(AB211,4)="http",AB211,IF(H211="Production",set_RMSBase,set_QwilrBase)&amp;AB211),"Open")))</f>
        <v/>
      </c>
      <c r="AD211" s="27">
        <f>IF(E211="","",IF(H211="Production",IFERROR(INDEX(tbl_Production[Total Expense],MATCH(E211&amp;"",tbl_Production[Job Number],0)),0),IF(H211="Consulting",IFERROR(INDEX(tbl_Consulting[Total Expense],MATCH(E211&amp;"",tbl_Consulting[Job Number],0)),0),0)))</f>
        <v/>
      </c>
      <c r="AE211" s="27">
        <f>IF(E211="","",Y211-N(AD211))</f>
        <v/>
      </c>
      <c r="AF211" s="29">
        <f>IFERROR(AE211/Y211,"")</f>
        <v/>
      </c>
      <c r="AG211" s="25">
        <f>IF(E211="","",IF(H211="Onsite",IFERROR(INDEX(tbl_Onsite[Notes],MATCH(E211&amp;"",tbl_Onsite[Job Number],0)),""),IF(H211="Production",IFERROR(INDEX(tbl_Production[Notes],MATCH(E211&amp;"",tbl_Production[Job Number],0)),""),IF(H211="Consulting",IFERROR(INDEX(tbl_Consulting[Notes],MATCH(E211&amp;"",tbl_Consulting[Job Number],0)),""),""))))</f>
        <v/>
      </c>
    </row>
    <row r="212" ht="15" customHeight="1">
      <c r="A212" s="22" t="n"/>
      <c r="B212" s="23">
        <f>IF(A212="","",EOMONTH(A212,0))</f>
        <v/>
      </c>
      <c r="C212" s="24" t="n"/>
      <c r="D212" s="24" t="n"/>
      <c r="E212" s="24" t="n"/>
      <c r="F212" s="25">
        <f>IF(E212="","",IF(COUNTIF(lst_Jobs,E212&amp;"")&gt;0,"OK","CHECK"))</f>
        <v/>
      </c>
      <c r="G212" s="24" t="n"/>
      <c r="H212" s="24" t="n"/>
      <c r="I212" s="24" t="n"/>
      <c r="J212" s="24" t="n"/>
      <c r="K212" s="24" t="n"/>
      <c r="L212" s="26" t="n"/>
      <c r="M212" s="27">
        <f>IF(L212="","",IF(K212="GST 10%",ROUND(L212*set_GSTRate,2),0))</f>
        <v/>
      </c>
      <c r="N212" s="27">
        <f>IF(L212="","",L212+M212)</f>
        <v/>
      </c>
      <c r="O212" s="24" t="n"/>
      <c r="P212" s="24" t="n"/>
      <c r="Q212" s="24" t="n"/>
      <c r="R212" s="22" t="n"/>
      <c r="S212" s="22" t="n"/>
      <c r="T212" s="24" t="n"/>
      <c r="U212" s="24" t="n"/>
      <c r="V212" s="25">
        <f>IF(COUNTA(A212,D212,C212,L212)=0,"",IF(A212="","No date - sits outside every month",IF(E212="","No job number",IF(F212="CHECK","Job number is not in the Xero job list",IF(I212="","No cost centre",IF(AND(P212="Y",C212=""),"Marked posted to Xero but has no invoice number",IF(AND(L212&lt;&gt;"",K212=""),"No tax code",IF(AND(L212&lt;&gt;"",O212=""),"No revenue GL code",""))))))))</f>
        <v/>
      </c>
      <c r="W212" s="25">
        <f>IF(E212="","",IFERROR(INDEX(lst_JobName,MATCH(E212&amp;"",lst_Jobs,0)),""))</f>
        <v/>
      </c>
      <c r="X212" s="28">
        <f>IF(E212="","",COUNTIFS(tbl_Finance[Job Number],E212&amp;"",tbl_Finance[Ex GST],"&lt;&gt;"))</f>
        <v/>
      </c>
      <c r="Y212" s="27">
        <f>IF(E212="","",SUMIFS(tbl_Finance[Ex GST],tbl_Finance[Job Number],E212&amp;""))</f>
        <v/>
      </c>
      <c r="Z212" s="27">
        <f>IF(E212="","",SUMIFS(tbl_Finance[Ex GST],tbl_Finance[Job Number],E212&amp;"",tbl_Finance[Xero Invoice No],"&lt;&gt;"))</f>
        <v/>
      </c>
      <c r="AA212" s="27">
        <f>IF(E212="","",Y212-Z212)</f>
        <v/>
      </c>
      <c r="AB212" s="25">
        <f>IF(E212="","",IF(H212="Onsite",IFERROR(INDEX(tbl_Onsite[Qwilr Quote],MATCH(E212&amp;"",tbl_Onsite[Job Number],0)),""),IF(H212="Production",IFERROR(IF(INDEX(tbl_Production[Current RMS No],MATCH(E212&amp;"",tbl_Production[Job Number],0))="",INDEX(tbl_Production[Qwilr Quote],MATCH(E212&amp;"",tbl_Production[Job Number],0)),INDEX(tbl_Production[Current RMS No],MATCH(E212&amp;"",tbl_Production[Job Number],0))),""),IF(H212="Consulting",IFERROR(INDEX(tbl_Consulting[Qwilr Quote],MATCH(E212&amp;"",tbl_Consulting[Job Number],0)),""),""))))</f>
        <v/>
      </c>
      <c r="AC212" s="25">
        <f>IF(AB212="","",IF(AND(LEFT(AB212,4)&lt;&gt;"http",IF(H212="Production",set_RMSBase,set_QwilrBase)=""),"",HYPERLINK(IF(LEFT(AB212,4)="http",AB212,IF(H212="Production",set_RMSBase,set_QwilrBase)&amp;AB212),"Open")))</f>
        <v/>
      </c>
      <c r="AD212" s="27">
        <f>IF(E212="","",IF(H212="Production",IFERROR(INDEX(tbl_Production[Total Expense],MATCH(E212&amp;"",tbl_Production[Job Number],0)),0),IF(H212="Consulting",IFERROR(INDEX(tbl_Consulting[Total Expense],MATCH(E212&amp;"",tbl_Consulting[Job Number],0)),0),0)))</f>
        <v/>
      </c>
      <c r="AE212" s="27">
        <f>IF(E212="","",Y212-N(AD212))</f>
        <v/>
      </c>
      <c r="AF212" s="29">
        <f>IFERROR(AE212/Y212,"")</f>
        <v/>
      </c>
      <c r="AG212" s="25">
        <f>IF(E212="","",IF(H212="Onsite",IFERROR(INDEX(tbl_Onsite[Notes],MATCH(E212&amp;"",tbl_Onsite[Job Number],0)),""),IF(H212="Production",IFERROR(INDEX(tbl_Production[Notes],MATCH(E212&amp;"",tbl_Production[Job Number],0)),""),IF(H212="Consulting",IFERROR(INDEX(tbl_Consulting[Notes],MATCH(E212&amp;"",tbl_Consulting[Job Number],0)),""),""))))</f>
        <v/>
      </c>
    </row>
    <row r="213" ht="15" customHeight="1">
      <c r="A213" s="22" t="n"/>
      <c r="B213" s="23">
        <f>IF(A213="","",EOMONTH(A213,0))</f>
        <v/>
      </c>
      <c r="C213" s="24" t="n"/>
      <c r="D213" s="24" t="n"/>
      <c r="E213" s="24" t="n"/>
      <c r="F213" s="25">
        <f>IF(E213="","",IF(COUNTIF(lst_Jobs,E213&amp;"")&gt;0,"OK","CHECK"))</f>
        <v/>
      </c>
      <c r="G213" s="24" t="n"/>
      <c r="H213" s="24" t="n"/>
      <c r="I213" s="24" t="n"/>
      <c r="J213" s="24" t="n"/>
      <c r="K213" s="24" t="n"/>
      <c r="L213" s="26" t="n"/>
      <c r="M213" s="27">
        <f>IF(L213="","",IF(K213="GST 10%",ROUND(L213*set_GSTRate,2),0))</f>
        <v/>
      </c>
      <c r="N213" s="27">
        <f>IF(L213="","",L213+M213)</f>
        <v/>
      </c>
      <c r="O213" s="24" t="n"/>
      <c r="P213" s="24" t="n"/>
      <c r="Q213" s="24" t="n"/>
      <c r="R213" s="22" t="n"/>
      <c r="S213" s="22" t="n"/>
      <c r="T213" s="24" t="n"/>
      <c r="U213" s="24" t="n"/>
      <c r="V213" s="25">
        <f>IF(COUNTA(A213,D213,C213,L213)=0,"",IF(A213="","No date - sits outside every month",IF(E213="","No job number",IF(F213="CHECK","Job number is not in the Xero job list",IF(I213="","No cost centre",IF(AND(P213="Y",C213=""),"Marked posted to Xero but has no invoice number",IF(AND(L213&lt;&gt;"",K213=""),"No tax code",IF(AND(L213&lt;&gt;"",O213=""),"No revenue GL code",""))))))))</f>
        <v/>
      </c>
      <c r="W213" s="25">
        <f>IF(E213="","",IFERROR(INDEX(lst_JobName,MATCH(E213&amp;"",lst_Jobs,0)),""))</f>
        <v/>
      </c>
      <c r="X213" s="28">
        <f>IF(E213="","",COUNTIFS(tbl_Finance[Job Number],E213&amp;"",tbl_Finance[Ex GST],"&lt;&gt;"))</f>
        <v/>
      </c>
      <c r="Y213" s="27">
        <f>IF(E213="","",SUMIFS(tbl_Finance[Ex GST],tbl_Finance[Job Number],E213&amp;""))</f>
        <v/>
      </c>
      <c r="Z213" s="27">
        <f>IF(E213="","",SUMIFS(tbl_Finance[Ex GST],tbl_Finance[Job Number],E213&amp;"",tbl_Finance[Xero Invoice No],"&lt;&gt;"))</f>
        <v/>
      </c>
      <c r="AA213" s="27">
        <f>IF(E213="","",Y213-Z213)</f>
        <v/>
      </c>
      <c r="AB213" s="25">
        <f>IF(E213="","",IF(H213="Onsite",IFERROR(INDEX(tbl_Onsite[Qwilr Quote],MATCH(E213&amp;"",tbl_Onsite[Job Number],0)),""),IF(H213="Production",IFERROR(IF(INDEX(tbl_Production[Current RMS No],MATCH(E213&amp;"",tbl_Production[Job Number],0))="",INDEX(tbl_Production[Qwilr Quote],MATCH(E213&amp;"",tbl_Production[Job Number],0)),INDEX(tbl_Production[Current RMS No],MATCH(E213&amp;"",tbl_Production[Job Number],0))),""),IF(H213="Consulting",IFERROR(INDEX(tbl_Consulting[Qwilr Quote],MATCH(E213&amp;"",tbl_Consulting[Job Number],0)),""),""))))</f>
        <v/>
      </c>
      <c r="AC213" s="25">
        <f>IF(AB213="","",IF(AND(LEFT(AB213,4)&lt;&gt;"http",IF(H213="Production",set_RMSBase,set_QwilrBase)=""),"",HYPERLINK(IF(LEFT(AB213,4)="http",AB213,IF(H213="Production",set_RMSBase,set_QwilrBase)&amp;AB213),"Open")))</f>
        <v/>
      </c>
      <c r="AD213" s="27">
        <f>IF(E213="","",IF(H213="Production",IFERROR(INDEX(tbl_Production[Total Expense],MATCH(E213&amp;"",tbl_Production[Job Number],0)),0),IF(H213="Consulting",IFERROR(INDEX(tbl_Consulting[Total Expense],MATCH(E213&amp;"",tbl_Consulting[Job Number],0)),0),0)))</f>
        <v/>
      </c>
      <c r="AE213" s="27">
        <f>IF(E213="","",Y213-N(AD213))</f>
        <v/>
      </c>
      <c r="AF213" s="29">
        <f>IFERROR(AE213/Y213,"")</f>
        <v/>
      </c>
      <c r="AG213" s="25">
        <f>IF(E213="","",IF(H213="Onsite",IFERROR(INDEX(tbl_Onsite[Notes],MATCH(E213&amp;"",tbl_Onsite[Job Number],0)),""),IF(H213="Production",IFERROR(INDEX(tbl_Production[Notes],MATCH(E213&amp;"",tbl_Production[Job Number],0)),""),IF(H213="Consulting",IFERROR(INDEX(tbl_Consulting[Notes],MATCH(E213&amp;"",tbl_Consulting[Job Number],0)),""),""))))</f>
        <v/>
      </c>
    </row>
    <row r="214" ht="15" customHeight="1">
      <c r="A214" s="22" t="n"/>
      <c r="B214" s="23">
        <f>IF(A214="","",EOMONTH(A214,0))</f>
        <v/>
      </c>
      <c r="C214" s="24" t="n"/>
      <c r="D214" s="24" t="n"/>
      <c r="E214" s="24" t="n"/>
      <c r="F214" s="25">
        <f>IF(E214="","",IF(COUNTIF(lst_Jobs,E214&amp;"")&gt;0,"OK","CHECK"))</f>
        <v/>
      </c>
      <c r="G214" s="24" t="n"/>
      <c r="H214" s="24" t="n"/>
      <c r="I214" s="24" t="n"/>
      <c r="J214" s="24" t="n"/>
      <c r="K214" s="24" t="n"/>
      <c r="L214" s="26" t="n"/>
      <c r="M214" s="27">
        <f>IF(L214="","",IF(K214="GST 10%",ROUND(L214*set_GSTRate,2),0))</f>
        <v/>
      </c>
      <c r="N214" s="27">
        <f>IF(L214="","",L214+M214)</f>
        <v/>
      </c>
      <c r="O214" s="24" t="n"/>
      <c r="P214" s="24" t="n"/>
      <c r="Q214" s="24" t="n"/>
      <c r="R214" s="22" t="n"/>
      <c r="S214" s="22" t="n"/>
      <c r="T214" s="24" t="n"/>
      <c r="U214" s="24" t="n"/>
      <c r="V214" s="25">
        <f>IF(COUNTA(A214,D214,C214,L214)=0,"",IF(A214="","No date - sits outside every month",IF(E214="","No job number",IF(F214="CHECK","Job number is not in the Xero job list",IF(I214="","No cost centre",IF(AND(P214="Y",C214=""),"Marked posted to Xero but has no invoice number",IF(AND(L214&lt;&gt;"",K214=""),"No tax code",IF(AND(L214&lt;&gt;"",O214=""),"No revenue GL code",""))))))))</f>
        <v/>
      </c>
      <c r="W214" s="25">
        <f>IF(E214="","",IFERROR(INDEX(lst_JobName,MATCH(E214&amp;"",lst_Jobs,0)),""))</f>
        <v/>
      </c>
      <c r="X214" s="28">
        <f>IF(E214="","",COUNTIFS(tbl_Finance[Job Number],E214&amp;"",tbl_Finance[Ex GST],"&lt;&gt;"))</f>
        <v/>
      </c>
      <c r="Y214" s="27">
        <f>IF(E214="","",SUMIFS(tbl_Finance[Ex GST],tbl_Finance[Job Number],E214&amp;""))</f>
        <v/>
      </c>
      <c r="Z214" s="27">
        <f>IF(E214="","",SUMIFS(tbl_Finance[Ex GST],tbl_Finance[Job Number],E214&amp;"",tbl_Finance[Xero Invoice No],"&lt;&gt;"))</f>
        <v/>
      </c>
      <c r="AA214" s="27">
        <f>IF(E214="","",Y214-Z214)</f>
        <v/>
      </c>
      <c r="AB214" s="25">
        <f>IF(E214="","",IF(H214="Onsite",IFERROR(INDEX(tbl_Onsite[Qwilr Quote],MATCH(E214&amp;"",tbl_Onsite[Job Number],0)),""),IF(H214="Production",IFERROR(IF(INDEX(tbl_Production[Current RMS No],MATCH(E214&amp;"",tbl_Production[Job Number],0))="",INDEX(tbl_Production[Qwilr Quote],MATCH(E214&amp;"",tbl_Production[Job Number],0)),INDEX(tbl_Production[Current RMS No],MATCH(E214&amp;"",tbl_Production[Job Number],0))),""),IF(H214="Consulting",IFERROR(INDEX(tbl_Consulting[Qwilr Quote],MATCH(E214&amp;"",tbl_Consulting[Job Number],0)),""),""))))</f>
        <v/>
      </c>
      <c r="AC214" s="25">
        <f>IF(AB214="","",IF(AND(LEFT(AB214,4)&lt;&gt;"http",IF(H214="Production",set_RMSBase,set_QwilrBase)=""),"",HYPERLINK(IF(LEFT(AB214,4)="http",AB214,IF(H214="Production",set_RMSBase,set_QwilrBase)&amp;AB214),"Open")))</f>
        <v/>
      </c>
      <c r="AD214" s="27">
        <f>IF(E214="","",IF(H214="Production",IFERROR(INDEX(tbl_Production[Total Expense],MATCH(E214&amp;"",tbl_Production[Job Number],0)),0),IF(H214="Consulting",IFERROR(INDEX(tbl_Consulting[Total Expense],MATCH(E214&amp;"",tbl_Consulting[Job Number],0)),0),0)))</f>
        <v/>
      </c>
      <c r="AE214" s="27">
        <f>IF(E214="","",Y214-N(AD214))</f>
        <v/>
      </c>
      <c r="AF214" s="29">
        <f>IFERROR(AE214/Y214,"")</f>
        <v/>
      </c>
      <c r="AG214" s="25">
        <f>IF(E214="","",IF(H214="Onsite",IFERROR(INDEX(tbl_Onsite[Notes],MATCH(E214&amp;"",tbl_Onsite[Job Number],0)),""),IF(H214="Production",IFERROR(INDEX(tbl_Production[Notes],MATCH(E214&amp;"",tbl_Production[Job Number],0)),""),IF(H214="Consulting",IFERROR(INDEX(tbl_Consulting[Notes],MATCH(E214&amp;"",tbl_Consulting[Job Number],0)),""),""))))</f>
        <v/>
      </c>
    </row>
    <row r="215" ht="15" customHeight="1">
      <c r="A215" s="22" t="n"/>
      <c r="B215" s="23">
        <f>IF(A215="","",EOMONTH(A215,0))</f>
        <v/>
      </c>
      <c r="C215" s="24" t="n"/>
      <c r="D215" s="24" t="n"/>
      <c r="E215" s="24" t="n"/>
      <c r="F215" s="25">
        <f>IF(E215="","",IF(COUNTIF(lst_Jobs,E215&amp;"")&gt;0,"OK","CHECK"))</f>
        <v/>
      </c>
      <c r="G215" s="24" t="n"/>
      <c r="H215" s="24" t="n"/>
      <c r="I215" s="24" t="n"/>
      <c r="J215" s="24" t="n"/>
      <c r="K215" s="24" t="n"/>
      <c r="L215" s="26" t="n"/>
      <c r="M215" s="27">
        <f>IF(L215="","",IF(K215="GST 10%",ROUND(L215*set_GSTRate,2),0))</f>
        <v/>
      </c>
      <c r="N215" s="27">
        <f>IF(L215="","",L215+M215)</f>
        <v/>
      </c>
      <c r="O215" s="24" t="n"/>
      <c r="P215" s="24" t="n"/>
      <c r="Q215" s="24" t="n"/>
      <c r="R215" s="22" t="n"/>
      <c r="S215" s="22" t="n"/>
      <c r="T215" s="24" t="n"/>
      <c r="U215" s="24" t="n"/>
      <c r="V215" s="25">
        <f>IF(COUNTA(A215,D215,C215,L215)=0,"",IF(A215="","No date - sits outside every month",IF(E215="","No job number",IF(F215="CHECK","Job number is not in the Xero job list",IF(I215="","No cost centre",IF(AND(P215="Y",C215=""),"Marked posted to Xero but has no invoice number",IF(AND(L215&lt;&gt;"",K215=""),"No tax code",IF(AND(L215&lt;&gt;"",O215=""),"No revenue GL code",""))))))))</f>
        <v/>
      </c>
      <c r="W215" s="25">
        <f>IF(E215="","",IFERROR(INDEX(lst_JobName,MATCH(E215&amp;"",lst_Jobs,0)),""))</f>
        <v/>
      </c>
      <c r="X215" s="28">
        <f>IF(E215="","",COUNTIFS(tbl_Finance[Job Number],E215&amp;"",tbl_Finance[Ex GST],"&lt;&gt;"))</f>
        <v/>
      </c>
      <c r="Y215" s="27">
        <f>IF(E215="","",SUMIFS(tbl_Finance[Ex GST],tbl_Finance[Job Number],E215&amp;""))</f>
        <v/>
      </c>
      <c r="Z215" s="27">
        <f>IF(E215="","",SUMIFS(tbl_Finance[Ex GST],tbl_Finance[Job Number],E215&amp;"",tbl_Finance[Xero Invoice No],"&lt;&gt;"))</f>
        <v/>
      </c>
      <c r="AA215" s="27">
        <f>IF(E215="","",Y215-Z215)</f>
        <v/>
      </c>
      <c r="AB215" s="25">
        <f>IF(E215="","",IF(H215="Onsite",IFERROR(INDEX(tbl_Onsite[Qwilr Quote],MATCH(E215&amp;"",tbl_Onsite[Job Number],0)),""),IF(H215="Production",IFERROR(IF(INDEX(tbl_Production[Current RMS No],MATCH(E215&amp;"",tbl_Production[Job Number],0))="",INDEX(tbl_Production[Qwilr Quote],MATCH(E215&amp;"",tbl_Production[Job Number],0)),INDEX(tbl_Production[Current RMS No],MATCH(E215&amp;"",tbl_Production[Job Number],0))),""),IF(H215="Consulting",IFERROR(INDEX(tbl_Consulting[Qwilr Quote],MATCH(E215&amp;"",tbl_Consulting[Job Number],0)),""),""))))</f>
        <v/>
      </c>
      <c r="AC215" s="25">
        <f>IF(AB215="","",IF(AND(LEFT(AB215,4)&lt;&gt;"http",IF(H215="Production",set_RMSBase,set_QwilrBase)=""),"",HYPERLINK(IF(LEFT(AB215,4)="http",AB215,IF(H215="Production",set_RMSBase,set_QwilrBase)&amp;AB215),"Open")))</f>
        <v/>
      </c>
      <c r="AD215" s="27">
        <f>IF(E215="","",IF(H215="Production",IFERROR(INDEX(tbl_Production[Total Expense],MATCH(E215&amp;"",tbl_Production[Job Number],0)),0),IF(H215="Consulting",IFERROR(INDEX(tbl_Consulting[Total Expense],MATCH(E215&amp;"",tbl_Consulting[Job Number],0)),0),0)))</f>
        <v/>
      </c>
      <c r="AE215" s="27">
        <f>IF(E215="","",Y215-N(AD215))</f>
        <v/>
      </c>
      <c r="AF215" s="29">
        <f>IFERROR(AE215/Y215,"")</f>
        <v/>
      </c>
      <c r="AG215" s="25">
        <f>IF(E215="","",IF(H215="Onsite",IFERROR(INDEX(tbl_Onsite[Notes],MATCH(E215&amp;"",tbl_Onsite[Job Number],0)),""),IF(H215="Production",IFERROR(INDEX(tbl_Production[Notes],MATCH(E215&amp;"",tbl_Production[Job Number],0)),""),IF(H215="Consulting",IFERROR(INDEX(tbl_Consulting[Notes],MATCH(E215&amp;"",tbl_Consulting[Job Number],0)),""),""))))</f>
        <v/>
      </c>
    </row>
    <row r="216" ht="15" customHeight="1">
      <c r="A216" s="22" t="n"/>
      <c r="B216" s="23">
        <f>IF(A216="","",EOMONTH(A216,0))</f>
        <v/>
      </c>
      <c r="C216" s="24" t="n"/>
      <c r="D216" s="24" t="n"/>
      <c r="E216" s="24" t="n"/>
      <c r="F216" s="25">
        <f>IF(E216="","",IF(COUNTIF(lst_Jobs,E216&amp;"")&gt;0,"OK","CHECK"))</f>
        <v/>
      </c>
      <c r="G216" s="24" t="n"/>
      <c r="H216" s="24" t="n"/>
      <c r="I216" s="24" t="n"/>
      <c r="J216" s="24" t="n"/>
      <c r="K216" s="24" t="n"/>
      <c r="L216" s="26" t="n"/>
      <c r="M216" s="27">
        <f>IF(L216="","",IF(K216="GST 10%",ROUND(L216*set_GSTRate,2),0))</f>
        <v/>
      </c>
      <c r="N216" s="27">
        <f>IF(L216="","",L216+M216)</f>
        <v/>
      </c>
      <c r="O216" s="24" t="n"/>
      <c r="P216" s="24" t="n"/>
      <c r="Q216" s="24" t="n"/>
      <c r="R216" s="22" t="n"/>
      <c r="S216" s="22" t="n"/>
      <c r="T216" s="24" t="n"/>
      <c r="U216" s="24" t="n"/>
      <c r="V216" s="25">
        <f>IF(COUNTA(A216,D216,C216,L216)=0,"",IF(A216="","No date - sits outside every month",IF(E216="","No job number",IF(F216="CHECK","Job number is not in the Xero job list",IF(I216="","No cost centre",IF(AND(P216="Y",C216=""),"Marked posted to Xero but has no invoice number",IF(AND(L216&lt;&gt;"",K216=""),"No tax code",IF(AND(L216&lt;&gt;"",O216=""),"No revenue GL code",""))))))))</f>
        <v/>
      </c>
      <c r="W216" s="25">
        <f>IF(E216="","",IFERROR(INDEX(lst_JobName,MATCH(E216&amp;"",lst_Jobs,0)),""))</f>
        <v/>
      </c>
      <c r="X216" s="28">
        <f>IF(E216="","",COUNTIFS(tbl_Finance[Job Number],E216&amp;"",tbl_Finance[Ex GST],"&lt;&gt;"))</f>
        <v/>
      </c>
      <c r="Y216" s="27">
        <f>IF(E216="","",SUMIFS(tbl_Finance[Ex GST],tbl_Finance[Job Number],E216&amp;""))</f>
        <v/>
      </c>
      <c r="Z216" s="27">
        <f>IF(E216="","",SUMIFS(tbl_Finance[Ex GST],tbl_Finance[Job Number],E216&amp;"",tbl_Finance[Xero Invoice No],"&lt;&gt;"))</f>
        <v/>
      </c>
      <c r="AA216" s="27">
        <f>IF(E216="","",Y216-Z216)</f>
        <v/>
      </c>
      <c r="AB216" s="25">
        <f>IF(E216="","",IF(H216="Onsite",IFERROR(INDEX(tbl_Onsite[Qwilr Quote],MATCH(E216&amp;"",tbl_Onsite[Job Number],0)),""),IF(H216="Production",IFERROR(IF(INDEX(tbl_Production[Current RMS No],MATCH(E216&amp;"",tbl_Production[Job Number],0))="",INDEX(tbl_Production[Qwilr Quote],MATCH(E216&amp;"",tbl_Production[Job Number],0)),INDEX(tbl_Production[Current RMS No],MATCH(E216&amp;"",tbl_Production[Job Number],0))),""),IF(H216="Consulting",IFERROR(INDEX(tbl_Consulting[Qwilr Quote],MATCH(E216&amp;"",tbl_Consulting[Job Number],0)),""),""))))</f>
        <v/>
      </c>
      <c r="AC216" s="25">
        <f>IF(AB216="","",IF(AND(LEFT(AB216,4)&lt;&gt;"http",IF(H216="Production",set_RMSBase,set_QwilrBase)=""),"",HYPERLINK(IF(LEFT(AB216,4)="http",AB216,IF(H216="Production",set_RMSBase,set_QwilrBase)&amp;AB216),"Open")))</f>
        <v/>
      </c>
      <c r="AD216" s="27">
        <f>IF(E216="","",IF(H216="Production",IFERROR(INDEX(tbl_Production[Total Expense],MATCH(E216&amp;"",tbl_Production[Job Number],0)),0),IF(H216="Consulting",IFERROR(INDEX(tbl_Consulting[Total Expense],MATCH(E216&amp;"",tbl_Consulting[Job Number],0)),0),0)))</f>
        <v/>
      </c>
      <c r="AE216" s="27">
        <f>IF(E216="","",Y216-N(AD216))</f>
        <v/>
      </c>
      <c r="AF216" s="29">
        <f>IFERROR(AE216/Y216,"")</f>
        <v/>
      </c>
      <c r="AG216" s="25">
        <f>IF(E216="","",IF(H216="Onsite",IFERROR(INDEX(tbl_Onsite[Notes],MATCH(E216&amp;"",tbl_Onsite[Job Number],0)),""),IF(H216="Production",IFERROR(INDEX(tbl_Production[Notes],MATCH(E216&amp;"",tbl_Production[Job Number],0)),""),IF(H216="Consulting",IFERROR(INDEX(tbl_Consulting[Notes],MATCH(E216&amp;"",tbl_Consulting[Job Number],0)),""),""))))</f>
        <v/>
      </c>
    </row>
    <row r="217" ht="15" customHeight="1">
      <c r="A217" s="22" t="n"/>
      <c r="B217" s="23">
        <f>IF(A217="","",EOMONTH(A217,0))</f>
        <v/>
      </c>
      <c r="C217" s="24" t="n"/>
      <c r="D217" s="24" t="n"/>
      <c r="E217" s="24" t="n"/>
      <c r="F217" s="25">
        <f>IF(E217="","",IF(COUNTIF(lst_Jobs,E217&amp;"")&gt;0,"OK","CHECK"))</f>
        <v/>
      </c>
      <c r="G217" s="24" t="n"/>
      <c r="H217" s="24" t="n"/>
      <c r="I217" s="24" t="n"/>
      <c r="J217" s="24" t="n"/>
      <c r="K217" s="24" t="n"/>
      <c r="L217" s="26" t="n"/>
      <c r="M217" s="27">
        <f>IF(L217="","",IF(K217="GST 10%",ROUND(L217*set_GSTRate,2),0))</f>
        <v/>
      </c>
      <c r="N217" s="27">
        <f>IF(L217="","",L217+M217)</f>
        <v/>
      </c>
      <c r="O217" s="24" t="n"/>
      <c r="P217" s="24" t="n"/>
      <c r="Q217" s="24" t="n"/>
      <c r="R217" s="22" t="n"/>
      <c r="S217" s="22" t="n"/>
      <c r="T217" s="24" t="n"/>
      <c r="U217" s="24" t="n"/>
      <c r="V217" s="25">
        <f>IF(COUNTA(A217,D217,C217,L217)=0,"",IF(A217="","No date - sits outside every month",IF(E217="","No job number",IF(F217="CHECK","Job number is not in the Xero job list",IF(I217="","No cost centre",IF(AND(P217="Y",C217=""),"Marked posted to Xero but has no invoice number",IF(AND(L217&lt;&gt;"",K217=""),"No tax code",IF(AND(L217&lt;&gt;"",O217=""),"No revenue GL code",""))))))))</f>
        <v/>
      </c>
      <c r="W217" s="25">
        <f>IF(E217="","",IFERROR(INDEX(lst_JobName,MATCH(E217&amp;"",lst_Jobs,0)),""))</f>
        <v/>
      </c>
      <c r="X217" s="28">
        <f>IF(E217="","",COUNTIFS(tbl_Finance[Job Number],E217&amp;"",tbl_Finance[Ex GST],"&lt;&gt;"))</f>
        <v/>
      </c>
      <c r="Y217" s="27">
        <f>IF(E217="","",SUMIFS(tbl_Finance[Ex GST],tbl_Finance[Job Number],E217&amp;""))</f>
        <v/>
      </c>
      <c r="Z217" s="27">
        <f>IF(E217="","",SUMIFS(tbl_Finance[Ex GST],tbl_Finance[Job Number],E217&amp;"",tbl_Finance[Xero Invoice No],"&lt;&gt;"))</f>
        <v/>
      </c>
      <c r="AA217" s="27">
        <f>IF(E217="","",Y217-Z217)</f>
        <v/>
      </c>
      <c r="AB217" s="25">
        <f>IF(E217="","",IF(H217="Onsite",IFERROR(INDEX(tbl_Onsite[Qwilr Quote],MATCH(E217&amp;"",tbl_Onsite[Job Number],0)),""),IF(H217="Production",IFERROR(IF(INDEX(tbl_Production[Current RMS No],MATCH(E217&amp;"",tbl_Production[Job Number],0))="",INDEX(tbl_Production[Qwilr Quote],MATCH(E217&amp;"",tbl_Production[Job Number],0)),INDEX(tbl_Production[Current RMS No],MATCH(E217&amp;"",tbl_Production[Job Number],0))),""),IF(H217="Consulting",IFERROR(INDEX(tbl_Consulting[Qwilr Quote],MATCH(E217&amp;"",tbl_Consulting[Job Number],0)),""),""))))</f>
        <v/>
      </c>
      <c r="AC217" s="25">
        <f>IF(AB217="","",IF(AND(LEFT(AB217,4)&lt;&gt;"http",IF(H217="Production",set_RMSBase,set_QwilrBase)=""),"",HYPERLINK(IF(LEFT(AB217,4)="http",AB217,IF(H217="Production",set_RMSBase,set_QwilrBase)&amp;AB217),"Open")))</f>
        <v/>
      </c>
      <c r="AD217" s="27">
        <f>IF(E217="","",IF(H217="Production",IFERROR(INDEX(tbl_Production[Total Expense],MATCH(E217&amp;"",tbl_Production[Job Number],0)),0),IF(H217="Consulting",IFERROR(INDEX(tbl_Consulting[Total Expense],MATCH(E217&amp;"",tbl_Consulting[Job Number],0)),0),0)))</f>
        <v/>
      </c>
      <c r="AE217" s="27">
        <f>IF(E217="","",Y217-N(AD217))</f>
        <v/>
      </c>
      <c r="AF217" s="29">
        <f>IFERROR(AE217/Y217,"")</f>
        <v/>
      </c>
      <c r="AG217" s="25">
        <f>IF(E217="","",IF(H217="Onsite",IFERROR(INDEX(tbl_Onsite[Notes],MATCH(E217&amp;"",tbl_Onsite[Job Number],0)),""),IF(H217="Production",IFERROR(INDEX(tbl_Production[Notes],MATCH(E217&amp;"",tbl_Production[Job Number],0)),""),IF(H217="Consulting",IFERROR(INDEX(tbl_Consulting[Notes],MATCH(E217&amp;"",tbl_Consulting[Job Number],0)),""),""))))</f>
        <v/>
      </c>
    </row>
    <row r="218" ht="15" customHeight="1">
      <c r="A218" s="22" t="n"/>
      <c r="B218" s="23">
        <f>IF(A218="","",EOMONTH(A218,0))</f>
        <v/>
      </c>
      <c r="C218" s="24" t="n"/>
      <c r="D218" s="24" t="n"/>
      <c r="E218" s="24" t="n"/>
      <c r="F218" s="25">
        <f>IF(E218="","",IF(COUNTIF(lst_Jobs,E218&amp;"")&gt;0,"OK","CHECK"))</f>
        <v/>
      </c>
      <c r="G218" s="24" t="n"/>
      <c r="H218" s="24" t="n"/>
      <c r="I218" s="24" t="n"/>
      <c r="J218" s="24" t="n"/>
      <c r="K218" s="24" t="n"/>
      <c r="L218" s="26" t="n"/>
      <c r="M218" s="27">
        <f>IF(L218="","",IF(K218="GST 10%",ROUND(L218*set_GSTRate,2),0))</f>
        <v/>
      </c>
      <c r="N218" s="27">
        <f>IF(L218="","",L218+M218)</f>
        <v/>
      </c>
      <c r="O218" s="24" t="n"/>
      <c r="P218" s="24" t="n"/>
      <c r="Q218" s="24" t="n"/>
      <c r="R218" s="22" t="n"/>
      <c r="S218" s="22" t="n"/>
      <c r="T218" s="24" t="n"/>
      <c r="U218" s="24" t="n"/>
      <c r="V218" s="25">
        <f>IF(COUNTA(A218,D218,C218,L218)=0,"",IF(A218="","No date - sits outside every month",IF(E218="","No job number",IF(F218="CHECK","Job number is not in the Xero job list",IF(I218="","No cost centre",IF(AND(P218="Y",C218=""),"Marked posted to Xero but has no invoice number",IF(AND(L218&lt;&gt;"",K218=""),"No tax code",IF(AND(L218&lt;&gt;"",O218=""),"No revenue GL code",""))))))))</f>
        <v/>
      </c>
      <c r="W218" s="25">
        <f>IF(E218="","",IFERROR(INDEX(lst_JobName,MATCH(E218&amp;"",lst_Jobs,0)),""))</f>
        <v/>
      </c>
      <c r="X218" s="28">
        <f>IF(E218="","",COUNTIFS(tbl_Finance[Job Number],E218&amp;"",tbl_Finance[Ex GST],"&lt;&gt;"))</f>
        <v/>
      </c>
      <c r="Y218" s="27">
        <f>IF(E218="","",SUMIFS(tbl_Finance[Ex GST],tbl_Finance[Job Number],E218&amp;""))</f>
        <v/>
      </c>
      <c r="Z218" s="27">
        <f>IF(E218="","",SUMIFS(tbl_Finance[Ex GST],tbl_Finance[Job Number],E218&amp;"",tbl_Finance[Xero Invoice No],"&lt;&gt;"))</f>
        <v/>
      </c>
      <c r="AA218" s="27">
        <f>IF(E218="","",Y218-Z218)</f>
        <v/>
      </c>
      <c r="AB218" s="25">
        <f>IF(E218="","",IF(H218="Onsite",IFERROR(INDEX(tbl_Onsite[Qwilr Quote],MATCH(E218&amp;"",tbl_Onsite[Job Number],0)),""),IF(H218="Production",IFERROR(IF(INDEX(tbl_Production[Current RMS No],MATCH(E218&amp;"",tbl_Production[Job Number],0))="",INDEX(tbl_Production[Qwilr Quote],MATCH(E218&amp;"",tbl_Production[Job Number],0)),INDEX(tbl_Production[Current RMS No],MATCH(E218&amp;"",tbl_Production[Job Number],0))),""),IF(H218="Consulting",IFERROR(INDEX(tbl_Consulting[Qwilr Quote],MATCH(E218&amp;"",tbl_Consulting[Job Number],0)),""),""))))</f>
        <v/>
      </c>
      <c r="AC218" s="25">
        <f>IF(AB218="","",IF(AND(LEFT(AB218,4)&lt;&gt;"http",IF(H218="Production",set_RMSBase,set_QwilrBase)=""),"",HYPERLINK(IF(LEFT(AB218,4)="http",AB218,IF(H218="Production",set_RMSBase,set_QwilrBase)&amp;AB218),"Open")))</f>
        <v/>
      </c>
      <c r="AD218" s="27">
        <f>IF(E218="","",IF(H218="Production",IFERROR(INDEX(tbl_Production[Total Expense],MATCH(E218&amp;"",tbl_Production[Job Number],0)),0),IF(H218="Consulting",IFERROR(INDEX(tbl_Consulting[Total Expense],MATCH(E218&amp;"",tbl_Consulting[Job Number],0)),0),0)))</f>
        <v/>
      </c>
      <c r="AE218" s="27">
        <f>IF(E218="","",Y218-N(AD218))</f>
        <v/>
      </c>
      <c r="AF218" s="29">
        <f>IFERROR(AE218/Y218,"")</f>
        <v/>
      </c>
      <c r="AG218" s="25">
        <f>IF(E218="","",IF(H218="Onsite",IFERROR(INDEX(tbl_Onsite[Notes],MATCH(E218&amp;"",tbl_Onsite[Job Number],0)),""),IF(H218="Production",IFERROR(INDEX(tbl_Production[Notes],MATCH(E218&amp;"",tbl_Production[Job Number],0)),""),IF(H218="Consulting",IFERROR(INDEX(tbl_Consulting[Notes],MATCH(E218&amp;"",tbl_Consulting[Job Number],0)),""),""))))</f>
        <v/>
      </c>
    </row>
    <row r="219" ht="15" customHeight="1">
      <c r="A219" s="22" t="n"/>
      <c r="B219" s="23">
        <f>IF(A219="","",EOMONTH(A219,0))</f>
        <v/>
      </c>
      <c r="C219" s="24" t="n"/>
      <c r="D219" s="24" t="n"/>
      <c r="E219" s="24" t="n"/>
      <c r="F219" s="25">
        <f>IF(E219="","",IF(COUNTIF(lst_Jobs,E219&amp;"")&gt;0,"OK","CHECK"))</f>
        <v/>
      </c>
      <c r="G219" s="24" t="n"/>
      <c r="H219" s="24" t="n"/>
      <c r="I219" s="24" t="n"/>
      <c r="J219" s="24" t="n"/>
      <c r="K219" s="24" t="n"/>
      <c r="L219" s="26" t="n"/>
      <c r="M219" s="27">
        <f>IF(L219="","",IF(K219="GST 10%",ROUND(L219*set_GSTRate,2),0))</f>
        <v/>
      </c>
      <c r="N219" s="27">
        <f>IF(L219="","",L219+M219)</f>
        <v/>
      </c>
      <c r="O219" s="24" t="n"/>
      <c r="P219" s="24" t="n"/>
      <c r="Q219" s="24" t="n"/>
      <c r="R219" s="22" t="n"/>
      <c r="S219" s="22" t="n"/>
      <c r="T219" s="24" t="n"/>
      <c r="U219" s="24" t="n"/>
      <c r="V219" s="25">
        <f>IF(COUNTA(A219,D219,C219,L219)=0,"",IF(A219="","No date - sits outside every month",IF(E219="","No job number",IF(F219="CHECK","Job number is not in the Xero job list",IF(I219="","No cost centre",IF(AND(P219="Y",C219=""),"Marked posted to Xero but has no invoice number",IF(AND(L219&lt;&gt;"",K219=""),"No tax code",IF(AND(L219&lt;&gt;"",O219=""),"No revenue GL code",""))))))))</f>
        <v/>
      </c>
      <c r="W219" s="25">
        <f>IF(E219="","",IFERROR(INDEX(lst_JobName,MATCH(E219&amp;"",lst_Jobs,0)),""))</f>
        <v/>
      </c>
      <c r="X219" s="28">
        <f>IF(E219="","",COUNTIFS(tbl_Finance[Job Number],E219&amp;"",tbl_Finance[Ex GST],"&lt;&gt;"))</f>
        <v/>
      </c>
      <c r="Y219" s="27">
        <f>IF(E219="","",SUMIFS(tbl_Finance[Ex GST],tbl_Finance[Job Number],E219&amp;""))</f>
        <v/>
      </c>
      <c r="Z219" s="27">
        <f>IF(E219="","",SUMIFS(tbl_Finance[Ex GST],tbl_Finance[Job Number],E219&amp;"",tbl_Finance[Xero Invoice No],"&lt;&gt;"))</f>
        <v/>
      </c>
      <c r="AA219" s="27">
        <f>IF(E219="","",Y219-Z219)</f>
        <v/>
      </c>
      <c r="AB219" s="25">
        <f>IF(E219="","",IF(H219="Onsite",IFERROR(INDEX(tbl_Onsite[Qwilr Quote],MATCH(E219&amp;"",tbl_Onsite[Job Number],0)),""),IF(H219="Production",IFERROR(IF(INDEX(tbl_Production[Current RMS No],MATCH(E219&amp;"",tbl_Production[Job Number],0))="",INDEX(tbl_Production[Qwilr Quote],MATCH(E219&amp;"",tbl_Production[Job Number],0)),INDEX(tbl_Production[Current RMS No],MATCH(E219&amp;"",tbl_Production[Job Number],0))),""),IF(H219="Consulting",IFERROR(INDEX(tbl_Consulting[Qwilr Quote],MATCH(E219&amp;"",tbl_Consulting[Job Number],0)),""),""))))</f>
        <v/>
      </c>
      <c r="AC219" s="25">
        <f>IF(AB219="","",IF(AND(LEFT(AB219,4)&lt;&gt;"http",IF(H219="Production",set_RMSBase,set_QwilrBase)=""),"",HYPERLINK(IF(LEFT(AB219,4)="http",AB219,IF(H219="Production",set_RMSBase,set_QwilrBase)&amp;AB219),"Open")))</f>
        <v/>
      </c>
      <c r="AD219" s="27">
        <f>IF(E219="","",IF(H219="Production",IFERROR(INDEX(tbl_Production[Total Expense],MATCH(E219&amp;"",tbl_Production[Job Number],0)),0),IF(H219="Consulting",IFERROR(INDEX(tbl_Consulting[Total Expense],MATCH(E219&amp;"",tbl_Consulting[Job Number],0)),0),0)))</f>
        <v/>
      </c>
      <c r="AE219" s="27">
        <f>IF(E219="","",Y219-N(AD219))</f>
        <v/>
      </c>
      <c r="AF219" s="29">
        <f>IFERROR(AE219/Y219,"")</f>
        <v/>
      </c>
      <c r="AG219" s="25">
        <f>IF(E219="","",IF(H219="Onsite",IFERROR(INDEX(tbl_Onsite[Notes],MATCH(E219&amp;"",tbl_Onsite[Job Number],0)),""),IF(H219="Production",IFERROR(INDEX(tbl_Production[Notes],MATCH(E219&amp;"",tbl_Production[Job Number],0)),""),IF(H219="Consulting",IFERROR(INDEX(tbl_Consulting[Notes],MATCH(E219&amp;"",tbl_Consulting[Job Number],0)),""),""))))</f>
        <v/>
      </c>
    </row>
    <row r="220" ht="15" customHeight="1">
      <c r="A220" s="22" t="n"/>
      <c r="B220" s="23">
        <f>IF(A220="","",EOMONTH(A220,0))</f>
        <v/>
      </c>
      <c r="C220" s="24" t="n"/>
      <c r="D220" s="24" t="n"/>
      <c r="E220" s="24" t="n"/>
      <c r="F220" s="25">
        <f>IF(E220="","",IF(COUNTIF(lst_Jobs,E220&amp;"")&gt;0,"OK","CHECK"))</f>
        <v/>
      </c>
      <c r="G220" s="24" t="n"/>
      <c r="H220" s="24" t="n"/>
      <c r="I220" s="24" t="n"/>
      <c r="J220" s="24" t="n"/>
      <c r="K220" s="24" t="n"/>
      <c r="L220" s="26" t="n"/>
      <c r="M220" s="27">
        <f>IF(L220="","",IF(K220="GST 10%",ROUND(L220*set_GSTRate,2),0))</f>
        <v/>
      </c>
      <c r="N220" s="27">
        <f>IF(L220="","",L220+M220)</f>
        <v/>
      </c>
      <c r="O220" s="24" t="n"/>
      <c r="P220" s="24" t="n"/>
      <c r="Q220" s="24" t="n"/>
      <c r="R220" s="22" t="n"/>
      <c r="S220" s="22" t="n"/>
      <c r="T220" s="24" t="n"/>
      <c r="U220" s="24" t="n"/>
      <c r="V220" s="25">
        <f>IF(COUNTA(A220,D220,C220,L220)=0,"",IF(A220="","No date - sits outside every month",IF(E220="","No job number",IF(F220="CHECK","Job number is not in the Xero job list",IF(I220="","No cost centre",IF(AND(P220="Y",C220=""),"Marked posted to Xero but has no invoice number",IF(AND(L220&lt;&gt;"",K220=""),"No tax code",IF(AND(L220&lt;&gt;"",O220=""),"No revenue GL code",""))))))))</f>
        <v/>
      </c>
      <c r="W220" s="25">
        <f>IF(E220="","",IFERROR(INDEX(lst_JobName,MATCH(E220&amp;"",lst_Jobs,0)),""))</f>
        <v/>
      </c>
      <c r="X220" s="28">
        <f>IF(E220="","",COUNTIFS(tbl_Finance[Job Number],E220&amp;"",tbl_Finance[Ex GST],"&lt;&gt;"))</f>
        <v/>
      </c>
      <c r="Y220" s="27">
        <f>IF(E220="","",SUMIFS(tbl_Finance[Ex GST],tbl_Finance[Job Number],E220&amp;""))</f>
        <v/>
      </c>
      <c r="Z220" s="27">
        <f>IF(E220="","",SUMIFS(tbl_Finance[Ex GST],tbl_Finance[Job Number],E220&amp;"",tbl_Finance[Xero Invoice No],"&lt;&gt;"))</f>
        <v/>
      </c>
      <c r="AA220" s="27">
        <f>IF(E220="","",Y220-Z220)</f>
        <v/>
      </c>
      <c r="AB220" s="25">
        <f>IF(E220="","",IF(H220="Onsite",IFERROR(INDEX(tbl_Onsite[Qwilr Quote],MATCH(E220&amp;"",tbl_Onsite[Job Number],0)),""),IF(H220="Production",IFERROR(IF(INDEX(tbl_Production[Current RMS No],MATCH(E220&amp;"",tbl_Production[Job Number],0))="",INDEX(tbl_Production[Qwilr Quote],MATCH(E220&amp;"",tbl_Production[Job Number],0)),INDEX(tbl_Production[Current RMS No],MATCH(E220&amp;"",tbl_Production[Job Number],0))),""),IF(H220="Consulting",IFERROR(INDEX(tbl_Consulting[Qwilr Quote],MATCH(E220&amp;"",tbl_Consulting[Job Number],0)),""),""))))</f>
        <v/>
      </c>
      <c r="AC220" s="25">
        <f>IF(AB220="","",IF(AND(LEFT(AB220,4)&lt;&gt;"http",IF(H220="Production",set_RMSBase,set_QwilrBase)=""),"",HYPERLINK(IF(LEFT(AB220,4)="http",AB220,IF(H220="Production",set_RMSBase,set_QwilrBase)&amp;AB220),"Open")))</f>
        <v/>
      </c>
      <c r="AD220" s="27">
        <f>IF(E220="","",IF(H220="Production",IFERROR(INDEX(tbl_Production[Total Expense],MATCH(E220&amp;"",tbl_Production[Job Number],0)),0),IF(H220="Consulting",IFERROR(INDEX(tbl_Consulting[Total Expense],MATCH(E220&amp;"",tbl_Consulting[Job Number],0)),0),0)))</f>
        <v/>
      </c>
      <c r="AE220" s="27">
        <f>IF(E220="","",Y220-N(AD220))</f>
        <v/>
      </c>
      <c r="AF220" s="29">
        <f>IFERROR(AE220/Y220,"")</f>
        <v/>
      </c>
      <c r="AG220" s="25">
        <f>IF(E220="","",IF(H220="Onsite",IFERROR(INDEX(tbl_Onsite[Notes],MATCH(E220&amp;"",tbl_Onsite[Job Number],0)),""),IF(H220="Production",IFERROR(INDEX(tbl_Production[Notes],MATCH(E220&amp;"",tbl_Production[Job Number],0)),""),IF(H220="Consulting",IFERROR(INDEX(tbl_Consulting[Notes],MATCH(E220&amp;"",tbl_Consulting[Job Number],0)),""),""))))</f>
        <v/>
      </c>
    </row>
    <row r="221" ht="15" customHeight="1">
      <c r="A221" s="22" t="n"/>
      <c r="B221" s="23">
        <f>IF(A221="","",EOMONTH(A221,0))</f>
        <v/>
      </c>
      <c r="C221" s="24" t="n"/>
      <c r="D221" s="24" t="n"/>
      <c r="E221" s="24" t="n"/>
      <c r="F221" s="25">
        <f>IF(E221="","",IF(COUNTIF(lst_Jobs,E221&amp;"")&gt;0,"OK","CHECK"))</f>
        <v/>
      </c>
      <c r="G221" s="24" t="n"/>
      <c r="H221" s="24" t="n"/>
      <c r="I221" s="24" t="n"/>
      <c r="J221" s="24" t="n"/>
      <c r="K221" s="24" t="n"/>
      <c r="L221" s="26" t="n"/>
      <c r="M221" s="27">
        <f>IF(L221="","",IF(K221="GST 10%",ROUND(L221*set_GSTRate,2),0))</f>
        <v/>
      </c>
      <c r="N221" s="27">
        <f>IF(L221="","",L221+M221)</f>
        <v/>
      </c>
      <c r="O221" s="24" t="n"/>
      <c r="P221" s="24" t="n"/>
      <c r="Q221" s="24" t="n"/>
      <c r="R221" s="22" t="n"/>
      <c r="S221" s="22" t="n"/>
      <c r="T221" s="24" t="n"/>
      <c r="U221" s="24" t="n"/>
      <c r="V221" s="25">
        <f>IF(COUNTA(A221,D221,C221,L221)=0,"",IF(A221="","No date - sits outside every month",IF(E221="","No job number",IF(F221="CHECK","Job number is not in the Xero job list",IF(I221="","No cost centre",IF(AND(P221="Y",C221=""),"Marked posted to Xero but has no invoice number",IF(AND(L221&lt;&gt;"",K221=""),"No tax code",IF(AND(L221&lt;&gt;"",O221=""),"No revenue GL code",""))))))))</f>
        <v/>
      </c>
      <c r="W221" s="25">
        <f>IF(E221="","",IFERROR(INDEX(lst_JobName,MATCH(E221&amp;"",lst_Jobs,0)),""))</f>
        <v/>
      </c>
      <c r="X221" s="28">
        <f>IF(E221="","",COUNTIFS(tbl_Finance[Job Number],E221&amp;"",tbl_Finance[Ex GST],"&lt;&gt;"))</f>
        <v/>
      </c>
      <c r="Y221" s="27">
        <f>IF(E221="","",SUMIFS(tbl_Finance[Ex GST],tbl_Finance[Job Number],E221&amp;""))</f>
        <v/>
      </c>
      <c r="Z221" s="27">
        <f>IF(E221="","",SUMIFS(tbl_Finance[Ex GST],tbl_Finance[Job Number],E221&amp;"",tbl_Finance[Xero Invoice No],"&lt;&gt;"))</f>
        <v/>
      </c>
      <c r="AA221" s="27">
        <f>IF(E221="","",Y221-Z221)</f>
        <v/>
      </c>
      <c r="AB221" s="25">
        <f>IF(E221="","",IF(H221="Onsite",IFERROR(INDEX(tbl_Onsite[Qwilr Quote],MATCH(E221&amp;"",tbl_Onsite[Job Number],0)),""),IF(H221="Production",IFERROR(IF(INDEX(tbl_Production[Current RMS No],MATCH(E221&amp;"",tbl_Production[Job Number],0))="",INDEX(tbl_Production[Qwilr Quote],MATCH(E221&amp;"",tbl_Production[Job Number],0)),INDEX(tbl_Production[Current RMS No],MATCH(E221&amp;"",tbl_Production[Job Number],0))),""),IF(H221="Consulting",IFERROR(INDEX(tbl_Consulting[Qwilr Quote],MATCH(E221&amp;"",tbl_Consulting[Job Number],0)),""),""))))</f>
        <v/>
      </c>
      <c r="AC221" s="25">
        <f>IF(AB221="","",IF(AND(LEFT(AB221,4)&lt;&gt;"http",IF(H221="Production",set_RMSBase,set_QwilrBase)=""),"",HYPERLINK(IF(LEFT(AB221,4)="http",AB221,IF(H221="Production",set_RMSBase,set_QwilrBase)&amp;AB221),"Open")))</f>
        <v/>
      </c>
      <c r="AD221" s="27">
        <f>IF(E221="","",IF(H221="Production",IFERROR(INDEX(tbl_Production[Total Expense],MATCH(E221&amp;"",tbl_Production[Job Number],0)),0),IF(H221="Consulting",IFERROR(INDEX(tbl_Consulting[Total Expense],MATCH(E221&amp;"",tbl_Consulting[Job Number],0)),0),0)))</f>
        <v/>
      </c>
      <c r="AE221" s="27">
        <f>IF(E221="","",Y221-N(AD221))</f>
        <v/>
      </c>
      <c r="AF221" s="29">
        <f>IFERROR(AE221/Y221,"")</f>
        <v/>
      </c>
      <c r="AG221" s="25">
        <f>IF(E221="","",IF(H221="Onsite",IFERROR(INDEX(tbl_Onsite[Notes],MATCH(E221&amp;"",tbl_Onsite[Job Number],0)),""),IF(H221="Production",IFERROR(INDEX(tbl_Production[Notes],MATCH(E221&amp;"",tbl_Production[Job Number],0)),""),IF(H221="Consulting",IFERROR(INDEX(tbl_Consulting[Notes],MATCH(E221&amp;"",tbl_Consulting[Job Number],0)),""),""))))</f>
        <v/>
      </c>
    </row>
    <row r="222" ht="15" customHeight="1">
      <c r="A222" s="22" t="n"/>
      <c r="B222" s="23">
        <f>IF(A222="","",EOMONTH(A222,0))</f>
        <v/>
      </c>
      <c r="C222" s="24" t="n"/>
      <c r="D222" s="24" t="n"/>
      <c r="E222" s="24" t="n"/>
      <c r="F222" s="25">
        <f>IF(E222="","",IF(COUNTIF(lst_Jobs,E222&amp;"")&gt;0,"OK","CHECK"))</f>
        <v/>
      </c>
      <c r="G222" s="24" t="n"/>
      <c r="H222" s="24" t="n"/>
      <c r="I222" s="24" t="n"/>
      <c r="J222" s="24" t="n"/>
      <c r="K222" s="24" t="n"/>
      <c r="L222" s="26" t="n"/>
      <c r="M222" s="27">
        <f>IF(L222="","",IF(K222="GST 10%",ROUND(L222*set_GSTRate,2),0))</f>
        <v/>
      </c>
      <c r="N222" s="27">
        <f>IF(L222="","",L222+M222)</f>
        <v/>
      </c>
      <c r="O222" s="24" t="n"/>
      <c r="P222" s="24" t="n"/>
      <c r="Q222" s="24" t="n"/>
      <c r="R222" s="22" t="n"/>
      <c r="S222" s="22" t="n"/>
      <c r="T222" s="24" t="n"/>
      <c r="U222" s="24" t="n"/>
      <c r="V222" s="25">
        <f>IF(COUNTA(A222,D222,C222,L222)=0,"",IF(A222="","No date - sits outside every month",IF(E222="","No job number",IF(F222="CHECK","Job number is not in the Xero job list",IF(I222="","No cost centre",IF(AND(P222="Y",C222=""),"Marked posted to Xero but has no invoice number",IF(AND(L222&lt;&gt;"",K222=""),"No tax code",IF(AND(L222&lt;&gt;"",O222=""),"No revenue GL code",""))))))))</f>
        <v/>
      </c>
      <c r="W222" s="25">
        <f>IF(E222="","",IFERROR(INDEX(lst_JobName,MATCH(E222&amp;"",lst_Jobs,0)),""))</f>
        <v/>
      </c>
      <c r="X222" s="28">
        <f>IF(E222="","",COUNTIFS(tbl_Finance[Job Number],E222&amp;"",tbl_Finance[Ex GST],"&lt;&gt;"))</f>
        <v/>
      </c>
      <c r="Y222" s="27">
        <f>IF(E222="","",SUMIFS(tbl_Finance[Ex GST],tbl_Finance[Job Number],E222&amp;""))</f>
        <v/>
      </c>
      <c r="Z222" s="27">
        <f>IF(E222="","",SUMIFS(tbl_Finance[Ex GST],tbl_Finance[Job Number],E222&amp;"",tbl_Finance[Xero Invoice No],"&lt;&gt;"))</f>
        <v/>
      </c>
      <c r="AA222" s="27">
        <f>IF(E222="","",Y222-Z222)</f>
        <v/>
      </c>
      <c r="AB222" s="25">
        <f>IF(E222="","",IF(H222="Onsite",IFERROR(INDEX(tbl_Onsite[Qwilr Quote],MATCH(E222&amp;"",tbl_Onsite[Job Number],0)),""),IF(H222="Production",IFERROR(IF(INDEX(tbl_Production[Current RMS No],MATCH(E222&amp;"",tbl_Production[Job Number],0))="",INDEX(tbl_Production[Qwilr Quote],MATCH(E222&amp;"",tbl_Production[Job Number],0)),INDEX(tbl_Production[Current RMS No],MATCH(E222&amp;"",tbl_Production[Job Number],0))),""),IF(H222="Consulting",IFERROR(INDEX(tbl_Consulting[Qwilr Quote],MATCH(E222&amp;"",tbl_Consulting[Job Number],0)),""),""))))</f>
        <v/>
      </c>
      <c r="AC222" s="25">
        <f>IF(AB222="","",IF(AND(LEFT(AB222,4)&lt;&gt;"http",IF(H222="Production",set_RMSBase,set_QwilrBase)=""),"",HYPERLINK(IF(LEFT(AB222,4)="http",AB222,IF(H222="Production",set_RMSBase,set_QwilrBase)&amp;AB222),"Open")))</f>
        <v/>
      </c>
      <c r="AD222" s="27">
        <f>IF(E222="","",IF(H222="Production",IFERROR(INDEX(tbl_Production[Total Expense],MATCH(E222&amp;"",tbl_Production[Job Number],0)),0),IF(H222="Consulting",IFERROR(INDEX(tbl_Consulting[Total Expense],MATCH(E222&amp;"",tbl_Consulting[Job Number],0)),0),0)))</f>
        <v/>
      </c>
      <c r="AE222" s="27">
        <f>IF(E222="","",Y222-N(AD222))</f>
        <v/>
      </c>
      <c r="AF222" s="29">
        <f>IFERROR(AE222/Y222,"")</f>
        <v/>
      </c>
      <c r="AG222" s="25">
        <f>IF(E222="","",IF(H222="Onsite",IFERROR(INDEX(tbl_Onsite[Notes],MATCH(E222&amp;"",tbl_Onsite[Job Number],0)),""),IF(H222="Production",IFERROR(INDEX(tbl_Production[Notes],MATCH(E222&amp;"",tbl_Production[Job Number],0)),""),IF(H222="Consulting",IFERROR(INDEX(tbl_Consulting[Notes],MATCH(E222&amp;"",tbl_Consulting[Job Number],0)),""),""))))</f>
        <v/>
      </c>
    </row>
    <row r="223" ht="15" customHeight="1">
      <c r="A223" s="22" t="n"/>
      <c r="B223" s="23">
        <f>IF(A223="","",EOMONTH(A223,0))</f>
        <v/>
      </c>
      <c r="C223" s="24" t="n"/>
      <c r="D223" s="24" t="n"/>
      <c r="E223" s="24" t="n"/>
      <c r="F223" s="25">
        <f>IF(E223="","",IF(COUNTIF(lst_Jobs,E223&amp;"")&gt;0,"OK","CHECK"))</f>
        <v/>
      </c>
      <c r="G223" s="24" t="n"/>
      <c r="H223" s="24" t="n"/>
      <c r="I223" s="24" t="n"/>
      <c r="J223" s="24" t="n"/>
      <c r="K223" s="24" t="n"/>
      <c r="L223" s="26" t="n"/>
      <c r="M223" s="27">
        <f>IF(L223="","",IF(K223="GST 10%",ROUND(L223*set_GSTRate,2),0))</f>
        <v/>
      </c>
      <c r="N223" s="27">
        <f>IF(L223="","",L223+M223)</f>
        <v/>
      </c>
      <c r="O223" s="24" t="n"/>
      <c r="P223" s="24" t="n"/>
      <c r="Q223" s="24" t="n"/>
      <c r="R223" s="22" t="n"/>
      <c r="S223" s="22" t="n"/>
      <c r="T223" s="24" t="n"/>
      <c r="U223" s="24" t="n"/>
      <c r="V223" s="25">
        <f>IF(COUNTA(A223,D223,C223,L223)=0,"",IF(A223="","No date - sits outside every month",IF(E223="","No job number",IF(F223="CHECK","Job number is not in the Xero job list",IF(I223="","No cost centre",IF(AND(P223="Y",C223=""),"Marked posted to Xero but has no invoice number",IF(AND(L223&lt;&gt;"",K223=""),"No tax code",IF(AND(L223&lt;&gt;"",O223=""),"No revenue GL code",""))))))))</f>
        <v/>
      </c>
      <c r="W223" s="25">
        <f>IF(E223="","",IFERROR(INDEX(lst_JobName,MATCH(E223&amp;"",lst_Jobs,0)),""))</f>
        <v/>
      </c>
      <c r="X223" s="28">
        <f>IF(E223="","",COUNTIFS(tbl_Finance[Job Number],E223&amp;"",tbl_Finance[Ex GST],"&lt;&gt;"))</f>
        <v/>
      </c>
      <c r="Y223" s="27">
        <f>IF(E223="","",SUMIFS(tbl_Finance[Ex GST],tbl_Finance[Job Number],E223&amp;""))</f>
        <v/>
      </c>
      <c r="Z223" s="27">
        <f>IF(E223="","",SUMIFS(tbl_Finance[Ex GST],tbl_Finance[Job Number],E223&amp;"",tbl_Finance[Xero Invoice No],"&lt;&gt;"))</f>
        <v/>
      </c>
      <c r="AA223" s="27">
        <f>IF(E223="","",Y223-Z223)</f>
        <v/>
      </c>
      <c r="AB223" s="25">
        <f>IF(E223="","",IF(H223="Onsite",IFERROR(INDEX(tbl_Onsite[Qwilr Quote],MATCH(E223&amp;"",tbl_Onsite[Job Number],0)),""),IF(H223="Production",IFERROR(IF(INDEX(tbl_Production[Current RMS No],MATCH(E223&amp;"",tbl_Production[Job Number],0))="",INDEX(tbl_Production[Qwilr Quote],MATCH(E223&amp;"",tbl_Production[Job Number],0)),INDEX(tbl_Production[Current RMS No],MATCH(E223&amp;"",tbl_Production[Job Number],0))),""),IF(H223="Consulting",IFERROR(INDEX(tbl_Consulting[Qwilr Quote],MATCH(E223&amp;"",tbl_Consulting[Job Number],0)),""),""))))</f>
        <v/>
      </c>
      <c r="AC223" s="25">
        <f>IF(AB223="","",IF(AND(LEFT(AB223,4)&lt;&gt;"http",IF(H223="Production",set_RMSBase,set_QwilrBase)=""),"",HYPERLINK(IF(LEFT(AB223,4)="http",AB223,IF(H223="Production",set_RMSBase,set_QwilrBase)&amp;AB223),"Open")))</f>
        <v/>
      </c>
      <c r="AD223" s="27">
        <f>IF(E223="","",IF(H223="Production",IFERROR(INDEX(tbl_Production[Total Expense],MATCH(E223&amp;"",tbl_Production[Job Number],0)),0),IF(H223="Consulting",IFERROR(INDEX(tbl_Consulting[Total Expense],MATCH(E223&amp;"",tbl_Consulting[Job Number],0)),0),0)))</f>
        <v/>
      </c>
      <c r="AE223" s="27">
        <f>IF(E223="","",Y223-N(AD223))</f>
        <v/>
      </c>
      <c r="AF223" s="29">
        <f>IFERROR(AE223/Y223,"")</f>
        <v/>
      </c>
      <c r="AG223" s="25">
        <f>IF(E223="","",IF(H223="Onsite",IFERROR(INDEX(tbl_Onsite[Notes],MATCH(E223&amp;"",tbl_Onsite[Job Number],0)),""),IF(H223="Production",IFERROR(INDEX(tbl_Production[Notes],MATCH(E223&amp;"",tbl_Production[Job Number],0)),""),IF(H223="Consulting",IFERROR(INDEX(tbl_Consulting[Notes],MATCH(E223&amp;"",tbl_Consulting[Job Number],0)),""),""))))</f>
        <v/>
      </c>
    </row>
    <row r="224" ht="15" customHeight="1">
      <c r="A224" s="22" t="n"/>
      <c r="B224" s="23">
        <f>IF(A224="","",EOMONTH(A224,0))</f>
        <v/>
      </c>
      <c r="C224" s="24" t="n"/>
      <c r="D224" s="24" t="n"/>
      <c r="E224" s="24" t="n"/>
      <c r="F224" s="25">
        <f>IF(E224="","",IF(COUNTIF(lst_Jobs,E224&amp;"")&gt;0,"OK","CHECK"))</f>
        <v/>
      </c>
      <c r="G224" s="24" t="n"/>
      <c r="H224" s="24" t="n"/>
      <c r="I224" s="24" t="n"/>
      <c r="J224" s="24" t="n"/>
      <c r="K224" s="24" t="n"/>
      <c r="L224" s="26" t="n"/>
      <c r="M224" s="27">
        <f>IF(L224="","",IF(K224="GST 10%",ROUND(L224*set_GSTRate,2),0))</f>
        <v/>
      </c>
      <c r="N224" s="27">
        <f>IF(L224="","",L224+M224)</f>
        <v/>
      </c>
      <c r="O224" s="24" t="n"/>
      <c r="P224" s="24" t="n"/>
      <c r="Q224" s="24" t="n"/>
      <c r="R224" s="22" t="n"/>
      <c r="S224" s="22" t="n"/>
      <c r="T224" s="24" t="n"/>
      <c r="U224" s="24" t="n"/>
      <c r="V224" s="25">
        <f>IF(COUNTA(A224,D224,C224,L224)=0,"",IF(A224="","No date - sits outside every month",IF(E224="","No job number",IF(F224="CHECK","Job number is not in the Xero job list",IF(I224="","No cost centre",IF(AND(P224="Y",C224=""),"Marked posted to Xero but has no invoice number",IF(AND(L224&lt;&gt;"",K224=""),"No tax code",IF(AND(L224&lt;&gt;"",O224=""),"No revenue GL code",""))))))))</f>
        <v/>
      </c>
      <c r="W224" s="25">
        <f>IF(E224="","",IFERROR(INDEX(lst_JobName,MATCH(E224&amp;"",lst_Jobs,0)),""))</f>
        <v/>
      </c>
      <c r="X224" s="28">
        <f>IF(E224="","",COUNTIFS(tbl_Finance[Job Number],E224&amp;"",tbl_Finance[Ex GST],"&lt;&gt;"))</f>
        <v/>
      </c>
      <c r="Y224" s="27">
        <f>IF(E224="","",SUMIFS(tbl_Finance[Ex GST],tbl_Finance[Job Number],E224&amp;""))</f>
        <v/>
      </c>
      <c r="Z224" s="27">
        <f>IF(E224="","",SUMIFS(tbl_Finance[Ex GST],tbl_Finance[Job Number],E224&amp;"",tbl_Finance[Xero Invoice No],"&lt;&gt;"))</f>
        <v/>
      </c>
      <c r="AA224" s="27">
        <f>IF(E224="","",Y224-Z224)</f>
        <v/>
      </c>
      <c r="AB224" s="25">
        <f>IF(E224="","",IF(H224="Onsite",IFERROR(INDEX(tbl_Onsite[Qwilr Quote],MATCH(E224&amp;"",tbl_Onsite[Job Number],0)),""),IF(H224="Production",IFERROR(IF(INDEX(tbl_Production[Current RMS No],MATCH(E224&amp;"",tbl_Production[Job Number],0))="",INDEX(tbl_Production[Qwilr Quote],MATCH(E224&amp;"",tbl_Production[Job Number],0)),INDEX(tbl_Production[Current RMS No],MATCH(E224&amp;"",tbl_Production[Job Number],0))),""),IF(H224="Consulting",IFERROR(INDEX(tbl_Consulting[Qwilr Quote],MATCH(E224&amp;"",tbl_Consulting[Job Number],0)),""),""))))</f>
        <v/>
      </c>
      <c r="AC224" s="25">
        <f>IF(AB224="","",IF(AND(LEFT(AB224,4)&lt;&gt;"http",IF(H224="Production",set_RMSBase,set_QwilrBase)=""),"",HYPERLINK(IF(LEFT(AB224,4)="http",AB224,IF(H224="Production",set_RMSBase,set_QwilrBase)&amp;AB224),"Open")))</f>
        <v/>
      </c>
      <c r="AD224" s="27">
        <f>IF(E224="","",IF(H224="Production",IFERROR(INDEX(tbl_Production[Total Expense],MATCH(E224&amp;"",tbl_Production[Job Number],0)),0),IF(H224="Consulting",IFERROR(INDEX(tbl_Consulting[Total Expense],MATCH(E224&amp;"",tbl_Consulting[Job Number],0)),0),0)))</f>
        <v/>
      </c>
      <c r="AE224" s="27">
        <f>IF(E224="","",Y224-N(AD224))</f>
        <v/>
      </c>
      <c r="AF224" s="29">
        <f>IFERROR(AE224/Y224,"")</f>
        <v/>
      </c>
      <c r="AG224" s="25">
        <f>IF(E224="","",IF(H224="Onsite",IFERROR(INDEX(tbl_Onsite[Notes],MATCH(E224&amp;"",tbl_Onsite[Job Number],0)),""),IF(H224="Production",IFERROR(INDEX(tbl_Production[Notes],MATCH(E224&amp;"",tbl_Production[Job Number],0)),""),IF(H224="Consulting",IFERROR(INDEX(tbl_Consulting[Notes],MATCH(E224&amp;"",tbl_Consulting[Job Number],0)),""),""))))</f>
        <v/>
      </c>
    </row>
    <row r="225" ht="15" customHeight="1">
      <c r="A225" s="22" t="n"/>
      <c r="B225" s="23">
        <f>IF(A225="","",EOMONTH(A225,0))</f>
        <v/>
      </c>
      <c r="C225" s="24" t="n"/>
      <c r="D225" s="24" t="n"/>
      <c r="E225" s="24" t="n"/>
      <c r="F225" s="25">
        <f>IF(E225="","",IF(COUNTIF(lst_Jobs,E225&amp;"")&gt;0,"OK","CHECK"))</f>
        <v/>
      </c>
      <c r="G225" s="24" t="n"/>
      <c r="H225" s="24" t="n"/>
      <c r="I225" s="24" t="n"/>
      <c r="J225" s="24" t="n"/>
      <c r="K225" s="24" t="n"/>
      <c r="L225" s="26" t="n"/>
      <c r="M225" s="27">
        <f>IF(L225="","",IF(K225="GST 10%",ROUND(L225*set_GSTRate,2),0))</f>
        <v/>
      </c>
      <c r="N225" s="27">
        <f>IF(L225="","",L225+M225)</f>
        <v/>
      </c>
      <c r="O225" s="24" t="n"/>
      <c r="P225" s="24" t="n"/>
      <c r="Q225" s="24" t="n"/>
      <c r="R225" s="22" t="n"/>
      <c r="S225" s="22" t="n"/>
      <c r="T225" s="24" t="n"/>
      <c r="U225" s="24" t="n"/>
      <c r="V225" s="25">
        <f>IF(COUNTA(A225,D225,C225,L225)=0,"",IF(A225="","No date - sits outside every month",IF(E225="","No job number",IF(F225="CHECK","Job number is not in the Xero job list",IF(I225="","No cost centre",IF(AND(P225="Y",C225=""),"Marked posted to Xero but has no invoice number",IF(AND(L225&lt;&gt;"",K225=""),"No tax code",IF(AND(L225&lt;&gt;"",O225=""),"No revenue GL code",""))))))))</f>
        <v/>
      </c>
      <c r="W225" s="25">
        <f>IF(E225="","",IFERROR(INDEX(lst_JobName,MATCH(E225&amp;"",lst_Jobs,0)),""))</f>
        <v/>
      </c>
      <c r="X225" s="28">
        <f>IF(E225="","",COUNTIFS(tbl_Finance[Job Number],E225&amp;"",tbl_Finance[Ex GST],"&lt;&gt;"))</f>
        <v/>
      </c>
      <c r="Y225" s="27">
        <f>IF(E225="","",SUMIFS(tbl_Finance[Ex GST],tbl_Finance[Job Number],E225&amp;""))</f>
        <v/>
      </c>
      <c r="Z225" s="27">
        <f>IF(E225="","",SUMIFS(tbl_Finance[Ex GST],tbl_Finance[Job Number],E225&amp;"",tbl_Finance[Xero Invoice No],"&lt;&gt;"))</f>
        <v/>
      </c>
      <c r="AA225" s="27">
        <f>IF(E225="","",Y225-Z225)</f>
        <v/>
      </c>
      <c r="AB225" s="25">
        <f>IF(E225="","",IF(H225="Onsite",IFERROR(INDEX(tbl_Onsite[Qwilr Quote],MATCH(E225&amp;"",tbl_Onsite[Job Number],0)),""),IF(H225="Production",IFERROR(IF(INDEX(tbl_Production[Current RMS No],MATCH(E225&amp;"",tbl_Production[Job Number],0))="",INDEX(tbl_Production[Qwilr Quote],MATCH(E225&amp;"",tbl_Production[Job Number],0)),INDEX(tbl_Production[Current RMS No],MATCH(E225&amp;"",tbl_Production[Job Number],0))),""),IF(H225="Consulting",IFERROR(INDEX(tbl_Consulting[Qwilr Quote],MATCH(E225&amp;"",tbl_Consulting[Job Number],0)),""),""))))</f>
        <v/>
      </c>
      <c r="AC225" s="25">
        <f>IF(AB225="","",IF(AND(LEFT(AB225,4)&lt;&gt;"http",IF(H225="Production",set_RMSBase,set_QwilrBase)=""),"",HYPERLINK(IF(LEFT(AB225,4)="http",AB225,IF(H225="Production",set_RMSBase,set_QwilrBase)&amp;AB225),"Open")))</f>
        <v/>
      </c>
      <c r="AD225" s="27">
        <f>IF(E225="","",IF(H225="Production",IFERROR(INDEX(tbl_Production[Total Expense],MATCH(E225&amp;"",tbl_Production[Job Number],0)),0),IF(H225="Consulting",IFERROR(INDEX(tbl_Consulting[Total Expense],MATCH(E225&amp;"",tbl_Consulting[Job Number],0)),0),0)))</f>
        <v/>
      </c>
      <c r="AE225" s="27">
        <f>IF(E225="","",Y225-N(AD225))</f>
        <v/>
      </c>
      <c r="AF225" s="29">
        <f>IFERROR(AE225/Y225,"")</f>
        <v/>
      </c>
      <c r="AG225" s="25">
        <f>IF(E225="","",IF(H225="Onsite",IFERROR(INDEX(tbl_Onsite[Notes],MATCH(E225&amp;"",tbl_Onsite[Job Number],0)),""),IF(H225="Production",IFERROR(INDEX(tbl_Production[Notes],MATCH(E225&amp;"",tbl_Production[Job Number],0)),""),IF(H225="Consulting",IFERROR(INDEX(tbl_Consulting[Notes],MATCH(E225&amp;"",tbl_Consulting[Job Number],0)),""),""))))</f>
        <v/>
      </c>
    </row>
    <row r="226" ht="15" customHeight="1">
      <c r="A226" s="22" t="n"/>
      <c r="B226" s="23">
        <f>IF(A226="","",EOMONTH(A226,0))</f>
        <v/>
      </c>
      <c r="C226" s="24" t="n"/>
      <c r="D226" s="24" t="n"/>
      <c r="E226" s="24" t="n"/>
      <c r="F226" s="25">
        <f>IF(E226="","",IF(COUNTIF(lst_Jobs,E226&amp;"")&gt;0,"OK","CHECK"))</f>
        <v/>
      </c>
      <c r="G226" s="24" t="n"/>
      <c r="H226" s="24" t="n"/>
      <c r="I226" s="24" t="n"/>
      <c r="J226" s="24" t="n"/>
      <c r="K226" s="24" t="n"/>
      <c r="L226" s="26" t="n"/>
      <c r="M226" s="27">
        <f>IF(L226="","",IF(K226="GST 10%",ROUND(L226*set_GSTRate,2),0))</f>
        <v/>
      </c>
      <c r="N226" s="27">
        <f>IF(L226="","",L226+M226)</f>
        <v/>
      </c>
      <c r="O226" s="24" t="n"/>
      <c r="P226" s="24" t="n"/>
      <c r="Q226" s="24" t="n"/>
      <c r="R226" s="22" t="n"/>
      <c r="S226" s="22" t="n"/>
      <c r="T226" s="24" t="n"/>
      <c r="U226" s="24" t="n"/>
      <c r="V226" s="25">
        <f>IF(COUNTA(A226,D226,C226,L226)=0,"",IF(A226="","No date - sits outside every month",IF(E226="","No job number",IF(F226="CHECK","Job number is not in the Xero job list",IF(I226="","No cost centre",IF(AND(P226="Y",C226=""),"Marked posted to Xero but has no invoice number",IF(AND(L226&lt;&gt;"",K226=""),"No tax code",IF(AND(L226&lt;&gt;"",O226=""),"No revenue GL code",""))))))))</f>
        <v/>
      </c>
      <c r="W226" s="25">
        <f>IF(E226="","",IFERROR(INDEX(lst_JobName,MATCH(E226&amp;"",lst_Jobs,0)),""))</f>
        <v/>
      </c>
      <c r="X226" s="28">
        <f>IF(E226="","",COUNTIFS(tbl_Finance[Job Number],E226&amp;"",tbl_Finance[Ex GST],"&lt;&gt;"))</f>
        <v/>
      </c>
      <c r="Y226" s="27">
        <f>IF(E226="","",SUMIFS(tbl_Finance[Ex GST],tbl_Finance[Job Number],E226&amp;""))</f>
        <v/>
      </c>
      <c r="Z226" s="27">
        <f>IF(E226="","",SUMIFS(tbl_Finance[Ex GST],tbl_Finance[Job Number],E226&amp;"",tbl_Finance[Xero Invoice No],"&lt;&gt;"))</f>
        <v/>
      </c>
      <c r="AA226" s="27">
        <f>IF(E226="","",Y226-Z226)</f>
        <v/>
      </c>
      <c r="AB226" s="25">
        <f>IF(E226="","",IF(H226="Onsite",IFERROR(INDEX(tbl_Onsite[Qwilr Quote],MATCH(E226&amp;"",tbl_Onsite[Job Number],0)),""),IF(H226="Production",IFERROR(IF(INDEX(tbl_Production[Current RMS No],MATCH(E226&amp;"",tbl_Production[Job Number],0))="",INDEX(tbl_Production[Qwilr Quote],MATCH(E226&amp;"",tbl_Production[Job Number],0)),INDEX(tbl_Production[Current RMS No],MATCH(E226&amp;"",tbl_Production[Job Number],0))),""),IF(H226="Consulting",IFERROR(INDEX(tbl_Consulting[Qwilr Quote],MATCH(E226&amp;"",tbl_Consulting[Job Number],0)),""),""))))</f>
        <v/>
      </c>
      <c r="AC226" s="25">
        <f>IF(AB226="","",IF(AND(LEFT(AB226,4)&lt;&gt;"http",IF(H226="Production",set_RMSBase,set_QwilrBase)=""),"",HYPERLINK(IF(LEFT(AB226,4)="http",AB226,IF(H226="Production",set_RMSBase,set_QwilrBase)&amp;AB226),"Open")))</f>
        <v/>
      </c>
      <c r="AD226" s="27">
        <f>IF(E226="","",IF(H226="Production",IFERROR(INDEX(tbl_Production[Total Expense],MATCH(E226&amp;"",tbl_Production[Job Number],0)),0),IF(H226="Consulting",IFERROR(INDEX(tbl_Consulting[Total Expense],MATCH(E226&amp;"",tbl_Consulting[Job Number],0)),0),0)))</f>
        <v/>
      </c>
      <c r="AE226" s="27">
        <f>IF(E226="","",Y226-N(AD226))</f>
        <v/>
      </c>
      <c r="AF226" s="29">
        <f>IFERROR(AE226/Y226,"")</f>
        <v/>
      </c>
      <c r="AG226" s="25">
        <f>IF(E226="","",IF(H226="Onsite",IFERROR(INDEX(tbl_Onsite[Notes],MATCH(E226&amp;"",tbl_Onsite[Job Number],0)),""),IF(H226="Production",IFERROR(INDEX(tbl_Production[Notes],MATCH(E226&amp;"",tbl_Production[Job Number],0)),""),IF(H226="Consulting",IFERROR(INDEX(tbl_Consulting[Notes],MATCH(E226&amp;"",tbl_Consulting[Job Number],0)),""),""))))</f>
        <v/>
      </c>
    </row>
    <row r="227" ht="15" customHeight="1">
      <c r="A227" s="22" t="n"/>
      <c r="B227" s="23">
        <f>IF(A227="","",EOMONTH(A227,0))</f>
        <v/>
      </c>
      <c r="C227" s="24" t="n"/>
      <c r="D227" s="24" t="n"/>
      <c r="E227" s="24" t="n"/>
      <c r="F227" s="25">
        <f>IF(E227="","",IF(COUNTIF(lst_Jobs,E227&amp;"")&gt;0,"OK","CHECK"))</f>
        <v/>
      </c>
      <c r="G227" s="24" t="n"/>
      <c r="H227" s="24" t="n"/>
      <c r="I227" s="24" t="n"/>
      <c r="J227" s="24" t="n"/>
      <c r="K227" s="24" t="n"/>
      <c r="L227" s="26" t="n"/>
      <c r="M227" s="27">
        <f>IF(L227="","",IF(K227="GST 10%",ROUND(L227*set_GSTRate,2),0))</f>
        <v/>
      </c>
      <c r="N227" s="27">
        <f>IF(L227="","",L227+M227)</f>
        <v/>
      </c>
      <c r="O227" s="24" t="n"/>
      <c r="P227" s="24" t="n"/>
      <c r="Q227" s="24" t="n"/>
      <c r="R227" s="22" t="n"/>
      <c r="S227" s="22" t="n"/>
      <c r="T227" s="24" t="n"/>
      <c r="U227" s="24" t="n"/>
      <c r="V227" s="25">
        <f>IF(COUNTA(A227,D227,C227,L227)=0,"",IF(A227="","No date - sits outside every month",IF(E227="","No job number",IF(F227="CHECK","Job number is not in the Xero job list",IF(I227="","No cost centre",IF(AND(P227="Y",C227=""),"Marked posted to Xero but has no invoice number",IF(AND(L227&lt;&gt;"",K227=""),"No tax code",IF(AND(L227&lt;&gt;"",O227=""),"No revenue GL code",""))))))))</f>
        <v/>
      </c>
      <c r="W227" s="25">
        <f>IF(E227="","",IFERROR(INDEX(lst_JobName,MATCH(E227&amp;"",lst_Jobs,0)),""))</f>
        <v/>
      </c>
      <c r="X227" s="28">
        <f>IF(E227="","",COUNTIFS(tbl_Finance[Job Number],E227&amp;"",tbl_Finance[Ex GST],"&lt;&gt;"))</f>
        <v/>
      </c>
      <c r="Y227" s="27">
        <f>IF(E227="","",SUMIFS(tbl_Finance[Ex GST],tbl_Finance[Job Number],E227&amp;""))</f>
        <v/>
      </c>
      <c r="Z227" s="27">
        <f>IF(E227="","",SUMIFS(tbl_Finance[Ex GST],tbl_Finance[Job Number],E227&amp;"",tbl_Finance[Xero Invoice No],"&lt;&gt;"))</f>
        <v/>
      </c>
      <c r="AA227" s="27">
        <f>IF(E227="","",Y227-Z227)</f>
        <v/>
      </c>
      <c r="AB227" s="25">
        <f>IF(E227="","",IF(H227="Onsite",IFERROR(INDEX(tbl_Onsite[Qwilr Quote],MATCH(E227&amp;"",tbl_Onsite[Job Number],0)),""),IF(H227="Production",IFERROR(IF(INDEX(tbl_Production[Current RMS No],MATCH(E227&amp;"",tbl_Production[Job Number],0))="",INDEX(tbl_Production[Qwilr Quote],MATCH(E227&amp;"",tbl_Production[Job Number],0)),INDEX(tbl_Production[Current RMS No],MATCH(E227&amp;"",tbl_Production[Job Number],0))),""),IF(H227="Consulting",IFERROR(INDEX(tbl_Consulting[Qwilr Quote],MATCH(E227&amp;"",tbl_Consulting[Job Number],0)),""),""))))</f>
        <v/>
      </c>
      <c r="AC227" s="25">
        <f>IF(AB227="","",IF(AND(LEFT(AB227,4)&lt;&gt;"http",IF(H227="Production",set_RMSBase,set_QwilrBase)=""),"",HYPERLINK(IF(LEFT(AB227,4)="http",AB227,IF(H227="Production",set_RMSBase,set_QwilrBase)&amp;AB227),"Open")))</f>
        <v/>
      </c>
      <c r="AD227" s="27">
        <f>IF(E227="","",IF(H227="Production",IFERROR(INDEX(tbl_Production[Total Expense],MATCH(E227&amp;"",tbl_Production[Job Number],0)),0),IF(H227="Consulting",IFERROR(INDEX(tbl_Consulting[Total Expense],MATCH(E227&amp;"",tbl_Consulting[Job Number],0)),0),0)))</f>
        <v/>
      </c>
      <c r="AE227" s="27">
        <f>IF(E227="","",Y227-N(AD227))</f>
        <v/>
      </c>
      <c r="AF227" s="29">
        <f>IFERROR(AE227/Y227,"")</f>
        <v/>
      </c>
      <c r="AG227" s="25">
        <f>IF(E227="","",IF(H227="Onsite",IFERROR(INDEX(tbl_Onsite[Notes],MATCH(E227&amp;"",tbl_Onsite[Job Number],0)),""),IF(H227="Production",IFERROR(INDEX(tbl_Production[Notes],MATCH(E227&amp;"",tbl_Production[Job Number],0)),""),IF(H227="Consulting",IFERROR(INDEX(tbl_Consulting[Notes],MATCH(E227&amp;"",tbl_Consulting[Job Number],0)),""),""))))</f>
        <v/>
      </c>
    </row>
    <row r="228" ht="15" customHeight="1">
      <c r="A228" s="22" t="n"/>
      <c r="B228" s="23">
        <f>IF(A228="","",EOMONTH(A228,0))</f>
        <v/>
      </c>
      <c r="C228" s="24" t="n"/>
      <c r="D228" s="24" t="n"/>
      <c r="E228" s="24" t="n"/>
      <c r="F228" s="25">
        <f>IF(E228="","",IF(COUNTIF(lst_Jobs,E228&amp;"")&gt;0,"OK","CHECK"))</f>
        <v/>
      </c>
      <c r="G228" s="24" t="n"/>
      <c r="H228" s="24" t="n"/>
      <c r="I228" s="24" t="n"/>
      <c r="J228" s="24" t="n"/>
      <c r="K228" s="24" t="n"/>
      <c r="L228" s="26" t="n"/>
      <c r="M228" s="27">
        <f>IF(L228="","",IF(K228="GST 10%",ROUND(L228*set_GSTRate,2),0))</f>
        <v/>
      </c>
      <c r="N228" s="27">
        <f>IF(L228="","",L228+M228)</f>
        <v/>
      </c>
      <c r="O228" s="24" t="n"/>
      <c r="P228" s="24" t="n"/>
      <c r="Q228" s="24" t="n"/>
      <c r="R228" s="22" t="n"/>
      <c r="S228" s="22" t="n"/>
      <c r="T228" s="24" t="n"/>
      <c r="U228" s="24" t="n"/>
      <c r="V228" s="25">
        <f>IF(COUNTA(A228,D228,C228,L228)=0,"",IF(A228="","No date - sits outside every month",IF(E228="","No job number",IF(F228="CHECK","Job number is not in the Xero job list",IF(I228="","No cost centre",IF(AND(P228="Y",C228=""),"Marked posted to Xero but has no invoice number",IF(AND(L228&lt;&gt;"",K228=""),"No tax code",IF(AND(L228&lt;&gt;"",O228=""),"No revenue GL code",""))))))))</f>
        <v/>
      </c>
      <c r="W228" s="25">
        <f>IF(E228="","",IFERROR(INDEX(lst_JobName,MATCH(E228&amp;"",lst_Jobs,0)),""))</f>
        <v/>
      </c>
      <c r="X228" s="28">
        <f>IF(E228="","",COUNTIFS(tbl_Finance[Job Number],E228&amp;"",tbl_Finance[Ex GST],"&lt;&gt;"))</f>
        <v/>
      </c>
      <c r="Y228" s="27">
        <f>IF(E228="","",SUMIFS(tbl_Finance[Ex GST],tbl_Finance[Job Number],E228&amp;""))</f>
        <v/>
      </c>
      <c r="Z228" s="27">
        <f>IF(E228="","",SUMIFS(tbl_Finance[Ex GST],tbl_Finance[Job Number],E228&amp;"",tbl_Finance[Xero Invoice No],"&lt;&gt;"))</f>
        <v/>
      </c>
      <c r="AA228" s="27">
        <f>IF(E228="","",Y228-Z228)</f>
        <v/>
      </c>
      <c r="AB228" s="25">
        <f>IF(E228="","",IF(H228="Onsite",IFERROR(INDEX(tbl_Onsite[Qwilr Quote],MATCH(E228&amp;"",tbl_Onsite[Job Number],0)),""),IF(H228="Production",IFERROR(IF(INDEX(tbl_Production[Current RMS No],MATCH(E228&amp;"",tbl_Production[Job Number],0))="",INDEX(tbl_Production[Qwilr Quote],MATCH(E228&amp;"",tbl_Production[Job Number],0)),INDEX(tbl_Production[Current RMS No],MATCH(E228&amp;"",tbl_Production[Job Number],0))),""),IF(H228="Consulting",IFERROR(INDEX(tbl_Consulting[Qwilr Quote],MATCH(E228&amp;"",tbl_Consulting[Job Number],0)),""),""))))</f>
        <v/>
      </c>
      <c r="AC228" s="25">
        <f>IF(AB228="","",IF(AND(LEFT(AB228,4)&lt;&gt;"http",IF(H228="Production",set_RMSBase,set_QwilrBase)=""),"",HYPERLINK(IF(LEFT(AB228,4)="http",AB228,IF(H228="Production",set_RMSBase,set_QwilrBase)&amp;AB228),"Open")))</f>
        <v/>
      </c>
      <c r="AD228" s="27">
        <f>IF(E228="","",IF(H228="Production",IFERROR(INDEX(tbl_Production[Total Expense],MATCH(E228&amp;"",tbl_Production[Job Number],0)),0),IF(H228="Consulting",IFERROR(INDEX(tbl_Consulting[Total Expense],MATCH(E228&amp;"",tbl_Consulting[Job Number],0)),0),0)))</f>
        <v/>
      </c>
      <c r="AE228" s="27">
        <f>IF(E228="","",Y228-N(AD228))</f>
        <v/>
      </c>
      <c r="AF228" s="29">
        <f>IFERROR(AE228/Y228,"")</f>
        <v/>
      </c>
      <c r="AG228" s="25">
        <f>IF(E228="","",IF(H228="Onsite",IFERROR(INDEX(tbl_Onsite[Notes],MATCH(E228&amp;"",tbl_Onsite[Job Number],0)),""),IF(H228="Production",IFERROR(INDEX(tbl_Production[Notes],MATCH(E228&amp;"",tbl_Production[Job Number],0)),""),IF(H228="Consulting",IFERROR(INDEX(tbl_Consulting[Notes],MATCH(E228&amp;"",tbl_Consulting[Job Number],0)),""),""))))</f>
        <v/>
      </c>
    </row>
    <row r="229" ht="15" customHeight="1">
      <c r="A229" s="22" t="n"/>
      <c r="B229" s="23">
        <f>IF(A229="","",EOMONTH(A229,0))</f>
        <v/>
      </c>
      <c r="C229" s="24" t="n"/>
      <c r="D229" s="24" t="n"/>
      <c r="E229" s="24" t="n"/>
      <c r="F229" s="25">
        <f>IF(E229="","",IF(COUNTIF(lst_Jobs,E229&amp;"")&gt;0,"OK","CHECK"))</f>
        <v/>
      </c>
      <c r="G229" s="24" t="n"/>
      <c r="H229" s="24" t="n"/>
      <c r="I229" s="24" t="n"/>
      <c r="J229" s="24" t="n"/>
      <c r="K229" s="24" t="n"/>
      <c r="L229" s="26" t="n"/>
      <c r="M229" s="27">
        <f>IF(L229="","",IF(K229="GST 10%",ROUND(L229*set_GSTRate,2),0))</f>
        <v/>
      </c>
      <c r="N229" s="27">
        <f>IF(L229="","",L229+M229)</f>
        <v/>
      </c>
      <c r="O229" s="24" t="n"/>
      <c r="P229" s="24" t="n"/>
      <c r="Q229" s="24" t="n"/>
      <c r="R229" s="22" t="n"/>
      <c r="S229" s="22" t="n"/>
      <c r="T229" s="24" t="n"/>
      <c r="U229" s="24" t="n"/>
      <c r="V229" s="25">
        <f>IF(COUNTA(A229,D229,C229,L229)=0,"",IF(A229="","No date - sits outside every month",IF(E229="","No job number",IF(F229="CHECK","Job number is not in the Xero job list",IF(I229="","No cost centre",IF(AND(P229="Y",C229=""),"Marked posted to Xero but has no invoice number",IF(AND(L229&lt;&gt;"",K229=""),"No tax code",IF(AND(L229&lt;&gt;"",O229=""),"No revenue GL code",""))))))))</f>
        <v/>
      </c>
      <c r="W229" s="25">
        <f>IF(E229="","",IFERROR(INDEX(lst_JobName,MATCH(E229&amp;"",lst_Jobs,0)),""))</f>
        <v/>
      </c>
      <c r="X229" s="28">
        <f>IF(E229="","",COUNTIFS(tbl_Finance[Job Number],E229&amp;"",tbl_Finance[Ex GST],"&lt;&gt;"))</f>
        <v/>
      </c>
      <c r="Y229" s="27">
        <f>IF(E229="","",SUMIFS(tbl_Finance[Ex GST],tbl_Finance[Job Number],E229&amp;""))</f>
        <v/>
      </c>
      <c r="Z229" s="27">
        <f>IF(E229="","",SUMIFS(tbl_Finance[Ex GST],tbl_Finance[Job Number],E229&amp;"",tbl_Finance[Xero Invoice No],"&lt;&gt;"))</f>
        <v/>
      </c>
      <c r="AA229" s="27">
        <f>IF(E229="","",Y229-Z229)</f>
        <v/>
      </c>
      <c r="AB229" s="25">
        <f>IF(E229="","",IF(H229="Onsite",IFERROR(INDEX(tbl_Onsite[Qwilr Quote],MATCH(E229&amp;"",tbl_Onsite[Job Number],0)),""),IF(H229="Production",IFERROR(IF(INDEX(tbl_Production[Current RMS No],MATCH(E229&amp;"",tbl_Production[Job Number],0))="",INDEX(tbl_Production[Qwilr Quote],MATCH(E229&amp;"",tbl_Production[Job Number],0)),INDEX(tbl_Production[Current RMS No],MATCH(E229&amp;"",tbl_Production[Job Number],0))),""),IF(H229="Consulting",IFERROR(INDEX(tbl_Consulting[Qwilr Quote],MATCH(E229&amp;"",tbl_Consulting[Job Number],0)),""),""))))</f>
        <v/>
      </c>
      <c r="AC229" s="25">
        <f>IF(AB229="","",IF(AND(LEFT(AB229,4)&lt;&gt;"http",IF(H229="Production",set_RMSBase,set_QwilrBase)=""),"",HYPERLINK(IF(LEFT(AB229,4)="http",AB229,IF(H229="Production",set_RMSBase,set_QwilrBase)&amp;AB229),"Open")))</f>
        <v/>
      </c>
      <c r="AD229" s="27">
        <f>IF(E229="","",IF(H229="Production",IFERROR(INDEX(tbl_Production[Total Expense],MATCH(E229&amp;"",tbl_Production[Job Number],0)),0),IF(H229="Consulting",IFERROR(INDEX(tbl_Consulting[Total Expense],MATCH(E229&amp;"",tbl_Consulting[Job Number],0)),0),0)))</f>
        <v/>
      </c>
      <c r="AE229" s="27">
        <f>IF(E229="","",Y229-N(AD229))</f>
        <v/>
      </c>
      <c r="AF229" s="29">
        <f>IFERROR(AE229/Y229,"")</f>
        <v/>
      </c>
      <c r="AG229" s="25">
        <f>IF(E229="","",IF(H229="Onsite",IFERROR(INDEX(tbl_Onsite[Notes],MATCH(E229&amp;"",tbl_Onsite[Job Number],0)),""),IF(H229="Production",IFERROR(INDEX(tbl_Production[Notes],MATCH(E229&amp;"",tbl_Production[Job Number],0)),""),IF(H229="Consulting",IFERROR(INDEX(tbl_Consulting[Notes],MATCH(E229&amp;"",tbl_Consulting[Job Number],0)),""),""))))</f>
        <v/>
      </c>
    </row>
    <row r="230" ht="15" customHeight="1">
      <c r="A230" s="22" t="n"/>
      <c r="B230" s="23">
        <f>IF(A230="","",EOMONTH(A230,0))</f>
        <v/>
      </c>
      <c r="C230" s="24" t="n"/>
      <c r="D230" s="24" t="n"/>
      <c r="E230" s="24" t="n"/>
      <c r="F230" s="25">
        <f>IF(E230="","",IF(COUNTIF(lst_Jobs,E230&amp;"")&gt;0,"OK","CHECK"))</f>
        <v/>
      </c>
      <c r="G230" s="24" t="n"/>
      <c r="H230" s="24" t="n"/>
      <c r="I230" s="24" t="n"/>
      <c r="J230" s="24" t="n"/>
      <c r="K230" s="24" t="n"/>
      <c r="L230" s="26" t="n"/>
      <c r="M230" s="27">
        <f>IF(L230="","",IF(K230="GST 10%",ROUND(L230*set_GSTRate,2),0))</f>
        <v/>
      </c>
      <c r="N230" s="27">
        <f>IF(L230="","",L230+M230)</f>
        <v/>
      </c>
      <c r="O230" s="24" t="n"/>
      <c r="P230" s="24" t="n"/>
      <c r="Q230" s="24" t="n"/>
      <c r="R230" s="22" t="n"/>
      <c r="S230" s="22" t="n"/>
      <c r="T230" s="24" t="n"/>
      <c r="U230" s="24" t="n"/>
      <c r="V230" s="25">
        <f>IF(COUNTA(A230,D230,C230,L230)=0,"",IF(A230="","No date - sits outside every month",IF(E230="","No job number",IF(F230="CHECK","Job number is not in the Xero job list",IF(I230="","No cost centre",IF(AND(P230="Y",C230=""),"Marked posted to Xero but has no invoice number",IF(AND(L230&lt;&gt;"",K230=""),"No tax code",IF(AND(L230&lt;&gt;"",O230=""),"No revenue GL code",""))))))))</f>
        <v/>
      </c>
      <c r="W230" s="25">
        <f>IF(E230="","",IFERROR(INDEX(lst_JobName,MATCH(E230&amp;"",lst_Jobs,0)),""))</f>
        <v/>
      </c>
      <c r="X230" s="28">
        <f>IF(E230="","",COUNTIFS(tbl_Finance[Job Number],E230&amp;"",tbl_Finance[Ex GST],"&lt;&gt;"))</f>
        <v/>
      </c>
      <c r="Y230" s="27">
        <f>IF(E230="","",SUMIFS(tbl_Finance[Ex GST],tbl_Finance[Job Number],E230&amp;""))</f>
        <v/>
      </c>
      <c r="Z230" s="27">
        <f>IF(E230="","",SUMIFS(tbl_Finance[Ex GST],tbl_Finance[Job Number],E230&amp;"",tbl_Finance[Xero Invoice No],"&lt;&gt;"))</f>
        <v/>
      </c>
      <c r="AA230" s="27">
        <f>IF(E230="","",Y230-Z230)</f>
        <v/>
      </c>
      <c r="AB230" s="25">
        <f>IF(E230="","",IF(H230="Onsite",IFERROR(INDEX(tbl_Onsite[Qwilr Quote],MATCH(E230&amp;"",tbl_Onsite[Job Number],0)),""),IF(H230="Production",IFERROR(IF(INDEX(tbl_Production[Current RMS No],MATCH(E230&amp;"",tbl_Production[Job Number],0))="",INDEX(tbl_Production[Qwilr Quote],MATCH(E230&amp;"",tbl_Production[Job Number],0)),INDEX(tbl_Production[Current RMS No],MATCH(E230&amp;"",tbl_Production[Job Number],0))),""),IF(H230="Consulting",IFERROR(INDEX(tbl_Consulting[Qwilr Quote],MATCH(E230&amp;"",tbl_Consulting[Job Number],0)),""),""))))</f>
        <v/>
      </c>
      <c r="AC230" s="25">
        <f>IF(AB230="","",IF(AND(LEFT(AB230,4)&lt;&gt;"http",IF(H230="Production",set_RMSBase,set_QwilrBase)=""),"",HYPERLINK(IF(LEFT(AB230,4)="http",AB230,IF(H230="Production",set_RMSBase,set_QwilrBase)&amp;AB230),"Open")))</f>
        <v/>
      </c>
      <c r="AD230" s="27">
        <f>IF(E230="","",IF(H230="Production",IFERROR(INDEX(tbl_Production[Total Expense],MATCH(E230&amp;"",tbl_Production[Job Number],0)),0),IF(H230="Consulting",IFERROR(INDEX(tbl_Consulting[Total Expense],MATCH(E230&amp;"",tbl_Consulting[Job Number],0)),0),0)))</f>
        <v/>
      </c>
      <c r="AE230" s="27">
        <f>IF(E230="","",Y230-N(AD230))</f>
        <v/>
      </c>
      <c r="AF230" s="29">
        <f>IFERROR(AE230/Y230,"")</f>
        <v/>
      </c>
      <c r="AG230" s="25">
        <f>IF(E230="","",IF(H230="Onsite",IFERROR(INDEX(tbl_Onsite[Notes],MATCH(E230&amp;"",tbl_Onsite[Job Number],0)),""),IF(H230="Production",IFERROR(INDEX(tbl_Production[Notes],MATCH(E230&amp;"",tbl_Production[Job Number],0)),""),IF(H230="Consulting",IFERROR(INDEX(tbl_Consulting[Notes],MATCH(E230&amp;"",tbl_Consulting[Job Number],0)),""),""))))</f>
        <v/>
      </c>
    </row>
    <row r="231" ht="15" customHeight="1">
      <c r="A231" s="22" t="n"/>
      <c r="B231" s="23">
        <f>IF(A231="","",EOMONTH(A231,0))</f>
        <v/>
      </c>
      <c r="C231" s="24" t="n"/>
      <c r="D231" s="24" t="n"/>
      <c r="E231" s="24" t="n"/>
      <c r="F231" s="25">
        <f>IF(E231="","",IF(COUNTIF(lst_Jobs,E231&amp;"")&gt;0,"OK","CHECK"))</f>
        <v/>
      </c>
      <c r="G231" s="24" t="n"/>
      <c r="H231" s="24" t="n"/>
      <c r="I231" s="24" t="n"/>
      <c r="J231" s="24" t="n"/>
      <c r="K231" s="24" t="n"/>
      <c r="L231" s="26" t="n"/>
      <c r="M231" s="27">
        <f>IF(L231="","",IF(K231="GST 10%",ROUND(L231*set_GSTRate,2),0))</f>
        <v/>
      </c>
      <c r="N231" s="27">
        <f>IF(L231="","",L231+M231)</f>
        <v/>
      </c>
      <c r="O231" s="24" t="n"/>
      <c r="P231" s="24" t="n"/>
      <c r="Q231" s="24" t="n"/>
      <c r="R231" s="22" t="n"/>
      <c r="S231" s="22" t="n"/>
      <c r="T231" s="24" t="n"/>
      <c r="U231" s="24" t="n"/>
      <c r="V231" s="25">
        <f>IF(COUNTA(A231,D231,C231,L231)=0,"",IF(A231="","No date - sits outside every month",IF(E231="","No job number",IF(F231="CHECK","Job number is not in the Xero job list",IF(I231="","No cost centre",IF(AND(P231="Y",C231=""),"Marked posted to Xero but has no invoice number",IF(AND(L231&lt;&gt;"",K231=""),"No tax code",IF(AND(L231&lt;&gt;"",O231=""),"No revenue GL code",""))))))))</f>
        <v/>
      </c>
      <c r="W231" s="25">
        <f>IF(E231="","",IFERROR(INDEX(lst_JobName,MATCH(E231&amp;"",lst_Jobs,0)),""))</f>
        <v/>
      </c>
      <c r="X231" s="28">
        <f>IF(E231="","",COUNTIFS(tbl_Finance[Job Number],E231&amp;"",tbl_Finance[Ex GST],"&lt;&gt;"))</f>
        <v/>
      </c>
      <c r="Y231" s="27">
        <f>IF(E231="","",SUMIFS(tbl_Finance[Ex GST],tbl_Finance[Job Number],E231&amp;""))</f>
        <v/>
      </c>
      <c r="Z231" s="27">
        <f>IF(E231="","",SUMIFS(tbl_Finance[Ex GST],tbl_Finance[Job Number],E231&amp;"",tbl_Finance[Xero Invoice No],"&lt;&gt;"))</f>
        <v/>
      </c>
      <c r="AA231" s="27">
        <f>IF(E231="","",Y231-Z231)</f>
        <v/>
      </c>
      <c r="AB231" s="25">
        <f>IF(E231="","",IF(H231="Onsite",IFERROR(INDEX(tbl_Onsite[Qwilr Quote],MATCH(E231&amp;"",tbl_Onsite[Job Number],0)),""),IF(H231="Production",IFERROR(IF(INDEX(tbl_Production[Current RMS No],MATCH(E231&amp;"",tbl_Production[Job Number],0))="",INDEX(tbl_Production[Qwilr Quote],MATCH(E231&amp;"",tbl_Production[Job Number],0)),INDEX(tbl_Production[Current RMS No],MATCH(E231&amp;"",tbl_Production[Job Number],0))),""),IF(H231="Consulting",IFERROR(INDEX(tbl_Consulting[Qwilr Quote],MATCH(E231&amp;"",tbl_Consulting[Job Number],0)),""),""))))</f>
        <v/>
      </c>
      <c r="AC231" s="25">
        <f>IF(AB231="","",IF(AND(LEFT(AB231,4)&lt;&gt;"http",IF(H231="Production",set_RMSBase,set_QwilrBase)=""),"",HYPERLINK(IF(LEFT(AB231,4)="http",AB231,IF(H231="Production",set_RMSBase,set_QwilrBase)&amp;AB231),"Open")))</f>
        <v/>
      </c>
      <c r="AD231" s="27">
        <f>IF(E231="","",IF(H231="Production",IFERROR(INDEX(tbl_Production[Total Expense],MATCH(E231&amp;"",tbl_Production[Job Number],0)),0),IF(H231="Consulting",IFERROR(INDEX(tbl_Consulting[Total Expense],MATCH(E231&amp;"",tbl_Consulting[Job Number],0)),0),0)))</f>
        <v/>
      </c>
      <c r="AE231" s="27">
        <f>IF(E231="","",Y231-N(AD231))</f>
        <v/>
      </c>
      <c r="AF231" s="29">
        <f>IFERROR(AE231/Y231,"")</f>
        <v/>
      </c>
      <c r="AG231" s="25">
        <f>IF(E231="","",IF(H231="Onsite",IFERROR(INDEX(tbl_Onsite[Notes],MATCH(E231&amp;"",tbl_Onsite[Job Number],0)),""),IF(H231="Production",IFERROR(INDEX(tbl_Production[Notes],MATCH(E231&amp;"",tbl_Production[Job Number],0)),""),IF(H231="Consulting",IFERROR(INDEX(tbl_Consulting[Notes],MATCH(E231&amp;"",tbl_Consulting[Job Number],0)),""),""))))</f>
        <v/>
      </c>
    </row>
    <row r="232" ht="15" customHeight="1">
      <c r="A232" s="22" t="n"/>
      <c r="B232" s="23">
        <f>IF(A232="","",EOMONTH(A232,0))</f>
        <v/>
      </c>
      <c r="C232" s="24" t="n"/>
      <c r="D232" s="24" t="n"/>
      <c r="E232" s="24" t="n"/>
      <c r="F232" s="25">
        <f>IF(E232="","",IF(COUNTIF(lst_Jobs,E232&amp;"")&gt;0,"OK","CHECK"))</f>
        <v/>
      </c>
      <c r="G232" s="24" t="n"/>
      <c r="H232" s="24" t="n"/>
      <c r="I232" s="24" t="n"/>
      <c r="J232" s="24" t="n"/>
      <c r="K232" s="24" t="n"/>
      <c r="L232" s="26" t="n"/>
      <c r="M232" s="27">
        <f>IF(L232="","",IF(K232="GST 10%",ROUND(L232*set_GSTRate,2),0))</f>
        <v/>
      </c>
      <c r="N232" s="27">
        <f>IF(L232="","",L232+M232)</f>
        <v/>
      </c>
      <c r="O232" s="24" t="n"/>
      <c r="P232" s="24" t="n"/>
      <c r="Q232" s="24" t="n"/>
      <c r="R232" s="22" t="n"/>
      <c r="S232" s="22" t="n"/>
      <c r="T232" s="24" t="n"/>
      <c r="U232" s="24" t="n"/>
      <c r="V232" s="25">
        <f>IF(COUNTA(A232,D232,C232,L232)=0,"",IF(A232="","No date - sits outside every month",IF(E232="","No job number",IF(F232="CHECK","Job number is not in the Xero job list",IF(I232="","No cost centre",IF(AND(P232="Y",C232=""),"Marked posted to Xero but has no invoice number",IF(AND(L232&lt;&gt;"",K232=""),"No tax code",IF(AND(L232&lt;&gt;"",O232=""),"No revenue GL code",""))))))))</f>
        <v/>
      </c>
      <c r="W232" s="25">
        <f>IF(E232="","",IFERROR(INDEX(lst_JobName,MATCH(E232&amp;"",lst_Jobs,0)),""))</f>
        <v/>
      </c>
      <c r="X232" s="28">
        <f>IF(E232="","",COUNTIFS(tbl_Finance[Job Number],E232&amp;"",tbl_Finance[Ex GST],"&lt;&gt;"))</f>
        <v/>
      </c>
      <c r="Y232" s="27">
        <f>IF(E232="","",SUMIFS(tbl_Finance[Ex GST],tbl_Finance[Job Number],E232&amp;""))</f>
        <v/>
      </c>
      <c r="Z232" s="27">
        <f>IF(E232="","",SUMIFS(tbl_Finance[Ex GST],tbl_Finance[Job Number],E232&amp;"",tbl_Finance[Xero Invoice No],"&lt;&gt;"))</f>
        <v/>
      </c>
      <c r="AA232" s="27">
        <f>IF(E232="","",Y232-Z232)</f>
        <v/>
      </c>
      <c r="AB232" s="25">
        <f>IF(E232="","",IF(H232="Onsite",IFERROR(INDEX(tbl_Onsite[Qwilr Quote],MATCH(E232&amp;"",tbl_Onsite[Job Number],0)),""),IF(H232="Production",IFERROR(IF(INDEX(tbl_Production[Current RMS No],MATCH(E232&amp;"",tbl_Production[Job Number],0))="",INDEX(tbl_Production[Qwilr Quote],MATCH(E232&amp;"",tbl_Production[Job Number],0)),INDEX(tbl_Production[Current RMS No],MATCH(E232&amp;"",tbl_Production[Job Number],0))),""),IF(H232="Consulting",IFERROR(INDEX(tbl_Consulting[Qwilr Quote],MATCH(E232&amp;"",tbl_Consulting[Job Number],0)),""),""))))</f>
        <v/>
      </c>
      <c r="AC232" s="25">
        <f>IF(AB232="","",IF(AND(LEFT(AB232,4)&lt;&gt;"http",IF(H232="Production",set_RMSBase,set_QwilrBase)=""),"",HYPERLINK(IF(LEFT(AB232,4)="http",AB232,IF(H232="Production",set_RMSBase,set_QwilrBase)&amp;AB232),"Open")))</f>
        <v/>
      </c>
      <c r="AD232" s="27">
        <f>IF(E232="","",IF(H232="Production",IFERROR(INDEX(tbl_Production[Total Expense],MATCH(E232&amp;"",tbl_Production[Job Number],0)),0),IF(H232="Consulting",IFERROR(INDEX(tbl_Consulting[Total Expense],MATCH(E232&amp;"",tbl_Consulting[Job Number],0)),0),0)))</f>
        <v/>
      </c>
      <c r="AE232" s="27">
        <f>IF(E232="","",Y232-N(AD232))</f>
        <v/>
      </c>
      <c r="AF232" s="29">
        <f>IFERROR(AE232/Y232,"")</f>
        <v/>
      </c>
      <c r="AG232" s="25">
        <f>IF(E232="","",IF(H232="Onsite",IFERROR(INDEX(tbl_Onsite[Notes],MATCH(E232&amp;"",tbl_Onsite[Job Number],0)),""),IF(H232="Production",IFERROR(INDEX(tbl_Production[Notes],MATCH(E232&amp;"",tbl_Production[Job Number],0)),""),IF(H232="Consulting",IFERROR(INDEX(tbl_Consulting[Notes],MATCH(E232&amp;"",tbl_Consulting[Job Number],0)),""),""))))</f>
        <v/>
      </c>
    </row>
    <row r="233" ht="15" customHeight="1">
      <c r="A233" s="22" t="n"/>
      <c r="B233" s="23">
        <f>IF(A233="","",EOMONTH(A233,0))</f>
        <v/>
      </c>
      <c r="C233" s="24" t="n"/>
      <c r="D233" s="24" t="n"/>
      <c r="E233" s="24" t="n"/>
      <c r="F233" s="25">
        <f>IF(E233="","",IF(COUNTIF(lst_Jobs,E233&amp;"")&gt;0,"OK","CHECK"))</f>
        <v/>
      </c>
      <c r="G233" s="24" t="n"/>
      <c r="H233" s="24" t="n"/>
      <c r="I233" s="24" t="n"/>
      <c r="J233" s="24" t="n"/>
      <c r="K233" s="24" t="n"/>
      <c r="L233" s="26" t="n"/>
      <c r="M233" s="27">
        <f>IF(L233="","",IF(K233="GST 10%",ROUND(L233*set_GSTRate,2),0))</f>
        <v/>
      </c>
      <c r="N233" s="27">
        <f>IF(L233="","",L233+M233)</f>
        <v/>
      </c>
      <c r="O233" s="24" t="n"/>
      <c r="P233" s="24" t="n"/>
      <c r="Q233" s="24" t="n"/>
      <c r="R233" s="22" t="n"/>
      <c r="S233" s="22" t="n"/>
      <c r="T233" s="24" t="n"/>
      <c r="U233" s="24" t="n"/>
      <c r="V233" s="25">
        <f>IF(COUNTA(A233,D233,C233,L233)=0,"",IF(A233="","No date - sits outside every month",IF(E233="","No job number",IF(F233="CHECK","Job number is not in the Xero job list",IF(I233="","No cost centre",IF(AND(P233="Y",C233=""),"Marked posted to Xero but has no invoice number",IF(AND(L233&lt;&gt;"",K233=""),"No tax code",IF(AND(L233&lt;&gt;"",O233=""),"No revenue GL code",""))))))))</f>
        <v/>
      </c>
      <c r="W233" s="25">
        <f>IF(E233="","",IFERROR(INDEX(lst_JobName,MATCH(E233&amp;"",lst_Jobs,0)),""))</f>
        <v/>
      </c>
      <c r="X233" s="28">
        <f>IF(E233="","",COUNTIFS(tbl_Finance[Job Number],E233&amp;"",tbl_Finance[Ex GST],"&lt;&gt;"))</f>
        <v/>
      </c>
      <c r="Y233" s="27">
        <f>IF(E233="","",SUMIFS(tbl_Finance[Ex GST],tbl_Finance[Job Number],E233&amp;""))</f>
        <v/>
      </c>
      <c r="Z233" s="27">
        <f>IF(E233="","",SUMIFS(tbl_Finance[Ex GST],tbl_Finance[Job Number],E233&amp;"",tbl_Finance[Xero Invoice No],"&lt;&gt;"))</f>
        <v/>
      </c>
      <c r="AA233" s="27">
        <f>IF(E233="","",Y233-Z233)</f>
        <v/>
      </c>
      <c r="AB233" s="25">
        <f>IF(E233="","",IF(H233="Onsite",IFERROR(INDEX(tbl_Onsite[Qwilr Quote],MATCH(E233&amp;"",tbl_Onsite[Job Number],0)),""),IF(H233="Production",IFERROR(IF(INDEX(tbl_Production[Current RMS No],MATCH(E233&amp;"",tbl_Production[Job Number],0))="",INDEX(tbl_Production[Qwilr Quote],MATCH(E233&amp;"",tbl_Production[Job Number],0)),INDEX(tbl_Production[Current RMS No],MATCH(E233&amp;"",tbl_Production[Job Number],0))),""),IF(H233="Consulting",IFERROR(INDEX(tbl_Consulting[Qwilr Quote],MATCH(E233&amp;"",tbl_Consulting[Job Number],0)),""),""))))</f>
        <v/>
      </c>
      <c r="AC233" s="25">
        <f>IF(AB233="","",IF(AND(LEFT(AB233,4)&lt;&gt;"http",IF(H233="Production",set_RMSBase,set_QwilrBase)=""),"",HYPERLINK(IF(LEFT(AB233,4)="http",AB233,IF(H233="Production",set_RMSBase,set_QwilrBase)&amp;AB233),"Open")))</f>
        <v/>
      </c>
      <c r="AD233" s="27">
        <f>IF(E233="","",IF(H233="Production",IFERROR(INDEX(tbl_Production[Total Expense],MATCH(E233&amp;"",tbl_Production[Job Number],0)),0),IF(H233="Consulting",IFERROR(INDEX(tbl_Consulting[Total Expense],MATCH(E233&amp;"",tbl_Consulting[Job Number],0)),0),0)))</f>
        <v/>
      </c>
      <c r="AE233" s="27">
        <f>IF(E233="","",Y233-N(AD233))</f>
        <v/>
      </c>
      <c r="AF233" s="29">
        <f>IFERROR(AE233/Y233,"")</f>
        <v/>
      </c>
      <c r="AG233" s="25">
        <f>IF(E233="","",IF(H233="Onsite",IFERROR(INDEX(tbl_Onsite[Notes],MATCH(E233&amp;"",tbl_Onsite[Job Number],0)),""),IF(H233="Production",IFERROR(INDEX(tbl_Production[Notes],MATCH(E233&amp;"",tbl_Production[Job Number],0)),""),IF(H233="Consulting",IFERROR(INDEX(tbl_Consulting[Notes],MATCH(E233&amp;"",tbl_Consulting[Job Number],0)),""),""))))</f>
        <v/>
      </c>
    </row>
    <row r="234" ht="15" customHeight="1">
      <c r="A234" s="22" t="n"/>
      <c r="B234" s="23">
        <f>IF(A234="","",EOMONTH(A234,0))</f>
        <v/>
      </c>
      <c r="C234" s="24" t="n"/>
      <c r="D234" s="24" t="n"/>
      <c r="E234" s="24" t="n"/>
      <c r="F234" s="25">
        <f>IF(E234="","",IF(COUNTIF(lst_Jobs,E234&amp;"")&gt;0,"OK","CHECK"))</f>
        <v/>
      </c>
      <c r="G234" s="24" t="n"/>
      <c r="H234" s="24" t="n"/>
      <c r="I234" s="24" t="n"/>
      <c r="J234" s="24" t="n"/>
      <c r="K234" s="24" t="n"/>
      <c r="L234" s="26" t="n"/>
      <c r="M234" s="27">
        <f>IF(L234="","",IF(K234="GST 10%",ROUND(L234*set_GSTRate,2),0))</f>
        <v/>
      </c>
      <c r="N234" s="27">
        <f>IF(L234="","",L234+M234)</f>
        <v/>
      </c>
      <c r="O234" s="24" t="n"/>
      <c r="P234" s="24" t="n"/>
      <c r="Q234" s="24" t="n"/>
      <c r="R234" s="22" t="n"/>
      <c r="S234" s="22" t="n"/>
      <c r="T234" s="24" t="n"/>
      <c r="U234" s="24" t="n"/>
      <c r="V234" s="25">
        <f>IF(COUNTA(A234,D234,C234,L234)=0,"",IF(A234="","No date - sits outside every month",IF(E234="","No job number",IF(F234="CHECK","Job number is not in the Xero job list",IF(I234="","No cost centre",IF(AND(P234="Y",C234=""),"Marked posted to Xero but has no invoice number",IF(AND(L234&lt;&gt;"",K234=""),"No tax code",IF(AND(L234&lt;&gt;"",O234=""),"No revenue GL code",""))))))))</f>
        <v/>
      </c>
      <c r="W234" s="25">
        <f>IF(E234="","",IFERROR(INDEX(lst_JobName,MATCH(E234&amp;"",lst_Jobs,0)),""))</f>
        <v/>
      </c>
      <c r="X234" s="28">
        <f>IF(E234="","",COUNTIFS(tbl_Finance[Job Number],E234&amp;"",tbl_Finance[Ex GST],"&lt;&gt;"))</f>
        <v/>
      </c>
      <c r="Y234" s="27">
        <f>IF(E234="","",SUMIFS(tbl_Finance[Ex GST],tbl_Finance[Job Number],E234&amp;""))</f>
        <v/>
      </c>
      <c r="Z234" s="27">
        <f>IF(E234="","",SUMIFS(tbl_Finance[Ex GST],tbl_Finance[Job Number],E234&amp;"",tbl_Finance[Xero Invoice No],"&lt;&gt;"))</f>
        <v/>
      </c>
      <c r="AA234" s="27">
        <f>IF(E234="","",Y234-Z234)</f>
        <v/>
      </c>
      <c r="AB234" s="25">
        <f>IF(E234="","",IF(H234="Onsite",IFERROR(INDEX(tbl_Onsite[Qwilr Quote],MATCH(E234&amp;"",tbl_Onsite[Job Number],0)),""),IF(H234="Production",IFERROR(IF(INDEX(tbl_Production[Current RMS No],MATCH(E234&amp;"",tbl_Production[Job Number],0))="",INDEX(tbl_Production[Qwilr Quote],MATCH(E234&amp;"",tbl_Production[Job Number],0)),INDEX(tbl_Production[Current RMS No],MATCH(E234&amp;"",tbl_Production[Job Number],0))),""),IF(H234="Consulting",IFERROR(INDEX(tbl_Consulting[Qwilr Quote],MATCH(E234&amp;"",tbl_Consulting[Job Number],0)),""),""))))</f>
        <v/>
      </c>
      <c r="AC234" s="25">
        <f>IF(AB234="","",IF(AND(LEFT(AB234,4)&lt;&gt;"http",IF(H234="Production",set_RMSBase,set_QwilrBase)=""),"",HYPERLINK(IF(LEFT(AB234,4)="http",AB234,IF(H234="Production",set_RMSBase,set_QwilrBase)&amp;AB234),"Open")))</f>
        <v/>
      </c>
      <c r="AD234" s="27">
        <f>IF(E234="","",IF(H234="Production",IFERROR(INDEX(tbl_Production[Total Expense],MATCH(E234&amp;"",tbl_Production[Job Number],0)),0),IF(H234="Consulting",IFERROR(INDEX(tbl_Consulting[Total Expense],MATCH(E234&amp;"",tbl_Consulting[Job Number],0)),0),0)))</f>
        <v/>
      </c>
      <c r="AE234" s="27">
        <f>IF(E234="","",Y234-N(AD234))</f>
        <v/>
      </c>
      <c r="AF234" s="29">
        <f>IFERROR(AE234/Y234,"")</f>
        <v/>
      </c>
      <c r="AG234" s="25">
        <f>IF(E234="","",IF(H234="Onsite",IFERROR(INDEX(tbl_Onsite[Notes],MATCH(E234&amp;"",tbl_Onsite[Job Number],0)),""),IF(H234="Production",IFERROR(INDEX(tbl_Production[Notes],MATCH(E234&amp;"",tbl_Production[Job Number],0)),""),IF(H234="Consulting",IFERROR(INDEX(tbl_Consulting[Notes],MATCH(E234&amp;"",tbl_Consulting[Job Number],0)),""),""))))</f>
        <v/>
      </c>
    </row>
    <row r="235" ht="15" customHeight="1">
      <c r="A235" s="22" t="n"/>
      <c r="B235" s="23">
        <f>IF(A235="","",EOMONTH(A235,0))</f>
        <v/>
      </c>
      <c r="C235" s="24" t="n"/>
      <c r="D235" s="24" t="n"/>
      <c r="E235" s="24" t="n"/>
      <c r="F235" s="25">
        <f>IF(E235="","",IF(COUNTIF(lst_Jobs,E235&amp;"")&gt;0,"OK","CHECK"))</f>
        <v/>
      </c>
      <c r="G235" s="24" t="n"/>
      <c r="H235" s="24" t="n"/>
      <c r="I235" s="24" t="n"/>
      <c r="J235" s="24" t="n"/>
      <c r="K235" s="24" t="n"/>
      <c r="L235" s="26" t="n"/>
      <c r="M235" s="27">
        <f>IF(L235="","",IF(K235="GST 10%",ROUND(L235*set_GSTRate,2),0))</f>
        <v/>
      </c>
      <c r="N235" s="27">
        <f>IF(L235="","",L235+M235)</f>
        <v/>
      </c>
      <c r="O235" s="24" t="n"/>
      <c r="P235" s="24" t="n"/>
      <c r="Q235" s="24" t="n"/>
      <c r="R235" s="22" t="n"/>
      <c r="S235" s="22" t="n"/>
      <c r="T235" s="24" t="n"/>
      <c r="U235" s="24" t="n"/>
      <c r="V235" s="25">
        <f>IF(COUNTA(A235,D235,C235,L235)=0,"",IF(A235="","No date - sits outside every month",IF(E235="","No job number",IF(F235="CHECK","Job number is not in the Xero job list",IF(I235="","No cost centre",IF(AND(P235="Y",C235=""),"Marked posted to Xero but has no invoice number",IF(AND(L235&lt;&gt;"",K235=""),"No tax code",IF(AND(L235&lt;&gt;"",O235=""),"No revenue GL code",""))))))))</f>
        <v/>
      </c>
      <c r="W235" s="25">
        <f>IF(E235="","",IFERROR(INDEX(lst_JobName,MATCH(E235&amp;"",lst_Jobs,0)),""))</f>
        <v/>
      </c>
      <c r="X235" s="28">
        <f>IF(E235="","",COUNTIFS(tbl_Finance[Job Number],E235&amp;"",tbl_Finance[Ex GST],"&lt;&gt;"))</f>
        <v/>
      </c>
      <c r="Y235" s="27">
        <f>IF(E235="","",SUMIFS(tbl_Finance[Ex GST],tbl_Finance[Job Number],E235&amp;""))</f>
        <v/>
      </c>
      <c r="Z235" s="27">
        <f>IF(E235="","",SUMIFS(tbl_Finance[Ex GST],tbl_Finance[Job Number],E235&amp;"",tbl_Finance[Xero Invoice No],"&lt;&gt;"))</f>
        <v/>
      </c>
      <c r="AA235" s="27">
        <f>IF(E235="","",Y235-Z235)</f>
        <v/>
      </c>
      <c r="AB235" s="25">
        <f>IF(E235="","",IF(H235="Onsite",IFERROR(INDEX(tbl_Onsite[Qwilr Quote],MATCH(E235&amp;"",tbl_Onsite[Job Number],0)),""),IF(H235="Production",IFERROR(IF(INDEX(tbl_Production[Current RMS No],MATCH(E235&amp;"",tbl_Production[Job Number],0))="",INDEX(tbl_Production[Qwilr Quote],MATCH(E235&amp;"",tbl_Production[Job Number],0)),INDEX(tbl_Production[Current RMS No],MATCH(E235&amp;"",tbl_Production[Job Number],0))),""),IF(H235="Consulting",IFERROR(INDEX(tbl_Consulting[Qwilr Quote],MATCH(E235&amp;"",tbl_Consulting[Job Number],0)),""),""))))</f>
        <v/>
      </c>
      <c r="AC235" s="25">
        <f>IF(AB235="","",IF(AND(LEFT(AB235,4)&lt;&gt;"http",IF(H235="Production",set_RMSBase,set_QwilrBase)=""),"",HYPERLINK(IF(LEFT(AB235,4)="http",AB235,IF(H235="Production",set_RMSBase,set_QwilrBase)&amp;AB235),"Open")))</f>
        <v/>
      </c>
      <c r="AD235" s="27">
        <f>IF(E235="","",IF(H235="Production",IFERROR(INDEX(tbl_Production[Total Expense],MATCH(E235&amp;"",tbl_Production[Job Number],0)),0),IF(H235="Consulting",IFERROR(INDEX(tbl_Consulting[Total Expense],MATCH(E235&amp;"",tbl_Consulting[Job Number],0)),0),0)))</f>
        <v/>
      </c>
      <c r="AE235" s="27">
        <f>IF(E235="","",Y235-N(AD235))</f>
        <v/>
      </c>
      <c r="AF235" s="29">
        <f>IFERROR(AE235/Y235,"")</f>
        <v/>
      </c>
      <c r="AG235" s="25">
        <f>IF(E235="","",IF(H235="Onsite",IFERROR(INDEX(tbl_Onsite[Notes],MATCH(E235&amp;"",tbl_Onsite[Job Number],0)),""),IF(H235="Production",IFERROR(INDEX(tbl_Production[Notes],MATCH(E235&amp;"",tbl_Production[Job Number],0)),""),IF(H235="Consulting",IFERROR(INDEX(tbl_Consulting[Notes],MATCH(E235&amp;"",tbl_Consulting[Job Number],0)),""),""))))</f>
        <v/>
      </c>
    </row>
    <row r="236" ht="15" customHeight="1">
      <c r="A236" s="22" t="n"/>
      <c r="B236" s="23">
        <f>IF(A236="","",EOMONTH(A236,0))</f>
        <v/>
      </c>
      <c r="C236" s="24" t="n"/>
      <c r="D236" s="24" t="n"/>
      <c r="E236" s="24" t="n"/>
      <c r="F236" s="25">
        <f>IF(E236="","",IF(COUNTIF(lst_Jobs,E236&amp;"")&gt;0,"OK","CHECK"))</f>
        <v/>
      </c>
      <c r="G236" s="24" t="n"/>
      <c r="H236" s="24" t="n"/>
      <c r="I236" s="24" t="n"/>
      <c r="J236" s="24" t="n"/>
      <c r="K236" s="24" t="n"/>
      <c r="L236" s="26" t="n"/>
      <c r="M236" s="27">
        <f>IF(L236="","",IF(K236="GST 10%",ROUND(L236*set_GSTRate,2),0))</f>
        <v/>
      </c>
      <c r="N236" s="27">
        <f>IF(L236="","",L236+M236)</f>
        <v/>
      </c>
      <c r="O236" s="24" t="n"/>
      <c r="P236" s="24" t="n"/>
      <c r="Q236" s="24" t="n"/>
      <c r="R236" s="22" t="n"/>
      <c r="S236" s="22" t="n"/>
      <c r="T236" s="24" t="n"/>
      <c r="U236" s="24" t="n"/>
      <c r="V236" s="25">
        <f>IF(COUNTA(A236,D236,C236,L236)=0,"",IF(A236="","No date - sits outside every month",IF(E236="","No job number",IF(F236="CHECK","Job number is not in the Xero job list",IF(I236="","No cost centre",IF(AND(P236="Y",C236=""),"Marked posted to Xero but has no invoice number",IF(AND(L236&lt;&gt;"",K236=""),"No tax code",IF(AND(L236&lt;&gt;"",O236=""),"No revenue GL code",""))))))))</f>
        <v/>
      </c>
      <c r="W236" s="25">
        <f>IF(E236="","",IFERROR(INDEX(lst_JobName,MATCH(E236&amp;"",lst_Jobs,0)),""))</f>
        <v/>
      </c>
      <c r="X236" s="28">
        <f>IF(E236="","",COUNTIFS(tbl_Finance[Job Number],E236&amp;"",tbl_Finance[Ex GST],"&lt;&gt;"))</f>
        <v/>
      </c>
      <c r="Y236" s="27">
        <f>IF(E236="","",SUMIFS(tbl_Finance[Ex GST],tbl_Finance[Job Number],E236&amp;""))</f>
        <v/>
      </c>
      <c r="Z236" s="27">
        <f>IF(E236="","",SUMIFS(tbl_Finance[Ex GST],tbl_Finance[Job Number],E236&amp;"",tbl_Finance[Xero Invoice No],"&lt;&gt;"))</f>
        <v/>
      </c>
      <c r="AA236" s="27">
        <f>IF(E236="","",Y236-Z236)</f>
        <v/>
      </c>
      <c r="AB236" s="25">
        <f>IF(E236="","",IF(H236="Onsite",IFERROR(INDEX(tbl_Onsite[Qwilr Quote],MATCH(E236&amp;"",tbl_Onsite[Job Number],0)),""),IF(H236="Production",IFERROR(IF(INDEX(tbl_Production[Current RMS No],MATCH(E236&amp;"",tbl_Production[Job Number],0))="",INDEX(tbl_Production[Qwilr Quote],MATCH(E236&amp;"",tbl_Production[Job Number],0)),INDEX(tbl_Production[Current RMS No],MATCH(E236&amp;"",tbl_Production[Job Number],0))),""),IF(H236="Consulting",IFERROR(INDEX(tbl_Consulting[Qwilr Quote],MATCH(E236&amp;"",tbl_Consulting[Job Number],0)),""),""))))</f>
        <v/>
      </c>
      <c r="AC236" s="25">
        <f>IF(AB236="","",IF(AND(LEFT(AB236,4)&lt;&gt;"http",IF(H236="Production",set_RMSBase,set_QwilrBase)=""),"",HYPERLINK(IF(LEFT(AB236,4)="http",AB236,IF(H236="Production",set_RMSBase,set_QwilrBase)&amp;AB236),"Open")))</f>
        <v/>
      </c>
      <c r="AD236" s="27">
        <f>IF(E236="","",IF(H236="Production",IFERROR(INDEX(tbl_Production[Total Expense],MATCH(E236&amp;"",tbl_Production[Job Number],0)),0),IF(H236="Consulting",IFERROR(INDEX(tbl_Consulting[Total Expense],MATCH(E236&amp;"",tbl_Consulting[Job Number],0)),0),0)))</f>
        <v/>
      </c>
      <c r="AE236" s="27">
        <f>IF(E236="","",Y236-N(AD236))</f>
        <v/>
      </c>
      <c r="AF236" s="29">
        <f>IFERROR(AE236/Y236,"")</f>
        <v/>
      </c>
      <c r="AG236" s="25">
        <f>IF(E236="","",IF(H236="Onsite",IFERROR(INDEX(tbl_Onsite[Notes],MATCH(E236&amp;"",tbl_Onsite[Job Number],0)),""),IF(H236="Production",IFERROR(INDEX(tbl_Production[Notes],MATCH(E236&amp;"",tbl_Production[Job Number],0)),""),IF(H236="Consulting",IFERROR(INDEX(tbl_Consulting[Notes],MATCH(E236&amp;"",tbl_Consulting[Job Number],0)),""),""))))</f>
        <v/>
      </c>
    </row>
    <row r="237" ht="15" customHeight="1">
      <c r="A237" s="22" t="n"/>
      <c r="B237" s="23">
        <f>IF(A237="","",EOMONTH(A237,0))</f>
        <v/>
      </c>
      <c r="C237" s="24" t="n"/>
      <c r="D237" s="24" t="n"/>
      <c r="E237" s="24" t="n"/>
      <c r="F237" s="25">
        <f>IF(E237="","",IF(COUNTIF(lst_Jobs,E237&amp;"")&gt;0,"OK","CHECK"))</f>
        <v/>
      </c>
      <c r="G237" s="24" t="n"/>
      <c r="H237" s="24" t="n"/>
      <c r="I237" s="24" t="n"/>
      <c r="J237" s="24" t="n"/>
      <c r="K237" s="24" t="n"/>
      <c r="L237" s="26" t="n"/>
      <c r="M237" s="27">
        <f>IF(L237="","",IF(K237="GST 10%",ROUND(L237*set_GSTRate,2),0))</f>
        <v/>
      </c>
      <c r="N237" s="27">
        <f>IF(L237="","",L237+M237)</f>
        <v/>
      </c>
      <c r="O237" s="24" t="n"/>
      <c r="P237" s="24" t="n"/>
      <c r="Q237" s="24" t="n"/>
      <c r="R237" s="22" t="n"/>
      <c r="S237" s="22" t="n"/>
      <c r="T237" s="24" t="n"/>
      <c r="U237" s="24" t="n"/>
      <c r="V237" s="25">
        <f>IF(COUNTA(A237,D237,C237,L237)=0,"",IF(A237="","No date - sits outside every month",IF(E237="","No job number",IF(F237="CHECK","Job number is not in the Xero job list",IF(I237="","No cost centre",IF(AND(P237="Y",C237=""),"Marked posted to Xero but has no invoice number",IF(AND(L237&lt;&gt;"",K237=""),"No tax code",IF(AND(L237&lt;&gt;"",O237=""),"No revenue GL code",""))))))))</f>
        <v/>
      </c>
      <c r="W237" s="25">
        <f>IF(E237="","",IFERROR(INDEX(lst_JobName,MATCH(E237&amp;"",lst_Jobs,0)),""))</f>
        <v/>
      </c>
      <c r="X237" s="28">
        <f>IF(E237="","",COUNTIFS(tbl_Finance[Job Number],E237&amp;"",tbl_Finance[Ex GST],"&lt;&gt;"))</f>
        <v/>
      </c>
      <c r="Y237" s="27">
        <f>IF(E237="","",SUMIFS(tbl_Finance[Ex GST],tbl_Finance[Job Number],E237&amp;""))</f>
        <v/>
      </c>
      <c r="Z237" s="27">
        <f>IF(E237="","",SUMIFS(tbl_Finance[Ex GST],tbl_Finance[Job Number],E237&amp;"",tbl_Finance[Xero Invoice No],"&lt;&gt;"))</f>
        <v/>
      </c>
      <c r="AA237" s="27">
        <f>IF(E237="","",Y237-Z237)</f>
        <v/>
      </c>
      <c r="AB237" s="25">
        <f>IF(E237="","",IF(H237="Onsite",IFERROR(INDEX(tbl_Onsite[Qwilr Quote],MATCH(E237&amp;"",tbl_Onsite[Job Number],0)),""),IF(H237="Production",IFERROR(IF(INDEX(tbl_Production[Current RMS No],MATCH(E237&amp;"",tbl_Production[Job Number],0))="",INDEX(tbl_Production[Qwilr Quote],MATCH(E237&amp;"",tbl_Production[Job Number],0)),INDEX(tbl_Production[Current RMS No],MATCH(E237&amp;"",tbl_Production[Job Number],0))),""),IF(H237="Consulting",IFERROR(INDEX(tbl_Consulting[Qwilr Quote],MATCH(E237&amp;"",tbl_Consulting[Job Number],0)),""),""))))</f>
        <v/>
      </c>
      <c r="AC237" s="25">
        <f>IF(AB237="","",IF(AND(LEFT(AB237,4)&lt;&gt;"http",IF(H237="Production",set_RMSBase,set_QwilrBase)=""),"",HYPERLINK(IF(LEFT(AB237,4)="http",AB237,IF(H237="Production",set_RMSBase,set_QwilrBase)&amp;AB237),"Open")))</f>
        <v/>
      </c>
      <c r="AD237" s="27">
        <f>IF(E237="","",IF(H237="Production",IFERROR(INDEX(tbl_Production[Total Expense],MATCH(E237&amp;"",tbl_Production[Job Number],0)),0),IF(H237="Consulting",IFERROR(INDEX(tbl_Consulting[Total Expense],MATCH(E237&amp;"",tbl_Consulting[Job Number],0)),0),0)))</f>
        <v/>
      </c>
      <c r="AE237" s="27">
        <f>IF(E237="","",Y237-N(AD237))</f>
        <v/>
      </c>
      <c r="AF237" s="29">
        <f>IFERROR(AE237/Y237,"")</f>
        <v/>
      </c>
      <c r="AG237" s="25">
        <f>IF(E237="","",IF(H237="Onsite",IFERROR(INDEX(tbl_Onsite[Notes],MATCH(E237&amp;"",tbl_Onsite[Job Number],0)),""),IF(H237="Production",IFERROR(INDEX(tbl_Production[Notes],MATCH(E237&amp;"",tbl_Production[Job Number],0)),""),IF(H237="Consulting",IFERROR(INDEX(tbl_Consulting[Notes],MATCH(E237&amp;"",tbl_Consulting[Job Number],0)),""),""))))</f>
        <v/>
      </c>
    </row>
    <row r="238" ht="15" customHeight="1">
      <c r="A238" s="22" t="n"/>
      <c r="B238" s="23">
        <f>IF(A238="","",EOMONTH(A238,0))</f>
        <v/>
      </c>
      <c r="C238" s="24" t="n"/>
      <c r="D238" s="24" t="n"/>
      <c r="E238" s="24" t="n"/>
      <c r="F238" s="25">
        <f>IF(E238="","",IF(COUNTIF(lst_Jobs,E238&amp;"")&gt;0,"OK","CHECK"))</f>
        <v/>
      </c>
      <c r="G238" s="24" t="n"/>
      <c r="H238" s="24" t="n"/>
      <c r="I238" s="24" t="n"/>
      <c r="J238" s="24" t="n"/>
      <c r="K238" s="24" t="n"/>
      <c r="L238" s="26" t="n"/>
      <c r="M238" s="27">
        <f>IF(L238="","",IF(K238="GST 10%",ROUND(L238*set_GSTRate,2),0))</f>
        <v/>
      </c>
      <c r="N238" s="27">
        <f>IF(L238="","",L238+M238)</f>
        <v/>
      </c>
      <c r="O238" s="24" t="n"/>
      <c r="P238" s="24" t="n"/>
      <c r="Q238" s="24" t="n"/>
      <c r="R238" s="22" t="n"/>
      <c r="S238" s="22" t="n"/>
      <c r="T238" s="24" t="n"/>
      <c r="U238" s="24" t="n"/>
      <c r="V238" s="25">
        <f>IF(COUNTA(A238,D238,C238,L238)=0,"",IF(A238="","No date - sits outside every month",IF(E238="","No job number",IF(F238="CHECK","Job number is not in the Xero job list",IF(I238="","No cost centre",IF(AND(P238="Y",C238=""),"Marked posted to Xero but has no invoice number",IF(AND(L238&lt;&gt;"",K238=""),"No tax code",IF(AND(L238&lt;&gt;"",O238=""),"No revenue GL code",""))))))))</f>
        <v/>
      </c>
      <c r="W238" s="25">
        <f>IF(E238="","",IFERROR(INDEX(lst_JobName,MATCH(E238&amp;"",lst_Jobs,0)),""))</f>
        <v/>
      </c>
      <c r="X238" s="28">
        <f>IF(E238="","",COUNTIFS(tbl_Finance[Job Number],E238&amp;"",tbl_Finance[Ex GST],"&lt;&gt;"))</f>
        <v/>
      </c>
      <c r="Y238" s="27">
        <f>IF(E238="","",SUMIFS(tbl_Finance[Ex GST],tbl_Finance[Job Number],E238&amp;""))</f>
        <v/>
      </c>
      <c r="Z238" s="27">
        <f>IF(E238="","",SUMIFS(tbl_Finance[Ex GST],tbl_Finance[Job Number],E238&amp;"",tbl_Finance[Xero Invoice No],"&lt;&gt;"))</f>
        <v/>
      </c>
      <c r="AA238" s="27">
        <f>IF(E238="","",Y238-Z238)</f>
        <v/>
      </c>
      <c r="AB238" s="25">
        <f>IF(E238="","",IF(H238="Onsite",IFERROR(INDEX(tbl_Onsite[Qwilr Quote],MATCH(E238&amp;"",tbl_Onsite[Job Number],0)),""),IF(H238="Production",IFERROR(IF(INDEX(tbl_Production[Current RMS No],MATCH(E238&amp;"",tbl_Production[Job Number],0))="",INDEX(tbl_Production[Qwilr Quote],MATCH(E238&amp;"",tbl_Production[Job Number],0)),INDEX(tbl_Production[Current RMS No],MATCH(E238&amp;"",tbl_Production[Job Number],0))),""),IF(H238="Consulting",IFERROR(INDEX(tbl_Consulting[Qwilr Quote],MATCH(E238&amp;"",tbl_Consulting[Job Number],0)),""),""))))</f>
        <v/>
      </c>
      <c r="AC238" s="25">
        <f>IF(AB238="","",IF(AND(LEFT(AB238,4)&lt;&gt;"http",IF(H238="Production",set_RMSBase,set_QwilrBase)=""),"",HYPERLINK(IF(LEFT(AB238,4)="http",AB238,IF(H238="Production",set_RMSBase,set_QwilrBase)&amp;AB238),"Open")))</f>
        <v/>
      </c>
      <c r="AD238" s="27">
        <f>IF(E238="","",IF(H238="Production",IFERROR(INDEX(tbl_Production[Total Expense],MATCH(E238&amp;"",tbl_Production[Job Number],0)),0),IF(H238="Consulting",IFERROR(INDEX(tbl_Consulting[Total Expense],MATCH(E238&amp;"",tbl_Consulting[Job Number],0)),0),0)))</f>
        <v/>
      </c>
      <c r="AE238" s="27">
        <f>IF(E238="","",Y238-N(AD238))</f>
        <v/>
      </c>
      <c r="AF238" s="29">
        <f>IFERROR(AE238/Y238,"")</f>
        <v/>
      </c>
      <c r="AG238" s="25">
        <f>IF(E238="","",IF(H238="Onsite",IFERROR(INDEX(tbl_Onsite[Notes],MATCH(E238&amp;"",tbl_Onsite[Job Number],0)),""),IF(H238="Production",IFERROR(INDEX(tbl_Production[Notes],MATCH(E238&amp;"",tbl_Production[Job Number],0)),""),IF(H238="Consulting",IFERROR(INDEX(tbl_Consulting[Notes],MATCH(E238&amp;"",tbl_Consulting[Job Number],0)),""),""))))</f>
        <v/>
      </c>
    </row>
    <row r="239" ht="15" customHeight="1">
      <c r="A239" s="22" t="n"/>
      <c r="B239" s="23">
        <f>IF(A239="","",EOMONTH(A239,0))</f>
        <v/>
      </c>
      <c r="C239" s="24" t="n"/>
      <c r="D239" s="24" t="n"/>
      <c r="E239" s="24" t="n"/>
      <c r="F239" s="25">
        <f>IF(E239="","",IF(COUNTIF(lst_Jobs,E239&amp;"")&gt;0,"OK","CHECK"))</f>
        <v/>
      </c>
      <c r="G239" s="24" t="n"/>
      <c r="H239" s="24" t="n"/>
      <c r="I239" s="24" t="n"/>
      <c r="J239" s="24" t="n"/>
      <c r="K239" s="24" t="n"/>
      <c r="L239" s="26" t="n"/>
      <c r="M239" s="27">
        <f>IF(L239="","",IF(K239="GST 10%",ROUND(L239*set_GSTRate,2),0))</f>
        <v/>
      </c>
      <c r="N239" s="27">
        <f>IF(L239="","",L239+M239)</f>
        <v/>
      </c>
      <c r="O239" s="24" t="n"/>
      <c r="P239" s="24" t="n"/>
      <c r="Q239" s="24" t="n"/>
      <c r="R239" s="22" t="n"/>
      <c r="S239" s="22" t="n"/>
      <c r="T239" s="24" t="n"/>
      <c r="U239" s="24" t="n"/>
      <c r="V239" s="25">
        <f>IF(COUNTA(A239,D239,C239,L239)=0,"",IF(A239="","No date - sits outside every month",IF(E239="","No job number",IF(F239="CHECK","Job number is not in the Xero job list",IF(I239="","No cost centre",IF(AND(P239="Y",C239=""),"Marked posted to Xero but has no invoice number",IF(AND(L239&lt;&gt;"",K239=""),"No tax code",IF(AND(L239&lt;&gt;"",O239=""),"No revenue GL code",""))))))))</f>
        <v/>
      </c>
      <c r="W239" s="25">
        <f>IF(E239="","",IFERROR(INDEX(lst_JobName,MATCH(E239&amp;"",lst_Jobs,0)),""))</f>
        <v/>
      </c>
      <c r="X239" s="28">
        <f>IF(E239="","",COUNTIFS(tbl_Finance[Job Number],E239&amp;"",tbl_Finance[Ex GST],"&lt;&gt;"))</f>
        <v/>
      </c>
      <c r="Y239" s="27">
        <f>IF(E239="","",SUMIFS(tbl_Finance[Ex GST],tbl_Finance[Job Number],E239&amp;""))</f>
        <v/>
      </c>
      <c r="Z239" s="27">
        <f>IF(E239="","",SUMIFS(tbl_Finance[Ex GST],tbl_Finance[Job Number],E239&amp;"",tbl_Finance[Xero Invoice No],"&lt;&gt;"))</f>
        <v/>
      </c>
      <c r="AA239" s="27">
        <f>IF(E239="","",Y239-Z239)</f>
        <v/>
      </c>
      <c r="AB239" s="25">
        <f>IF(E239="","",IF(H239="Onsite",IFERROR(INDEX(tbl_Onsite[Qwilr Quote],MATCH(E239&amp;"",tbl_Onsite[Job Number],0)),""),IF(H239="Production",IFERROR(IF(INDEX(tbl_Production[Current RMS No],MATCH(E239&amp;"",tbl_Production[Job Number],0))="",INDEX(tbl_Production[Qwilr Quote],MATCH(E239&amp;"",tbl_Production[Job Number],0)),INDEX(tbl_Production[Current RMS No],MATCH(E239&amp;"",tbl_Production[Job Number],0))),""),IF(H239="Consulting",IFERROR(INDEX(tbl_Consulting[Qwilr Quote],MATCH(E239&amp;"",tbl_Consulting[Job Number],0)),""),""))))</f>
        <v/>
      </c>
      <c r="AC239" s="25">
        <f>IF(AB239="","",IF(AND(LEFT(AB239,4)&lt;&gt;"http",IF(H239="Production",set_RMSBase,set_QwilrBase)=""),"",HYPERLINK(IF(LEFT(AB239,4)="http",AB239,IF(H239="Production",set_RMSBase,set_QwilrBase)&amp;AB239),"Open")))</f>
        <v/>
      </c>
      <c r="AD239" s="27">
        <f>IF(E239="","",IF(H239="Production",IFERROR(INDEX(tbl_Production[Total Expense],MATCH(E239&amp;"",tbl_Production[Job Number],0)),0),IF(H239="Consulting",IFERROR(INDEX(tbl_Consulting[Total Expense],MATCH(E239&amp;"",tbl_Consulting[Job Number],0)),0),0)))</f>
        <v/>
      </c>
      <c r="AE239" s="27">
        <f>IF(E239="","",Y239-N(AD239))</f>
        <v/>
      </c>
      <c r="AF239" s="29">
        <f>IFERROR(AE239/Y239,"")</f>
        <v/>
      </c>
      <c r="AG239" s="25">
        <f>IF(E239="","",IF(H239="Onsite",IFERROR(INDEX(tbl_Onsite[Notes],MATCH(E239&amp;"",tbl_Onsite[Job Number],0)),""),IF(H239="Production",IFERROR(INDEX(tbl_Production[Notes],MATCH(E239&amp;"",tbl_Production[Job Number],0)),""),IF(H239="Consulting",IFERROR(INDEX(tbl_Consulting[Notes],MATCH(E239&amp;"",tbl_Consulting[Job Number],0)),""),""))))</f>
        <v/>
      </c>
    </row>
    <row r="240" ht="15" customHeight="1">
      <c r="A240" s="22" t="n"/>
      <c r="B240" s="23">
        <f>IF(A240="","",EOMONTH(A240,0))</f>
        <v/>
      </c>
      <c r="C240" s="24" t="n"/>
      <c r="D240" s="24" t="n"/>
      <c r="E240" s="24" t="n"/>
      <c r="F240" s="25">
        <f>IF(E240="","",IF(COUNTIF(lst_Jobs,E240&amp;"")&gt;0,"OK","CHECK"))</f>
        <v/>
      </c>
      <c r="G240" s="24" t="n"/>
      <c r="H240" s="24" t="n"/>
      <c r="I240" s="24" t="n"/>
      <c r="J240" s="24" t="n"/>
      <c r="K240" s="24" t="n"/>
      <c r="L240" s="26" t="n"/>
      <c r="M240" s="27">
        <f>IF(L240="","",IF(K240="GST 10%",ROUND(L240*set_GSTRate,2),0))</f>
        <v/>
      </c>
      <c r="N240" s="27">
        <f>IF(L240="","",L240+M240)</f>
        <v/>
      </c>
      <c r="O240" s="24" t="n"/>
      <c r="P240" s="24" t="n"/>
      <c r="Q240" s="24" t="n"/>
      <c r="R240" s="22" t="n"/>
      <c r="S240" s="22" t="n"/>
      <c r="T240" s="24" t="n"/>
      <c r="U240" s="24" t="n"/>
      <c r="V240" s="25">
        <f>IF(COUNTA(A240,D240,C240,L240)=0,"",IF(A240="","No date - sits outside every month",IF(E240="","No job number",IF(F240="CHECK","Job number is not in the Xero job list",IF(I240="","No cost centre",IF(AND(P240="Y",C240=""),"Marked posted to Xero but has no invoice number",IF(AND(L240&lt;&gt;"",K240=""),"No tax code",IF(AND(L240&lt;&gt;"",O240=""),"No revenue GL code",""))))))))</f>
        <v/>
      </c>
      <c r="W240" s="25">
        <f>IF(E240="","",IFERROR(INDEX(lst_JobName,MATCH(E240&amp;"",lst_Jobs,0)),""))</f>
        <v/>
      </c>
      <c r="X240" s="28">
        <f>IF(E240="","",COUNTIFS(tbl_Finance[Job Number],E240&amp;"",tbl_Finance[Ex GST],"&lt;&gt;"))</f>
        <v/>
      </c>
      <c r="Y240" s="27">
        <f>IF(E240="","",SUMIFS(tbl_Finance[Ex GST],tbl_Finance[Job Number],E240&amp;""))</f>
        <v/>
      </c>
      <c r="Z240" s="27">
        <f>IF(E240="","",SUMIFS(tbl_Finance[Ex GST],tbl_Finance[Job Number],E240&amp;"",tbl_Finance[Xero Invoice No],"&lt;&gt;"))</f>
        <v/>
      </c>
      <c r="AA240" s="27">
        <f>IF(E240="","",Y240-Z240)</f>
        <v/>
      </c>
      <c r="AB240" s="25">
        <f>IF(E240="","",IF(H240="Onsite",IFERROR(INDEX(tbl_Onsite[Qwilr Quote],MATCH(E240&amp;"",tbl_Onsite[Job Number],0)),""),IF(H240="Production",IFERROR(IF(INDEX(tbl_Production[Current RMS No],MATCH(E240&amp;"",tbl_Production[Job Number],0))="",INDEX(tbl_Production[Qwilr Quote],MATCH(E240&amp;"",tbl_Production[Job Number],0)),INDEX(tbl_Production[Current RMS No],MATCH(E240&amp;"",tbl_Production[Job Number],0))),""),IF(H240="Consulting",IFERROR(INDEX(tbl_Consulting[Qwilr Quote],MATCH(E240&amp;"",tbl_Consulting[Job Number],0)),""),""))))</f>
        <v/>
      </c>
      <c r="AC240" s="25">
        <f>IF(AB240="","",IF(AND(LEFT(AB240,4)&lt;&gt;"http",IF(H240="Production",set_RMSBase,set_QwilrBase)=""),"",HYPERLINK(IF(LEFT(AB240,4)="http",AB240,IF(H240="Production",set_RMSBase,set_QwilrBase)&amp;AB240),"Open")))</f>
        <v/>
      </c>
      <c r="AD240" s="27">
        <f>IF(E240="","",IF(H240="Production",IFERROR(INDEX(tbl_Production[Total Expense],MATCH(E240&amp;"",tbl_Production[Job Number],0)),0),IF(H240="Consulting",IFERROR(INDEX(tbl_Consulting[Total Expense],MATCH(E240&amp;"",tbl_Consulting[Job Number],0)),0),0)))</f>
        <v/>
      </c>
      <c r="AE240" s="27">
        <f>IF(E240="","",Y240-N(AD240))</f>
        <v/>
      </c>
      <c r="AF240" s="29">
        <f>IFERROR(AE240/Y240,"")</f>
        <v/>
      </c>
      <c r="AG240" s="25">
        <f>IF(E240="","",IF(H240="Onsite",IFERROR(INDEX(tbl_Onsite[Notes],MATCH(E240&amp;"",tbl_Onsite[Job Number],0)),""),IF(H240="Production",IFERROR(INDEX(tbl_Production[Notes],MATCH(E240&amp;"",tbl_Production[Job Number],0)),""),IF(H240="Consulting",IFERROR(INDEX(tbl_Consulting[Notes],MATCH(E240&amp;"",tbl_Consulting[Job Number],0)),""),""))))</f>
        <v/>
      </c>
    </row>
    <row r="241" ht="15" customHeight="1">
      <c r="A241" s="22" t="n"/>
      <c r="B241" s="23">
        <f>IF(A241="","",EOMONTH(A241,0))</f>
        <v/>
      </c>
      <c r="C241" s="24" t="n"/>
      <c r="D241" s="24" t="n"/>
      <c r="E241" s="24" t="n"/>
      <c r="F241" s="25">
        <f>IF(E241="","",IF(COUNTIF(lst_Jobs,E241&amp;"")&gt;0,"OK","CHECK"))</f>
        <v/>
      </c>
      <c r="G241" s="24" t="n"/>
      <c r="H241" s="24" t="n"/>
      <c r="I241" s="24" t="n"/>
      <c r="J241" s="24" t="n"/>
      <c r="K241" s="24" t="n"/>
      <c r="L241" s="26" t="n"/>
      <c r="M241" s="27">
        <f>IF(L241="","",IF(K241="GST 10%",ROUND(L241*set_GSTRate,2),0))</f>
        <v/>
      </c>
      <c r="N241" s="27">
        <f>IF(L241="","",L241+M241)</f>
        <v/>
      </c>
      <c r="O241" s="24" t="n"/>
      <c r="P241" s="24" t="n"/>
      <c r="Q241" s="24" t="n"/>
      <c r="R241" s="22" t="n"/>
      <c r="S241" s="22" t="n"/>
      <c r="T241" s="24" t="n"/>
      <c r="U241" s="24" t="n"/>
      <c r="V241" s="25">
        <f>IF(COUNTA(A241,D241,C241,L241)=0,"",IF(A241="","No date - sits outside every month",IF(E241="","No job number",IF(F241="CHECK","Job number is not in the Xero job list",IF(I241="","No cost centre",IF(AND(P241="Y",C241=""),"Marked posted to Xero but has no invoice number",IF(AND(L241&lt;&gt;"",K241=""),"No tax code",IF(AND(L241&lt;&gt;"",O241=""),"No revenue GL code",""))))))))</f>
        <v/>
      </c>
      <c r="W241" s="25">
        <f>IF(E241="","",IFERROR(INDEX(lst_JobName,MATCH(E241&amp;"",lst_Jobs,0)),""))</f>
        <v/>
      </c>
      <c r="X241" s="28">
        <f>IF(E241="","",COUNTIFS(tbl_Finance[Job Number],E241&amp;"",tbl_Finance[Ex GST],"&lt;&gt;"))</f>
        <v/>
      </c>
      <c r="Y241" s="27">
        <f>IF(E241="","",SUMIFS(tbl_Finance[Ex GST],tbl_Finance[Job Number],E241&amp;""))</f>
        <v/>
      </c>
      <c r="Z241" s="27">
        <f>IF(E241="","",SUMIFS(tbl_Finance[Ex GST],tbl_Finance[Job Number],E241&amp;"",tbl_Finance[Xero Invoice No],"&lt;&gt;"))</f>
        <v/>
      </c>
      <c r="AA241" s="27">
        <f>IF(E241="","",Y241-Z241)</f>
        <v/>
      </c>
      <c r="AB241" s="25">
        <f>IF(E241="","",IF(H241="Onsite",IFERROR(INDEX(tbl_Onsite[Qwilr Quote],MATCH(E241&amp;"",tbl_Onsite[Job Number],0)),""),IF(H241="Production",IFERROR(IF(INDEX(tbl_Production[Current RMS No],MATCH(E241&amp;"",tbl_Production[Job Number],0))="",INDEX(tbl_Production[Qwilr Quote],MATCH(E241&amp;"",tbl_Production[Job Number],0)),INDEX(tbl_Production[Current RMS No],MATCH(E241&amp;"",tbl_Production[Job Number],0))),""),IF(H241="Consulting",IFERROR(INDEX(tbl_Consulting[Qwilr Quote],MATCH(E241&amp;"",tbl_Consulting[Job Number],0)),""),""))))</f>
        <v/>
      </c>
      <c r="AC241" s="25">
        <f>IF(AB241="","",IF(AND(LEFT(AB241,4)&lt;&gt;"http",IF(H241="Production",set_RMSBase,set_QwilrBase)=""),"",HYPERLINK(IF(LEFT(AB241,4)="http",AB241,IF(H241="Production",set_RMSBase,set_QwilrBase)&amp;AB241),"Open")))</f>
        <v/>
      </c>
      <c r="AD241" s="27">
        <f>IF(E241="","",IF(H241="Production",IFERROR(INDEX(tbl_Production[Total Expense],MATCH(E241&amp;"",tbl_Production[Job Number],0)),0),IF(H241="Consulting",IFERROR(INDEX(tbl_Consulting[Total Expense],MATCH(E241&amp;"",tbl_Consulting[Job Number],0)),0),0)))</f>
        <v/>
      </c>
      <c r="AE241" s="27">
        <f>IF(E241="","",Y241-N(AD241))</f>
        <v/>
      </c>
      <c r="AF241" s="29">
        <f>IFERROR(AE241/Y241,"")</f>
        <v/>
      </c>
      <c r="AG241" s="25">
        <f>IF(E241="","",IF(H241="Onsite",IFERROR(INDEX(tbl_Onsite[Notes],MATCH(E241&amp;"",tbl_Onsite[Job Number],0)),""),IF(H241="Production",IFERROR(INDEX(tbl_Production[Notes],MATCH(E241&amp;"",tbl_Production[Job Number],0)),""),IF(H241="Consulting",IFERROR(INDEX(tbl_Consulting[Notes],MATCH(E241&amp;"",tbl_Consulting[Job Number],0)),""),""))))</f>
        <v/>
      </c>
    </row>
    <row r="242" ht="15" customHeight="1">
      <c r="A242" s="22" t="n"/>
      <c r="B242" s="23">
        <f>IF(A242="","",EOMONTH(A242,0))</f>
        <v/>
      </c>
      <c r="C242" s="24" t="n"/>
      <c r="D242" s="24" t="n"/>
      <c r="E242" s="24" t="n"/>
      <c r="F242" s="25">
        <f>IF(E242="","",IF(COUNTIF(lst_Jobs,E242&amp;"")&gt;0,"OK","CHECK"))</f>
        <v/>
      </c>
      <c r="G242" s="24" t="n"/>
      <c r="H242" s="24" t="n"/>
      <c r="I242" s="24" t="n"/>
      <c r="J242" s="24" t="n"/>
      <c r="K242" s="24" t="n"/>
      <c r="L242" s="26" t="n"/>
      <c r="M242" s="27">
        <f>IF(L242="","",IF(K242="GST 10%",ROUND(L242*set_GSTRate,2),0))</f>
        <v/>
      </c>
      <c r="N242" s="27">
        <f>IF(L242="","",L242+M242)</f>
        <v/>
      </c>
      <c r="O242" s="24" t="n"/>
      <c r="P242" s="24" t="n"/>
      <c r="Q242" s="24" t="n"/>
      <c r="R242" s="22" t="n"/>
      <c r="S242" s="22" t="n"/>
      <c r="T242" s="24" t="n"/>
      <c r="U242" s="24" t="n"/>
      <c r="V242" s="25">
        <f>IF(COUNTA(A242,D242,C242,L242)=0,"",IF(A242="","No date - sits outside every month",IF(E242="","No job number",IF(F242="CHECK","Job number is not in the Xero job list",IF(I242="","No cost centre",IF(AND(P242="Y",C242=""),"Marked posted to Xero but has no invoice number",IF(AND(L242&lt;&gt;"",K242=""),"No tax code",IF(AND(L242&lt;&gt;"",O242=""),"No revenue GL code",""))))))))</f>
        <v/>
      </c>
      <c r="W242" s="25">
        <f>IF(E242="","",IFERROR(INDEX(lst_JobName,MATCH(E242&amp;"",lst_Jobs,0)),""))</f>
        <v/>
      </c>
      <c r="X242" s="28">
        <f>IF(E242="","",COUNTIFS(tbl_Finance[Job Number],E242&amp;"",tbl_Finance[Ex GST],"&lt;&gt;"))</f>
        <v/>
      </c>
      <c r="Y242" s="27">
        <f>IF(E242="","",SUMIFS(tbl_Finance[Ex GST],tbl_Finance[Job Number],E242&amp;""))</f>
        <v/>
      </c>
      <c r="Z242" s="27">
        <f>IF(E242="","",SUMIFS(tbl_Finance[Ex GST],tbl_Finance[Job Number],E242&amp;"",tbl_Finance[Xero Invoice No],"&lt;&gt;"))</f>
        <v/>
      </c>
      <c r="AA242" s="27">
        <f>IF(E242="","",Y242-Z242)</f>
        <v/>
      </c>
      <c r="AB242" s="25">
        <f>IF(E242="","",IF(H242="Onsite",IFERROR(INDEX(tbl_Onsite[Qwilr Quote],MATCH(E242&amp;"",tbl_Onsite[Job Number],0)),""),IF(H242="Production",IFERROR(IF(INDEX(tbl_Production[Current RMS No],MATCH(E242&amp;"",tbl_Production[Job Number],0))="",INDEX(tbl_Production[Qwilr Quote],MATCH(E242&amp;"",tbl_Production[Job Number],0)),INDEX(tbl_Production[Current RMS No],MATCH(E242&amp;"",tbl_Production[Job Number],0))),""),IF(H242="Consulting",IFERROR(INDEX(tbl_Consulting[Qwilr Quote],MATCH(E242&amp;"",tbl_Consulting[Job Number],0)),""),""))))</f>
        <v/>
      </c>
      <c r="AC242" s="25">
        <f>IF(AB242="","",IF(AND(LEFT(AB242,4)&lt;&gt;"http",IF(H242="Production",set_RMSBase,set_QwilrBase)=""),"",HYPERLINK(IF(LEFT(AB242,4)="http",AB242,IF(H242="Production",set_RMSBase,set_QwilrBase)&amp;AB242),"Open")))</f>
        <v/>
      </c>
      <c r="AD242" s="27">
        <f>IF(E242="","",IF(H242="Production",IFERROR(INDEX(tbl_Production[Total Expense],MATCH(E242&amp;"",tbl_Production[Job Number],0)),0),IF(H242="Consulting",IFERROR(INDEX(tbl_Consulting[Total Expense],MATCH(E242&amp;"",tbl_Consulting[Job Number],0)),0),0)))</f>
        <v/>
      </c>
      <c r="AE242" s="27">
        <f>IF(E242="","",Y242-N(AD242))</f>
        <v/>
      </c>
      <c r="AF242" s="29">
        <f>IFERROR(AE242/Y242,"")</f>
        <v/>
      </c>
      <c r="AG242" s="25">
        <f>IF(E242="","",IF(H242="Onsite",IFERROR(INDEX(tbl_Onsite[Notes],MATCH(E242&amp;"",tbl_Onsite[Job Number],0)),""),IF(H242="Production",IFERROR(INDEX(tbl_Production[Notes],MATCH(E242&amp;"",tbl_Production[Job Number],0)),""),IF(H242="Consulting",IFERROR(INDEX(tbl_Consulting[Notes],MATCH(E242&amp;"",tbl_Consulting[Job Number],0)),""),""))))</f>
        <v/>
      </c>
    </row>
    <row r="243" ht="15" customHeight="1">
      <c r="A243" s="22" t="n"/>
      <c r="B243" s="23">
        <f>IF(A243="","",EOMONTH(A243,0))</f>
        <v/>
      </c>
      <c r="C243" s="24" t="n"/>
      <c r="D243" s="24" t="n"/>
      <c r="E243" s="24" t="n"/>
      <c r="F243" s="25">
        <f>IF(E243="","",IF(COUNTIF(lst_Jobs,E243&amp;"")&gt;0,"OK","CHECK"))</f>
        <v/>
      </c>
      <c r="G243" s="24" t="n"/>
      <c r="H243" s="24" t="n"/>
      <c r="I243" s="24" t="n"/>
      <c r="J243" s="24" t="n"/>
      <c r="K243" s="24" t="n"/>
      <c r="L243" s="26" t="n"/>
      <c r="M243" s="27">
        <f>IF(L243="","",IF(K243="GST 10%",ROUND(L243*set_GSTRate,2),0))</f>
        <v/>
      </c>
      <c r="N243" s="27">
        <f>IF(L243="","",L243+M243)</f>
        <v/>
      </c>
      <c r="O243" s="24" t="n"/>
      <c r="P243" s="24" t="n"/>
      <c r="Q243" s="24" t="n"/>
      <c r="R243" s="22" t="n"/>
      <c r="S243" s="22" t="n"/>
      <c r="T243" s="24" t="n"/>
      <c r="U243" s="24" t="n"/>
      <c r="V243" s="25">
        <f>IF(COUNTA(A243,D243,C243,L243)=0,"",IF(A243="","No date - sits outside every month",IF(E243="","No job number",IF(F243="CHECK","Job number is not in the Xero job list",IF(I243="","No cost centre",IF(AND(P243="Y",C243=""),"Marked posted to Xero but has no invoice number",IF(AND(L243&lt;&gt;"",K243=""),"No tax code",IF(AND(L243&lt;&gt;"",O243=""),"No revenue GL code",""))))))))</f>
        <v/>
      </c>
      <c r="W243" s="25">
        <f>IF(E243="","",IFERROR(INDEX(lst_JobName,MATCH(E243&amp;"",lst_Jobs,0)),""))</f>
        <v/>
      </c>
      <c r="X243" s="28">
        <f>IF(E243="","",COUNTIFS(tbl_Finance[Job Number],E243&amp;"",tbl_Finance[Ex GST],"&lt;&gt;"))</f>
        <v/>
      </c>
      <c r="Y243" s="27">
        <f>IF(E243="","",SUMIFS(tbl_Finance[Ex GST],tbl_Finance[Job Number],E243&amp;""))</f>
        <v/>
      </c>
      <c r="Z243" s="27">
        <f>IF(E243="","",SUMIFS(tbl_Finance[Ex GST],tbl_Finance[Job Number],E243&amp;"",tbl_Finance[Xero Invoice No],"&lt;&gt;"))</f>
        <v/>
      </c>
      <c r="AA243" s="27">
        <f>IF(E243="","",Y243-Z243)</f>
        <v/>
      </c>
      <c r="AB243" s="25">
        <f>IF(E243="","",IF(H243="Onsite",IFERROR(INDEX(tbl_Onsite[Qwilr Quote],MATCH(E243&amp;"",tbl_Onsite[Job Number],0)),""),IF(H243="Production",IFERROR(IF(INDEX(tbl_Production[Current RMS No],MATCH(E243&amp;"",tbl_Production[Job Number],0))="",INDEX(tbl_Production[Qwilr Quote],MATCH(E243&amp;"",tbl_Production[Job Number],0)),INDEX(tbl_Production[Current RMS No],MATCH(E243&amp;"",tbl_Production[Job Number],0))),""),IF(H243="Consulting",IFERROR(INDEX(tbl_Consulting[Qwilr Quote],MATCH(E243&amp;"",tbl_Consulting[Job Number],0)),""),""))))</f>
        <v/>
      </c>
      <c r="AC243" s="25">
        <f>IF(AB243="","",IF(AND(LEFT(AB243,4)&lt;&gt;"http",IF(H243="Production",set_RMSBase,set_QwilrBase)=""),"",HYPERLINK(IF(LEFT(AB243,4)="http",AB243,IF(H243="Production",set_RMSBase,set_QwilrBase)&amp;AB243),"Open")))</f>
        <v/>
      </c>
      <c r="AD243" s="27">
        <f>IF(E243="","",IF(H243="Production",IFERROR(INDEX(tbl_Production[Total Expense],MATCH(E243&amp;"",tbl_Production[Job Number],0)),0),IF(H243="Consulting",IFERROR(INDEX(tbl_Consulting[Total Expense],MATCH(E243&amp;"",tbl_Consulting[Job Number],0)),0),0)))</f>
        <v/>
      </c>
      <c r="AE243" s="27">
        <f>IF(E243="","",Y243-N(AD243))</f>
        <v/>
      </c>
      <c r="AF243" s="29">
        <f>IFERROR(AE243/Y243,"")</f>
        <v/>
      </c>
      <c r="AG243" s="25">
        <f>IF(E243="","",IF(H243="Onsite",IFERROR(INDEX(tbl_Onsite[Notes],MATCH(E243&amp;"",tbl_Onsite[Job Number],0)),""),IF(H243="Production",IFERROR(INDEX(tbl_Production[Notes],MATCH(E243&amp;"",tbl_Production[Job Number],0)),""),IF(H243="Consulting",IFERROR(INDEX(tbl_Consulting[Notes],MATCH(E243&amp;"",tbl_Consulting[Job Number],0)),""),""))))</f>
        <v/>
      </c>
    </row>
    <row r="244" ht="15" customHeight="1">
      <c r="A244" s="22" t="n"/>
      <c r="B244" s="23">
        <f>IF(A244="","",EOMONTH(A244,0))</f>
        <v/>
      </c>
      <c r="C244" s="24" t="n"/>
      <c r="D244" s="24" t="n"/>
      <c r="E244" s="24" t="n"/>
      <c r="F244" s="25">
        <f>IF(E244="","",IF(COUNTIF(lst_Jobs,E244&amp;"")&gt;0,"OK","CHECK"))</f>
        <v/>
      </c>
      <c r="G244" s="24" t="n"/>
      <c r="H244" s="24" t="n"/>
      <c r="I244" s="24" t="n"/>
      <c r="J244" s="24" t="n"/>
      <c r="K244" s="24" t="n"/>
      <c r="L244" s="26" t="n"/>
      <c r="M244" s="27">
        <f>IF(L244="","",IF(K244="GST 10%",ROUND(L244*set_GSTRate,2),0))</f>
        <v/>
      </c>
      <c r="N244" s="27">
        <f>IF(L244="","",L244+M244)</f>
        <v/>
      </c>
      <c r="O244" s="24" t="n"/>
      <c r="P244" s="24" t="n"/>
      <c r="Q244" s="24" t="n"/>
      <c r="R244" s="22" t="n"/>
      <c r="S244" s="22" t="n"/>
      <c r="T244" s="24" t="n"/>
      <c r="U244" s="24" t="n"/>
      <c r="V244" s="25">
        <f>IF(COUNTA(A244,D244,C244,L244)=0,"",IF(A244="","No date - sits outside every month",IF(E244="","No job number",IF(F244="CHECK","Job number is not in the Xero job list",IF(I244="","No cost centre",IF(AND(P244="Y",C244=""),"Marked posted to Xero but has no invoice number",IF(AND(L244&lt;&gt;"",K244=""),"No tax code",IF(AND(L244&lt;&gt;"",O244=""),"No revenue GL code",""))))))))</f>
        <v/>
      </c>
      <c r="W244" s="25">
        <f>IF(E244="","",IFERROR(INDEX(lst_JobName,MATCH(E244&amp;"",lst_Jobs,0)),""))</f>
        <v/>
      </c>
      <c r="X244" s="28">
        <f>IF(E244="","",COUNTIFS(tbl_Finance[Job Number],E244&amp;"",tbl_Finance[Ex GST],"&lt;&gt;"))</f>
        <v/>
      </c>
      <c r="Y244" s="27">
        <f>IF(E244="","",SUMIFS(tbl_Finance[Ex GST],tbl_Finance[Job Number],E244&amp;""))</f>
        <v/>
      </c>
      <c r="Z244" s="27">
        <f>IF(E244="","",SUMIFS(tbl_Finance[Ex GST],tbl_Finance[Job Number],E244&amp;"",tbl_Finance[Xero Invoice No],"&lt;&gt;"))</f>
        <v/>
      </c>
      <c r="AA244" s="27">
        <f>IF(E244="","",Y244-Z244)</f>
        <v/>
      </c>
      <c r="AB244" s="25">
        <f>IF(E244="","",IF(H244="Onsite",IFERROR(INDEX(tbl_Onsite[Qwilr Quote],MATCH(E244&amp;"",tbl_Onsite[Job Number],0)),""),IF(H244="Production",IFERROR(IF(INDEX(tbl_Production[Current RMS No],MATCH(E244&amp;"",tbl_Production[Job Number],0))="",INDEX(tbl_Production[Qwilr Quote],MATCH(E244&amp;"",tbl_Production[Job Number],0)),INDEX(tbl_Production[Current RMS No],MATCH(E244&amp;"",tbl_Production[Job Number],0))),""),IF(H244="Consulting",IFERROR(INDEX(tbl_Consulting[Qwilr Quote],MATCH(E244&amp;"",tbl_Consulting[Job Number],0)),""),""))))</f>
        <v/>
      </c>
      <c r="AC244" s="25">
        <f>IF(AB244="","",IF(AND(LEFT(AB244,4)&lt;&gt;"http",IF(H244="Production",set_RMSBase,set_QwilrBase)=""),"",HYPERLINK(IF(LEFT(AB244,4)="http",AB244,IF(H244="Production",set_RMSBase,set_QwilrBase)&amp;AB244),"Open")))</f>
        <v/>
      </c>
      <c r="AD244" s="27">
        <f>IF(E244="","",IF(H244="Production",IFERROR(INDEX(tbl_Production[Total Expense],MATCH(E244&amp;"",tbl_Production[Job Number],0)),0),IF(H244="Consulting",IFERROR(INDEX(tbl_Consulting[Total Expense],MATCH(E244&amp;"",tbl_Consulting[Job Number],0)),0),0)))</f>
        <v/>
      </c>
      <c r="AE244" s="27">
        <f>IF(E244="","",Y244-N(AD244))</f>
        <v/>
      </c>
      <c r="AF244" s="29">
        <f>IFERROR(AE244/Y244,"")</f>
        <v/>
      </c>
      <c r="AG244" s="25">
        <f>IF(E244="","",IF(H244="Onsite",IFERROR(INDEX(tbl_Onsite[Notes],MATCH(E244&amp;"",tbl_Onsite[Job Number],0)),""),IF(H244="Production",IFERROR(INDEX(tbl_Production[Notes],MATCH(E244&amp;"",tbl_Production[Job Number],0)),""),IF(H244="Consulting",IFERROR(INDEX(tbl_Consulting[Notes],MATCH(E244&amp;"",tbl_Consulting[Job Number],0)),""),""))))</f>
        <v/>
      </c>
    </row>
    <row r="245" ht="15" customHeight="1">
      <c r="A245" s="22" t="n"/>
      <c r="B245" s="23">
        <f>IF(A245="","",EOMONTH(A245,0))</f>
        <v/>
      </c>
      <c r="C245" s="24" t="n"/>
      <c r="D245" s="24" t="n"/>
      <c r="E245" s="24" t="n"/>
      <c r="F245" s="25">
        <f>IF(E245="","",IF(COUNTIF(lst_Jobs,E245&amp;"")&gt;0,"OK","CHECK"))</f>
        <v/>
      </c>
      <c r="G245" s="24" t="n"/>
      <c r="H245" s="24" t="n"/>
      <c r="I245" s="24" t="n"/>
      <c r="J245" s="24" t="n"/>
      <c r="K245" s="24" t="n"/>
      <c r="L245" s="26" t="n"/>
      <c r="M245" s="27">
        <f>IF(L245="","",IF(K245="GST 10%",ROUND(L245*set_GSTRate,2),0))</f>
        <v/>
      </c>
      <c r="N245" s="27">
        <f>IF(L245="","",L245+M245)</f>
        <v/>
      </c>
      <c r="O245" s="24" t="n"/>
      <c r="P245" s="24" t="n"/>
      <c r="Q245" s="24" t="n"/>
      <c r="R245" s="22" t="n"/>
      <c r="S245" s="22" t="n"/>
      <c r="T245" s="24" t="n"/>
      <c r="U245" s="24" t="n"/>
      <c r="V245" s="25">
        <f>IF(COUNTA(A245,D245,C245,L245)=0,"",IF(A245="","No date - sits outside every month",IF(E245="","No job number",IF(F245="CHECK","Job number is not in the Xero job list",IF(I245="","No cost centre",IF(AND(P245="Y",C245=""),"Marked posted to Xero but has no invoice number",IF(AND(L245&lt;&gt;"",K245=""),"No tax code",IF(AND(L245&lt;&gt;"",O245=""),"No revenue GL code",""))))))))</f>
        <v/>
      </c>
      <c r="W245" s="25">
        <f>IF(E245="","",IFERROR(INDEX(lst_JobName,MATCH(E245&amp;"",lst_Jobs,0)),""))</f>
        <v/>
      </c>
      <c r="X245" s="28">
        <f>IF(E245="","",COUNTIFS(tbl_Finance[Job Number],E245&amp;"",tbl_Finance[Ex GST],"&lt;&gt;"))</f>
        <v/>
      </c>
      <c r="Y245" s="27">
        <f>IF(E245="","",SUMIFS(tbl_Finance[Ex GST],tbl_Finance[Job Number],E245&amp;""))</f>
        <v/>
      </c>
      <c r="Z245" s="27">
        <f>IF(E245="","",SUMIFS(tbl_Finance[Ex GST],tbl_Finance[Job Number],E245&amp;"",tbl_Finance[Xero Invoice No],"&lt;&gt;"))</f>
        <v/>
      </c>
      <c r="AA245" s="27">
        <f>IF(E245="","",Y245-Z245)</f>
        <v/>
      </c>
      <c r="AB245" s="25">
        <f>IF(E245="","",IF(H245="Onsite",IFERROR(INDEX(tbl_Onsite[Qwilr Quote],MATCH(E245&amp;"",tbl_Onsite[Job Number],0)),""),IF(H245="Production",IFERROR(IF(INDEX(tbl_Production[Current RMS No],MATCH(E245&amp;"",tbl_Production[Job Number],0))="",INDEX(tbl_Production[Qwilr Quote],MATCH(E245&amp;"",tbl_Production[Job Number],0)),INDEX(tbl_Production[Current RMS No],MATCH(E245&amp;"",tbl_Production[Job Number],0))),""),IF(H245="Consulting",IFERROR(INDEX(tbl_Consulting[Qwilr Quote],MATCH(E245&amp;"",tbl_Consulting[Job Number],0)),""),""))))</f>
        <v/>
      </c>
      <c r="AC245" s="25">
        <f>IF(AB245="","",IF(AND(LEFT(AB245,4)&lt;&gt;"http",IF(H245="Production",set_RMSBase,set_QwilrBase)=""),"",HYPERLINK(IF(LEFT(AB245,4)="http",AB245,IF(H245="Production",set_RMSBase,set_QwilrBase)&amp;AB245),"Open")))</f>
        <v/>
      </c>
      <c r="AD245" s="27">
        <f>IF(E245="","",IF(H245="Production",IFERROR(INDEX(tbl_Production[Total Expense],MATCH(E245&amp;"",tbl_Production[Job Number],0)),0),IF(H245="Consulting",IFERROR(INDEX(tbl_Consulting[Total Expense],MATCH(E245&amp;"",tbl_Consulting[Job Number],0)),0),0)))</f>
        <v/>
      </c>
      <c r="AE245" s="27">
        <f>IF(E245="","",Y245-N(AD245))</f>
        <v/>
      </c>
      <c r="AF245" s="29">
        <f>IFERROR(AE245/Y245,"")</f>
        <v/>
      </c>
      <c r="AG245" s="25">
        <f>IF(E245="","",IF(H245="Onsite",IFERROR(INDEX(tbl_Onsite[Notes],MATCH(E245&amp;"",tbl_Onsite[Job Number],0)),""),IF(H245="Production",IFERROR(INDEX(tbl_Production[Notes],MATCH(E245&amp;"",tbl_Production[Job Number],0)),""),IF(H245="Consulting",IFERROR(INDEX(tbl_Consulting[Notes],MATCH(E245&amp;"",tbl_Consulting[Job Number],0)),""),""))))</f>
        <v/>
      </c>
    </row>
    <row r="246" ht="15" customHeight="1">
      <c r="A246" s="22" t="n"/>
      <c r="B246" s="23">
        <f>IF(A246="","",EOMONTH(A246,0))</f>
        <v/>
      </c>
      <c r="C246" s="24" t="n"/>
      <c r="D246" s="24" t="n"/>
      <c r="E246" s="24" t="n"/>
      <c r="F246" s="25">
        <f>IF(E246="","",IF(COUNTIF(lst_Jobs,E246&amp;"")&gt;0,"OK","CHECK"))</f>
        <v/>
      </c>
      <c r="G246" s="24" t="n"/>
      <c r="H246" s="24" t="n"/>
      <c r="I246" s="24" t="n"/>
      <c r="J246" s="24" t="n"/>
      <c r="K246" s="24" t="n"/>
      <c r="L246" s="26" t="n"/>
      <c r="M246" s="27">
        <f>IF(L246="","",IF(K246="GST 10%",ROUND(L246*set_GSTRate,2),0))</f>
        <v/>
      </c>
      <c r="N246" s="27">
        <f>IF(L246="","",L246+M246)</f>
        <v/>
      </c>
      <c r="O246" s="24" t="n"/>
      <c r="P246" s="24" t="n"/>
      <c r="Q246" s="24" t="n"/>
      <c r="R246" s="22" t="n"/>
      <c r="S246" s="22" t="n"/>
      <c r="T246" s="24" t="n"/>
      <c r="U246" s="24" t="n"/>
      <c r="V246" s="25">
        <f>IF(COUNTA(A246,D246,C246,L246)=0,"",IF(A246="","No date - sits outside every month",IF(E246="","No job number",IF(F246="CHECK","Job number is not in the Xero job list",IF(I246="","No cost centre",IF(AND(P246="Y",C246=""),"Marked posted to Xero but has no invoice number",IF(AND(L246&lt;&gt;"",K246=""),"No tax code",IF(AND(L246&lt;&gt;"",O246=""),"No revenue GL code",""))))))))</f>
        <v/>
      </c>
      <c r="W246" s="25">
        <f>IF(E246="","",IFERROR(INDEX(lst_JobName,MATCH(E246&amp;"",lst_Jobs,0)),""))</f>
        <v/>
      </c>
      <c r="X246" s="28">
        <f>IF(E246="","",COUNTIFS(tbl_Finance[Job Number],E246&amp;"",tbl_Finance[Ex GST],"&lt;&gt;"))</f>
        <v/>
      </c>
      <c r="Y246" s="27">
        <f>IF(E246="","",SUMIFS(tbl_Finance[Ex GST],tbl_Finance[Job Number],E246&amp;""))</f>
        <v/>
      </c>
      <c r="Z246" s="27">
        <f>IF(E246="","",SUMIFS(tbl_Finance[Ex GST],tbl_Finance[Job Number],E246&amp;"",tbl_Finance[Xero Invoice No],"&lt;&gt;"))</f>
        <v/>
      </c>
      <c r="AA246" s="27">
        <f>IF(E246="","",Y246-Z246)</f>
        <v/>
      </c>
      <c r="AB246" s="25">
        <f>IF(E246="","",IF(H246="Onsite",IFERROR(INDEX(tbl_Onsite[Qwilr Quote],MATCH(E246&amp;"",tbl_Onsite[Job Number],0)),""),IF(H246="Production",IFERROR(IF(INDEX(tbl_Production[Current RMS No],MATCH(E246&amp;"",tbl_Production[Job Number],0))="",INDEX(tbl_Production[Qwilr Quote],MATCH(E246&amp;"",tbl_Production[Job Number],0)),INDEX(tbl_Production[Current RMS No],MATCH(E246&amp;"",tbl_Production[Job Number],0))),""),IF(H246="Consulting",IFERROR(INDEX(tbl_Consulting[Qwilr Quote],MATCH(E246&amp;"",tbl_Consulting[Job Number],0)),""),""))))</f>
        <v/>
      </c>
      <c r="AC246" s="25">
        <f>IF(AB246="","",IF(AND(LEFT(AB246,4)&lt;&gt;"http",IF(H246="Production",set_RMSBase,set_QwilrBase)=""),"",HYPERLINK(IF(LEFT(AB246,4)="http",AB246,IF(H246="Production",set_RMSBase,set_QwilrBase)&amp;AB246),"Open")))</f>
        <v/>
      </c>
      <c r="AD246" s="27">
        <f>IF(E246="","",IF(H246="Production",IFERROR(INDEX(tbl_Production[Total Expense],MATCH(E246&amp;"",tbl_Production[Job Number],0)),0),IF(H246="Consulting",IFERROR(INDEX(tbl_Consulting[Total Expense],MATCH(E246&amp;"",tbl_Consulting[Job Number],0)),0),0)))</f>
        <v/>
      </c>
      <c r="AE246" s="27">
        <f>IF(E246="","",Y246-N(AD246))</f>
        <v/>
      </c>
      <c r="AF246" s="29">
        <f>IFERROR(AE246/Y246,"")</f>
        <v/>
      </c>
      <c r="AG246" s="25">
        <f>IF(E246="","",IF(H246="Onsite",IFERROR(INDEX(tbl_Onsite[Notes],MATCH(E246&amp;"",tbl_Onsite[Job Number],0)),""),IF(H246="Production",IFERROR(INDEX(tbl_Production[Notes],MATCH(E246&amp;"",tbl_Production[Job Number],0)),""),IF(H246="Consulting",IFERROR(INDEX(tbl_Consulting[Notes],MATCH(E246&amp;"",tbl_Consulting[Job Number],0)),""),""))))</f>
        <v/>
      </c>
    </row>
    <row r="247" ht="15" customHeight="1">
      <c r="A247" s="22" t="n"/>
      <c r="B247" s="23">
        <f>IF(A247="","",EOMONTH(A247,0))</f>
        <v/>
      </c>
      <c r="C247" s="24" t="n"/>
      <c r="D247" s="24" t="n"/>
      <c r="E247" s="24" t="n"/>
      <c r="F247" s="25">
        <f>IF(E247="","",IF(COUNTIF(lst_Jobs,E247&amp;"")&gt;0,"OK","CHECK"))</f>
        <v/>
      </c>
      <c r="G247" s="24" t="n"/>
      <c r="H247" s="24" t="n"/>
      <c r="I247" s="24" t="n"/>
      <c r="J247" s="24" t="n"/>
      <c r="K247" s="24" t="n"/>
      <c r="L247" s="26" t="n"/>
      <c r="M247" s="27">
        <f>IF(L247="","",IF(K247="GST 10%",ROUND(L247*set_GSTRate,2),0))</f>
        <v/>
      </c>
      <c r="N247" s="27">
        <f>IF(L247="","",L247+M247)</f>
        <v/>
      </c>
      <c r="O247" s="24" t="n"/>
      <c r="P247" s="24" t="n"/>
      <c r="Q247" s="24" t="n"/>
      <c r="R247" s="22" t="n"/>
      <c r="S247" s="22" t="n"/>
      <c r="T247" s="24" t="n"/>
      <c r="U247" s="24" t="n"/>
      <c r="V247" s="25">
        <f>IF(COUNTA(A247,D247,C247,L247)=0,"",IF(A247="","No date - sits outside every month",IF(E247="","No job number",IF(F247="CHECK","Job number is not in the Xero job list",IF(I247="","No cost centre",IF(AND(P247="Y",C247=""),"Marked posted to Xero but has no invoice number",IF(AND(L247&lt;&gt;"",K247=""),"No tax code",IF(AND(L247&lt;&gt;"",O247=""),"No revenue GL code",""))))))))</f>
        <v/>
      </c>
      <c r="W247" s="25">
        <f>IF(E247="","",IFERROR(INDEX(lst_JobName,MATCH(E247&amp;"",lst_Jobs,0)),""))</f>
        <v/>
      </c>
      <c r="X247" s="28">
        <f>IF(E247="","",COUNTIFS(tbl_Finance[Job Number],E247&amp;"",tbl_Finance[Ex GST],"&lt;&gt;"))</f>
        <v/>
      </c>
      <c r="Y247" s="27">
        <f>IF(E247="","",SUMIFS(tbl_Finance[Ex GST],tbl_Finance[Job Number],E247&amp;""))</f>
        <v/>
      </c>
      <c r="Z247" s="27">
        <f>IF(E247="","",SUMIFS(tbl_Finance[Ex GST],tbl_Finance[Job Number],E247&amp;"",tbl_Finance[Xero Invoice No],"&lt;&gt;"))</f>
        <v/>
      </c>
      <c r="AA247" s="27">
        <f>IF(E247="","",Y247-Z247)</f>
        <v/>
      </c>
      <c r="AB247" s="25">
        <f>IF(E247="","",IF(H247="Onsite",IFERROR(INDEX(tbl_Onsite[Qwilr Quote],MATCH(E247&amp;"",tbl_Onsite[Job Number],0)),""),IF(H247="Production",IFERROR(IF(INDEX(tbl_Production[Current RMS No],MATCH(E247&amp;"",tbl_Production[Job Number],0))="",INDEX(tbl_Production[Qwilr Quote],MATCH(E247&amp;"",tbl_Production[Job Number],0)),INDEX(tbl_Production[Current RMS No],MATCH(E247&amp;"",tbl_Production[Job Number],0))),""),IF(H247="Consulting",IFERROR(INDEX(tbl_Consulting[Qwilr Quote],MATCH(E247&amp;"",tbl_Consulting[Job Number],0)),""),""))))</f>
        <v/>
      </c>
      <c r="AC247" s="25">
        <f>IF(AB247="","",IF(AND(LEFT(AB247,4)&lt;&gt;"http",IF(H247="Production",set_RMSBase,set_QwilrBase)=""),"",HYPERLINK(IF(LEFT(AB247,4)="http",AB247,IF(H247="Production",set_RMSBase,set_QwilrBase)&amp;AB247),"Open")))</f>
        <v/>
      </c>
      <c r="AD247" s="27">
        <f>IF(E247="","",IF(H247="Production",IFERROR(INDEX(tbl_Production[Total Expense],MATCH(E247&amp;"",tbl_Production[Job Number],0)),0),IF(H247="Consulting",IFERROR(INDEX(tbl_Consulting[Total Expense],MATCH(E247&amp;"",tbl_Consulting[Job Number],0)),0),0)))</f>
        <v/>
      </c>
      <c r="AE247" s="27">
        <f>IF(E247="","",Y247-N(AD247))</f>
        <v/>
      </c>
      <c r="AF247" s="29">
        <f>IFERROR(AE247/Y247,"")</f>
        <v/>
      </c>
      <c r="AG247" s="25">
        <f>IF(E247="","",IF(H247="Onsite",IFERROR(INDEX(tbl_Onsite[Notes],MATCH(E247&amp;"",tbl_Onsite[Job Number],0)),""),IF(H247="Production",IFERROR(INDEX(tbl_Production[Notes],MATCH(E247&amp;"",tbl_Production[Job Number],0)),""),IF(H247="Consulting",IFERROR(INDEX(tbl_Consulting[Notes],MATCH(E247&amp;"",tbl_Consulting[Job Number],0)),""),""))))</f>
        <v/>
      </c>
    </row>
    <row r="248" ht="15" customHeight="1">
      <c r="A248" s="22" t="n"/>
      <c r="B248" s="23">
        <f>IF(A248="","",EOMONTH(A248,0))</f>
        <v/>
      </c>
      <c r="C248" s="24" t="n"/>
      <c r="D248" s="24" t="n"/>
      <c r="E248" s="24" t="n"/>
      <c r="F248" s="25">
        <f>IF(E248="","",IF(COUNTIF(lst_Jobs,E248&amp;"")&gt;0,"OK","CHECK"))</f>
        <v/>
      </c>
      <c r="G248" s="24" t="n"/>
      <c r="H248" s="24" t="n"/>
      <c r="I248" s="24" t="n"/>
      <c r="J248" s="24" t="n"/>
      <c r="K248" s="24" t="n"/>
      <c r="L248" s="26" t="n"/>
      <c r="M248" s="27">
        <f>IF(L248="","",IF(K248="GST 10%",ROUND(L248*set_GSTRate,2),0))</f>
        <v/>
      </c>
      <c r="N248" s="27">
        <f>IF(L248="","",L248+M248)</f>
        <v/>
      </c>
      <c r="O248" s="24" t="n"/>
      <c r="P248" s="24" t="n"/>
      <c r="Q248" s="24" t="n"/>
      <c r="R248" s="22" t="n"/>
      <c r="S248" s="22" t="n"/>
      <c r="T248" s="24" t="n"/>
      <c r="U248" s="24" t="n"/>
      <c r="V248" s="25">
        <f>IF(COUNTA(A248,D248,C248,L248)=0,"",IF(A248="","No date - sits outside every month",IF(E248="","No job number",IF(F248="CHECK","Job number is not in the Xero job list",IF(I248="","No cost centre",IF(AND(P248="Y",C248=""),"Marked posted to Xero but has no invoice number",IF(AND(L248&lt;&gt;"",K248=""),"No tax code",IF(AND(L248&lt;&gt;"",O248=""),"No revenue GL code",""))))))))</f>
        <v/>
      </c>
      <c r="W248" s="25">
        <f>IF(E248="","",IFERROR(INDEX(lst_JobName,MATCH(E248&amp;"",lst_Jobs,0)),""))</f>
        <v/>
      </c>
      <c r="X248" s="28">
        <f>IF(E248="","",COUNTIFS(tbl_Finance[Job Number],E248&amp;"",tbl_Finance[Ex GST],"&lt;&gt;"))</f>
        <v/>
      </c>
      <c r="Y248" s="27">
        <f>IF(E248="","",SUMIFS(tbl_Finance[Ex GST],tbl_Finance[Job Number],E248&amp;""))</f>
        <v/>
      </c>
      <c r="Z248" s="27">
        <f>IF(E248="","",SUMIFS(tbl_Finance[Ex GST],tbl_Finance[Job Number],E248&amp;"",tbl_Finance[Xero Invoice No],"&lt;&gt;"))</f>
        <v/>
      </c>
      <c r="AA248" s="27">
        <f>IF(E248="","",Y248-Z248)</f>
        <v/>
      </c>
      <c r="AB248" s="25">
        <f>IF(E248="","",IF(H248="Onsite",IFERROR(INDEX(tbl_Onsite[Qwilr Quote],MATCH(E248&amp;"",tbl_Onsite[Job Number],0)),""),IF(H248="Production",IFERROR(IF(INDEX(tbl_Production[Current RMS No],MATCH(E248&amp;"",tbl_Production[Job Number],0))="",INDEX(tbl_Production[Qwilr Quote],MATCH(E248&amp;"",tbl_Production[Job Number],0)),INDEX(tbl_Production[Current RMS No],MATCH(E248&amp;"",tbl_Production[Job Number],0))),""),IF(H248="Consulting",IFERROR(INDEX(tbl_Consulting[Qwilr Quote],MATCH(E248&amp;"",tbl_Consulting[Job Number],0)),""),""))))</f>
        <v/>
      </c>
      <c r="AC248" s="25">
        <f>IF(AB248="","",IF(AND(LEFT(AB248,4)&lt;&gt;"http",IF(H248="Production",set_RMSBase,set_QwilrBase)=""),"",HYPERLINK(IF(LEFT(AB248,4)="http",AB248,IF(H248="Production",set_RMSBase,set_QwilrBase)&amp;AB248),"Open")))</f>
        <v/>
      </c>
      <c r="AD248" s="27">
        <f>IF(E248="","",IF(H248="Production",IFERROR(INDEX(tbl_Production[Total Expense],MATCH(E248&amp;"",tbl_Production[Job Number],0)),0),IF(H248="Consulting",IFERROR(INDEX(tbl_Consulting[Total Expense],MATCH(E248&amp;"",tbl_Consulting[Job Number],0)),0),0)))</f>
        <v/>
      </c>
      <c r="AE248" s="27">
        <f>IF(E248="","",Y248-N(AD248))</f>
        <v/>
      </c>
      <c r="AF248" s="29">
        <f>IFERROR(AE248/Y248,"")</f>
        <v/>
      </c>
      <c r="AG248" s="25">
        <f>IF(E248="","",IF(H248="Onsite",IFERROR(INDEX(tbl_Onsite[Notes],MATCH(E248&amp;"",tbl_Onsite[Job Number],0)),""),IF(H248="Production",IFERROR(INDEX(tbl_Production[Notes],MATCH(E248&amp;"",tbl_Production[Job Number],0)),""),IF(H248="Consulting",IFERROR(INDEX(tbl_Consulting[Notes],MATCH(E248&amp;"",tbl_Consulting[Job Number],0)),""),""))))</f>
        <v/>
      </c>
    </row>
    <row r="249" ht="15" customHeight="1">
      <c r="A249" s="22" t="n"/>
      <c r="B249" s="23">
        <f>IF(A249="","",EOMONTH(A249,0))</f>
        <v/>
      </c>
      <c r="C249" s="24" t="n"/>
      <c r="D249" s="24" t="n"/>
      <c r="E249" s="24" t="n"/>
      <c r="F249" s="25">
        <f>IF(E249="","",IF(COUNTIF(lst_Jobs,E249&amp;"")&gt;0,"OK","CHECK"))</f>
        <v/>
      </c>
      <c r="G249" s="24" t="n"/>
      <c r="H249" s="24" t="n"/>
      <c r="I249" s="24" t="n"/>
      <c r="J249" s="24" t="n"/>
      <c r="K249" s="24" t="n"/>
      <c r="L249" s="26" t="n"/>
      <c r="M249" s="27">
        <f>IF(L249="","",IF(K249="GST 10%",ROUND(L249*set_GSTRate,2),0))</f>
        <v/>
      </c>
      <c r="N249" s="27">
        <f>IF(L249="","",L249+M249)</f>
        <v/>
      </c>
      <c r="O249" s="24" t="n"/>
      <c r="P249" s="24" t="n"/>
      <c r="Q249" s="24" t="n"/>
      <c r="R249" s="22" t="n"/>
      <c r="S249" s="22" t="n"/>
      <c r="T249" s="24" t="n"/>
      <c r="U249" s="24" t="n"/>
      <c r="V249" s="25">
        <f>IF(COUNTA(A249,D249,C249,L249)=0,"",IF(A249="","No date - sits outside every month",IF(E249="","No job number",IF(F249="CHECK","Job number is not in the Xero job list",IF(I249="","No cost centre",IF(AND(P249="Y",C249=""),"Marked posted to Xero but has no invoice number",IF(AND(L249&lt;&gt;"",K249=""),"No tax code",IF(AND(L249&lt;&gt;"",O249=""),"No revenue GL code",""))))))))</f>
        <v/>
      </c>
      <c r="W249" s="25">
        <f>IF(E249="","",IFERROR(INDEX(lst_JobName,MATCH(E249&amp;"",lst_Jobs,0)),""))</f>
        <v/>
      </c>
      <c r="X249" s="28">
        <f>IF(E249="","",COUNTIFS(tbl_Finance[Job Number],E249&amp;"",tbl_Finance[Ex GST],"&lt;&gt;"))</f>
        <v/>
      </c>
      <c r="Y249" s="27">
        <f>IF(E249="","",SUMIFS(tbl_Finance[Ex GST],tbl_Finance[Job Number],E249&amp;""))</f>
        <v/>
      </c>
      <c r="Z249" s="27">
        <f>IF(E249="","",SUMIFS(tbl_Finance[Ex GST],tbl_Finance[Job Number],E249&amp;"",tbl_Finance[Xero Invoice No],"&lt;&gt;"))</f>
        <v/>
      </c>
      <c r="AA249" s="27">
        <f>IF(E249="","",Y249-Z249)</f>
        <v/>
      </c>
      <c r="AB249" s="25">
        <f>IF(E249="","",IF(H249="Onsite",IFERROR(INDEX(tbl_Onsite[Qwilr Quote],MATCH(E249&amp;"",tbl_Onsite[Job Number],0)),""),IF(H249="Production",IFERROR(IF(INDEX(tbl_Production[Current RMS No],MATCH(E249&amp;"",tbl_Production[Job Number],0))="",INDEX(tbl_Production[Qwilr Quote],MATCH(E249&amp;"",tbl_Production[Job Number],0)),INDEX(tbl_Production[Current RMS No],MATCH(E249&amp;"",tbl_Production[Job Number],0))),""),IF(H249="Consulting",IFERROR(INDEX(tbl_Consulting[Qwilr Quote],MATCH(E249&amp;"",tbl_Consulting[Job Number],0)),""),""))))</f>
        <v/>
      </c>
      <c r="AC249" s="25">
        <f>IF(AB249="","",IF(AND(LEFT(AB249,4)&lt;&gt;"http",IF(H249="Production",set_RMSBase,set_QwilrBase)=""),"",HYPERLINK(IF(LEFT(AB249,4)="http",AB249,IF(H249="Production",set_RMSBase,set_QwilrBase)&amp;AB249),"Open")))</f>
        <v/>
      </c>
      <c r="AD249" s="27">
        <f>IF(E249="","",IF(H249="Production",IFERROR(INDEX(tbl_Production[Total Expense],MATCH(E249&amp;"",tbl_Production[Job Number],0)),0),IF(H249="Consulting",IFERROR(INDEX(tbl_Consulting[Total Expense],MATCH(E249&amp;"",tbl_Consulting[Job Number],0)),0),0)))</f>
        <v/>
      </c>
      <c r="AE249" s="27">
        <f>IF(E249="","",Y249-N(AD249))</f>
        <v/>
      </c>
      <c r="AF249" s="29">
        <f>IFERROR(AE249/Y249,"")</f>
        <v/>
      </c>
      <c r="AG249" s="25">
        <f>IF(E249="","",IF(H249="Onsite",IFERROR(INDEX(tbl_Onsite[Notes],MATCH(E249&amp;"",tbl_Onsite[Job Number],0)),""),IF(H249="Production",IFERROR(INDEX(tbl_Production[Notes],MATCH(E249&amp;"",tbl_Production[Job Number],0)),""),IF(H249="Consulting",IFERROR(INDEX(tbl_Consulting[Notes],MATCH(E249&amp;"",tbl_Consulting[Job Number],0)),""),""))))</f>
        <v/>
      </c>
    </row>
    <row r="250" ht="15" customHeight="1">
      <c r="A250" s="22" t="n"/>
      <c r="B250" s="23">
        <f>IF(A250="","",EOMONTH(A250,0))</f>
        <v/>
      </c>
      <c r="C250" s="24" t="n"/>
      <c r="D250" s="24" t="n"/>
      <c r="E250" s="24" t="n"/>
      <c r="F250" s="25">
        <f>IF(E250="","",IF(COUNTIF(lst_Jobs,E250&amp;"")&gt;0,"OK","CHECK"))</f>
        <v/>
      </c>
      <c r="G250" s="24" t="n"/>
      <c r="H250" s="24" t="n"/>
      <c r="I250" s="24" t="n"/>
      <c r="J250" s="24" t="n"/>
      <c r="K250" s="24" t="n"/>
      <c r="L250" s="26" t="n"/>
      <c r="M250" s="27">
        <f>IF(L250="","",IF(K250="GST 10%",ROUND(L250*set_GSTRate,2),0))</f>
        <v/>
      </c>
      <c r="N250" s="27">
        <f>IF(L250="","",L250+M250)</f>
        <v/>
      </c>
      <c r="O250" s="24" t="n"/>
      <c r="P250" s="24" t="n"/>
      <c r="Q250" s="24" t="n"/>
      <c r="R250" s="22" t="n"/>
      <c r="S250" s="22" t="n"/>
      <c r="T250" s="24" t="n"/>
      <c r="U250" s="24" t="n"/>
      <c r="V250" s="25">
        <f>IF(COUNTA(A250,D250,C250,L250)=0,"",IF(A250="","No date - sits outside every month",IF(E250="","No job number",IF(F250="CHECK","Job number is not in the Xero job list",IF(I250="","No cost centre",IF(AND(P250="Y",C250=""),"Marked posted to Xero but has no invoice number",IF(AND(L250&lt;&gt;"",K250=""),"No tax code",IF(AND(L250&lt;&gt;"",O250=""),"No revenue GL code",""))))))))</f>
        <v/>
      </c>
      <c r="W250" s="25">
        <f>IF(E250="","",IFERROR(INDEX(lst_JobName,MATCH(E250&amp;"",lst_Jobs,0)),""))</f>
        <v/>
      </c>
      <c r="X250" s="28">
        <f>IF(E250="","",COUNTIFS(tbl_Finance[Job Number],E250&amp;"",tbl_Finance[Ex GST],"&lt;&gt;"))</f>
        <v/>
      </c>
      <c r="Y250" s="27">
        <f>IF(E250="","",SUMIFS(tbl_Finance[Ex GST],tbl_Finance[Job Number],E250&amp;""))</f>
        <v/>
      </c>
      <c r="Z250" s="27">
        <f>IF(E250="","",SUMIFS(tbl_Finance[Ex GST],tbl_Finance[Job Number],E250&amp;"",tbl_Finance[Xero Invoice No],"&lt;&gt;"))</f>
        <v/>
      </c>
      <c r="AA250" s="27">
        <f>IF(E250="","",Y250-Z250)</f>
        <v/>
      </c>
      <c r="AB250" s="25">
        <f>IF(E250="","",IF(H250="Onsite",IFERROR(INDEX(tbl_Onsite[Qwilr Quote],MATCH(E250&amp;"",tbl_Onsite[Job Number],0)),""),IF(H250="Production",IFERROR(IF(INDEX(tbl_Production[Current RMS No],MATCH(E250&amp;"",tbl_Production[Job Number],0))="",INDEX(tbl_Production[Qwilr Quote],MATCH(E250&amp;"",tbl_Production[Job Number],0)),INDEX(tbl_Production[Current RMS No],MATCH(E250&amp;"",tbl_Production[Job Number],0))),""),IF(H250="Consulting",IFERROR(INDEX(tbl_Consulting[Qwilr Quote],MATCH(E250&amp;"",tbl_Consulting[Job Number],0)),""),""))))</f>
        <v/>
      </c>
      <c r="AC250" s="25">
        <f>IF(AB250="","",IF(AND(LEFT(AB250,4)&lt;&gt;"http",IF(H250="Production",set_RMSBase,set_QwilrBase)=""),"",HYPERLINK(IF(LEFT(AB250,4)="http",AB250,IF(H250="Production",set_RMSBase,set_QwilrBase)&amp;AB250),"Open")))</f>
        <v/>
      </c>
      <c r="AD250" s="27">
        <f>IF(E250="","",IF(H250="Production",IFERROR(INDEX(tbl_Production[Total Expense],MATCH(E250&amp;"",tbl_Production[Job Number],0)),0),IF(H250="Consulting",IFERROR(INDEX(tbl_Consulting[Total Expense],MATCH(E250&amp;"",tbl_Consulting[Job Number],0)),0),0)))</f>
        <v/>
      </c>
      <c r="AE250" s="27">
        <f>IF(E250="","",Y250-N(AD250))</f>
        <v/>
      </c>
      <c r="AF250" s="29">
        <f>IFERROR(AE250/Y250,"")</f>
        <v/>
      </c>
      <c r="AG250" s="25">
        <f>IF(E250="","",IF(H250="Onsite",IFERROR(INDEX(tbl_Onsite[Notes],MATCH(E250&amp;"",tbl_Onsite[Job Number],0)),""),IF(H250="Production",IFERROR(INDEX(tbl_Production[Notes],MATCH(E250&amp;"",tbl_Production[Job Number],0)),""),IF(H250="Consulting",IFERROR(INDEX(tbl_Consulting[Notes],MATCH(E250&amp;"",tbl_Consulting[Job Number],0)),""),""))))</f>
        <v/>
      </c>
    </row>
    <row r="251" ht="15" customHeight="1">
      <c r="A251" s="22" t="n"/>
      <c r="B251" s="23">
        <f>IF(A251="","",EOMONTH(A251,0))</f>
        <v/>
      </c>
      <c r="C251" s="24" t="n"/>
      <c r="D251" s="24" t="n"/>
      <c r="E251" s="24" t="n"/>
      <c r="F251" s="25">
        <f>IF(E251="","",IF(COUNTIF(lst_Jobs,E251&amp;"")&gt;0,"OK","CHECK"))</f>
        <v/>
      </c>
      <c r="G251" s="24" t="n"/>
      <c r="H251" s="24" t="n"/>
      <c r="I251" s="24" t="n"/>
      <c r="J251" s="24" t="n"/>
      <c r="K251" s="24" t="n"/>
      <c r="L251" s="26" t="n"/>
      <c r="M251" s="27">
        <f>IF(L251="","",IF(K251="GST 10%",ROUND(L251*set_GSTRate,2),0))</f>
        <v/>
      </c>
      <c r="N251" s="27">
        <f>IF(L251="","",L251+M251)</f>
        <v/>
      </c>
      <c r="O251" s="24" t="n"/>
      <c r="P251" s="24" t="n"/>
      <c r="Q251" s="24" t="n"/>
      <c r="R251" s="22" t="n"/>
      <c r="S251" s="22" t="n"/>
      <c r="T251" s="24" t="n"/>
      <c r="U251" s="24" t="n"/>
      <c r="V251" s="25">
        <f>IF(COUNTA(A251,D251,C251,L251)=0,"",IF(A251="","No date - sits outside every month",IF(E251="","No job number",IF(F251="CHECK","Job number is not in the Xero job list",IF(I251="","No cost centre",IF(AND(P251="Y",C251=""),"Marked posted to Xero but has no invoice number",IF(AND(L251&lt;&gt;"",K251=""),"No tax code",IF(AND(L251&lt;&gt;"",O251=""),"No revenue GL code",""))))))))</f>
        <v/>
      </c>
      <c r="W251" s="25">
        <f>IF(E251="","",IFERROR(INDEX(lst_JobName,MATCH(E251&amp;"",lst_Jobs,0)),""))</f>
        <v/>
      </c>
      <c r="X251" s="28">
        <f>IF(E251="","",COUNTIFS(tbl_Finance[Job Number],E251&amp;"",tbl_Finance[Ex GST],"&lt;&gt;"))</f>
        <v/>
      </c>
      <c r="Y251" s="27">
        <f>IF(E251="","",SUMIFS(tbl_Finance[Ex GST],tbl_Finance[Job Number],E251&amp;""))</f>
        <v/>
      </c>
      <c r="Z251" s="27">
        <f>IF(E251="","",SUMIFS(tbl_Finance[Ex GST],tbl_Finance[Job Number],E251&amp;"",tbl_Finance[Xero Invoice No],"&lt;&gt;"))</f>
        <v/>
      </c>
      <c r="AA251" s="27">
        <f>IF(E251="","",Y251-Z251)</f>
        <v/>
      </c>
      <c r="AB251" s="25">
        <f>IF(E251="","",IF(H251="Onsite",IFERROR(INDEX(tbl_Onsite[Qwilr Quote],MATCH(E251&amp;"",tbl_Onsite[Job Number],0)),""),IF(H251="Production",IFERROR(IF(INDEX(tbl_Production[Current RMS No],MATCH(E251&amp;"",tbl_Production[Job Number],0))="",INDEX(tbl_Production[Qwilr Quote],MATCH(E251&amp;"",tbl_Production[Job Number],0)),INDEX(tbl_Production[Current RMS No],MATCH(E251&amp;"",tbl_Production[Job Number],0))),""),IF(H251="Consulting",IFERROR(INDEX(tbl_Consulting[Qwilr Quote],MATCH(E251&amp;"",tbl_Consulting[Job Number],0)),""),""))))</f>
        <v/>
      </c>
      <c r="AC251" s="25">
        <f>IF(AB251="","",IF(AND(LEFT(AB251,4)&lt;&gt;"http",IF(H251="Production",set_RMSBase,set_QwilrBase)=""),"",HYPERLINK(IF(LEFT(AB251,4)="http",AB251,IF(H251="Production",set_RMSBase,set_QwilrBase)&amp;AB251),"Open")))</f>
        <v/>
      </c>
      <c r="AD251" s="27">
        <f>IF(E251="","",IF(H251="Production",IFERROR(INDEX(tbl_Production[Total Expense],MATCH(E251&amp;"",tbl_Production[Job Number],0)),0),IF(H251="Consulting",IFERROR(INDEX(tbl_Consulting[Total Expense],MATCH(E251&amp;"",tbl_Consulting[Job Number],0)),0),0)))</f>
        <v/>
      </c>
      <c r="AE251" s="27">
        <f>IF(E251="","",Y251-N(AD251))</f>
        <v/>
      </c>
      <c r="AF251" s="29">
        <f>IFERROR(AE251/Y251,"")</f>
        <v/>
      </c>
      <c r="AG251" s="25">
        <f>IF(E251="","",IF(H251="Onsite",IFERROR(INDEX(tbl_Onsite[Notes],MATCH(E251&amp;"",tbl_Onsite[Job Number],0)),""),IF(H251="Production",IFERROR(INDEX(tbl_Production[Notes],MATCH(E251&amp;"",tbl_Production[Job Number],0)),""),IF(H251="Consulting",IFERROR(INDEX(tbl_Consulting[Notes],MATCH(E251&amp;"",tbl_Consulting[Job Number],0)),""),""))))</f>
        <v/>
      </c>
    </row>
    <row r="252" ht="15" customHeight="1">
      <c r="A252" s="22" t="n"/>
      <c r="B252" s="23">
        <f>IF(A252="","",EOMONTH(A252,0))</f>
        <v/>
      </c>
      <c r="C252" s="24" t="n"/>
      <c r="D252" s="24" t="n"/>
      <c r="E252" s="24" t="n"/>
      <c r="F252" s="25">
        <f>IF(E252="","",IF(COUNTIF(lst_Jobs,E252&amp;"")&gt;0,"OK","CHECK"))</f>
        <v/>
      </c>
      <c r="G252" s="24" t="n"/>
      <c r="H252" s="24" t="n"/>
      <c r="I252" s="24" t="n"/>
      <c r="J252" s="24" t="n"/>
      <c r="K252" s="24" t="n"/>
      <c r="L252" s="26" t="n"/>
      <c r="M252" s="27">
        <f>IF(L252="","",IF(K252="GST 10%",ROUND(L252*set_GSTRate,2),0))</f>
        <v/>
      </c>
      <c r="N252" s="27">
        <f>IF(L252="","",L252+M252)</f>
        <v/>
      </c>
      <c r="O252" s="24" t="n"/>
      <c r="P252" s="24" t="n"/>
      <c r="Q252" s="24" t="n"/>
      <c r="R252" s="22" t="n"/>
      <c r="S252" s="22" t="n"/>
      <c r="T252" s="24" t="n"/>
      <c r="U252" s="24" t="n"/>
      <c r="V252" s="25">
        <f>IF(COUNTA(A252,D252,C252,L252)=0,"",IF(A252="","No date - sits outside every month",IF(E252="","No job number",IF(F252="CHECK","Job number is not in the Xero job list",IF(I252="","No cost centre",IF(AND(P252="Y",C252=""),"Marked posted to Xero but has no invoice number",IF(AND(L252&lt;&gt;"",K252=""),"No tax code",IF(AND(L252&lt;&gt;"",O252=""),"No revenue GL code",""))))))))</f>
        <v/>
      </c>
      <c r="W252" s="25">
        <f>IF(E252="","",IFERROR(INDEX(lst_JobName,MATCH(E252&amp;"",lst_Jobs,0)),""))</f>
        <v/>
      </c>
      <c r="X252" s="28">
        <f>IF(E252="","",COUNTIFS(tbl_Finance[Job Number],E252&amp;"",tbl_Finance[Ex GST],"&lt;&gt;"))</f>
        <v/>
      </c>
      <c r="Y252" s="27">
        <f>IF(E252="","",SUMIFS(tbl_Finance[Ex GST],tbl_Finance[Job Number],E252&amp;""))</f>
        <v/>
      </c>
      <c r="Z252" s="27">
        <f>IF(E252="","",SUMIFS(tbl_Finance[Ex GST],tbl_Finance[Job Number],E252&amp;"",tbl_Finance[Xero Invoice No],"&lt;&gt;"))</f>
        <v/>
      </c>
      <c r="AA252" s="27">
        <f>IF(E252="","",Y252-Z252)</f>
        <v/>
      </c>
      <c r="AB252" s="25">
        <f>IF(E252="","",IF(H252="Onsite",IFERROR(INDEX(tbl_Onsite[Qwilr Quote],MATCH(E252&amp;"",tbl_Onsite[Job Number],0)),""),IF(H252="Production",IFERROR(IF(INDEX(tbl_Production[Current RMS No],MATCH(E252&amp;"",tbl_Production[Job Number],0))="",INDEX(tbl_Production[Qwilr Quote],MATCH(E252&amp;"",tbl_Production[Job Number],0)),INDEX(tbl_Production[Current RMS No],MATCH(E252&amp;"",tbl_Production[Job Number],0))),""),IF(H252="Consulting",IFERROR(INDEX(tbl_Consulting[Qwilr Quote],MATCH(E252&amp;"",tbl_Consulting[Job Number],0)),""),""))))</f>
        <v/>
      </c>
      <c r="AC252" s="25">
        <f>IF(AB252="","",IF(AND(LEFT(AB252,4)&lt;&gt;"http",IF(H252="Production",set_RMSBase,set_QwilrBase)=""),"",HYPERLINK(IF(LEFT(AB252,4)="http",AB252,IF(H252="Production",set_RMSBase,set_QwilrBase)&amp;AB252),"Open")))</f>
        <v/>
      </c>
      <c r="AD252" s="27">
        <f>IF(E252="","",IF(H252="Production",IFERROR(INDEX(tbl_Production[Total Expense],MATCH(E252&amp;"",tbl_Production[Job Number],0)),0),IF(H252="Consulting",IFERROR(INDEX(tbl_Consulting[Total Expense],MATCH(E252&amp;"",tbl_Consulting[Job Number],0)),0),0)))</f>
        <v/>
      </c>
      <c r="AE252" s="27">
        <f>IF(E252="","",Y252-N(AD252))</f>
        <v/>
      </c>
      <c r="AF252" s="29">
        <f>IFERROR(AE252/Y252,"")</f>
        <v/>
      </c>
      <c r="AG252" s="25">
        <f>IF(E252="","",IF(H252="Onsite",IFERROR(INDEX(tbl_Onsite[Notes],MATCH(E252&amp;"",tbl_Onsite[Job Number],0)),""),IF(H252="Production",IFERROR(INDEX(tbl_Production[Notes],MATCH(E252&amp;"",tbl_Production[Job Number],0)),""),IF(H252="Consulting",IFERROR(INDEX(tbl_Consulting[Notes],MATCH(E252&amp;"",tbl_Consulting[Job Number],0)),""),""))))</f>
        <v/>
      </c>
    </row>
    <row r="253" ht="15" customHeight="1">
      <c r="A253" s="22" t="n"/>
      <c r="B253" s="23">
        <f>IF(A253="","",EOMONTH(A253,0))</f>
        <v/>
      </c>
      <c r="C253" s="24" t="n"/>
      <c r="D253" s="24" t="n"/>
      <c r="E253" s="24" t="n"/>
      <c r="F253" s="25">
        <f>IF(E253="","",IF(COUNTIF(lst_Jobs,E253&amp;"")&gt;0,"OK","CHECK"))</f>
        <v/>
      </c>
      <c r="G253" s="24" t="n"/>
      <c r="H253" s="24" t="n"/>
      <c r="I253" s="24" t="n"/>
      <c r="J253" s="24" t="n"/>
      <c r="K253" s="24" t="n"/>
      <c r="L253" s="26" t="n"/>
      <c r="M253" s="27">
        <f>IF(L253="","",IF(K253="GST 10%",ROUND(L253*set_GSTRate,2),0))</f>
        <v/>
      </c>
      <c r="N253" s="27">
        <f>IF(L253="","",L253+M253)</f>
        <v/>
      </c>
      <c r="O253" s="24" t="n"/>
      <c r="P253" s="24" t="n"/>
      <c r="Q253" s="24" t="n"/>
      <c r="R253" s="22" t="n"/>
      <c r="S253" s="22" t="n"/>
      <c r="T253" s="24" t="n"/>
      <c r="U253" s="24" t="n"/>
      <c r="V253" s="25">
        <f>IF(COUNTA(A253,D253,C253,L253)=0,"",IF(A253="","No date - sits outside every month",IF(E253="","No job number",IF(F253="CHECK","Job number is not in the Xero job list",IF(I253="","No cost centre",IF(AND(P253="Y",C253=""),"Marked posted to Xero but has no invoice number",IF(AND(L253&lt;&gt;"",K253=""),"No tax code",IF(AND(L253&lt;&gt;"",O253=""),"No revenue GL code",""))))))))</f>
        <v/>
      </c>
      <c r="W253" s="25">
        <f>IF(E253="","",IFERROR(INDEX(lst_JobName,MATCH(E253&amp;"",lst_Jobs,0)),""))</f>
        <v/>
      </c>
      <c r="X253" s="28">
        <f>IF(E253="","",COUNTIFS(tbl_Finance[Job Number],E253&amp;"",tbl_Finance[Ex GST],"&lt;&gt;"))</f>
        <v/>
      </c>
      <c r="Y253" s="27">
        <f>IF(E253="","",SUMIFS(tbl_Finance[Ex GST],tbl_Finance[Job Number],E253&amp;""))</f>
        <v/>
      </c>
      <c r="Z253" s="27">
        <f>IF(E253="","",SUMIFS(tbl_Finance[Ex GST],tbl_Finance[Job Number],E253&amp;"",tbl_Finance[Xero Invoice No],"&lt;&gt;"))</f>
        <v/>
      </c>
      <c r="AA253" s="27">
        <f>IF(E253="","",Y253-Z253)</f>
        <v/>
      </c>
      <c r="AB253" s="25">
        <f>IF(E253="","",IF(H253="Onsite",IFERROR(INDEX(tbl_Onsite[Qwilr Quote],MATCH(E253&amp;"",tbl_Onsite[Job Number],0)),""),IF(H253="Production",IFERROR(IF(INDEX(tbl_Production[Current RMS No],MATCH(E253&amp;"",tbl_Production[Job Number],0))="",INDEX(tbl_Production[Qwilr Quote],MATCH(E253&amp;"",tbl_Production[Job Number],0)),INDEX(tbl_Production[Current RMS No],MATCH(E253&amp;"",tbl_Production[Job Number],0))),""),IF(H253="Consulting",IFERROR(INDEX(tbl_Consulting[Qwilr Quote],MATCH(E253&amp;"",tbl_Consulting[Job Number],0)),""),""))))</f>
        <v/>
      </c>
      <c r="AC253" s="25">
        <f>IF(AB253="","",IF(AND(LEFT(AB253,4)&lt;&gt;"http",IF(H253="Production",set_RMSBase,set_QwilrBase)=""),"",HYPERLINK(IF(LEFT(AB253,4)="http",AB253,IF(H253="Production",set_RMSBase,set_QwilrBase)&amp;AB253),"Open")))</f>
        <v/>
      </c>
      <c r="AD253" s="27">
        <f>IF(E253="","",IF(H253="Production",IFERROR(INDEX(tbl_Production[Total Expense],MATCH(E253&amp;"",tbl_Production[Job Number],0)),0),IF(H253="Consulting",IFERROR(INDEX(tbl_Consulting[Total Expense],MATCH(E253&amp;"",tbl_Consulting[Job Number],0)),0),0)))</f>
        <v/>
      </c>
      <c r="AE253" s="27">
        <f>IF(E253="","",Y253-N(AD253))</f>
        <v/>
      </c>
      <c r="AF253" s="29">
        <f>IFERROR(AE253/Y253,"")</f>
        <v/>
      </c>
      <c r="AG253" s="25">
        <f>IF(E253="","",IF(H253="Onsite",IFERROR(INDEX(tbl_Onsite[Notes],MATCH(E253&amp;"",tbl_Onsite[Job Number],0)),""),IF(H253="Production",IFERROR(INDEX(tbl_Production[Notes],MATCH(E253&amp;"",tbl_Production[Job Number],0)),""),IF(H253="Consulting",IFERROR(INDEX(tbl_Consulting[Notes],MATCH(E253&amp;"",tbl_Consulting[Job Number],0)),""),""))))</f>
        <v/>
      </c>
    </row>
    <row r="254" ht="15" customHeight="1">
      <c r="A254" s="22" t="n"/>
      <c r="B254" s="23">
        <f>IF(A254="","",EOMONTH(A254,0))</f>
        <v/>
      </c>
      <c r="C254" s="24" t="n"/>
      <c r="D254" s="24" t="n"/>
      <c r="E254" s="24" t="n"/>
      <c r="F254" s="25">
        <f>IF(E254="","",IF(COUNTIF(lst_Jobs,E254&amp;"")&gt;0,"OK","CHECK"))</f>
        <v/>
      </c>
      <c r="G254" s="24" t="n"/>
      <c r="H254" s="24" t="n"/>
      <c r="I254" s="24" t="n"/>
      <c r="J254" s="24" t="n"/>
      <c r="K254" s="24" t="n"/>
      <c r="L254" s="26" t="n"/>
      <c r="M254" s="27">
        <f>IF(L254="","",IF(K254="GST 10%",ROUND(L254*set_GSTRate,2),0))</f>
        <v/>
      </c>
      <c r="N254" s="27">
        <f>IF(L254="","",L254+M254)</f>
        <v/>
      </c>
      <c r="O254" s="24" t="n"/>
      <c r="P254" s="24" t="n"/>
      <c r="Q254" s="24" t="n"/>
      <c r="R254" s="22" t="n"/>
      <c r="S254" s="22" t="n"/>
      <c r="T254" s="24" t="n"/>
      <c r="U254" s="24" t="n"/>
      <c r="V254" s="25">
        <f>IF(COUNTA(A254,D254,C254,L254)=0,"",IF(A254="","No date - sits outside every month",IF(E254="","No job number",IF(F254="CHECK","Job number is not in the Xero job list",IF(I254="","No cost centre",IF(AND(P254="Y",C254=""),"Marked posted to Xero but has no invoice number",IF(AND(L254&lt;&gt;"",K254=""),"No tax code",IF(AND(L254&lt;&gt;"",O254=""),"No revenue GL code",""))))))))</f>
        <v/>
      </c>
      <c r="W254" s="25">
        <f>IF(E254="","",IFERROR(INDEX(lst_JobName,MATCH(E254&amp;"",lst_Jobs,0)),""))</f>
        <v/>
      </c>
      <c r="X254" s="28">
        <f>IF(E254="","",COUNTIFS(tbl_Finance[Job Number],E254&amp;"",tbl_Finance[Ex GST],"&lt;&gt;"))</f>
        <v/>
      </c>
      <c r="Y254" s="27">
        <f>IF(E254="","",SUMIFS(tbl_Finance[Ex GST],tbl_Finance[Job Number],E254&amp;""))</f>
        <v/>
      </c>
      <c r="Z254" s="27">
        <f>IF(E254="","",SUMIFS(tbl_Finance[Ex GST],tbl_Finance[Job Number],E254&amp;"",tbl_Finance[Xero Invoice No],"&lt;&gt;"))</f>
        <v/>
      </c>
      <c r="AA254" s="27">
        <f>IF(E254="","",Y254-Z254)</f>
        <v/>
      </c>
      <c r="AB254" s="25">
        <f>IF(E254="","",IF(H254="Onsite",IFERROR(INDEX(tbl_Onsite[Qwilr Quote],MATCH(E254&amp;"",tbl_Onsite[Job Number],0)),""),IF(H254="Production",IFERROR(IF(INDEX(tbl_Production[Current RMS No],MATCH(E254&amp;"",tbl_Production[Job Number],0))="",INDEX(tbl_Production[Qwilr Quote],MATCH(E254&amp;"",tbl_Production[Job Number],0)),INDEX(tbl_Production[Current RMS No],MATCH(E254&amp;"",tbl_Production[Job Number],0))),""),IF(H254="Consulting",IFERROR(INDEX(tbl_Consulting[Qwilr Quote],MATCH(E254&amp;"",tbl_Consulting[Job Number],0)),""),""))))</f>
        <v/>
      </c>
      <c r="AC254" s="25">
        <f>IF(AB254="","",IF(AND(LEFT(AB254,4)&lt;&gt;"http",IF(H254="Production",set_RMSBase,set_QwilrBase)=""),"",HYPERLINK(IF(LEFT(AB254,4)="http",AB254,IF(H254="Production",set_RMSBase,set_QwilrBase)&amp;AB254),"Open")))</f>
        <v/>
      </c>
      <c r="AD254" s="27">
        <f>IF(E254="","",IF(H254="Production",IFERROR(INDEX(tbl_Production[Total Expense],MATCH(E254&amp;"",tbl_Production[Job Number],0)),0),IF(H254="Consulting",IFERROR(INDEX(tbl_Consulting[Total Expense],MATCH(E254&amp;"",tbl_Consulting[Job Number],0)),0),0)))</f>
        <v/>
      </c>
      <c r="AE254" s="27">
        <f>IF(E254="","",Y254-N(AD254))</f>
        <v/>
      </c>
      <c r="AF254" s="29">
        <f>IFERROR(AE254/Y254,"")</f>
        <v/>
      </c>
      <c r="AG254" s="25">
        <f>IF(E254="","",IF(H254="Onsite",IFERROR(INDEX(tbl_Onsite[Notes],MATCH(E254&amp;"",tbl_Onsite[Job Number],0)),""),IF(H254="Production",IFERROR(INDEX(tbl_Production[Notes],MATCH(E254&amp;"",tbl_Production[Job Number],0)),""),IF(H254="Consulting",IFERROR(INDEX(tbl_Consulting[Notes],MATCH(E254&amp;"",tbl_Consulting[Job Number],0)),""),""))))</f>
        <v/>
      </c>
    </row>
    <row r="255" ht="15" customHeight="1">
      <c r="A255" s="22" t="n"/>
      <c r="B255" s="23">
        <f>IF(A255="","",EOMONTH(A255,0))</f>
        <v/>
      </c>
      <c r="C255" s="24" t="n"/>
      <c r="D255" s="24" t="n"/>
      <c r="E255" s="24" t="n"/>
      <c r="F255" s="25">
        <f>IF(E255="","",IF(COUNTIF(lst_Jobs,E255&amp;"")&gt;0,"OK","CHECK"))</f>
        <v/>
      </c>
      <c r="G255" s="24" t="n"/>
      <c r="H255" s="24" t="n"/>
      <c r="I255" s="24" t="n"/>
      <c r="J255" s="24" t="n"/>
      <c r="K255" s="24" t="n"/>
      <c r="L255" s="26" t="n"/>
      <c r="M255" s="27">
        <f>IF(L255="","",IF(K255="GST 10%",ROUND(L255*set_GSTRate,2),0))</f>
        <v/>
      </c>
      <c r="N255" s="27">
        <f>IF(L255="","",L255+M255)</f>
        <v/>
      </c>
      <c r="O255" s="24" t="n"/>
      <c r="P255" s="24" t="n"/>
      <c r="Q255" s="24" t="n"/>
      <c r="R255" s="22" t="n"/>
      <c r="S255" s="22" t="n"/>
      <c r="T255" s="24" t="n"/>
      <c r="U255" s="24" t="n"/>
      <c r="V255" s="25">
        <f>IF(COUNTA(A255,D255,C255,L255)=0,"",IF(A255="","No date - sits outside every month",IF(E255="","No job number",IF(F255="CHECK","Job number is not in the Xero job list",IF(I255="","No cost centre",IF(AND(P255="Y",C255=""),"Marked posted to Xero but has no invoice number",IF(AND(L255&lt;&gt;"",K255=""),"No tax code",IF(AND(L255&lt;&gt;"",O255=""),"No revenue GL code",""))))))))</f>
        <v/>
      </c>
      <c r="W255" s="25">
        <f>IF(E255="","",IFERROR(INDEX(lst_JobName,MATCH(E255&amp;"",lst_Jobs,0)),""))</f>
        <v/>
      </c>
      <c r="X255" s="28">
        <f>IF(E255="","",COUNTIFS(tbl_Finance[Job Number],E255&amp;"",tbl_Finance[Ex GST],"&lt;&gt;"))</f>
        <v/>
      </c>
      <c r="Y255" s="27">
        <f>IF(E255="","",SUMIFS(tbl_Finance[Ex GST],tbl_Finance[Job Number],E255&amp;""))</f>
        <v/>
      </c>
      <c r="Z255" s="27">
        <f>IF(E255="","",SUMIFS(tbl_Finance[Ex GST],tbl_Finance[Job Number],E255&amp;"",tbl_Finance[Xero Invoice No],"&lt;&gt;"))</f>
        <v/>
      </c>
      <c r="AA255" s="27">
        <f>IF(E255="","",Y255-Z255)</f>
        <v/>
      </c>
      <c r="AB255" s="25">
        <f>IF(E255="","",IF(H255="Onsite",IFERROR(INDEX(tbl_Onsite[Qwilr Quote],MATCH(E255&amp;"",tbl_Onsite[Job Number],0)),""),IF(H255="Production",IFERROR(IF(INDEX(tbl_Production[Current RMS No],MATCH(E255&amp;"",tbl_Production[Job Number],0))="",INDEX(tbl_Production[Qwilr Quote],MATCH(E255&amp;"",tbl_Production[Job Number],0)),INDEX(tbl_Production[Current RMS No],MATCH(E255&amp;"",tbl_Production[Job Number],0))),""),IF(H255="Consulting",IFERROR(INDEX(tbl_Consulting[Qwilr Quote],MATCH(E255&amp;"",tbl_Consulting[Job Number],0)),""),""))))</f>
        <v/>
      </c>
      <c r="AC255" s="25">
        <f>IF(AB255="","",IF(AND(LEFT(AB255,4)&lt;&gt;"http",IF(H255="Production",set_RMSBase,set_QwilrBase)=""),"",HYPERLINK(IF(LEFT(AB255,4)="http",AB255,IF(H255="Production",set_RMSBase,set_QwilrBase)&amp;AB255),"Open")))</f>
        <v/>
      </c>
      <c r="AD255" s="27">
        <f>IF(E255="","",IF(H255="Production",IFERROR(INDEX(tbl_Production[Total Expense],MATCH(E255&amp;"",tbl_Production[Job Number],0)),0),IF(H255="Consulting",IFERROR(INDEX(tbl_Consulting[Total Expense],MATCH(E255&amp;"",tbl_Consulting[Job Number],0)),0),0)))</f>
        <v/>
      </c>
      <c r="AE255" s="27">
        <f>IF(E255="","",Y255-N(AD255))</f>
        <v/>
      </c>
      <c r="AF255" s="29">
        <f>IFERROR(AE255/Y255,"")</f>
        <v/>
      </c>
      <c r="AG255" s="25">
        <f>IF(E255="","",IF(H255="Onsite",IFERROR(INDEX(tbl_Onsite[Notes],MATCH(E255&amp;"",tbl_Onsite[Job Number],0)),""),IF(H255="Production",IFERROR(INDEX(tbl_Production[Notes],MATCH(E255&amp;"",tbl_Production[Job Number],0)),""),IF(H255="Consulting",IFERROR(INDEX(tbl_Consulting[Notes],MATCH(E255&amp;"",tbl_Consulting[Job Number],0)),""),""))))</f>
        <v/>
      </c>
    </row>
    <row r="256" ht="15" customHeight="1">
      <c r="A256" s="22" t="n"/>
      <c r="B256" s="23">
        <f>IF(A256="","",EOMONTH(A256,0))</f>
        <v/>
      </c>
      <c r="C256" s="24" t="n"/>
      <c r="D256" s="24" t="n"/>
      <c r="E256" s="24" t="n"/>
      <c r="F256" s="25">
        <f>IF(E256="","",IF(COUNTIF(lst_Jobs,E256&amp;"")&gt;0,"OK","CHECK"))</f>
        <v/>
      </c>
      <c r="G256" s="24" t="n"/>
      <c r="H256" s="24" t="n"/>
      <c r="I256" s="24" t="n"/>
      <c r="J256" s="24" t="n"/>
      <c r="K256" s="24" t="n"/>
      <c r="L256" s="26" t="n"/>
      <c r="M256" s="27">
        <f>IF(L256="","",IF(K256="GST 10%",ROUND(L256*set_GSTRate,2),0))</f>
        <v/>
      </c>
      <c r="N256" s="27">
        <f>IF(L256="","",L256+M256)</f>
        <v/>
      </c>
      <c r="O256" s="24" t="n"/>
      <c r="P256" s="24" t="n"/>
      <c r="Q256" s="24" t="n"/>
      <c r="R256" s="22" t="n"/>
      <c r="S256" s="22" t="n"/>
      <c r="T256" s="24" t="n"/>
      <c r="U256" s="24" t="n"/>
      <c r="V256" s="25">
        <f>IF(COUNTA(A256,D256,C256,L256)=0,"",IF(A256="","No date - sits outside every month",IF(E256="","No job number",IF(F256="CHECK","Job number is not in the Xero job list",IF(I256="","No cost centre",IF(AND(P256="Y",C256=""),"Marked posted to Xero but has no invoice number",IF(AND(L256&lt;&gt;"",K256=""),"No tax code",IF(AND(L256&lt;&gt;"",O256=""),"No revenue GL code",""))))))))</f>
        <v/>
      </c>
      <c r="W256" s="25">
        <f>IF(E256="","",IFERROR(INDEX(lst_JobName,MATCH(E256&amp;"",lst_Jobs,0)),""))</f>
        <v/>
      </c>
      <c r="X256" s="28">
        <f>IF(E256="","",COUNTIFS(tbl_Finance[Job Number],E256&amp;"",tbl_Finance[Ex GST],"&lt;&gt;"))</f>
        <v/>
      </c>
      <c r="Y256" s="27">
        <f>IF(E256="","",SUMIFS(tbl_Finance[Ex GST],tbl_Finance[Job Number],E256&amp;""))</f>
        <v/>
      </c>
      <c r="Z256" s="27">
        <f>IF(E256="","",SUMIFS(tbl_Finance[Ex GST],tbl_Finance[Job Number],E256&amp;"",tbl_Finance[Xero Invoice No],"&lt;&gt;"))</f>
        <v/>
      </c>
      <c r="AA256" s="27">
        <f>IF(E256="","",Y256-Z256)</f>
        <v/>
      </c>
      <c r="AB256" s="25">
        <f>IF(E256="","",IF(H256="Onsite",IFERROR(INDEX(tbl_Onsite[Qwilr Quote],MATCH(E256&amp;"",tbl_Onsite[Job Number],0)),""),IF(H256="Production",IFERROR(IF(INDEX(tbl_Production[Current RMS No],MATCH(E256&amp;"",tbl_Production[Job Number],0))="",INDEX(tbl_Production[Qwilr Quote],MATCH(E256&amp;"",tbl_Production[Job Number],0)),INDEX(tbl_Production[Current RMS No],MATCH(E256&amp;"",tbl_Production[Job Number],0))),""),IF(H256="Consulting",IFERROR(INDEX(tbl_Consulting[Qwilr Quote],MATCH(E256&amp;"",tbl_Consulting[Job Number],0)),""),""))))</f>
        <v/>
      </c>
      <c r="AC256" s="25">
        <f>IF(AB256="","",IF(AND(LEFT(AB256,4)&lt;&gt;"http",IF(H256="Production",set_RMSBase,set_QwilrBase)=""),"",HYPERLINK(IF(LEFT(AB256,4)="http",AB256,IF(H256="Production",set_RMSBase,set_QwilrBase)&amp;AB256),"Open")))</f>
        <v/>
      </c>
      <c r="AD256" s="27">
        <f>IF(E256="","",IF(H256="Production",IFERROR(INDEX(tbl_Production[Total Expense],MATCH(E256&amp;"",tbl_Production[Job Number],0)),0),IF(H256="Consulting",IFERROR(INDEX(tbl_Consulting[Total Expense],MATCH(E256&amp;"",tbl_Consulting[Job Number],0)),0),0)))</f>
        <v/>
      </c>
      <c r="AE256" s="27">
        <f>IF(E256="","",Y256-N(AD256))</f>
        <v/>
      </c>
      <c r="AF256" s="29">
        <f>IFERROR(AE256/Y256,"")</f>
        <v/>
      </c>
      <c r="AG256" s="25">
        <f>IF(E256="","",IF(H256="Onsite",IFERROR(INDEX(tbl_Onsite[Notes],MATCH(E256&amp;"",tbl_Onsite[Job Number],0)),""),IF(H256="Production",IFERROR(INDEX(tbl_Production[Notes],MATCH(E256&amp;"",tbl_Production[Job Number],0)),""),IF(H256="Consulting",IFERROR(INDEX(tbl_Consulting[Notes],MATCH(E256&amp;"",tbl_Consulting[Job Number],0)),""),""))))</f>
        <v/>
      </c>
    </row>
    <row r="257" ht="15" customHeight="1">
      <c r="A257" s="22" t="n"/>
      <c r="B257" s="23">
        <f>IF(A257="","",EOMONTH(A257,0))</f>
        <v/>
      </c>
      <c r="C257" s="24" t="n"/>
      <c r="D257" s="24" t="n"/>
      <c r="E257" s="24" t="n"/>
      <c r="F257" s="25">
        <f>IF(E257="","",IF(COUNTIF(lst_Jobs,E257&amp;"")&gt;0,"OK","CHECK"))</f>
        <v/>
      </c>
      <c r="G257" s="24" t="n"/>
      <c r="H257" s="24" t="n"/>
      <c r="I257" s="24" t="n"/>
      <c r="J257" s="24" t="n"/>
      <c r="K257" s="24" t="n"/>
      <c r="L257" s="26" t="n"/>
      <c r="M257" s="27">
        <f>IF(L257="","",IF(K257="GST 10%",ROUND(L257*set_GSTRate,2),0))</f>
        <v/>
      </c>
      <c r="N257" s="27">
        <f>IF(L257="","",L257+M257)</f>
        <v/>
      </c>
      <c r="O257" s="24" t="n"/>
      <c r="P257" s="24" t="n"/>
      <c r="Q257" s="24" t="n"/>
      <c r="R257" s="22" t="n"/>
      <c r="S257" s="22" t="n"/>
      <c r="T257" s="24" t="n"/>
      <c r="U257" s="24" t="n"/>
      <c r="V257" s="25">
        <f>IF(COUNTA(A257,D257,C257,L257)=0,"",IF(A257="","No date - sits outside every month",IF(E257="","No job number",IF(F257="CHECK","Job number is not in the Xero job list",IF(I257="","No cost centre",IF(AND(P257="Y",C257=""),"Marked posted to Xero but has no invoice number",IF(AND(L257&lt;&gt;"",K257=""),"No tax code",IF(AND(L257&lt;&gt;"",O257=""),"No revenue GL code",""))))))))</f>
        <v/>
      </c>
      <c r="W257" s="25">
        <f>IF(E257="","",IFERROR(INDEX(lst_JobName,MATCH(E257&amp;"",lst_Jobs,0)),""))</f>
        <v/>
      </c>
      <c r="X257" s="28">
        <f>IF(E257="","",COUNTIFS(tbl_Finance[Job Number],E257&amp;"",tbl_Finance[Ex GST],"&lt;&gt;"))</f>
        <v/>
      </c>
      <c r="Y257" s="27">
        <f>IF(E257="","",SUMIFS(tbl_Finance[Ex GST],tbl_Finance[Job Number],E257&amp;""))</f>
        <v/>
      </c>
      <c r="Z257" s="27">
        <f>IF(E257="","",SUMIFS(tbl_Finance[Ex GST],tbl_Finance[Job Number],E257&amp;"",tbl_Finance[Xero Invoice No],"&lt;&gt;"))</f>
        <v/>
      </c>
      <c r="AA257" s="27">
        <f>IF(E257="","",Y257-Z257)</f>
        <v/>
      </c>
      <c r="AB257" s="25">
        <f>IF(E257="","",IF(H257="Onsite",IFERROR(INDEX(tbl_Onsite[Qwilr Quote],MATCH(E257&amp;"",tbl_Onsite[Job Number],0)),""),IF(H257="Production",IFERROR(IF(INDEX(tbl_Production[Current RMS No],MATCH(E257&amp;"",tbl_Production[Job Number],0))="",INDEX(tbl_Production[Qwilr Quote],MATCH(E257&amp;"",tbl_Production[Job Number],0)),INDEX(tbl_Production[Current RMS No],MATCH(E257&amp;"",tbl_Production[Job Number],0))),""),IF(H257="Consulting",IFERROR(INDEX(tbl_Consulting[Qwilr Quote],MATCH(E257&amp;"",tbl_Consulting[Job Number],0)),""),""))))</f>
        <v/>
      </c>
      <c r="AC257" s="25">
        <f>IF(AB257="","",IF(AND(LEFT(AB257,4)&lt;&gt;"http",IF(H257="Production",set_RMSBase,set_QwilrBase)=""),"",HYPERLINK(IF(LEFT(AB257,4)="http",AB257,IF(H257="Production",set_RMSBase,set_QwilrBase)&amp;AB257),"Open")))</f>
        <v/>
      </c>
      <c r="AD257" s="27">
        <f>IF(E257="","",IF(H257="Production",IFERROR(INDEX(tbl_Production[Total Expense],MATCH(E257&amp;"",tbl_Production[Job Number],0)),0),IF(H257="Consulting",IFERROR(INDEX(tbl_Consulting[Total Expense],MATCH(E257&amp;"",tbl_Consulting[Job Number],0)),0),0)))</f>
        <v/>
      </c>
      <c r="AE257" s="27">
        <f>IF(E257="","",Y257-N(AD257))</f>
        <v/>
      </c>
      <c r="AF257" s="29">
        <f>IFERROR(AE257/Y257,"")</f>
        <v/>
      </c>
      <c r="AG257" s="25">
        <f>IF(E257="","",IF(H257="Onsite",IFERROR(INDEX(tbl_Onsite[Notes],MATCH(E257&amp;"",tbl_Onsite[Job Number],0)),""),IF(H257="Production",IFERROR(INDEX(tbl_Production[Notes],MATCH(E257&amp;"",tbl_Production[Job Number],0)),""),IF(H257="Consulting",IFERROR(INDEX(tbl_Consulting[Notes],MATCH(E257&amp;"",tbl_Consulting[Job Number],0)),""),""))))</f>
        <v/>
      </c>
    </row>
    <row r="258" ht="15" customHeight="1">
      <c r="A258" s="22" t="n"/>
      <c r="B258" s="23">
        <f>IF(A258="","",EOMONTH(A258,0))</f>
        <v/>
      </c>
      <c r="C258" s="24" t="n"/>
      <c r="D258" s="24" t="n"/>
      <c r="E258" s="24" t="n"/>
      <c r="F258" s="25">
        <f>IF(E258="","",IF(COUNTIF(lst_Jobs,E258&amp;"")&gt;0,"OK","CHECK"))</f>
        <v/>
      </c>
      <c r="G258" s="24" t="n"/>
      <c r="H258" s="24" t="n"/>
      <c r="I258" s="24" t="n"/>
      <c r="J258" s="24" t="n"/>
      <c r="K258" s="24" t="n"/>
      <c r="L258" s="26" t="n"/>
      <c r="M258" s="27">
        <f>IF(L258="","",IF(K258="GST 10%",ROUND(L258*set_GSTRate,2),0))</f>
        <v/>
      </c>
      <c r="N258" s="27">
        <f>IF(L258="","",L258+M258)</f>
        <v/>
      </c>
      <c r="O258" s="24" t="n"/>
      <c r="P258" s="24" t="n"/>
      <c r="Q258" s="24" t="n"/>
      <c r="R258" s="22" t="n"/>
      <c r="S258" s="22" t="n"/>
      <c r="T258" s="24" t="n"/>
      <c r="U258" s="24" t="n"/>
      <c r="V258" s="25">
        <f>IF(COUNTA(A258,D258,C258,L258)=0,"",IF(A258="","No date - sits outside every month",IF(E258="","No job number",IF(F258="CHECK","Job number is not in the Xero job list",IF(I258="","No cost centre",IF(AND(P258="Y",C258=""),"Marked posted to Xero but has no invoice number",IF(AND(L258&lt;&gt;"",K258=""),"No tax code",IF(AND(L258&lt;&gt;"",O258=""),"No revenue GL code",""))))))))</f>
        <v/>
      </c>
      <c r="W258" s="25">
        <f>IF(E258="","",IFERROR(INDEX(lst_JobName,MATCH(E258&amp;"",lst_Jobs,0)),""))</f>
        <v/>
      </c>
      <c r="X258" s="28">
        <f>IF(E258="","",COUNTIFS(tbl_Finance[Job Number],E258&amp;"",tbl_Finance[Ex GST],"&lt;&gt;"))</f>
        <v/>
      </c>
      <c r="Y258" s="27">
        <f>IF(E258="","",SUMIFS(tbl_Finance[Ex GST],tbl_Finance[Job Number],E258&amp;""))</f>
        <v/>
      </c>
      <c r="Z258" s="27">
        <f>IF(E258="","",SUMIFS(tbl_Finance[Ex GST],tbl_Finance[Job Number],E258&amp;"",tbl_Finance[Xero Invoice No],"&lt;&gt;"))</f>
        <v/>
      </c>
      <c r="AA258" s="27">
        <f>IF(E258="","",Y258-Z258)</f>
        <v/>
      </c>
      <c r="AB258" s="25">
        <f>IF(E258="","",IF(H258="Onsite",IFERROR(INDEX(tbl_Onsite[Qwilr Quote],MATCH(E258&amp;"",tbl_Onsite[Job Number],0)),""),IF(H258="Production",IFERROR(IF(INDEX(tbl_Production[Current RMS No],MATCH(E258&amp;"",tbl_Production[Job Number],0))="",INDEX(tbl_Production[Qwilr Quote],MATCH(E258&amp;"",tbl_Production[Job Number],0)),INDEX(tbl_Production[Current RMS No],MATCH(E258&amp;"",tbl_Production[Job Number],0))),""),IF(H258="Consulting",IFERROR(INDEX(tbl_Consulting[Qwilr Quote],MATCH(E258&amp;"",tbl_Consulting[Job Number],0)),""),""))))</f>
        <v/>
      </c>
      <c r="AC258" s="25">
        <f>IF(AB258="","",IF(AND(LEFT(AB258,4)&lt;&gt;"http",IF(H258="Production",set_RMSBase,set_QwilrBase)=""),"",HYPERLINK(IF(LEFT(AB258,4)="http",AB258,IF(H258="Production",set_RMSBase,set_QwilrBase)&amp;AB258),"Open")))</f>
        <v/>
      </c>
      <c r="AD258" s="27">
        <f>IF(E258="","",IF(H258="Production",IFERROR(INDEX(tbl_Production[Total Expense],MATCH(E258&amp;"",tbl_Production[Job Number],0)),0),IF(H258="Consulting",IFERROR(INDEX(tbl_Consulting[Total Expense],MATCH(E258&amp;"",tbl_Consulting[Job Number],0)),0),0)))</f>
        <v/>
      </c>
      <c r="AE258" s="27">
        <f>IF(E258="","",Y258-N(AD258))</f>
        <v/>
      </c>
      <c r="AF258" s="29">
        <f>IFERROR(AE258/Y258,"")</f>
        <v/>
      </c>
      <c r="AG258" s="25">
        <f>IF(E258="","",IF(H258="Onsite",IFERROR(INDEX(tbl_Onsite[Notes],MATCH(E258&amp;"",tbl_Onsite[Job Number],0)),""),IF(H258="Production",IFERROR(INDEX(tbl_Production[Notes],MATCH(E258&amp;"",tbl_Production[Job Number],0)),""),IF(H258="Consulting",IFERROR(INDEX(tbl_Consulting[Notes],MATCH(E258&amp;"",tbl_Consulting[Job Number],0)),""),""))))</f>
        <v/>
      </c>
    </row>
    <row r="259" ht="15" customHeight="1">
      <c r="A259" s="22" t="n"/>
      <c r="B259" s="23">
        <f>IF(A259="","",EOMONTH(A259,0))</f>
        <v/>
      </c>
      <c r="C259" s="24" t="n"/>
      <c r="D259" s="24" t="n"/>
      <c r="E259" s="24" t="n"/>
      <c r="F259" s="25">
        <f>IF(E259="","",IF(COUNTIF(lst_Jobs,E259&amp;"")&gt;0,"OK","CHECK"))</f>
        <v/>
      </c>
      <c r="G259" s="24" t="n"/>
      <c r="H259" s="24" t="n"/>
      <c r="I259" s="24" t="n"/>
      <c r="J259" s="24" t="n"/>
      <c r="K259" s="24" t="n"/>
      <c r="L259" s="26" t="n"/>
      <c r="M259" s="27">
        <f>IF(L259="","",IF(K259="GST 10%",ROUND(L259*set_GSTRate,2),0))</f>
        <v/>
      </c>
      <c r="N259" s="27">
        <f>IF(L259="","",L259+M259)</f>
        <v/>
      </c>
      <c r="O259" s="24" t="n"/>
      <c r="P259" s="24" t="n"/>
      <c r="Q259" s="24" t="n"/>
      <c r="R259" s="22" t="n"/>
      <c r="S259" s="22" t="n"/>
      <c r="T259" s="24" t="n"/>
      <c r="U259" s="24" t="n"/>
      <c r="V259" s="25">
        <f>IF(COUNTA(A259,D259,C259,L259)=0,"",IF(A259="","No date - sits outside every month",IF(E259="","No job number",IF(F259="CHECK","Job number is not in the Xero job list",IF(I259="","No cost centre",IF(AND(P259="Y",C259=""),"Marked posted to Xero but has no invoice number",IF(AND(L259&lt;&gt;"",K259=""),"No tax code",IF(AND(L259&lt;&gt;"",O259=""),"No revenue GL code",""))))))))</f>
        <v/>
      </c>
      <c r="W259" s="25">
        <f>IF(E259="","",IFERROR(INDEX(lst_JobName,MATCH(E259&amp;"",lst_Jobs,0)),""))</f>
        <v/>
      </c>
      <c r="X259" s="28">
        <f>IF(E259="","",COUNTIFS(tbl_Finance[Job Number],E259&amp;"",tbl_Finance[Ex GST],"&lt;&gt;"))</f>
        <v/>
      </c>
      <c r="Y259" s="27">
        <f>IF(E259="","",SUMIFS(tbl_Finance[Ex GST],tbl_Finance[Job Number],E259&amp;""))</f>
        <v/>
      </c>
      <c r="Z259" s="27">
        <f>IF(E259="","",SUMIFS(tbl_Finance[Ex GST],tbl_Finance[Job Number],E259&amp;"",tbl_Finance[Xero Invoice No],"&lt;&gt;"))</f>
        <v/>
      </c>
      <c r="AA259" s="27">
        <f>IF(E259="","",Y259-Z259)</f>
        <v/>
      </c>
      <c r="AB259" s="25">
        <f>IF(E259="","",IF(H259="Onsite",IFERROR(INDEX(tbl_Onsite[Qwilr Quote],MATCH(E259&amp;"",tbl_Onsite[Job Number],0)),""),IF(H259="Production",IFERROR(IF(INDEX(tbl_Production[Current RMS No],MATCH(E259&amp;"",tbl_Production[Job Number],0))="",INDEX(tbl_Production[Qwilr Quote],MATCH(E259&amp;"",tbl_Production[Job Number],0)),INDEX(tbl_Production[Current RMS No],MATCH(E259&amp;"",tbl_Production[Job Number],0))),""),IF(H259="Consulting",IFERROR(INDEX(tbl_Consulting[Qwilr Quote],MATCH(E259&amp;"",tbl_Consulting[Job Number],0)),""),""))))</f>
        <v/>
      </c>
      <c r="AC259" s="25">
        <f>IF(AB259="","",IF(AND(LEFT(AB259,4)&lt;&gt;"http",IF(H259="Production",set_RMSBase,set_QwilrBase)=""),"",HYPERLINK(IF(LEFT(AB259,4)="http",AB259,IF(H259="Production",set_RMSBase,set_QwilrBase)&amp;AB259),"Open")))</f>
        <v/>
      </c>
      <c r="AD259" s="27">
        <f>IF(E259="","",IF(H259="Production",IFERROR(INDEX(tbl_Production[Total Expense],MATCH(E259&amp;"",tbl_Production[Job Number],0)),0),IF(H259="Consulting",IFERROR(INDEX(tbl_Consulting[Total Expense],MATCH(E259&amp;"",tbl_Consulting[Job Number],0)),0),0)))</f>
        <v/>
      </c>
      <c r="AE259" s="27">
        <f>IF(E259="","",Y259-N(AD259))</f>
        <v/>
      </c>
      <c r="AF259" s="29">
        <f>IFERROR(AE259/Y259,"")</f>
        <v/>
      </c>
      <c r="AG259" s="25">
        <f>IF(E259="","",IF(H259="Onsite",IFERROR(INDEX(tbl_Onsite[Notes],MATCH(E259&amp;"",tbl_Onsite[Job Number],0)),""),IF(H259="Production",IFERROR(INDEX(tbl_Production[Notes],MATCH(E259&amp;"",tbl_Production[Job Number],0)),""),IF(H259="Consulting",IFERROR(INDEX(tbl_Consulting[Notes],MATCH(E259&amp;"",tbl_Consulting[Job Number],0)),""),""))))</f>
        <v/>
      </c>
    </row>
    <row r="260" ht="15" customHeight="1">
      <c r="A260" s="22" t="n"/>
      <c r="B260" s="23">
        <f>IF(A260="","",EOMONTH(A260,0))</f>
        <v/>
      </c>
      <c r="C260" s="24" t="n"/>
      <c r="D260" s="24" t="n"/>
      <c r="E260" s="24" t="n"/>
      <c r="F260" s="25">
        <f>IF(E260="","",IF(COUNTIF(lst_Jobs,E260&amp;"")&gt;0,"OK","CHECK"))</f>
        <v/>
      </c>
      <c r="G260" s="24" t="n"/>
      <c r="H260" s="24" t="n"/>
      <c r="I260" s="24" t="n"/>
      <c r="J260" s="24" t="n"/>
      <c r="K260" s="24" t="n"/>
      <c r="L260" s="26" t="n"/>
      <c r="M260" s="27">
        <f>IF(L260="","",IF(K260="GST 10%",ROUND(L260*set_GSTRate,2),0))</f>
        <v/>
      </c>
      <c r="N260" s="27">
        <f>IF(L260="","",L260+M260)</f>
        <v/>
      </c>
      <c r="O260" s="24" t="n"/>
      <c r="P260" s="24" t="n"/>
      <c r="Q260" s="24" t="n"/>
      <c r="R260" s="22" t="n"/>
      <c r="S260" s="22" t="n"/>
      <c r="T260" s="24" t="n"/>
      <c r="U260" s="24" t="n"/>
      <c r="V260" s="25">
        <f>IF(COUNTA(A260,D260,C260,L260)=0,"",IF(A260="","No date - sits outside every month",IF(E260="","No job number",IF(F260="CHECK","Job number is not in the Xero job list",IF(I260="","No cost centre",IF(AND(P260="Y",C260=""),"Marked posted to Xero but has no invoice number",IF(AND(L260&lt;&gt;"",K260=""),"No tax code",IF(AND(L260&lt;&gt;"",O260=""),"No revenue GL code",""))))))))</f>
        <v/>
      </c>
      <c r="W260" s="25">
        <f>IF(E260="","",IFERROR(INDEX(lst_JobName,MATCH(E260&amp;"",lst_Jobs,0)),""))</f>
        <v/>
      </c>
      <c r="X260" s="28">
        <f>IF(E260="","",COUNTIFS(tbl_Finance[Job Number],E260&amp;"",tbl_Finance[Ex GST],"&lt;&gt;"))</f>
        <v/>
      </c>
      <c r="Y260" s="27">
        <f>IF(E260="","",SUMIFS(tbl_Finance[Ex GST],tbl_Finance[Job Number],E260&amp;""))</f>
        <v/>
      </c>
      <c r="Z260" s="27">
        <f>IF(E260="","",SUMIFS(tbl_Finance[Ex GST],tbl_Finance[Job Number],E260&amp;"",tbl_Finance[Xero Invoice No],"&lt;&gt;"))</f>
        <v/>
      </c>
      <c r="AA260" s="27">
        <f>IF(E260="","",Y260-Z260)</f>
        <v/>
      </c>
      <c r="AB260" s="25">
        <f>IF(E260="","",IF(H260="Onsite",IFERROR(INDEX(tbl_Onsite[Qwilr Quote],MATCH(E260&amp;"",tbl_Onsite[Job Number],0)),""),IF(H260="Production",IFERROR(IF(INDEX(tbl_Production[Current RMS No],MATCH(E260&amp;"",tbl_Production[Job Number],0))="",INDEX(tbl_Production[Qwilr Quote],MATCH(E260&amp;"",tbl_Production[Job Number],0)),INDEX(tbl_Production[Current RMS No],MATCH(E260&amp;"",tbl_Production[Job Number],0))),""),IF(H260="Consulting",IFERROR(INDEX(tbl_Consulting[Qwilr Quote],MATCH(E260&amp;"",tbl_Consulting[Job Number],0)),""),""))))</f>
        <v/>
      </c>
      <c r="AC260" s="25">
        <f>IF(AB260="","",IF(AND(LEFT(AB260,4)&lt;&gt;"http",IF(H260="Production",set_RMSBase,set_QwilrBase)=""),"",HYPERLINK(IF(LEFT(AB260,4)="http",AB260,IF(H260="Production",set_RMSBase,set_QwilrBase)&amp;AB260),"Open")))</f>
        <v/>
      </c>
      <c r="AD260" s="27">
        <f>IF(E260="","",IF(H260="Production",IFERROR(INDEX(tbl_Production[Total Expense],MATCH(E260&amp;"",tbl_Production[Job Number],0)),0),IF(H260="Consulting",IFERROR(INDEX(tbl_Consulting[Total Expense],MATCH(E260&amp;"",tbl_Consulting[Job Number],0)),0),0)))</f>
        <v/>
      </c>
      <c r="AE260" s="27">
        <f>IF(E260="","",Y260-N(AD260))</f>
        <v/>
      </c>
      <c r="AF260" s="29">
        <f>IFERROR(AE260/Y260,"")</f>
        <v/>
      </c>
      <c r="AG260" s="25">
        <f>IF(E260="","",IF(H260="Onsite",IFERROR(INDEX(tbl_Onsite[Notes],MATCH(E260&amp;"",tbl_Onsite[Job Number],0)),""),IF(H260="Production",IFERROR(INDEX(tbl_Production[Notes],MATCH(E260&amp;"",tbl_Production[Job Number],0)),""),IF(H260="Consulting",IFERROR(INDEX(tbl_Consulting[Notes],MATCH(E260&amp;"",tbl_Consulting[Job Number],0)),""),""))))</f>
        <v/>
      </c>
    </row>
    <row r="261" ht="15" customHeight="1">
      <c r="A261" s="22" t="n"/>
      <c r="B261" s="23">
        <f>IF(A261="","",EOMONTH(A261,0))</f>
        <v/>
      </c>
      <c r="C261" s="24" t="n"/>
      <c r="D261" s="24" t="n"/>
      <c r="E261" s="24" t="n"/>
      <c r="F261" s="25">
        <f>IF(E261="","",IF(COUNTIF(lst_Jobs,E261&amp;"")&gt;0,"OK","CHECK"))</f>
        <v/>
      </c>
      <c r="G261" s="24" t="n"/>
      <c r="H261" s="24" t="n"/>
      <c r="I261" s="24" t="n"/>
      <c r="J261" s="24" t="n"/>
      <c r="K261" s="24" t="n"/>
      <c r="L261" s="26" t="n"/>
      <c r="M261" s="27">
        <f>IF(L261="","",IF(K261="GST 10%",ROUND(L261*set_GSTRate,2),0))</f>
        <v/>
      </c>
      <c r="N261" s="27">
        <f>IF(L261="","",L261+M261)</f>
        <v/>
      </c>
      <c r="O261" s="24" t="n"/>
      <c r="P261" s="24" t="n"/>
      <c r="Q261" s="24" t="n"/>
      <c r="R261" s="22" t="n"/>
      <c r="S261" s="22" t="n"/>
      <c r="T261" s="24" t="n"/>
      <c r="U261" s="24" t="n"/>
      <c r="V261" s="25">
        <f>IF(COUNTA(A261,D261,C261,L261)=0,"",IF(A261="","No date - sits outside every month",IF(E261="","No job number",IF(F261="CHECK","Job number is not in the Xero job list",IF(I261="","No cost centre",IF(AND(P261="Y",C261=""),"Marked posted to Xero but has no invoice number",IF(AND(L261&lt;&gt;"",K261=""),"No tax code",IF(AND(L261&lt;&gt;"",O261=""),"No revenue GL code",""))))))))</f>
        <v/>
      </c>
      <c r="W261" s="25">
        <f>IF(E261="","",IFERROR(INDEX(lst_JobName,MATCH(E261&amp;"",lst_Jobs,0)),""))</f>
        <v/>
      </c>
      <c r="X261" s="28">
        <f>IF(E261="","",COUNTIFS(tbl_Finance[Job Number],E261&amp;"",tbl_Finance[Ex GST],"&lt;&gt;"))</f>
        <v/>
      </c>
      <c r="Y261" s="27">
        <f>IF(E261="","",SUMIFS(tbl_Finance[Ex GST],tbl_Finance[Job Number],E261&amp;""))</f>
        <v/>
      </c>
      <c r="Z261" s="27">
        <f>IF(E261="","",SUMIFS(tbl_Finance[Ex GST],tbl_Finance[Job Number],E261&amp;"",tbl_Finance[Xero Invoice No],"&lt;&gt;"))</f>
        <v/>
      </c>
      <c r="AA261" s="27">
        <f>IF(E261="","",Y261-Z261)</f>
        <v/>
      </c>
      <c r="AB261" s="25">
        <f>IF(E261="","",IF(H261="Onsite",IFERROR(INDEX(tbl_Onsite[Qwilr Quote],MATCH(E261&amp;"",tbl_Onsite[Job Number],0)),""),IF(H261="Production",IFERROR(IF(INDEX(tbl_Production[Current RMS No],MATCH(E261&amp;"",tbl_Production[Job Number],0))="",INDEX(tbl_Production[Qwilr Quote],MATCH(E261&amp;"",tbl_Production[Job Number],0)),INDEX(tbl_Production[Current RMS No],MATCH(E261&amp;"",tbl_Production[Job Number],0))),""),IF(H261="Consulting",IFERROR(INDEX(tbl_Consulting[Qwilr Quote],MATCH(E261&amp;"",tbl_Consulting[Job Number],0)),""),""))))</f>
        <v/>
      </c>
      <c r="AC261" s="25">
        <f>IF(AB261="","",IF(AND(LEFT(AB261,4)&lt;&gt;"http",IF(H261="Production",set_RMSBase,set_QwilrBase)=""),"",HYPERLINK(IF(LEFT(AB261,4)="http",AB261,IF(H261="Production",set_RMSBase,set_QwilrBase)&amp;AB261),"Open")))</f>
        <v/>
      </c>
      <c r="AD261" s="27">
        <f>IF(E261="","",IF(H261="Production",IFERROR(INDEX(tbl_Production[Total Expense],MATCH(E261&amp;"",tbl_Production[Job Number],0)),0),IF(H261="Consulting",IFERROR(INDEX(tbl_Consulting[Total Expense],MATCH(E261&amp;"",tbl_Consulting[Job Number],0)),0),0)))</f>
        <v/>
      </c>
      <c r="AE261" s="27">
        <f>IF(E261="","",Y261-N(AD261))</f>
        <v/>
      </c>
      <c r="AF261" s="29">
        <f>IFERROR(AE261/Y261,"")</f>
        <v/>
      </c>
      <c r="AG261" s="25">
        <f>IF(E261="","",IF(H261="Onsite",IFERROR(INDEX(tbl_Onsite[Notes],MATCH(E261&amp;"",tbl_Onsite[Job Number],0)),""),IF(H261="Production",IFERROR(INDEX(tbl_Production[Notes],MATCH(E261&amp;"",tbl_Production[Job Number],0)),""),IF(H261="Consulting",IFERROR(INDEX(tbl_Consulting[Notes],MATCH(E261&amp;"",tbl_Consulting[Job Number],0)),""),""))))</f>
        <v/>
      </c>
    </row>
    <row r="262" ht="15" customHeight="1">
      <c r="A262" s="22" t="n"/>
      <c r="B262" s="23">
        <f>IF(A262="","",EOMONTH(A262,0))</f>
        <v/>
      </c>
      <c r="C262" s="24" t="n"/>
      <c r="D262" s="24" t="n"/>
      <c r="E262" s="24" t="n"/>
      <c r="F262" s="25">
        <f>IF(E262="","",IF(COUNTIF(lst_Jobs,E262&amp;"")&gt;0,"OK","CHECK"))</f>
        <v/>
      </c>
      <c r="G262" s="24" t="n"/>
      <c r="H262" s="24" t="n"/>
      <c r="I262" s="24" t="n"/>
      <c r="J262" s="24" t="n"/>
      <c r="K262" s="24" t="n"/>
      <c r="L262" s="26" t="n"/>
      <c r="M262" s="27">
        <f>IF(L262="","",IF(K262="GST 10%",ROUND(L262*set_GSTRate,2),0))</f>
        <v/>
      </c>
      <c r="N262" s="27">
        <f>IF(L262="","",L262+M262)</f>
        <v/>
      </c>
      <c r="O262" s="24" t="n"/>
      <c r="P262" s="24" t="n"/>
      <c r="Q262" s="24" t="n"/>
      <c r="R262" s="22" t="n"/>
      <c r="S262" s="22" t="n"/>
      <c r="T262" s="24" t="n"/>
      <c r="U262" s="24" t="n"/>
      <c r="V262" s="25">
        <f>IF(COUNTA(A262,D262,C262,L262)=0,"",IF(A262="","No date - sits outside every month",IF(E262="","No job number",IF(F262="CHECK","Job number is not in the Xero job list",IF(I262="","No cost centre",IF(AND(P262="Y",C262=""),"Marked posted to Xero but has no invoice number",IF(AND(L262&lt;&gt;"",K262=""),"No tax code",IF(AND(L262&lt;&gt;"",O262=""),"No revenue GL code",""))))))))</f>
        <v/>
      </c>
      <c r="W262" s="25">
        <f>IF(E262="","",IFERROR(INDEX(lst_JobName,MATCH(E262&amp;"",lst_Jobs,0)),""))</f>
        <v/>
      </c>
      <c r="X262" s="28">
        <f>IF(E262="","",COUNTIFS(tbl_Finance[Job Number],E262&amp;"",tbl_Finance[Ex GST],"&lt;&gt;"))</f>
        <v/>
      </c>
      <c r="Y262" s="27">
        <f>IF(E262="","",SUMIFS(tbl_Finance[Ex GST],tbl_Finance[Job Number],E262&amp;""))</f>
        <v/>
      </c>
      <c r="Z262" s="27">
        <f>IF(E262="","",SUMIFS(tbl_Finance[Ex GST],tbl_Finance[Job Number],E262&amp;"",tbl_Finance[Xero Invoice No],"&lt;&gt;"))</f>
        <v/>
      </c>
      <c r="AA262" s="27">
        <f>IF(E262="","",Y262-Z262)</f>
        <v/>
      </c>
      <c r="AB262" s="25">
        <f>IF(E262="","",IF(H262="Onsite",IFERROR(INDEX(tbl_Onsite[Qwilr Quote],MATCH(E262&amp;"",tbl_Onsite[Job Number],0)),""),IF(H262="Production",IFERROR(IF(INDEX(tbl_Production[Current RMS No],MATCH(E262&amp;"",tbl_Production[Job Number],0))="",INDEX(tbl_Production[Qwilr Quote],MATCH(E262&amp;"",tbl_Production[Job Number],0)),INDEX(tbl_Production[Current RMS No],MATCH(E262&amp;"",tbl_Production[Job Number],0))),""),IF(H262="Consulting",IFERROR(INDEX(tbl_Consulting[Qwilr Quote],MATCH(E262&amp;"",tbl_Consulting[Job Number],0)),""),""))))</f>
        <v/>
      </c>
      <c r="AC262" s="25">
        <f>IF(AB262="","",IF(AND(LEFT(AB262,4)&lt;&gt;"http",IF(H262="Production",set_RMSBase,set_QwilrBase)=""),"",HYPERLINK(IF(LEFT(AB262,4)="http",AB262,IF(H262="Production",set_RMSBase,set_QwilrBase)&amp;AB262),"Open")))</f>
        <v/>
      </c>
      <c r="AD262" s="27">
        <f>IF(E262="","",IF(H262="Production",IFERROR(INDEX(tbl_Production[Total Expense],MATCH(E262&amp;"",tbl_Production[Job Number],0)),0),IF(H262="Consulting",IFERROR(INDEX(tbl_Consulting[Total Expense],MATCH(E262&amp;"",tbl_Consulting[Job Number],0)),0),0)))</f>
        <v/>
      </c>
      <c r="AE262" s="27">
        <f>IF(E262="","",Y262-N(AD262))</f>
        <v/>
      </c>
      <c r="AF262" s="29">
        <f>IFERROR(AE262/Y262,"")</f>
        <v/>
      </c>
      <c r="AG262" s="25">
        <f>IF(E262="","",IF(H262="Onsite",IFERROR(INDEX(tbl_Onsite[Notes],MATCH(E262&amp;"",tbl_Onsite[Job Number],0)),""),IF(H262="Production",IFERROR(INDEX(tbl_Production[Notes],MATCH(E262&amp;"",tbl_Production[Job Number],0)),""),IF(H262="Consulting",IFERROR(INDEX(tbl_Consulting[Notes],MATCH(E262&amp;"",tbl_Consulting[Job Number],0)),""),""))))</f>
        <v/>
      </c>
    </row>
    <row r="263" ht="15" customHeight="1">
      <c r="A263" s="22" t="n"/>
      <c r="B263" s="23">
        <f>IF(A263="","",EOMONTH(A263,0))</f>
        <v/>
      </c>
      <c r="C263" s="24" t="n"/>
      <c r="D263" s="24" t="n"/>
      <c r="E263" s="24" t="n"/>
      <c r="F263" s="25">
        <f>IF(E263="","",IF(COUNTIF(lst_Jobs,E263&amp;"")&gt;0,"OK","CHECK"))</f>
        <v/>
      </c>
      <c r="G263" s="24" t="n"/>
      <c r="H263" s="24" t="n"/>
      <c r="I263" s="24" t="n"/>
      <c r="J263" s="24" t="n"/>
      <c r="K263" s="24" t="n"/>
      <c r="L263" s="26" t="n"/>
      <c r="M263" s="27">
        <f>IF(L263="","",IF(K263="GST 10%",ROUND(L263*set_GSTRate,2),0))</f>
        <v/>
      </c>
      <c r="N263" s="27">
        <f>IF(L263="","",L263+M263)</f>
        <v/>
      </c>
      <c r="O263" s="24" t="n"/>
      <c r="P263" s="24" t="n"/>
      <c r="Q263" s="24" t="n"/>
      <c r="R263" s="22" t="n"/>
      <c r="S263" s="22" t="n"/>
      <c r="T263" s="24" t="n"/>
      <c r="U263" s="24" t="n"/>
      <c r="V263" s="25">
        <f>IF(COUNTA(A263,D263,C263,L263)=0,"",IF(A263="","No date - sits outside every month",IF(E263="","No job number",IF(F263="CHECK","Job number is not in the Xero job list",IF(I263="","No cost centre",IF(AND(P263="Y",C263=""),"Marked posted to Xero but has no invoice number",IF(AND(L263&lt;&gt;"",K263=""),"No tax code",IF(AND(L263&lt;&gt;"",O263=""),"No revenue GL code",""))))))))</f>
        <v/>
      </c>
      <c r="W263" s="25">
        <f>IF(E263="","",IFERROR(INDEX(lst_JobName,MATCH(E263&amp;"",lst_Jobs,0)),""))</f>
        <v/>
      </c>
      <c r="X263" s="28">
        <f>IF(E263="","",COUNTIFS(tbl_Finance[Job Number],E263&amp;"",tbl_Finance[Ex GST],"&lt;&gt;"))</f>
        <v/>
      </c>
      <c r="Y263" s="27">
        <f>IF(E263="","",SUMIFS(tbl_Finance[Ex GST],tbl_Finance[Job Number],E263&amp;""))</f>
        <v/>
      </c>
      <c r="Z263" s="27">
        <f>IF(E263="","",SUMIFS(tbl_Finance[Ex GST],tbl_Finance[Job Number],E263&amp;"",tbl_Finance[Xero Invoice No],"&lt;&gt;"))</f>
        <v/>
      </c>
      <c r="AA263" s="27">
        <f>IF(E263="","",Y263-Z263)</f>
        <v/>
      </c>
      <c r="AB263" s="25">
        <f>IF(E263="","",IF(H263="Onsite",IFERROR(INDEX(tbl_Onsite[Qwilr Quote],MATCH(E263&amp;"",tbl_Onsite[Job Number],0)),""),IF(H263="Production",IFERROR(IF(INDEX(tbl_Production[Current RMS No],MATCH(E263&amp;"",tbl_Production[Job Number],0))="",INDEX(tbl_Production[Qwilr Quote],MATCH(E263&amp;"",tbl_Production[Job Number],0)),INDEX(tbl_Production[Current RMS No],MATCH(E263&amp;"",tbl_Production[Job Number],0))),""),IF(H263="Consulting",IFERROR(INDEX(tbl_Consulting[Qwilr Quote],MATCH(E263&amp;"",tbl_Consulting[Job Number],0)),""),""))))</f>
        <v/>
      </c>
      <c r="AC263" s="25">
        <f>IF(AB263="","",IF(AND(LEFT(AB263,4)&lt;&gt;"http",IF(H263="Production",set_RMSBase,set_QwilrBase)=""),"",HYPERLINK(IF(LEFT(AB263,4)="http",AB263,IF(H263="Production",set_RMSBase,set_QwilrBase)&amp;AB263),"Open")))</f>
        <v/>
      </c>
      <c r="AD263" s="27">
        <f>IF(E263="","",IF(H263="Production",IFERROR(INDEX(tbl_Production[Total Expense],MATCH(E263&amp;"",tbl_Production[Job Number],0)),0),IF(H263="Consulting",IFERROR(INDEX(tbl_Consulting[Total Expense],MATCH(E263&amp;"",tbl_Consulting[Job Number],0)),0),0)))</f>
        <v/>
      </c>
      <c r="AE263" s="27">
        <f>IF(E263="","",Y263-N(AD263))</f>
        <v/>
      </c>
      <c r="AF263" s="29">
        <f>IFERROR(AE263/Y263,"")</f>
        <v/>
      </c>
      <c r="AG263" s="25">
        <f>IF(E263="","",IF(H263="Onsite",IFERROR(INDEX(tbl_Onsite[Notes],MATCH(E263&amp;"",tbl_Onsite[Job Number],0)),""),IF(H263="Production",IFERROR(INDEX(tbl_Production[Notes],MATCH(E263&amp;"",tbl_Production[Job Number],0)),""),IF(H263="Consulting",IFERROR(INDEX(tbl_Consulting[Notes],MATCH(E263&amp;"",tbl_Consulting[Job Number],0)),""),""))))</f>
        <v/>
      </c>
    </row>
    <row r="264" ht="15" customHeight="1">
      <c r="A264" s="22" t="n"/>
      <c r="B264" s="23">
        <f>IF(A264="","",EOMONTH(A264,0))</f>
        <v/>
      </c>
      <c r="C264" s="24" t="n"/>
      <c r="D264" s="24" t="n"/>
      <c r="E264" s="24" t="n"/>
      <c r="F264" s="25">
        <f>IF(E264="","",IF(COUNTIF(lst_Jobs,E264&amp;"")&gt;0,"OK","CHECK"))</f>
        <v/>
      </c>
      <c r="G264" s="24" t="n"/>
      <c r="H264" s="24" t="n"/>
      <c r="I264" s="24" t="n"/>
      <c r="J264" s="24" t="n"/>
      <c r="K264" s="24" t="n"/>
      <c r="L264" s="26" t="n"/>
      <c r="M264" s="27">
        <f>IF(L264="","",IF(K264="GST 10%",ROUND(L264*set_GSTRate,2),0))</f>
        <v/>
      </c>
      <c r="N264" s="27">
        <f>IF(L264="","",L264+M264)</f>
        <v/>
      </c>
      <c r="O264" s="24" t="n"/>
      <c r="P264" s="24" t="n"/>
      <c r="Q264" s="24" t="n"/>
      <c r="R264" s="22" t="n"/>
      <c r="S264" s="22" t="n"/>
      <c r="T264" s="24" t="n"/>
      <c r="U264" s="24" t="n"/>
      <c r="V264" s="25">
        <f>IF(COUNTA(A264,D264,C264,L264)=0,"",IF(A264="","No date - sits outside every month",IF(E264="","No job number",IF(F264="CHECK","Job number is not in the Xero job list",IF(I264="","No cost centre",IF(AND(P264="Y",C264=""),"Marked posted to Xero but has no invoice number",IF(AND(L264&lt;&gt;"",K264=""),"No tax code",IF(AND(L264&lt;&gt;"",O264=""),"No revenue GL code",""))))))))</f>
        <v/>
      </c>
      <c r="W264" s="25">
        <f>IF(E264="","",IFERROR(INDEX(lst_JobName,MATCH(E264&amp;"",lst_Jobs,0)),""))</f>
        <v/>
      </c>
      <c r="X264" s="28">
        <f>IF(E264="","",COUNTIFS(tbl_Finance[Job Number],E264&amp;"",tbl_Finance[Ex GST],"&lt;&gt;"))</f>
        <v/>
      </c>
      <c r="Y264" s="27">
        <f>IF(E264="","",SUMIFS(tbl_Finance[Ex GST],tbl_Finance[Job Number],E264&amp;""))</f>
        <v/>
      </c>
      <c r="Z264" s="27">
        <f>IF(E264="","",SUMIFS(tbl_Finance[Ex GST],tbl_Finance[Job Number],E264&amp;"",tbl_Finance[Xero Invoice No],"&lt;&gt;"))</f>
        <v/>
      </c>
      <c r="AA264" s="27">
        <f>IF(E264="","",Y264-Z264)</f>
        <v/>
      </c>
      <c r="AB264" s="25">
        <f>IF(E264="","",IF(H264="Onsite",IFERROR(INDEX(tbl_Onsite[Qwilr Quote],MATCH(E264&amp;"",tbl_Onsite[Job Number],0)),""),IF(H264="Production",IFERROR(IF(INDEX(tbl_Production[Current RMS No],MATCH(E264&amp;"",tbl_Production[Job Number],0))="",INDEX(tbl_Production[Qwilr Quote],MATCH(E264&amp;"",tbl_Production[Job Number],0)),INDEX(tbl_Production[Current RMS No],MATCH(E264&amp;"",tbl_Production[Job Number],0))),""),IF(H264="Consulting",IFERROR(INDEX(tbl_Consulting[Qwilr Quote],MATCH(E264&amp;"",tbl_Consulting[Job Number],0)),""),""))))</f>
        <v/>
      </c>
      <c r="AC264" s="25">
        <f>IF(AB264="","",IF(AND(LEFT(AB264,4)&lt;&gt;"http",IF(H264="Production",set_RMSBase,set_QwilrBase)=""),"",HYPERLINK(IF(LEFT(AB264,4)="http",AB264,IF(H264="Production",set_RMSBase,set_QwilrBase)&amp;AB264),"Open")))</f>
        <v/>
      </c>
      <c r="AD264" s="27">
        <f>IF(E264="","",IF(H264="Production",IFERROR(INDEX(tbl_Production[Total Expense],MATCH(E264&amp;"",tbl_Production[Job Number],0)),0),IF(H264="Consulting",IFERROR(INDEX(tbl_Consulting[Total Expense],MATCH(E264&amp;"",tbl_Consulting[Job Number],0)),0),0)))</f>
        <v/>
      </c>
      <c r="AE264" s="27">
        <f>IF(E264="","",Y264-N(AD264))</f>
        <v/>
      </c>
      <c r="AF264" s="29">
        <f>IFERROR(AE264/Y264,"")</f>
        <v/>
      </c>
      <c r="AG264" s="25">
        <f>IF(E264="","",IF(H264="Onsite",IFERROR(INDEX(tbl_Onsite[Notes],MATCH(E264&amp;"",tbl_Onsite[Job Number],0)),""),IF(H264="Production",IFERROR(INDEX(tbl_Production[Notes],MATCH(E264&amp;"",tbl_Production[Job Number],0)),""),IF(H264="Consulting",IFERROR(INDEX(tbl_Consulting[Notes],MATCH(E264&amp;"",tbl_Consulting[Job Number],0)),""),""))))</f>
        <v/>
      </c>
    </row>
    <row r="265" ht="15" customHeight="1">
      <c r="A265" s="22" t="n"/>
      <c r="B265" s="23">
        <f>IF(A265="","",EOMONTH(A265,0))</f>
        <v/>
      </c>
      <c r="C265" s="24" t="n"/>
      <c r="D265" s="24" t="n"/>
      <c r="E265" s="24" t="n"/>
      <c r="F265" s="25">
        <f>IF(E265="","",IF(COUNTIF(lst_Jobs,E265&amp;"")&gt;0,"OK","CHECK"))</f>
        <v/>
      </c>
      <c r="G265" s="24" t="n"/>
      <c r="H265" s="24" t="n"/>
      <c r="I265" s="24" t="n"/>
      <c r="J265" s="24" t="n"/>
      <c r="K265" s="24" t="n"/>
      <c r="L265" s="26" t="n"/>
      <c r="M265" s="27">
        <f>IF(L265="","",IF(K265="GST 10%",ROUND(L265*set_GSTRate,2),0))</f>
        <v/>
      </c>
      <c r="N265" s="27">
        <f>IF(L265="","",L265+M265)</f>
        <v/>
      </c>
      <c r="O265" s="24" t="n"/>
      <c r="P265" s="24" t="n"/>
      <c r="Q265" s="24" t="n"/>
      <c r="R265" s="22" t="n"/>
      <c r="S265" s="22" t="n"/>
      <c r="T265" s="24" t="n"/>
      <c r="U265" s="24" t="n"/>
      <c r="V265" s="25">
        <f>IF(COUNTA(A265,D265,C265,L265)=0,"",IF(A265="","No date - sits outside every month",IF(E265="","No job number",IF(F265="CHECK","Job number is not in the Xero job list",IF(I265="","No cost centre",IF(AND(P265="Y",C265=""),"Marked posted to Xero but has no invoice number",IF(AND(L265&lt;&gt;"",K265=""),"No tax code",IF(AND(L265&lt;&gt;"",O265=""),"No revenue GL code",""))))))))</f>
        <v/>
      </c>
      <c r="W265" s="25">
        <f>IF(E265="","",IFERROR(INDEX(lst_JobName,MATCH(E265&amp;"",lst_Jobs,0)),""))</f>
        <v/>
      </c>
      <c r="X265" s="28">
        <f>IF(E265="","",COUNTIFS(tbl_Finance[Job Number],E265&amp;"",tbl_Finance[Ex GST],"&lt;&gt;"))</f>
        <v/>
      </c>
      <c r="Y265" s="27">
        <f>IF(E265="","",SUMIFS(tbl_Finance[Ex GST],tbl_Finance[Job Number],E265&amp;""))</f>
        <v/>
      </c>
      <c r="Z265" s="27">
        <f>IF(E265="","",SUMIFS(tbl_Finance[Ex GST],tbl_Finance[Job Number],E265&amp;"",tbl_Finance[Xero Invoice No],"&lt;&gt;"))</f>
        <v/>
      </c>
      <c r="AA265" s="27">
        <f>IF(E265="","",Y265-Z265)</f>
        <v/>
      </c>
      <c r="AB265" s="25">
        <f>IF(E265="","",IF(H265="Onsite",IFERROR(INDEX(tbl_Onsite[Qwilr Quote],MATCH(E265&amp;"",tbl_Onsite[Job Number],0)),""),IF(H265="Production",IFERROR(IF(INDEX(tbl_Production[Current RMS No],MATCH(E265&amp;"",tbl_Production[Job Number],0))="",INDEX(tbl_Production[Qwilr Quote],MATCH(E265&amp;"",tbl_Production[Job Number],0)),INDEX(tbl_Production[Current RMS No],MATCH(E265&amp;"",tbl_Production[Job Number],0))),""),IF(H265="Consulting",IFERROR(INDEX(tbl_Consulting[Qwilr Quote],MATCH(E265&amp;"",tbl_Consulting[Job Number],0)),""),""))))</f>
        <v/>
      </c>
      <c r="AC265" s="25">
        <f>IF(AB265="","",IF(AND(LEFT(AB265,4)&lt;&gt;"http",IF(H265="Production",set_RMSBase,set_QwilrBase)=""),"",HYPERLINK(IF(LEFT(AB265,4)="http",AB265,IF(H265="Production",set_RMSBase,set_QwilrBase)&amp;AB265),"Open")))</f>
        <v/>
      </c>
      <c r="AD265" s="27">
        <f>IF(E265="","",IF(H265="Production",IFERROR(INDEX(tbl_Production[Total Expense],MATCH(E265&amp;"",tbl_Production[Job Number],0)),0),IF(H265="Consulting",IFERROR(INDEX(tbl_Consulting[Total Expense],MATCH(E265&amp;"",tbl_Consulting[Job Number],0)),0),0)))</f>
        <v/>
      </c>
      <c r="AE265" s="27">
        <f>IF(E265="","",Y265-N(AD265))</f>
        <v/>
      </c>
      <c r="AF265" s="29">
        <f>IFERROR(AE265/Y265,"")</f>
        <v/>
      </c>
      <c r="AG265" s="25">
        <f>IF(E265="","",IF(H265="Onsite",IFERROR(INDEX(tbl_Onsite[Notes],MATCH(E265&amp;"",tbl_Onsite[Job Number],0)),""),IF(H265="Production",IFERROR(INDEX(tbl_Production[Notes],MATCH(E265&amp;"",tbl_Production[Job Number],0)),""),IF(H265="Consulting",IFERROR(INDEX(tbl_Consulting[Notes],MATCH(E265&amp;"",tbl_Consulting[Job Number],0)),""),""))))</f>
        <v/>
      </c>
    </row>
    <row r="266" ht="15" customHeight="1">
      <c r="A266" s="22" t="n"/>
      <c r="B266" s="23">
        <f>IF(A266="","",EOMONTH(A266,0))</f>
        <v/>
      </c>
      <c r="C266" s="24" t="n"/>
      <c r="D266" s="24" t="n"/>
      <c r="E266" s="24" t="n"/>
      <c r="F266" s="25">
        <f>IF(E266="","",IF(COUNTIF(lst_Jobs,E266&amp;"")&gt;0,"OK","CHECK"))</f>
        <v/>
      </c>
      <c r="G266" s="24" t="n"/>
      <c r="H266" s="24" t="n"/>
      <c r="I266" s="24" t="n"/>
      <c r="J266" s="24" t="n"/>
      <c r="K266" s="24" t="n"/>
      <c r="L266" s="26" t="n"/>
      <c r="M266" s="27">
        <f>IF(L266="","",IF(K266="GST 10%",ROUND(L266*set_GSTRate,2),0))</f>
        <v/>
      </c>
      <c r="N266" s="27">
        <f>IF(L266="","",L266+M266)</f>
        <v/>
      </c>
      <c r="O266" s="24" t="n"/>
      <c r="P266" s="24" t="n"/>
      <c r="Q266" s="24" t="n"/>
      <c r="R266" s="22" t="n"/>
      <c r="S266" s="22" t="n"/>
      <c r="T266" s="24" t="n"/>
      <c r="U266" s="24" t="n"/>
      <c r="V266" s="25">
        <f>IF(COUNTA(A266,D266,C266,L266)=0,"",IF(A266="","No date - sits outside every month",IF(E266="","No job number",IF(F266="CHECK","Job number is not in the Xero job list",IF(I266="","No cost centre",IF(AND(P266="Y",C266=""),"Marked posted to Xero but has no invoice number",IF(AND(L266&lt;&gt;"",K266=""),"No tax code",IF(AND(L266&lt;&gt;"",O266=""),"No revenue GL code",""))))))))</f>
        <v/>
      </c>
      <c r="W266" s="25">
        <f>IF(E266="","",IFERROR(INDEX(lst_JobName,MATCH(E266&amp;"",lst_Jobs,0)),""))</f>
        <v/>
      </c>
      <c r="X266" s="28">
        <f>IF(E266="","",COUNTIFS(tbl_Finance[Job Number],E266&amp;"",tbl_Finance[Ex GST],"&lt;&gt;"))</f>
        <v/>
      </c>
      <c r="Y266" s="27">
        <f>IF(E266="","",SUMIFS(tbl_Finance[Ex GST],tbl_Finance[Job Number],E266&amp;""))</f>
        <v/>
      </c>
      <c r="Z266" s="27">
        <f>IF(E266="","",SUMIFS(tbl_Finance[Ex GST],tbl_Finance[Job Number],E266&amp;"",tbl_Finance[Xero Invoice No],"&lt;&gt;"))</f>
        <v/>
      </c>
      <c r="AA266" s="27">
        <f>IF(E266="","",Y266-Z266)</f>
        <v/>
      </c>
      <c r="AB266" s="25">
        <f>IF(E266="","",IF(H266="Onsite",IFERROR(INDEX(tbl_Onsite[Qwilr Quote],MATCH(E266&amp;"",tbl_Onsite[Job Number],0)),""),IF(H266="Production",IFERROR(IF(INDEX(tbl_Production[Current RMS No],MATCH(E266&amp;"",tbl_Production[Job Number],0))="",INDEX(tbl_Production[Qwilr Quote],MATCH(E266&amp;"",tbl_Production[Job Number],0)),INDEX(tbl_Production[Current RMS No],MATCH(E266&amp;"",tbl_Production[Job Number],0))),""),IF(H266="Consulting",IFERROR(INDEX(tbl_Consulting[Qwilr Quote],MATCH(E266&amp;"",tbl_Consulting[Job Number],0)),""),""))))</f>
        <v/>
      </c>
      <c r="AC266" s="25">
        <f>IF(AB266="","",IF(AND(LEFT(AB266,4)&lt;&gt;"http",IF(H266="Production",set_RMSBase,set_QwilrBase)=""),"",HYPERLINK(IF(LEFT(AB266,4)="http",AB266,IF(H266="Production",set_RMSBase,set_QwilrBase)&amp;AB266),"Open")))</f>
        <v/>
      </c>
      <c r="AD266" s="27">
        <f>IF(E266="","",IF(H266="Production",IFERROR(INDEX(tbl_Production[Total Expense],MATCH(E266&amp;"",tbl_Production[Job Number],0)),0),IF(H266="Consulting",IFERROR(INDEX(tbl_Consulting[Total Expense],MATCH(E266&amp;"",tbl_Consulting[Job Number],0)),0),0)))</f>
        <v/>
      </c>
      <c r="AE266" s="27">
        <f>IF(E266="","",Y266-N(AD266))</f>
        <v/>
      </c>
      <c r="AF266" s="29">
        <f>IFERROR(AE266/Y266,"")</f>
        <v/>
      </c>
      <c r="AG266" s="25">
        <f>IF(E266="","",IF(H266="Onsite",IFERROR(INDEX(tbl_Onsite[Notes],MATCH(E266&amp;"",tbl_Onsite[Job Number],0)),""),IF(H266="Production",IFERROR(INDEX(tbl_Production[Notes],MATCH(E266&amp;"",tbl_Production[Job Number],0)),""),IF(H266="Consulting",IFERROR(INDEX(tbl_Consulting[Notes],MATCH(E266&amp;"",tbl_Consulting[Job Number],0)),""),""))))</f>
        <v/>
      </c>
    </row>
    <row r="267" ht="15" customHeight="1">
      <c r="A267" s="22" t="n"/>
      <c r="B267" s="23">
        <f>IF(A267="","",EOMONTH(A267,0))</f>
        <v/>
      </c>
      <c r="C267" s="24" t="n"/>
      <c r="D267" s="24" t="n"/>
      <c r="E267" s="24" t="n"/>
      <c r="F267" s="25">
        <f>IF(E267="","",IF(COUNTIF(lst_Jobs,E267&amp;"")&gt;0,"OK","CHECK"))</f>
        <v/>
      </c>
      <c r="G267" s="24" t="n"/>
      <c r="H267" s="24" t="n"/>
      <c r="I267" s="24" t="n"/>
      <c r="J267" s="24" t="n"/>
      <c r="K267" s="24" t="n"/>
      <c r="L267" s="26" t="n"/>
      <c r="M267" s="27">
        <f>IF(L267="","",IF(K267="GST 10%",ROUND(L267*set_GSTRate,2),0))</f>
        <v/>
      </c>
      <c r="N267" s="27">
        <f>IF(L267="","",L267+M267)</f>
        <v/>
      </c>
      <c r="O267" s="24" t="n"/>
      <c r="P267" s="24" t="n"/>
      <c r="Q267" s="24" t="n"/>
      <c r="R267" s="22" t="n"/>
      <c r="S267" s="22" t="n"/>
      <c r="T267" s="24" t="n"/>
      <c r="U267" s="24" t="n"/>
      <c r="V267" s="25">
        <f>IF(COUNTA(A267,D267,C267,L267)=0,"",IF(A267="","No date - sits outside every month",IF(E267="","No job number",IF(F267="CHECK","Job number is not in the Xero job list",IF(I267="","No cost centre",IF(AND(P267="Y",C267=""),"Marked posted to Xero but has no invoice number",IF(AND(L267&lt;&gt;"",K267=""),"No tax code",IF(AND(L267&lt;&gt;"",O267=""),"No revenue GL code",""))))))))</f>
        <v/>
      </c>
      <c r="W267" s="25">
        <f>IF(E267="","",IFERROR(INDEX(lst_JobName,MATCH(E267&amp;"",lst_Jobs,0)),""))</f>
        <v/>
      </c>
      <c r="X267" s="28">
        <f>IF(E267="","",COUNTIFS(tbl_Finance[Job Number],E267&amp;"",tbl_Finance[Ex GST],"&lt;&gt;"))</f>
        <v/>
      </c>
      <c r="Y267" s="27">
        <f>IF(E267="","",SUMIFS(tbl_Finance[Ex GST],tbl_Finance[Job Number],E267&amp;""))</f>
        <v/>
      </c>
      <c r="Z267" s="27">
        <f>IF(E267="","",SUMIFS(tbl_Finance[Ex GST],tbl_Finance[Job Number],E267&amp;"",tbl_Finance[Xero Invoice No],"&lt;&gt;"))</f>
        <v/>
      </c>
      <c r="AA267" s="27">
        <f>IF(E267="","",Y267-Z267)</f>
        <v/>
      </c>
      <c r="AB267" s="25">
        <f>IF(E267="","",IF(H267="Onsite",IFERROR(INDEX(tbl_Onsite[Qwilr Quote],MATCH(E267&amp;"",tbl_Onsite[Job Number],0)),""),IF(H267="Production",IFERROR(IF(INDEX(tbl_Production[Current RMS No],MATCH(E267&amp;"",tbl_Production[Job Number],0))="",INDEX(tbl_Production[Qwilr Quote],MATCH(E267&amp;"",tbl_Production[Job Number],0)),INDEX(tbl_Production[Current RMS No],MATCH(E267&amp;"",tbl_Production[Job Number],0))),""),IF(H267="Consulting",IFERROR(INDEX(tbl_Consulting[Qwilr Quote],MATCH(E267&amp;"",tbl_Consulting[Job Number],0)),""),""))))</f>
        <v/>
      </c>
      <c r="AC267" s="25">
        <f>IF(AB267="","",IF(AND(LEFT(AB267,4)&lt;&gt;"http",IF(H267="Production",set_RMSBase,set_QwilrBase)=""),"",HYPERLINK(IF(LEFT(AB267,4)="http",AB267,IF(H267="Production",set_RMSBase,set_QwilrBase)&amp;AB267),"Open")))</f>
        <v/>
      </c>
      <c r="AD267" s="27">
        <f>IF(E267="","",IF(H267="Production",IFERROR(INDEX(tbl_Production[Total Expense],MATCH(E267&amp;"",tbl_Production[Job Number],0)),0),IF(H267="Consulting",IFERROR(INDEX(tbl_Consulting[Total Expense],MATCH(E267&amp;"",tbl_Consulting[Job Number],0)),0),0)))</f>
        <v/>
      </c>
      <c r="AE267" s="27">
        <f>IF(E267="","",Y267-N(AD267))</f>
        <v/>
      </c>
      <c r="AF267" s="29">
        <f>IFERROR(AE267/Y267,"")</f>
        <v/>
      </c>
      <c r="AG267" s="25">
        <f>IF(E267="","",IF(H267="Onsite",IFERROR(INDEX(tbl_Onsite[Notes],MATCH(E267&amp;"",tbl_Onsite[Job Number],0)),""),IF(H267="Production",IFERROR(INDEX(tbl_Production[Notes],MATCH(E267&amp;"",tbl_Production[Job Number],0)),""),IF(H267="Consulting",IFERROR(INDEX(tbl_Consulting[Notes],MATCH(E267&amp;"",tbl_Consulting[Job Number],0)),""),""))))</f>
        <v/>
      </c>
    </row>
    <row r="268" ht="15" customHeight="1">
      <c r="A268" s="22" t="n"/>
      <c r="B268" s="23">
        <f>IF(A268="","",EOMONTH(A268,0))</f>
        <v/>
      </c>
      <c r="C268" s="24" t="n"/>
      <c r="D268" s="24" t="n"/>
      <c r="E268" s="24" t="n"/>
      <c r="F268" s="25">
        <f>IF(E268="","",IF(COUNTIF(lst_Jobs,E268&amp;"")&gt;0,"OK","CHECK"))</f>
        <v/>
      </c>
      <c r="G268" s="24" t="n"/>
      <c r="H268" s="24" t="n"/>
      <c r="I268" s="24" t="n"/>
      <c r="J268" s="24" t="n"/>
      <c r="K268" s="24" t="n"/>
      <c r="L268" s="26" t="n"/>
      <c r="M268" s="27">
        <f>IF(L268="","",IF(K268="GST 10%",ROUND(L268*set_GSTRate,2),0))</f>
        <v/>
      </c>
      <c r="N268" s="27">
        <f>IF(L268="","",L268+M268)</f>
        <v/>
      </c>
      <c r="O268" s="24" t="n"/>
      <c r="P268" s="24" t="n"/>
      <c r="Q268" s="24" t="n"/>
      <c r="R268" s="22" t="n"/>
      <c r="S268" s="22" t="n"/>
      <c r="T268" s="24" t="n"/>
      <c r="U268" s="24" t="n"/>
      <c r="V268" s="25">
        <f>IF(COUNTA(A268,D268,C268,L268)=0,"",IF(A268="","No date - sits outside every month",IF(E268="","No job number",IF(F268="CHECK","Job number is not in the Xero job list",IF(I268="","No cost centre",IF(AND(P268="Y",C268=""),"Marked posted to Xero but has no invoice number",IF(AND(L268&lt;&gt;"",K268=""),"No tax code",IF(AND(L268&lt;&gt;"",O268=""),"No revenue GL code",""))))))))</f>
        <v/>
      </c>
      <c r="W268" s="25">
        <f>IF(E268="","",IFERROR(INDEX(lst_JobName,MATCH(E268&amp;"",lst_Jobs,0)),""))</f>
        <v/>
      </c>
      <c r="X268" s="28">
        <f>IF(E268="","",COUNTIFS(tbl_Finance[Job Number],E268&amp;"",tbl_Finance[Ex GST],"&lt;&gt;"))</f>
        <v/>
      </c>
      <c r="Y268" s="27">
        <f>IF(E268="","",SUMIFS(tbl_Finance[Ex GST],tbl_Finance[Job Number],E268&amp;""))</f>
        <v/>
      </c>
      <c r="Z268" s="27">
        <f>IF(E268="","",SUMIFS(tbl_Finance[Ex GST],tbl_Finance[Job Number],E268&amp;"",tbl_Finance[Xero Invoice No],"&lt;&gt;"))</f>
        <v/>
      </c>
      <c r="AA268" s="27">
        <f>IF(E268="","",Y268-Z268)</f>
        <v/>
      </c>
      <c r="AB268" s="25">
        <f>IF(E268="","",IF(H268="Onsite",IFERROR(INDEX(tbl_Onsite[Qwilr Quote],MATCH(E268&amp;"",tbl_Onsite[Job Number],0)),""),IF(H268="Production",IFERROR(IF(INDEX(tbl_Production[Current RMS No],MATCH(E268&amp;"",tbl_Production[Job Number],0))="",INDEX(tbl_Production[Qwilr Quote],MATCH(E268&amp;"",tbl_Production[Job Number],0)),INDEX(tbl_Production[Current RMS No],MATCH(E268&amp;"",tbl_Production[Job Number],0))),""),IF(H268="Consulting",IFERROR(INDEX(tbl_Consulting[Qwilr Quote],MATCH(E268&amp;"",tbl_Consulting[Job Number],0)),""),""))))</f>
        <v/>
      </c>
      <c r="AC268" s="25">
        <f>IF(AB268="","",IF(AND(LEFT(AB268,4)&lt;&gt;"http",IF(H268="Production",set_RMSBase,set_QwilrBase)=""),"",HYPERLINK(IF(LEFT(AB268,4)="http",AB268,IF(H268="Production",set_RMSBase,set_QwilrBase)&amp;AB268),"Open")))</f>
        <v/>
      </c>
      <c r="AD268" s="27">
        <f>IF(E268="","",IF(H268="Production",IFERROR(INDEX(tbl_Production[Total Expense],MATCH(E268&amp;"",tbl_Production[Job Number],0)),0),IF(H268="Consulting",IFERROR(INDEX(tbl_Consulting[Total Expense],MATCH(E268&amp;"",tbl_Consulting[Job Number],0)),0),0)))</f>
        <v/>
      </c>
      <c r="AE268" s="27">
        <f>IF(E268="","",Y268-N(AD268))</f>
        <v/>
      </c>
      <c r="AF268" s="29">
        <f>IFERROR(AE268/Y268,"")</f>
        <v/>
      </c>
      <c r="AG268" s="25">
        <f>IF(E268="","",IF(H268="Onsite",IFERROR(INDEX(tbl_Onsite[Notes],MATCH(E268&amp;"",tbl_Onsite[Job Number],0)),""),IF(H268="Production",IFERROR(INDEX(tbl_Production[Notes],MATCH(E268&amp;"",tbl_Production[Job Number],0)),""),IF(H268="Consulting",IFERROR(INDEX(tbl_Consulting[Notes],MATCH(E268&amp;"",tbl_Consulting[Job Number],0)),""),""))))</f>
        <v/>
      </c>
    </row>
    <row r="269" ht="15" customHeight="1">
      <c r="A269" s="22" t="n"/>
      <c r="B269" s="23">
        <f>IF(A269="","",EOMONTH(A269,0))</f>
        <v/>
      </c>
      <c r="C269" s="24" t="n"/>
      <c r="D269" s="24" t="n"/>
      <c r="E269" s="24" t="n"/>
      <c r="F269" s="25">
        <f>IF(E269="","",IF(COUNTIF(lst_Jobs,E269&amp;"")&gt;0,"OK","CHECK"))</f>
        <v/>
      </c>
      <c r="G269" s="24" t="n"/>
      <c r="H269" s="24" t="n"/>
      <c r="I269" s="24" t="n"/>
      <c r="J269" s="24" t="n"/>
      <c r="K269" s="24" t="n"/>
      <c r="L269" s="26" t="n"/>
      <c r="M269" s="27">
        <f>IF(L269="","",IF(K269="GST 10%",ROUND(L269*set_GSTRate,2),0))</f>
        <v/>
      </c>
      <c r="N269" s="27">
        <f>IF(L269="","",L269+M269)</f>
        <v/>
      </c>
      <c r="O269" s="24" t="n"/>
      <c r="P269" s="24" t="n"/>
      <c r="Q269" s="24" t="n"/>
      <c r="R269" s="22" t="n"/>
      <c r="S269" s="22" t="n"/>
      <c r="T269" s="24" t="n"/>
      <c r="U269" s="24" t="n"/>
      <c r="V269" s="25">
        <f>IF(COUNTA(A269,D269,C269,L269)=0,"",IF(A269="","No date - sits outside every month",IF(E269="","No job number",IF(F269="CHECK","Job number is not in the Xero job list",IF(I269="","No cost centre",IF(AND(P269="Y",C269=""),"Marked posted to Xero but has no invoice number",IF(AND(L269&lt;&gt;"",K269=""),"No tax code",IF(AND(L269&lt;&gt;"",O269=""),"No revenue GL code",""))))))))</f>
        <v/>
      </c>
      <c r="W269" s="25">
        <f>IF(E269="","",IFERROR(INDEX(lst_JobName,MATCH(E269&amp;"",lst_Jobs,0)),""))</f>
        <v/>
      </c>
      <c r="X269" s="28">
        <f>IF(E269="","",COUNTIFS(tbl_Finance[Job Number],E269&amp;"",tbl_Finance[Ex GST],"&lt;&gt;"))</f>
        <v/>
      </c>
      <c r="Y269" s="27">
        <f>IF(E269="","",SUMIFS(tbl_Finance[Ex GST],tbl_Finance[Job Number],E269&amp;""))</f>
        <v/>
      </c>
      <c r="Z269" s="27">
        <f>IF(E269="","",SUMIFS(tbl_Finance[Ex GST],tbl_Finance[Job Number],E269&amp;"",tbl_Finance[Xero Invoice No],"&lt;&gt;"))</f>
        <v/>
      </c>
      <c r="AA269" s="27">
        <f>IF(E269="","",Y269-Z269)</f>
        <v/>
      </c>
      <c r="AB269" s="25">
        <f>IF(E269="","",IF(H269="Onsite",IFERROR(INDEX(tbl_Onsite[Qwilr Quote],MATCH(E269&amp;"",tbl_Onsite[Job Number],0)),""),IF(H269="Production",IFERROR(IF(INDEX(tbl_Production[Current RMS No],MATCH(E269&amp;"",tbl_Production[Job Number],0))="",INDEX(tbl_Production[Qwilr Quote],MATCH(E269&amp;"",tbl_Production[Job Number],0)),INDEX(tbl_Production[Current RMS No],MATCH(E269&amp;"",tbl_Production[Job Number],0))),""),IF(H269="Consulting",IFERROR(INDEX(tbl_Consulting[Qwilr Quote],MATCH(E269&amp;"",tbl_Consulting[Job Number],0)),""),""))))</f>
        <v/>
      </c>
      <c r="AC269" s="25">
        <f>IF(AB269="","",IF(AND(LEFT(AB269,4)&lt;&gt;"http",IF(H269="Production",set_RMSBase,set_QwilrBase)=""),"",HYPERLINK(IF(LEFT(AB269,4)="http",AB269,IF(H269="Production",set_RMSBase,set_QwilrBase)&amp;AB269),"Open")))</f>
        <v/>
      </c>
      <c r="AD269" s="27">
        <f>IF(E269="","",IF(H269="Production",IFERROR(INDEX(tbl_Production[Total Expense],MATCH(E269&amp;"",tbl_Production[Job Number],0)),0),IF(H269="Consulting",IFERROR(INDEX(tbl_Consulting[Total Expense],MATCH(E269&amp;"",tbl_Consulting[Job Number],0)),0),0)))</f>
        <v/>
      </c>
      <c r="AE269" s="27">
        <f>IF(E269="","",Y269-N(AD269))</f>
        <v/>
      </c>
      <c r="AF269" s="29">
        <f>IFERROR(AE269/Y269,"")</f>
        <v/>
      </c>
      <c r="AG269" s="25">
        <f>IF(E269="","",IF(H269="Onsite",IFERROR(INDEX(tbl_Onsite[Notes],MATCH(E269&amp;"",tbl_Onsite[Job Number],0)),""),IF(H269="Production",IFERROR(INDEX(tbl_Production[Notes],MATCH(E269&amp;"",tbl_Production[Job Number],0)),""),IF(H269="Consulting",IFERROR(INDEX(tbl_Consulting[Notes],MATCH(E269&amp;"",tbl_Consulting[Job Number],0)),""),""))))</f>
        <v/>
      </c>
    </row>
    <row r="270" ht="15" customHeight="1">
      <c r="A270" s="22" t="n"/>
      <c r="B270" s="23">
        <f>IF(A270="","",EOMONTH(A270,0))</f>
        <v/>
      </c>
      <c r="C270" s="24" t="n"/>
      <c r="D270" s="24" t="n"/>
      <c r="E270" s="24" t="n"/>
      <c r="F270" s="25">
        <f>IF(E270="","",IF(COUNTIF(lst_Jobs,E270&amp;"")&gt;0,"OK","CHECK"))</f>
        <v/>
      </c>
      <c r="G270" s="24" t="n"/>
      <c r="H270" s="24" t="n"/>
      <c r="I270" s="24" t="n"/>
      <c r="J270" s="24" t="n"/>
      <c r="K270" s="24" t="n"/>
      <c r="L270" s="26" t="n"/>
      <c r="M270" s="27">
        <f>IF(L270="","",IF(K270="GST 10%",ROUND(L270*set_GSTRate,2),0))</f>
        <v/>
      </c>
      <c r="N270" s="27">
        <f>IF(L270="","",L270+M270)</f>
        <v/>
      </c>
      <c r="O270" s="24" t="n"/>
      <c r="P270" s="24" t="n"/>
      <c r="Q270" s="24" t="n"/>
      <c r="R270" s="22" t="n"/>
      <c r="S270" s="22" t="n"/>
      <c r="T270" s="24" t="n"/>
      <c r="U270" s="24" t="n"/>
      <c r="V270" s="25">
        <f>IF(COUNTA(A270,D270,C270,L270)=0,"",IF(A270="","No date - sits outside every month",IF(E270="","No job number",IF(F270="CHECK","Job number is not in the Xero job list",IF(I270="","No cost centre",IF(AND(P270="Y",C270=""),"Marked posted to Xero but has no invoice number",IF(AND(L270&lt;&gt;"",K270=""),"No tax code",IF(AND(L270&lt;&gt;"",O270=""),"No revenue GL code",""))))))))</f>
        <v/>
      </c>
      <c r="W270" s="25">
        <f>IF(E270="","",IFERROR(INDEX(lst_JobName,MATCH(E270&amp;"",lst_Jobs,0)),""))</f>
        <v/>
      </c>
      <c r="X270" s="28">
        <f>IF(E270="","",COUNTIFS(tbl_Finance[Job Number],E270&amp;"",tbl_Finance[Ex GST],"&lt;&gt;"))</f>
        <v/>
      </c>
      <c r="Y270" s="27">
        <f>IF(E270="","",SUMIFS(tbl_Finance[Ex GST],tbl_Finance[Job Number],E270&amp;""))</f>
        <v/>
      </c>
      <c r="Z270" s="27">
        <f>IF(E270="","",SUMIFS(tbl_Finance[Ex GST],tbl_Finance[Job Number],E270&amp;"",tbl_Finance[Xero Invoice No],"&lt;&gt;"))</f>
        <v/>
      </c>
      <c r="AA270" s="27">
        <f>IF(E270="","",Y270-Z270)</f>
        <v/>
      </c>
      <c r="AB270" s="25">
        <f>IF(E270="","",IF(H270="Onsite",IFERROR(INDEX(tbl_Onsite[Qwilr Quote],MATCH(E270&amp;"",tbl_Onsite[Job Number],0)),""),IF(H270="Production",IFERROR(IF(INDEX(tbl_Production[Current RMS No],MATCH(E270&amp;"",tbl_Production[Job Number],0))="",INDEX(tbl_Production[Qwilr Quote],MATCH(E270&amp;"",tbl_Production[Job Number],0)),INDEX(tbl_Production[Current RMS No],MATCH(E270&amp;"",tbl_Production[Job Number],0))),""),IF(H270="Consulting",IFERROR(INDEX(tbl_Consulting[Qwilr Quote],MATCH(E270&amp;"",tbl_Consulting[Job Number],0)),""),""))))</f>
        <v/>
      </c>
      <c r="AC270" s="25">
        <f>IF(AB270="","",IF(AND(LEFT(AB270,4)&lt;&gt;"http",IF(H270="Production",set_RMSBase,set_QwilrBase)=""),"",HYPERLINK(IF(LEFT(AB270,4)="http",AB270,IF(H270="Production",set_RMSBase,set_QwilrBase)&amp;AB270),"Open")))</f>
        <v/>
      </c>
      <c r="AD270" s="27">
        <f>IF(E270="","",IF(H270="Production",IFERROR(INDEX(tbl_Production[Total Expense],MATCH(E270&amp;"",tbl_Production[Job Number],0)),0),IF(H270="Consulting",IFERROR(INDEX(tbl_Consulting[Total Expense],MATCH(E270&amp;"",tbl_Consulting[Job Number],0)),0),0)))</f>
        <v/>
      </c>
      <c r="AE270" s="27">
        <f>IF(E270="","",Y270-N(AD270))</f>
        <v/>
      </c>
      <c r="AF270" s="29">
        <f>IFERROR(AE270/Y270,"")</f>
        <v/>
      </c>
      <c r="AG270" s="25">
        <f>IF(E270="","",IF(H270="Onsite",IFERROR(INDEX(tbl_Onsite[Notes],MATCH(E270&amp;"",tbl_Onsite[Job Number],0)),""),IF(H270="Production",IFERROR(INDEX(tbl_Production[Notes],MATCH(E270&amp;"",tbl_Production[Job Number],0)),""),IF(H270="Consulting",IFERROR(INDEX(tbl_Consulting[Notes],MATCH(E270&amp;"",tbl_Consulting[Job Number],0)),""),""))))</f>
        <v/>
      </c>
    </row>
    <row r="271" ht="15" customHeight="1">
      <c r="A271" s="22" t="n"/>
      <c r="B271" s="23">
        <f>IF(A271="","",EOMONTH(A271,0))</f>
        <v/>
      </c>
      <c r="C271" s="24" t="n"/>
      <c r="D271" s="24" t="n"/>
      <c r="E271" s="24" t="n"/>
      <c r="F271" s="25">
        <f>IF(E271="","",IF(COUNTIF(lst_Jobs,E271&amp;"")&gt;0,"OK","CHECK"))</f>
        <v/>
      </c>
      <c r="G271" s="24" t="n"/>
      <c r="H271" s="24" t="n"/>
      <c r="I271" s="24" t="n"/>
      <c r="J271" s="24" t="n"/>
      <c r="K271" s="24" t="n"/>
      <c r="L271" s="26" t="n"/>
      <c r="M271" s="27">
        <f>IF(L271="","",IF(K271="GST 10%",ROUND(L271*set_GSTRate,2),0))</f>
        <v/>
      </c>
      <c r="N271" s="27">
        <f>IF(L271="","",L271+M271)</f>
        <v/>
      </c>
      <c r="O271" s="24" t="n"/>
      <c r="P271" s="24" t="n"/>
      <c r="Q271" s="24" t="n"/>
      <c r="R271" s="22" t="n"/>
      <c r="S271" s="22" t="n"/>
      <c r="T271" s="24" t="n"/>
      <c r="U271" s="24" t="n"/>
      <c r="V271" s="25">
        <f>IF(COUNTA(A271,D271,C271,L271)=0,"",IF(A271="","No date - sits outside every month",IF(E271="","No job number",IF(F271="CHECK","Job number is not in the Xero job list",IF(I271="","No cost centre",IF(AND(P271="Y",C271=""),"Marked posted to Xero but has no invoice number",IF(AND(L271&lt;&gt;"",K271=""),"No tax code",IF(AND(L271&lt;&gt;"",O271=""),"No revenue GL code",""))))))))</f>
        <v/>
      </c>
      <c r="W271" s="25">
        <f>IF(E271="","",IFERROR(INDEX(lst_JobName,MATCH(E271&amp;"",lst_Jobs,0)),""))</f>
        <v/>
      </c>
      <c r="X271" s="28">
        <f>IF(E271="","",COUNTIFS(tbl_Finance[Job Number],E271&amp;"",tbl_Finance[Ex GST],"&lt;&gt;"))</f>
        <v/>
      </c>
      <c r="Y271" s="27">
        <f>IF(E271="","",SUMIFS(tbl_Finance[Ex GST],tbl_Finance[Job Number],E271&amp;""))</f>
        <v/>
      </c>
      <c r="Z271" s="27">
        <f>IF(E271="","",SUMIFS(tbl_Finance[Ex GST],tbl_Finance[Job Number],E271&amp;"",tbl_Finance[Xero Invoice No],"&lt;&gt;"))</f>
        <v/>
      </c>
      <c r="AA271" s="27">
        <f>IF(E271="","",Y271-Z271)</f>
        <v/>
      </c>
      <c r="AB271" s="25">
        <f>IF(E271="","",IF(H271="Onsite",IFERROR(INDEX(tbl_Onsite[Qwilr Quote],MATCH(E271&amp;"",tbl_Onsite[Job Number],0)),""),IF(H271="Production",IFERROR(IF(INDEX(tbl_Production[Current RMS No],MATCH(E271&amp;"",tbl_Production[Job Number],0))="",INDEX(tbl_Production[Qwilr Quote],MATCH(E271&amp;"",tbl_Production[Job Number],0)),INDEX(tbl_Production[Current RMS No],MATCH(E271&amp;"",tbl_Production[Job Number],0))),""),IF(H271="Consulting",IFERROR(INDEX(tbl_Consulting[Qwilr Quote],MATCH(E271&amp;"",tbl_Consulting[Job Number],0)),""),""))))</f>
        <v/>
      </c>
      <c r="AC271" s="25">
        <f>IF(AB271="","",IF(AND(LEFT(AB271,4)&lt;&gt;"http",IF(H271="Production",set_RMSBase,set_QwilrBase)=""),"",HYPERLINK(IF(LEFT(AB271,4)="http",AB271,IF(H271="Production",set_RMSBase,set_QwilrBase)&amp;AB271),"Open")))</f>
        <v/>
      </c>
      <c r="AD271" s="27">
        <f>IF(E271="","",IF(H271="Production",IFERROR(INDEX(tbl_Production[Total Expense],MATCH(E271&amp;"",tbl_Production[Job Number],0)),0),IF(H271="Consulting",IFERROR(INDEX(tbl_Consulting[Total Expense],MATCH(E271&amp;"",tbl_Consulting[Job Number],0)),0),0)))</f>
        <v/>
      </c>
      <c r="AE271" s="27">
        <f>IF(E271="","",Y271-N(AD271))</f>
        <v/>
      </c>
      <c r="AF271" s="29">
        <f>IFERROR(AE271/Y271,"")</f>
        <v/>
      </c>
      <c r="AG271" s="25">
        <f>IF(E271="","",IF(H271="Onsite",IFERROR(INDEX(tbl_Onsite[Notes],MATCH(E271&amp;"",tbl_Onsite[Job Number],0)),""),IF(H271="Production",IFERROR(INDEX(tbl_Production[Notes],MATCH(E271&amp;"",tbl_Production[Job Number],0)),""),IF(H271="Consulting",IFERROR(INDEX(tbl_Consulting[Notes],MATCH(E271&amp;"",tbl_Consulting[Job Number],0)),""),""))))</f>
        <v/>
      </c>
    </row>
    <row r="272" ht="15" customHeight="1">
      <c r="A272" s="22" t="n"/>
      <c r="B272" s="23">
        <f>IF(A272="","",EOMONTH(A272,0))</f>
        <v/>
      </c>
      <c r="C272" s="24" t="n"/>
      <c r="D272" s="24" t="n"/>
      <c r="E272" s="24" t="n"/>
      <c r="F272" s="25">
        <f>IF(E272="","",IF(COUNTIF(lst_Jobs,E272&amp;"")&gt;0,"OK","CHECK"))</f>
        <v/>
      </c>
      <c r="G272" s="24" t="n"/>
      <c r="H272" s="24" t="n"/>
      <c r="I272" s="24" t="n"/>
      <c r="J272" s="24" t="n"/>
      <c r="K272" s="24" t="n"/>
      <c r="L272" s="26" t="n"/>
      <c r="M272" s="27">
        <f>IF(L272="","",IF(K272="GST 10%",ROUND(L272*set_GSTRate,2),0))</f>
        <v/>
      </c>
      <c r="N272" s="27">
        <f>IF(L272="","",L272+M272)</f>
        <v/>
      </c>
      <c r="O272" s="24" t="n"/>
      <c r="P272" s="24" t="n"/>
      <c r="Q272" s="24" t="n"/>
      <c r="R272" s="22" t="n"/>
      <c r="S272" s="22" t="n"/>
      <c r="T272" s="24" t="n"/>
      <c r="U272" s="24" t="n"/>
      <c r="V272" s="25">
        <f>IF(COUNTA(A272,D272,C272,L272)=0,"",IF(A272="","No date - sits outside every month",IF(E272="","No job number",IF(F272="CHECK","Job number is not in the Xero job list",IF(I272="","No cost centre",IF(AND(P272="Y",C272=""),"Marked posted to Xero but has no invoice number",IF(AND(L272&lt;&gt;"",K272=""),"No tax code",IF(AND(L272&lt;&gt;"",O272=""),"No revenue GL code",""))))))))</f>
        <v/>
      </c>
      <c r="W272" s="25">
        <f>IF(E272="","",IFERROR(INDEX(lst_JobName,MATCH(E272&amp;"",lst_Jobs,0)),""))</f>
        <v/>
      </c>
      <c r="X272" s="28">
        <f>IF(E272="","",COUNTIFS(tbl_Finance[Job Number],E272&amp;"",tbl_Finance[Ex GST],"&lt;&gt;"))</f>
        <v/>
      </c>
      <c r="Y272" s="27">
        <f>IF(E272="","",SUMIFS(tbl_Finance[Ex GST],tbl_Finance[Job Number],E272&amp;""))</f>
        <v/>
      </c>
      <c r="Z272" s="27">
        <f>IF(E272="","",SUMIFS(tbl_Finance[Ex GST],tbl_Finance[Job Number],E272&amp;"",tbl_Finance[Xero Invoice No],"&lt;&gt;"))</f>
        <v/>
      </c>
      <c r="AA272" s="27">
        <f>IF(E272="","",Y272-Z272)</f>
        <v/>
      </c>
      <c r="AB272" s="25">
        <f>IF(E272="","",IF(H272="Onsite",IFERROR(INDEX(tbl_Onsite[Qwilr Quote],MATCH(E272&amp;"",tbl_Onsite[Job Number],0)),""),IF(H272="Production",IFERROR(IF(INDEX(tbl_Production[Current RMS No],MATCH(E272&amp;"",tbl_Production[Job Number],0))="",INDEX(tbl_Production[Qwilr Quote],MATCH(E272&amp;"",tbl_Production[Job Number],0)),INDEX(tbl_Production[Current RMS No],MATCH(E272&amp;"",tbl_Production[Job Number],0))),""),IF(H272="Consulting",IFERROR(INDEX(tbl_Consulting[Qwilr Quote],MATCH(E272&amp;"",tbl_Consulting[Job Number],0)),""),""))))</f>
        <v/>
      </c>
      <c r="AC272" s="25">
        <f>IF(AB272="","",IF(AND(LEFT(AB272,4)&lt;&gt;"http",IF(H272="Production",set_RMSBase,set_QwilrBase)=""),"",HYPERLINK(IF(LEFT(AB272,4)="http",AB272,IF(H272="Production",set_RMSBase,set_QwilrBase)&amp;AB272),"Open")))</f>
        <v/>
      </c>
      <c r="AD272" s="27">
        <f>IF(E272="","",IF(H272="Production",IFERROR(INDEX(tbl_Production[Total Expense],MATCH(E272&amp;"",tbl_Production[Job Number],0)),0),IF(H272="Consulting",IFERROR(INDEX(tbl_Consulting[Total Expense],MATCH(E272&amp;"",tbl_Consulting[Job Number],0)),0),0)))</f>
        <v/>
      </c>
      <c r="AE272" s="27">
        <f>IF(E272="","",Y272-N(AD272))</f>
        <v/>
      </c>
      <c r="AF272" s="29">
        <f>IFERROR(AE272/Y272,"")</f>
        <v/>
      </c>
      <c r="AG272" s="25">
        <f>IF(E272="","",IF(H272="Onsite",IFERROR(INDEX(tbl_Onsite[Notes],MATCH(E272&amp;"",tbl_Onsite[Job Number],0)),""),IF(H272="Production",IFERROR(INDEX(tbl_Production[Notes],MATCH(E272&amp;"",tbl_Production[Job Number],0)),""),IF(H272="Consulting",IFERROR(INDEX(tbl_Consulting[Notes],MATCH(E272&amp;"",tbl_Consulting[Job Number],0)),""),""))))</f>
        <v/>
      </c>
    </row>
    <row r="273" ht="15" customHeight="1">
      <c r="A273" s="22" t="n"/>
      <c r="B273" s="23">
        <f>IF(A273="","",EOMONTH(A273,0))</f>
        <v/>
      </c>
      <c r="C273" s="24" t="n"/>
      <c r="D273" s="24" t="n"/>
      <c r="E273" s="24" t="n"/>
      <c r="F273" s="25">
        <f>IF(E273="","",IF(COUNTIF(lst_Jobs,E273&amp;"")&gt;0,"OK","CHECK"))</f>
        <v/>
      </c>
      <c r="G273" s="24" t="n"/>
      <c r="H273" s="24" t="n"/>
      <c r="I273" s="24" t="n"/>
      <c r="J273" s="24" t="n"/>
      <c r="K273" s="24" t="n"/>
      <c r="L273" s="26" t="n"/>
      <c r="M273" s="27">
        <f>IF(L273="","",IF(K273="GST 10%",ROUND(L273*set_GSTRate,2),0))</f>
        <v/>
      </c>
      <c r="N273" s="27">
        <f>IF(L273="","",L273+M273)</f>
        <v/>
      </c>
      <c r="O273" s="24" t="n"/>
      <c r="P273" s="24" t="n"/>
      <c r="Q273" s="24" t="n"/>
      <c r="R273" s="22" t="n"/>
      <c r="S273" s="22" t="n"/>
      <c r="T273" s="24" t="n"/>
      <c r="U273" s="24" t="n"/>
      <c r="V273" s="25">
        <f>IF(COUNTA(A273,D273,C273,L273)=0,"",IF(A273="","No date - sits outside every month",IF(E273="","No job number",IF(F273="CHECK","Job number is not in the Xero job list",IF(I273="","No cost centre",IF(AND(P273="Y",C273=""),"Marked posted to Xero but has no invoice number",IF(AND(L273&lt;&gt;"",K273=""),"No tax code",IF(AND(L273&lt;&gt;"",O273=""),"No revenue GL code",""))))))))</f>
        <v/>
      </c>
      <c r="W273" s="25">
        <f>IF(E273="","",IFERROR(INDEX(lst_JobName,MATCH(E273&amp;"",lst_Jobs,0)),""))</f>
        <v/>
      </c>
      <c r="X273" s="28">
        <f>IF(E273="","",COUNTIFS(tbl_Finance[Job Number],E273&amp;"",tbl_Finance[Ex GST],"&lt;&gt;"))</f>
        <v/>
      </c>
      <c r="Y273" s="27">
        <f>IF(E273="","",SUMIFS(tbl_Finance[Ex GST],tbl_Finance[Job Number],E273&amp;""))</f>
        <v/>
      </c>
      <c r="Z273" s="27">
        <f>IF(E273="","",SUMIFS(tbl_Finance[Ex GST],tbl_Finance[Job Number],E273&amp;"",tbl_Finance[Xero Invoice No],"&lt;&gt;"))</f>
        <v/>
      </c>
      <c r="AA273" s="27">
        <f>IF(E273="","",Y273-Z273)</f>
        <v/>
      </c>
      <c r="AB273" s="25">
        <f>IF(E273="","",IF(H273="Onsite",IFERROR(INDEX(tbl_Onsite[Qwilr Quote],MATCH(E273&amp;"",tbl_Onsite[Job Number],0)),""),IF(H273="Production",IFERROR(IF(INDEX(tbl_Production[Current RMS No],MATCH(E273&amp;"",tbl_Production[Job Number],0))="",INDEX(tbl_Production[Qwilr Quote],MATCH(E273&amp;"",tbl_Production[Job Number],0)),INDEX(tbl_Production[Current RMS No],MATCH(E273&amp;"",tbl_Production[Job Number],0))),""),IF(H273="Consulting",IFERROR(INDEX(tbl_Consulting[Qwilr Quote],MATCH(E273&amp;"",tbl_Consulting[Job Number],0)),""),""))))</f>
        <v/>
      </c>
      <c r="AC273" s="25">
        <f>IF(AB273="","",IF(AND(LEFT(AB273,4)&lt;&gt;"http",IF(H273="Production",set_RMSBase,set_QwilrBase)=""),"",HYPERLINK(IF(LEFT(AB273,4)="http",AB273,IF(H273="Production",set_RMSBase,set_QwilrBase)&amp;AB273),"Open")))</f>
        <v/>
      </c>
      <c r="AD273" s="27">
        <f>IF(E273="","",IF(H273="Production",IFERROR(INDEX(tbl_Production[Total Expense],MATCH(E273&amp;"",tbl_Production[Job Number],0)),0),IF(H273="Consulting",IFERROR(INDEX(tbl_Consulting[Total Expense],MATCH(E273&amp;"",tbl_Consulting[Job Number],0)),0),0)))</f>
        <v/>
      </c>
      <c r="AE273" s="27">
        <f>IF(E273="","",Y273-N(AD273))</f>
        <v/>
      </c>
      <c r="AF273" s="29">
        <f>IFERROR(AE273/Y273,"")</f>
        <v/>
      </c>
      <c r="AG273" s="25">
        <f>IF(E273="","",IF(H273="Onsite",IFERROR(INDEX(tbl_Onsite[Notes],MATCH(E273&amp;"",tbl_Onsite[Job Number],0)),""),IF(H273="Production",IFERROR(INDEX(tbl_Production[Notes],MATCH(E273&amp;"",tbl_Production[Job Number],0)),""),IF(H273="Consulting",IFERROR(INDEX(tbl_Consulting[Notes],MATCH(E273&amp;"",tbl_Consulting[Job Number],0)),""),""))))</f>
        <v/>
      </c>
    </row>
    <row r="274" ht="15" customHeight="1">
      <c r="A274" s="22" t="n"/>
      <c r="B274" s="23">
        <f>IF(A274="","",EOMONTH(A274,0))</f>
        <v/>
      </c>
      <c r="C274" s="24" t="n"/>
      <c r="D274" s="24" t="n"/>
      <c r="E274" s="24" t="n"/>
      <c r="F274" s="25">
        <f>IF(E274="","",IF(COUNTIF(lst_Jobs,E274&amp;"")&gt;0,"OK","CHECK"))</f>
        <v/>
      </c>
      <c r="G274" s="24" t="n"/>
      <c r="H274" s="24" t="n"/>
      <c r="I274" s="24" t="n"/>
      <c r="J274" s="24" t="n"/>
      <c r="K274" s="24" t="n"/>
      <c r="L274" s="26" t="n"/>
      <c r="M274" s="27">
        <f>IF(L274="","",IF(K274="GST 10%",ROUND(L274*set_GSTRate,2),0))</f>
        <v/>
      </c>
      <c r="N274" s="27">
        <f>IF(L274="","",L274+M274)</f>
        <v/>
      </c>
      <c r="O274" s="24" t="n"/>
      <c r="P274" s="24" t="n"/>
      <c r="Q274" s="24" t="n"/>
      <c r="R274" s="22" t="n"/>
      <c r="S274" s="22" t="n"/>
      <c r="T274" s="24" t="n"/>
      <c r="U274" s="24" t="n"/>
      <c r="V274" s="25">
        <f>IF(COUNTA(A274,D274,C274,L274)=0,"",IF(A274="","No date - sits outside every month",IF(E274="","No job number",IF(F274="CHECK","Job number is not in the Xero job list",IF(I274="","No cost centre",IF(AND(P274="Y",C274=""),"Marked posted to Xero but has no invoice number",IF(AND(L274&lt;&gt;"",K274=""),"No tax code",IF(AND(L274&lt;&gt;"",O274=""),"No revenue GL code",""))))))))</f>
        <v/>
      </c>
      <c r="W274" s="25">
        <f>IF(E274="","",IFERROR(INDEX(lst_JobName,MATCH(E274&amp;"",lst_Jobs,0)),""))</f>
        <v/>
      </c>
      <c r="X274" s="28">
        <f>IF(E274="","",COUNTIFS(tbl_Finance[Job Number],E274&amp;"",tbl_Finance[Ex GST],"&lt;&gt;"))</f>
        <v/>
      </c>
      <c r="Y274" s="27">
        <f>IF(E274="","",SUMIFS(tbl_Finance[Ex GST],tbl_Finance[Job Number],E274&amp;""))</f>
        <v/>
      </c>
      <c r="Z274" s="27">
        <f>IF(E274="","",SUMIFS(tbl_Finance[Ex GST],tbl_Finance[Job Number],E274&amp;"",tbl_Finance[Xero Invoice No],"&lt;&gt;"))</f>
        <v/>
      </c>
      <c r="AA274" s="27">
        <f>IF(E274="","",Y274-Z274)</f>
        <v/>
      </c>
      <c r="AB274" s="25">
        <f>IF(E274="","",IF(H274="Onsite",IFERROR(INDEX(tbl_Onsite[Qwilr Quote],MATCH(E274&amp;"",tbl_Onsite[Job Number],0)),""),IF(H274="Production",IFERROR(IF(INDEX(tbl_Production[Current RMS No],MATCH(E274&amp;"",tbl_Production[Job Number],0))="",INDEX(tbl_Production[Qwilr Quote],MATCH(E274&amp;"",tbl_Production[Job Number],0)),INDEX(tbl_Production[Current RMS No],MATCH(E274&amp;"",tbl_Production[Job Number],0))),""),IF(H274="Consulting",IFERROR(INDEX(tbl_Consulting[Qwilr Quote],MATCH(E274&amp;"",tbl_Consulting[Job Number],0)),""),""))))</f>
        <v/>
      </c>
      <c r="AC274" s="25">
        <f>IF(AB274="","",IF(AND(LEFT(AB274,4)&lt;&gt;"http",IF(H274="Production",set_RMSBase,set_QwilrBase)=""),"",HYPERLINK(IF(LEFT(AB274,4)="http",AB274,IF(H274="Production",set_RMSBase,set_QwilrBase)&amp;AB274),"Open")))</f>
        <v/>
      </c>
      <c r="AD274" s="27">
        <f>IF(E274="","",IF(H274="Production",IFERROR(INDEX(tbl_Production[Total Expense],MATCH(E274&amp;"",tbl_Production[Job Number],0)),0),IF(H274="Consulting",IFERROR(INDEX(tbl_Consulting[Total Expense],MATCH(E274&amp;"",tbl_Consulting[Job Number],0)),0),0)))</f>
        <v/>
      </c>
      <c r="AE274" s="27">
        <f>IF(E274="","",Y274-N(AD274))</f>
        <v/>
      </c>
      <c r="AF274" s="29">
        <f>IFERROR(AE274/Y274,"")</f>
        <v/>
      </c>
      <c r="AG274" s="25">
        <f>IF(E274="","",IF(H274="Onsite",IFERROR(INDEX(tbl_Onsite[Notes],MATCH(E274&amp;"",tbl_Onsite[Job Number],0)),""),IF(H274="Production",IFERROR(INDEX(tbl_Production[Notes],MATCH(E274&amp;"",tbl_Production[Job Number],0)),""),IF(H274="Consulting",IFERROR(INDEX(tbl_Consulting[Notes],MATCH(E274&amp;"",tbl_Consulting[Job Number],0)),""),""))))</f>
        <v/>
      </c>
    </row>
    <row r="275" ht="15" customHeight="1">
      <c r="A275" s="22" t="n"/>
      <c r="B275" s="23">
        <f>IF(A275="","",EOMONTH(A275,0))</f>
        <v/>
      </c>
      <c r="C275" s="24" t="n"/>
      <c r="D275" s="24" t="n"/>
      <c r="E275" s="24" t="n"/>
      <c r="F275" s="25">
        <f>IF(E275="","",IF(COUNTIF(lst_Jobs,E275&amp;"")&gt;0,"OK","CHECK"))</f>
        <v/>
      </c>
      <c r="G275" s="24" t="n"/>
      <c r="H275" s="24" t="n"/>
      <c r="I275" s="24" t="n"/>
      <c r="J275" s="24" t="n"/>
      <c r="K275" s="24" t="n"/>
      <c r="L275" s="26" t="n"/>
      <c r="M275" s="27">
        <f>IF(L275="","",IF(K275="GST 10%",ROUND(L275*set_GSTRate,2),0))</f>
        <v/>
      </c>
      <c r="N275" s="27">
        <f>IF(L275="","",L275+M275)</f>
        <v/>
      </c>
      <c r="O275" s="24" t="n"/>
      <c r="P275" s="24" t="n"/>
      <c r="Q275" s="24" t="n"/>
      <c r="R275" s="22" t="n"/>
      <c r="S275" s="22" t="n"/>
      <c r="T275" s="24" t="n"/>
      <c r="U275" s="24" t="n"/>
      <c r="V275" s="25">
        <f>IF(COUNTA(A275,D275,C275,L275)=0,"",IF(A275="","No date - sits outside every month",IF(E275="","No job number",IF(F275="CHECK","Job number is not in the Xero job list",IF(I275="","No cost centre",IF(AND(P275="Y",C275=""),"Marked posted to Xero but has no invoice number",IF(AND(L275&lt;&gt;"",K275=""),"No tax code",IF(AND(L275&lt;&gt;"",O275=""),"No revenue GL code",""))))))))</f>
        <v/>
      </c>
      <c r="W275" s="25">
        <f>IF(E275="","",IFERROR(INDEX(lst_JobName,MATCH(E275&amp;"",lst_Jobs,0)),""))</f>
        <v/>
      </c>
      <c r="X275" s="28">
        <f>IF(E275="","",COUNTIFS(tbl_Finance[Job Number],E275&amp;"",tbl_Finance[Ex GST],"&lt;&gt;"))</f>
        <v/>
      </c>
      <c r="Y275" s="27">
        <f>IF(E275="","",SUMIFS(tbl_Finance[Ex GST],tbl_Finance[Job Number],E275&amp;""))</f>
        <v/>
      </c>
      <c r="Z275" s="27">
        <f>IF(E275="","",SUMIFS(tbl_Finance[Ex GST],tbl_Finance[Job Number],E275&amp;"",tbl_Finance[Xero Invoice No],"&lt;&gt;"))</f>
        <v/>
      </c>
      <c r="AA275" s="27">
        <f>IF(E275="","",Y275-Z275)</f>
        <v/>
      </c>
      <c r="AB275" s="25">
        <f>IF(E275="","",IF(H275="Onsite",IFERROR(INDEX(tbl_Onsite[Qwilr Quote],MATCH(E275&amp;"",tbl_Onsite[Job Number],0)),""),IF(H275="Production",IFERROR(IF(INDEX(tbl_Production[Current RMS No],MATCH(E275&amp;"",tbl_Production[Job Number],0))="",INDEX(tbl_Production[Qwilr Quote],MATCH(E275&amp;"",tbl_Production[Job Number],0)),INDEX(tbl_Production[Current RMS No],MATCH(E275&amp;"",tbl_Production[Job Number],0))),""),IF(H275="Consulting",IFERROR(INDEX(tbl_Consulting[Qwilr Quote],MATCH(E275&amp;"",tbl_Consulting[Job Number],0)),""),""))))</f>
        <v/>
      </c>
      <c r="AC275" s="25">
        <f>IF(AB275="","",IF(AND(LEFT(AB275,4)&lt;&gt;"http",IF(H275="Production",set_RMSBase,set_QwilrBase)=""),"",HYPERLINK(IF(LEFT(AB275,4)="http",AB275,IF(H275="Production",set_RMSBase,set_QwilrBase)&amp;AB275),"Open")))</f>
        <v/>
      </c>
      <c r="AD275" s="27">
        <f>IF(E275="","",IF(H275="Production",IFERROR(INDEX(tbl_Production[Total Expense],MATCH(E275&amp;"",tbl_Production[Job Number],0)),0),IF(H275="Consulting",IFERROR(INDEX(tbl_Consulting[Total Expense],MATCH(E275&amp;"",tbl_Consulting[Job Number],0)),0),0)))</f>
        <v/>
      </c>
      <c r="AE275" s="27">
        <f>IF(E275="","",Y275-N(AD275))</f>
        <v/>
      </c>
      <c r="AF275" s="29">
        <f>IFERROR(AE275/Y275,"")</f>
        <v/>
      </c>
      <c r="AG275" s="25">
        <f>IF(E275="","",IF(H275="Onsite",IFERROR(INDEX(tbl_Onsite[Notes],MATCH(E275&amp;"",tbl_Onsite[Job Number],0)),""),IF(H275="Production",IFERROR(INDEX(tbl_Production[Notes],MATCH(E275&amp;"",tbl_Production[Job Number],0)),""),IF(H275="Consulting",IFERROR(INDEX(tbl_Consulting[Notes],MATCH(E275&amp;"",tbl_Consulting[Job Number],0)),""),""))))</f>
        <v/>
      </c>
    </row>
    <row r="276" ht="15" customHeight="1">
      <c r="A276" s="22" t="n"/>
      <c r="B276" s="23">
        <f>IF(A276="","",EOMONTH(A276,0))</f>
        <v/>
      </c>
      <c r="C276" s="24" t="n"/>
      <c r="D276" s="24" t="n"/>
      <c r="E276" s="24" t="n"/>
      <c r="F276" s="25">
        <f>IF(E276="","",IF(COUNTIF(lst_Jobs,E276&amp;"")&gt;0,"OK","CHECK"))</f>
        <v/>
      </c>
      <c r="G276" s="24" t="n"/>
      <c r="H276" s="24" t="n"/>
      <c r="I276" s="24" t="n"/>
      <c r="J276" s="24" t="n"/>
      <c r="K276" s="24" t="n"/>
      <c r="L276" s="26" t="n"/>
      <c r="M276" s="27">
        <f>IF(L276="","",IF(K276="GST 10%",ROUND(L276*set_GSTRate,2),0))</f>
        <v/>
      </c>
      <c r="N276" s="27">
        <f>IF(L276="","",L276+M276)</f>
        <v/>
      </c>
      <c r="O276" s="24" t="n"/>
      <c r="P276" s="24" t="n"/>
      <c r="Q276" s="24" t="n"/>
      <c r="R276" s="22" t="n"/>
      <c r="S276" s="22" t="n"/>
      <c r="T276" s="24" t="n"/>
      <c r="U276" s="24" t="n"/>
      <c r="V276" s="25">
        <f>IF(COUNTA(A276,D276,C276,L276)=0,"",IF(A276="","No date - sits outside every month",IF(E276="","No job number",IF(F276="CHECK","Job number is not in the Xero job list",IF(I276="","No cost centre",IF(AND(P276="Y",C276=""),"Marked posted to Xero but has no invoice number",IF(AND(L276&lt;&gt;"",K276=""),"No tax code",IF(AND(L276&lt;&gt;"",O276=""),"No revenue GL code",""))))))))</f>
        <v/>
      </c>
      <c r="W276" s="25">
        <f>IF(E276="","",IFERROR(INDEX(lst_JobName,MATCH(E276&amp;"",lst_Jobs,0)),""))</f>
        <v/>
      </c>
      <c r="X276" s="28">
        <f>IF(E276="","",COUNTIFS(tbl_Finance[Job Number],E276&amp;"",tbl_Finance[Ex GST],"&lt;&gt;"))</f>
        <v/>
      </c>
      <c r="Y276" s="27">
        <f>IF(E276="","",SUMIFS(tbl_Finance[Ex GST],tbl_Finance[Job Number],E276&amp;""))</f>
        <v/>
      </c>
      <c r="Z276" s="27">
        <f>IF(E276="","",SUMIFS(tbl_Finance[Ex GST],tbl_Finance[Job Number],E276&amp;"",tbl_Finance[Xero Invoice No],"&lt;&gt;"))</f>
        <v/>
      </c>
      <c r="AA276" s="27">
        <f>IF(E276="","",Y276-Z276)</f>
        <v/>
      </c>
      <c r="AB276" s="25">
        <f>IF(E276="","",IF(H276="Onsite",IFERROR(INDEX(tbl_Onsite[Qwilr Quote],MATCH(E276&amp;"",tbl_Onsite[Job Number],0)),""),IF(H276="Production",IFERROR(IF(INDEX(tbl_Production[Current RMS No],MATCH(E276&amp;"",tbl_Production[Job Number],0))="",INDEX(tbl_Production[Qwilr Quote],MATCH(E276&amp;"",tbl_Production[Job Number],0)),INDEX(tbl_Production[Current RMS No],MATCH(E276&amp;"",tbl_Production[Job Number],0))),""),IF(H276="Consulting",IFERROR(INDEX(tbl_Consulting[Qwilr Quote],MATCH(E276&amp;"",tbl_Consulting[Job Number],0)),""),""))))</f>
        <v/>
      </c>
      <c r="AC276" s="25">
        <f>IF(AB276="","",IF(AND(LEFT(AB276,4)&lt;&gt;"http",IF(H276="Production",set_RMSBase,set_QwilrBase)=""),"",HYPERLINK(IF(LEFT(AB276,4)="http",AB276,IF(H276="Production",set_RMSBase,set_QwilrBase)&amp;AB276),"Open")))</f>
        <v/>
      </c>
      <c r="AD276" s="27">
        <f>IF(E276="","",IF(H276="Production",IFERROR(INDEX(tbl_Production[Total Expense],MATCH(E276&amp;"",tbl_Production[Job Number],0)),0),IF(H276="Consulting",IFERROR(INDEX(tbl_Consulting[Total Expense],MATCH(E276&amp;"",tbl_Consulting[Job Number],0)),0),0)))</f>
        <v/>
      </c>
      <c r="AE276" s="27">
        <f>IF(E276="","",Y276-N(AD276))</f>
        <v/>
      </c>
      <c r="AF276" s="29">
        <f>IFERROR(AE276/Y276,"")</f>
        <v/>
      </c>
      <c r="AG276" s="25">
        <f>IF(E276="","",IF(H276="Onsite",IFERROR(INDEX(tbl_Onsite[Notes],MATCH(E276&amp;"",tbl_Onsite[Job Number],0)),""),IF(H276="Production",IFERROR(INDEX(tbl_Production[Notes],MATCH(E276&amp;"",tbl_Production[Job Number],0)),""),IF(H276="Consulting",IFERROR(INDEX(tbl_Consulting[Notes],MATCH(E276&amp;"",tbl_Consulting[Job Number],0)),""),""))))</f>
        <v/>
      </c>
    </row>
    <row r="277" ht="15" customHeight="1">
      <c r="A277" s="22" t="n"/>
      <c r="B277" s="23">
        <f>IF(A277="","",EOMONTH(A277,0))</f>
        <v/>
      </c>
      <c r="C277" s="24" t="n"/>
      <c r="D277" s="24" t="n"/>
      <c r="E277" s="24" t="n"/>
      <c r="F277" s="25">
        <f>IF(E277="","",IF(COUNTIF(lst_Jobs,E277&amp;"")&gt;0,"OK","CHECK"))</f>
        <v/>
      </c>
      <c r="G277" s="24" t="n"/>
      <c r="H277" s="24" t="n"/>
      <c r="I277" s="24" t="n"/>
      <c r="J277" s="24" t="n"/>
      <c r="K277" s="24" t="n"/>
      <c r="L277" s="26" t="n"/>
      <c r="M277" s="27">
        <f>IF(L277="","",IF(K277="GST 10%",ROUND(L277*set_GSTRate,2),0))</f>
        <v/>
      </c>
      <c r="N277" s="27">
        <f>IF(L277="","",L277+M277)</f>
        <v/>
      </c>
      <c r="O277" s="24" t="n"/>
      <c r="P277" s="24" t="n"/>
      <c r="Q277" s="24" t="n"/>
      <c r="R277" s="22" t="n"/>
      <c r="S277" s="22" t="n"/>
      <c r="T277" s="24" t="n"/>
      <c r="U277" s="24" t="n"/>
      <c r="V277" s="25">
        <f>IF(COUNTA(A277,D277,C277,L277)=0,"",IF(A277="","No date - sits outside every month",IF(E277="","No job number",IF(F277="CHECK","Job number is not in the Xero job list",IF(I277="","No cost centre",IF(AND(P277="Y",C277=""),"Marked posted to Xero but has no invoice number",IF(AND(L277&lt;&gt;"",K277=""),"No tax code",IF(AND(L277&lt;&gt;"",O277=""),"No revenue GL code",""))))))))</f>
        <v/>
      </c>
      <c r="W277" s="25">
        <f>IF(E277="","",IFERROR(INDEX(lst_JobName,MATCH(E277&amp;"",lst_Jobs,0)),""))</f>
        <v/>
      </c>
      <c r="X277" s="28">
        <f>IF(E277="","",COUNTIFS(tbl_Finance[Job Number],E277&amp;"",tbl_Finance[Ex GST],"&lt;&gt;"))</f>
        <v/>
      </c>
      <c r="Y277" s="27">
        <f>IF(E277="","",SUMIFS(tbl_Finance[Ex GST],tbl_Finance[Job Number],E277&amp;""))</f>
        <v/>
      </c>
      <c r="Z277" s="27">
        <f>IF(E277="","",SUMIFS(tbl_Finance[Ex GST],tbl_Finance[Job Number],E277&amp;"",tbl_Finance[Xero Invoice No],"&lt;&gt;"))</f>
        <v/>
      </c>
      <c r="AA277" s="27">
        <f>IF(E277="","",Y277-Z277)</f>
        <v/>
      </c>
      <c r="AB277" s="25">
        <f>IF(E277="","",IF(H277="Onsite",IFERROR(INDEX(tbl_Onsite[Qwilr Quote],MATCH(E277&amp;"",tbl_Onsite[Job Number],0)),""),IF(H277="Production",IFERROR(IF(INDEX(tbl_Production[Current RMS No],MATCH(E277&amp;"",tbl_Production[Job Number],0))="",INDEX(tbl_Production[Qwilr Quote],MATCH(E277&amp;"",tbl_Production[Job Number],0)),INDEX(tbl_Production[Current RMS No],MATCH(E277&amp;"",tbl_Production[Job Number],0))),""),IF(H277="Consulting",IFERROR(INDEX(tbl_Consulting[Qwilr Quote],MATCH(E277&amp;"",tbl_Consulting[Job Number],0)),""),""))))</f>
        <v/>
      </c>
      <c r="AC277" s="25">
        <f>IF(AB277="","",IF(AND(LEFT(AB277,4)&lt;&gt;"http",IF(H277="Production",set_RMSBase,set_QwilrBase)=""),"",HYPERLINK(IF(LEFT(AB277,4)="http",AB277,IF(H277="Production",set_RMSBase,set_QwilrBase)&amp;AB277),"Open")))</f>
        <v/>
      </c>
      <c r="AD277" s="27">
        <f>IF(E277="","",IF(H277="Production",IFERROR(INDEX(tbl_Production[Total Expense],MATCH(E277&amp;"",tbl_Production[Job Number],0)),0),IF(H277="Consulting",IFERROR(INDEX(tbl_Consulting[Total Expense],MATCH(E277&amp;"",tbl_Consulting[Job Number],0)),0),0)))</f>
        <v/>
      </c>
      <c r="AE277" s="27">
        <f>IF(E277="","",Y277-N(AD277))</f>
        <v/>
      </c>
      <c r="AF277" s="29">
        <f>IFERROR(AE277/Y277,"")</f>
        <v/>
      </c>
      <c r="AG277" s="25">
        <f>IF(E277="","",IF(H277="Onsite",IFERROR(INDEX(tbl_Onsite[Notes],MATCH(E277&amp;"",tbl_Onsite[Job Number],0)),""),IF(H277="Production",IFERROR(INDEX(tbl_Production[Notes],MATCH(E277&amp;"",tbl_Production[Job Number],0)),""),IF(H277="Consulting",IFERROR(INDEX(tbl_Consulting[Notes],MATCH(E277&amp;"",tbl_Consulting[Job Number],0)),""),""))))</f>
        <v/>
      </c>
    </row>
    <row r="278" ht="15" customHeight="1">
      <c r="A278" s="22" t="n"/>
      <c r="B278" s="23">
        <f>IF(A278="","",EOMONTH(A278,0))</f>
        <v/>
      </c>
      <c r="C278" s="24" t="n"/>
      <c r="D278" s="24" t="n"/>
      <c r="E278" s="24" t="n"/>
      <c r="F278" s="25">
        <f>IF(E278="","",IF(COUNTIF(lst_Jobs,E278&amp;"")&gt;0,"OK","CHECK"))</f>
        <v/>
      </c>
      <c r="G278" s="24" t="n"/>
      <c r="H278" s="24" t="n"/>
      <c r="I278" s="24" t="n"/>
      <c r="J278" s="24" t="n"/>
      <c r="K278" s="24" t="n"/>
      <c r="L278" s="26" t="n"/>
      <c r="M278" s="27">
        <f>IF(L278="","",IF(K278="GST 10%",ROUND(L278*set_GSTRate,2),0))</f>
        <v/>
      </c>
      <c r="N278" s="27">
        <f>IF(L278="","",L278+M278)</f>
        <v/>
      </c>
      <c r="O278" s="24" t="n"/>
      <c r="P278" s="24" t="n"/>
      <c r="Q278" s="24" t="n"/>
      <c r="R278" s="22" t="n"/>
      <c r="S278" s="22" t="n"/>
      <c r="T278" s="24" t="n"/>
      <c r="U278" s="24" t="n"/>
      <c r="V278" s="25">
        <f>IF(COUNTA(A278,D278,C278,L278)=0,"",IF(A278="","No date - sits outside every month",IF(E278="","No job number",IF(F278="CHECK","Job number is not in the Xero job list",IF(I278="","No cost centre",IF(AND(P278="Y",C278=""),"Marked posted to Xero but has no invoice number",IF(AND(L278&lt;&gt;"",K278=""),"No tax code",IF(AND(L278&lt;&gt;"",O278=""),"No revenue GL code",""))))))))</f>
        <v/>
      </c>
      <c r="W278" s="25">
        <f>IF(E278="","",IFERROR(INDEX(lst_JobName,MATCH(E278&amp;"",lst_Jobs,0)),""))</f>
        <v/>
      </c>
      <c r="X278" s="28">
        <f>IF(E278="","",COUNTIFS(tbl_Finance[Job Number],E278&amp;"",tbl_Finance[Ex GST],"&lt;&gt;"))</f>
        <v/>
      </c>
      <c r="Y278" s="27">
        <f>IF(E278="","",SUMIFS(tbl_Finance[Ex GST],tbl_Finance[Job Number],E278&amp;""))</f>
        <v/>
      </c>
      <c r="Z278" s="27">
        <f>IF(E278="","",SUMIFS(tbl_Finance[Ex GST],tbl_Finance[Job Number],E278&amp;"",tbl_Finance[Xero Invoice No],"&lt;&gt;"))</f>
        <v/>
      </c>
      <c r="AA278" s="27">
        <f>IF(E278="","",Y278-Z278)</f>
        <v/>
      </c>
      <c r="AB278" s="25">
        <f>IF(E278="","",IF(H278="Onsite",IFERROR(INDEX(tbl_Onsite[Qwilr Quote],MATCH(E278&amp;"",tbl_Onsite[Job Number],0)),""),IF(H278="Production",IFERROR(IF(INDEX(tbl_Production[Current RMS No],MATCH(E278&amp;"",tbl_Production[Job Number],0))="",INDEX(tbl_Production[Qwilr Quote],MATCH(E278&amp;"",tbl_Production[Job Number],0)),INDEX(tbl_Production[Current RMS No],MATCH(E278&amp;"",tbl_Production[Job Number],0))),""),IF(H278="Consulting",IFERROR(INDEX(tbl_Consulting[Qwilr Quote],MATCH(E278&amp;"",tbl_Consulting[Job Number],0)),""),""))))</f>
        <v/>
      </c>
      <c r="AC278" s="25">
        <f>IF(AB278="","",IF(AND(LEFT(AB278,4)&lt;&gt;"http",IF(H278="Production",set_RMSBase,set_QwilrBase)=""),"",HYPERLINK(IF(LEFT(AB278,4)="http",AB278,IF(H278="Production",set_RMSBase,set_QwilrBase)&amp;AB278),"Open")))</f>
        <v/>
      </c>
      <c r="AD278" s="27">
        <f>IF(E278="","",IF(H278="Production",IFERROR(INDEX(tbl_Production[Total Expense],MATCH(E278&amp;"",tbl_Production[Job Number],0)),0),IF(H278="Consulting",IFERROR(INDEX(tbl_Consulting[Total Expense],MATCH(E278&amp;"",tbl_Consulting[Job Number],0)),0),0)))</f>
        <v/>
      </c>
      <c r="AE278" s="27">
        <f>IF(E278="","",Y278-N(AD278))</f>
        <v/>
      </c>
      <c r="AF278" s="29">
        <f>IFERROR(AE278/Y278,"")</f>
        <v/>
      </c>
      <c r="AG278" s="25">
        <f>IF(E278="","",IF(H278="Onsite",IFERROR(INDEX(tbl_Onsite[Notes],MATCH(E278&amp;"",tbl_Onsite[Job Number],0)),""),IF(H278="Production",IFERROR(INDEX(tbl_Production[Notes],MATCH(E278&amp;"",tbl_Production[Job Number],0)),""),IF(H278="Consulting",IFERROR(INDEX(tbl_Consulting[Notes],MATCH(E278&amp;"",tbl_Consulting[Job Number],0)),""),""))))</f>
        <v/>
      </c>
    </row>
    <row r="279" ht="15" customHeight="1">
      <c r="A279" s="22" t="n"/>
      <c r="B279" s="23">
        <f>IF(A279="","",EOMONTH(A279,0))</f>
        <v/>
      </c>
      <c r="C279" s="24" t="n"/>
      <c r="D279" s="24" t="n"/>
      <c r="E279" s="24" t="n"/>
      <c r="F279" s="25">
        <f>IF(E279="","",IF(COUNTIF(lst_Jobs,E279&amp;"")&gt;0,"OK","CHECK"))</f>
        <v/>
      </c>
      <c r="G279" s="24" t="n"/>
      <c r="H279" s="24" t="n"/>
      <c r="I279" s="24" t="n"/>
      <c r="J279" s="24" t="n"/>
      <c r="K279" s="24" t="n"/>
      <c r="L279" s="26" t="n"/>
      <c r="M279" s="27">
        <f>IF(L279="","",IF(K279="GST 10%",ROUND(L279*set_GSTRate,2),0))</f>
        <v/>
      </c>
      <c r="N279" s="27">
        <f>IF(L279="","",L279+M279)</f>
        <v/>
      </c>
      <c r="O279" s="24" t="n"/>
      <c r="P279" s="24" t="n"/>
      <c r="Q279" s="24" t="n"/>
      <c r="R279" s="22" t="n"/>
      <c r="S279" s="22" t="n"/>
      <c r="T279" s="24" t="n"/>
      <c r="U279" s="24" t="n"/>
      <c r="V279" s="25">
        <f>IF(COUNTA(A279,D279,C279,L279)=0,"",IF(A279="","No date - sits outside every month",IF(E279="","No job number",IF(F279="CHECK","Job number is not in the Xero job list",IF(I279="","No cost centre",IF(AND(P279="Y",C279=""),"Marked posted to Xero but has no invoice number",IF(AND(L279&lt;&gt;"",K279=""),"No tax code",IF(AND(L279&lt;&gt;"",O279=""),"No revenue GL code",""))))))))</f>
        <v/>
      </c>
      <c r="W279" s="25">
        <f>IF(E279="","",IFERROR(INDEX(lst_JobName,MATCH(E279&amp;"",lst_Jobs,0)),""))</f>
        <v/>
      </c>
      <c r="X279" s="28">
        <f>IF(E279="","",COUNTIFS(tbl_Finance[Job Number],E279&amp;"",tbl_Finance[Ex GST],"&lt;&gt;"))</f>
        <v/>
      </c>
      <c r="Y279" s="27">
        <f>IF(E279="","",SUMIFS(tbl_Finance[Ex GST],tbl_Finance[Job Number],E279&amp;""))</f>
        <v/>
      </c>
      <c r="Z279" s="27">
        <f>IF(E279="","",SUMIFS(tbl_Finance[Ex GST],tbl_Finance[Job Number],E279&amp;"",tbl_Finance[Xero Invoice No],"&lt;&gt;"))</f>
        <v/>
      </c>
      <c r="AA279" s="27">
        <f>IF(E279="","",Y279-Z279)</f>
        <v/>
      </c>
      <c r="AB279" s="25">
        <f>IF(E279="","",IF(H279="Onsite",IFERROR(INDEX(tbl_Onsite[Qwilr Quote],MATCH(E279&amp;"",tbl_Onsite[Job Number],0)),""),IF(H279="Production",IFERROR(IF(INDEX(tbl_Production[Current RMS No],MATCH(E279&amp;"",tbl_Production[Job Number],0))="",INDEX(tbl_Production[Qwilr Quote],MATCH(E279&amp;"",tbl_Production[Job Number],0)),INDEX(tbl_Production[Current RMS No],MATCH(E279&amp;"",tbl_Production[Job Number],0))),""),IF(H279="Consulting",IFERROR(INDEX(tbl_Consulting[Qwilr Quote],MATCH(E279&amp;"",tbl_Consulting[Job Number],0)),""),""))))</f>
        <v/>
      </c>
      <c r="AC279" s="25">
        <f>IF(AB279="","",IF(AND(LEFT(AB279,4)&lt;&gt;"http",IF(H279="Production",set_RMSBase,set_QwilrBase)=""),"",HYPERLINK(IF(LEFT(AB279,4)="http",AB279,IF(H279="Production",set_RMSBase,set_QwilrBase)&amp;AB279),"Open")))</f>
        <v/>
      </c>
      <c r="AD279" s="27">
        <f>IF(E279="","",IF(H279="Production",IFERROR(INDEX(tbl_Production[Total Expense],MATCH(E279&amp;"",tbl_Production[Job Number],0)),0),IF(H279="Consulting",IFERROR(INDEX(tbl_Consulting[Total Expense],MATCH(E279&amp;"",tbl_Consulting[Job Number],0)),0),0)))</f>
        <v/>
      </c>
      <c r="AE279" s="27">
        <f>IF(E279="","",Y279-N(AD279))</f>
        <v/>
      </c>
      <c r="AF279" s="29">
        <f>IFERROR(AE279/Y279,"")</f>
        <v/>
      </c>
      <c r="AG279" s="25">
        <f>IF(E279="","",IF(H279="Onsite",IFERROR(INDEX(tbl_Onsite[Notes],MATCH(E279&amp;"",tbl_Onsite[Job Number],0)),""),IF(H279="Production",IFERROR(INDEX(tbl_Production[Notes],MATCH(E279&amp;"",tbl_Production[Job Number],0)),""),IF(H279="Consulting",IFERROR(INDEX(tbl_Consulting[Notes],MATCH(E279&amp;"",tbl_Consulting[Job Number],0)),""),""))))</f>
        <v/>
      </c>
    </row>
    <row r="280" ht="15" customHeight="1">
      <c r="A280" s="22" t="n"/>
      <c r="B280" s="23">
        <f>IF(A280="","",EOMONTH(A280,0))</f>
        <v/>
      </c>
      <c r="C280" s="24" t="n"/>
      <c r="D280" s="24" t="n"/>
      <c r="E280" s="24" t="n"/>
      <c r="F280" s="25">
        <f>IF(E280="","",IF(COUNTIF(lst_Jobs,E280&amp;"")&gt;0,"OK","CHECK"))</f>
        <v/>
      </c>
      <c r="G280" s="24" t="n"/>
      <c r="H280" s="24" t="n"/>
      <c r="I280" s="24" t="n"/>
      <c r="J280" s="24" t="n"/>
      <c r="K280" s="24" t="n"/>
      <c r="L280" s="26" t="n"/>
      <c r="M280" s="27">
        <f>IF(L280="","",IF(K280="GST 10%",ROUND(L280*set_GSTRate,2),0))</f>
        <v/>
      </c>
      <c r="N280" s="27">
        <f>IF(L280="","",L280+M280)</f>
        <v/>
      </c>
      <c r="O280" s="24" t="n"/>
      <c r="P280" s="24" t="n"/>
      <c r="Q280" s="24" t="n"/>
      <c r="R280" s="22" t="n"/>
      <c r="S280" s="22" t="n"/>
      <c r="T280" s="24" t="n"/>
      <c r="U280" s="24" t="n"/>
      <c r="V280" s="25">
        <f>IF(COUNTA(A280,D280,C280,L280)=0,"",IF(A280="","No date - sits outside every month",IF(E280="","No job number",IF(F280="CHECK","Job number is not in the Xero job list",IF(I280="","No cost centre",IF(AND(P280="Y",C280=""),"Marked posted to Xero but has no invoice number",IF(AND(L280&lt;&gt;"",K280=""),"No tax code",IF(AND(L280&lt;&gt;"",O280=""),"No revenue GL code",""))))))))</f>
        <v/>
      </c>
      <c r="W280" s="25">
        <f>IF(E280="","",IFERROR(INDEX(lst_JobName,MATCH(E280&amp;"",lst_Jobs,0)),""))</f>
        <v/>
      </c>
      <c r="X280" s="28">
        <f>IF(E280="","",COUNTIFS(tbl_Finance[Job Number],E280&amp;"",tbl_Finance[Ex GST],"&lt;&gt;"))</f>
        <v/>
      </c>
      <c r="Y280" s="27">
        <f>IF(E280="","",SUMIFS(tbl_Finance[Ex GST],tbl_Finance[Job Number],E280&amp;""))</f>
        <v/>
      </c>
      <c r="Z280" s="27">
        <f>IF(E280="","",SUMIFS(tbl_Finance[Ex GST],tbl_Finance[Job Number],E280&amp;"",tbl_Finance[Xero Invoice No],"&lt;&gt;"))</f>
        <v/>
      </c>
      <c r="AA280" s="27">
        <f>IF(E280="","",Y280-Z280)</f>
        <v/>
      </c>
      <c r="AB280" s="25">
        <f>IF(E280="","",IF(H280="Onsite",IFERROR(INDEX(tbl_Onsite[Qwilr Quote],MATCH(E280&amp;"",tbl_Onsite[Job Number],0)),""),IF(H280="Production",IFERROR(IF(INDEX(tbl_Production[Current RMS No],MATCH(E280&amp;"",tbl_Production[Job Number],0))="",INDEX(tbl_Production[Qwilr Quote],MATCH(E280&amp;"",tbl_Production[Job Number],0)),INDEX(tbl_Production[Current RMS No],MATCH(E280&amp;"",tbl_Production[Job Number],0))),""),IF(H280="Consulting",IFERROR(INDEX(tbl_Consulting[Qwilr Quote],MATCH(E280&amp;"",tbl_Consulting[Job Number],0)),""),""))))</f>
        <v/>
      </c>
      <c r="AC280" s="25">
        <f>IF(AB280="","",IF(AND(LEFT(AB280,4)&lt;&gt;"http",IF(H280="Production",set_RMSBase,set_QwilrBase)=""),"",HYPERLINK(IF(LEFT(AB280,4)="http",AB280,IF(H280="Production",set_RMSBase,set_QwilrBase)&amp;AB280),"Open")))</f>
        <v/>
      </c>
      <c r="AD280" s="27">
        <f>IF(E280="","",IF(H280="Production",IFERROR(INDEX(tbl_Production[Total Expense],MATCH(E280&amp;"",tbl_Production[Job Number],0)),0),IF(H280="Consulting",IFERROR(INDEX(tbl_Consulting[Total Expense],MATCH(E280&amp;"",tbl_Consulting[Job Number],0)),0),0)))</f>
        <v/>
      </c>
      <c r="AE280" s="27">
        <f>IF(E280="","",Y280-N(AD280))</f>
        <v/>
      </c>
      <c r="AF280" s="29">
        <f>IFERROR(AE280/Y280,"")</f>
        <v/>
      </c>
      <c r="AG280" s="25">
        <f>IF(E280="","",IF(H280="Onsite",IFERROR(INDEX(tbl_Onsite[Notes],MATCH(E280&amp;"",tbl_Onsite[Job Number],0)),""),IF(H280="Production",IFERROR(INDEX(tbl_Production[Notes],MATCH(E280&amp;"",tbl_Production[Job Number],0)),""),IF(H280="Consulting",IFERROR(INDEX(tbl_Consulting[Notes],MATCH(E280&amp;"",tbl_Consulting[Job Number],0)),""),""))))</f>
        <v/>
      </c>
    </row>
    <row r="281" ht="15" customHeight="1">
      <c r="A281" s="22" t="n"/>
      <c r="B281" s="23">
        <f>IF(A281="","",EOMONTH(A281,0))</f>
        <v/>
      </c>
      <c r="C281" s="24" t="n"/>
      <c r="D281" s="24" t="n"/>
      <c r="E281" s="24" t="n"/>
      <c r="F281" s="25">
        <f>IF(E281="","",IF(COUNTIF(lst_Jobs,E281&amp;"")&gt;0,"OK","CHECK"))</f>
        <v/>
      </c>
      <c r="G281" s="24" t="n"/>
      <c r="H281" s="24" t="n"/>
      <c r="I281" s="24" t="n"/>
      <c r="J281" s="24" t="n"/>
      <c r="K281" s="24" t="n"/>
      <c r="L281" s="26" t="n"/>
      <c r="M281" s="27">
        <f>IF(L281="","",IF(K281="GST 10%",ROUND(L281*set_GSTRate,2),0))</f>
        <v/>
      </c>
      <c r="N281" s="27">
        <f>IF(L281="","",L281+M281)</f>
        <v/>
      </c>
      <c r="O281" s="24" t="n"/>
      <c r="P281" s="24" t="n"/>
      <c r="Q281" s="24" t="n"/>
      <c r="R281" s="22" t="n"/>
      <c r="S281" s="22" t="n"/>
      <c r="T281" s="24" t="n"/>
      <c r="U281" s="24" t="n"/>
      <c r="V281" s="25">
        <f>IF(COUNTA(A281,D281,C281,L281)=0,"",IF(A281="","No date - sits outside every month",IF(E281="","No job number",IF(F281="CHECK","Job number is not in the Xero job list",IF(I281="","No cost centre",IF(AND(P281="Y",C281=""),"Marked posted to Xero but has no invoice number",IF(AND(L281&lt;&gt;"",K281=""),"No tax code",IF(AND(L281&lt;&gt;"",O281=""),"No revenue GL code",""))))))))</f>
        <v/>
      </c>
      <c r="W281" s="25">
        <f>IF(E281="","",IFERROR(INDEX(lst_JobName,MATCH(E281&amp;"",lst_Jobs,0)),""))</f>
        <v/>
      </c>
      <c r="X281" s="28">
        <f>IF(E281="","",COUNTIFS(tbl_Finance[Job Number],E281&amp;"",tbl_Finance[Ex GST],"&lt;&gt;"))</f>
        <v/>
      </c>
      <c r="Y281" s="27">
        <f>IF(E281="","",SUMIFS(tbl_Finance[Ex GST],tbl_Finance[Job Number],E281&amp;""))</f>
        <v/>
      </c>
      <c r="Z281" s="27">
        <f>IF(E281="","",SUMIFS(tbl_Finance[Ex GST],tbl_Finance[Job Number],E281&amp;"",tbl_Finance[Xero Invoice No],"&lt;&gt;"))</f>
        <v/>
      </c>
      <c r="AA281" s="27">
        <f>IF(E281="","",Y281-Z281)</f>
        <v/>
      </c>
      <c r="AB281" s="25">
        <f>IF(E281="","",IF(H281="Onsite",IFERROR(INDEX(tbl_Onsite[Qwilr Quote],MATCH(E281&amp;"",tbl_Onsite[Job Number],0)),""),IF(H281="Production",IFERROR(IF(INDEX(tbl_Production[Current RMS No],MATCH(E281&amp;"",tbl_Production[Job Number],0))="",INDEX(tbl_Production[Qwilr Quote],MATCH(E281&amp;"",tbl_Production[Job Number],0)),INDEX(tbl_Production[Current RMS No],MATCH(E281&amp;"",tbl_Production[Job Number],0))),""),IF(H281="Consulting",IFERROR(INDEX(tbl_Consulting[Qwilr Quote],MATCH(E281&amp;"",tbl_Consulting[Job Number],0)),""),""))))</f>
        <v/>
      </c>
      <c r="AC281" s="25">
        <f>IF(AB281="","",IF(AND(LEFT(AB281,4)&lt;&gt;"http",IF(H281="Production",set_RMSBase,set_QwilrBase)=""),"",HYPERLINK(IF(LEFT(AB281,4)="http",AB281,IF(H281="Production",set_RMSBase,set_QwilrBase)&amp;AB281),"Open")))</f>
        <v/>
      </c>
      <c r="AD281" s="27">
        <f>IF(E281="","",IF(H281="Production",IFERROR(INDEX(tbl_Production[Total Expense],MATCH(E281&amp;"",tbl_Production[Job Number],0)),0),IF(H281="Consulting",IFERROR(INDEX(tbl_Consulting[Total Expense],MATCH(E281&amp;"",tbl_Consulting[Job Number],0)),0),0)))</f>
        <v/>
      </c>
      <c r="AE281" s="27">
        <f>IF(E281="","",Y281-N(AD281))</f>
        <v/>
      </c>
      <c r="AF281" s="29">
        <f>IFERROR(AE281/Y281,"")</f>
        <v/>
      </c>
      <c r="AG281" s="25">
        <f>IF(E281="","",IF(H281="Onsite",IFERROR(INDEX(tbl_Onsite[Notes],MATCH(E281&amp;"",tbl_Onsite[Job Number],0)),""),IF(H281="Production",IFERROR(INDEX(tbl_Production[Notes],MATCH(E281&amp;"",tbl_Production[Job Number],0)),""),IF(H281="Consulting",IFERROR(INDEX(tbl_Consulting[Notes],MATCH(E281&amp;"",tbl_Consulting[Job Number],0)),""),""))))</f>
        <v/>
      </c>
    </row>
    <row r="282" ht="15" customHeight="1">
      <c r="A282" s="22" t="n"/>
      <c r="B282" s="23">
        <f>IF(A282="","",EOMONTH(A282,0))</f>
        <v/>
      </c>
      <c r="C282" s="24" t="n"/>
      <c r="D282" s="24" t="n"/>
      <c r="E282" s="24" t="n"/>
      <c r="F282" s="25">
        <f>IF(E282="","",IF(COUNTIF(lst_Jobs,E282&amp;"")&gt;0,"OK","CHECK"))</f>
        <v/>
      </c>
      <c r="G282" s="24" t="n"/>
      <c r="H282" s="24" t="n"/>
      <c r="I282" s="24" t="n"/>
      <c r="J282" s="24" t="n"/>
      <c r="K282" s="24" t="n"/>
      <c r="L282" s="26" t="n"/>
      <c r="M282" s="27">
        <f>IF(L282="","",IF(K282="GST 10%",ROUND(L282*set_GSTRate,2),0))</f>
        <v/>
      </c>
      <c r="N282" s="27">
        <f>IF(L282="","",L282+M282)</f>
        <v/>
      </c>
      <c r="O282" s="24" t="n"/>
      <c r="P282" s="24" t="n"/>
      <c r="Q282" s="24" t="n"/>
      <c r="R282" s="22" t="n"/>
      <c r="S282" s="22" t="n"/>
      <c r="T282" s="24" t="n"/>
      <c r="U282" s="24" t="n"/>
      <c r="V282" s="25">
        <f>IF(COUNTA(A282,D282,C282,L282)=0,"",IF(A282="","No date - sits outside every month",IF(E282="","No job number",IF(F282="CHECK","Job number is not in the Xero job list",IF(I282="","No cost centre",IF(AND(P282="Y",C282=""),"Marked posted to Xero but has no invoice number",IF(AND(L282&lt;&gt;"",K282=""),"No tax code",IF(AND(L282&lt;&gt;"",O282=""),"No revenue GL code",""))))))))</f>
        <v/>
      </c>
      <c r="W282" s="25">
        <f>IF(E282="","",IFERROR(INDEX(lst_JobName,MATCH(E282&amp;"",lst_Jobs,0)),""))</f>
        <v/>
      </c>
      <c r="X282" s="28">
        <f>IF(E282="","",COUNTIFS(tbl_Finance[Job Number],E282&amp;"",tbl_Finance[Ex GST],"&lt;&gt;"))</f>
        <v/>
      </c>
      <c r="Y282" s="27">
        <f>IF(E282="","",SUMIFS(tbl_Finance[Ex GST],tbl_Finance[Job Number],E282&amp;""))</f>
        <v/>
      </c>
      <c r="Z282" s="27">
        <f>IF(E282="","",SUMIFS(tbl_Finance[Ex GST],tbl_Finance[Job Number],E282&amp;"",tbl_Finance[Xero Invoice No],"&lt;&gt;"))</f>
        <v/>
      </c>
      <c r="AA282" s="27">
        <f>IF(E282="","",Y282-Z282)</f>
        <v/>
      </c>
      <c r="AB282" s="25">
        <f>IF(E282="","",IF(H282="Onsite",IFERROR(INDEX(tbl_Onsite[Qwilr Quote],MATCH(E282&amp;"",tbl_Onsite[Job Number],0)),""),IF(H282="Production",IFERROR(IF(INDEX(tbl_Production[Current RMS No],MATCH(E282&amp;"",tbl_Production[Job Number],0))="",INDEX(tbl_Production[Qwilr Quote],MATCH(E282&amp;"",tbl_Production[Job Number],0)),INDEX(tbl_Production[Current RMS No],MATCH(E282&amp;"",tbl_Production[Job Number],0))),""),IF(H282="Consulting",IFERROR(INDEX(tbl_Consulting[Qwilr Quote],MATCH(E282&amp;"",tbl_Consulting[Job Number],0)),""),""))))</f>
        <v/>
      </c>
      <c r="AC282" s="25">
        <f>IF(AB282="","",IF(AND(LEFT(AB282,4)&lt;&gt;"http",IF(H282="Production",set_RMSBase,set_QwilrBase)=""),"",HYPERLINK(IF(LEFT(AB282,4)="http",AB282,IF(H282="Production",set_RMSBase,set_QwilrBase)&amp;AB282),"Open")))</f>
        <v/>
      </c>
      <c r="AD282" s="27">
        <f>IF(E282="","",IF(H282="Production",IFERROR(INDEX(tbl_Production[Total Expense],MATCH(E282&amp;"",tbl_Production[Job Number],0)),0),IF(H282="Consulting",IFERROR(INDEX(tbl_Consulting[Total Expense],MATCH(E282&amp;"",tbl_Consulting[Job Number],0)),0),0)))</f>
        <v/>
      </c>
      <c r="AE282" s="27">
        <f>IF(E282="","",Y282-N(AD282))</f>
        <v/>
      </c>
      <c r="AF282" s="29">
        <f>IFERROR(AE282/Y282,"")</f>
        <v/>
      </c>
      <c r="AG282" s="25">
        <f>IF(E282="","",IF(H282="Onsite",IFERROR(INDEX(tbl_Onsite[Notes],MATCH(E282&amp;"",tbl_Onsite[Job Number],0)),""),IF(H282="Production",IFERROR(INDEX(tbl_Production[Notes],MATCH(E282&amp;"",tbl_Production[Job Number],0)),""),IF(H282="Consulting",IFERROR(INDEX(tbl_Consulting[Notes],MATCH(E282&amp;"",tbl_Consulting[Job Number],0)),""),""))))</f>
        <v/>
      </c>
    </row>
    <row r="283" ht="15" customHeight="1">
      <c r="A283" s="22" t="n"/>
      <c r="B283" s="23">
        <f>IF(A283="","",EOMONTH(A283,0))</f>
        <v/>
      </c>
      <c r="C283" s="24" t="n"/>
      <c r="D283" s="24" t="n"/>
      <c r="E283" s="24" t="n"/>
      <c r="F283" s="25">
        <f>IF(E283="","",IF(COUNTIF(lst_Jobs,E283&amp;"")&gt;0,"OK","CHECK"))</f>
        <v/>
      </c>
      <c r="G283" s="24" t="n"/>
      <c r="H283" s="24" t="n"/>
      <c r="I283" s="24" t="n"/>
      <c r="J283" s="24" t="n"/>
      <c r="K283" s="24" t="n"/>
      <c r="L283" s="26" t="n"/>
      <c r="M283" s="27">
        <f>IF(L283="","",IF(K283="GST 10%",ROUND(L283*set_GSTRate,2),0))</f>
        <v/>
      </c>
      <c r="N283" s="27">
        <f>IF(L283="","",L283+M283)</f>
        <v/>
      </c>
      <c r="O283" s="24" t="n"/>
      <c r="P283" s="24" t="n"/>
      <c r="Q283" s="24" t="n"/>
      <c r="R283" s="22" t="n"/>
      <c r="S283" s="22" t="n"/>
      <c r="T283" s="24" t="n"/>
      <c r="U283" s="24" t="n"/>
      <c r="V283" s="25">
        <f>IF(COUNTA(A283,D283,C283,L283)=0,"",IF(A283="","No date - sits outside every month",IF(E283="","No job number",IF(F283="CHECK","Job number is not in the Xero job list",IF(I283="","No cost centre",IF(AND(P283="Y",C283=""),"Marked posted to Xero but has no invoice number",IF(AND(L283&lt;&gt;"",K283=""),"No tax code",IF(AND(L283&lt;&gt;"",O283=""),"No revenue GL code",""))))))))</f>
        <v/>
      </c>
      <c r="W283" s="25">
        <f>IF(E283="","",IFERROR(INDEX(lst_JobName,MATCH(E283&amp;"",lst_Jobs,0)),""))</f>
        <v/>
      </c>
      <c r="X283" s="28">
        <f>IF(E283="","",COUNTIFS(tbl_Finance[Job Number],E283&amp;"",tbl_Finance[Ex GST],"&lt;&gt;"))</f>
        <v/>
      </c>
      <c r="Y283" s="27">
        <f>IF(E283="","",SUMIFS(tbl_Finance[Ex GST],tbl_Finance[Job Number],E283&amp;""))</f>
        <v/>
      </c>
      <c r="Z283" s="27">
        <f>IF(E283="","",SUMIFS(tbl_Finance[Ex GST],tbl_Finance[Job Number],E283&amp;"",tbl_Finance[Xero Invoice No],"&lt;&gt;"))</f>
        <v/>
      </c>
      <c r="AA283" s="27">
        <f>IF(E283="","",Y283-Z283)</f>
        <v/>
      </c>
      <c r="AB283" s="25">
        <f>IF(E283="","",IF(H283="Onsite",IFERROR(INDEX(tbl_Onsite[Qwilr Quote],MATCH(E283&amp;"",tbl_Onsite[Job Number],0)),""),IF(H283="Production",IFERROR(IF(INDEX(tbl_Production[Current RMS No],MATCH(E283&amp;"",tbl_Production[Job Number],0))="",INDEX(tbl_Production[Qwilr Quote],MATCH(E283&amp;"",tbl_Production[Job Number],0)),INDEX(tbl_Production[Current RMS No],MATCH(E283&amp;"",tbl_Production[Job Number],0))),""),IF(H283="Consulting",IFERROR(INDEX(tbl_Consulting[Qwilr Quote],MATCH(E283&amp;"",tbl_Consulting[Job Number],0)),""),""))))</f>
        <v/>
      </c>
      <c r="AC283" s="25">
        <f>IF(AB283="","",IF(AND(LEFT(AB283,4)&lt;&gt;"http",IF(H283="Production",set_RMSBase,set_QwilrBase)=""),"",HYPERLINK(IF(LEFT(AB283,4)="http",AB283,IF(H283="Production",set_RMSBase,set_QwilrBase)&amp;AB283),"Open")))</f>
        <v/>
      </c>
      <c r="AD283" s="27">
        <f>IF(E283="","",IF(H283="Production",IFERROR(INDEX(tbl_Production[Total Expense],MATCH(E283&amp;"",tbl_Production[Job Number],0)),0),IF(H283="Consulting",IFERROR(INDEX(tbl_Consulting[Total Expense],MATCH(E283&amp;"",tbl_Consulting[Job Number],0)),0),0)))</f>
        <v/>
      </c>
      <c r="AE283" s="27">
        <f>IF(E283="","",Y283-N(AD283))</f>
        <v/>
      </c>
      <c r="AF283" s="29">
        <f>IFERROR(AE283/Y283,"")</f>
        <v/>
      </c>
      <c r="AG283" s="25">
        <f>IF(E283="","",IF(H283="Onsite",IFERROR(INDEX(tbl_Onsite[Notes],MATCH(E283&amp;"",tbl_Onsite[Job Number],0)),""),IF(H283="Production",IFERROR(INDEX(tbl_Production[Notes],MATCH(E283&amp;"",tbl_Production[Job Number],0)),""),IF(H283="Consulting",IFERROR(INDEX(tbl_Consulting[Notes],MATCH(E283&amp;"",tbl_Consulting[Job Number],0)),""),""))))</f>
        <v/>
      </c>
    </row>
    <row r="284" ht="15" customHeight="1">
      <c r="A284" s="22" t="n"/>
      <c r="B284" s="23">
        <f>IF(A284="","",EOMONTH(A284,0))</f>
        <v/>
      </c>
      <c r="C284" s="24" t="n"/>
      <c r="D284" s="24" t="n"/>
      <c r="E284" s="24" t="n"/>
      <c r="F284" s="25">
        <f>IF(E284="","",IF(COUNTIF(lst_Jobs,E284&amp;"")&gt;0,"OK","CHECK"))</f>
        <v/>
      </c>
      <c r="G284" s="24" t="n"/>
      <c r="H284" s="24" t="n"/>
      <c r="I284" s="24" t="n"/>
      <c r="J284" s="24" t="n"/>
      <c r="K284" s="24" t="n"/>
      <c r="L284" s="26" t="n"/>
      <c r="M284" s="27">
        <f>IF(L284="","",IF(K284="GST 10%",ROUND(L284*set_GSTRate,2),0))</f>
        <v/>
      </c>
      <c r="N284" s="27">
        <f>IF(L284="","",L284+M284)</f>
        <v/>
      </c>
      <c r="O284" s="24" t="n"/>
      <c r="P284" s="24" t="n"/>
      <c r="Q284" s="24" t="n"/>
      <c r="R284" s="22" t="n"/>
      <c r="S284" s="22" t="n"/>
      <c r="T284" s="24" t="n"/>
      <c r="U284" s="24" t="n"/>
      <c r="V284" s="25">
        <f>IF(COUNTA(A284,D284,C284,L284)=0,"",IF(A284="","No date - sits outside every month",IF(E284="","No job number",IF(F284="CHECK","Job number is not in the Xero job list",IF(I284="","No cost centre",IF(AND(P284="Y",C284=""),"Marked posted to Xero but has no invoice number",IF(AND(L284&lt;&gt;"",K284=""),"No tax code",IF(AND(L284&lt;&gt;"",O284=""),"No revenue GL code",""))))))))</f>
        <v/>
      </c>
      <c r="W284" s="25">
        <f>IF(E284="","",IFERROR(INDEX(lst_JobName,MATCH(E284&amp;"",lst_Jobs,0)),""))</f>
        <v/>
      </c>
      <c r="X284" s="28">
        <f>IF(E284="","",COUNTIFS(tbl_Finance[Job Number],E284&amp;"",tbl_Finance[Ex GST],"&lt;&gt;"))</f>
        <v/>
      </c>
      <c r="Y284" s="27">
        <f>IF(E284="","",SUMIFS(tbl_Finance[Ex GST],tbl_Finance[Job Number],E284&amp;""))</f>
        <v/>
      </c>
      <c r="Z284" s="27">
        <f>IF(E284="","",SUMIFS(tbl_Finance[Ex GST],tbl_Finance[Job Number],E284&amp;"",tbl_Finance[Xero Invoice No],"&lt;&gt;"))</f>
        <v/>
      </c>
      <c r="AA284" s="27">
        <f>IF(E284="","",Y284-Z284)</f>
        <v/>
      </c>
      <c r="AB284" s="25">
        <f>IF(E284="","",IF(H284="Onsite",IFERROR(INDEX(tbl_Onsite[Qwilr Quote],MATCH(E284&amp;"",tbl_Onsite[Job Number],0)),""),IF(H284="Production",IFERROR(IF(INDEX(tbl_Production[Current RMS No],MATCH(E284&amp;"",tbl_Production[Job Number],0))="",INDEX(tbl_Production[Qwilr Quote],MATCH(E284&amp;"",tbl_Production[Job Number],0)),INDEX(tbl_Production[Current RMS No],MATCH(E284&amp;"",tbl_Production[Job Number],0))),""),IF(H284="Consulting",IFERROR(INDEX(tbl_Consulting[Qwilr Quote],MATCH(E284&amp;"",tbl_Consulting[Job Number],0)),""),""))))</f>
        <v/>
      </c>
      <c r="AC284" s="25">
        <f>IF(AB284="","",IF(AND(LEFT(AB284,4)&lt;&gt;"http",IF(H284="Production",set_RMSBase,set_QwilrBase)=""),"",HYPERLINK(IF(LEFT(AB284,4)="http",AB284,IF(H284="Production",set_RMSBase,set_QwilrBase)&amp;AB284),"Open")))</f>
        <v/>
      </c>
      <c r="AD284" s="27">
        <f>IF(E284="","",IF(H284="Production",IFERROR(INDEX(tbl_Production[Total Expense],MATCH(E284&amp;"",tbl_Production[Job Number],0)),0),IF(H284="Consulting",IFERROR(INDEX(tbl_Consulting[Total Expense],MATCH(E284&amp;"",tbl_Consulting[Job Number],0)),0),0)))</f>
        <v/>
      </c>
      <c r="AE284" s="27">
        <f>IF(E284="","",Y284-N(AD284))</f>
        <v/>
      </c>
      <c r="AF284" s="29">
        <f>IFERROR(AE284/Y284,"")</f>
        <v/>
      </c>
      <c r="AG284" s="25">
        <f>IF(E284="","",IF(H284="Onsite",IFERROR(INDEX(tbl_Onsite[Notes],MATCH(E284&amp;"",tbl_Onsite[Job Number],0)),""),IF(H284="Production",IFERROR(INDEX(tbl_Production[Notes],MATCH(E284&amp;"",tbl_Production[Job Number],0)),""),IF(H284="Consulting",IFERROR(INDEX(tbl_Consulting[Notes],MATCH(E284&amp;"",tbl_Consulting[Job Number],0)),""),""))))</f>
        <v/>
      </c>
    </row>
    <row r="285" ht="15" customHeight="1">
      <c r="A285" s="22" t="n"/>
      <c r="B285" s="23">
        <f>IF(A285="","",EOMONTH(A285,0))</f>
        <v/>
      </c>
      <c r="C285" s="24" t="n"/>
      <c r="D285" s="24" t="n"/>
      <c r="E285" s="24" t="n"/>
      <c r="F285" s="25">
        <f>IF(E285="","",IF(COUNTIF(lst_Jobs,E285&amp;"")&gt;0,"OK","CHECK"))</f>
        <v/>
      </c>
      <c r="G285" s="24" t="n"/>
      <c r="H285" s="24" t="n"/>
      <c r="I285" s="24" t="n"/>
      <c r="J285" s="24" t="n"/>
      <c r="K285" s="24" t="n"/>
      <c r="L285" s="26" t="n"/>
      <c r="M285" s="27">
        <f>IF(L285="","",IF(K285="GST 10%",ROUND(L285*set_GSTRate,2),0))</f>
        <v/>
      </c>
      <c r="N285" s="27">
        <f>IF(L285="","",L285+M285)</f>
        <v/>
      </c>
      <c r="O285" s="24" t="n"/>
      <c r="P285" s="24" t="n"/>
      <c r="Q285" s="24" t="n"/>
      <c r="R285" s="22" t="n"/>
      <c r="S285" s="22" t="n"/>
      <c r="T285" s="24" t="n"/>
      <c r="U285" s="24" t="n"/>
      <c r="V285" s="25">
        <f>IF(COUNTA(A285,D285,C285,L285)=0,"",IF(A285="","No date - sits outside every month",IF(E285="","No job number",IF(F285="CHECK","Job number is not in the Xero job list",IF(I285="","No cost centre",IF(AND(P285="Y",C285=""),"Marked posted to Xero but has no invoice number",IF(AND(L285&lt;&gt;"",K285=""),"No tax code",IF(AND(L285&lt;&gt;"",O285=""),"No revenue GL code",""))))))))</f>
        <v/>
      </c>
      <c r="W285" s="25">
        <f>IF(E285="","",IFERROR(INDEX(lst_JobName,MATCH(E285&amp;"",lst_Jobs,0)),""))</f>
        <v/>
      </c>
      <c r="X285" s="28">
        <f>IF(E285="","",COUNTIFS(tbl_Finance[Job Number],E285&amp;"",tbl_Finance[Ex GST],"&lt;&gt;"))</f>
        <v/>
      </c>
      <c r="Y285" s="27">
        <f>IF(E285="","",SUMIFS(tbl_Finance[Ex GST],tbl_Finance[Job Number],E285&amp;""))</f>
        <v/>
      </c>
      <c r="Z285" s="27">
        <f>IF(E285="","",SUMIFS(tbl_Finance[Ex GST],tbl_Finance[Job Number],E285&amp;"",tbl_Finance[Xero Invoice No],"&lt;&gt;"))</f>
        <v/>
      </c>
      <c r="AA285" s="27">
        <f>IF(E285="","",Y285-Z285)</f>
        <v/>
      </c>
      <c r="AB285" s="25">
        <f>IF(E285="","",IF(H285="Onsite",IFERROR(INDEX(tbl_Onsite[Qwilr Quote],MATCH(E285&amp;"",tbl_Onsite[Job Number],0)),""),IF(H285="Production",IFERROR(IF(INDEX(tbl_Production[Current RMS No],MATCH(E285&amp;"",tbl_Production[Job Number],0))="",INDEX(tbl_Production[Qwilr Quote],MATCH(E285&amp;"",tbl_Production[Job Number],0)),INDEX(tbl_Production[Current RMS No],MATCH(E285&amp;"",tbl_Production[Job Number],0))),""),IF(H285="Consulting",IFERROR(INDEX(tbl_Consulting[Qwilr Quote],MATCH(E285&amp;"",tbl_Consulting[Job Number],0)),""),""))))</f>
        <v/>
      </c>
      <c r="AC285" s="25">
        <f>IF(AB285="","",IF(AND(LEFT(AB285,4)&lt;&gt;"http",IF(H285="Production",set_RMSBase,set_QwilrBase)=""),"",HYPERLINK(IF(LEFT(AB285,4)="http",AB285,IF(H285="Production",set_RMSBase,set_QwilrBase)&amp;AB285),"Open")))</f>
        <v/>
      </c>
      <c r="AD285" s="27">
        <f>IF(E285="","",IF(H285="Production",IFERROR(INDEX(tbl_Production[Total Expense],MATCH(E285&amp;"",tbl_Production[Job Number],0)),0),IF(H285="Consulting",IFERROR(INDEX(tbl_Consulting[Total Expense],MATCH(E285&amp;"",tbl_Consulting[Job Number],0)),0),0)))</f>
        <v/>
      </c>
      <c r="AE285" s="27">
        <f>IF(E285="","",Y285-N(AD285))</f>
        <v/>
      </c>
      <c r="AF285" s="29">
        <f>IFERROR(AE285/Y285,"")</f>
        <v/>
      </c>
      <c r="AG285" s="25">
        <f>IF(E285="","",IF(H285="Onsite",IFERROR(INDEX(tbl_Onsite[Notes],MATCH(E285&amp;"",tbl_Onsite[Job Number],0)),""),IF(H285="Production",IFERROR(INDEX(tbl_Production[Notes],MATCH(E285&amp;"",tbl_Production[Job Number],0)),""),IF(H285="Consulting",IFERROR(INDEX(tbl_Consulting[Notes],MATCH(E285&amp;"",tbl_Consulting[Job Number],0)),""),""))))</f>
        <v/>
      </c>
    </row>
    <row r="286" ht="15" customHeight="1">
      <c r="A286" s="22" t="n"/>
      <c r="B286" s="23">
        <f>IF(A286="","",EOMONTH(A286,0))</f>
        <v/>
      </c>
      <c r="C286" s="24" t="n"/>
      <c r="D286" s="24" t="n"/>
      <c r="E286" s="24" t="n"/>
      <c r="F286" s="25">
        <f>IF(E286="","",IF(COUNTIF(lst_Jobs,E286&amp;"")&gt;0,"OK","CHECK"))</f>
        <v/>
      </c>
      <c r="G286" s="24" t="n"/>
      <c r="H286" s="24" t="n"/>
      <c r="I286" s="24" t="n"/>
      <c r="J286" s="24" t="n"/>
      <c r="K286" s="24" t="n"/>
      <c r="L286" s="26" t="n"/>
      <c r="M286" s="27">
        <f>IF(L286="","",IF(K286="GST 10%",ROUND(L286*set_GSTRate,2),0))</f>
        <v/>
      </c>
      <c r="N286" s="27">
        <f>IF(L286="","",L286+M286)</f>
        <v/>
      </c>
      <c r="O286" s="24" t="n"/>
      <c r="P286" s="24" t="n"/>
      <c r="Q286" s="24" t="n"/>
      <c r="R286" s="22" t="n"/>
      <c r="S286" s="22" t="n"/>
      <c r="T286" s="24" t="n"/>
      <c r="U286" s="24" t="n"/>
      <c r="V286" s="25">
        <f>IF(COUNTA(A286,D286,C286,L286)=0,"",IF(A286="","No date - sits outside every month",IF(E286="","No job number",IF(F286="CHECK","Job number is not in the Xero job list",IF(I286="","No cost centre",IF(AND(P286="Y",C286=""),"Marked posted to Xero but has no invoice number",IF(AND(L286&lt;&gt;"",K286=""),"No tax code",IF(AND(L286&lt;&gt;"",O286=""),"No revenue GL code",""))))))))</f>
        <v/>
      </c>
      <c r="W286" s="25">
        <f>IF(E286="","",IFERROR(INDEX(lst_JobName,MATCH(E286&amp;"",lst_Jobs,0)),""))</f>
        <v/>
      </c>
      <c r="X286" s="28">
        <f>IF(E286="","",COUNTIFS(tbl_Finance[Job Number],E286&amp;"",tbl_Finance[Ex GST],"&lt;&gt;"))</f>
        <v/>
      </c>
      <c r="Y286" s="27">
        <f>IF(E286="","",SUMIFS(tbl_Finance[Ex GST],tbl_Finance[Job Number],E286&amp;""))</f>
        <v/>
      </c>
      <c r="Z286" s="27">
        <f>IF(E286="","",SUMIFS(tbl_Finance[Ex GST],tbl_Finance[Job Number],E286&amp;"",tbl_Finance[Xero Invoice No],"&lt;&gt;"))</f>
        <v/>
      </c>
      <c r="AA286" s="27">
        <f>IF(E286="","",Y286-Z286)</f>
        <v/>
      </c>
      <c r="AB286" s="25">
        <f>IF(E286="","",IF(H286="Onsite",IFERROR(INDEX(tbl_Onsite[Qwilr Quote],MATCH(E286&amp;"",tbl_Onsite[Job Number],0)),""),IF(H286="Production",IFERROR(IF(INDEX(tbl_Production[Current RMS No],MATCH(E286&amp;"",tbl_Production[Job Number],0))="",INDEX(tbl_Production[Qwilr Quote],MATCH(E286&amp;"",tbl_Production[Job Number],0)),INDEX(tbl_Production[Current RMS No],MATCH(E286&amp;"",tbl_Production[Job Number],0))),""),IF(H286="Consulting",IFERROR(INDEX(tbl_Consulting[Qwilr Quote],MATCH(E286&amp;"",tbl_Consulting[Job Number],0)),""),""))))</f>
        <v/>
      </c>
      <c r="AC286" s="25">
        <f>IF(AB286="","",IF(AND(LEFT(AB286,4)&lt;&gt;"http",IF(H286="Production",set_RMSBase,set_QwilrBase)=""),"",HYPERLINK(IF(LEFT(AB286,4)="http",AB286,IF(H286="Production",set_RMSBase,set_QwilrBase)&amp;AB286),"Open")))</f>
        <v/>
      </c>
      <c r="AD286" s="27">
        <f>IF(E286="","",IF(H286="Production",IFERROR(INDEX(tbl_Production[Total Expense],MATCH(E286&amp;"",tbl_Production[Job Number],0)),0),IF(H286="Consulting",IFERROR(INDEX(tbl_Consulting[Total Expense],MATCH(E286&amp;"",tbl_Consulting[Job Number],0)),0),0)))</f>
        <v/>
      </c>
      <c r="AE286" s="27">
        <f>IF(E286="","",Y286-N(AD286))</f>
        <v/>
      </c>
      <c r="AF286" s="29">
        <f>IFERROR(AE286/Y286,"")</f>
        <v/>
      </c>
      <c r="AG286" s="25">
        <f>IF(E286="","",IF(H286="Onsite",IFERROR(INDEX(tbl_Onsite[Notes],MATCH(E286&amp;"",tbl_Onsite[Job Number],0)),""),IF(H286="Production",IFERROR(INDEX(tbl_Production[Notes],MATCH(E286&amp;"",tbl_Production[Job Number],0)),""),IF(H286="Consulting",IFERROR(INDEX(tbl_Consulting[Notes],MATCH(E286&amp;"",tbl_Consulting[Job Number],0)),""),""))))</f>
        <v/>
      </c>
    </row>
    <row r="287" ht="15" customHeight="1">
      <c r="A287" s="22" t="n"/>
      <c r="B287" s="23">
        <f>IF(A287="","",EOMONTH(A287,0))</f>
        <v/>
      </c>
      <c r="C287" s="24" t="n"/>
      <c r="D287" s="24" t="n"/>
      <c r="E287" s="24" t="n"/>
      <c r="F287" s="25">
        <f>IF(E287="","",IF(COUNTIF(lst_Jobs,E287&amp;"")&gt;0,"OK","CHECK"))</f>
        <v/>
      </c>
      <c r="G287" s="24" t="n"/>
      <c r="H287" s="24" t="n"/>
      <c r="I287" s="24" t="n"/>
      <c r="J287" s="24" t="n"/>
      <c r="K287" s="24" t="n"/>
      <c r="L287" s="26" t="n"/>
      <c r="M287" s="27">
        <f>IF(L287="","",IF(K287="GST 10%",ROUND(L287*set_GSTRate,2),0))</f>
        <v/>
      </c>
      <c r="N287" s="27">
        <f>IF(L287="","",L287+M287)</f>
        <v/>
      </c>
      <c r="O287" s="24" t="n"/>
      <c r="P287" s="24" t="n"/>
      <c r="Q287" s="24" t="n"/>
      <c r="R287" s="22" t="n"/>
      <c r="S287" s="22" t="n"/>
      <c r="T287" s="24" t="n"/>
      <c r="U287" s="24" t="n"/>
      <c r="V287" s="25">
        <f>IF(COUNTA(A287,D287,C287,L287)=0,"",IF(A287="","No date - sits outside every month",IF(E287="","No job number",IF(F287="CHECK","Job number is not in the Xero job list",IF(I287="","No cost centre",IF(AND(P287="Y",C287=""),"Marked posted to Xero but has no invoice number",IF(AND(L287&lt;&gt;"",K287=""),"No tax code",IF(AND(L287&lt;&gt;"",O287=""),"No revenue GL code",""))))))))</f>
        <v/>
      </c>
      <c r="W287" s="25">
        <f>IF(E287="","",IFERROR(INDEX(lst_JobName,MATCH(E287&amp;"",lst_Jobs,0)),""))</f>
        <v/>
      </c>
      <c r="X287" s="28">
        <f>IF(E287="","",COUNTIFS(tbl_Finance[Job Number],E287&amp;"",tbl_Finance[Ex GST],"&lt;&gt;"))</f>
        <v/>
      </c>
      <c r="Y287" s="27">
        <f>IF(E287="","",SUMIFS(tbl_Finance[Ex GST],tbl_Finance[Job Number],E287&amp;""))</f>
        <v/>
      </c>
      <c r="Z287" s="27">
        <f>IF(E287="","",SUMIFS(tbl_Finance[Ex GST],tbl_Finance[Job Number],E287&amp;"",tbl_Finance[Xero Invoice No],"&lt;&gt;"))</f>
        <v/>
      </c>
      <c r="AA287" s="27">
        <f>IF(E287="","",Y287-Z287)</f>
        <v/>
      </c>
      <c r="AB287" s="25">
        <f>IF(E287="","",IF(H287="Onsite",IFERROR(INDEX(tbl_Onsite[Qwilr Quote],MATCH(E287&amp;"",tbl_Onsite[Job Number],0)),""),IF(H287="Production",IFERROR(IF(INDEX(tbl_Production[Current RMS No],MATCH(E287&amp;"",tbl_Production[Job Number],0))="",INDEX(tbl_Production[Qwilr Quote],MATCH(E287&amp;"",tbl_Production[Job Number],0)),INDEX(tbl_Production[Current RMS No],MATCH(E287&amp;"",tbl_Production[Job Number],0))),""),IF(H287="Consulting",IFERROR(INDEX(tbl_Consulting[Qwilr Quote],MATCH(E287&amp;"",tbl_Consulting[Job Number],0)),""),""))))</f>
        <v/>
      </c>
      <c r="AC287" s="25">
        <f>IF(AB287="","",IF(AND(LEFT(AB287,4)&lt;&gt;"http",IF(H287="Production",set_RMSBase,set_QwilrBase)=""),"",HYPERLINK(IF(LEFT(AB287,4)="http",AB287,IF(H287="Production",set_RMSBase,set_QwilrBase)&amp;AB287),"Open")))</f>
        <v/>
      </c>
      <c r="AD287" s="27">
        <f>IF(E287="","",IF(H287="Production",IFERROR(INDEX(tbl_Production[Total Expense],MATCH(E287&amp;"",tbl_Production[Job Number],0)),0),IF(H287="Consulting",IFERROR(INDEX(tbl_Consulting[Total Expense],MATCH(E287&amp;"",tbl_Consulting[Job Number],0)),0),0)))</f>
        <v/>
      </c>
      <c r="AE287" s="27">
        <f>IF(E287="","",Y287-N(AD287))</f>
        <v/>
      </c>
      <c r="AF287" s="29">
        <f>IFERROR(AE287/Y287,"")</f>
        <v/>
      </c>
      <c r="AG287" s="25">
        <f>IF(E287="","",IF(H287="Onsite",IFERROR(INDEX(tbl_Onsite[Notes],MATCH(E287&amp;"",tbl_Onsite[Job Number],0)),""),IF(H287="Production",IFERROR(INDEX(tbl_Production[Notes],MATCH(E287&amp;"",tbl_Production[Job Number],0)),""),IF(H287="Consulting",IFERROR(INDEX(tbl_Consulting[Notes],MATCH(E287&amp;"",tbl_Consulting[Job Number],0)),""),""))))</f>
        <v/>
      </c>
    </row>
    <row r="288" ht="15" customHeight="1">
      <c r="A288" s="22" t="n"/>
      <c r="B288" s="23">
        <f>IF(A288="","",EOMONTH(A288,0))</f>
        <v/>
      </c>
      <c r="C288" s="24" t="n"/>
      <c r="D288" s="24" t="n"/>
      <c r="E288" s="24" t="n"/>
      <c r="F288" s="25">
        <f>IF(E288="","",IF(COUNTIF(lst_Jobs,E288&amp;"")&gt;0,"OK","CHECK"))</f>
        <v/>
      </c>
      <c r="G288" s="24" t="n"/>
      <c r="H288" s="24" t="n"/>
      <c r="I288" s="24" t="n"/>
      <c r="J288" s="24" t="n"/>
      <c r="K288" s="24" t="n"/>
      <c r="L288" s="26" t="n"/>
      <c r="M288" s="27">
        <f>IF(L288="","",IF(K288="GST 10%",ROUND(L288*set_GSTRate,2),0))</f>
        <v/>
      </c>
      <c r="N288" s="27">
        <f>IF(L288="","",L288+M288)</f>
        <v/>
      </c>
      <c r="O288" s="24" t="n"/>
      <c r="P288" s="24" t="n"/>
      <c r="Q288" s="24" t="n"/>
      <c r="R288" s="22" t="n"/>
      <c r="S288" s="22" t="n"/>
      <c r="T288" s="24" t="n"/>
      <c r="U288" s="24" t="n"/>
      <c r="V288" s="25">
        <f>IF(COUNTA(A288,D288,C288,L288)=0,"",IF(A288="","No date - sits outside every month",IF(E288="","No job number",IF(F288="CHECK","Job number is not in the Xero job list",IF(I288="","No cost centre",IF(AND(P288="Y",C288=""),"Marked posted to Xero but has no invoice number",IF(AND(L288&lt;&gt;"",K288=""),"No tax code",IF(AND(L288&lt;&gt;"",O288=""),"No revenue GL code",""))))))))</f>
        <v/>
      </c>
      <c r="W288" s="25">
        <f>IF(E288="","",IFERROR(INDEX(lst_JobName,MATCH(E288&amp;"",lst_Jobs,0)),""))</f>
        <v/>
      </c>
      <c r="X288" s="28">
        <f>IF(E288="","",COUNTIFS(tbl_Finance[Job Number],E288&amp;"",tbl_Finance[Ex GST],"&lt;&gt;"))</f>
        <v/>
      </c>
      <c r="Y288" s="27">
        <f>IF(E288="","",SUMIFS(tbl_Finance[Ex GST],tbl_Finance[Job Number],E288&amp;""))</f>
        <v/>
      </c>
      <c r="Z288" s="27">
        <f>IF(E288="","",SUMIFS(tbl_Finance[Ex GST],tbl_Finance[Job Number],E288&amp;"",tbl_Finance[Xero Invoice No],"&lt;&gt;"))</f>
        <v/>
      </c>
      <c r="AA288" s="27">
        <f>IF(E288="","",Y288-Z288)</f>
        <v/>
      </c>
      <c r="AB288" s="25">
        <f>IF(E288="","",IF(H288="Onsite",IFERROR(INDEX(tbl_Onsite[Qwilr Quote],MATCH(E288&amp;"",tbl_Onsite[Job Number],0)),""),IF(H288="Production",IFERROR(IF(INDEX(tbl_Production[Current RMS No],MATCH(E288&amp;"",tbl_Production[Job Number],0))="",INDEX(tbl_Production[Qwilr Quote],MATCH(E288&amp;"",tbl_Production[Job Number],0)),INDEX(tbl_Production[Current RMS No],MATCH(E288&amp;"",tbl_Production[Job Number],0))),""),IF(H288="Consulting",IFERROR(INDEX(tbl_Consulting[Qwilr Quote],MATCH(E288&amp;"",tbl_Consulting[Job Number],0)),""),""))))</f>
        <v/>
      </c>
      <c r="AC288" s="25">
        <f>IF(AB288="","",IF(AND(LEFT(AB288,4)&lt;&gt;"http",IF(H288="Production",set_RMSBase,set_QwilrBase)=""),"",HYPERLINK(IF(LEFT(AB288,4)="http",AB288,IF(H288="Production",set_RMSBase,set_QwilrBase)&amp;AB288),"Open")))</f>
        <v/>
      </c>
      <c r="AD288" s="27">
        <f>IF(E288="","",IF(H288="Production",IFERROR(INDEX(tbl_Production[Total Expense],MATCH(E288&amp;"",tbl_Production[Job Number],0)),0),IF(H288="Consulting",IFERROR(INDEX(tbl_Consulting[Total Expense],MATCH(E288&amp;"",tbl_Consulting[Job Number],0)),0),0)))</f>
        <v/>
      </c>
      <c r="AE288" s="27">
        <f>IF(E288="","",Y288-N(AD288))</f>
        <v/>
      </c>
      <c r="AF288" s="29">
        <f>IFERROR(AE288/Y288,"")</f>
        <v/>
      </c>
      <c r="AG288" s="25">
        <f>IF(E288="","",IF(H288="Onsite",IFERROR(INDEX(tbl_Onsite[Notes],MATCH(E288&amp;"",tbl_Onsite[Job Number],0)),""),IF(H288="Production",IFERROR(INDEX(tbl_Production[Notes],MATCH(E288&amp;"",tbl_Production[Job Number],0)),""),IF(H288="Consulting",IFERROR(INDEX(tbl_Consulting[Notes],MATCH(E288&amp;"",tbl_Consulting[Job Number],0)),""),""))))</f>
        <v/>
      </c>
    </row>
    <row r="289" ht="15" customHeight="1">
      <c r="A289" s="22" t="n"/>
      <c r="B289" s="23">
        <f>IF(A289="","",EOMONTH(A289,0))</f>
        <v/>
      </c>
      <c r="C289" s="24" t="n"/>
      <c r="D289" s="24" t="n"/>
      <c r="E289" s="24" t="n"/>
      <c r="F289" s="25">
        <f>IF(E289="","",IF(COUNTIF(lst_Jobs,E289&amp;"")&gt;0,"OK","CHECK"))</f>
        <v/>
      </c>
      <c r="G289" s="24" t="n"/>
      <c r="H289" s="24" t="n"/>
      <c r="I289" s="24" t="n"/>
      <c r="J289" s="24" t="n"/>
      <c r="K289" s="24" t="n"/>
      <c r="L289" s="26" t="n"/>
      <c r="M289" s="27">
        <f>IF(L289="","",IF(K289="GST 10%",ROUND(L289*set_GSTRate,2),0))</f>
        <v/>
      </c>
      <c r="N289" s="27">
        <f>IF(L289="","",L289+M289)</f>
        <v/>
      </c>
      <c r="O289" s="24" t="n"/>
      <c r="P289" s="24" t="n"/>
      <c r="Q289" s="24" t="n"/>
      <c r="R289" s="22" t="n"/>
      <c r="S289" s="22" t="n"/>
      <c r="T289" s="24" t="n"/>
      <c r="U289" s="24" t="n"/>
      <c r="V289" s="25">
        <f>IF(COUNTA(A289,D289,C289,L289)=0,"",IF(A289="","No date - sits outside every month",IF(E289="","No job number",IF(F289="CHECK","Job number is not in the Xero job list",IF(I289="","No cost centre",IF(AND(P289="Y",C289=""),"Marked posted to Xero but has no invoice number",IF(AND(L289&lt;&gt;"",K289=""),"No tax code",IF(AND(L289&lt;&gt;"",O289=""),"No revenue GL code",""))))))))</f>
        <v/>
      </c>
      <c r="W289" s="25">
        <f>IF(E289="","",IFERROR(INDEX(lst_JobName,MATCH(E289&amp;"",lst_Jobs,0)),""))</f>
        <v/>
      </c>
      <c r="X289" s="28">
        <f>IF(E289="","",COUNTIFS(tbl_Finance[Job Number],E289&amp;"",tbl_Finance[Ex GST],"&lt;&gt;"))</f>
        <v/>
      </c>
      <c r="Y289" s="27">
        <f>IF(E289="","",SUMIFS(tbl_Finance[Ex GST],tbl_Finance[Job Number],E289&amp;""))</f>
        <v/>
      </c>
      <c r="Z289" s="27">
        <f>IF(E289="","",SUMIFS(tbl_Finance[Ex GST],tbl_Finance[Job Number],E289&amp;"",tbl_Finance[Xero Invoice No],"&lt;&gt;"))</f>
        <v/>
      </c>
      <c r="AA289" s="27">
        <f>IF(E289="","",Y289-Z289)</f>
        <v/>
      </c>
      <c r="AB289" s="25">
        <f>IF(E289="","",IF(H289="Onsite",IFERROR(INDEX(tbl_Onsite[Qwilr Quote],MATCH(E289&amp;"",tbl_Onsite[Job Number],0)),""),IF(H289="Production",IFERROR(IF(INDEX(tbl_Production[Current RMS No],MATCH(E289&amp;"",tbl_Production[Job Number],0))="",INDEX(tbl_Production[Qwilr Quote],MATCH(E289&amp;"",tbl_Production[Job Number],0)),INDEX(tbl_Production[Current RMS No],MATCH(E289&amp;"",tbl_Production[Job Number],0))),""),IF(H289="Consulting",IFERROR(INDEX(tbl_Consulting[Qwilr Quote],MATCH(E289&amp;"",tbl_Consulting[Job Number],0)),""),""))))</f>
        <v/>
      </c>
      <c r="AC289" s="25">
        <f>IF(AB289="","",IF(AND(LEFT(AB289,4)&lt;&gt;"http",IF(H289="Production",set_RMSBase,set_QwilrBase)=""),"",HYPERLINK(IF(LEFT(AB289,4)="http",AB289,IF(H289="Production",set_RMSBase,set_QwilrBase)&amp;AB289),"Open")))</f>
        <v/>
      </c>
      <c r="AD289" s="27">
        <f>IF(E289="","",IF(H289="Production",IFERROR(INDEX(tbl_Production[Total Expense],MATCH(E289&amp;"",tbl_Production[Job Number],0)),0),IF(H289="Consulting",IFERROR(INDEX(tbl_Consulting[Total Expense],MATCH(E289&amp;"",tbl_Consulting[Job Number],0)),0),0)))</f>
        <v/>
      </c>
      <c r="AE289" s="27">
        <f>IF(E289="","",Y289-N(AD289))</f>
        <v/>
      </c>
      <c r="AF289" s="29">
        <f>IFERROR(AE289/Y289,"")</f>
        <v/>
      </c>
      <c r="AG289" s="25">
        <f>IF(E289="","",IF(H289="Onsite",IFERROR(INDEX(tbl_Onsite[Notes],MATCH(E289&amp;"",tbl_Onsite[Job Number],0)),""),IF(H289="Production",IFERROR(INDEX(tbl_Production[Notes],MATCH(E289&amp;"",tbl_Production[Job Number],0)),""),IF(H289="Consulting",IFERROR(INDEX(tbl_Consulting[Notes],MATCH(E289&amp;"",tbl_Consulting[Job Number],0)),""),""))))</f>
        <v/>
      </c>
    </row>
    <row r="290" ht="15" customHeight="1">
      <c r="A290" s="22" t="n"/>
      <c r="B290" s="23">
        <f>IF(A290="","",EOMONTH(A290,0))</f>
        <v/>
      </c>
      <c r="C290" s="24" t="n"/>
      <c r="D290" s="24" t="n"/>
      <c r="E290" s="24" t="n"/>
      <c r="F290" s="25">
        <f>IF(E290="","",IF(COUNTIF(lst_Jobs,E290&amp;"")&gt;0,"OK","CHECK"))</f>
        <v/>
      </c>
      <c r="G290" s="24" t="n"/>
      <c r="H290" s="24" t="n"/>
      <c r="I290" s="24" t="n"/>
      <c r="J290" s="24" t="n"/>
      <c r="K290" s="24" t="n"/>
      <c r="L290" s="26" t="n"/>
      <c r="M290" s="27">
        <f>IF(L290="","",IF(K290="GST 10%",ROUND(L290*set_GSTRate,2),0))</f>
        <v/>
      </c>
      <c r="N290" s="27">
        <f>IF(L290="","",L290+M290)</f>
        <v/>
      </c>
      <c r="O290" s="24" t="n"/>
      <c r="P290" s="24" t="n"/>
      <c r="Q290" s="24" t="n"/>
      <c r="R290" s="22" t="n"/>
      <c r="S290" s="22" t="n"/>
      <c r="T290" s="24" t="n"/>
      <c r="U290" s="24" t="n"/>
      <c r="V290" s="25">
        <f>IF(COUNTA(A290,D290,C290,L290)=0,"",IF(A290="","No date - sits outside every month",IF(E290="","No job number",IF(F290="CHECK","Job number is not in the Xero job list",IF(I290="","No cost centre",IF(AND(P290="Y",C290=""),"Marked posted to Xero but has no invoice number",IF(AND(L290&lt;&gt;"",K290=""),"No tax code",IF(AND(L290&lt;&gt;"",O290=""),"No revenue GL code",""))))))))</f>
        <v/>
      </c>
      <c r="W290" s="25">
        <f>IF(E290="","",IFERROR(INDEX(lst_JobName,MATCH(E290&amp;"",lst_Jobs,0)),""))</f>
        <v/>
      </c>
      <c r="X290" s="28">
        <f>IF(E290="","",COUNTIFS(tbl_Finance[Job Number],E290&amp;"",tbl_Finance[Ex GST],"&lt;&gt;"))</f>
        <v/>
      </c>
      <c r="Y290" s="27">
        <f>IF(E290="","",SUMIFS(tbl_Finance[Ex GST],tbl_Finance[Job Number],E290&amp;""))</f>
        <v/>
      </c>
      <c r="Z290" s="27">
        <f>IF(E290="","",SUMIFS(tbl_Finance[Ex GST],tbl_Finance[Job Number],E290&amp;"",tbl_Finance[Xero Invoice No],"&lt;&gt;"))</f>
        <v/>
      </c>
      <c r="AA290" s="27">
        <f>IF(E290="","",Y290-Z290)</f>
        <v/>
      </c>
      <c r="AB290" s="25">
        <f>IF(E290="","",IF(H290="Onsite",IFERROR(INDEX(tbl_Onsite[Qwilr Quote],MATCH(E290&amp;"",tbl_Onsite[Job Number],0)),""),IF(H290="Production",IFERROR(IF(INDEX(tbl_Production[Current RMS No],MATCH(E290&amp;"",tbl_Production[Job Number],0))="",INDEX(tbl_Production[Qwilr Quote],MATCH(E290&amp;"",tbl_Production[Job Number],0)),INDEX(tbl_Production[Current RMS No],MATCH(E290&amp;"",tbl_Production[Job Number],0))),""),IF(H290="Consulting",IFERROR(INDEX(tbl_Consulting[Qwilr Quote],MATCH(E290&amp;"",tbl_Consulting[Job Number],0)),""),""))))</f>
        <v/>
      </c>
      <c r="AC290" s="25">
        <f>IF(AB290="","",IF(AND(LEFT(AB290,4)&lt;&gt;"http",IF(H290="Production",set_RMSBase,set_QwilrBase)=""),"",HYPERLINK(IF(LEFT(AB290,4)="http",AB290,IF(H290="Production",set_RMSBase,set_QwilrBase)&amp;AB290),"Open")))</f>
        <v/>
      </c>
      <c r="AD290" s="27">
        <f>IF(E290="","",IF(H290="Production",IFERROR(INDEX(tbl_Production[Total Expense],MATCH(E290&amp;"",tbl_Production[Job Number],0)),0),IF(H290="Consulting",IFERROR(INDEX(tbl_Consulting[Total Expense],MATCH(E290&amp;"",tbl_Consulting[Job Number],0)),0),0)))</f>
        <v/>
      </c>
      <c r="AE290" s="27">
        <f>IF(E290="","",Y290-N(AD290))</f>
        <v/>
      </c>
      <c r="AF290" s="29">
        <f>IFERROR(AE290/Y290,"")</f>
        <v/>
      </c>
      <c r="AG290" s="25">
        <f>IF(E290="","",IF(H290="Onsite",IFERROR(INDEX(tbl_Onsite[Notes],MATCH(E290&amp;"",tbl_Onsite[Job Number],0)),""),IF(H290="Production",IFERROR(INDEX(tbl_Production[Notes],MATCH(E290&amp;"",tbl_Production[Job Number],0)),""),IF(H290="Consulting",IFERROR(INDEX(tbl_Consulting[Notes],MATCH(E290&amp;"",tbl_Consulting[Job Number],0)),""),""))))</f>
        <v/>
      </c>
    </row>
    <row r="291" ht="15" customHeight="1">
      <c r="A291" s="22" t="n"/>
      <c r="B291" s="23">
        <f>IF(A291="","",EOMONTH(A291,0))</f>
        <v/>
      </c>
      <c r="C291" s="24" t="n"/>
      <c r="D291" s="24" t="n"/>
      <c r="E291" s="24" t="n"/>
      <c r="F291" s="25">
        <f>IF(E291="","",IF(COUNTIF(lst_Jobs,E291&amp;"")&gt;0,"OK","CHECK"))</f>
        <v/>
      </c>
      <c r="G291" s="24" t="n"/>
      <c r="H291" s="24" t="n"/>
      <c r="I291" s="24" t="n"/>
      <c r="J291" s="24" t="n"/>
      <c r="K291" s="24" t="n"/>
      <c r="L291" s="26" t="n"/>
      <c r="M291" s="27">
        <f>IF(L291="","",IF(K291="GST 10%",ROUND(L291*set_GSTRate,2),0))</f>
        <v/>
      </c>
      <c r="N291" s="27">
        <f>IF(L291="","",L291+M291)</f>
        <v/>
      </c>
      <c r="O291" s="24" t="n"/>
      <c r="P291" s="24" t="n"/>
      <c r="Q291" s="24" t="n"/>
      <c r="R291" s="22" t="n"/>
      <c r="S291" s="22" t="n"/>
      <c r="T291" s="24" t="n"/>
      <c r="U291" s="24" t="n"/>
      <c r="V291" s="25">
        <f>IF(COUNTA(A291,D291,C291,L291)=0,"",IF(A291="","No date - sits outside every month",IF(E291="","No job number",IF(F291="CHECK","Job number is not in the Xero job list",IF(I291="","No cost centre",IF(AND(P291="Y",C291=""),"Marked posted to Xero but has no invoice number",IF(AND(L291&lt;&gt;"",K291=""),"No tax code",IF(AND(L291&lt;&gt;"",O291=""),"No revenue GL code",""))))))))</f>
        <v/>
      </c>
      <c r="W291" s="25">
        <f>IF(E291="","",IFERROR(INDEX(lst_JobName,MATCH(E291&amp;"",lst_Jobs,0)),""))</f>
        <v/>
      </c>
      <c r="X291" s="28">
        <f>IF(E291="","",COUNTIFS(tbl_Finance[Job Number],E291&amp;"",tbl_Finance[Ex GST],"&lt;&gt;"))</f>
        <v/>
      </c>
      <c r="Y291" s="27">
        <f>IF(E291="","",SUMIFS(tbl_Finance[Ex GST],tbl_Finance[Job Number],E291&amp;""))</f>
        <v/>
      </c>
      <c r="Z291" s="27">
        <f>IF(E291="","",SUMIFS(tbl_Finance[Ex GST],tbl_Finance[Job Number],E291&amp;"",tbl_Finance[Xero Invoice No],"&lt;&gt;"))</f>
        <v/>
      </c>
      <c r="AA291" s="27">
        <f>IF(E291="","",Y291-Z291)</f>
        <v/>
      </c>
      <c r="AB291" s="25">
        <f>IF(E291="","",IF(H291="Onsite",IFERROR(INDEX(tbl_Onsite[Qwilr Quote],MATCH(E291&amp;"",tbl_Onsite[Job Number],0)),""),IF(H291="Production",IFERROR(IF(INDEX(tbl_Production[Current RMS No],MATCH(E291&amp;"",tbl_Production[Job Number],0))="",INDEX(tbl_Production[Qwilr Quote],MATCH(E291&amp;"",tbl_Production[Job Number],0)),INDEX(tbl_Production[Current RMS No],MATCH(E291&amp;"",tbl_Production[Job Number],0))),""),IF(H291="Consulting",IFERROR(INDEX(tbl_Consulting[Qwilr Quote],MATCH(E291&amp;"",tbl_Consulting[Job Number],0)),""),""))))</f>
        <v/>
      </c>
      <c r="AC291" s="25">
        <f>IF(AB291="","",IF(AND(LEFT(AB291,4)&lt;&gt;"http",IF(H291="Production",set_RMSBase,set_QwilrBase)=""),"",HYPERLINK(IF(LEFT(AB291,4)="http",AB291,IF(H291="Production",set_RMSBase,set_QwilrBase)&amp;AB291),"Open")))</f>
        <v/>
      </c>
      <c r="AD291" s="27">
        <f>IF(E291="","",IF(H291="Production",IFERROR(INDEX(tbl_Production[Total Expense],MATCH(E291&amp;"",tbl_Production[Job Number],0)),0),IF(H291="Consulting",IFERROR(INDEX(tbl_Consulting[Total Expense],MATCH(E291&amp;"",tbl_Consulting[Job Number],0)),0),0)))</f>
        <v/>
      </c>
      <c r="AE291" s="27">
        <f>IF(E291="","",Y291-N(AD291))</f>
        <v/>
      </c>
      <c r="AF291" s="29">
        <f>IFERROR(AE291/Y291,"")</f>
        <v/>
      </c>
      <c r="AG291" s="25">
        <f>IF(E291="","",IF(H291="Onsite",IFERROR(INDEX(tbl_Onsite[Notes],MATCH(E291&amp;"",tbl_Onsite[Job Number],0)),""),IF(H291="Production",IFERROR(INDEX(tbl_Production[Notes],MATCH(E291&amp;"",tbl_Production[Job Number],0)),""),IF(H291="Consulting",IFERROR(INDEX(tbl_Consulting[Notes],MATCH(E291&amp;"",tbl_Consulting[Job Number],0)),""),""))))</f>
        <v/>
      </c>
    </row>
    <row r="292" ht="15" customHeight="1">
      <c r="A292" s="22" t="n"/>
      <c r="B292" s="23">
        <f>IF(A292="","",EOMONTH(A292,0))</f>
        <v/>
      </c>
      <c r="C292" s="24" t="n"/>
      <c r="D292" s="24" t="n"/>
      <c r="E292" s="24" t="n"/>
      <c r="F292" s="25">
        <f>IF(E292="","",IF(COUNTIF(lst_Jobs,E292&amp;"")&gt;0,"OK","CHECK"))</f>
        <v/>
      </c>
      <c r="G292" s="24" t="n"/>
      <c r="H292" s="24" t="n"/>
      <c r="I292" s="24" t="n"/>
      <c r="J292" s="24" t="n"/>
      <c r="K292" s="24" t="n"/>
      <c r="L292" s="26" t="n"/>
      <c r="M292" s="27">
        <f>IF(L292="","",IF(K292="GST 10%",ROUND(L292*set_GSTRate,2),0))</f>
        <v/>
      </c>
      <c r="N292" s="27">
        <f>IF(L292="","",L292+M292)</f>
        <v/>
      </c>
      <c r="O292" s="24" t="n"/>
      <c r="P292" s="24" t="n"/>
      <c r="Q292" s="24" t="n"/>
      <c r="R292" s="22" t="n"/>
      <c r="S292" s="22" t="n"/>
      <c r="T292" s="24" t="n"/>
      <c r="U292" s="24" t="n"/>
      <c r="V292" s="25">
        <f>IF(COUNTA(A292,D292,C292,L292)=0,"",IF(A292="","No date - sits outside every month",IF(E292="","No job number",IF(F292="CHECK","Job number is not in the Xero job list",IF(I292="","No cost centre",IF(AND(P292="Y",C292=""),"Marked posted to Xero but has no invoice number",IF(AND(L292&lt;&gt;"",K292=""),"No tax code",IF(AND(L292&lt;&gt;"",O292=""),"No revenue GL code",""))))))))</f>
        <v/>
      </c>
      <c r="W292" s="25">
        <f>IF(E292="","",IFERROR(INDEX(lst_JobName,MATCH(E292&amp;"",lst_Jobs,0)),""))</f>
        <v/>
      </c>
      <c r="X292" s="28">
        <f>IF(E292="","",COUNTIFS(tbl_Finance[Job Number],E292&amp;"",tbl_Finance[Ex GST],"&lt;&gt;"))</f>
        <v/>
      </c>
      <c r="Y292" s="27">
        <f>IF(E292="","",SUMIFS(tbl_Finance[Ex GST],tbl_Finance[Job Number],E292&amp;""))</f>
        <v/>
      </c>
      <c r="Z292" s="27">
        <f>IF(E292="","",SUMIFS(tbl_Finance[Ex GST],tbl_Finance[Job Number],E292&amp;"",tbl_Finance[Xero Invoice No],"&lt;&gt;"))</f>
        <v/>
      </c>
      <c r="AA292" s="27">
        <f>IF(E292="","",Y292-Z292)</f>
        <v/>
      </c>
      <c r="AB292" s="25">
        <f>IF(E292="","",IF(H292="Onsite",IFERROR(INDEX(tbl_Onsite[Qwilr Quote],MATCH(E292&amp;"",tbl_Onsite[Job Number],0)),""),IF(H292="Production",IFERROR(IF(INDEX(tbl_Production[Current RMS No],MATCH(E292&amp;"",tbl_Production[Job Number],0))="",INDEX(tbl_Production[Qwilr Quote],MATCH(E292&amp;"",tbl_Production[Job Number],0)),INDEX(tbl_Production[Current RMS No],MATCH(E292&amp;"",tbl_Production[Job Number],0))),""),IF(H292="Consulting",IFERROR(INDEX(tbl_Consulting[Qwilr Quote],MATCH(E292&amp;"",tbl_Consulting[Job Number],0)),""),""))))</f>
        <v/>
      </c>
      <c r="AC292" s="25">
        <f>IF(AB292="","",IF(AND(LEFT(AB292,4)&lt;&gt;"http",IF(H292="Production",set_RMSBase,set_QwilrBase)=""),"",HYPERLINK(IF(LEFT(AB292,4)="http",AB292,IF(H292="Production",set_RMSBase,set_QwilrBase)&amp;AB292),"Open")))</f>
        <v/>
      </c>
      <c r="AD292" s="27">
        <f>IF(E292="","",IF(H292="Production",IFERROR(INDEX(tbl_Production[Total Expense],MATCH(E292&amp;"",tbl_Production[Job Number],0)),0),IF(H292="Consulting",IFERROR(INDEX(tbl_Consulting[Total Expense],MATCH(E292&amp;"",tbl_Consulting[Job Number],0)),0),0)))</f>
        <v/>
      </c>
      <c r="AE292" s="27">
        <f>IF(E292="","",Y292-N(AD292))</f>
        <v/>
      </c>
      <c r="AF292" s="29">
        <f>IFERROR(AE292/Y292,"")</f>
        <v/>
      </c>
      <c r="AG292" s="25">
        <f>IF(E292="","",IF(H292="Onsite",IFERROR(INDEX(tbl_Onsite[Notes],MATCH(E292&amp;"",tbl_Onsite[Job Number],0)),""),IF(H292="Production",IFERROR(INDEX(tbl_Production[Notes],MATCH(E292&amp;"",tbl_Production[Job Number],0)),""),IF(H292="Consulting",IFERROR(INDEX(tbl_Consulting[Notes],MATCH(E292&amp;"",tbl_Consulting[Job Number],0)),""),""))))</f>
        <v/>
      </c>
    </row>
    <row r="293" ht="15" customHeight="1">
      <c r="A293" s="22" t="n"/>
      <c r="B293" s="23">
        <f>IF(A293="","",EOMONTH(A293,0))</f>
        <v/>
      </c>
      <c r="C293" s="24" t="n"/>
      <c r="D293" s="24" t="n"/>
      <c r="E293" s="24" t="n"/>
      <c r="F293" s="25">
        <f>IF(E293="","",IF(COUNTIF(lst_Jobs,E293&amp;"")&gt;0,"OK","CHECK"))</f>
        <v/>
      </c>
      <c r="G293" s="24" t="n"/>
      <c r="H293" s="24" t="n"/>
      <c r="I293" s="24" t="n"/>
      <c r="J293" s="24" t="n"/>
      <c r="K293" s="24" t="n"/>
      <c r="L293" s="26" t="n"/>
      <c r="M293" s="27">
        <f>IF(L293="","",IF(K293="GST 10%",ROUND(L293*set_GSTRate,2),0))</f>
        <v/>
      </c>
      <c r="N293" s="27">
        <f>IF(L293="","",L293+M293)</f>
        <v/>
      </c>
      <c r="O293" s="24" t="n"/>
      <c r="P293" s="24" t="n"/>
      <c r="Q293" s="24" t="n"/>
      <c r="R293" s="22" t="n"/>
      <c r="S293" s="22" t="n"/>
      <c r="T293" s="24" t="n"/>
      <c r="U293" s="24" t="n"/>
      <c r="V293" s="25">
        <f>IF(COUNTA(A293,D293,C293,L293)=0,"",IF(A293="","No date - sits outside every month",IF(E293="","No job number",IF(F293="CHECK","Job number is not in the Xero job list",IF(I293="","No cost centre",IF(AND(P293="Y",C293=""),"Marked posted to Xero but has no invoice number",IF(AND(L293&lt;&gt;"",K293=""),"No tax code",IF(AND(L293&lt;&gt;"",O293=""),"No revenue GL code",""))))))))</f>
        <v/>
      </c>
      <c r="W293" s="25">
        <f>IF(E293="","",IFERROR(INDEX(lst_JobName,MATCH(E293&amp;"",lst_Jobs,0)),""))</f>
        <v/>
      </c>
      <c r="X293" s="28">
        <f>IF(E293="","",COUNTIFS(tbl_Finance[Job Number],E293&amp;"",tbl_Finance[Ex GST],"&lt;&gt;"))</f>
        <v/>
      </c>
      <c r="Y293" s="27">
        <f>IF(E293="","",SUMIFS(tbl_Finance[Ex GST],tbl_Finance[Job Number],E293&amp;""))</f>
        <v/>
      </c>
      <c r="Z293" s="27">
        <f>IF(E293="","",SUMIFS(tbl_Finance[Ex GST],tbl_Finance[Job Number],E293&amp;"",tbl_Finance[Xero Invoice No],"&lt;&gt;"))</f>
        <v/>
      </c>
      <c r="AA293" s="27">
        <f>IF(E293="","",Y293-Z293)</f>
        <v/>
      </c>
      <c r="AB293" s="25">
        <f>IF(E293="","",IF(H293="Onsite",IFERROR(INDEX(tbl_Onsite[Qwilr Quote],MATCH(E293&amp;"",tbl_Onsite[Job Number],0)),""),IF(H293="Production",IFERROR(IF(INDEX(tbl_Production[Current RMS No],MATCH(E293&amp;"",tbl_Production[Job Number],0))="",INDEX(tbl_Production[Qwilr Quote],MATCH(E293&amp;"",tbl_Production[Job Number],0)),INDEX(tbl_Production[Current RMS No],MATCH(E293&amp;"",tbl_Production[Job Number],0))),""),IF(H293="Consulting",IFERROR(INDEX(tbl_Consulting[Qwilr Quote],MATCH(E293&amp;"",tbl_Consulting[Job Number],0)),""),""))))</f>
        <v/>
      </c>
      <c r="AC293" s="25">
        <f>IF(AB293="","",IF(AND(LEFT(AB293,4)&lt;&gt;"http",IF(H293="Production",set_RMSBase,set_QwilrBase)=""),"",HYPERLINK(IF(LEFT(AB293,4)="http",AB293,IF(H293="Production",set_RMSBase,set_QwilrBase)&amp;AB293),"Open")))</f>
        <v/>
      </c>
      <c r="AD293" s="27">
        <f>IF(E293="","",IF(H293="Production",IFERROR(INDEX(tbl_Production[Total Expense],MATCH(E293&amp;"",tbl_Production[Job Number],0)),0),IF(H293="Consulting",IFERROR(INDEX(tbl_Consulting[Total Expense],MATCH(E293&amp;"",tbl_Consulting[Job Number],0)),0),0)))</f>
        <v/>
      </c>
      <c r="AE293" s="27">
        <f>IF(E293="","",Y293-N(AD293))</f>
        <v/>
      </c>
      <c r="AF293" s="29">
        <f>IFERROR(AE293/Y293,"")</f>
        <v/>
      </c>
      <c r="AG293" s="25">
        <f>IF(E293="","",IF(H293="Onsite",IFERROR(INDEX(tbl_Onsite[Notes],MATCH(E293&amp;"",tbl_Onsite[Job Number],0)),""),IF(H293="Production",IFERROR(INDEX(tbl_Production[Notes],MATCH(E293&amp;"",tbl_Production[Job Number],0)),""),IF(H293="Consulting",IFERROR(INDEX(tbl_Consulting[Notes],MATCH(E293&amp;"",tbl_Consulting[Job Number],0)),""),""))))</f>
        <v/>
      </c>
    </row>
    <row r="294" ht="15" customHeight="1">
      <c r="A294" s="22" t="n"/>
      <c r="B294" s="23">
        <f>IF(A294="","",EOMONTH(A294,0))</f>
        <v/>
      </c>
      <c r="C294" s="24" t="n"/>
      <c r="D294" s="24" t="n"/>
      <c r="E294" s="24" t="n"/>
      <c r="F294" s="25">
        <f>IF(E294="","",IF(COUNTIF(lst_Jobs,E294&amp;"")&gt;0,"OK","CHECK"))</f>
        <v/>
      </c>
      <c r="G294" s="24" t="n"/>
      <c r="H294" s="24" t="n"/>
      <c r="I294" s="24" t="n"/>
      <c r="J294" s="24" t="n"/>
      <c r="K294" s="24" t="n"/>
      <c r="L294" s="26" t="n"/>
      <c r="M294" s="27">
        <f>IF(L294="","",IF(K294="GST 10%",ROUND(L294*set_GSTRate,2),0))</f>
        <v/>
      </c>
      <c r="N294" s="27">
        <f>IF(L294="","",L294+M294)</f>
        <v/>
      </c>
      <c r="O294" s="24" t="n"/>
      <c r="P294" s="24" t="n"/>
      <c r="Q294" s="24" t="n"/>
      <c r="R294" s="22" t="n"/>
      <c r="S294" s="22" t="n"/>
      <c r="T294" s="24" t="n"/>
      <c r="U294" s="24" t="n"/>
      <c r="V294" s="25">
        <f>IF(COUNTA(A294,D294,C294,L294)=0,"",IF(A294="","No date - sits outside every month",IF(E294="","No job number",IF(F294="CHECK","Job number is not in the Xero job list",IF(I294="","No cost centre",IF(AND(P294="Y",C294=""),"Marked posted to Xero but has no invoice number",IF(AND(L294&lt;&gt;"",K294=""),"No tax code",IF(AND(L294&lt;&gt;"",O294=""),"No revenue GL code",""))))))))</f>
        <v/>
      </c>
      <c r="W294" s="25">
        <f>IF(E294="","",IFERROR(INDEX(lst_JobName,MATCH(E294&amp;"",lst_Jobs,0)),""))</f>
        <v/>
      </c>
      <c r="X294" s="28">
        <f>IF(E294="","",COUNTIFS(tbl_Finance[Job Number],E294&amp;"",tbl_Finance[Ex GST],"&lt;&gt;"))</f>
        <v/>
      </c>
      <c r="Y294" s="27">
        <f>IF(E294="","",SUMIFS(tbl_Finance[Ex GST],tbl_Finance[Job Number],E294&amp;""))</f>
        <v/>
      </c>
      <c r="Z294" s="27">
        <f>IF(E294="","",SUMIFS(tbl_Finance[Ex GST],tbl_Finance[Job Number],E294&amp;"",tbl_Finance[Xero Invoice No],"&lt;&gt;"))</f>
        <v/>
      </c>
      <c r="AA294" s="27">
        <f>IF(E294="","",Y294-Z294)</f>
        <v/>
      </c>
      <c r="AB294" s="25">
        <f>IF(E294="","",IF(H294="Onsite",IFERROR(INDEX(tbl_Onsite[Qwilr Quote],MATCH(E294&amp;"",tbl_Onsite[Job Number],0)),""),IF(H294="Production",IFERROR(IF(INDEX(tbl_Production[Current RMS No],MATCH(E294&amp;"",tbl_Production[Job Number],0))="",INDEX(tbl_Production[Qwilr Quote],MATCH(E294&amp;"",tbl_Production[Job Number],0)),INDEX(tbl_Production[Current RMS No],MATCH(E294&amp;"",tbl_Production[Job Number],0))),""),IF(H294="Consulting",IFERROR(INDEX(tbl_Consulting[Qwilr Quote],MATCH(E294&amp;"",tbl_Consulting[Job Number],0)),""),""))))</f>
        <v/>
      </c>
      <c r="AC294" s="25">
        <f>IF(AB294="","",IF(AND(LEFT(AB294,4)&lt;&gt;"http",IF(H294="Production",set_RMSBase,set_QwilrBase)=""),"",HYPERLINK(IF(LEFT(AB294,4)="http",AB294,IF(H294="Production",set_RMSBase,set_QwilrBase)&amp;AB294),"Open")))</f>
        <v/>
      </c>
      <c r="AD294" s="27">
        <f>IF(E294="","",IF(H294="Production",IFERROR(INDEX(tbl_Production[Total Expense],MATCH(E294&amp;"",tbl_Production[Job Number],0)),0),IF(H294="Consulting",IFERROR(INDEX(tbl_Consulting[Total Expense],MATCH(E294&amp;"",tbl_Consulting[Job Number],0)),0),0)))</f>
        <v/>
      </c>
      <c r="AE294" s="27">
        <f>IF(E294="","",Y294-N(AD294))</f>
        <v/>
      </c>
      <c r="AF294" s="29">
        <f>IFERROR(AE294/Y294,"")</f>
        <v/>
      </c>
      <c r="AG294" s="25">
        <f>IF(E294="","",IF(H294="Onsite",IFERROR(INDEX(tbl_Onsite[Notes],MATCH(E294&amp;"",tbl_Onsite[Job Number],0)),""),IF(H294="Production",IFERROR(INDEX(tbl_Production[Notes],MATCH(E294&amp;"",tbl_Production[Job Number],0)),""),IF(H294="Consulting",IFERROR(INDEX(tbl_Consulting[Notes],MATCH(E294&amp;"",tbl_Consulting[Job Number],0)),""),""))))</f>
        <v/>
      </c>
    </row>
    <row r="295" ht="15" customHeight="1">
      <c r="A295" s="22" t="n"/>
      <c r="B295" s="23">
        <f>IF(A295="","",EOMONTH(A295,0))</f>
        <v/>
      </c>
      <c r="C295" s="24" t="n"/>
      <c r="D295" s="24" t="n"/>
      <c r="E295" s="24" t="n"/>
      <c r="F295" s="25">
        <f>IF(E295="","",IF(COUNTIF(lst_Jobs,E295&amp;"")&gt;0,"OK","CHECK"))</f>
        <v/>
      </c>
      <c r="G295" s="24" t="n"/>
      <c r="H295" s="24" t="n"/>
      <c r="I295" s="24" t="n"/>
      <c r="J295" s="24" t="n"/>
      <c r="K295" s="24" t="n"/>
      <c r="L295" s="26" t="n"/>
      <c r="M295" s="27">
        <f>IF(L295="","",IF(K295="GST 10%",ROUND(L295*set_GSTRate,2),0))</f>
        <v/>
      </c>
      <c r="N295" s="27">
        <f>IF(L295="","",L295+M295)</f>
        <v/>
      </c>
      <c r="O295" s="24" t="n"/>
      <c r="P295" s="24" t="n"/>
      <c r="Q295" s="24" t="n"/>
      <c r="R295" s="22" t="n"/>
      <c r="S295" s="22" t="n"/>
      <c r="T295" s="24" t="n"/>
      <c r="U295" s="24" t="n"/>
      <c r="V295" s="25">
        <f>IF(COUNTA(A295,D295,C295,L295)=0,"",IF(A295="","No date - sits outside every month",IF(E295="","No job number",IF(F295="CHECK","Job number is not in the Xero job list",IF(I295="","No cost centre",IF(AND(P295="Y",C295=""),"Marked posted to Xero but has no invoice number",IF(AND(L295&lt;&gt;"",K295=""),"No tax code",IF(AND(L295&lt;&gt;"",O295=""),"No revenue GL code",""))))))))</f>
        <v/>
      </c>
      <c r="W295" s="25">
        <f>IF(E295="","",IFERROR(INDEX(lst_JobName,MATCH(E295&amp;"",lst_Jobs,0)),""))</f>
        <v/>
      </c>
      <c r="X295" s="28">
        <f>IF(E295="","",COUNTIFS(tbl_Finance[Job Number],E295&amp;"",tbl_Finance[Ex GST],"&lt;&gt;"))</f>
        <v/>
      </c>
      <c r="Y295" s="27">
        <f>IF(E295="","",SUMIFS(tbl_Finance[Ex GST],tbl_Finance[Job Number],E295&amp;""))</f>
        <v/>
      </c>
      <c r="Z295" s="27">
        <f>IF(E295="","",SUMIFS(tbl_Finance[Ex GST],tbl_Finance[Job Number],E295&amp;"",tbl_Finance[Xero Invoice No],"&lt;&gt;"))</f>
        <v/>
      </c>
      <c r="AA295" s="27">
        <f>IF(E295="","",Y295-Z295)</f>
        <v/>
      </c>
      <c r="AB295" s="25">
        <f>IF(E295="","",IF(H295="Onsite",IFERROR(INDEX(tbl_Onsite[Qwilr Quote],MATCH(E295&amp;"",tbl_Onsite[Job Number],0)),""),IF(H295="Production",IFERROR(IF(INDEX(tbl_Production[Current RMS No],MATCH(E295&amp;"",tbl_Production[Job Number],0))="",INDEX(tbl_Production[Qwilr Quote],MATCH(E295&amp;"",tbl_Production[Job Number],0)),INDEX(tbl_Production[Current RMS No],MATCH(E295&amp;"",tbl_Production[Job Number],0))),""),IF(H295="Consulting",IFERROR(INDEX(tbl_Consulting[Qwilr Quote],MATCH(E295&amp;"",tbl_Consulting[Job Number],0)),""),""))))</f>
        <v/>
      </c>
      <c r="AC295" s="25">
        <f>IF(AB295="","",IF(AND(LEFT(AB295,4)&lt;&gt;"http",IF(H295="Production",set_RMSBase,set_QwilrBase)=""),"",HYPERLINK(IF(LEFT(AB295,4)="http",AB295,IF(H295="Production",set_RMSBase,set_QwilrBase)&amp;AB295),"Open")))</f>
        <v/>
      </c>
      <c r="AD295" s="27">
        <f>IF(E295="","",IF(H295="Production",IFERROR(INDEX(tbl_Production[Total Expense],MATCH(E295&amp;"",tbl_Production[Job Number],0)),0),IF(H295="Consulting",IFERROR(INDEX(tbl_Consulting[Total Expense],MATCH(E295&amp;"",tbl_Consulting[Job Number],0)),0),0)))</f>
        <v/>
      </c>
      <c r="AE295" s="27">
        <f>IF(E295="","",Y295-N(AD295))</f>
        <v/>
      </c>
      <c r="AF295" s="29">
        <f>IFERROR(AE295/Y295,"")</f>
        <v/>
      </c>
      <c r="AG295" s="25">
        <f>IF(E295="","",IF(H295="Onsite",IFERROR(INDEX(tbl_Onsite[Notes],MATCH(E295&amp;"",tbl_Onsite[Job Number],0)),""),IF(H295="Production",IFERROR(INDEX(tbl_Production[Notes],MATCH(E295&amp;"",tbl_Production[Job Number],0)),""),IF(H295="Consulting",IFERROR(INDEX(tbl_Consulting[Notes],MATCH(E295&amp;"",tbl_Consulting[Job Number],0)),""),""))))</f>
        <v/>
      </c>
    </row>
    <row r="296" ht="15" customHeight="1">
      <c r="A296" s="22" t="n"/>
      <c r="B296" s="23">
        <f>IF(A296="","",EOMONTH(A296,0))</f>
        <v/>
      </c>
      <c r="C296" s="24" t="n"/>
      <c r="D296" s="24" t="n"/>
      <c r="E296" s="24" t="n"/>
      <c r="F296" s="25">
        <f>IF(E296="","",IF(COUNTIF(lst_Jobs,E296&amp;"")&gt;0,"OK","CHECK"))</f>
        <v/>
      </c>
      <c r="G296" s="24" t="n"/>
      <c r="H296" s="24" t="n"/>
      <c r="I296" s="24" t="n"/>
      <c r="J296" s="24" t="n"/>
      <c r="K296" s="24" t="n"/>
      <c r="L296" s="26" t="n"/>
      <c r="M296" s="27">
        <f>IF(L296="","",IF(K296="GST 10%",ROUND(L296*set_GSTRate,2),0))</f>
        <v/>
      </c>
      <c r="N296" s="27">
        <f>IF(L296="","",L296+M296)</f>
        <v/>
      </c>
      <c r="O296" s="24" t="n"/>
      <c r="P296" s="24" t="n"/>
      <c r="Q296" s="24" t="n"/>
      <c r="R296" s="22" t="n"/>
      <c r="S296" s="22" t="n"/>
      <c r="T296" s="24" t="n"/>
      <c r="U296" s="24" t="n"/>
      <c r="V296" s="25">
        <f>IF(COUNTA(A296,D296,C296,L296)=0,"",IF(A296="","No date - sits outside every month",IF(E296="","No job number",IF(F296="CHECK","Job number is not in the Xero job list",IF(I296="","No cost centre",IF(AND(P296="Y",C296=""),"Marked posted to Xero but has no invoice number",IF(AND(L296&lt;&gt;"",K296=""),"No tax code",IF(AND(L296&lt;&gt;"",O296=""),"No revenue GL code",""))))))))</f>
        <v/>
      </c>
      <c r="W296" s="25">
        <f>IF(E296="","",IFERROR(INDEX(lst_JobName,MATCH(E296&amp;"",lst_Jobs,0)),""))</f>
        <v/>
      </c>
      <c r="X296" s="28">
        <f>IF(E296="","",COUNTIFS(tbl_Finance[Job Number],E296&amp;"",tbl_Finance[Ex GST],"&lt;&gt;"))</f>
        <v/>
      </c>
      <c r="Y296" s="27">
        <f>IF(E296="","",SUMIFS(tbl_Finance[Ex GST],tbl_Finance[Job Number],E296&amp;""))</f>
        <v/>
      </c>
      <c r="Z296" s="27">
        <f>IF(E296="","",SUMIFS(tbl_Finance[Ex GST],tbl_Finance[Job Number],E296&amp;"",tbl_Finance[Xero Invoice No],"&lt;&gt;"))</f>
        <v/>
      </c>
      <c r="AA296" s="27">
        <f>IF(E296="","",Y296-Z296)</f>
        <v/>
      </c>
      <c r="AB296" s="25">
        <f>IF(E296="","",IF(H296="Onsite",IFERROR(INDEX(tbl_Onsite[Qwilr Quote],MATCH(E296&amp;"",tbl_Onsite[Job Number],0)),""),IF(H296="Production",IFERROR(IF(INDEX(tbl_Production[Current RMS No],MATCH(E296&amp;"",tbl_Production[Job Number],0))="",INDEX(tbl_Production[Qwilr Quote],MATCH(E296&amp;"",tbl_Production[Job Number],0)),INDEX(tbl_Production[Current RMS No],MATCH(E296&amp;"",tbl_Production[Job Number],0))),""),IF(H296="Consulting",IFERROR(INDEX(tbl_Consulting[Qwilr Quote],MATCH(E296&amp;"",tbl_Consulting[Job Number],0)),""),""))))</f>
        <v/>
      </c>
      <c r="AC296" s="25">
        <f>IF(AB296="","",IF(AND(LEFT(AB296,4)&lt;&gt;"http",IF(H296="Production",set_RMSBase,set_QwilrBase)=""),"",HYPERLINK(IF(LEFT(AB296,4)="http",AB296,IF(H296="Production",set_RMSBase,set_QwilrBase)&amp;AB296),"Open")))</f>
        <v/>
      </c>
      <c r="AD296" s="27">
        <f>IF(E296="","",IF(H296="Production",IFERROR(INDEX(tbl_Production[Total Expense],MATCH(E296&amp;"",tbl_Production[Job Number],0)),0),IF(H296="Consulting",IFERROR(INDEX(tbl_Consulting[Total Expense],MATCH(E296&amp;"",tbl_Consulting[Job Number],0)),0),0)))</f>
        <v/>
      </c>
      <c r="AE296" s="27">
        <f>IF(E296="","",Y296-N(AD296))</f>
        <v/>
      </c>
      <c r="AF296" s="29">
        <f>IFERROR(AE296/Y296,"")</f>
        <v/>
      </c>
      <c r="AG296" s="25">
        <f>IF(E296="","",IF(H296="Onsite",IFERROR(INDEX(tbl_Onsite[Notes],MATCH(E296&amp;"",tbl_Onsite[Job Number],0)),""),IF(H296="Production",IFERROR(INDEX(tbl_Production[Notes],MATCH(E296&amp;"",tbl_Production[Job Number],0)),""),IF(H296="Consulting",IFERROR(INDEX(tbl_Consulting[Notes],MATCH(E296&amp;"",tbl_Consulting[Job Number],0)),""),""))))</f>
        <v/>
      </c>
    </row>
    <row r="297" ht="15" customHeight="1">
      <c r="A297" s="22" t="n"/>
      <c r="B297" s="23">
        <f>IF(A297="","",EOMONTH(A297,0))</f>
        <v/>
      </c>
      <c r="C297" s="24" t="n"/>
      <c r="D297" s="24" t="n"/>
      <c r="E297" s="24" t="n"/>
      <c r="F297" s="25">
        <f>IF(E297="","",IF(COUNTIF(lst_Jobs,E297&amp;"")&gt;0,"OK","CHECK"))</f>
        <v/>
      </c>
      <c r="G297" s="24" t="n"/>
      <c r="H297" s="24" t="n"/>
      <c r="I297" s="24" t="n"/>
      <c r="J297" s="24" t="n"/>
      <c r="K297" s="24" t="n"/>
      <c r="L297" s="26" t="n"/>
      <c r="M297" s="27">
        <f>IF(L297="","",IF(K297="GST 10%",ROUND(L297*set_GSTRate,2),0))</f>
        <v/>
      </c>
      <c r="N297" s="27">
        <f>IF(L297="","",L297+M297)</f>
        <v/>
      </c>
      <c r="O297" s="24" t="n"/>
      <c r="P297" s="24" t="n"/>
      <c r="Q297" s="24" t="n"/>
      <c r="R297" s="22" t="n"/>
      <c r="S297" s="22" t="n"/>
      <c r="T297" s="24" t="n"/>
      <c r="U297" s="24" t="n"/>
      <c r="V297" s="25">
        <f>IF(COUNTA(A297,D297,C297,L297)=0,"",IF(A297="","No date - sits outside every month",IF(E297="","No job number",IF(F297="CHECK","Job number is not in the Xero job list",IF(I297="","No cost centre",IF(AND(P297="Y",C297=""),"Marked posted to Xero but has no invoice number",IF(AND(L297&lt;&gt;"",K297=""),"No tax code",IF(AND(L297&lt;&gt;"",O297=""),"No revenue GL code",""))))))))</f>
        <v/>
      </c>
      <c r="W297" s="25">
        <f>IF(E297="","",IFERROR(INDEX(lst_JobName,MATCH(E297&amp;"",lst_Jobs,0)),""))</f>
        <v/>
      </c>
      <c r="X297" s="28">
        <f>IF(E297="","",COUNTIFS(tbl_Finance[Job Number],E297&amp;"",tbl_Finance[Ex GST],"&lt;&gt;"))</f>
        <v/>
      </c>
      <c r="Y297" s="27">
        <f>IF(E297="","",SUMIFS(tbl_Finance[Ex GST],tbl_Finance[Job Number],E297&amp;""))</f>
        <v/>
      </c>
      <c r="Z297" s="27">
        <f>IF(E297="","",SUMIFS(tbl_Finance[Ex GST],tbl_Finance[Job Number],E297&amp;"",tbl_Finance[Xero Invoice No],"&lt;&gt;"))</f>
        <v/>
      </c>
      <c r="AA297" s="27">
        <f>IF(E297="","",Y297-Z297)</f>
        <v/>
      </c>
      <c r="AB297" s="25">
        <f>IF(E297="","",IF(H297="Onsite",IFERROR(INDEX(tbl_Onsite[Qwilr Quote],MATCH(E297&amp;"",tbl_Onsite[Job Number],0)),""),IF(H297="Production",IFERROR(IF(INDEX(tbl_Production[Current RMS No],MATCH(E297&amp;"",tbl_Production[Job Number],0))="",INDEX(tbl_Production[Qwilr Quote],MATCH(E297&amp;"",tbl_Production[Job Number],0)),INDEX(tbl_Production[Current RMS No],MATCH(E297&amp;"",tbl_Production[Job Number],0))),""),IF(H297="Consulting",IFERROR(INDEX(tbl_Consulting[Qwilr Quote],MATCH(E297&amp;"",tbl_Consulting[Job Number],0)),""),""))))</f>
        <v/>
      </c>
      <c r="AC297" s="25">
        <f>IF(AB297="","",IF(AND(LEFT(AB297,4)&lt;&gt;"http",IF(H297="Production",set_RMSBase,set_QwilrBase)=""),"",HYPERLINK(IF(LEFT(AB297,4)="http",AB297,IF(H297="Production",set_RMSBase,set_QwilrBase)&amp;AB297),"Open")))</f>
        <v/>
      </c>
      <c r="AD297" s="27">
        <f>IF(E297="","",IF(H297="Production",IFERROR(INDEX(tbl_Production[Total Expense],MATCH(E297&amp;"",tbl_Production[Job Number],0)),0),IF(H297="Consulting",IFERROR(INDEX(tbl_Consulting[Total Expense],MATCH(E297&amp;"",tbl_Consulting[Job Number],0)),0),0)))</f>
        <v/>
      </c>
      <c r="AE297" s="27">
        <f>IF(E297="","",Y297-N(AD297))</f>
        <v/>
      </c>
      <c r="AF297" s="29">
        <f>IFERROR(AE297/Y297,"")</f>
        <v/>
      </c>
      <c r="AG297" s="25">
        <f>IF(E297="","",IF(H297="Onsite",IFERROR(INDEX(tbl_Onsite[Notes],MATCH(E297&amp;"",tbl_Onsite[Job Number],0)),""),IF(H297="Production",IFERROR(INDEX(tbl_Production[Notes],MATCH(E297&amp;"",tbl_Production[Job Number],0)),""),IF(H297="Consulting",IFERROR(INDEX(tbl_Consulting[Notes],MATCH(E297&amp;"",tbl_Consulting[Job Number],0)),""),""))))</f>
        <v/>
      </c>
    </row>
    <row r="298" ht="15" customHeight="1">
      <c r="A298" s="22" t="n"/>
      <c r="B298" s="23">
        <f>IF(A298="","",EOMONTH(A298,0))</f>
        <v/>
      </c>
      <c r="C298" s="24" t="n"/>
      <c r="D298" s="24" t="n"/>
      <c r="E298" s="24" t="n"/>
      <c r="F298" s="25">
        <f>IF(E298="","",IF(COUNTIF(lst_Jobs,E298&amp;"")&gt;0,"OK","CHECK"))</f>
        <v/>
      </c>
      <c r="G298" s="24" t="n"/>
      <c r="H298" s="24" t="n"/>
      <c r="I298" s="24" t="n"/>
      <c r="J298" s="24" t="n"/>
      <c r="K298" s="24" t="n"/>
      <c r="L298" s="26" t="n"/>
      <c r="M298" s="27">
        <f>IF(L298="","",IF(K298="GST 10%",ROUND(L298*set_GSTRate,2),0))</f>
        <v/>
      </c>
      <c r="N298" s="27">
        <f>IF(L298="","",L298+M298)</f>
        <v/>
      </c>
      <c r="O298" s="24" t="n"/>
      <c r="P298" s="24" t="n"/>
      <c r="Q298" s="24" t="n"/>
      <c r="R298" s="22" t="n"/>
      <c r="S298" s="22" t="n"/>
      <c r="T298" s="24" t="n"/>
      <c r="U298" s="24" t="n"/>
      <c r="V298" s="25">
        <f>IF(COUNTA(A298,D298,C298,L298)=0,"",IF(A298="","No date - sits outside every month",IF(E298="","No job number",IF(F298="CHECK","Job number is not in the Xero job list",IF(I298="","No cost centre",IF(AND(P298="Y",C298=""),"Marked posted to Xero but has no invoice number",IF(AND(L298&lt;&gt;"",K298=""),"No tax code",IF(AND(L298&lt;&gt;"",O298=""),"No revenue GL code",""))))))))</f>
        <v/>
      </c>
      <c r="W298" s="25">
        <f>IF(E298="","",IFERROR(INDEX(lst_JobName,MATCH(E298&amp;"",lst_Jobs,0)),""))</f>
        <v/>
      </c>
      <c r="X298" s="28">
        <f>IF(E298="","",COUNTIFS(tbl_Finance[Job Number],E298&amp;"",tbl_Finance[Ex GST],"&lt;&gt;"))</f>
        <v/>
      </c>
      <c r="Y298" s="27">
        <f>IF(E298="","",SUMIFS(tbl_Finance[Ex GST],tbl_Finance[Job Number],E298&amp;""))</f>
        <v/>
      </c>
      <c r="Z298" s="27">
        <f>IF(E298="","",SUMIFS(tbl_Finance[Ex GST],tbl_Finance[Job Number],E298&amp;"",tbl_Finance[Xero Invoice No],"&lt;&gt;"))</f>
        <v/>
      </c>
      <c r="AA298" s="27">
        <f>IF(E298="","",Y298-Z298)</f>
        <v/>
      </c>
      <c r="AB298" s="25">
        <f>IF(E298="","",IF(H298="Onsite",IFERROR(INDEX(tbl_Onsite[Qwilr Quote],MATCH(E298&amp;"",tbl_Onsite[Job Number],0)),""),IF(H298="Production",IFERROR(IF(INDEX(tbl_Production[Current RMS No],MATCH(E298&amp;"",tbl_Production[Job Number],0))="",INDEX(tbl_Production[Qwilr Quote],MATCH(E298&amp;"",tbl_Production[Job Number],0)),INDEX(tbl_Production[Current RMS No],MATCH(E298&amp;"",tbl_Production[Job Number],0))),""),IF(H298="Consulting",IFERROR(INDEX(tbl_Consulting[Qwilr Quote],MATCH(E298&amp;"",tbl_Consulting[Job Number],0)),""),""))))</f>
        <v/>
      </c>
      <c r="AC298" s="25">
        <f>IF(AB298="","",IF(AND(LEFT(AB298,4)&lt;&gt;"http",IF(H298="Production",set_RMSBase,set_QwilrBase)=""),"",HYPERLINK(IF(LEFT(AB298,4)="http",AB298,IF(H298="Production",set_RMSBase,set_QwilrBase)&amp;AB298),"Open")))</f>
        <v/>
      </c>
      <c r="AD298" s="27">
        <f>IF(E298="","",IF(H298="Production",IFERROR(INDEX(tbl_Production[Total Expense],MATCH(E298&amp;"",tbl_Production[Job Number],0)),0),IF(H298="Consulting",IFERROR(INDEX(tbl_Consulting[Total Expense],MATCH(E298&amp;"",tbl_Consulting[Job Number],0)),0),0)))</f>
        <v/>
      </c>
      <c r="AE298" s="27">
        <f>IF(E298="","",Y298-N(AD298))</f>
        <v/>
      </c>
      <c r="AF298" s="29">
        <f>IFERROR(AE298/Y298,"")</f>
        <v/>
      </c>
      <c r="AG298" s="25">
        <f>IF(E298="","",IF(H298="Onsite",IFERROR(INDEX(tbl_Onsite[Notes],MATCH(E298&amp;"",tbl_Onsite[Job Number],0)),""),IF(H298="Production",IFERROR(INDEX(tbl_Production[Notes],MATCH(E298&amp;"",tbl_Production[Job Number],0)),""),IF(H298="Consulting",IFERROR(INDEX(tbl_Consulting[Notes],MATCH(E298&amp;"",tbl_Consulting[Job Number],0)),""),""))))</f>
        <v/>
      </c>
    </row>
    <row r="299" ht="15" customHeight="1">
      <c r="A299" s="22" t="n"/>
      <c r="B299" s="23">
        <f>IF(A299="","",EOMONTH(A299,0))</f>
        <v/>
      </c>
      <c r="C299" s="24" t="n"/>
      <c r="D299" s="24" t="n"/>
      <c r="E299" s="24" t="n"/>
      <c r="F299" s="25">
        <f>IF(E299="","",IF(COUNTIF(lst_Jobs,E299&amp;"")&gt;0,"OK","CHECK"))</f>
        <v/>
      </c>
      <c r="G299" s="24" t="n"/>
      <c r="H299" s="24" t="n"/>
      <c r="I299" s="24" t="n"/>
      <c r="J299" s="24" t="n"/>
      <c r="K299" s="24" t="n"/>
      <c r="L299" s="26" t="n"/>
      <c r="M299" s="27">
        <f>IF(L299="","",IF(K299="GST 10%",ROUND(L299*set_GSTRate,2),0))</f>
        <v/>
      </c>
      <c r="N299" s="27">
        <f>IF(L299="","",L299+M299)</f>
        <v/>
      </c>
      <c r="O299" s="24" t="n"/>
      <c r="P299" s="24" t="n"/>
      <c r="Q299" s="24" t="n"/>
      <c r="R299" s="22" t="n"/>
      <c r="S299" s="22" t="n"/>
      <c r="T299" s="24" t="n"/>
      <c r="U299" s="24" t="n"/>
      <c r="V299" s="25">
        <f>IF(COUNTA(A299,D299,C299,L299)=0,"",IF(A299="","No date - sits outside every month",IF(E299="","No job number",IF(F299="CHECK","Job number is not in the Xero job list",IF(I299="","No cost centre",IF(AND(P299="Y",C299=""),"Marked posted to Xero but has no invoice number",IF(AND(L299&lt;&gt;"",K299=""),"No tax code",IF(AND(L299&lt;&gt;"",O299=""),"No revenue GL code",""))))))))</f>
        <v/>
      </c>
      <c r="W299" s="25">
        <f>IF(E299="","",IFERROR(INDEX(lst_JobName,MATCH(E299&amp;"",lst_Jobs,0)),""))</f>
        <v/>
      </c>
      <c r="X299" s="28">
        <f>IF(E299="","",COUNTIFS(tbl_Finance[Job Number],E299&amp;"",tbl_Finance[Ex GST],"&lt;&gt;"))</f>
        <v/>
      </c>
      <c r="Y299" s="27">
        <f>IF(E299="","",SUMIFS(tbl_Finance[Ex GST],tbl_Finance[Job Number],E299&amp;""))</f>
        <v/>
      </c>
      <c r="Z299" s="27">
        <f>IF(E299="","",SUMIFS(tbl_Finance[Ex GST],tbl_Finance[Job Number],E299&amp;"",tbl_Finance[Xero Invoice No],"&lt;&gt;"))</f>
        <v/>
      </c>
      <c r="AA299" s="27">
        <f>IF(E299="","",Y299-Z299)</f>
        <v/>
      </c>
      <c r="AB299" s="25">
        <f>IF(E299="","",IF(H299="Onsite",IFERROR(INDEX(tbl_Onsite[Qwilr Quote],MATCH(E299&amp;"",tbl_Onsite[Job Number],0)),""),IF(H299="Production",IFERROR(IF(INDEX(tbl_Production[Current RMS No],MATCH(E299&amp;"",tbl_Production[Job Number],0))="",INDEX(tbl_Production[Qwilr Quote],MATCH(E299&amp;"",tbl_Production[Job Number],0)),INDEX(tbl_Production[Current RMS No],MATCH(E299&amp;"",tbl_Production[Job Number],0))),""),IF(H299="Consulting",IFERROR(INDEX(tbl_Consulting[Qwilr Quote],MATCH(E299&amp;"",tbl_Consulting[Job Number],0)),""),""))))</f>
        <v/>
      </c>
      <c r="AC299" s="25">
        <f>IF(AB299="","",IF(AND(LEFT(AB299,4)&lt;&gt;"http",IF(H299="Production",set_RMSBase,set_QwilrBase)=""),"",HYPERLINK(IF(LEFT(AB299,4)="http",AB299,IF(H299="Production",set_RMSBase,set_QwilrBase)&amp;AB299),"Open")))</f>
        <v/>
      </c>
      <c r="AD299" s="27">
        <f>IF(E299="","",IF(H299="Production",IFERROR(INDEX(tbl_Production[Total Expense],MATCH(E299&amp;"",tbl_Production[Job Number],0)),0),IF(H299="Consulting",IFERROR(INDEX(tbl_Consulting[Total Expense],MATCH(E299&amp;"",tbl_Consulting[Job Number],0)),0),0)))</f>
        <v/>
      </c>
      <c r="AE299" s="27">
        <f>IF(E299="","",Y299-N(AD299))</f>
        <v/>
      </c>
      <c r="AF299" s="29">
        <f>IFERROR(AE299/Y299,"")</f>
        <v/>
      </c>
      <c r="AG299" s="25">
        <f>IF(E299="","",IF(H299="Onsite",IFERROR(INDEX(tbl_Onsite[Notes],MATCH(E299&amp;"",tbl_Onsite[Job Number],0)),""),IF(H299="Production",IFERROR(INDEX(tbl_Production[Notes],MATCH(E299&amp;"",tbl_Production[Job Number],0)),""),IF(H299="Consulting",IFERROR(INDEX(tbl_Consulting[Notes],MATCH(E299&amp;"",tbl_Consulting[Job Number],0)),""),""))))</f>
        <v/>
      </c>
    </row>
    <row r="300" ht="15" customHeight="1">
      <c r="A300" s="22" t="n"/>
      <c r="B300" s="23">
        <f>IF(A300="","",EOMONTH(A300,0))</f>
        <v/>
      </c>
      <c r="C300" s="24" t="n"/>
      <c r="D300" s="24" t="n"/>
      <c r="E300" s="24" t="n"/>
      <c r="F300" s="25">
        <f>IF(E300="","",IF(COUNTIF(lst_Jobs,E300&amp;"")&gt;0,"OK","CHECK"))</f>
        <v/>
      </c>
      <c r="G300" s="24" t="n"/>
      <c r="H300" s="24" t="n"/>
      <c r="I300" s="24" t="n"/>
      <c r="J300" s="24" t="n"/>
      <c r="K300" s="24" t="n"/>
      <c r="L300" s="26" t="n"/>
      <c r="M300" s="27">
        <f>IF(L300="","",IF(K300="GST 10%",ROUND(L300*set_GSTRate,2),0))</f>
        <v/>
      </c>
      <c r="N300" s="27">
        <f>IF(L300="","",L300+M300)</f>
        <v/>
      </c>
      <c r="O300" s="24" t="n"/>
      <c r="P300" s="24" t="n"/>
      <c r="Q300" s="24" t="n"/>
      <c r="R300" s="22" t="n"/>
      <c r="S300" s="22" t="n"/>
      <c r="T300" s="24" t="n"/>
      <c r="U300" s="24" t="n"/>
      <c r="V300" s="25">
        <f>IF(COUNTA(A300,D300,C300,L300)=0,"",IF(A300="","No date - sits outside every month",IF(E300="","No job number",IF(F300="CHECK","Job number is not in the Xero job list",IF(I300="","No cost centre",IF(AND(P300="Y",C300=""),"Marked posted to Xero but has no invoice number",IF(AND(L300&lt;&gt;"",K300=""),"No tax code",IF(AND(L300&lt;&gt;"",O300=""),"No revenue GL code",""))))))))</f>
        <v/>
      </c>
      <c r="W300" s="25">
        <f>IF(E300="","",IFERROR(INDEX(lst_JobName,MATCH(E300&amp;"",lst_Jobs,0)),""))</f>
        <v/>
      </c>
      <c r="X300" s="28">
        <f>IF(E300="","",COUNTIFS(tbl_Finance[Job Number],E300&amp;"",tbl_Finance[Ex GST],"&lt;&gt;"))</f>
        <v/>
      </c>
      <c r="Y300" s="27">
        <f>IF(E300="","",SUMIFS(tbl_Finance[Ex GST],tbl_Finance[Job Number],E300&amp;""))</f>
        <v/>
      </c>
      <c r="Z300" s="27">
        <f>IF(E300="","",SUMIFS(tbl_Finance[Ex GST],tbl_Finance[Job Number],E300&amp;"",tbl_Finance[Xero Invoice No],"&lt;&gt;"))</f>
        <v/>
      </c>
      <c r="AA300" s="27">
        <f>IF(E300="","",Y300-Z300)</f>
        <v/>
      </c>
      <c r="AB300" s="25">
        <f>IF(E300="","",IF(H300="Onsite",IFERROR(INDEX(tbl_Onsite[Qwilr Quote],MATCH(E300&amp;"",tbl_Onsite[Job Number],0)),""),IF(H300="Production",IFERROR(IF(INDEX(tbl_Production[Current RMS No],MATCH(E300&amp;"",tbl_Production[Job Number],0))="",INDEX(tbl_Production[Qwilr Quote],MATCH(E300&amp;"",tbl_Production[Job Number],0)),INDEX(tbl_Production[Current RMS No],MATCH(E300&amp;"",tbl_Production[Job Number],0))),""),IF(H300="Consulting",IFERROR(INDEX(tbl_Consulting[Qwilr Quote],MATCH(E300&amp;"",tbl_Consulting[Job Number],0)),""),""))))</f>
        <v/>
      </c>
      <c r="AC300" s="25">
        <f>IF(AB300="","",IF(AND(LEFT(AB300,4)&lt;&gt;"http",IF(H300="Production",set_RMSBase,set_QwilrBase)=""),"",HYPERLINK(IF(LEFT(AB300,4)="http",AB300,IF(H300="Production",set_RMSBase,set_QwilrBase)&amp;AB300),"Open")))</f>
        <v/>
      </c>
      <c r="AD300" s="27">
        <f>IF(E300="","",IF(H300="Production",IFERROR(INDEX(tbl_Production[Total Expense],MATCH(E300&amp;"",tbl_Production[Job Number],0)),0),IF(H300="Consulting",IFERROR(INDEX(tbl_Consulting[Total Expense],MATCH(E300&amp;"",tbl_Consulting[Job Number],0)),0),0)))</f>
        <v/>
      </c>
      <c r="AE300" s="27">
        <f>IF(E300="","",Y300-N(AD300))</f>
        <v/>
      </c>
      <c r="AF300" s="29">
        <f>IFERROR(AE300/Y300,"")</f>
        <v/>
      </c>
      <c r="AG300" s="25">
        <f>IF(E300="","",IF(H300="Onsite",IFERROR(INDEX(tbl_Onsite[Notes],MATCH(E300&amp;"",tbl_Onsite[Job Number],0)),""),IF(H300="Production",IFERROR(INDEX(tbl_Production[Notes],MATCH(E300&amp;"",tbl_Production[Job Number],0)),""),IF(H300="Consulting",IFERROR(INDEX(tbl_Consulting[Notes],MATCH(E300&amp;"",tbl_Consulting[Job Number],0)),""),""))))</f>
        <v/>
      </c>
    </row>
    <row r="301" ht="15" customHeight="1">
      <c r="A301" s="22" t="n"/>
      <c r="B301" s="23">
        <f>IF(A301="","",EOMONTH(A301,0))</f>
        <v/>
      </c>
      <c r="C301" s="24" t="n"/>
      <c r="D301" s="24" t="n"/>
      <c r="E301" s="24" t="n"/>
      <c r="F301" s="25">
        <f>IF(E301="","",IF(COUNTIF(lst_Jobs,E301&amp;"")&gt;0,"OK","CHECK"))</f>
        <v/>
      </c>
      <c r="G301" s="24" t="n"/>
      <c r="H301" s="24" t="n"/>
      <c r="I301" s="24" t="n"/>
      <c r="J301" s="24" t="n"/>
      <c r="K301" s="24" t="n"/>
      <c r="L301" s="26" t="n"/>
      <c r="M301" s="27">
        <f>IF(L301="","",IF(K301="GST 10%",ROUND(L301*set_GSTRate,2),0))</f>
        <v/>
      </c>
      <c r="N301" s="27">
        <f>IF(L301="","",L301+M301)</f>
        <v/>
      </c>
      <c r="O301" s="24" t="n"/>
      <c r="P301" s="24" t="n"/>
      <c r="Q301" s="24" t="n"/>
      <c r="R301" s="22" t="n"/>
      <c r="S301" s="22" t="n"/>
      <c r="T301" s="24" t="n"/>
      <c r="U301" s="24" t="n"/>
      <c r="V301" s="25">
        <f>IF(COUNTA(A301,D301,C301,L301)=0,"",IF(A301="","No date - sits outside every month",IF(E301="","No job number",IF(F301="CHECK","Job number is not in the Xero job list",IF(I301="","No cost centre",IF(AND(P301="Y",C301=""),"Marked posted to Xero but has no invoice number",IF(AND(L301&lt;&gt;"",K301=""),"No tax code",IF(AND(L301&lt;&gt;"",O301=""),"No revenue GL code",""))))))))</f>
        <v/>
      </c>
      <c r="W301" s="25">
        <f>IF(E301="","",IFERROR(INDEX(lst_JobName,MATCH(E301&amp;"",lst_Jobs,0)),""))</f>
        <v/>
      </c>
      <c r="X301" s="28">
        <f>IF(E301="","",COUNTIFS(tbl_Finance[Job Number],E301&amp;"",tbl_Finance[Ex GST],"&lt;&gt;"))</f>
        <v/>
      </c>
      <c r="Y301" s="27">
        <f>IF(E301="","",SUMIFS(tbl_Finance[Ex GST],tbl_Finance[Job Number],E301&amp;""))</f>
        <v/>
      </c>
      <c r="Z301" s="27">
        <f>IF(E301="","",SUMIFS(tbl_Finance[Ex GST],tbl_Finance[Job Number],E301&amp;"",tbl_Finance[Xero Invoice No],"&lt;&gt;"))</f>
        <v/>
      </c>
      <c r="AA301" s="27">
        <f>IF(E301="","",Y301-Z301)</f>
        <v/>
      </c>
      <c r="AB301" s="25">
        <f>IF(E301="","",IF(H301="Onsite",IFERROR(INDEX(tbl_Onsite[Qwilr Quote],MATCH(E301&amp;"",tbl_Onsite[Job Number],0)),""),IF(H301="Production",IFERROR(IF(INDEX(tbl_Production[Current RMS No],MATCH(E301&amp;"",tbl_Production[Job Number],0))="",INDEX(tbl_Production[Qwilr Quote],MATCH(E301&amp;"",tbl_Production[Job Number],0)),INDEX(tbl_Production[Current RMS No],MATCH(E301&amp;"",tbl_Production[Job Number],0))),""),IF(H301="Consulting",IFERROR(INDEX(tbl_Consulting[Qwilr Quote],MATCH(E301&amp;"",tbl_Consulting[Job Number],0)),""),""))))</f>
        <v/>
      </c>
      <c r="AC301" s="25">
        <f>IF(AB301="","",IF(AND(LEFT(AB301,4)&lt;&gt;"http",IF(H301="Production",set_RMSBase,set_QwilrBase)=""),"",HYPERLINK(IF(LEFT(AB301,4)="http",AB301,IF(H301="Production",set_RMSBase,set_QwilrBase)&amp;AB301),"Open")))</f>
        <v/>
      </c>
      <c r="AD301" s="27">
        <f>IF(E301="","",IF(H301="Production",IFERROR(INDEX(tbl_Production[Total Expense],MATCH(E301&amp;"",tbl_Production[Job Number],0)),0),IF(H301="Consulting",IFERROR(INDEX(tbl_Consulting[Total Expense],MATCH(E301&amp;"",tbl_Consulting[Job Number],0)),0),0)))</f>
        <v/>
      </c>
      <c r="AE301" s="27">
        <f>IF(E301="","",Y301-N(AD301))</f>
        <v/>
      </c>
      <c r="AF301" s="29">
        <f>IFERROR(AE301/Y301,"")</f>
        <v/>
      </c>
      <c r="AG301" s="25">
        <f>IF(E301="","",IF(H301="Onsite",IFERROR(INDEX(tbl_Onsite[Notes],MATCH(E301&amp;"",tbl_Onsite[Job Number],0)),""),IF(H301="Production",IFERROR(INDEX(tbl_Production[Notes],MATCH(E301&amp;"",tbl_Production[Job Number],0)),""),IF(H301="Consulting",IFERROR(INDEX(tbl_Consulting[Notes],MATCH(E301&amp;"",tbl_Consulting[Job Number],0)),""),""))))</f>
        <v/>
      </c>
    </row>
    <row r="302" ht="15" customHeight="1">
      <c r="A302" s="22" t="n"/>
      <c r="B302" s="23">
        <f>IF(A302="","",EOMONTH(A302,0))</f>
        <v/>
      </c>
      <c r="C302" s="24" t="n"/>
      <c r="D302" s="24" t="n"/>
      <c r="E302" s="24" t="n"/>
      <c r="F302" s="25">
        <f>IF(E302="","",IF(COUNTIF(lst_Jobs,E302&amp;"")&gt;0,"OK","CHECK"))</f>
        <v/>
      </c>
      <c r="G302" s="24" t="n"/>
      <c r="H302" s="24" t="n"/>
      <c r="I302" s="24" t="n"/>
      <c r="J302" s="24" t="n"/>
      <c r="K302" s="24" t="n"/>
      <c r="L302" s="26" t="n"/>
      <c r="M302" s="27">
        <f>IF(L302="","",IF(K302="GST 10%",ROUND(L302*set_GSTRate,2),0))</f>
        <v/>
      </c>
      <c r="N302" s="27">
        <f>IF(L302="","",L302+M302)</f>
        <v/>
      </c>
      <c r="O302" s="24" t="n"/>
      <c r="P302" s="24" t="n"/>
      <c r="Q302" s="24" t="n"/>
      <c r="R302" s="22" t="n"/>
      <c r="S302" s="22" t="n"/>
      <c r="T302" s="24" t="n"/>
      <c r="U302" s="24" t="n"/>
      <c r="V302" s="25">
        <f>IF(COUNTA(A302,D302,C302,L302)=0,"",IF(A302="","No date - sits outside every month",IF(E302="","No job number",IF(F302="CHECK","Job number is not in the Xero job list",IF(I302="","No cost centre",IF(AND(P302="Y",C302=""),"Marked posted to Xero but has no invoice number",IF(AND(L302&lt;&gt;"",K302=""),"No tax code",IF(AND(L302&lt;&gt;"",O302=""),"No revenue GL code",""))))))))</f>
        <v/>
      </c>
      <c r="W302" s="25">
        <f>IF(E302="","",IFERROR(INDEX(lst_JobName,MATCH(E302&amp;"",lst_Jobs,0)),""))</f>
        <v/>
      </c>
      <c r="X302" s="28">
        <f>IF(E302="","",COUNTIFS(tbl_Finance[Job Number],E302&amp;"",tbl_Finance[Ex GST],"&lt;&gt;"))</f>
        <v/>
      </c>
      <c r="Y302" s="27">
        <f>IF(E302="","",SUMIFS(tbl_Finance[Ex GST],tbl_Finance[Job Number],E302&amp;""))</f>
        <v/>
      </c>
      <c r="Z302" s="27">
        <f>IF(E302="","",SUMIFS(tbl_Finance[Ex GST],tbl_Finance[Job Number],E302&amp;"",tbl_Finance[Xero Invoice No],"&lt;&gt;"))</f>
        <v/>
      </c>
      <c r="AA302" s="27">
        <f>IF(E302="","",Y302-Z302)</f>
        <v/>
      </c>
      <c r="AB302" s="25">
        <f>IF(E302="","",IF(H302="Onsite",IFERROR(INDEX(tbl_Onsite[Qwilr Quote],MATCH(E302&amp;"",tbl_Onsite[Job Number],0)),""),IF(H302="Production",IFERROR(IF(INDEX(tbl_Production[Current RMS No],MATCH(E302&amp;"",tbl_Production[Job Number],0))="",INDEX(tbl_Production[Qwilr Quote],MATCH(E302&amp;"",tbl_Production[Job Number],0)),INDEX(tbl_Production[Current RMS No],MATCH(E302&amp;"",tbl_Production[Job Number],0))),""),IF(H302="Consulting",IFERROR(INDEX(tbl_Consulting[Qwilr Quote],MATCH(E302&amp;"",tbl_Consulting[Job Number],0)),""),""))))</f>
        <v/>
      </c>
      <c r="AC302" s="25">
        <f>IF(AB302="","",IF(AND(LEFT(AB302,4)&lt;&gt;"http",IF(H302="Production",set_RMSBase,set_QwilrBase)=""),"",HYPERLINK(IF(LEFT(AB302,4)="http",AB302,IF(H302="Production",set_RMSBase,set_QwilrBase)&amp;AB302),"Open")))</f>
        <v/>
      </c>
      <c r="AD302" s="27">
        <f>IF(E302="","",IF(H302="Production",IFERROR(INDEX(tbl_Production[Total Expense],MATCH(E302&amp;"",tbl_Production[Job Number],0)),0),IF(H302="Consulting",IFERROR(INDEX(tbl_Consulting[Total Expense],MATCH(E302&amp;"",tbl_Consulting[Job Number],0)),0),0)))</f>
        <v/>
      </c>
      <c r="AE302" s="27">
        <f>IF(E302="","",Y302-N(AD302))</f>
        <v/>
      </c>
      <c r="AF302" s="29">
        <f>IFERROR(AE302/Y302,"")</f>
        <v/>
      </c>
      <c r="AG302" s="25">
        <f>IF(E302="","",IF(H302="Onsite",IFERROR(INDEX(tbl_Onsite[Notes],MATCH(E302&amp;"",tbl_Onsite[Job Number],0)),""),IF(H302="Production",IFERROR(INDEX(tbl_Production[Notes],MATCH(E302&amp;"",tbl_Production[Job Number],0)),""),IF(H302="Consulting",IFERROR(INDEX(tbl_Consulting[Notes],MATCH(E302&amp;"",tbl_Consulting[Job Number],0)),""),""))))</f>
        <v/>
      </c>
    </row>
    <row r="303" ht="15" customHeight="1">
      <c r="A303" s="22" t="n"/>
      <c r="B303" s="23">
        <f>IF(A303="","",EOMONTH(A303,0))</f>
        <v/>
      </c>
      <c r="C303" s="24" t="n"/>
      <c r="D303" s="24" t="n"/>
      <c r="E303" s="24" t="n"/>
      <c r="F303" s="25">
        <f>IF(E303="","",IF(COUNTIF(lst_Jobs,E303&amp;"")&gt;0,"OK","CHECK"))</f>
        <v/>
      </c>
      <c r="G303" s="24" t="n"/>
      <c r="H303" s="24" t="n"/>
      <c r="I303" s="24" t="n"/>
      <c r="J303" s="24" t="n"/>
      <c r="K303" s="24" t="n"/>
      <c r="L303" s="26" t="n"/>
      <c r="M303" s="27">
        <f>IF(L303="","",IF(K303="GST 10%",ROUND(L303*set_GSTRate,2),0))</f>
        <v/>
      </c>
      <c r="N303" s="27">
        <f>IF(L303="","",L303+M303)</f>
        <v/>
      </c>
      <c r="O303" s="24" t="n"/>
      <c r="P303" s="24" t="n"/>
      <c r="Q303" s="24" t="n"/>
      <c r="R303" s="22" t="n"/>
      <c r="S303" s="22" t="n"/>
      <c r="T303" s="24" t="n"/>
      <c r="U303" s="24" t="n"/>
      <c r="V303" s="25">
        <f>IF(COUNTA(A303,D303,C303,L303)=0,"",IF(A303="","No date - sits outside every month",IF(E303="","No job number",IF(F303="CHECK","Job number is not in the Xero job list",IF(I303="","No cost centre",IF(AND(P303="Y",C303=""),"Marked posted to Xero but has no invoice number",IF(AND(L303&lt;&gt;"",K303=""),"No tax code",IF(AND(L303&lt;&gt;"",O303=""),"No revenue GL code",""))))))))</f>
        <v/>
      </c>
      <c r="W303" s="25">
        <f>IF(E303="","",IFERROR(INDEX(lst_JobName,MATCH(E303&amp;"",lst_Jobs,0)),""))</f>
        <v/>
      </c>
      <c r="X303" s="28">
        <f>IF(E303="","",COUNTIFS(tbl_Finance[Job Number],E303&amp;"",tbl_Finance[Ex GST],"&lt;&gt;"))</f>
        <v/>
      </c>
      <c r="Y303" s="27">
        <f>IF(E303="","",SUMIFS(tbl_Finance[Ex GST],tbl_Finance[Job Number],E303&amp;""))</f>
        <v/>
      </c>
      <c r="Z303" s="27">
        <f>IF(E303="","",SUMIFS(tbl_Finance[Ex GST],tbl_Finance[Job Number],E303&amp;"",tbl_Finance[Xero Invoice No],"&lt;&gt;"))</f>
        <v/>
      </c>
      <c r="AA303" s="27">
        <f>IF(E303="","",Y303-Z303)</f>
        <v/>
      </c>
      <c r="AB303" s="25">
        <f>IF(E303="","",IF(H303="Onsite",IFERROR(INDEX(tbl_Onsite[Qwilr Quote],MATCH(E303&amp;"",tbl_Onsite[Job Number],0)),""),IF(H303="Production",IFERROR(IF(INDEX(tbl_Production[Current RMS No],MATCH(E303&amp;"",tbl_Production[Job Number],0))="",INDEX(tbl_Production[Qwilr Quote],MATCH(E303&amp;"",tbl_Production[Job Number],0)),INDEX(tbl_Production[Current RMS No],MATCH(E303&amp;"",tbl_Production[Job Number],0))),""),IF(H303="Consulting",IFERROR(INDEX(tbl_Consulting[Qwilr Quote],MATCH(E303&amp;"",tbl_Consulting[Job Number],0)),""),""))))</f>
        <v/>
      </c>
      <c r="AC303" s="25">
        <f>IF(AB303="","",IF(AND(LEFT(AB303,4)&lt;&gt;"http",IF(H303="Production",set_RMSBase,set_QwilrBase)=""),"",HYPERLINK(IF(LEFT(AB303,4)="http",AB303,IF(H303="Production",set_RMSBase,set_QwilrBase)&amp;AB303),"Open")))</f>
        <v/>
      </c>
      <c r="AD303" s="27">
        <f>IF(E303="","",IF(H303="Production",IFERROR(INDEX(tbl_Production[Total Expense],MATCH(E303&amp;"",tbl_Production[Job Number],0)),0),IF(H303="Consulting",IFERROR(INDEX(tbl_Consulting[Total Expense],MATCH(E303&amp;"",tbl_Consulting[Job Number],0)),0),0)))</f>
        <v/>
      </c>
      <c r="AE303" s="27">
        <f>IF(E303="","",Y303-N(AD303))</f>
        <v/>
      </c>
      <c r="AF303" s="29">
        <f>IFERROR(AE303/Y303,"")</f>
        <v/>
      </c>
      <c r="AG303" s="25">
        <f>IF(E303="","",IF(H303="Onsite",IFERROR(INDEX(tbl_Onsite[Notes],MATCH(E303&amp;"",tbl_Onsite[Job Number],0)),""),IF(H303="Production",IFERROR(INDEX(tbl_Production[Notes],MATCH(E303&amp;"",tbl_Production[Job Number],0)),""),IF(H303="Consulting",IFERROR(INDEX(tbl_Consulting[Notes],MATCH(E303&amp;"",tbl_Consulting[Job Number],0)),""),""))))</f>
        <v/>
      </c>
    </row>
    <row r="304" ht="15" customHeight="1">
      <c r="A304" s="22" t="n"/>
      <c r="B304" s="23">
        <f>IF(A304="","",EOMONTH(A304,0))</f>
        <v/>
      </c>
      <c r="C304" s="24" t="n"/>
      <c r="D304" s="24" t="n"/>
      <c r="E304" s="24" t="n"/>
      <c r="F304" s="25">
        <f>IF(E304="","",IF(COUNTIF(lst_Jobs,E304&amp;"")&gt;0,"OK","CHECK"))</f>
        <v/>
      </c>
      <c r="G304" s="24" t="n"/>
      <c r="H304" s="24" t="n"/>
      <c r="I304" s="24" t="n"/>
      <c r="J304" s="24" t="n"/>
      <c r="K304" s="24" t="n"/>
      <c r="L304" s="26" t="n"/>
      <c r="M304" s="27">
        <f>IF(L304="","",IF(K304="GST 10%",ROUND(L304*set_GSTRate,2),0))</f>
        <v/>
      </c>
      <c r="N304" s="27">
        <f>IF(L304="","",L304+M304)</f>
        <v/>
      </c>
      <c r="O304" s="24" t="n"/>
      <c r="P304" s="24" t="n"/>
      <c r="Q304" s="24" t="n"/>
      <c r="R304" s="22" t="n"/>
      <c r="S304" s="22" t="n"/>
      <c r="T304" s="24" t="n"/>
      <c r="U304" s="24" t="n"/>
      <c r="V304" s="25">
        <f>IF(COUNTA(A304,D304,C304,L304)=0,"",IF(A304="","No date - sits outside every month",IF(E304="","No job number",IF(F304="CHECK","Job number is not in the Xero job list",IF(I304="","No cost centre",IF(AND(P304="Y",C304=""),"Marked posted to Xero but has no invoice number",IF(AND(L304&lt;&gt;"",K304=""),"No tax code",IF(AND(L304&lt;&gt;"",O304=""),"No revenue GL code",""))))))))</f>
        <v/>
      </c>
      <c r="W304" s="25">
        <f>IF(E304="","",IFERROR(INDEX(lst_JobName,MATCH(E304&amp;"",lst_Jobs,0)),""))</f>
        <v/>
      </c>
      <c r="X304" s="28">
        <f>IF(E304="","",COUNTIFS(tbl_Finance[Job Number],E304&amp;"",tbl_Finance[Ex GST],"&lt;&gt;"))</f>
        <v/>
      </c>
      <c r="Y304" s="27">
        <f>IF(E304="","",SUMIFS(tbl_Finance[Ex GST],tbl_Finance[Job Number],E304&amp;""))</f>
        <v/>
      </c>
      <c r="Z304" s="27">
        <f>IF(E304="","",SUMIFS(tbl_Finance[Ex GST],tbl_Finance[Job Number],E304&amp;"",tbl_Finance[Xero Invoice No],"&lt;&gt;"))</f>
        <v/>
      </c>
      <c r="AA304" s="27">
        <f>IF(E304="","",Y304-Z304)</f>
        <v/>
      </c>
      <c r="AB304" s="25">
        <f>IF(E304="","",IF(H304="Onsite",IFERROR(INDEX(tbl_Onsite[Qwilr Quote],MATCH(E304&amp;"",tbl_Onsite[Job Number],0)),""),IF(H304="Production",IFERROR(IF(INDEX(tbl_Production[Current RMS No],MATCH(E304&amp;"",tbl_Production[Job Number],0))="",INDEX(tbl_Production[Qwilr Quote],MATCH(E304&amp;"",tbl_Production[Job Number],0)),INDEX(tbl_Production[Current RMS No],MATCH(E304&amp;"",tbl_Production[Job Number],0))),""),IF(H304="Consulting",IFERROR(INDEX(tbl_Consulting[Qwilr Quote],MATCH(E304&amp;"",tbl_Consulting[Job Number],0)),""),""))))</f>
        <v/>
      </c>
      <c r="AC304" s="25">
        <f>IF(AB304="","",IF(AND(LEFT(AB304,4)&lt;&gt;"http",IF(H304="Production",set_RMSBase,set_QwilrBase)=""),"",HYPERLINK(IF(LEFT(AB304,4)="http",AB304,IF(H304="Production",set_RMSBase,set_QwilrBase)&amp;AB304),"Open")))</f>
        <v/>
      </c>
      <c r="AD304" s="27">
        <f>IF(E304="","",IF(H304="Production",IFERROR(INDEX(tbl_Production[Total Expense],MATCH(E304&amp;"",tbl_Production[Job Number],0)),0),IF(H304="Consulting",IFERROR(INDEX(tbl_Consulting[Total Expense],MATCH(E304&amp;"",tbl_Consulting[Job Number],0)),0),0)))</f>
        <v/>
      </c>
      <c r="AE304" s="27">
        <f>IF(E304="","",Y304-N(AD304))</f>
        <v/>
      </c>
      <c r="AF304" s="29">
        <f>IFERROR(AE304/Y304,"")</f>
        <v/>
      </c>
      <c r="AG304" s="25">
        <f>IF(E304="","",IF(H304="Onsite",IFERROR(INDEX(tbl_Onsite[Notes],MATCH(E304&amp;"",tbl_Onsite[Job Number],0)),""),IF(H304="Production",IFERROR(INDEX(tbl_Production[Notes],MATCH(E304&amp;"",tbl_Production[Job Number],0)),""),IF(H304="Consulting",IFERROR(INDEX(tbl_Consulting[Notes],MATCH(E304&amp;"",tbl_Consulting[Job Number],0)),""),""))))</f>
        <v/>
      </c>
    </row>
    <row r="305" ht="15" customHeight="1">
      <c r="A305" s="22" t="n"/>
      <c r="B305" s="23">
        <f>IF(A305="","",EOMONTH(A305,0))</f>
        <v/>
      </c>
      <c r="C305" s="24" t="n"/>
      <c r="D305" s="24" t="n"/>
      <c r="E305" s="24" t="n"/>
      <c r="F305" s="25">
        <f>IF(E305="","",IF(COUNTIF(lst_Jobs,E305&amp;"")&gt;0,"OK","CHECK"))</f>
        <v/>
      </c>
      <c r="G305" s="24" t="n"/>
      <c r="H305" s="24" t="n"/>
      <c r="I305" s="24" t="n"/>
      <c r="J305" s="24" t="n"/>
      <c r="K305" s="24" t="n"/>
      <c r="L305" s="26" t="n"/>
      <c r="M305" s="27">
        <f>IF(L305="","",IF(K305="GST 10%",ROUND(L305*set_GSTRate,2),0))</f>
        <v/>
      </c>
      <c r="N305" s="27">
        <f>IF(L305="","",L305+M305)</f>
        <v/>
      </c>
      <c r="O305" s="24" t="n"/>
      <c r="P305" s="24" t="n"/>
      <c r="Q305" s="24" t="n"/>
      <c r="R305" s="22" t="n"/>
      <c r="S305" s="22" t="n"/>
      <c r="T305" s="24" t="n"/>
      <c r="U305" s="24" t="n"/>
      <c r="V305" s="25">
        <f>IF(COUNTA(A305,D305,C305,L305)=0,"",IF(A305="","No date - sits outside every month",IF(E305="","No job number",IF(F305="CHECK","Job number is not in the Xero job list",IF(I305="","No cost centre",IF(AND(P305="Y",C305=""),"Marked posted to Xero but has no invoice number",IF(AND(L305&lt;&gt;"",K305=""),"No tax code",IF(AND(L305&lt;&gt;"",O305=""),"No revenue GL code",""))))))))</f>
        <v/>
      </c>
      <c r="W305" s="25">
        <f>IF(E305="","",IFERROR(INDEX(lst_JobName,MATCH(E305&amp;"",lst_Jobs,0)),""))</f>
        <v/>
      </c>
      <c r="X305" s="28">
        <f>IF(E305="","",COUNTIFS(tbl_Finance[Job Number],E305&amp;"",tbl_Finance[Ex GST],"&lt;&gt;"))</f>
        <v/>
      </c>
      <c r="Y305" s="27">
        <f>IF(E305="","",SUMIFS(tbl_Finance[Ex GST],tbl_Finance[Job Number],E305&amp;""))</f>
        <v/>
      </c>
      <c r="Z305" s="27">
        <f>IF(E305="","",SUMIFS(tbl_Finance[Ex GST],tbl_Finance[Job Number],E305&amp;"",tbl_Finance[Xero Invoice No],"&lt;&gt;"))</f>
        <v/>
      </c>
      <c r="AA305" s="27">
        <f>IF(E305="","",Y305-Z305)</f>
        <v/>
      </c>
      <c r="AB305" s="25">
        <f>IF(E305="","",IF(H305="Onsite",IFERROR(INDEX(tbl_Onsite[Qwilr Quote],MATCH(E305&amp;"",tbl_Onsite[Job Number],0)),""),IF(H305="Production",IFERROR(IF(INDEX(tbl_Production[Current RMS No],MATCH(E305&amp;"",tbl_Production[Job Number],0))="",INDEX(tbl_Production[Qwilr Quote],MATCH(E305&amp;"",tbl_Production[Job Number],0)),INDEX(tbl_Production[Current RMS No],MATCH(E305&amp;"",tbl_Production[Job Number],0))),""),IF(H305="Consulting",IFERROR(INDEX(tbl_Consulting[Qwilr Quote],MATCH(E305&amp;"",tbl_Consulting[Job Number],0)),""),""))))</f>
        <v/>
      </c>
      <c r="AC305" s="25">
        <f>IF(AB305="","",IF(AND(LEFT(AB305,4)&lt;&gt;"http",IF(H305="Production",set_RMSBase,set_QwilrBase)=""),"",HYPERLINK(IF(LEFT(AB305,4)="http",AB305,IF(H305="Production",set_RMSBase,set_QwilrBase)&amp;AB305),"Open")))</f>
        <v/>
      </c>
      <c r="AD305" s="27">
        <f>IF(E305="","",IF(H305="Production",IFERROR(INDEX(tbl_Production[Total Expense],MATCH(E305&amp;"",tbl_Production[Job Number],0)),0),IF(H305="Consulting",IFERROR(INDEX(tbl_Consulting[Total Expense],MATCH(E305&amp;"",tbl_Consulting[Job Number],0)),0),0)))</f>
        <v/>
      </c>
      <c r="AE305" s="27">
        <f>IF(E305="","",Y305-N(AD305))</f>
        <v/>
      </c>
      <c r="AF305" s="29">
        <f>IFERROR(AE305/Y305,"")</f>
        <v/>
      </c>
      <c r="AG305" s="25">
        <f>IF(E305="","",IF(H305="Onsite",IFERROR(INDEX(tbl_Onsite[Notes],MATCH(E305&amp;"",tbl_Onsite[Job Number],0)),""),IF(H305="Production",IFERROR(INDEX(tbl_Production[Notes],MATCH(E305&amp;"",tbl_Production[Job Number],0)),""),IF(H305="Consulting",IFERROR(INDEX(tbl_Consulting[Notes],MATCH(E305&amp;"",tbl_Consulting[Job Number],0)),""),""))))</f>
        <v/>
      </c>
    </row>
    <row r="306" ht="15" customHeight="1">
      <c r="A306" s="22" t="n"/>
      <c r="B306" s="23">
        <f>IF(A306="","",EOMONTH(A306,0))</f>
        <v/>
      </c>
      <c r="C306" s="24" t="n"/>
      <c r="D306" s="24" t="n"/>
      <c r="E306" s="24" t="n"/>
      <c r="F306" s="25">
        <f>IF(E306="","",IF(COUNTIF(lst_Jobs,E306&amp;"")&gt;0,"OK","CHECK"))</f>
        <v/>
      </c>
      <c r="G306" s="24" t="n"/>
      <c r="H306" s="24" t="n"/>
      <c r="I306" s="24" t="n"/>
      <c r="J306" s="24" t="n"/>
      <c r="K306" s="24" t="n"/>
      <c r="L306" s="26" t="n"/>
      <c r="M306" s="27">
        <f>IF(L306="","",IF(K306="GST 10%",ROUND(L306*set_GSTRate,2),0))</f>
        <v/>
      </c>
      <c r="N306" s="27">
        <f>IF(L306="","",L306+M306)</f>
        <v/>
      </c>
      <c r="O306" s="24" t="n"/>
      <c r="P306" s="24" t="n"/>
      <c r="Q306" s="24" t="n"/>
      <c r="R306" s="22" t="n"/>
      <c r="S306" s="22" t="n"/>
      <c r="T306" s="24" t="n"/>
      <c r="U306" s="24" t="n"/>
      <c r="V306" s="25">
        <f>IF(COUNTA(A306,D306,C306,L306)=0,"",IF(A306="","No date - sits outside every month",IF(E306="","No job number",IF(F306="CHECK","Job number is not in the Xero job list",IF(I306="","No cost centre",IF(AND(P306="Y",C306=""),"Marked posted to Xero but has no invoice number",IF(AND(L306&lt;&gt;"",K306=""),"No tax code",IF(AND(L306&lt;&gt;"",O306=""),"No revenue GL code",""))))))))</f>
        <v/>
      </c>
      <c r="W306" s="25">
        <f>IF(E306="","",IFERROR(INDEX(lst_JobName,MATCH(E306&amp;"",lst_Jobs,0)),""))</f>
        <v/>
      </c>
      <c r="X306" s="28">
        <f>IF(E306="","",COUNTIFS(tbl_Finance[Job Number],E306&amp;"",tbl_Finance[Ex GST],"&lt;&gt;"))</f>
        <v/>
      </c>
      <c r="Y306" s="27">
        <f>IF(E306="","",SUMIFS(tbl_Finance[Ex GST],tbl_Finance[Job Number],E306&amp;""))</f>
        <v/>
      </c>
      <c r="Z306" s="27">
        <f>IF(E306="","",SUMIFS(tbl_Finance[Ex GST],tbl_Finance[Job Number],E306&amp;"",tbl_Finance[Xero Invoice No],"&lt;&gt;"))</f>
        <v/>
      </c>
      <c r="AA306" s="27">
        <f>IF(E306="","",Y306-Z306)</f>
        <v/>
      </c>
      <c r="AB306" s="25">
        <f>IF(E306="","",IF(H306="Onsite",IFERROR(INDEX(tbl_Onsite[Qwilr Quote],MATCH(E306&amp;"",tbl_Onsite[Job Number],0)),""),IF(H306="Production",IFERROR(IF(INDEX(tbl_Production[Current RMS No],MATCH(E306&amp;"",tbl_Production[Job Number],0))="",INDEX(tbl_Production[Qwilr Quote],MATCH(E306&amp;"",tbl_Production[Job Number],0)),INDEX(tbl_Production[Current RMS No],MATCH(E306&amp;"",tbl_Production[Job Number],0))),""),IF(H306="Consulting",IFERROR(INDEX(tbl_Consulting[Qwilr Quote],MATCH(E306&amp;"",tbl_Consulting[Job Number],0)),""),""))))</f>
        <v/>
      </c>
      <c r="AC306" s="25">
        <f>IF(AB306="","",IF(AND(LEFT(AB306,4)&lt;&gt;"http",IF(H306="Production",set_RMSBase,set_QwilrBase)=""),"",HYPERLINK(IF(LEFT(AB306,4)="http",AB306,IF(H306="Production",set_RMSBase,set_QwilrBase)&amp;AB306),"Open")))</f>
        <v/>
      </c>
      <c r="AD306" s="27">
        <f>IF(E306="","",IF(H306="Production",IFERROR(INDEX(tbl_Production[Total Expense],MATCH(E306&amp;"",tbl_Production[Job Number],0)),0),IF(H306="Consulting",IFERROR(INDEX(tbl_Consulting[Total Expense],MATCH(E306&amp;"",tbl_Consulting[Job Number],0)),0),0)))</f>
        <v/>
      </c>
      <c r="AE306" s="27">
        <f>IF(E306="","",Y306-N(AD306))</f>
        <v/>
      </c>
      <c r="AF306" s="29">
        <f>IFERROR(AE306/Y306,"")</f>
        <v/>
      </c>
      <c r="AG306" s="25">
        <f>IF(E306="","",IF(H306="Onsite",IFERROR(INDEX(tbl_Onsite[Notes],MATCH(E306&amp;"",tbl_Onsite[Job Number],0)),""),IF(H306="Production",IFERROR(INDEX(tbl_Production[Notes],MATCH(E306&amp;"",tbl_Production[Job Number],0)),""),IF(H306="Consulting",IFERROR(INDEX(tbl_Consulting[Notes],MATCH(E306&amp;"",tbl_Consulting[Job Number],0)),""),""))))</f>
        <v/>
      </c>
    </row>
    <row r="307" ht="15" customHeight="1">
      <c r="A307" s="22" t="n"/>
      <c r="B307" s="23">
        <f>IF(A307="","",EOMONTH(A307,0))</f>
        <v/>
      </c>
      <c r="C307" s="24" t="n"/>
      <c r="D307" s="24" t="n"/>
      <c r="E307" s="24" t="n"/>
      <c r="F307" s="25">
        <f>IF(E307="","",IF(COUNTIF(lst_Jobs,E307&amp;"")&gt;0,"OK","CHECK"))</f>
        <v/>
      </c>
      <c r="G307" s="24" t="n"/>
      <c r="H307" s="24" t="n"/>
      <c r="I307" s="24" t="n"/>
      <c r="J307" s="24" t="n"/>
      <c r="K307" s="24" t="n"/>
      <c r="L307" s="26" t="n"/>
      <c r="M307" s="27">
        <f>IF(L307="","",IF(K307="GST 10%",ROUND(L307*set_GSTRate,2),0))</f>
        <v/>
      </c>
      <c r="N307" s="27">
        <f>IF(L307="","",L307+M307)</f>
        <v/>
      </c>
      <c r="O307" s="24" t="n"/>
      <c r="P307" s="24" t="n"/>
      <c r="Q307" s="24" t="n"/>
      <c r="R307" s="22" t="n"/>
      <c r="S307" s="22" t="n"/>
      <c r="T307" s="24" t="n"/>
      <c r="U307" s="24" t="n"/>
      <c r="V307" s="25">
        <f>IF(COUNTA(A307,D307,C307,L307)=0,"",IF(A307="","No date - sits outside every month",IF(E307="","No job number",IF(F307="CHECK","Job number is not in the Xero job list",IF(I307="","No cost centre",IF(AND(P307="Y",C307=""),"Marked posted to Xero but has no invoice number",IF(AND(L307&lt;&gt;"",K307=""),"No tax code",IF(AND(L307&lt;&gt;"",O307=""),"No revenue GL code",""))))))))</f>
        <v/>
      </c>
      <c r="W307" s="25">
        <f>IF(E307="","",IFERROR(INDEX(lst_JobName,MATCH(E307&amp;"",lst_Jobs,0)),""))</f>
        <v/>
      </c>
      <c r="X307" s="28">
        <f>IF(E307="","",COUNTIFS(tbl_Finance[Job Number],E307&amp;"",tbl_Finance[Ex GST],"&lt;&gt;"))</f>
        <v/>
      </c>
      <c r="Y307" s="27">
        <f>IF(E307="","",SUMIFS(tbl_Finance[Ex GST],tbl_Finance[Job Number],E307&amp;""))</f>
        <v/>
      </c>
      <c r="Z307" s="27">
        <f>IF(E307="","",SUMIFS(tbl_Finance[Ex GST],tbl_Finance[Job Number],E307&amp;"",tbl_Finance[Xero Invoice No],"&lt;&gt;"))</f>
        <v/>
      </c>
      <c r="AA307" s="27">
        <f>IF(E307="","",Y307-Z307)</f>
        <v/>
      </c>
      <c r="AB307" s="25">
        <f>IF(E307="","",IF(H307="Onsite",IFERROR(INDEX(tbl_Onsite[Qwilr Quote],MATCH(E307&amp;"",tbl_Onsite[Job Number],0)),""),IF(H307="Production",IFERROR(IF(INDEX(tbl_Production[Current RMS No],MATCH(E307&amp;"",tbl_Production[Job Number],0))="",INDEX(tbl_Production[Qwilr Quote],MATCH(E307&amp;"",tbl_Production[Job Number],0)),INDEX(tbl_Production[Current RMS No],MATCH(E307&amp;"",tbl_Production[Job Number],0))),""),IF(H307="Consulting",IFERROR(INDEX(tbl_Consulting[Qwilr Quote],MATCH(E307&amp;"",tbl_Consulting[Job Number],0)),""),""))))</f>
        <v/>
      </c>
      <c r="AC307" s="25">
        <f>IF(AB307="","",IF(AND(LEFT(AB307,4)&lt;&gt;"http",IF(H307="Production",set_RMSBase,set_QwilrBase)=""),"",HYPERLINK(IF(LEFT(AB307,4)="http",AB307,IF(H307="Production",set_RMSBase,set_QwilrBase)&amp;AB307),"Open")))</f>
        <v/>
      </c>
      <c r="AD307" s="27">
        <f>IF(E307="","",IF(H307="Production",IFERROR(INDEX(tbl_Production[Total Expense],MATCH(E307&amp;"",tbl_Production[Job Number],0)),0),IF(H307="Consulting",IFERROR(INDEX(tbl_Consulting[Total Expense],MATCH(E307&amp;"",tbl_Consulting[Job Number],0)),0),0)))</f>
        <v/>
      </c>
      <c r="AE307" s="27">
        <f>IF(E307="","",Y307-N(AD307))</f>
        <v/>
      </c>
      <c r="AF307" s="29">
        <f>IFERROR(AE307/Y307,"")</f>
        <v/>
      </c>
      <c r="AG307" s="25">
        <f>IF(E307="","",IF(H307="Onsite",IFERROR(INDEX(tbl_Onsite[Notes],MATCH(E307&amp;"",tbl_Onsite[Job Number],0)),""),IF(H307="Production",IFERROR(INDEX(tbl_Production[Notes],MATCH(E307&amp;"",tbl_Production[Job Number],0)),""),IF(H307="Consulting",IFERROR(INDEX(tbl_Consulting[Notes],MATCH(E307&amp;"",tbl_Consulting[Job Number],0)),""),""))))</f>
        <v/>
      </c>
    </row>
    <row r="308" ht="15" customHeight="1">
      <c r="A308" s="22" t="n"/>
      <c r="B308" s="23">
        <f>IF(A308="","",EOMONTH(A308,0))</f>
        <v/>
      </c>
      <c r="C308" s="24" t="n"/>
      <c r="D308" s="24" t="n"/>
      <c r="E308" s="24" t="n"/>
      <c r="F308" s="25">
        <f>IF(E308="","",IF(COUNTIF(lst_Jobs,E308&amp;"")&gt;0,"OK","CHECK"))</f>
        <v/>
      </c>
      <c r="G308" s="24" t="n"/>
      <c r="H308" s="24" t="n"/>
      <c r="I308" s="24" t="n"/>
      <c r="J308" s="24" t="n"/>
      <c r="K308" s="24" t="n"/>
      <c r="L308" s="26" t="n"/>
      <c r="M308" s="27">
        <f>IF(L308="","",IF(K308="GST 10%",ROUND(L308*set_GSTRate,2),0))</f>
        <v/>
      </c>
      <c r="N308" s="27">
        <f>IF(L308="","",L308+M308)</f>
        <v/>
      </c>
      <c r="O308" s="24" t="n"/>
      <c r="P308" s="24" t="n"/>
      <c r="Q308" s="24" t="n"/>
      <c r="R308" s="22" t="n"/>
      <c r="S308" s="22" t="n"/>
      <c r="T308" s="24" t="n"/>
      <c r="U308" s="24" t="n"/>
      <c r="V308" s="25">
        <f>IF(COUNTA(A308,D308,C308,L308)=0,"",IF(A308="","No date - sits outside every month",IF(E308="","No job number",IF(F308="CHECK","Job number is not in the Xero job list",IF(I308="","No cost centre",IF(AND(P308="Y",C308=""),"Marked posted to Xero but has no invoice number",IF(AND(L308&lt;&gt;"",K308=""),"No tax code",IF(AND(L308&lt;&gt;"",O308=""),"No revenue GL code",""))))))))</f>
        <v/>
      </c>
      <c r="W308" s="25">
        <f>IF(E308="","",IFERROR(INDEX(lst_JobName,MATCH(E308&amp;"",lst_Jobs,0)),""))</f>
        <v/>
      </c>
      <c r="X308" s="28">
        <f>IF(E308="","",COUNTIFS(tbl_Finance[Job Number],E308&amp;"",tbl_Finance[Ex GST],"&lt;&gt;"))</f>
        <v/>
      </c>
      <c r="Y308" s="27">
        <f>IF(E308="","",SUMIFS(tbl_Finance[Ex GST],tbl_Finance[Job Number],E308&amp;""))</f>
        <v/>
      </c>
      <c r="Z308" s="27">
        <f>IF(E308="","",SUMIFS(tbl_Finance[Ex GST],tbl_Finance[Job Number],E308&amp;"",tbl_Finance[Xero Invoice No],"&lt;&gt;"))</f>
        <v/>
      </c>
      <c r="AA308" s="27">
        <f>IF(E308="","",Y308-Z308)</f>
        <v/>
      </c>
      <c r="AB308" s="25">
        <f>IF(E308="","",IF(H308="Onsite",IFERROR(INDEX(tbl_Onsite[Qwilr Quote],MATCH(E308&amp;"",tbl_Onsite[Job Number],0)),""),IF(H308="Production",IFERROR(IF(INDEX(tbl_Production[Current RMS No],MATCH(E308&amp;"",tbl_Production[Job Number],0))="",INDEX(tbl_Production[Qwilr Quote],MATCH(E308&amp;"",tbl_Production[Job Number],0)),INDEX(tbl_Production[Current RMS No],MATCH(E308&amp;"",tbl_Production[Job Number],0))),""),IF(H308="Consulting",IFERROR(INDEX(tbl_Consulting[Qwilr Quote],MATCH(E308&amp;"",tbl_Consulting[Job Number],0)),""),""))))</f>
        <v/>
      </c>
      <c r="AC308" s="25">
        <f>IF(AB308="","",IF(AND(LEFT(AB308,4)&lt;&gt;"http",IF(H308="Production",set_RMSBase,set_QwilrBase)=""),"",HYPERLINK(IF(LEFT(AB308,4)="http",AB308,IF(H308="Production",set_RMSBase,set_QwilrBase)&amp;AB308),"Open")))</f>
        <v/>
      </c>
      <c r="AD308" s="27">
        <f>IF(E308="","",IF(H308="Production",IFERROR(INDEX(tbl_Production[Total Expense],MATCH(E308&amp;"",tbl_Production[Job Number],0)),0),IF(H308="Consulting",IFERROR(INDEX(tbl_Consulting[Total Expense],MATCH(E308&amp;"",tbl_Consulting[Job Number],0)),0),0)))</f>
        <v/>
      </c>
      <c r="AE308" s="27">
        <f>IF(E308="","",Y308-N(AD308))</f>
        <v/>
      </c>
      <c r="AF308" s="29">
        <f>IFERROR(AE308/Y308,"")</f>
        <v/>
      </c>
      <c r="AG308" s="25">
        <f>IF(E308="","",IF(H308="Onsite",IFERROR(INDEX(tbl_Onsite[Notes],MATCH(E308&amp;"",tbl_Onsite[Job Number],0)),""),IF(H308="Production",IFERROR(INDEX(tbl_Production[Notes],MATCH(E308&amp;"",tbl_Production[Job Number],0)),""),IF(H308="Consulting",IFERROR(INDEX(tbl_Consulting[Notes],MATCH(E308&amp;"",tbl_Consulting[Job Number],0)),""),""))))</f>
        <v/>
      </c>
    </row>
    <row r="309" ht="15" customHeight="1">
      <c r="A309" s="22" t="n"/>
      <c r="B309" s="23">
        <f>IF(A309="","",EOMONTH(A309,0))</f>
        <v/>
      </c>
      <c r="C309" s="24" t="n"/>
      <c r="D309" s="24" t="n"/>
      <c r="E309" s="24" t="n"/>
      <c r="F309" s="25">
        <f>IF(E309="","",IF(COUNTIF(lst_Jobs,E309&amp;"")&gt;0,"OK","CHECK"))</f>
        <v/>
      </c>
      <c r="G309" s="24" t="n"/>
      <c r="H309" s="24" t="n"/>
      <c r="I309" s="24" t="n"/>
      <c r="J309" s="24" t="n"/>
      <c r="K309" s="24" t="n"/>
      <c r="L309" s="26" t="n"/>
      <c r="M309" s="27">
        <f>IF(L309="","",IF(K309="GST 10%",ROUND(L309*set_GSTRate,2),0))</f>
        <v/>
      </c>
      <c r="N309" s="27">
        <f>IF(L309="","",L309+M309)</f>
        <v/>
      </c>
      <c r="O309" s="24" t="n"/>
      <c r="P309" s="24" t="n"/>
      <c r="Q309" s="24" t="n"/>
      <c r="R309" s="22" t="n"/>
      <c r="S309" s="22" t="n"/>
      <c r="T309" s="24" t="n"/>
      <c r="U309" s="24" t="n"/>
      <c r="V309" s="25">
        <f>IF(COUNTA(A309,D309,C309,L309)=0,"",IF(A309="","No date - sits outside every month",IF(E309="","No job number",IF(F309="CHECK","Job number is not in the Xero job list",IF(I309="","No cost centre",IF(AND(P309="Y",C309=""),"Marked posted to Xero but has no invoice number",IF(AND(L309&lt;&gt;"",K309=""),"No tax code",IF(AND(L309&lt;&gt;"",O309=""),"No revenue GL code",""))))))))</f>
        <v/>
      </c>
      <c r="W309" s="25">
        <f>IF(E309="","",IFERROR(INDEX(lst_JobName,MATCH(E309&amp;"",lst_Jobs,0)),""))</f>
        <v/>
      </c>
      <c r="X309" s="28">
        <f>IF(E309="","",COUNTIFS(tbl_Finance[Job Number],E309&amp;"",tbl_Finance[Ex GST],"&lt;&gt;"))</f>
        <v/>
      </c>
      <c r="Y309" s="27">
        <f>IF(E309="","",SUMIFS(tbl_Finance[Ex GST],tbl_Finance[Job Number],E309&amp;""))</f>
        <v/>
      </c>
      <c r="Z309" s="27">
        <f>IF(E309="","",SUMIFS(tbl_Finance[Ex GST],tbl_Finance[Job Number],E309&amp;"",tbl_Finance[Xero Invoice No],"&lt;&gt;"))</f>
        <v/>
      </c>
      <c r="AA309" s="27">
        <f>IF(E309="","",Y309-Z309)</f>
        <v/>
      </c>
      <c r="AB309" s="25">
        <f>IF(E309="","",IF(H309="Onsite",IFERROR(INDEX(tbl_Onsite[Qwilr Quote],MATCH(E309&amp;"",tbl_Onsite[Job Number],0)),""),IF(H309="Production",IFERROR(IF(INDEX(tbl_Production[Current RMS No],MATCH(E309&amp;"",tbl_Production[Job Number],0))="",INDEX(tbl_Production[Qwilr Quote],MATCH(E309&amp;"",tbl_Production[Job Number],0)),INDEX(tbl_Production[Current RMS No],MATCH(E309&amp;"",tbl_Production[Job Number],0))),""),IF(H309="Consulting",IFERROR(INDEX(tbl_Consulting[Qwilr Quote],MATCH(E309&amp;"",tbl_Consulting[Job Number],0)),""),""))))</f>
        <v/>
      </c>
      <c r="AC309" s="25">
        <f>IF(AB309="","",IF(AND(LEFT(AB309,4)&lt;&gt;"http",IF(H309="Production",set_RMSBase,set_QwilrBase)=""),"",HYPERLINK(IF(LEFT(AB309,4)="http",AB309,IF(H309="Production",set_RMSBase,set_QwilrBase)&amp;AB309),"Open")))</f>
        <v/>
      </c>
      <c r="AD309" s="27">
        <f>IF(E309="","",IF(H309="Production",IFERROR(INDEX(tbl_Production[Total Expense],MATCH(E309&amp;"",tbl_Production[Job Number],0)),0),IF(H309="Consulting",IFERROR(INDEX(tbl_Consulting[Total Expense],MATCH(E309&amp;"",tbl_Consulting[Job Number],0)),0),0)))</f>
        <v/>
      </c>
      <c r="AE309" s="27">
        <f>IF(E309="","",Y309-N(AD309))</f>
        <v/>
      </c>
      <c r="AF309" s="29">
        <f>IFERROR(AE309/Y309,"")</f>
        <v/>
      </c>
      <c r="AG309" s="25">
        <f>IF(E309="","",IF(H309="Onsite",IFERROR(INDEX(tbl_Onsite[Notes],MATCH(E309&amp;"",tbl_Onsite[Job Number],0)),""),IF(H309="Production",IFERROR(INDEX(tbl_Production[Notes],MATCH(E309&amp;"",tbl_Production[Job Number],0)),""),IF(H309="Consulting",IFERROR(INDEX(tbl_Consulting[Notes],MATCH(E309&amp;"",tbl_Consulting[Job Number],0)),""),""))))</f>
        <v/>
      </c>
    </row>
    <row r="310" ht="15" customHeight="1">
      <c r="A310" s="22" t="n"/>
      <c r="B310" s="23">
        <f>IF(A310="","",EOMONTH(A310,0))</f>
        <v/>
      </c>
      <c r="C310" s="24" t="n"/>
      <c r="D310" s="24" t="n"/>
      <c r="E310" s="24" t="n"/>
      <c r="F310" s="25">
        <f>IF(E310="","",IF(COUNTIF(lst_Jobs,E310&amp;"")&gt;0,"OK","CHECK"))</f>
        <v/>
      </c>
      <c r="G310" s="24" t="n"/>
      <c r="H310" s="24" t="n"/>
      <c r="I310" s="24" t="n"/>
      <c r="J310" s="24" t="n"/>
      <c r="K310" s="24" t="n"/>
      <c r="L310" s="26" t="n"/>
      <c r="M310" s="27">
        <f>IF(L310="","",IF(K310="GST 10%",ROUND(L310*set_GSTRate,2),0))</f>
        <v/>
      </c>
      <c r="N310" s="27">
        <f>IF(L310="","",L310+M310)</f>
        <v/>
      </c>
      <c r="O310" s="24" t="n"/>
      <c r="P310" s="24" t="n"/>
      <c r="Q310" s="24" t="n"/>
      <c r="R310" s="22" t="n"/>
      <c r="S310" s="22" t="n"/>
      <c r="T310" s="24" t="n"/>
      <c r="U310" s="24" t="n"/>
      <c r="V310" s="25">
        <f>IF(COUNTA(A310,D310,C310,L310)=0,"",IF(A310="","No date - sits outside every month",IF(E310="","No job number",IF(F310="CHECK","Job number is not in the Xero job list",IF(I310="","No cost centre",IF(AND(P310="Y",C310=""),"Marked posted to Xero but has no invoice number",IF(AND(L310&lt;&gt;"",K310=""),"No tax code",IF(AND(L310&lt;&gt;"",O310=""),"No revenue GL code",""))))))))</f>
        <v/>
      </c>
      <c r="W310" s="25">
        <f>IF(E310="","",IFERROR(INDEX(lst_JobName,MATCH(E310&amp;"",lst_Jobs,0)),""))</f>
        <v/>
      </c>
      <c r="X310" s="28">
        <f>IF(E310="","",COUNTIFS(tbl_Finance[Job Number],E310&amp;"",tbl_Finance[Ex GST],"&lt;&gt;"))</f>
        <v/>
      </c>
      <c r="Y310" s="27">
        <f>IF(E310="","",SUMIFS(tbl_Finance[Ex GST],tbl_Finance[Job Number],E310&amp;""))</f>
        <v/>
      </c>
      <c r="Z310" s="27">
        <f>IF(E310="","",SUMIFS(tbl_Finance[Ex GST],tbl_Finance[Job Number],E310&amp;"",tbl_Finance[Xero Invoice No],"&lt;&gt;"))</f>
        <v/>
      </c>
      <c r="AA310" s="27">
        <f>IF(E310="","",Y310-Z310)</f>
        <v/>
      </c>
      <c r="AB310" s="25">
        <f>IF(E310="","",IF(H310="Onsite",IFERROR(INDEX(tbl_Onsite[Qwilr Quote],MATCH(E310&amp;"",tbl_Onsite[Job Number],0)),""),IF(H310="Production",IFERROR(IF(INDEX(tbl_Production[Current RMS No],MATCH(E310&amp;"",tbl_Production[Job Number],0))="",INDEX(tbl_Production[Qwilr Quote],MATCH(E310&amp;"",tbl_Production[Job Number],0)),INDEX(tbl_Production[Current RMS No],MATCH(E310&amp;"",tbl_Production[Job Number],0))),""),IF(H310="Consulting",IFERROR(INDEX(tbl_Consulting[Qwilr Quote],MATCH(E310&amp;"",tbl_Consulting[Job Number],0)),""),""))))</f>
        <v/>
      </c>
      <c r="AC310" s="25">
        <f>IF(AB310="","",IF(AND(LEFT(AB310,4)&lt;&gt;"http",IF(H310="Production",set_RMSBase,set_QwilrBase)=""),"",HYPERLINK(IF(LEFT(AB310,4)="http",AB310,IF(H310="Production",set_RMSBase,set_QwilrBase)&amp;AB310),"Open")))</f>
        <v/>
      </c>
      <c r="AD310" s="27">
        <f>IF(E310="","",IF(H310="Production",IFERROR(INDEX(tbl_Production[Total Expense],MATCH(E310&amp;"",tbl_Production[Job Number],0)),0),IF(H310="Consulting",IFERROR(INDEX(tbl_Consulting[Total Expense],MATCH(E310&amp;"",tbl_Consulting[Job Number],0)),0),0)))</f>
        <v/>
      </c>
      <c r="AE310" s="27">
        <f>IF(E310="","",Y310-N(AD310))</f>
        <v/>
      </c>
      <c r="AF310" s="29">
        <f>IFERROR(AE310/Y310,"")</f>
        <v/>
      </c>
      <c r="AG310" s="25">
        <f>IF(E310="","",IF(H310="Onsite",IFERROR(INDEX(tbl_Onsite[Notes],MATCH(E310&amp;"",tbl_Onsite[Job Number],0)),""),IF(H310="Production",IFERROR(INDEX(tbl_Production[Notes],MATCH(E310&amp;"",tbl_Production[Job Number],0)),""),IF(H310="Consulting",IFERROR(INDEX(tbl_Consulting[Notes],MATCH(E310&amp;"",tbl_Consulting[Job Number],0)),""),""))))</f>
        <v/>
      </c>
    </row>
    <row r="311" ht="15" customHeight="1">
      <c r="A311" s="22" t="n"/>
      <c r="B311" s="23">
        <f>IF(A311="","",EOMONTH(A311,0))</f>
        <v/>
      </c>
      <c r="C311" s="24" t="n"/>
      <c r="D311" s="24" t="n"/>
      <c r="E311" s="24" t="n"/>
      <c r="F311" s="25">
        <f>IF(E311="","",IF(COUNTIF(lst_Jobs,E311&amp;"")&gt;0,"OK","CHECK"))</f>
        <v/>
      </c>
      <c r="G311" s="24" t="n"/>
      <c r="H311" s="24" t="n"/>
      <c r="I311" s="24" t="n"/>
      <c r="J311" s="24" t="n"/>
      <c r="K311" s="24" t="n"/>
      <c r="L311" s="26" t="n"/>
      <c r="M311" s="27">
        <f>IF(L311="","",IF(K311="GST 10%",ROUND(L311*set_GSTRate,2),0))</f>
        <v/>
      </c>
      <c r="N311" s="27">
        <f>IF(L311="","",L311+M311)</f>
        <v/>
      </c>
      <c r="O311" s="24" t="n"/>
      <c r="P311" s="24" t="n"/>
      <c r="Q311" s="24" t="n"/>
      <c r="R311" s="22" t="n"/>
      <c r="S311" s="22" t="n"/>
      <c r="T311" s="24" t="n"/>
      <c r="U311" s="24" t="n"/>
      <c r="V311" s="25">
        <f>IF(COUNTA(A311,D311,C311,L311)=0,"",IF(A311="","No date - sits outside every month",IF(E311="","No job number",IF(F311="CHECK","Job number is not in the Xero job list",IF(I311="","No cost centre",IF(AND(P311="Y",C311=""),"Marked posted to Xero but has no invoice number",IF(AND(L311&lt;&gt;"",K311=""),"No tax code",IF(AND(L311&lt;&gt;"",O311=""),"No revenue GL code",""))))))))</f>
        <v/>
      </c>
      <c r="W311" s="25">
        <f>IF(E311="","",IFERROR(INDEX(lst_JobName,MATCH(E311&amp;"",lst_Jobs,0)),""))</f>
        <v/>
      </c>
      <c r="X311" s="28">
        <f>IF(E311="","",COUNTIFS(tbl_Finance[Job Number],E311&amp;"",tbl_Finance[Ex GST],"&lt;&gt;"))</f>
        <v/>
      </c>
      <c r="Y311" s="27">
        <f>IF(E311="","",SUMIFS(tbl_Finance[Ex GST],tbl_Finance[Job Number],E311&amp;""))</f>
        <v/>
      </c>
      <c r="Z311" s="27">
        <f>IF(E311="","",SUMIFS(tbl_Finance[Ex GST],tbl_Finance[Job Number],E311&amp;"",tbl_Finance[Xero Invoice No],"&lt;&gt;"))</f>
        <v/>
      </c>
      <c r="AA311" s="27">
        <f>IF(E311="","",Y311-Z311)</f>
        <v/>
      </c>
      <c r="AB311" s="25">
        <f>IF(E311="","",IF(H311="Onsite",IFERROR(INDEX(tbl_Onsite[Qwilr Quote],MATCH(E311&amp;"",tbl_Onsite[Job Number],0)),""),IF(H311="Production",IFERROR(IF(INDEX(tbl_Production[Current RMS No],MATCH(E311&amp;"",tbl_Production[Job Number],0))="",INDEX(tbl_Production[Qwilr Quote],MATCH(E311&amp;"",tbl_Production[Job Number],0)),INDEX(tbl_Production[Current RMS No],MATCH(E311&amp;"",tbl_Production[Job Number],0))),""),IF(H311="Consulting",IFERROR(INDEX(tbl_Consulting[Qwilr Quote],MATCH(E311&amp;"",tbl_Consulting[Job Number],0)),""),""))))</f>
        <v/>
      </c>
      <c r="AC311" s="25">
        <f>IF(AB311="","",IF(AND(LEFT(AB311,4)&lt;&gt;"http",IF(H311="Production",set_RMSBase,set_QwilrBase)=""),"",HYPERLINK(IF(LEFT(AB311,4)="http",AB311,IF(H311="Production",set_RMSBase,set_QwilrBase)&amp;AB311),"Open")))</f>
        <v/>
      </c>
      <c r="AD311" s="27">
        <f>IF(E311="","",IF(H311="Production",IFERROR(INDEX(tbl_Production[Total Expense],MATCH(E311&amp;"",tbl_Production[Job Number],0)),0),IF(H311="Consulting",IFERROR(INDEX(tbl_Consulting[Total Expense],MATCH(E311&amp;"",tbl_Consulting[Job Number],0)),0),0)))</f>
        <v/>
      </c>
      <c r="AE311" s="27">
        <f>IF(E311="","",Y311-N(AD311))</f>
        <v/>
      </c>
      <c r="AF311" s="29">
        <f>IFERROR(AE311/Y311,"")</f>
        <v/>
      </c>
      <c r="AG311" s="25">
        <f>IF(E311="","",IF(H311="Onsite",IFERROR(INDEX(tbl_Onsite[Notes],MATCH(E311&amp;"",tbl_Onsite[Job Number],0)),""),IF(H311="Production",IFERROR(INDEX(tbl_Production[Notes],MATCH(E311&amp;"",tbl_Production[Job Number],0)),""),IF(H311="Consulting",IFERROR(INDEX(tbl_Consulting[Notes],MATCH(E311&amp;"",tbl_Consulting[Job Number],0)),""),""))))</f>
        <v/>
      </c>
    </row>
    <row r="312" ht="15" customHeight="1">
      <c r="A312" s="22" t="n"/>
      <c r="B312" s="23">
        <f>IF(A312="","",EOMONTH(A312,0))</f>
        <v/>
      </c>
      <c r="C312" s="24" t="n"/>
      <c r="D312" s="24" t="n"/>
      <c r="E312" s="24" t="n"/>
      <c r="F312" s="25">
        <f>IF(E312="","",IF(COUNTIF(lst_Jobs,E312&amp;"")&gt;0,"OK","CHECK"))</f>
        <v/>
      </c>
      <c r="G312" s="24" t="n"/>
      <c r="H312" s="24" t="n"/>
      <c r="I312" s="24" t="n"/>
      <c r="J312" s="24" t="n"/>
      <c r="K312" s="24" t="n"/>
      <c r="L312" s="26" t="n"/>
      <c r="M312" s="27">
        <f>IF(L312="","",IF(K312="GST 10%",ROUND(L312*set_GSTRate,2),0))</f>
        <v/>
      </c>
      <c r="N312" s="27">
        <f>IF(L312="","",L312+M312)</f>
        <v/>
      </c>
      <c r="O312" s="24" t="n"/>
      <c r="P312" s="24" t="n"/>
      <c r="Q312" s="24" t="n"/>
      <c r="R312" s="22" t="n"/>
      <c r="S312" s="22" t="n"/>
      <c r="T312" s="24" t="n"/>
      <c r="U312" s="24" t="n"/>
      <c r="V312" s="25">
        <f>IF(COUNTA(A312,D312,C312,L312)=0,"",IF(A312="","No date - sits outside every month",IF(E312="","No job number",IF(F312="CHECK","Job number is not in the Xero job list",IF(I312="","No cost centre",IF(AND(P312="Y",C312=""),"Marked posted to Xero but has no invoice number",IF(AND(L312&lt;&gt;"",K312=""),"No tax code",IF(AND(L312&lt;&gt;"",O312=""),"No revenue GL code",""))))))))</f>
        <v/>
      </c>
      <c r="W312" s="25">
        <f>IF(E312="","",IFERROR(INDEX(lst_JobName,MATCH(E312&amp;"",lst_Jobs,0)),""))</f>
        <v/>
      </c>
      <c r="X312" s="28">
        <f>IF(E312="","",COUNTIFS(tbl_Finance[Job Number],E312&amp;"",tbl_Finance[Ex GST],"&lt;&gt;"))</f>
        <v/>
      </c>
      <c r="Y312" s="27">
        <f>IF(E312="","",SUMIFS(tbl_Finance[Ex GST],tbl_Finance[Job Number],E312&amp;""))</f>
        <v/>
      </c>
      <c r="Z312" s="27">
        <f>IF(E312="","",SUMIFS(tbl_Finance[Ex GST],tbl_Finance[Job Number],E312&amp;"",tbl_Finance[Xero Invoice No],"&lt;&gt;"))</f>
        <v/>
      </c>
      <c r="AA312" s="27">
        <f>IF(E312="","",Y312-Z312)</f>
        <v/>
      </c>
      <c r="AB312" s="25">
        <f>IF(E312="","",IF(H312="Onsite",IFERROR(INDEX(tbl_Onsite[Qwilr Quote],MATCH(E312&amp;"",tbl_Onsite[Job Number],0)),""),IF(H312="Production",IFERROR(IF(INDEX(tbl_Production[Current RMS No],MATCH(E312&amp;"",tbl_Production[Job Number],0))="",INDEX(tbl_Production[Qwilr Quote],MATCH(E312&amp;"",tbl_Production[Job Number],0)),INDEX(tbl_Production[Current RMS No],MATCH(E312&amp;"",tbl_Production[Job Number],0))),""),IF(H312="Consulting",IFERROR(INDEX(tbl_Consulting[Qwilr Quote],MATCH(E312&amp;"",tbl_Consulting[Job Number],0)),""),""))))</f>
        <v/>
      </c>
      <c r="AC312" s="25">
        <f>IF(AB312="","",IF(AND(LEFT(AB312,4)&lt;&gt;"http",IF(H312="Production",set_RMSBase,set_QwilrBase)=""),"",HYPERLINK(IF(LEFT(AB312,4)="http",AB312,IF(H312="Production",set_RMSBase,set_QwilrBase)&amp;AB312),"Open")))</f>
        <v/>
      </c>
      <c r="AD312" s="27">
        <f>IF(E312="","",IF(H312="Production",IFERROR(INDEX(tbl_Production[Total Expense],MATCH(E312&amp;"",tbl_Production[Job Number],0)),0),IF(H312="Consulting",IFERROR(INDEX(tbl_Consulting[Total Expense],MATCH(E312&amp;"",tbl_Consulting[Job Number],0)),0),0)))</f>
        <v/>
      </c>
      <c r="AE312" s="27">
        <f>IF(E312="","",Y312-N(AD312))</f>
        <v/>
      </c>
      <c r="AF312" s="29">
        <f>IFERROR(AE312/Y312,"")</f>
        <v/>
      </c>
      <c r="AG312" s="25">
        <f>IF(E312="","",IF(H312="Onsite",IFERROR(INDEX(tbl_Onsite[Notes],MATCH(E312&amp;"",tbl_Onsite[Job Number],0)),""),IF(H312="Production",IFERROR(INDEX(tbl_Production[Notes],MATCH(E312&amp;"",tbl_Production[Job Number],0)),""),IF(H312="Consulting",IFERROR(INDEX(tbl_Consulting[Notes],MATCH(E312&amp;"",tbl_Consulting[Job Number],0)),""),""))))</f>
        <v/>
      </c>
    </row>
    <row r="313" ht="15" customHeight="1">
      <c r="A313" s="22" t="n"/>
      <c r="B313" s="23">
        <f>IF(A313="","",EOMONTH(A313,0))</f>
        <v/>
      </c>
      <c r="C313" s="24" t="n"/>
      <c r="D313" s="24" t="n"/>
      <c r="E313" s="24" t="n"/>
      <c r="F313" s="25">
        <f>IF(E313="","",IF(COUNTIF(lst_Jobs,E313&amp;"")&gt;0,"OK","CHECK"))</f>
        <v/>
      </c>
      <c r="G313" s="24" t="n"/>
      <c r="H313" s="24" t="n"/>
      <c r="I313" s="24" t="n"/>
      <c r="J313" s="24" t="n"/>
      <c r="K313" s="24" t="n"/>
      <c r="L313" s="26" t="n"/>
      <c r="M313" s="27">
        <f>IF(L313="","",IF(K313="GST 10%",ROUND(L313*set_GSTRate,2),0))</f>
        <v/>
      </c>
      <c r="N313" s="27">
        <f>IF(L313="","",L313+M313)</f>
        <v/>
      </c>
      <c r="O313" s="24" t="n"/>
      <c r="P313" s="24" t="n"/>
      <c r="Q313" s="24" t="n"/>
      <c r="R313" s="22" t="n"/>
      <c r="S313" s="22" t="n"/>
      <c r="T313" s="24" t="n"/>
      <c r="U313" s="24" t="n"/>
      <c r="V313" s="25">
        <f>IF(COUNTA(A313,D313,C313,L313)=0,"",IF(A313="","No date - sits outside every month",IF(E313="","No job number",IF(F313="CHECK","Job number is not in the Xero job list",IF(I313="","No cost centre",IF(AND(P313="Y",C313=""),"Marked posted to Xero but has no invoice number",IF(AND(L313&lt;&gt;"",K313=""),"No tax code",IF(AND(L313&lt;&gt;"",O313=""),"No revenue GL code",""))))))))</f>
        <v/>
      </c>
      <c r="W313" s="25">
        <f>IF(E313="","",IFERROR(INDEX(lst_JobName,MATCH(E313&amp;"",lst_Jobs,0)),""))</f>
        <v/>
      </c>
      <c r="X313" s="28">
        <f>IF(E313="","",COUNTIFS(tbl_Finance[Job Number],E313&amp;"",tbl_Finance[Ex GST],"&lt;&gt;"))</f>
        <v/>
      </c>
      <c r="Y313" s="27">
        <f>IF(E313="","",SUMIFS(tbl_Finance[Ex GST],tbl_Finance[Job Number],E313&amp;""))</f>
        <v/>
      </c>
      <c r="Z313" s="27">
        <f>IF(E313="","",SUMIFS(tbl_Finance[Ex GST],tbl_Finance[Job Number],E313&amp;"",tbl_Finance[Xero Invoice No],"&lt;&gt;"))</f>
        <v/>
      </c>
      <c r="AA313" s="27">
        <f>IF(E313="","",Y313-Z313)</f>
        <v/>
      </c>
      <c r="AB313" s="25">
        <f>IF(E313="","",IF(H313="Onsite",IFERROR(INDEX(tbl_Onsite[Qwilr Quote],MATCH(E313&amp;"",tbl_Onsite[Job Number],0)),""),IF(H313="Production",IFERROR(IF(INDEX(tbl_Production[Current RMS No],MATCH(E313&amp;"",tbl_Production[Job Number],0))="",INDEX(tbl_Production[Qwilr Quote],MATCH(E313&amp;"",tbl_Production[Job Number],0)),INDEX(tbl_Production[Current RMS No],MATCH(E313&amp;"",tbl_Production[Job Number],0))),""),IF(H313="Consulting",IFERROR(INDEX(tbl_Consulting[Qwilr Quote],MATCH(E313&amp;"",tbl_Consulting[Job Number],0)),""),""))))</f>
        <v/>
      </c>
      <c r="AC313" s="25">
        <f>IF(AB313="","",IF(AND(LEFT(AB313,4)&lt;&gt;"http",IF(H313="Production",set_RMSBase,set_QwilrBase)=""),"",HYPERLINK(IF(LEFT(AB313,4)="http",AB313,IF(H313="Production",set_RMSBase,set_QwilrBase)&amp;AB313),"Open")))</f>
        <v/>
      </c>
      <c r="AD313" s="27">
        <f>IF(E313="","",IF(H313="Production",IFERROR(INDEX(tbl_Production[Total Expense],MATCH(E313&amp;"",tbl_Production[Job Number],0)),0),IF(H313="Consulting",IFERROR(INDEX(tbl_Consulting[Total Expense],MATCH(E313&amp;"",tbl_Consulting[Job Number],0)),0),0)))</f>
        <v/>
      </c>
      <c r="AE313" s="27">
        <f>IF(E313="","",Y313-N(AD313))</f>
        <v/>
      </c>
      <c r="AF313" s="29">
        <f>IFERROR(AE313/Y313,"")</f>
        <v/>
      </c>
      <c r="AG313" s="25">
        <f>IF(E313="","",IF(H313="Onsite",IFERROR(INDEX(tbl_Onsite[Notes],MATCH(E313&amp;"",tbl_Onsite[Job Number],0)),""),IF(H313="Production",IFERROR(INDEX(tbl_Production[Notes],MATCH(E313&amp;"",tbl_Production[Job Number],0)),""),IF(H313="Consulting",IFERROR(INDEX(tbl_Consulting[Notes],MATCH(E313&amp;"",tbl_Consulting[Job Number],0)),""),""))))</f>
        <v/>
      </c>
    </row>
    <row r="314" ht="15" customHeight="1">
      <c r="A314" s="22" t="n"/>
      <c r="B314" s="23">
        <f>IF(A314="","",EOMONTH(A314,0))</f>
        <v/>
      </c>
      <c r="C314" s="24" t="n"/>
      <c r="D314" s="24" t="n"/>
      <c r="E314" s="24" t="n"/>
      <c r="F314" s="25">
        <f>IF(E314="","",IF(COUNTIF(lst_Jobs,E314&amp;"")&gt;0,"OK","CHECK"))</f>
        <v/>
      </c>
      <c r="G314" s="24" t="n"/>
      <c r="H314" s="24" t="n"/>
      <c r="I314" s="24" t="n"/>
      <c r="J314" s="24" t="n"/>
      <c r="K314" s="24" t="n"/>
      <c r="L314" s="26" t="n"/>
      <c r="M314" s="27">
        <f>IF(L314="","",IF(K314="GST 10%",ROUND(L314*set_GSTRate,2),0))</f>
        <v/>
      </c>
      <c r="N314" s="27">
        <f>IF(L314="","",L314+M314)</f>
        <v/>
      </c>
      <c r="O314" s="24" t="n"/>
      <c r="P314" s="24" t="n"/>
      <c r="Q314" s="24" t="n"/>
      <c r="R314" s="22" t="n"/>
      <c r="S314" s="22" t="n"/>
      <c r="T314" s="24" t="n"/>
      <c r="U314" s="24" t="n"/>
      <c r="V314" s="25">
        <f>IF(COUNTA(A314,D314,C314,L314)=0,"",IF(A314="","No date - sits outside every month",IF(E314="","No job number",IF(F314="CHECK","Job number is not in the Xero job list",IF(I314="","No cost centre",IF(AND(P314="Y",C314=""),"Marked posted to Xero but has no invoice number",IF(AND(L314&lt;&gt;"",K314=""),"No tax code",IF(AND(L314&lt;&gt;"",O314=""),"No revenue GL code",""))))))))</f>
        <v/>
      </c>
      <c r="W314" s="25">
        <f>IF(E314="","",IFERROR(INDEX(lst_JobName,MATCH(E314&amp;"",lst_Jobs,0)),""))</f>
        <v/>
      </c>
      <c r="X314" s="28">
        <f>IF(E314="","",COUNTIFS(tbl_Finance[Job Number],E314&amp;"",tbl_Finance[Ex GST],"&lt;&gt;"))</f>
        <v/>
      </c>
      <c r="Y314" s="27">
        <f>IF(E314="","",SUMIFS(tbl_Finance[Ex GST],tbl_Finance[Job Number],E314&amp;""))</f>
        <v/>
      </c>
      <c r="Z314" s="27">
        <f>IF(E314="","",SUMIFS(tbl_Finance[Ex GST],tbl_Finance[Job Number],E314&amp;"",tbl_Finance[Xero Invoice No],"&lt;&gt;"))</f>
        <v/>
      </c>
      <c r="AA314" s="27">
        <f>IF(E314="","",Y314-Z314)</f>
        <v/>
      </c>
      <c r="AB314" s="25">
        <f>IF(E314="","",IF(H314="Onsite",IFERROR(INDEX(tbl_Onsite[Qwilr Quote],MATCH(E314&amp;"",tbl_Onsite[Job Number],0)),""),IF(H314="Production",IFERROR(IF(INDEX(tbl_Production[Current RMS No],MATCH(E314&amp;"",tbl_Production[Job Number],0))="",INDEX(tbl_Production[Qwilr Quote],MATCH(E314&amp;"",tbl_Production[Job Number],0)),INDEX(tbl_Production[Current RMS No],MATCH(E314&amp;"",tbl_Production[Job Number],0))),""),IF(H314="Consulting",IFERROR(INDEX(tbl_Consulting[Qwilr Quote],MATCH(E314&amp;"",tbl_Consulting[Job Number],0)),""),""))))</f>
        <v/>
      </c>
      <c r="AC314" s="25">
        <f>IF(AB314="","",IF(AND(LEFT(AB314,4)&lt;&gt;"http",IF(H314="Production",set_RMSBase,set_QwilrBase)=""),"",HYPERLINK(IF(LEFT(AB314,4)="http",AB314,IF(H314="Production",set_RMSBase,set_QwilrBase)&amp;AB314),"Open")))</f>
        <v/>
      </c>
      <c r="AD314" s="27">
        <f>IF(E314="","",IF(H314="Production",IFERROR(INDEX(tbl_Production[Total Expense],MATCH(E314&amp;"",tbl_Production[Job Number],0)),0),IF(H314="Consulting",IFERROR(INDEX(tbl_Consulting[Total Expense],MATCH(E314&amp;"",tbl_Consulting[Job Number],0)),0),0)))</f>
        <v/>
      </c>
      <c r="AE314" s="27">
        <f>IF(E314="","",Y314-N(AD314))</f>
        <v/>
      </c>
      <c r="AF314" s="29">
        <f>IFERROR(AE314/Y314,"")</f>
        <v/>
      </c>
      <c r="AG314" s="25">
        <f>IF(E314="","",IF(H314="Onsite",IFERROR(INDEX(tbl_Onsite[Notes],MATCH(E314&amp;"",tbl_Onsite[Job Number],0)),""),IF(H314="Production",IFERROR(INDEX(tbl_Production[Notes],MATCH(E314&amp;"",tbl_Production[Job Number],0)),""),IF(H314="Consulting",IFERROR(INDEX(tbl_Consulting[Notes],MATCH(E314&amp;"",tbl_Consulting[Job Number],0)),""),""))))</f>
        <v/>
      </c>
    </row>
    <row r="315" ht="15" customHeight="1">
      <c r="A315" s="22" t="n"/>
      <c r="B315" s="23">
        <f>IF(A315="","",EOMONTH(A315,0))</f>
        <v/>
      </c>
      <c r="C315" s="24" t="n"/>
      <c r="D315" s="24" t="n"/>
      <c r="E315" s="24" t="n"/>
      <c r="F315" s="25">
        <f>IF(E315="","",IF(COUNTIF(lst_Jobs,E315&amp;"")&gt;0,"OK","CHECK"))</f>
        <v/>
      </c>
      <c r="G315" s="24" t="n"/>
      <c r="H315" s="24" t="n"/>
      <c r="I315" s="24" t="n"/>
      <c r="J315" s="24" t="n"/>
      <c r="K315" s="24" t="n"/>
      <c r="L315" s="26" t="n"/>
      <c r="M315" s="27">
        <f>IF(L315="","",IF(K315="GST 10%",ROUND(L315*set_GSTRate,2),0))</f>
        <v/>
      </c>
      <c r="N315" s="27">
        <f>IF(L315="","",L315+M315)</f>
        <v/>
      </c>
      <c r="O315" s="24" t="n"/>
      <c r="P315" s="24" t="n"/>
      <c r="Q315" s="24" t="n"/>
      <c r="R315" s="22" t="n"/>
      <c r="S315" s="22" t="n"/>
      <c r="T315" s="24" t="n"/>
      <c r="U315" s="24" t="n"/>
      <c r="V315" s="25">
        <f>IF(COUNTA(A315,D315,C315,L315)=0,"",IF(A315="","No date - sits outside every month",IF(E315="","No job number",IF(F315="CHECK","Job number is not in the Xero job list",IF(I315="","No cost centre",IF(AND(P315="Y",C315=""),"Marked posted to Xero but has no invoice number",IF(AND(L315&lt;&gt;"",K315=""),"No tax code",IF(AND(L315&lt;&gt;"",O315=""),"No revenue GL code",""))))))))</f>
        <v/>
      </c>
      <c r="W315" s="25">
        <f>IF(E315="","",IFERROR(INDEX(lst_JobName,MATCH(E315&amp;"",lst_Jobs,0)),""))</f>
        <v/>
      </c>
      <c r="X315" s="28">
        <f>IF(E315="","",COUNTIFS(tbl_Finance[Job Number],E315&amp;"",tbl_Finance[Ex GST],"&lt;&gt;"))</f>
        <v/>
      </c>
      <c r="Y315" s="27">
        <f>IF(E315="","",SUMIFS(tbl_Finance[Ex GST],tbl_Finance[Job Number],E315&amp;""))</f>
        <v/>
      </c>
      <c r="Z315" s="27">
        <f>IF(E315="","",SUMIFS(tbl_Finance[Ex GST],tbl_Finance[Job Number],E315&amp;"",tbl_Finance[Xero Invoice No],"&lt;&gt;"))</f>
        <v/>
      </c>
      <c r="AA315" s="27">
        <f>IF(E315="","",Y315-Z315)</f>
        <v/>
      </c>
      <c r="AB315" s="25">
        <f>IF(E315="","",IF(H315="Onsite",IFERROR(INDEX(tbl_Onsite[Qwilr Quote],MATCH(E315&amp;"",tbl_Onsite[Job Number],0)),""),IF(H315="Production",IFERROR(IF(INDEX(tbl_Production[Current RMS No],MATCH(E315&amp;"",tbl_Production[Job Number],0))="",INDEX(tbl_Production[Qwilr Quote],MATCH(E315&amp;"",tbl_Production[Job Number],0)),INDEX(tbl_Production[Current RMS No],MATCH(E315&amp;"",tbl_Production[Job Number],0))),""),IF(H315="Consulting",IFERROR(INDEX(tbl_Consulting[Qwilr Quote],MATCH(E315&amp;"",tbl_Consulting[Job Number],0)),""),""))))</f>
        <v/>
      </c>
      <c r="AC315" s="25">
        <f>IF(AB315="","",IF(AND(LEFT(AB315,4)&lt;&gt;"http",IF(H315="Production",set_RMSBase,set_QwilrBase)=""),"",HYPERLINK(IF(LEFT(AB315,4)="http",AB315,IF(H315="Production",set_RMSBase,set_QwilrBase)&amp;AB315),"Open")))</f>
        <v/>
      </c>
      <c r="AD315" s="27">
        <f>IF(E315="","",IF(H315="Production",IFERROR(INDEX(tbl_Production[Total Expense],MATCH(E315&amp;"",tbl_Production[Job Number],0)),0),IF(H315="Consulting",IFERROR(INDEX(tbl_Consulting[Total Expense],MATCH(E315&amp;"",tbl_Consulting[Job Number],0)),0),0)))</f>
        <v/>
      </c>
      <c r="AE315" s="27">
        <f>IF(E315="","",Y315-N(AD315))</f>
        <v/>
      </c>
      <c r="AF315" s="29">
        <f>IFERROR(AE315/Y315,"")</f>
        <v/>
      </c>
      <c r="AG315" s="25">
        <f>IF(E315="","",IF(H315="Onsite",IFERROR(INDEX(tbl_Onsite[Notes],MATCH(E315&amp;"",tbl_Onsite[Job Number],0)),""),IF(H315="Production",IFERROR(INDEX(tbl_Production[Notes],MATCH(E315&amp;"",tbl_Production[Job Number],0)),""),IF(H315="Consulting",IFERROR(INDEX(tbl_Consulting[Notes],MATCH(E315&amp;"",tbl_Consulting[Job Number],0)),""),""))))</f>
        <v/>
      </c>
    </row>
    <row r="316" ht="15" customHeight="1">
      <c r="A316" s="22" t="n"/>
      <c r="B316" s="23">
        <f>IF(A316="","",EOMONTH(A316,0))</f>
        <v/>
      </c>
      <c r="C316" s="24" t="n"/>
      <c r="D316" s="24" t="n"/>
      <c r="E316" s="24" t="n"/>
      <c r="F316" s="25">
        <f>IF(E316="","",IF(COUNTIF(lst_Jobs,E316&amp;"")&gt;0,"OK","CHECK"))</f>
        <v/>
      </c>
      <c r="G316" s="24" t="n"/>
      <c r="H316" s="24" t="n"/>
      <c r="I316" s="24" t="n"/>
      <c r="J316" s="24" t="n"/>
      <c r="K316" s="24" t="n"/>
      <c r="L316" s="26" t="n"/>
      <c r="M316" s="27">
        <f>IF(L316="","",IF(K316="GST 10%",ROUND(L316*set_GSTRate,2),0))</f>
        <v/>
      </c>
      <c r="N316" s="27">
        <f>IF(L316="","",L316+M316)</f>
        <v/>
      </c>
      <c r="O316" s="24" t="n"/>
      <c r="P316" s="24" t="n"/>
      <c r="Q316" s="24" t="n"/>
      <c r="R316" s="22" t="n"/>
      <c r="S316" s="22" t="n"/>
      <c r="T316" s="24" t="n"/>
      <c r="U316" s="24" t="n"/>
      <c r="V316" s="25">
        <f>IF(COUNTA(A316,D316,C316,L316)=0,"",IF(A316="","No date - sits outside every month",IF(E316="","No job number",IF(F316="CHECK","Job number is not in the Xero job list",IF(I316="","No cost centre",IF(AND(P316="Y",C316=""),"Marked posted to Xero but has no invoice number",IF(AND(L316&lt;&gt;"",K316=""),"No tax code",IF(AND(L316&lt;&gt;"",O316=""),"No revenue GL code",""))))))))</f>
        <v/>
      </c>
      <c r="W316" s="25">
        <f>IF(E316="","",IFERROR(INDEX(lst_JobName,MATCH(E316&amp;"",lst_Jobs,0)),""))</f>
        <v/>
      </c>
      <c r="X316" s="28">
        <f>IF(E316="","",COUNTIFS(tbl_Finance[Job Number],E316&amp;"",tbl_Finance[Ex GST],"&lt;&gt;"))</f>
        <v/>
      </c>
      <c r="Y316" s="27">
        <f>IF(E316="","",SUMIFS(tbl_Finance[Ex GST],tbl_Finance[Job Number],E316&amp;""))</f>
        <v/>
      </c>
      <c r="Z316" s="27">
        <f>IF(E316="","",SUMIFS(tbl_Finance[Ex GST],tbl_Finance[Job Number],E316&amp;"",tbl_Finance[Xero Invoice No],"&lt;&gt;"))</f>
        <v/>
      </c>
      <c r="AA316" s="27">
        <f>IF(E316="","",Y316-Z316)</f>
        <v/>
      </c>
      <c r="AB316" s="25">
        <f>IF(E316="","",IF(H316="Onsite",IFERROR(INDEX(tbl_Onsite[Qwilr Quote],MATCH(E316&amp;"",tbl_Onsite[Job Number],0)),""),IF(H316="Production",IFERROR(IF(INDEX(tbl_Production[Current RMS No],MATCH(E316&amp;"",tbl_Production[Job Number],0))="",INDEX(tbl_Production[Qwilr Quote],MATCH(E316&amp;"",tbl_Production[Job Number],0)),INDEX(tbl_Production[Current RMS No],MATCH(E316&amp;"",tbl_Production[Job Number],0))),""),IF(H316="Consulting",IFERROR(INDEX(tbl_Consulting[Qwilr Quote],MATCH(E316&amp;"",tbl_Consulting[Job Number],0)),""),""))))</f>
        <v/>
      </c>
      <c r="AC316" s="25">
        <f>IF(AB316="","",IF(AND(LEFT(AB316,4)&lt;&gt;"http",IF(H316="Production",set_RMSBase,set_QwilrBase)=""),"",HYPERLINK(IF(LEFT(AB316,4)="http",AB316,IF(H316="Production",set_RMSBase,set_QwilrBase)&amp;AB316),"Open")))</f>
        <v/>
      </c>
      <c r="AD316" s="27">
        <f>IF(E316="","",IF(H316="Production",IFERROR(INDEX(tbl_Production[Total Expense],MATCH(E316&amp;"",tbl_Production[Job Number],0)),0),IF(H316="Consulting",IFERROR(INDEX(tbl_Consulting[Total Expense],MATCH(E316&amp;"",tbl_Consulting[Job Number],0)),0),0)))</f>
        <v/>
      </c>
      <c r="AE316" s="27">
        <f>IF(E316="","",Y316-N(AD316))</f>
        <v/>
      </c>
      <c r="AF316" s="29">
        <f>IFERROR(AE316/Y316,"")</f>
        <v/>
      </c>
      <c r="AG316" s="25">
        <f>IF(E316="","",IF(H316="Onsite",IFERROR(INDEX(tbl_Onsite[Notes],MATCH(E316&amp;"",tbl_Onsite[Job Number],0)),""),IF(H316="Production",IFERROR(INDEX(tbl_Production[Notes],MATCH(E316&amp;"",tbl_Production[Job Number],0)),""),IF(H316="Consulting",IFERROR(INDEX(tbl_Consulting[Notes],MATCH(E316&amp;"",tbl_Consulting[Job Number],0)),""),""))))</f>
        <v/>
      </c>
    </row>
    <row r="317" ht="15" customHeight="1">
      <c r="A317" s="22" t="n"/>
      <c r="B317" s="23">
        <f>IF(A317="","",EOMONTH(A317,0))</f>
        <v/>
      </c>
      <c r="C317" s="24" t="n"/>
      <c r="D317" s="24" t="n"/>
      <c r="E317" s="24" t="n"/>
      <c r="F317" s="25">
        <f>IF(E317="","",IF(COUNTIF(lst_Jobs,E317&amp;"")&gt;0,"OK","CHECK"))</f>
        <v/>
      </c>
      <c r="G317" s="24" t="n"/>
      <c r="H317" s="24" t="n"/>
      <c r="I317" s="24" t="n"/>
      <c r="J317" s="24" t="n"/>
      <c r="K317" s="24" t="n"/>
      <c r="L317" s="26" t="n"/>
      <c r="M317" s="27">
        <f>IF(L317="","",IF(K317="GST 10%",ROUND(L317*set_GSTRate,2),0))</f>
        <v/>
      </c>
      <c r="N317" s="27">
        <f>IF(L317="","",L317+M317)</f>
        <v/>
      </c>
      <c r="O317" s="24" t="n"/>
      <c r="P317" s="24" t="n"/>
      <c r="Q317" s="24" t="n"/>
      <c r="R317" s="22" t="n"/>
      <c r="S317" s="22" t="n"/>
      <c r="T317" s="24" t="n"/>
      <c r="U317" s="24" t="n"/>
      <c r="V317" s="25">
        <f>IF(COUNTA(A317,D317,C317,L317)=0,"",IF(A317="","No date - sits outside every month",IF(E317="","No job number",IF(F317="CHECK","Job number is not in the Xero job list",IF(I317="","No cost centre",IF(AND(P317="Y",C317=""),"Marked posted to Xero but has no invoice number",IF(AND(L317&lt;&gt;"",K317=""),"No tax code",IF(AND(L317&lt;&gt;"",O317=""),"No revenue GL code",""))))))))</f>
        <v/>
      </c>
      <c r="W317" s="25">
        <f>IF(E317="","",IFERROR(INDEX(lst_JobName,MATCH(E317&amp;"",lst_Jobs,0)),""))</f>
        <v/>
      </c>
      <c r="X317" s="28">
        <f>IF(E317="","",COUNTIFS(tbl_Finance[Job Number],E317&amp;"",tbl_Finance[Ex GST],"&lt;&gt;"))</f>
        <v/>
      </c>
      <c r="Y317" s="27">
        <f>IF(E317="","",SUMIFS(tbl_Finance[Ex GST],tbl_Finance[Job Number],E317&amp;""))</f>
        <v/>
      </c>
      <c r="Z317" s="27">
        <f>IF(E317="","",SUMIFS(tbl_Finance[Ex GST],tbl_Finance[Job Number],E317&amp;"",tbl_Finance[Xero Invoice No],"&lt;&gt;"))</f>
        <v/>
      </c>
      <c r="AA317" s="27">
        <f>IF(E317="","",Y317-Z317)</f>
        <v/>
      </c>
      <c r="AB317" s="25">
        <f>IF(E317="","",IF(H317="Onsite",IFERROR(INDEX(tbl_Onsite[Qwilr Quote],MATCH(E317&amp;"",tbl_Onsite[Job Number],0)),""),IF(H317="Production",IFERROR(IF(INDEX(tbl_Production[Current RMS No],MATCH(E317&amp;"",tbl_Production[Job Number],0))="",INDEX(tbl_Production[Qwilr Quote],MATCH(E317&amp;"",tbl_Production[Job Number],0)),INDEX(tbl_Production[Current RMS No],MATCH(E317&amp;"",tbl_Production[Job Number],0))),""),IF(H317="Consulting",IFERROR(INDEX(tbl_Consulting[Qwilr Quote],MATCH(E317&amp;"",tbl_Consulting[Job Number],0)),""),""))))</f>
        <v/>
      </c>
      <c r="AC317" s="25">
        <f>IF(AB317="","",IF(AND(LEFT(AB317,4)&lt;&gt;"http",IF(H317="Production",set_RMSBase,set_QwilrBase)=""),"",HYPERLINK(IF(LEFT(AB317,4)="http",AB317,IF(H317="Production",set_RMSBase,set_QwilrBase)&amp;AB317),"Open")))</f>
        <v/>
      </c>
      <c r="AD317" s="27">
        <f>IF(E317="","",IF(H317="Production",IFERROR(INDEX(tbl_Production[Total Expense],MATCH(E317&amp;"",tbl_Production[Job Number],0)),0),IF(H317="Consulting",IFERROR(INDEX(tbl_Consulting[Total Expense],MATCH(E317&amp;"",tbl_Consulting[Job Number],0)),0),0)))</f>
        <v/>
      </c>
      <c r="AE317" s="27">
        <f>IF(E317="","",Y317-N(AD317))</f>
        <v/>
      </c>
      <c r="AF317" s="29">
        <f>IFERROR(AE317/Y317,"")</f>
        <v/>
      </c>
      <c r="AG317" s="25">
        <f>IF(E317="","",IF(H317="Onsite",IFERROR(INDEX(tbl_Onsite[Notes],MATCH(E317&amp;"",tbl_Onsite[Job Number],0)),""),IF(H317="Production",IFERROR(INDEX(tbl_Production[Notes],MATCH(E317&amp;"",tbl_Production[Job Number],0)),""),IF(H317="Consulting",IFERROR(INDEX(tbl_Consulting[Notes],MATCH(E317&amp;"",tbl_Consulting[Job Number],0)),""),""))))</f>
        <v/>
      </c>
    </row>
    <row r="318" ht="15" customHeight="1">
      <c r="A318" s="22" t="n"/>
      <c r="B318" s="23">
        <f>IF(A318="","",EOMONTH(A318,0))</f>
        <v/>
      </c>
      <c r="C318" s="24" t="n"/>
      <c r="D318" s="24" t="n"/>
      <c r="E318" s="24" t="n"/>
      <c r="F318" s="25">
        <f>IF(E318="","",IF(COUNTIF(lst_Jobs,E318&amp;"")&gt;0,"OK","CHECK"))</f>
        <v/>
      </c>
      <c r="G318" s="24" t="n"/>
      <c r="H318" s="24" t="n"/>
      <c r="I318" s="24" t="n"/>
      <c r="J318" s="24" t="n"/>
      <c r="K318" s="24" t="n"/>
      <c r="L318" s="26" t="n"/>
      <c r="M318" s="27">
        <f>IF(L318="","",IF(K318="GST 10%",ROUND(L318*set_GSTRate,2),0))</f>
        <v/>
      </c>
      <c r="N318" s="27">
        <f>IF(L318="","",L318+M318)</f>
        <v/>
      </c>
      <c r="O318" s="24" t="n"/>
      <c r="P318" s="24" t="n"/>
      <c r="Q318" s="24" t="n"/>
      <c r="R318" s="22" t="n"/>
      <c r="S318" s="22" t="n"/>
      <c r="T318" s="24" t="n"/>
      <c r="U318" s="24" t="n"/>
      <c r="V318" s="25">
        <f>IF(COUNTA(A318,D318,C318,L318)=0,"",IF(A318="","No date - sits outside every month",IF(E318="","No job number",IF(F318="CHECK","Job number is not in the Xero job list",IF(I318="","No cost centre",IF(AND(P318="Y",C318=""),"Marked posted to Xero but has no invoice number",IF(AND(L318&lt;&gt;"",K318=""),"No tax code",IF(AND(L318&lt;&gt;"",O318=""),"No revenue GL code",""))))))))</f>
        <v/>
      </c>
      <c r="W318" s="25">
        <f>IF(E318="","",IFERROR(INDEX(lst_JobName,MATCH(E318&amp;"",lst_Jobs,0)),""))</f>
        <v/>
      </c>
      <c r="X318" s="28">
        <f>IF(E318="","",COUNTIFS(tbl_Finance[Job Number],E318&amp;"",tbl_Finance[Ex GST],"&lt;&gt;"))</f>
        <v/>
      </c>
      <c r="Y318" s="27">
        <f>IF(E318="","",SUMIFS(tbl_Finance[Ex GST],tbl_Finance[Job Number],E318&amp;""))</f>
        <v/>
      </c>
      <c r="Z318" s="27">
        <f>IF(E318="","",SUMIFS(tbl_Finance[Ex GST],tbl_Finance[Job Number],E318&amp;"",tbl_Finance[Xero Invoice No],"&lt;&gt;"))</f>
        <v/>
      </c>
      <c r="AA318" s="27">
        <f>IF(E318="","",Y318-Z318)</f>
        <v/>
      </c>
      <c r="AB318" s="25">
        <f>IF(E318="","",IF(H318="Onsite",IFERROR(INDEX(tbl_Onsite[Qwilr Quote],MATCH(E318&amp;"",tbl_Onsite[Job Number],0)),""),IF(H318="Production",IFERROR(IF(INDEX(tbl_Production[Current RMS No],MATCH(E318&amp;"",tbl_Production[Job Number],0))="",INDEX(tbl_Production[Qwilr Quote],MATCH(E318&amp;"",tbl_Production[Job Number],0)),INDEX(tbl_Production[Current RMS No],MATCH(E318&amp;"",tbl_Production[Job Number],0))),""),IF(H318="Consulting",IFERROR(INDEX(tbl_Consulting[Qwilr Quote],MATCH(E318&amp;"",tbl_Consulting[Job Number],0)),""),""))))</f>
        <v/>
      </c>
      <c r="AC318" s="25">
        <f>IF(AB318="","",IF(AND(LEFT(AB318,4)&lt;&gt;"http",IF(H318="Production",set_RMSBase,set_QwilrBase)=""),"",HYPERLINK(IF(LEFT(AB318,4)="http",AB318,IF(H318="Production",set_RMSBase,set_QwilrBase)&amp;AB318),"Open")))</f>
        <v/>
      </c>
      <c r="AD318" s="27">
        <f>IF(E318="","",IF(H318="Production",IFERROR(INDEX(tbl_Production[Total Expense],MATCH(E318&amp;"",tbl_Production[Job Number],0)),0),IF(H318="Consulting",IFERROR(INDEX(tbl_Consulting[Total Expense],MATCH(E318&amp;"",tbl_Consulting[Job Number],0)),0),0)))</f>
        <v/>
      </c>
      <c r="AE318" s="27">
        <f>IF(E318="","",Y318-N(AD318))</f>
        <v/>
      </c>
      <c r="AF318" s="29">
        <f>IFERROR(AE318/Y318,"")</f>
        <v/>
      </c>
      <c r="AG318" s="25">
        <f>IF(E318="","",IF(H318="Onsite",IFERROR(INDEX(tbl_Onsite[Notes],MATCH(E318&amp;"",tbl_Onsite[Job Number],0)),""),IF(H318="Production",IFERROR(INDEX(tbl_Production[Notes],MATCH(E318&amp;"",tbl_Production[Job Number],0)),""),IF(H318="Consulting",IFERROR(INDEX(tbl_Consulting[Notes],MATCH(E318&amp;"",tbl_Consulting[Job Number],0)),""),""))))</f>
        <v/>
      </c>
    </row>
    <row r="319" ht="15" customHeight="1">
      <c r="A319" s="22" t="n"/>
      <c r="B319" s="23">
        <f>IF(A319="","",EOMONTH(A319,0))</f>
        <v/>
      </c>
      <c r="C319" s="24" t="n"/>
      <c r="D319" s="24" t="n"/>
      <c r="E319" s="24" t="n"/>
      <c r="F319" s="25">
        <f>IF(E319="","",IF(COUNTIF(lst_Jobs,E319&amp;"")&gt;0,"OK","CHECK"))</f>
        <v/>
      </c>
      <c r="G319" s="24" t="n"/>
      <c r="H319" s="24" t="n"/>
      <c r="I319" s="24" t="n"/>
      <c r="J319" s="24" t="n"/>
      <c r="K319" s="24" t="n"/>
      <c r="L319" s="26" t="n"/>
      <c r="M319" s="27">
        <f>IF(L319="","",IF(K319="GST 10%",ROUND(L319*set_GSTRate,2),0))</f>
        <v/>
      </c>
      <c r="N319" s="27">
        <f>IF(L319="","",L319+M319)</f>
        <v/>
      </c>
      <c r="O319" s="24" t="n"/>
      <c r="P319" s="24" t="n"/>
      <c r="Q319" s="24" t="n"/>
      <c r="R319" s="22" t="n"/>
      <c r="S319" s="22" t="n"/>
      <c r="T319" s="24" t="n"/>
      <c r="U319" s="24" t="n"/>
      <c r="V319" s="25">
        <f>IF(COUNTA(A319,D319,C319,L319)=0,"",IF(A319="","No date - sits outside every month",IF(E319="","No job number",IF(F319="CHECK","Job number is not in the Xero job list",IF(I319="","No cost centre",IF(AND(P319="Y",C319=""),"Marked posted to Xero but has no invoice number",IF(AND(L319&lt;&gt;"",K319=""),"No tax code",IF(AND(L319&lt;&gt;"",O319=""),"No revenue GL code",""))))))))</f>
        <v/>
      </c>
      <c r="W319" s="25">
        <f>IF(E319="","",IFERROR(INDEX(lst_JobName,MATCH(E319&amp;"",lst_Jobs,0)),""))</f>
        <v/>
      </c>
      <c r="X319" s="28">
        <f>IF(E319="","",COUNTIFS(tbl_Finance[Job Number],E319&amp;"",tbl_Finance[Ex GST],"&lt;&gt;"))</f>
        <v/>
      </c>
      <c r="Y319" s="27">
        <f>IF(E319="","",SUMIFS(tbl_Finance[Ex GST],tbl_Finance[Job Number],E319&amp;""))</f>
        <v/>
      </c>
      <c r="Z319" s="27">
        <f>IF(E319="","",SUMIFS(tbl_Finance[Ex GST],tbl_Finance[Job Number],E319&amp;"",tbl_Finance[Xero Invoice No],"&lt;&gt;"))</f>
        <v/>
      </c>
      <c r="AA319" s="27">
        <f>IF(E319="","",Y319-Z319)</f>
        <v/>
      </c>
      <c r="AB319" s="25">
        <f>IF(E319="","",IF(H319="Onsite",IFERROR(INDEX(tbl_Onsite[Qwilr Quote],MATCH(E319&amp;"",tbl_Onsite[Job Number],0)),""),IF(H319="Production",IFERROR(IF(INDEX(tbl_Production[Current RMS No],MATCH(E319&amp;"",tbl_Production[Job Number],0))="",INDEX(tbl_Production[Qwilr Quote],MATCH(E319&amp;"",tbl_Production[Job Number],0)),INDEX(tbl_Production[Current RMS No],MATCH(E319&amp;"",tbl_Production[Job Number],0))),""),IF(H319="Consulting",IFERROR(INDEX(tbl_Consulting[Qwilr Quote],MATCH(E319&amp;"",tbl_Consulting[Job Number],0)),""),""))))</f>
        <v/>
      </c>
      <c r="AC319" s="25">
        <f>IF(AB319="","",IF(AND(LEFT(AB319,4)&lt;&gt;"http",IF(H319="Production",set_RMSBase,set_QwilrBase)=""),"",HYPERLINK(IF(LEFT(AB319,4)="http",AB319,IF(H319="Production",set_RMSBase,set_QwilrBase)&amp;AB319),"Open")))</f>
        <v/>
      </c>
      <c r="AD319" s="27">
        <f>IF(E319="","",IF(H319="Production",IFERROR(INDEX(tbl_Production[Total Expense],MATCH(E319&amp;"",tbl_Production[Job Number],0)),0),IF(H319="Consulting",IFERROR(INDEX(tbl_Consulting[Total Expense],MATCH(E319&amp;"",tbl_Consulting[Job Number],0)),0),0)))</f>
        <v/>
      </c>
      <c r="AE319" s="27">
        <f>IF(E319="","",Y319-N(AD319))</f>
        <v/>
      </c>
      <c r="AF319" s="29">
        <f>IFERROR(AE319/Y319,"")</f>
        <v/>
      </c>
      <c r="AG319" s="25">
        <f>IF(E319="","",IF(H319="Onsite",IFERROR(INDEX(tbl_Onsite[Notes],MATCH(E319&amp;"",tbl_Onsite[Job Number],0)),""),IF(H319="Production",IFERROR(INDEX(tbl_Production[Notes],MATCH(E319&amp;"",tbl_Production[Job Number],0)),""),IF(H319="Consulting",IFERROR(INDEX(tbl_Consulting[Notes],MATCH(E319&amp;"",tbl_Consulting[Job Number],0)),""),""))))</f>
        <v/>
      </c>
    </row>
    <row r="320" ht="15" customHeight="1">
      <c r="A320" s="22" t="n"/>
      <c r="B320" s="23">
        <f>IF(A320="","",EOMONTH(A320,0))</f>
        <v/>
      </c>
      <c r="C320" s="24" t="n"/>
      <c r="D320" s="24" t="n"/>
      <c r="E320" s="24" t="n"/>
      <c r="F320" s="25">
        <f>IF(E320="","",IF(COUNTIF(lst_Jobs,E320&amp;"")&gt;0,"OK","CHECK"))</f>
        <v/>
      </c>
      <c r="G320" s="24" t="n"/>
      <c r="H320" s="24" t="n"/>
      <c r="I320" s="24" t="n"/>
      <c r="J320" s="24" t="n"/>
      <c r="K320" s="24" t="n"/>
      <c r="L320" s="26" t="n"/>
      <c r="M320" s="27">
        <f>IF(L320="","",IF(K320="GST 10%",ROUND(L320*set_GSTRate,2),0))</f>
        <v/>
      </c>
      <c r="N320" s="27">
        <f>IF(L320="","",L320+M320)</f>
        <v/>
      </c>
      <c r="O320" s="24" t="n"/>
      <c r="P320" s="24" t="n"/>
      <c r="Q320" s="24" t="n"/>
      <c r="R320" s="22" t="n"/>
      <c r="S320" s="22" t="n"/>
      <c r="T320" s="24" t="n"/>
      <c r="U320" s="24" t="n"/>
      <c r="V320" s="25">
        <f>IF(COUNTA(A320,D320,C320,L320)=0,"",IF(A320="","No date - sits outside every month",IF(E320="","No job number",IF(F320="CHECK","Job number is not in the Xero job list",IF(I320="","No cost centre",IF(AND(P320="Y",C320=""),"Marked posted to Xero but has no invoice number",IF(AND(L320&lt;&gt;"",K320=""),"No tax code",IF(AND(L320&lt;&gt;"",O320=""),"No revenue GL code",""))))))))</f>
        <v/>
      </c>
      <c r="W320" s="25">
        <f>IF(E320="","",IFERROR(INDEX(lst_JobName,MATCH(E320&amp;"",lst_Jobs,0)),""))</f>
        <v/>
      </c>
      <c r="X320" s="28">
        <f>IF(E320="","",COUNTIFS(tbl_Finance[Job Number],E320&amp;"",tbl_Finance[Ex GST],"&lt;&gt;"))</f>
        <v/>
      </c>
      <c r="Y320" s="27">
        <f>IF(E320="","",SUMIFS(tbl_Finance[Ex GST],tbl_Finance[Job Number],E320&amp;""))</f>
        <v/>
      </c>
      <c r="Z320" s="27">
        <f>IF(E320="","",SUMIFS(tbl_Finance[Ex GST],tbl_Finance[Job Number],E320&amp;"",tbl_Finance[Xero Invoice No],"&lt;&gt;"))</f>
        <v/>
      </c>
      <c r="AA320" s="27">
        <f>IF(E320="","",Y320-Z320)</f>
        <v/>
      </c>
      <c r="AB320" s="25">
        <f>IF(E320="","",IF(H320="Onsite",IFERROR(INDEX(tbl_Onsite[Qwilr Quote],MATCH(E320&amp;"",tbl_Onsite[Job Number],0)),""),IF(H320="Production",IFERROR(IF(INDEX(tbl_Production[Current RMS No],MATCH(E320&amp;"",tbl_Production[Job Number],0))="",INDEX(tbl_Production[Qwilr Quote],MATCH(E320&amp;"",tbl_Production[Job Number],0)),INDEX(tbl_Production[Current RMS No],MATCH(E320&amp;"",tbl_Production[Job Number],0))),""),IF(H320="Consulting",IFERROR(INDEX(tbl_Consulting[Qwilr Quote],MATCH(E320&amp;"",tbl_Consulting[Job Number],0)),""),""))))</f>
        <v/>
      </c>
      <c r="AC320" s="25">
        <f>IF(AB320="","",IF(AND(LEFT(AB320,4)&lt;&gt;"http",IF(H320="Production",set_RMSBase,set_QwilrBase)=""),"",HYPERLINK(IF(LEFT(AB320,4)="http",AB320,IF(H320="Production",set_RMSBase,set_QwilrBase)&amp;AB320),"Open")))</f>
        <v/>
      </c>
      <c r="AD320" s="27">
        <f>IF(E320="","",IF(H320="Production",IFERROR(INDEX(tbl_Production[Total Expense],MATCH(E320&amp;"",tbl_Production[Job Number],0)),0),IF(H320="Consulting",IFERROR(INDEX(tbl_Consulting[Total Expense],MATCH(E320&amp;"",tbl_Consulting[Job Number],0)),0),0)))</f>
        <v/>
      </c>
      <c r="AE320" s="27">
        <f>IF(E320="","",Y320-N(AD320))</f>
        <v/>
      </c>
      <c r="AF320" s="29">
        <f>IFERROR(AE320/Y320,"")</f>
        <v/>
      </c>
      <c r="AG320" s="25">
        <f>IF(E320="","",IF(H320="Onsite",IFERROR(INDEX(tbl_Onsite[Notes],MATCH(E320&amp;"",tbl_Onsite[Job Number],0)),""),IF(H320="Production",IFERROR(INDEX(tbl_Production[Notes],MATCH(E320&amp;"",tbl_Production[Job Number],0)),""),IF(H320="Consulting",IFERROR(INDEX(tbl_Consulting[Notes],MATCH(E320&amp;"",tbl_Consulting[Job Number],0)),""),""))))</f>
        <v/>
      </c>
    </row>
    <row r="321" ht="15" customHeight="1">
      <c r="A321" s="22" t="n"/>
      <c r="B321" s="23">
        <f>IF(A321="","",EOMONTH(A321,0))</f>
        <v/>
      </c>
      <c r="C321" s="24" t="n"/>
      <c r="D321" s="24" t="n"/>
      <c r="E321" s="24" t="n"/>
      <c r="F321" s="25">
        <f>IF(E321="","",IF(COUNTIF(lst_Jobs,E321&amp;"")&gt;0,"OK","CHECK"))</f>
        <v/>
      </c>
      <c r="G321" s="24" t="n"/>
      <c r="H321" s="24" t="n"/>
      <c r="I321" s="24" t="n"/>
      <c r="J321" s="24" t="n"/>
      <c r="K321" s="24" t="n"/>
      <c r="L321" s="26" t="n"/>
      <c r="M321" s="27">
        <f>IF(L321="","",IF(K321="GST 10%",ROUND(L321*set_GSTRate,2),0))</f>
        <v/>
      </c>
      <c r="N321" s="27">
        <f>IF(L321="","",L321+M321)</f>
        <v/>
      </c>
      <c r="O321" s="24" t="n"/>
      <c r="P321" s="24" t="n"/>
      <c r="Q321" s="24" t="n"/>
      <c r="R321" s="22" t="n"/>
      <c r="S321" s="22" t="n"/>
      <c r="T321" s="24" t="n"/>
      <c r="U321" s="24" t="n"/>
      <c r="V321" s="25">
        <f>IF(COUNTA(A321,D321,C321,L321)=0,"",IF(A321="","No date - sits outside every month",IF(E321="","No job number",IF(F321="CHECK","Job number is not in the Xero job list",IF(I321="","No cost centre",IF(AND(P321="Y",C321=""),"Marked posted to Xero but has no invoice number",IF(AND(L321&lt;&gt;"",K321=""),"No tax code",IF(AND(L321&lt;&gt;"",O321=""),"No revenue GL code",""))))))))</f>
        <v/>
      </c>
      <c r="W321" s="25">
        <f>IF(E321="","",IFERROR(INDEX(lst_JobName,MATCH(E321&amp;"",lst_Jobs,0)),""))</f>
        <v/>
      </c>
      <c r="X321" s="28">
        <f>IF(E321="","",COUNTIFS(tbl_Finance[Job Number],E321&amp;"",tbl_Finance[Ex GST],"&lt;&gt;"))</f>
        <v/>
      </c>
      <c r="Y321" s="27">
        <f>IF(E321="","",SUMIFS(tbl_Finance[Ex GST],tbl_Finance[Job Number],E321&amp;""))</f>
        <v/>
      </c>
      <c r="Z321" s="27">
        <f>IF(E321="","",SUMIFS(tbl_Finance[Ex GST],tbl_Finance[Job Number],E321&amp;"",tbl_Finance[Xero Invoice No],"&lt;&gt;"))</f>
        <v/>
      </c>
      <c r="AA321" s="27">
        <f>IF(E321="","",Y321-Z321)</f>
        <v/>
      </c>
      <c r="AB321" s="25">
        <f>IF(E321="","",IF(H321="Onsite",IFERROR(INDEX(tbl_Onsite[Qwilr Quote],MATCH(E321&amp;"",tbl_Onsite[Job Number],0)),""),IF(H321="Production",IFERROR(IF(INDEX(tbl_Production[Current RMS No],MATCH(E321&amp;"",tbl_Production[Job Number],0))="",INDEX(tbl_Production[Qwilr Quote],MATCH(E321&amp;"",tbl_Production[Job Number],0)),INDEX(tbl_Production[Current RMS No],MATCH(E321&amp;"",tbl_Production[Job Number],0))),""),IF(H321="Consulting",IFERROR(INDEX(tbl_Consulting[Qwilr Quote],MATCH(E321&amp;"",tbl_Consulting[Job Number],0)),""),""))))</f>
        <v/>
      </c>
      <c r="AC321" s="25">
        <f>IF(AB321="","",IF(AND(LEFT(AB321,4)&lt;&gt;"http",IF(H321="Production",set_RMSBase,set_QwilrBase)=""),"",HYPERLINK(IF(LEFT(AB321,4)="http",AB321,IF(H321="Production",set_RMSBase,set_QwilrBase)&amp;AB321),"Open")))</f>
        <v/>
      </c>
      <c r="AD321" s="27">
        <f>IF(E321="","",IF(H321="Production",IFERROR(INDEX(tbl_Production[Total Expense],MATCH(E321&amp;"",tbl_Production[Job Number],0)),0),IF(H321="Consulting",IFERROR(INDEX(tbl_Consulting[Total Expense],MATCH(E321&amp;"",tbl_Consulting[Job Number],0)),0),0)))</f>
        <v/>
      </c>
      <c r="AE321" s="27">
        <f>IF(E321="","",Y321-N(AD321))</f>
        <v/>
      </c>
      <c r="AF321" s="29">
        <f>IFERROR(AE321/Y321,"")</f>
        <v/>
      </c>
      <c r="AG321" s="25">
        <f>IF(E321="","",IF(H321="Onsite",IFERROR(INDEX(tbl_Onsite[Notes],MATCH(E321&amp;"",tbl_Onsite[Job Number],0)),""),IF(H321="Production",IFERROR(INDEX(tbl_Production[Notes],MATCH(E321&amp;"",tbl_Production[Job Number],0)),""),IF(H321="Consulting",IFERROR(INDEX(tbl_Consulting[Notes],MATCH(E321&amp;"",tbl_Consulting[Job Number],0)),""),""))))</f>
        <v/>
      </c>
    </row>
    <row r="322" ht="15" customHeight="1">
      <c r="A322" s="22" t="n"/>
      <c r="B322" s="23">
        <f>IF(A322="","",EOMONTH(A322,0))</f>
        <v/>
      </c>
      <c r="C322" s="24" t="n"/>
      <c r="D322" s="24" t="n"/>
      <c r="E322" s="24" t="n"/>
      <c r="F322" s="25">
        <f>IF(E322="","",IF(COUNTIF(lst_Jobs,E322&amp;"")&gt;0,"OK","CHECK"))</f>
        <v/>
      </c>
      <c r="G322" s="24" t="n"/>
      <c r="H322" s="24" t="n"/>
      <c r="I322" s="24" t="n"/>
      <c r="J322" s="24" t="n"/>
      <c r="K322" s="24" t="n"/>
      <c r="L322" s="26" t="n"/>
      <c r="M322" s="27">
        <f>IF(L322="","",IF(K322="GST 10%",ROUND(L322*set_GSTRate,2),0))</f>
        <v/>
      </c>
      <c r="N322" s="27">
        <f>IF(L322="","",L322+M322)</f>
        <v/>
      </c>
      <c r="O322" s="24" t="n"/>
      <c r="P322" s="24" t="n"/>
      <c r="Q322" s="24" t="n"/>
      <c r="R322" s="22" t="n"/>
      <c r="S322" s="22" t="n"/>
      <c r="T322" s="24" t="n"/>
      <c r="U322" s="24" t="n"/>
      <c r="V322" s="25">
        <f>IF(COUNTA(A322,D322,C322,L322)=0,"",IF(A322="","No date - sits outside every month",IF(E322="","No job number",IF(F322="CHECK","Job number is not in the Xero job list",IF(I322="","No cost centre",IF(AND(P322="Y",C322=""),"Marked posted to Xero but has no invoice number",IF(AND(L322&lt;&gt;"",K322=""),"No tax code",IF(AND(L322&lt;&gt;"",O322=""),"No revenue GL code",""))))))))</f>
        <v/>
      </c>
      <c r="W322" s="25">
        <f>IF(E322="","",IFERROR(INDEX(lst_JobName,MATCH(E322&amp;"",lst_Jobs,0)),""))</f>
        <v/>
      </c>
      <c r="X322" s="28">
        <f>IF(E322="","",COUNTIFS(tbl_Finance[Job Number],E322&amp;"",tbl_Finance[Ex GST],"&lt;&gt;"))</f>
        <v/>
      </c>
      <c r="Y322" s="27">
        <f>IF(E322="","",SUMIFS(tbl_Finance[Ex GST],tbl_Finance[Job Number],E322&amp;""))</f>
        <v/>
      </c>
      <c r="Z322" s="27">
        <f>IF(E322="","",SUMIFS(tbl_Finance[Ex GST],tbl_Finance[Job Number],E322&amp;"",tbl_Finance[Xero Invoice No],"&lt;&gt;"))</f>
        <v/>
      </c>
      <c r="AA322" s="27">
        <f>IF(E322="","",Y322-Z322)</f>
        <v/>
      </c>
      <c r="AB322" s="25">
        <f>IF(E322="","",IF(H322="Onsite",IFERROR(INDEX(tbl_Onsite[Qwilr Quote],MATCH(E322&amp;"",tbl_Onsite[Job Number],0)),""),IF(H322="Production",IFERROR(IF(INDEX(tbl_Production[Current RMS No],MATCH(E322&amp;"",tbl_Production[Job Number],0))="",INDEX(tbl_Production[Qwilr Quote],MATCH(E322&amp;"",tbl_Production[Job Number],0)),INDEX(tbl_Production[Current RMS No],MATCH(E322&amp;"",tbl_Production[Job Number],0))),""),IF(H322="Consulting",IFERROR(INDEX(tbl_Consulting[Qwilr Quote],MATCH(E322&amp;"",tbl_Consulting[Job Number],0)),""),""))))</f>
        <v/>
      </c>
      <c r="AC322" s="25">
        <f>IF(AB322="","",IF(AND(LEFT(AB322,4)&lt;&gt;"http",IF(H322="Production",set_RMSBase,set_QwilrBase)=""),"",HYPERLINK(IF(LEFT(AB322,4)="http",AB322,IF(H322="Production",set_RMSBase,set_QwilrBase)&amp;AB322),"Open")))</f>
        <v/>
      </c>
      <c r="AD322" s="27">
        <f>IF(E322="","",IF(H322="Production",IFERROR(INDEX(tbl_Production[Total Expense],MATCH(E322&amp;"",tbl_Production[Job Number],0)),0),IF(H322="Consulting",IFERROR(INDEX(tbl_Consulting[Total Expense],MATCH(E322&amp;"",tbl_Consulting[Job Number],0)),0),0)))</f>
        <v/>
      </c>
      <c r="AE322" s="27">
        <f>IF(E322="","",Y322-N(AD322))</f>
        <v/>
      </c>
      <c r="AF322" s="29">
        <f>IFERROR(AE322/Y322,"")</f>
        <v/>
      </c>
      <c r="AG322" s="25">
        <f>IF(E322="","",IF(H322="Onsite",IFERROR(INDEX(tbl_Onsite[Notes],MATCH(E322&amp;"",tbl_Onsite[Job Number],0)),""),IF(H322="Production",IFERROR(INDEX(tbl_Production[Notes],MATCH(E322&amp;"",tbl_Production[Job Number],0)),""),IF(H322="Consulting",IFERROR(INDEX(tbl_Consulting[Notes],MATCH(E322&amp;"",tbl_Consulting[Job Number],0)),""),""))))</f>
        <v/>
      </c>
    </row>
    <row r="323" ht="15" customHeight="1">
      <c r="A323" s="22" t="n"/>
      <c r="B323" s="23">
        <f>IF(A323="","",EOMONTH(A323,0))</f>
        <v/>
      </c>
      <c r="C323" s="24" t="n"/>
      <c r="D323" s="24" t="n"/>
      <c r="E323" s="24" t="n"/>
      <c r="F323" s="25">
        <f>IF(E323="","",IF(COUNTIF(lst_Jobs,E323&amp;"")&gt;0,"OK","CHECK"))</f>
        <v/>
      </c>
      <c r="G323" s="24" t="n"/>
      <c r="H323" s="24" t="n"/>
      <c r="I323" s="24" t="n"/>
      <c r="J323" s="24" t="n"/>
      <c r="K323" s="24" t="n"/>
      <c r="L323" s="26" t="n"/>
      <c r="M323" s="27">
        <f>IF(L323="","",IF(K323="GST 10%",ROUND(L323*set_GSTRate,2),0))</f>
        <v/>
      </c>
      <c r="N323" s="27">
        <f>IF(L323="","",L323+M323)</f>
        <v/>
      </c>
      <c r="O323" s="24" t="n"/>
      <c r="P323" s="24" t="n"/>
      <c r="Q323" s="24" t="n"/>
      <c r="R323" s="22" t="n"/>
      <c r="S323" s="22" t="n"/>
      <c r="T323" s="24" t="n"/>
      <c r="U323" s="24" t="n"/>
      <c r="V323" s="25">
        <f>IF(COUNTA(A323,D323,C323,L323)=0,"",IF(A323="","No date - sits outside every month",IF(E323="","No job number",IF(F323="CHECK","Job number is not in the Xero job list",IF(I323="","No cost centre",IF(AND(P323="Y",C323=""),"Marked posted to Xero but has no invoice number",IF(AND(L323&lt;&gt;"",K323=""),"No tax code",IF(AND(L323&lt;&gt;"",O323=""),"No revenue GL code",""))))))))</f>
        <v/>
      </c>
      <c r="W323" s="25">
        <f>IF(E323="","",IFERROR(INDEX(lst_JobName,MATCH(E323&amp;"",lst_Jobs,0)),""))</f>
        <v/>
      </c>
      <c r="X323" s="28">
        <f>IF(E323="","",COUNTIFS(tbl_Finance[Job Number],E323&amp;"",tbl_Finance[Ex GST],"&lt;&gt;"))</f>
        <v/>
      </c>
      <c r="Y323" s="27">
        <f>IF(E323="","",SUMIFS(tbl_Finance[Ex GST],tbl_Finance[Job Number],E323&amp;""))</f>
        <v/>
      </c>
      <c r="Z323" s="27">
        <f>IF(E323="","",SUMIFS(tbl_Finance[Ex GST],tbl_Finance[Job Number],E323&amp;"",tbl_Finance[Xero Invoice No],"&lt;&gt;"))</f>
        <v/>
      </c>
      <c r="AA323" s="27">
        <f>IF(E323="","",Y323-Z323)</f>
        <v/>
      </c>
      <c r="AB323" s="25">
        <f>IF(E323="","",IF(H323="Onsite",IFERROR(INDEX(tbl_Onsite[Qwilr Quote],MATCH(E323&amp;"",tbl_Onsite[Job Number],0)),""),IF(H323="Production",IFERROR(IF(INDEX(tbl_Production[Current RMS No],MATCH(E323&amp;"",tbl_Production[Job Number],0))="",INDEX(tbl_Production[Qwilr Quote],MATCH(E323&amp;"",tbl_Production[Job Number],0)),INDEX(tbl_Production[Current RMS No],MATCH(E323&amp;"",tbl_Production[Job Number],0))),""),IF(H323="Consulting",IFERROR(INDEX(tbl_Consulting[Qwilr Quote],MATCH(E323&amp;"",tbl_Consulting[Job Number],0)),""),""))))</f>
        <v/>
      </c>
      <c r="AC323" s="25">
        <f>IF(AB323="","",IF(AND(LEFT(AB323,4)&lt;&gt;"http",IF(H323="Production",set_RMSBase,set_QwilrBase)=""),"",HYPERLINK(IF(LEFT(AB323,4)="http",AB323,IF(H323="Production",set_RMSBase,set_QwilrBase)&amp;AB323),"Open")))</f>
        <v/>
      </c>
      <c r="AD323" s="27">
        <f>IF(E323="","",IF(H323="Production",IFERROR(INDEX(tbl_Production[Total Expense],MATCH(E323&amp;"",tbl_Production[Job Number],0)),0),IF(H323="Consulting",IFERROR(INDEX(tbl_Consulting[Total Expense],MATCH(E323&amp;"",tbl_Consulting[Job Number],0)),0),0)))</f>
        <v/>
      </c>
      <c r="AE323" s="27">
        <f>IF(E323="","",Y323-N(AD323))</f>
        <v/>
      </c>
      <c r="AF323" s="29">
        <f>IFERROR(AE323/Y323,"")</f>
        <v/>
      </c>
      <c r="AG323" s="25">
        <f>IF(E323="","",IF(H323="Onsite",IFERROR(INDEX(tbl_Onsite[Notes],MATCH(E323&amp;"",tbl_Onsite[Job Number],0)),""),IF(H323="Production",IFERROR(INDEX(tbl_Production[Notes],MATCH(E323&amp;"",tbl_Production[Job Number],0)),""),IF(H323="Consulting",IFERROR(INDEX(tbl_Consulting[Notes],MATCH(E323&amp;"",tbl_Consulting[Job Number],0)),""),""))))</f>
        <v/>
      </c>
    </row>
    <row r="324" ht="15" customHeight="1">
      <c r="A324" s="22" t="n"/>
      <c r="B324" s="23">
        <f>IF(A324="","",EOMONTH(A324,0))</f>
        <v/>
      </c>
      <c r="C324" s="24" t="n"/>
      <c r="D324" s="24" t="n"/>
      <c r="E324" s="24" t="n"/>
      <c r="F324" s="25">
        <f>IF(E324="","",IF(COUNTIF(lst_Jobs,E324&amp;"")&gt;0,"OK","CHECK"))</f>
        <v/>
      </c>
      <c r="G324" s="24" t="n"/>
      <c r="H324" s="24" t="n"/>
      <c r="I324" s="24" t="n"/>
      <c r="J324" s="24" t="n"/>
      <c r="K324" s="24" t="n"/>
      <c r="L324" s="26" t="n"/>
      <c r="M324" s="27">
        <f>IF(L324="","",IF(K324="GST 10%",ROUND(L324*set_GSTRate,2),0))</f>
        <v/>
      </c>
      <c r="N324" s="27">
        <f>IF(L324="","",L324+M324)</f>
        <v/>
      </c>
      <c r="O324" s="24" t="n"/>
      <c r="P324" s="24" t="n"/>
      <c r="Q324" s="24" t="n"/>
      <c r="R324" s="22" t="n"/>
      <c r="S324" s="22" t="n"/>
      <c r="T324" s="24" t="n"/>
      <c r="U324" s="24" t="n"/>
      <c r="V324" s="25">
        <f>IF(COUNTA(A324,D324,C324,L324)=0,"",IF(A324="","No date - sits outside every month",IF(E324="","No job number",IF(F324="CHECK","Job number is not in the Xero job list",IF(I324="","No cost centre",IF(AND(P324="Y",C324=""),"Marked posted to Xero but has no invoice number",IF(AND(L324&lt;&gt;"",K324=""),"No tax code",IF(AND(L324&lt;&gt;"",O324=""),"No revenue GL code",""))))))))</f>
        <v/>
      </c>
      <c r="W324" s="25">
        <f>IF(E324="","",IFERROR(INDEX(lst_JobName,MATCH(E324&amp;"",lst_Jobs,0)),""))</f>
        <v/>
      </c>
      <c r="X324" s="28">
        <f>IF(E324="","",COUNTIFS(tbl_Finance[Job Number],E324&amp;"",tbl_Finance[Ex GST],"&lt;&gt;"))</f>
        <v/>
      </c>
      <c r="Y324" s="27">
        <f>IF(E324="","",SUMIFS(tbl_Finance[Ex GST],tbl_Finance[Job Number],E324&amp;""))</f>
        <v/>
      </c>
      <c r="Z324" s="27">
        <f>IF(E324="","",SUMIFS(tbl_Finance[Ex GST],tbl_Finance[Job Number],E324&amp;"",tbl_Finance[Xero Invoice No],"&lt;&gt;"))</f>
        <v/>
      </c>
      <c r="AA324" s="27">
        <f>IF(E324="","",Y324-Z324)</f>
        <v/>
      </c>
      <c r="AB324" s="25">
        <f>IF(E324="","",IF(H324="Onsite",IFERROR(INDEX(tbl_Onsite[Qwilr Quote],MATCH(E324&amp;"",tbl_Onsite[Job Number],0)),""),IF(H324="Production",IFERROR(IF(INDEX(tbl_Production[Current RMS No],MATCH(E324&amp;"",tbl_Production[Job Number],0))="",INDEX(tbl_Production[Qwilr Quote],MATCH(E324&amp;"",tbl_Production[Job Number],0)),INDEX(tbl_Production[Current RMS No],MATCH(E324&amp;"",tbl_Production[Job Number],0))),""),IF(H324="Consulting",IFERROR(INDEX(tbl_Consulting[Qwilr Quote],MATCH(E324&amp;"",tbl_Consulting[Job Number],0)),""),""))))</f>
        <v/>
      </c>
      <c r="AC324" s="25">
        <f>IF(AB324="","",IF(AND(LEFT(AB324,4)&lt;&gt;"http",IF(H324="Production",set_RMSBase,set_QwilrBase)=""),"",HYPERLINK(IF(LEFT(AB324,4)="http",AB324,IF(H324="Production",set_RMSBase,set_QwilrBase)&amp;AB324),"Open")))</f>
        <v/>
      </c>
      <c r="AD324" s="27">
        <f>IF(E324="","",IF(H324="Production",IFERROR(INDEX(tbl_Production[Total Expense],MATCH(E324&amp;"",tbl_Production[Job Number],0)),0),IF(H324="Consulting",IFERROR(INDEX(tbl_Consulting[Total Expense],MATCH(E324&amp;"",tbl_Consulting[Job Number],0)),0),0)))</f>
        <v/>
      </c>
      <c r="AE324" s="27">
        <f>IF(E324="","",Y324-N(AD324))</f>
        <v/>
      </c>
      <c r="AF324" s="29">
        <f>IFERROR(AE324/Y324,"")</f>
        <v/>
      </c>
      <c r="AG324" s="25">
        <f>IF(E324="","",IF(H324="Onsite",IFERROR(INDEX(tbl_Onsite[Notes],MATCH(E324&amp;"",tbl_Onsite[Job Number],0)),""),IF(H324="Production",IFERROR(INDEX(tbl_Production[Notes],MATCH(E324&amp;"",tbl_Production[Job Number],0)),""),IF(H324="Consulting",IFERROR(INDEX(tbl_Consulting[Notes],MATCH(E324&amp;"",tbl_Consulting[Job Number],0)),""),""))))</f>
        <v/>
      </c>
    </row>
    <row r="325" ht="15" customHeight="1">
      <c r="A325" s="22" t="n"/>
      <c r="B325" s="23">
        <f>IF(A325="","",EOMONTH(A325,0))</f>
        <v/>
      </c>
      <c r="C325" s="24" t="n"/>
      <c r="D325" s="24" t="n"/>
      <c r="E325" s="24" t="n"/>
      <c r="F325" s="25">
        <f>IF(E325="","",IF(COUNTIF(lst_Jobs,E325&amp;"")&gt;0,"OK","CHECK"))</f>
        <v/>
      </c>
      <c r="G325" s="24" t="n"/>
      <c r="H325" s="24" t="n"/>
      <c r="I325" s="24" t="n"/>
      <c r="J325" s="24" t="n"/>
      <c r="K325" s="24" t="n"/>
      <c r="L325" s="26" t="n"/>
      <c r="M325" s="27">
        <f>IF(L325="","",IF(K325="GST 10%",ROUND(L325*set_GSTRate,2),0))</f>
        <v/>
      </c>
      <c r="N325" s="27">
        <f>IF(L325="","",L325+M325)</f>
        <v/>
      </c>
      <c r="O325" s="24" t="n"/>
      <c r="P325" s="24" t="n"/>
      <c r="Q325" s="24" t="n"/>
      <c r="R325" s="22" t="n"/>
      <c r="S325" s="22" t="n"/>
      <c r="T325" s="24" t="n"/>
      <c r="U325" s="24" t="n"/>
      <c r="V325" s="25">
        <f>IF(COUNTA(A325,D325,C325,L325)=0,"",IF(A325="","No date - sits outside every month",IF(E325="","No job number",IF(F325="CHECK","Job number is not in the Xero job list",IF(I325="","No cost centre",IF(AND(P325="Y",C325=""),"Marked posted to Xero but has no invoice number",IF(AND(L325&lt;&gt;"",K325=""),"No tax code",IF(AND(L325&lt;&gt;"",O325=""),"No revenue GL code",""))))))))</f>
        <v/>
      </c>
      <c r="W325" s="25">
        <f>IF(E325="","",IFERROR(INDEX(lst_JobName,MATCH(E325&amp;"",lst_Jobs,0)),""))</f>
        <v/>
      </c>
      <c r="X325" s="28">
        <f>IF(E325="","",COUNTIFS(tbl_Finance[Job Number],E325&amp;"",tbl_Finance[Ex GST],"&lt;&gt;"))</f>
        <v/>
      </c>
      <c r="Y325" s="27">
        <f>IF(E325="","",SUMIFS(tbl_Finance[Ex GST],tbl_Finance[Job Number],E325&amp;""))</f>
        <v/>
      </c>
      <c r="Z325" s="27">
        <f>IF(E325="","",SUMIFS(tbl_Finance[Ex GST],tbl_Finance[Job Number],E325&amp;"",tbl_Finance[Xero Invoice No],"&lt;&gt;"))</f>
        <v/>
      </c>
      <c r="AA325" s="27">
        <f>IF(E325="","",Y325-Z325)</f>
        <v/>
      </c>
      <c r="AB325" s="25">
        <f>IF(E325="","",IF(H325="Onsite",IFERROR(INDEX(tbl_Onsite[Qwilr Quote],MATCH(E325&amp;"",tbl_Onsite[Job Number],0)),""),IF(H325="Production",IFERROR(IF(INDEX(tbl_Production[Current RMS No],MATCH(E325&amp;"",tbl_Production[Job Number],0))="",INDEX(tbl_Production[Qwilr Quote],MATCH(E325&amp;"",tbl_Production[Job Number],0)),INDEX(tbl_Production[Current RMS No],MATCH(E325&amp;"",tbl_Production[Job Number],0))),""),IF(H325="Consulting",IFERROR(INDEX(tbl_Consulting[Qwilr Quote],MATCH(E325&amp;"",tbl_Consulting[Job Number],0)),""),""))))</f>
        <v/>
      </c>
      <c r="AC325" s="25">
        <f>IF(AB325="","",IF(AND(LEFT(AB325,4)&lt;&gt;"http",IF(H325="Production",set_RMSBase,set_QwilrBase)=""),"",HYPERLINK(IF(LEFT(AB325,4)="http",AB325,IF(H325="Production",set_RMSBase,set_QwilrBase)&amp;AB325),"Open")))</f>
        <v/>
      </c>
      <c r="AD325" s="27">
        <f>IF(E325="","",IF(H325="Production",IFERROR(INDEX(tbl_Production[Total Expense],MATCH(E325&amp;"",tbl_Production[Job Number],0)),0),IF(H325="Consulting",IFERROR(INDEX(tbl_Consulting[Total Expense],MATCH(E325&amp;"",tbl_Consulting[Job Number],0)),0),0)))</f>
        <v/>
      </c>
      <c r="AE325" s="27">
        <f>IF(E325="","",Y325-N(AD325))</f>
        <v/>
      </c>
      <c r="AF325" s="29">
        <f>IFERROR(AE325/Y325,"")</f>
        <v/>
      </c>
      <c r="AG325" s="25">
        <f>IF(E325="","",IF(H325="Onsite",IFERROR(INDEX(tbl_Onsite[Notes],MATCH(E325&amp;"",tbl_Onsite[Job Number],0)),""),IF(H325="Production",IFERROR(INDEX(tbl_Production[Notes],MATCH(E325&amp;"",tbl_Production[Job Number],0)),""),IF(H325="Consulting",IFERROR(INDEX(tbl_Consulting[Notes],MATCH(E325&amp;"",tbl_Consulting[Job Number],0)),""),""))))</f>
        <v/>
      </c>
    </row>
    <row r="326" ht="15" customHeight="1">
      <c r="A326" s="22" t="n"/>
      <c r="B326" s="23">
        <f>IF(A326="","",EOMONTH(A326,0))</f>
        <v/>
      </c>
      <c r="C326" s="24" t="n"/>
      <c r="D326" s="24" t="n"/>
      <c r="E326" s="24" t="n"/>
      <c r="F326" s="25">
        <f>IF(E326="","",IF(COUNTIF(lst_Jobs,E326&amp;"")&gt;0,"OK","CHECK"))</f>
        <v/>
      </c>
      <c r="G326" s="24" t="n"/>
      <c r="H326" s="24" t="n"/>
      <c r="I326" s="24" t="n"/>
      <c r="J326" s="24" t="n"/>
      <c r="K326" s="24" t="n"/>
      <c r="L326" s="26" t="n"/>
      <c r="M326" s="27">
        <f>IF(L326="","",IF(K326="GST 10%",ROUND(L326*set_GSTRate,2),0))</f>
        <v/>
      </c>
      <c r="N326" s="27">
        <f>IF(L326="","",L326+M326)</f>
        <v/>
      </c>
      <c r="O326" s="24" t="n"/>
      <c r="P326" s="24" t="n"/>
      <c r="Q326" s="24" t="n"/>
      <c r="R326" s="22" t="n"/>
      <c r="S326" s="22" t="n"/>
      <c r="T326" s="24" t="n"/>
      <c r="U326" s="24" t="n"/>
      <c r="V326" s="25">
        <f>IF(COUNTA(A326,D326,C326,L326)=0,"",IF(A326="","No date - sits outside every month",IF(E326="","No job number",IF(F326="CHECK","Job number is not in the Xero job list",IF(I326="","No cost centre",IF(AND(P326="Y",C326=""),"Marked posted to Xero but has no invoice number",IF(AND(L326&lt;&gt;"",K326=""),"No tax code",IF(AND(L326&lt;&gt;"",O326=""),"No revenue GL code",""))))))))</f>
        <v/>
      </c>
      <c r="W326" s="25">
        <f>IF(E326="","",IFERROR(INDEX(lst_JobName,MATCH(E326&amp;"",lst_Jobs,0)),""))</f>
        <v/>
      </c>
      <c r="X326" s="28">
        <f>IF(E326="","",COUNTIFS(tbl_Finance[Job Number],E326&amp;"",tbl_Finance[Ex GST],"&lt;&gt;"))</f>
        <v/>
      </c>
      <c r="Y326" s="27">
        <f>IF(E326="","",SUMIFS(tbl_Finance[Ex GST],tbl_Finance[Job Number],E326&amp;""))</f>
        <v/>
      </c>
      <c r="Z326" s="27">
        <f>IF(E326="","",SUMIFS(tbl_Finance[Ex GST],tbl_Finance[Job Number],E326&amp;"",tbl_Finance[Xero Invoice No],"&lt;&gt;"))</f>
        <v/>
      </c>
      <c r="AA326" s="27">
        <f>IF(E326="","",Y326-Z326)</f>
        <v/>
      </c>
      <c r="AB326" s="25">
        <f>IF(E326="","",IF(H326="Onsite",IFERROR(INDEX(tbl_Onsite[Qwilr Quote],MATCH(E326&amp;"",tbl_Onsite[Job Number],0)),""),IF(H326="Production",IFERROR(IF(INDEX(tbl_Production[Current RMS No],MATCH(E326&amp;"",tbl_Production[Job Number],0))="",INDEX(tbl_Production[Qwilr Quote],MATCH(E326&amp;"",tbl_Production[Job Number],0)),INDEX(tbl_Production[Current RMS No],MATCH(E326&amp;"",tbl_Production[Job Number],0))),""),IF(H326="Consulting",IFERROR(INDEX(tbl_Consulting[Qwilr Quote],MATCH(E326&amp;"",tbl_Consulting[Job Number],0)),""),""))))</f>
        <v/>
      </c>
      <c r="AC326" s="25">
        <f>IF(AB326="","",IF(AND(LEFT(AB326,4)&lt;&gt;"http",IF(H326="Production",set_RMSBase,set_QwilrBase)=""),"",HYPERLINK(IF(LEFT(AB326,4)="http",AB326,IF(H326="Production",set_RMSBase,set_QwilrBase)&amp;AB326),"Open")))</f>
        <v/>
      </c>
      <c r="AD326" s="27">
        <f>IF(E326="","",IF(H326="Production",IFERROR(INDEX(tbl_Production[Total Expense],MATCH(E326&amp;"",tbl_Production[Job Number],0)),0),IF(H326="Consulting",IFERROR(INDEX(tbl_Consulting[Total Expense],MATCH(E326&amp;"",tbl_Consulting[Job Number],0)),0),0)))</f>
        <v/>
      </c>
      <c r="AE326" s="27">
        <f>IF(E326="","",Y326-N(AD326))</f>
        <v/>
      </c>
      <c r="AF326" s="29">
        <f>IFERROR(AE326/Y326,"")</f>
        <v/>
      </c>
      <c r="AG326" s="25">
        <f>IF(E326="","",IF(H326="Onsite",IFERROR(INDEX(tbl_Onsite[Notes],MATCH(E326&amp;"",tbl_Onsite[Job Number],0)),""),IF(H326="Production",IFERROR(INDEX(tbl_Production[Notes],MATCH(E326&amp;"",tbl_Production[Job Number],0)),""),IF(H326="Consulting",IFERROR(INDEX(tbl_Consulting[Notes],MATCH(E326&amp;"",tbl_Consulting[Job Number],0)),""),""))))</f>
        <v/>
      </c>
    </row>
    <row r="327" ht="15" customHeight="1">
      <c r="A327" s="22" t="n"/>
      <c r="B327" s="23">
        <f>IF(A327="","",EOMONTH(A327,0))</f>
        <v/>
      </c>
      <c r="C327" s="24" t="n"/>
      <c r="D327" s="24" t="n"/>
      <c r="E327" s="24" t="n"/>
      <c r="F327" s="25">
        <f>IF(E327="","",IF(COUNTIF(lst_Jobs,E327&amp;"")&gt;0,"OK","CHECK"))</f>
        <v/>
      </c>
      <c r="G327" s="24" t="n"/>
      <c r="H327" s="24" t="n"/>
      <c r="I327" s="24" t="n"/>
      <c r="J327" s="24" t="n"/>
      <c r="K327" s="24" t="n"/>
      <c r="L327" s="26" t="n"/>
      <c r="M327" s="27">
        <f>IF(L327="","",IF(K327="GST 10%",ROUND(L327*set_GSTRate,2),0))</f>
        <v/>
      </c>
      <c r="N327" s="27">
        <f>IF(L327="","",L327+M327)</f>
        <v/>
      </c>
      <c r="O327" s="24" t="n"/>
      <c r="P327" s="24" t="n"/>
      <c r="Q327" s="24" t="n"/>
      <c r="R327" s="22" t="n"/>
      <c r="S327" s="22" t="n"/>
      <c r="T327" s="24" t="n"/>
      <c r="U327" s="24" t="n"/>
      <c r="V327" s="25">
        <f>IF(COUNTA(A327,D327,C327,L327)=0,"",IF(A327="","No date - sits outside every month",IF(E327="","No job number",IF(F327="CHECK","Job number is not in the Xero job list",IF(I327="","No cost centre",IF(AND(P327="Y",C327=""),"Marked posted to Xero but has no invoice number",IF(AND(L327&lt;&gt;"",K327=""),"No tax code",IF(AND(L327&lt;&gt;"",O327=""),"No revenue GL code",""))))))))</f>
        <v/>
      </c>
      <c r="W327" s="25">
        <f>IF(E327="","",IFERROR(INDEX(lst_JobName,MATCH(E327&amp;"",lst_Jobs,0)),""))</f>
        <v/>
      </c>
      <c r="X327" s="28">
        <f>IF(E327="","",COUNTIFS(tbl_Finance[Job Number],E327&amp;"",tbl_Finance[Ex GST],"&lt;&gt;"))</f>
        <v/>
      </c>
      <c r="Y327" s="27">
        <f>IF(E327="","",SUMIFS(tbl_Finance[Ex GST],tbl_Finance[Job Number],E327&amp;""))</f>
        <v/>
      </c>
      <c r="Z327" s="27">
        <f>IF(E327="","",SUMIFS(tbl_Finance[Ex GST],tbl_Finance[Job Number],E327&amp;"",tbl_Finance[Xero Invoice No],"&lt;&gt;"))</f>
        <v/>
      </c>
      <c r="AA327" s="27">
        <f>IF(E327="","",Y327-Z327)</f>
        <v/>
      </c>
      <c r="AB327" s="25">
        <f>IF(E327="","",IF(H327="Onsite",IFERROR(INDEX(tbl_Onsite[Qwilr Quote],MATCH(E327&amp;"",tbl_Onsite[Job Number],0)),""),IF(H327="Production",IFERROR(IF(INDEX(tbl_Production[Current RMS No],MATCH(E327&amp;"",tbl_Production[Job Number],0))="",INDEX(tbl_Production[Qwilr Quote],MATCH(E327&amp;"",tbl_Production[Job Number],0)),INDEX(tbl_Production[Current RMS No],MATCH(E327&amp;"",tbl_Production[Job Number],0))),""),IF(H327="Consulting",IFERROR(INDEX(tbl_Consulting[Qwilr Quote],MATCH(E327&amp;"",tbl_Consulting[Job Number],0)),""),""))))</f>
        <v/>
      </c>
      <c r="AC327" s="25">
        <f>IF(AB327="","",IF(AND(LEFT(AB327,4)&lt;&gt;"http",IF(H327="Production",set_RMSBase,set_QwilrBase)=""),"",HYPERLINK(IF(LEFT(AB327,4)="http",AB327,IF(H327="Production",set_RMSBase,set_QwilrBase)&amp;AB327),"Open")))</f>
        <v/>
      </c>
      <c r="AD327" s="27">
        <f>IF(E327="","",IF(H327="Production",IFERROR(INDEX(tbl_Production[Total Expense],MATCH(E327&amp;"",tbl_Production[Job Number],0)),0),IF(H327="Consulting",IFERROR(INDEX(tbl_Consulting[Total Expense],MATCH(E327&amp;"",tbl_Consulting[Job Number],0)),0),0)))</f>
        <v/>
      </c>
      <c r="AE327" s="27">
        <f>IF(E327="","",Y327-N(AD327))</f>
        <v/>
      </c>
      <c r="AF327" s="29">
        <f>IFERROR(AE327/Y327,"")</f>
        <v/>
      </c>
      <c r="AG327" s="25">
        <f>IF(E327="","",IF(H327="Onsite",IFERROR(INDEX(tbl_Onsite[Notes],MATCH(E327&amp;"",tbl_Onsite[Job Number],0)),""),IF(H327="Production",IFERROR(INDEX(tbl_Production[Notes],MATCH(E327&amp;"",tbl_Production[Job Number],0)),""),IF(H327="Consulting",IFERROR(INDEX(tbl_Consulting[Notes],MATCH(E327&amp;"",tbl_Consulting[Job Number],0)),""),""))))</f>
        <v/>
      </c>
    </row>
    <row r="328" ht="15" customHeight="1">
      <c r="A328" s="22" t="n"/>
      <c r="B328" s="23">
        <f>IF(A328="","",EOMONTH(A328,0))</f>
        <v/>
      </c>
      <c r="C328" s="24" t="n"/>
      <c r="D328" s="24" t="n"/>
      <c r="E328" s="24" t="n"/>
      <c r="F328" s="25">
        <f>IF(E328="","",IF(COUNTIF(lst_Jobs,E328&amp;"")&gt;0,"OK","CHECK"))</f>
        <v/>
      </c>
      <c r="G328" s="24" t="n"/>
      <c r="H328" s="24" t="n"/>
      <c r="I328" s="24" t="n"/>
      <c r="J328" s="24" t="n"/>
      <c r="K328" s="24" t="n"/>
      <c r="L328" s="26" t="n"/>
      <c r="M328" s="27">
        <f>IF(L328="","",IF(K328="GST 10%",ROUND(L328*set_GSTRate,2),0))</f>
        <v/>
      </c>
      <c r="N328" s="27">
        <f>IF(L328="","",L328+M328)</f>
        <v/>
      </c>
      <c r="O328" s="24" t="n"/>
      <c r="P328" s="24" t="n"/>
      <c r="Q328" s="24" t="n"/>
      <c r="R328" s="22" t="n"/>
      <c r="S328" s="22" t="n"/>
      <c r="T328" s="24" t="n"/>
      <c r="U328" s="24" t="n"/>
      <c r="V328" s="25">
        <f>IF(COUNTA(A328,D328,C328,L328)=0,"",IF(A328="","No date - sits outside every month",IF(E328="","No job number",IF(F328="CHECK","Job number is not in the Xero job list",IF(I328="","No cost centre",IF(AND(P328="Y",C328=""),"Marked posted to Xero but has no invoice number",IF(AND(L328&lt;&gt;"",K328=""),"No tax code",IF(AND(L328&lt;&gt;"",O328=""),"No revenue GL code",""))))))))</f>
        <v/>
      </c>
      <c r="W328" s="25">
        <f>IF(E328="","",IFERROR(INDEX(lst_JobName,MATCH(E328&amp;"",lst_Jobs,0)),""))</f>
        <v/>
      </c>
      <c r="X328" s="28">
        <f>IF(E328="","",COUNTIFS(tbl_Finance[Job Number],E328&amp;"",tbl_Finance[Ex GST],"&lt;&gt;"))</f>
        <v/>
      </c>
      <c r="Y328" s="27">
        <f>IF(E328="","",SUMIFS(tbl_Finance[Ex GST],tbl_Finance[Job Number],E328&amp;""))</f>
        <v/>
      </c>
      <c r="Z328" s="27">
        <f>IF(E328="","",SUMIFS(tbl_Finance[Ex GST],tbl_Finance[Job Number],E328&amp;"",tbl_Finance[Xero Invoice No],"&lt;&gt;"))</f>
        <v/>
      </c>
      <c r="AA328" s="27">
        <f>IF(E328="","",Y328-Z328)</f>
        <v/>
      </c>
      <c r="AB328" s="25">
        <f>IF(E328="","",IF(H328="Onsite",IFERROR(INDEX(tbl_Onsite[Qwilr Quote],MATCH(E328&amp;"",tbl_Onsite[Job Number],0)),""),IF(H328="Production",IFERROR(IF(INDEX(tbl_Production[Current RMS No],MATCH(E328&amp;"",tbl_Production[Job Number],0))="",INDEX(tbl_Production[Qwilr Quote],MATCH(E328&amp;"",tbl_Production[Job Number],0)),INDEX(tbl_Production[Current RMS No],MATCH(E328&amp;"",tbl_Production[Job Number],0))),""),IF(H328="Consulting",IFERROR(INDEX(tbl_Consulting[Qwilr Quote],MATCH(E328&amp;"",tbl_Consulting[Job Number],0)),""),""))))</f>
        <v/>
      </c>
      <c r="AC328" s="25">
        <f>IF(AB328="","",IF(AND(LEFT(AB328,4)&lt;&gt;"http",IF(H328="Production",set_RMSBase,set_QwilrBase)=""),"",HYPERLINK(IF(LEFT(AB328,4)="http",AB328,IF(H328="Production",set_RMSBase,set_QwilrBase)&amp;AB328),"Open")))</f>
        <v/>
      </c>
      <c r="AD328" s="27">
        <f>IF(E328="","",IF(H328="Production",IFERROR(INDEX(tbl_Production[Total Expense],MATCH(E328&amp;"",tbl_Production[Job Number],0)),0),IF(H328="Consulting",IFERROR(INDEX(tbl_Consulting[Total Expense],MATCH(E328&amp;"",tbl_Consulting[Job Number],0)),0),0)))</f>
        <v/>
      </c>
      <c r="AE328" s="27">
        <f>IF(E328="","",Y328-N(AD328))</f>
        <v/>
      </c>
      <c r="AF328" s="29">
        <f>IFERROR(AE328/Y328,"")</f>
        <v/>
      </c>
      <c r="AG328" s="25">
        <f>IF(E328="","",IF(H328="Onsite",IFERROR(INDEX(tbl_Onsite[Notes],MATCH(E328&amp;"",tbl_Onsite[Job Number],0)),""),IF(H328="Production",IFERROR(INDEX(tbl_Production[Notes],MATCH(E328&amp;"",tbl_Production[Job Number],0)),""),IF(H328="Consulting",IFERROR(INDEX(tbl_Consulting[Notes],MATCH(E328&amp;"",tbl_Consulting[Job Number],0)),""),""))))</f>
        <v/>
      </c>
    </row>
    <row r="329" ht="15" customHeight="1">
      <c r="A329" s="22" t="n"/>
      <c r="B329" s="23">
        <f>IF(A329="","",EOMONTH(A329,0))</f>
        <v/>
      </c>
      <c r="C329" s="24" t="n"/>
      <c r="D329" s="24" t="n"/>
      <c r="E329" s="24" t="n"/>
      <c r="F329" s="25">
        <f>IF(E329="","",IF(COUNTIF(lst_Jobs,E329&amp;"")&gt;0,"OK","CHECK"))</f>
        <v/>
      </c>
      <c r="G329" s="24" t="n"/>
      <c r="H329" s="24" t="n"/>
      <c r="I329" s="24" t="n"/>
      <c r="J329" s="24" t="n"/>
      <c r="K329" s="24" t="n"/>
      <c r="L329" s="26" t="n"/>
      <c r="M329" s="27">
        <f>IF(L329="","",IF(K329="GST 10%",ROUND(L329*set_GSTRate,2),0))</f>
        <v/>
      </c>
      <c r="N329" s="27">
        <f>IF(L329="","",L329+M329)</f>
        <v/>
      </c>
      <c r="O329" s="24" t="n"/>
      <c r="P329" s="24" t="n"/>
      <c r="Q329" s="24" t="n"/>
      <c r="R329" s="22" t="n"/>
      <c r="S329" s="22" t="n"/>
      <c r="T329" s="24" t="n"/>
      <c r="U329" s="24" t="n"/>
      <c r="V329" s="25">
        <f>IF(COUNTA(A329,D329,C329,L329)=0,"",IF(A329="","No date - sits outside every month",IF(E329="","No job number",IF(F329="CHECK","Job number is not in the Xero job list",IF(I329="","No cost centre",IF(AND(P329="Y",C329=""),"Marked posted to Xero but has no invoice number",IF(AND(L329&lt;&gt;"",K329=""),"No tax code",IF(AND(L329&lt;&gt;"",O329=""),"No revenue GL code",""))))))))</f>
        <v/>
      </c>
      <c r="W329" s="25">
        <f>IF(E329="","",IFERROR(INDEX(lst_JobName,MATCH(E329&amp;"",lst_Jobs,0)),""))</f>
        <v/>
      </c>
      <c r="X329" s="28">
        <f>IF(E329="","",COUNTIFS(tbl_Finance[Job Number],E329&amp;"",tbl_Finance[Ex GST],"&lt;&gt;"))</f>
        <v/>
      </c>
      <c r="Y329" s="27">
        <f>IF(E329="","",SUMIFS(tbl_Finance[Ex GST],tbl_Finance[Job Number],E329&amp;""))</f>
        <v/>
      </c>
      <c r="Z329" s="27">
        <f>IF(E329="","",SUMIFS(tbl_Finance[Ex GST],tbl_Finance[Job Number],E329&amp;"",tbl_Finance[Xero Invoice No],"&lt;&gt;"))</f>
        <v/>
      </c>
      <c r="AA329" s="27">
        <f>IF(E329="","",Y329-Z329)</f>
        <v/>
      </c>
      <c r="AB329" s="25">
        <f>IF(E329="","",IF(H329="Onsite",IFERROR(INDEX(tbl_Onsite[Qwilr Quote],MATCH(E329&amp;"",tbl_Onsite[Job Number],0)),""),IF(H329="Production",IFERROR(IF(INDEX(tbl_Production[Current RMS No],MATCH(E329&amp;"",tbl_Production[Job Number],0))="",INDEX(tbl_Production[Qwilr Quote],MATCH(E329&amp;"",tbl_Production[Job Number],0)),INDEX(tbl_Production[Current RMS No],MATCH(E329&amp;"",tbl_Production[Job Number],0))),""),IF(H329="Consulting",IFERROR(INDEX(tbl_Consulting[Qwilr Quote],MATCH(E329&amp;"",tbl_Consulting[Job Number],0)),""),""))))</f>
        <v/>
      </c>
      <c r="AC329" s="25">
        <f>IF(AB329="","",IF(AND(LEFT(AB329,4)&lt;&gt;"http",IF(H329="Production",set_RMSBase,set_QwilrBase)=""),"",HYPERLINK(IF(LEFT(AB329,4)="http",AB329,IF(H329="Production",set_RMSBase,set_QwilrBase)&amp;AB329),"Open")))</f>
        <v/>
      </c>
      <c r="AD329" s="27">
        <f>IF(E329="","",IF(H329="Production",IFERROR(INDEX(tbl_Production[Total Expense],MATCH(E329&amp;"",tbl_Production[Job Number],0)),0),IF(H329="Consulting",IFERROR(INDEX(tbl_Consulting[Total Expense],MATCH(E329&amp;"",tbl_Consulting[Job Number],0)),0),0)))</f>
        <v/>
      </c>
      <c r="AE329" s="27">
        <f>IF(E329="","",Y329-N(AD329))</f>
        <v/>
      </c>
      <c r="AF329" s="29">
        <f>IFERROR(AE329/Y329,"")</f>
        <v/>
      </c>
      <c r="AG329" s="25">
        <f>IF(E329="","",IF(H329="Onsite",IFERROR(INDEX(tbl_Onsite[Notes],MATCH(E329&amp;"",tbl_Onsite[Job Number],0)),""),IF(H329="Production",IFERROR(INDEX(tbl_Production[Notes],MATCH(E329&amp;"",tbl_Production[Job Number],0)),""),IF(H329="Consulting",IFERROR(INDEX(tbl_Consulting[Notes],MATCH(E329&amp;"",tbl_Consulting[Job Number],0)),""),""))))</f>
        <v/>
      </c>
    </row>
    <row r="330" ht="15" customHeight="1">
      <c r="A330" s="22" t="n"/>
      <c r="B330" s="23">
        <f>IF(A330="","",EOMONTH(A330,0))</f>
        <v/>
      </c>
      <c r="C330" s="24" t="n"/>
      <c r="D330" s="24" t="n"/>
      <c r="E330" s="24" t="n"/>
      <c r="F330" s="25">
        <f>IF(E330="","",IF(COUNTIF(lst_Jobs,E330&amp;"")&gt;0,"OK","CHECK"))</f>
        <v/>
      </c>
      <c r="G330" s="24" t="n"/>
      <c r="H330" s="24" t="n"/>
      <c r="I330" s="24" t="n"/>
      <c r="J330" s="24" t="n"/>
      <c r="K330" s="24" t="n"/>
      <c r="L330" s="26" t="n"/>
      <c r="M330" s="27">
        <f>IF(L330="","",IF(K330="GST 10%",ROUND(L330*set_GSTRate,2),0))</f>
        <v/>
      </c>
      <c r="N330" s="27">
        <f>IF(L330="","",L330+M330)</f>
        <v/>
      </c>
      <c r="O330" s="24" t="n"/>
      <c r="P330" s="24" t="n"/>
      <c r="Q330" s="24" t="n"/>
      <c r="R330" s="22" t="n"/>
      <c r="S330" s="22" t="n"/>
      <c r="T330" s="24" t="n"/>
      <c r="U330" s="24" t="n"/>
      <c r="V330" s="25">
        <f>IF(COUNTA(A330,D330,C330,L330)=0,"",IF(A330="","No date - sits outside every month",IF(E330="","No job number",IF(F330="CHECK","Job number is not in the Xero job list",IF(I330="","No cost centre",IF(AND(P330="Y",C330=""),"Marked posted to Xero but has no invoice number",IF(AND(L330&lt;&gt;"",K330=""),"No tax code",IF(AND(L330&lt;&gt;"",O330=""),"No revenue GL code",""))))))))</f>
        <v/>
      </c>
      <c r="W330" s="25">
        <f>IF(E330="","",IFERROR(INDEX(lst_JobName,MATCH(E330&amp;"",lst_Jobs,0)),""))</f>
        <v/>
      </c>
      <c r="X330" s="28">
        <f>IF(E330="","",COUNTIFS(tbl_Finance[Job Number],E330&amp;"",tbl_Finance[Ex GST],"&lt;&gt;"))</f>
        <v/>
      </c>
      <c r="Y330" s="27">
        <f>IF(E330="","",SUMIFS(tbl_Finance[Ex GST],tbl_Finance[Job Number],E330&amp;""))</f>
        <v/>
      </c>
      <c r="Z330" s="27">
        <f>IF(E330="","",SUMIFS(tbl_Finance[Ex GST],tbl_Finance[Job Number],E330&amp;"",tbl_Finance[Xero Invoice No],"&lt;&gt;"))</f>
        <v/>
      </c>
      <c r="AA330" s="27">
        <f>IF(E330="","",Y330-Z330)</f>
        <v/>
      </c>
      <c r="AB330" s="25">
        <f>IF(E330="","",IF(H330="Onsite",IFERROR(INDEX(tbl_Onsite[Qwilr Quote],MATCH(E330&amp;"",tbl_Onsite[Job Number],0)),""),IF(H330="Production",IFERROR(IF(INDEX(tbl_Production[Current RMS No],MATCH(E330&amp;"",tbl_Production[Job Number],0))="",INDEX(tbl_Production[Qwilr Quote],MATCH(E330&amp;"",tbl_Production[Job Number],0)),INDEX(tbl_Production[Current RMS No],MATCH(E330&amp;"",tbl_Production[Job Number],0))),""),IF(H330="Consulting",IFERROR(INDEX(tbl_Consulting[Qwilr Quote],MATCH(E330&amp;"",tbl_Consulting[Job Number],0)),""),""))))</f>
        <v/>
      </c>
      <c r="AC330" s="25">
        <f>IF(AB330="","",IF(AND(LEFT(AB330,4)&lt;&gt;"http",IF(H330="Production",set_RMSBase,set_QwilrBase)=""),"",HYPERLINK(IF(LEFT(AB330,4)="http",AB330,IF(H330="Production",set_RMSBase,set_QwilrBase)&amp;AB330),"Open")))</f>
        <v/>
      </c>
      <c r="AD330" s="27">
        <f>IF(E330="","",IF(H330="Production",IFERROR(INDEX(tbl_Production[Total Expense],MATCH(E330&amp;"",tbl_Production[Job Number],0)),0),IF(H330="Consulting",IFERROR(INDEX(tbl_Consulting[Total Expense],MATCH(E330&amp;"",tbl_Consulting[Job Number],0)),0),0)))</f>
        <v/>
      </c>
      <c r="AE330" s="27">
        <f>IF(E330="","",Y330-N(AD330))</f>
        <v/>
      </c>
      <c r="AF330" s="29">
        <f>IFERROR(AE330/Y330,"")</f>
        <v/>
      </c>
      <c r="AG330" s="25">
        <f>IF(E330="","",IF(H330="Onsite",IFERROR(INDEX(tbl_Onsite[Notes],MATCH(E330&amp;"",tbl_Onsite[Job Number],0)),""),IF(H330="Production",IFERROR(INDEX(tbl_Production[Notes],MATCH(E330&amp;"",tbl_Production[Job Number],0)),""),IF(H330="Consulting",IFERROR(INDEX(tbl_Consulting[Notes],MATCH(E330&amp;"",tbl_Consulting[Job Number],0)),""),""))))</f>
        <v/>
      </c>
    </row>
    <row r="331" ht="15" customHeight="1">
      <c r="A331" s="22" t="n"/>
      <c r="B331" s="23">
        <f>IF(A331="","",EOMONTH(A331,0))</f>
        <v/>
      </c>
      <c r="C331" s="24" t="n"/>
      <c r="D331" s="24" t="n"/>
      <c r="E331" s="24" t="n"/>
      <c r="F331" s="25">
        <f>IF(E331="","",IF(COUNTIF(lst_Jobs,E331&amp;"")&gt;0,"OK","CHECK"))</f>
        <v/>
      </c>
      <c r="G331" s="24" t="n"/>
      <c r="H331" s="24" t="n"/>
      <c r="I331" s="24" t="n"/>
      <c r="J331" s="24" t="n"/>
      <c r="K331" s="24" t="n"/>
      <c r="L331" s="26" t="n"/>
      <c r="M331" s="27">
        <f>IF(L331="","",IF(K331="GST 10%",ROUND(L331*set_GSTRate,2),0))</f>
        <v/>
      </c>
      <c r="N331" s="27">
        <f>IF(L331="","",L331+M331)</f>
        <v/>
      </c>
      <c r="O331" s="24" t="n"/>
      <c r="P331" s="24" t="n"/>
      <c r="Q331" s="24" t="n"/>
      <c r="R331" s="22" t="n"/>
      <c r="S331" s="22" t="n"/>
      <c r="T331" s="24" t="n"/>
      <c r="U331" s="24" t="n"/>
      <c r="V331" s="25">
        <f>IF(COUNTA(A331,D331,C331,L331)=0,"",IF(A331="","No date - sits outside every month",IF(E331="","No job number",IF(F331="CHECK","Job number is not in the Xero job list",IF(I331="","No cost centre",IF(AND(P331="Y",C331=""),"Marked posted to Xero but has no invoice number",IF(AND(L331&lt;&gt;"",K331=""),"No tax code",IF(AND(L331&lt;&gt;"",O331=""),"No revenue GL code",""))))))))</f>
        <v/>
      </c>
      <c r="W331" s="25">
        <f>IF(E331="","",IFERROR(INDEX(lst_JobName,MATCH(E331&amp;"",lst_Jobs,0)),""))</f>
        <v/>
      </c>
      <c r="X331" s="28">
        <f>IF(E331="","",COUNTIFS(tbl_Finance[Job Number],E331&amp;"",tbl_Finance[Ex GST],"&lt;&gt;"))</f>
        <v/>
      </c>
      <c r="Y331" s="27">
        <f>IF(E331="","",SUMIFS(tbl_Finance[Ex GST],tbl_Finance[Job Number],E331&amp;""))</f>
        <v/>
      </c>
      <c r="Z331" s="27">
        <f>IF(E331="","",SUMIFS(tbl_Finance[Ex GST],tbl_Finance[Job Number],E331&amp;"",tbl_Finance[Xero Invoice No],"&lt;&gt;"))</f>
        <v/>
      </c>
      <c r="AA331" s="27">
        <f>IF(E331="","",Y331-Z331)</f>
        <v/>
      </c>
      <c r="AB331" s="25">
        <f>IF(E331="","",IF(H331="Onsite",IFERROR(INDEX(tbl_Onsite[Qwilr Quote],MATCH(E331&amp;"",tbl_Onsite[Job Number],0)),""),IF(H331="Production",IFERROR(IF(INDEX(tbl_Production[Current RMS No],MATCH(E331&amp;"",tbl_Production[Job Number],0))="",INDEX(tbl_Production[Qwilr Quote],MATCH(E331&amp;"",tbl_Production[Job Number],0)),INDEX(tbl_Production[Current RMS No],MATCH(E331&amp;"",tbl_Production[Job Number],0))),""),IF(H331="Consulting",IFERROR(INDEX(tbl_Consulting[Qwilr Quote],MATCH(E331&amp;"",tbl_Consulting[Job Number],0)),""),""))))</f>
        <v/>
      </c>
      <c r="AC331" s="25">
        <f>IF(AB331="","",IF(AND(LEFT(AB331,4)&lt;&gt;"http",IF(H331="Production",set_RMSBase,set_QwilrBase)=""),"",HYPERLINK(IF(LEFT(AB331,4)="http",AB331,IF(H331="Production",set_RMSBase,set_QwilrBase)&amp;AB331),"Open")))</f>
        <v/>
      </c>
      <c r="AD331" s="27">
        <f>IF(E331="","",IF(H331="Production",IFERROR(INDEX(tbl_Production[Total Expense],MATCH(E331&amp;"",tbl_Production[Job Number],0)),0),IF(H331="Consulting",IFERROR(INDEX(tbl_Consulting[Total Expense],MATCH(E331&amp;"",tbl_Consulting[Job Number],0)),0),0)))</f>
        <v/>
      </c>
      <c r="AE331" s="27">
        <f>IF(E331="","",Y331-N(AD331))</f>
        <v/>
      </c>
      <c r="AF331" s="29">
        <f>IFERROR(AE331/Y331,"")</f>
        <v/>
      </c>
      <c r="AG331" s="25">
        <f>IF(E331="","",IF(H331="Onsite",IFERROR(INDEX(tbl_Onsite[Notes],MATCH(E331&amp;"",tbl_Onsite[Job Number],0)),""),IF(H331="Production",IFERROR(INDEX(tbl_Production[Notes],MATCH(E331&amp;"",tbl_Production[Job Number],0)),""),IF(H331="Consulting",IFERROR(INDEX(tbl_Consulting[Notes],MATCH(E331&amp;"",tbl_Consulting[Job Number],0)),""),""))))</f>
        <v/>
      </c>
    </row>
    <row r="332" ht="15" customHeight="1">
      <c r="A332" s="22" t="n"/>
      <c r="B332" s="23">
        <f>IF(A332="","",EOMONTH(A332,0))</f>
        <v/>
      </c>
      <c r="C332" s="24" t="n"/>
      <c r="D332" s="24" t="n"/>
      <c r="E332" s="24" t="n"/>
      <c r="F332" s="25">
        <f>IF(E332="","",IF(COUNTIF(lst_Jobs,E332&amp;"")&gt;0,"OK","CHECK"))</f>
        <v/>
      </c>
      <c r="G332" s="24" t="n"/>
      <c r="H332" s="24" t="n"/>
      <c r="I332" s="24" t="n"/>
      <c r="J332" s="24" t="n"/>
      <c r="K332" s="24" t="n"/>
      <c r="L332" s="26" t="n"/>
      <c r="M332" s="27">
        <f>IF(L332="","",IF(K332="GST 10%",ROUND(L332*set_GSTRate,2),0))</f>
        <v/>
      </c>
      <c r="N332" s="27">
        <f>IF(L332="","",L332+M332)</f>
        <v/>
      </c>
      <c r="O332" s="24" t="n"/>
      <c r="P332" s="24" t="n"/>
      <c r="Q332" s="24" t="n"/>
      <c r="R332" s="22" t="n"/>
      <c r="S332" s="22" t="n"/>
      <c r="T332" s="24" t="n"/>
      <c r="U332" s="24" t="n"/>
      <c r="V332" s="25">
        <f>IF(COUNTA(A332,D332,C332,L332)=0,"",IF(A332="","No date - sits outside every month",IF(E332="","No job number",IF(F332="CHECK","Job number is not in the Xero job list",IF(I332="","No cost centre",IF(AND(P332="Y",C332=""),"Marked posted to Xero but has no invoice number",IF(AND(L332&lt;&gt;"",K332=""),"No tax code",IF(AND(L332&lt;&gt;"",O332=""),"No revenue GL code",""))))))))</f>
        <v/>
      </c>
      <c r="W332" s="25">
        <f>IF(E332="","",IFERROR(INDEX(lst_JobName,MATCH(E332&amp;"",lst_Jobs,0)),""))</f>
        <v/>
      </c>
      <c r="X332" s="28">
        <f>IF(E332="","",COUNTIFS(tbl_Finance[Job Number],E332&amp;"",tbl_Finance[Ex GST],"&lt;&gt;"))</f>
        <v/>
      </c>
      <c r="Y332" s="27">
        <f>IF(E332="","",SUMIFS(tbl_Finance[Ex GST],tbl_Finance[Job Number],E332&amp;""))</f>
        <v/>
      </c>
      <c r="Z332" s="27">
        <f>IF(E332="","",SUMIFS(tbl_Finance[Ex GST],tbl_Finance[Job Number],E332&amp;"",tbl_Finance[Xero Invoice No],"&lt;&gt;"))</f>
        <v/>
      </c>
      <c r="AA332" s="27">
        <f>IF(E332="","",Y332-Z332)</f>
        <v/>
      </c>
      <c r="AB332" s="25">
        <f>IF(E332="","",IF(H332="Onsite",IFERROR(INDEX(tbl_Onsite[Qwilr Quote],MATCH(E332&amp;"",tbl_Onsite[Job Number],0)),""),IF(H332="Production",IFERROR(IF(INDEX(tbl_Production[Current RMS No],MATCH(E332&amp;"",tbl_Production[Job Number],0))="",INDEX(tbl_Production[Qwilr Quote],MATCH(E332&amp;"",tbl_Production[Job Number],0)),INDEX(tbl_Production[Current RMS No],MATCH(E332&amp;"",tbl_Production[Job Number],0))),""),IF(H332="Consulting",IFERROR(INDEX(tbl_Consulting[Qwilr Quote],MATCH(E332&amp;"",tbl_Consulting[Job Number],0)),""),""))))</f>
        <v/>
      </c>
      <c r="AC332" s="25">
        <f>IF(AB332="","",IF(AND(LEFT(AB332,4)&lt;&gt;"http",IF(H332="Production",set_RMSBase,set_QwilrBase)=""),"",HYPERLINK(IF(LEFT(AB332,4)="http",AB332,IF(H332="Production",set_RMSBase,set_QwilrBase)&amp;AB332),"Open")))</f>
        <v/>
      </c>
      <c r="AD332" s="27">
        <f>IF(E332="","",IF(H332="Production",IFERROR(INDEX(tbl_Production[Total Expense],MATCH(E332&amp;"",tbl_Production[Job Number],0)),0),IF(H332="Consulting",IFERROR(INDEX(tbl_Consulting[Total Expense],MATCH(E332&amp;"",tbl_Consulting[Job Number],0)),0),0)))</f>
        <v/>
      </c>
      <c r="AE332" s="27">
        <f>IF(E332="","",Y332-N(AD332))</f>
        <v/>
      </c>
      <c r="AF332" s="29">
        <f>IFERROR(AE332/Y332,"")</f>
        <v/>
      </c>
      <c r="AG332" s="25">
        <f>IF(E332="","",IF(H332="Onsite",IFERROR(INDEX(tbl_Onsite[Notes],MATCH(E332&amp;"",tbl_Onsite[Job Number],0)),""),IF(H332="Production",IFERROR(INDEX(tbl_Production[Notes],MATCH(E332&amp;"",tbl_Production[Job Number],0)),""),IF(H332="Consulting",IFERROR(INDEX(tbl_Consulting[Notes],MATCH(E332&amp;"",tbl_Consulting[Job Number],0)),""),""))))</f>
        <v/>
      </c>
    </row>
    <row r="333" ht="15" customHeight="1">
      <c r="A333" s="22" t="n"/>
      <c r="B333" s="23">
        <f>IF(A333="","",EOMONTH(A333,0))</f>
        <v/>
      </c>
      <c r="C333" s="24" t="n"/>
      <c r="D333" s="24" t="n"/>
      <c r="E333" s="24" t="n"/>
      <c r="F333" s="25">
        <f>IF(E333="","",IF(COUNTIF(lst_Jobs,E333&amp;"")&gt;0,"OK","CHECK"))</f>
        <v/>
      </c>
      <c r="G333" s="24" t="n"/>
      <c r="H333" s="24" t="n"/>
      <c r="I333" s="24" t="n"/>
      <c r="J333" s="24" t="n"/>
      <c r="K333" s="24" t="n"/>
      <c r="L333" s="26" t="n"/>
      <c r="M333" s="27">
        <f>IF(L333="","",IF(K333="GST 10%",ROUND(L333*set_GSTRate,2),0))</f>
        <v/>
      </c>
      <c r="N333" s="27">
        <f>IF(L333="","",L333+M333)</f>
        <v/>
      </c>
      <c r="O333" s="24" t="n"/>
      <c r="P333" s="24" t="n"/>
      <c r="Q333" s="24" t="n"/>
      <c r="R333" s="22" t="n"/>
      <c r="S333" s="22" t="n"/>
      <c r="T333" s="24" t="n"/>
      <c r="U333" s="24" t="n"/>
      <c r="V333" s="25">
        <f>IF(COUNTA(A333,D333,C333,L333)=0,"",IF(A333="","No date - sits outside every month",IF(E333="","No job number",IF(F333="CHECK","Job number is not in the Xero job list",IF(I333="","No cost centre",IF(AND(P333="Y",C333=""),"Marked posted to Xero but has no invoice number",IF(AND(L333&lt;&gt;"",K333=""),"No tax code",IF(AND(L333&lt;&gt;"",O333=""),"No revenue GL code",""))))))))</f>
        <v/>
      </c>
      <c r="W333" s="25">
        <f>IF(E333="","",IFERROR(INDEX(lst_JobName,MATCH(E333&amp;"",lst_Jobs,0)),""))</f>
        <v/>
      </c>
      <c r="X333" s="28">
        <f>IF(E333="","",COUNTIFS(tbl_Finance[Job Number],E333&amp;"",tbl_Finance[Ex GST],"&lt;&gt;"))</f>
        <v/>
      </c>
      <c r="Y333" s="27">
        <f>IF(E333="","",SUMIFS(tbl_Finance[Ex GST],tbl_Finance[Job Number],E333&amp;""))</f>
        <v/>
      </c>
      <c r="Z333" s="27">
        <f>IF(E333="","",SUMIFS(tbl_Finance[Ex GST],tbl_Finance[Job Number],E333&amp;"",tbl_Finance[Xero Invoice No],"&lt;&gt;"))</f>
        <v/>
      </c>
      <c r="AA333" s="27">
        <f>IF(E333="","",Y333-Z333)</f>
        <v/>
      </c>
      <c r="AB333" s="25">
        <f>IF(E333="","",IF(H333="Onsite",IFERROR(INDEX(tbl_Onsite[Qwilr Quote],MATCH(E333&amp;"",tbl_Onsite[Job Number],0)),""),IF(H333="Production",IFERROR(IF(INDEX(tbl_Production[Current RMS No],MATCH(E333&amp;"",tbl_Production[Job Number],0))="",INDEX(tbl_Production[Qwilr Quote],MATCH(E333&amp;"",tbl_Production[Job Number],0)),INDEX(tbl_Production[Current RMS No],MATCH(E333&amp;"",tbl_Production[Job Number],0))),""),IF(H333="Consulting",IFERROR(INDEX(tbl_Consulting[Qwilr Quote],MATCH(E333&amp;"",tbl_Consulting[Job Number],0)),""),""))))</f>
        <v/>
      </c>
      <c r="AC333" s="25">
        <f>IF(AB333="","",IF(AND(LEFT(AB333,4)&lt;&gt;"http",IF(H333="Production",set_RMSBase,set_QwilrBase)=""),"",HYPERLINK(IF(LEFT(AB333,4)="http",AB333,IF(H333="Production",set_RMSBase,set_QwilrBase)&amp;AB333),"Open")))</f>
        <v/>
      </c>
      <c r="AD333" s="27">
        <f>IF(E333="","",IF(H333="Production",IFERROR(INDEX(tbl_Production[Total Expense],MATCH(E333&amp;"",tbl_Production[Job Number],0)),0),IF(H333="Consulting",IFERROR(INDEX(tbl_Consulting[Total Expense],MATCH(E333&amp;"",tbl_Consulting[Job Number],0)),0),0)))</f>
        <v/>
      </c>
      <c r="AE333" s="27">
        <f>IF(E333="","",Y333-N(AD333))</f>
        <v/>
      </c>
      <c r="AF333" s="29">
        <f>IFERROR(AE333/Y333,"")</f>
        <v/>
      </c>
      <c r="AG333" s="25">
        <f>IF(E333="","",IF(H333="Onsite",IFERROR(INDEX(tbl_Onsite[Notes],MATCH(E333&amp;"",tbl_Onsite[Job Number],0)),""),IF(H333="Production",IFERROR(INDEX(tbl_Production[Notes],MATCH(E333&amp;"",tbl_Production[Job Number],0)),""),IF(H333="Consulting",IFERROR(INDEX(tbl_Consulting[Notes],MATCH(E333&amp;"",tbl_Consulting[Job Number],0)),""),""))))</f>
        <v/>
      </c>
    </row>
    <row r="334" ht="15" customHeight="1">
      <c r="A334" s="22" t="n"/>
      <c r="B334" s="23">
        <f>IF(A334="","",EOMONTH(A334,0))</f>
        <v/>
      </c>
      <c r="C334" s="24" t="n"/>
      <c r="D334" s="24" t="n"/>
      <c r="E334" s="24" t="n"/>
      <c r="F334" s="25">
        <f>IF(E334="","",IF(COUNTIF(lst_Jobs,E334&amp;"")&gt;0,"OK","CHECK"))</f>
        <v/>
      </c>
      <c r="G334" s="24" t="n"/>
      <c r="H334" s="24" t="n"/>
      <c r="I334" s="24" t="n"/>
      <c r="J334" s="24" t="n"/>
      <c r="K334" s="24" t="n"/>
      <c r="L334" s="26" t="n"/>
      <c r="M334" s="27">
        <f>IF(L334="","",IF(K334="GST 10%",ROUND(L334*set_GSTRate,2),0))</f>
        <v/>
      </c>
      <c r="N334" s="27">
        <f>IF(L334="","",L334+M334)</f>
        <v/>
      </c>
      <c r="O334" s="24" t="n"/>
      <c r="P334" s="24" t="n"/>
      <c r="Q334" s="24" t="n"/>
      <c r="R334" s="22" t="n"/>
      <c r="S334" s="22" t="n"/>
      <c r="T334" s="24" t="n"/>
      <c r="U334" s="24" t="n"/>
      <c r="V334" s="25">
        <f>IF(COUNTA(A334,D334,C334,L334)=0,"",IF(A334="","No date - sits outside every month",IF(E334="","No job number",IF(F334="CHECK","Job number is not in the Xero job list",IF(I334="","No cost centre",IF(AND(P334="Y",C334=""),"Marked posted to Xero but has no invoice number",IF(AND(L334&lt;&gt;"",K334=""),"No tax code",IF(AND(L334&lt;&gt;"",O334=""),"No revenue GL code",""))))))))</f>
        <v/>
      </c>
      <c r="W334" s="25">
        <f>IF(E334="","",IFERROR(INDEX(lst_JobName,MATCH(E334&amp;"",lst_Jobs,0)),""))</f>
        <v/>
      </c>
      <c r="X334" s="28">
        <f>IF(E334="","",COUNTIFS(tbl_Finance[Job Number],E334&amp;"",tbl_Finance[Ex GST],"&lt;&gt;"))</f>
        <v/>
      </c>
      <c r="Y334" s="27">
        <f>IF(E334="","",SUMIFS(tbl_Finance[Ex GST],tbl_Finance[Job Number],E334&amp;""))</f>
        <v/>
      </c>
      <c r="Z334" s="27">
        <f>IF(E334="","",SUMIFS(tbl_Finance[Ex GST],tbl_Finance[Job Number],E334&amp;"",tbl_Finance[Xero Invoice No],"&lt;&gt;"))</f>
        <v/>
      </c>
      <c r="AA334" s="27">
        <f>IF(E334="","",Y334-Z334)</f>
        <v/>
      </c>
      <c r="AB334" s="25">
        <f>IF(E334="","",IF(H334="Onsite",IFERROR(INDEX(tbl_Onsite[Qwilr Quote],MATCH(E334&amp;"",tbl_Onsite[Job Number],0)),""),IF(H334="Production",IFERROR(IF(INDEX(tbl_Production[Current RMS No],MATCH(E334&amp;"",tbl_Production[Job Number],0))="",INDEX(tbl_Production[Qwilr Quote],MATCH(E334&amp;"",tbl_Production[Job Number],0)),INDEX(tbl_Production[Current RMS No],MATCH(E334&amp;"",tbl_Production[Job Number],0))),""),IF(H334="Consulting",IFERROR(INDEX(tbl_Consulting[Qwilr Quote],MATCH(E334&amp;"",tbl_Consulting[Job Number],0)),""),""))))</f>
        <v/>
      </c>
      <c r="AC334" s="25">
        <f>IF(AB334="","",IF(AND(LEFT(AB334,4)&lt;&gt;"http",IF(H334="Production",set_RMSBase,set_QwilrBase)=""),"",HYPERLINK(IF(LEFT(AB334,4)="http",AB334,IF(H334="Production",set_RMSBase,set_QwilrBase)&amp;AB334),"Open")))</f>
        <v/>
      </c>
      <c r="AD334" s="27">
        <f>IF(E334="","",IF(H334="Production",IFERROR(INDEX(tbl_Production[Total Expense],MATCH(E334&amp;"",tbl_Production[Job Number],0)),0),IF(H334="Consulting",IFERROR(INDEX(tbl_Consulting[Total Expense],MATCH(E334&amp;"",tbl_Consulting[Job Number],0)),0),0)))</f>
        <v/>
      </c>
      <c r="AE334" s="27">
        <f>IF(E334="","",Y334-N(AD334))</f>
        <v/>
      </c>
      <c r="AF334" s="29">
        <f>IFERROR(AE334/Y334,"")</f>
        <v/>
      </c>
      <c r="AG334" s="25">
        <f>IF(E334="","",IF(H334="Onsite",IFERROR(INDEX(tbl_Onsite[Notes],MATCH(E334&amp;"",tbl_Onsite[Job Number],0)),""),IF(H334="Production",IFERROR(INDEX(tbl_Production[Notes],MATCH(E334&amp;"",tbl_Production[Job Number],0)),""),IF(H334="Consulting",IFERROR(INDEX(tbl_Consulting[Notes],MATCH(E334&amp;"",tbl_Consulting[Job Number],0)),""),""))))</f>
        <v/>
      </c>
    </row>
    <row r="335" ht="15" customHeight="1">
      <c r="A335" s="22" t="n"/>
      <c r="B335" s="23">
        <f>IF(A335="","",EOMONTH(A335,0))</f>
        <v/>
      </c>
      <c r="C335" s="24" t="n"/>
      <c r="D335" s="24" t="n"/>
      <c r="E335" s="24" t="n"/>
      <c r="F335" s="25">
        <f>IF(E335="","",IF(COUNTIF(lst_Jobs,E335&amp;"")&gt;0,"OK","CHECK"))</f>
        <v/>
      </c>
      <c r="G335" s="24" t="n"/>
      <c r="H335" s="24" t="n"/>
      <c r="I335" s="24" t="n"/>
      <c r="J335" s="24" t="n"/>
      <c r="K335" s="24" t="n"/>
      <c r="L335" s="26" t="n"/>
      <c r="M335" s="27">
        <f>IF(L335="","",IF(K335="GST 10%",ROUND(L335*set_GSTRate,2),0))</f>
        <v/>
      </c>
      <c r="N335" s="27">
        <f>IF(L335="","",L335+M335)</f>
        <v/>
      </c>
      <c r="O335" s="24" t="n"/>
      <c r="P335" s="24" t="n"/>
      <c r="Q335" s="24" t="n"/>
      <c r="R335" s="22" t="n"/>
      <c r="S335" s="22" t="n"/>
      <c r="T335" s="24" t="n"/>
      <c r="U335" s="24" t="n"/>
      <c r="V335" s="25">
        <f>IF(COUNTA(A335,D335,C335,L335)=0,"",IF(A335="","No date - sits outside every month",IF(E335="","No job number",IF(F335="CHECK","Job number is not in the Xero job list",IF(I335="","No cost centre",IF(AND(P335="Y",C335=""),"Marked posted to Xero but has no invoice number",IF(AND(L335&lt;&gt;"",K335=""),"No tax code",IF(AND(L335&lt;&gt;"",O335=""),"No revenue GL code",""))))))))</f>
        <v/>
      </c>
      <c r="W335" s="25">
        <f>IF(E335="","",IFERROR(INDEX(lst_JobName,MATCH(E335&amp;"",lst_Jobs,0)),""))</f>
        <v/>
      </c>
      <c r="X335" s="28">
        <f>IF(E335="","",COUNTIFS(tbl_Finance[Job Number],E335&amp;"",tbl_Finance[Ex GST],"&lt;&gt;"))</f>
        <v/>
      </c>
      <c r="Y335" s="27">
        <f>IF(E335="","",SUMIFS(tbl_Finance[Ex GST],tbl_Finance[Job Number],E335&amp;""))</f>
        <v/>
      </c>
      <c r="Z335" s="27">
        <f>IF(E335="","",SUMIFS(tbl_Finance[Ex GST],tbl_Finance[Job Number],E335&amp;"",tbl_Finance[Xero Invoice No],"&lt;&gt;"))</f>
        <v/>
      </c>
      <c r="AA335" s="27">
        <f>IF(E335="","",Y335-Z335)</f>
        <v/>
      </c>
      <c r="AB335" s="25">
        <f>IF(E335="","",IF(H335="Onsite",IFERROR(INDEX(tbl_Onsite[Qwilr Quote],MATCH(E335&amp;"",tbl_Onsite[Job Number],0)),""),IF(H335="Production",IFERROR(IF(INDEX(tbl_Production[Current RMS No],MATCH(E335&amp;"",tbl_Production[Job Number],0))="",INDEX(tbl_Production[Qwilr Quote],MATCH(E335&amp;"",tbl_Production[Job Number],0)),INDEX(tbl_Production[Current RMS No],MATCH(E335&amp;"",tbl_Production[Job Number],0))),""),IF(H335="Consulting",IFERROR(INDEX(tbl_Consulting[Qwilr Quote],MATCH(E335&amp;"",tbl_Consulting[Job Number],0)),""),""))))</f>
        <v/>
      </c>
      <c r="AC335" s="25">
        <f>IF(AB335="","",IF(AND(LEFT(AB335,4)&lt;&gt;"http",IF(H335="Production",set_RMSBase,set_QwilrBase)=""),"",HYPERLINK(IF(LEFT(AB335,4)="http",AB335,IF(H335="Production",set_RMSBase,set_QwilrBase)&amp;AB335),"Open")))</f>
        <v/>
      </c>
      <c r="AD335" s="27">
        <f>IF(E335="","",IF(H335="Production",IFERROR(INDEX(tbl_Production[Total Expense],MATCH(E335&amp;"",tbl_Production[Job Number],0)),0),IF(H335="Consulting",IFERROR(INDEX(tbl_Consulting[Total Expense],MATCH(E335&amp;"",tbl_Consulting[Job Number],0)),0),0)))</f>
        <v/>
      </c>
      <c r="AE335" s="27">
        <f>IF(E335="","",Y335-N(AD335))</f>
        <v/>
      </c>
      <c r="AF335" s="29">
        <f>IFERROR(AE335/Y335,"")</f>
        <v/>
      </c>
      <c r="AG335" s="25">
        <f>IF(E335="","",IF(H335="Onsite",IFERROR(INDEX(tbl_Onsite[Notes],MATCH(E335&amp;"",tbl_Onsite[Job Number],0)),""),IF(H335="Production",IFERROR(INDEX(tbl_Production[Notes],MATCH(E335&amp;"",tbl_Production[Job Number],0)),""),IF(H335="Consulting",IFERROR(INDEX(tbl_Consulting[Notes],MATCH(E335&amp;"",tbl_Consulting[Job Number],0)),""),""))))</f>
        <v/>
      </c>
    </row>
    <row r="336" ht="15" customHeight="1">
      <c r="A336" s="22" t="n"/>
      <c r="B336" s="23">
        <f>IF(A336="","",EOMONTH(A336,0))</f>
        <v/>
      </c>
      <c r="C336" s="24" t="n"/>
      <c r="D336" s="24" t="n"/>
      <c r="E336" s="24" t="n"/>
      <c r="F336" s="25">
        <f>IF(E336="","",IF(COUNTIF(lst_Jobs,E336&amp;"")&gt;0,"OK","CHECK"))</f>
        <v/>
      </c>
      <c r="G336" s="24" t="n"/>
      <c r="H336" s="24" t="n"/>
      <c r="I336" s="24" t="n"/>
      <c r="J336" s="24" t="n"/>
      <c r="K336" s="24" t="n"/>
      <c r="L336" s="26" t="n"/>
      <c r="M336" s="27">
        <f>IF(L336="","",IF(K336="GST 10%",ROUND(L336*set_GSTRate,2),0))</f>
        <v/>
      </c>
      <c r="N336" s="27">
        <f>IF(L336="","",L336+M336)</f>
        <v/>
      </c>
      <c r="O336" s="24" t="n"/>
      <c r="P336" s="24" t="n"/>
      <c r="Q336" s="24" t="n"/>
      <c r="R336" s="22" t="n"/>
      <c r="S336" s="22" t="n"/>
      <c r="T336" s="24" t="n"/>
      <c r="U336" s="24" t="n"/>
      <c r="V336" s="25">
        <f>IF(COUNTA(A336,D336,C336,L336)=0,"",IF(A336="","No date - sits outside every month",IF(E336="","No job number",IF(F336="CHECK","Job number is not in the Xero job list",IF(I336="","No cost centre",IF(AND(P336="Y",C336=""),"Marked posted to Xero but has no invoice number",IF(AND(L336&lt;&gt;"",K336=""),"No tax code",IF(AND(L336&lt;&gt;"",O336=""),"No revenue GL code",""))))))))</f>
        <v/>
      </c>
      <c r="W336" s="25">
        <f>IF(E336="","",IFERROR(INDEX(lst_JobName,MATCH(E336&amp;"",lst_Jobs,0)),""))</f>
        <v/>
      </c>
      <c r="X336" s="28">
        <f>IF(E336="","",COUNTIFS(tbl_Finance[Job Number],E336&amp;"",tbl_Finance[Ex GST],"&lt;&gt;"))</f>
        <v/>
      </c>
      <c r="Y336" s="27">
        <f>IF(E336="","",SUMIFS(tbl_Finance[Ex GST],tbl_Finance[Job Number],E336&amp;""))</f>
        <v/>
      </c>
      <c r="Z336" s="27">
        <f>IF(E336="","",SUMIFS(tbl_Finance[Ex GST],tbl_Finance[Job Number],E336&amp;"",tbl_Finance[Xero Invoice No],"&lt;&gt;"))</f>
        <v/>
      </c>
      <c r="AA336" s="27">
        <f>IF(E336="","",Y336-Z336)</f>
        <v/>
      </c>
      <c r="AB336" s="25">
        <f>IF(E336="","",IF(H336="Onsite",IFERROR(INDEX(tbl_Onsite[Qwilr Quote],MATCH(E336&amp;"",tbl_Onsite[Job Number],0)),""),IF(H336="Production",IFERROR(IF(INDEX(tbl_Production[Current RMS No],MATCH(E336&amp;"",tbl_Production[Job Number],0))="",INDEX(tbl_Production[Qwilr Quote],MATCH(E336&amp;"",tbl_Production[Job Number],0)),INDEX(tbl_Production[Current RMS No],MATCH(E336&amp;"",tbl_Production[Job Number],0))),""),IF(H336="Consulting",IFERROR(INDEX(tbl_Consulting[Qwilr Quote],MATCH(E336&amp;"",tbl_Consulting[Job Number],0)),""),""))))</f>
        <v/>
      </c>
      <c r="AC336" s="25">
        <f>IF(AB336="","",IF(AND(LEFT(AB336,4)&lt;&gt;"http",IF(H336="Production",set_RMSBase,set_QwilrBase)=""),"",HYPERLINK(IF(LEFT(AB336,4)="http",AB336,IF(H336="Production",set_RMSBase,set_QwilrBase)&amp;AB336),"Open")))</f>
        <v/>
      </c>
      <c r="AD336" s="27">
        <f>IF(E336="","",IF(H336="Production",IFERROR(INDEX(tbl_Production[Total Expense],MATCH(E336&amp;"",tbl_Production[Job Number],0)),0),IF(H336="Consulting",IFERROR(INDEX(tbl_Consulting[Total Expense],MATCH(E336&amp;"",tbl_Consulting[Job Number],0)),0),0)))</f>
        <v/>
      </c>
      <c r="AE336" s="27">
        <f>IF(E336="","",Y336-N(AD336))</f>
        <v/>
      </c>
      <c r="AF336" s="29">
        <f>IFERROR(AE336/Y336,"")</f>
        <v/>
      </c>
      <c r="AG336" s="25">
        <f>IF(E336="","",IF(H336="Onsite",IFERROR(INDEX(tbl_Onsite[Notes],MATCH(E336&amp;"",tbl_Onsite[Job Number],0)),""),IF(H336="Production",IFERROR(INDEX(tbl_Production[Notes],MATCH(E336&amp;"",tbl_Production[Job Number],0)),""),IF(H336="Consulting",IFERROR(INDEX(tbl_Consulting[Notes],MATCH(E336&amp;"",tbl_Consulting[Job Number],0)),""),""))))</f>
        <v/>
      </c>
    </row>
    <row r="337" ht="15" customHeight="1">
      <c r="A337" s="22" t="n"/>
      <c r="B337" s="23">
        <f>IF(A337="","",EOMONTH(A337,0))</f>
        <v/>
      </c>
      <c r="C337" s="24" t="n"/>
      <c r="D337" s="24" t="n"/>
      <c r="E337" s="24" t="n"/>
      <c r="F337" s="25">
        <f>IF(E337="","",IF(COUNTIF(lst_Jobs,E337&amp;"")&gt;0,"OK","CHECK"))</f>
        <v/>
      </c>
      <c r="G337" s="24" t="n"/>
      <c r="H337" s="24" t="n"/>
      <c r="I337" s="24" t="n"/>
      <c r="J337" s="24" t="n"/>
      <c r="K337" s="24" t="n"/>
      <c r="L337" s="26" t="n"/>
      <c r="M337" s="27">
        <f>IF(L337="","",IF(K337="GST 10%",ROUND(L337*set_GSTRate,2),0))</f>
        <v/>
      </c>
      <c r="N337" s="27">
        <f>IF(L337="","",L337+M337)</f>
        <v/>
      </c>
      <c r="O337" s="24" t="n"/>
      <c r="P337" s="24" t="n"/>
      <c r="Q337" s="24" t="n"/>
      <c r="R337" s="22" t="n"/>
      <c r="S337" s="22" t="n"/>
      <c r="T337" s="24" t="n"/>
      <c r="U337" s="24" t="n"/>
      <c r="V337" s="25">
        <f>IF(COUNTA(A337,D337,C337,L337)=0,"",IF(A337="","No date - sits outside every month",IF(E337="","No job number",IF(F337="CHECK","Job number is not in the Xero job list",IF(I337="","No cost centre",IF(AND(P337="Y",C337=""),"Marked posted to Xero but has no invoice number",IF(AND(L337&lt;&gt;"",K337=""),"No tax code",IF(AND(L337&lt;&gt;"",O337=""),"No revenue GL code",""))))))))</f>
        <v/>
      </c>
      <c r="W337" s="25">
        <f>IF(E337="","",IFERROR(INDEX(lst_JobName,MATCH(E337&amp;"",lst_Jobs,0)),""))</f>
        <v/>
      </c>
      <c r="X337" s="28">
        <f>IF(E337="","",COUNTIFS(tbl_Finance[Job Number],E337&amp;"",tbl_Finance[Ex GST],"&lt;&gt;"))</f>
        <v/>
      </c>
      <c r="Y337" s="27">
        <f>IF(E337="","",SUMIFS(tbl_Finance[Ex GST],tbl_Finance[Job Number],E337&amp;""))</f>
        <v/>
      </c>
      <c r="Z337" s="27">
        <f>IF(E337="","",SUMIFS(tbl_Finance[Ex GST],tbl_Finance[Job Number],E337&amp;"",tbl_Finance[Xero Invoice No],"&lt;&gt;"))</f>
        <v/>
      </c>
      <c r="AA337" s="27">
        <f>IF(E337="","",Y337-Z337)</f>
        <v/>
      </c>
      <c r="AB337" s="25">
        <f>IF(E337="","",IF(H337="Onsite",IFERROR(INDEX(tbl_Onsite[Qwilr Quote],MATCH(E337&amp;"",tbl_Onsite[Job Number],0)),""),IF(H337="Production",IFERROR(IF(INDEX(tbl_Production[Current RMS No],MATCH(E337&amp;"",tbl_Production[Job Number],0))="",INDEX(tbl_Production[Qwilr Quote],MATCH(E337&amp;"",tbl_Production[Job Number],0)),INDEX(tbl_Production[Current RMS No],MATCH(E337&amp;"",tbl_Production[Job Number],0))),""),IF(H337="Consulting",IFERROR(INDEX(tbl_Consulting[Qwilr Quote],MATCH(E337&amp;"",tbl_Consulting[Job Number],0)),""),""))))</f>
        <v/>
      </c>
      <c r="AC337" s="25">
        <f>IF(AB337="","",IF(AND(LEFT(AB337,4)&lt;&gt;"http",IF(H337="Production",set_RMSBase,set_QwilrBase)=""),"",HYPERLINK(IF(LEFT(AB337,4)="http",AB337,IF(H337="Production",set_RMSBase,set_QwilrBase)&amp;AB337),"Open")))</f>
        <v/>
      </c>
      <c r="AD337" s="27">
        <f>IF(E337="","",IF(H337="Production",IFERROR(INDEX(tbl_Production[Total Expense],MATCH(E337&amp;"",tbl_Production[Job Number],0)),0),IF(H337="Consulting",IFERROR(INDEX(tbl_Consulting[Total Expense],MATCH(E337&amp;"",tbl_Consulting[Job Number],0)),0),0)))</f>
        <v/>
      </c>
      <c r="AE337" s="27">
        <f>IF(E337="","",Y337-N(AD337))</f>
        <v/>
      </c>
      <c r="AF337" s="29">
        <f>IFERROR(AE337/Y337,"")</f>
        <v/>
      </c>
      <c r="AG337" s="25">
        <f>IF(E337="","",IF(H337="Onsite",IFERROR(INDEX(tbl_Onsite[Notes],MATCH(E337&amp;"",tbl_Onsite[Job Number],0)),""),IF(H337="Production",IFERROR(INDEX(tbl_Production[Notes],MATCH(E337&amp;"",tbl_Production[Job Number],0)),""),IF(H337="Consulting",IFERROR(INDEX(tbl_Consulting[Notes],MATCH(E337&amp;"",tbl_Consulting[Job Number],0)),""),""))))</f>
        <v/>
      </c>
    </row>
    <row r="338" ht="15" customHeight="1">
      <c r="A338" s="22" t="n"/>
      <c r="B338" s="23">
        <f>IF(A338="","",EOMONTH(A338,0))</f>
        <v/>
      </c>
      <c r="C338" s="24" t="n"/>
      <c r="D338" s="24" t="n"/>
      <c r="E338" s="24" t="n"/>
      <c r="F338" s="25">
        <f>IF(E338="","",IF(COUNTIF(lst_Jobs,E338&amp;"")&gt;0,"OK","CHECK"))</f>
        <v/>
      </c>
      <c r="G338" s="24" t="n"/>
      <c r="H338" s="24" t="n"/>
      <c r="I338" s="24" t="n"/>
      <c r="J338" s="24" t="n"/>
      <c r="K338" s="24" t="n"/>
      <c r="L338" s="26" t="n"/>
      <c r="M338" s="27">
        <f>IF(L338="","",IF(K338="GST 10%",ROUND(L338*set_GSTRate,2),0))</f>
        <v/>
      </c>
      <c r="N338" s="27">
        <f>IF(L338="","",L338+M338)</f>
        <v/>
      </c>
      <c r="O338" s="24" t="n"/>
      <c r="P338" s="24" t="n"/>
      <c r="Q338" s="24" t="n"/>
      <c r="R338" s="22" t="n"/>
      <c r="S338" s="22" t="n"/>
      <c r="T338" s="24" t="n"/>
      <c r="U338" s="24" t="n"/>
      <c r="V338" s="25">
        <f>IF(COUNTA(A338,D338,C338,L338)=0,"",IF(A338="","No date - sits outside every month",IF(E338="","No job number",IF(F338="CHECK","Job number is not in the Xero job list",IF(I338="","No cost centre",IF(AND(P338="Y",C338=""),"Marked posted to Xero but has no invoice number",IF(AND(L338&lt;&gt;"",K338=""),"No tax code",IF(AND(L338&lt;&gt;"",O338=""),"No revenue GL code",""))))))))</f>
        <v/>
      </c>
      <c r="W338" s="25">
        <f>IF(E338="","",IFERROR(INDEX(lst_JobName,MATCH(E338&amp;"",lst_Jobs,0)),""))</f>
        <v/>
      </c>
      <c r="X338" s="28">
        <f>IF(E338="","",COUNTIFS(tbl_Finance[Job Number],E338&amp;"",tbl_Finance[Ex GST],"&lt;&gt;"))</f>
        <v/>
      </c>
      <c r="Y338" s="27">
        <f>IF(E338="","",SUMIFS(tbl_Finance[Ex GST],tbl_Finance[Job Number],E338&amp;""))</f>
        <v/>
      </c>
      <c r="Z338" s="27">
        <f>IF(E338="","",SUMIFS(tbl_Finance[Ex GST],tbl_Finance[Job Number],E338&amp;"",tbl_Finance[Xero Invoice No],"&lt;&gt;"))</f>
        <v/>
      </c>
      <c r="AA338" s="27">
        <f>IF(E338="","",Y338-Z338)</f>
        <v/>
      </c>
      <c r="AB338" s="25">
        <f>IF(E338="","",IF(H338="Onsite",IFERROR(INDEX(tbl_Onsite[Qwilr Quote],MATCH(E338&amp;"",tbl_Onsite[Job Number],0)),""),IF(H338="Production",IFERROR(IF(INDEX(tbl_Production[Current RMS No],MATCH(E338&amp;"",tbl_Production[Job Number],0))="",INDEX(tbl_Production[Qwilr Quote],MATCH(E338&amp;"",tbl_Production[Job Number],0)),INDEX(tbl_Production[Current RMS No],MATCH(E338&amp;"",tbl_Production[Job Number],0))),""),IF(H338="Consulting",IFERROR(INDEX(tbl_Consulting[Qwilr Quote],MATCH(E338&amp;"",tbl_Consulting[Job Number],0)),""),""))))</f>
        <v/>
      </c>
      <c r="AC338" s="25">
        <f>IF(AB338="","",IF(AND(LEFT(AB338,4)&lt;&gt;"http",IF(H338="Production",set_RMSBase,set_QwilrBase)=""),"",HYPERLINK(IF(LEFT(AB338,4)="http",AB338,IF(H338="Production",set_RMSBase,set_QwilrBase)&amp;AB338),"Open")))</f>
        <v/>
      </c>
      <c r="AD338" s="27">
        <f>IF(E338="","",IF(H338="Production",IFERROR(INDEX(tbl_Production[Total Expense],MATCH(E338&amp;"",tbl_Production[Job Number],0)),0),IF(H338="Consulting",IFERROR(INDEX(tbl_Consulting[Total Expense],MATCH(E338&amp;"",tbl_Consulting[Job Number],0)),0),0)))</f>
        <v/>
      </c>
      <c r="AE338" s="27">
        <f>IF(E338="","",Y338-N(AD338))</f>
        <v/>
      </c>
      <c r="AF338" s="29">
        <f>IFERROR(AE338/Y338,"")</f>
        <v/>
      </c>
      <c r="AG338" s="25">
        <f>IF(E338="","",IF(H338="Onsite",IFERROR(INDEX(tbl_Onsite[Notes],MATCH(E338&amp;"",tbl_Onsite[Job Number],0)),""),IF(H338="Production",IFERROR(INDEX(tbl_Production[Notes],MATCH(E338&amp;"",tbl_Production[Job Number],0)),""),IF(H338="Consulting",IFERROR(INDEX(tbl_Consulting[Notes],MATCH(E338&amp;"",tbl_Consulting[Job Number],0)),""),""))))</f>
        <v/>
      </c>
    </row>
    <row r="339" ht="15" customHeight="1">
      <c r="A339" s="22" t="n"/>
      <c r="B339" s="23">
        <f>IF(A339="","",EOMONTH(A339,0))</f>
        <v/>
      </c>
      <c r="C339" s="24" t="n"/>
      <c r="D339" s="24" t="n"/>
      <c r="E339" s="24" t="n"/>
      <c r="F339" s="25">
        <f>IF(E339="","",IF(COUNTIF(lst_Jobs,E339&amp;"")&gt;0,"OK","CHECK"))</f>
        <v/>
      </c>
      <c r="G339" s="24" t="n"/>
      <c r="H339" s="24" t="n"/>
      <c r="I339" s="24" t="n"/>
      <c r="J339" s="24" t="n"/>
      <c r="K339" s="24" t="n"/>
      <c r="L339" s="26" t="n"/>
      <c r="M339" s="27">
        <f>IF(L339="","",IF(K339="GST 10%",ROUND(L339*set_GSTRate,2),0))</f>
        <v/>
      </c>
      <c r="N339" s="27">
        <f>IF(L339="","",L339+M339)</f>
        <v/>
      </c>
      <c r="O339" s="24" t="n"/>
      <c r="P339" s="24" t="n"/>
      <c r="Q339" s="24" t="n"/>
      <c r="R339" s="22" t="n"/>
      <c r="S339" s="22" t="n"/>
      <c r="T339" s="24" t="n"/>
      <c r="U339" s="24" t="n"/>
      <c r="V339" s="25">
        <f>IF(COUNTA(A339,D339,C339,L339)=0,"",IF(A339="","No date - sits outside every month",IF(E339="","No job number",IF(F339="CHECK","Job number is not in the Xero job list",IF(I339="","No cost centre",IF(AND(P339="Y",C339=""),"Marked posted to Xero but has no invoice number",IF(AND(L339&lt;&gt;"",K339=""),"No tax code",IF(AND(L339&lt;&gt;"",O339=""),"No revenue GL code",""))))))))</f>
        <v/>
      </c>
      <c r="W339" s="25">
        <f>IF(E339="","",IFERROR(INDEX(lst_JobName,MATCH(E339&amp;"",lst_Jobs,0)),""))</f>
        <v/>
      </c>
      <c r="X339" s="28">
        <f>IF(E339="","",COUNTIFS(tbl_Finance[Job Number],E339&amp;"",tbl_Finance[Ex GST],"&lt;&gt;"))</f>
        <v/>
      </c>
      <c r="Y339" s="27">
        <f>IF(E339="","",SUMIFS(tbl_Finance[Ex GST],tbl_Finance[Job Number],E339&amp;""))</f>
        <v/>
      </c>
      <c r="Z339" s="27">
        <f>IF(E339="","",SUMIFS(tbl_Finance[Ex GST],tbl_Finance[Job Number],E339&amp;"",tbl_Finance[Xero Invoice No],"&lt;&gt;"))</f>
        <v/>
      </c>
      <c r="AA339" s="27">
        <f>IF(E339="","",Y339-Z339)</f>
        <v/>
      </c>
      <c r="AB339" s="25">
        <f>IF(E339="","",IF(H339="Onsite",IFERROR(INDEX(tbl_Onsite[Qwilr Quote],MATCH(E339&amp;"",tbl_Onsite[Job Number],0)),""),IF(H339="Production",IFERROR(IF(INDEX(tbl_Production[Current RMS No],MATCH(E339&amp;"",tbl_Production[Job Number],0))="",INDEX(tbl_Production[Qwilr Quote],MATCH(E339&amp;"",tbl_Production[Job Number],0)),INDEX(tbl_Production[Current RMS No],MATCH(E339&amp;"",tbl_Production[Job Number],0))),""),IF(H339="Consulting",IFERROR(INDEX(tbl_Consulting[Qwilr Quote],MATCH(E339&amp;"",tbl_Consulting[Job Number],0)),""),""))))</f>
        <v/>
      </c>
      <c r="AC339" s="25">
        <f>IF(AB339="","",IF(AND(LEFT(AB339,4)&lt;&gt;"http",IF(H339="Production",set_RMSBase,set_QwilrBase)=""),"",HYPERLINK(IF(LEFT(AB339,4)="http",AB339,IF(H339="Production",set_RMSBase,set_QwilrBase)&amp;AB339),"Open")))</f>
        <v/>
      </c>
      <c r="AD339" s="27">
        <f>IF(E339="","",IF(H339="Production",IFERROR(INDEX(tbl_Production[Total Expense],MATCH(E339&amp;"",tbl_Production[Job Number],0)),0),IF(H339="Consulting",IFERROR(INDEX(tbl_Consulting[Total Expense],MATCH(E339&amp;"",tbl_Consulting[Job Number],0)),0),0)))</f>
        <v/>
      </c>
      <c r="AE339" s="27">
        <f>IF(E339="","",Y339-N(AD339))</f>
        <v/>
      </c>
      <c r="AF339" s="29">
        <f>IFERROR(AE339/Y339,"")</f>
        <v/>
      </c>
      <c r="AG339" s="25">
        <f>IF(E339="","",IF(H339="Onsite",IFERROR(INDEX(tbl_Onsite[Notes],MATCH(E339&amp;"",tbl_Onsite[Job Number],0)),""),IF(H339="Production",IFERROR(INDEX(tbl_Production[Notes],MATCH(E339&amp;"",tbl_Production[Job Number],0)),""),IF(H339="Consulting",IFERROR(INDEX(tbl_Consulting[Notes],MATCH(E339&amp;"",tbl_Consulting[Job Number],0)),""),""))))</f>
        <v/>
      </c>
    </row>
    <row r="340" ht="15" customHeight="1">
      <c r="A340" s="22" t="n"/>
      <c r="B340" s="23">
        <f>IF(A340="","",EOMONTH(A340,0))</f>
        <v/>
      </c>
      <c r="C340" s="24" t="n"/>
      <c r="D340" s="24" t="n"/>
      <c r="E340" s="24" t="n"/>
      <c r="F340" s="25">
        <f>IF(E340="","",IF(COUNTIF(lst_Jobs,E340&amp;"")&gt;0,"OK","CHECK"))</f>
        <v/>
      </c>
      <c r="G340" s="24" t="n"/>
      <c r="H340" s="24" t="n"/>
      <c r="I340" s="24" t="n"/>
      <c r="J340" s="24" t="n"/>
      <c r="K340" s="24" t="n"/>
      <c r="L340" s="26" t="n"/>
      <c r="M340" s="27">
        <f>IF(L340="","",IF(K340="GST 10%",ROUND(L340*set_GSTRate,2),0))</f>
        <v/>
      </c>
      <c r="N340" s="27">
        <f>IF(L340="","",L340+M340)</f>
        <v/>
      </c>
      <c r="O340" s="24" t="n"/>
      <c r="P340" s="24" t="n"/>
      <c r="Q340" s="24" t="n"/>
      <c r="R340" s="22" t="n"/>
      <c r="S340" s="22" t="n"/>
      <c r="T340" s="24" t="n"/>
      <c r="U340" s="24" t="n"/>
      <c r="V340" s="25">
        <f>IF(COUNTA(A340,D340,C340,L340)=0,"",IF(A340="","No date - sits outside every month",IF(E340="","No job number",IF(F340="CHECK","Job number is not in the Xero job list",IF(I340="","No cost centre",IF(AND(P340="Y",C340=""),"Marked posted to Xero but has no invoice number",IF(AND(L340&lt;&gt;"",K340=""),"No tax code",IF(AND(L340&lt;&gt;"",O340=""),"No revenue GL code",""))))))))</f>
        <v/>
      </c>
      <c r="W340" s="25">
        <f>IF(E340="","",IFERROR(INDEX(lst_JobName,MATCH(E340&amp;"",lst_Jobs,0)),""))</f>
        <v/>
      </c>
      <c r="X340" s="28">
        <f>IF(E340="","",COUNTIFS(tbl_Finance[Job Number],E340&amp;"",tbl_Finance[Ex GST],"&lt;&gt;"))</f>
        <v/>
      </c>
      <c r="Y340" s="27">
        <f>IF(E340="","",SUMIFS(tbl_Finance[Ex GST],tbl_Finance[Job Number],E340&amp;""))</f>
        <v/>
      </c>
      <c r="Z340" s="27">
        <f>IF(E340="","",SUMIFS(tbl_Finance[Ex GST],tbl_Finance[Job Number],E340&amp;"",tbl_Finance[Xero Invoice No],"&lt;&gt;"))</f>
        <v/>
      </c>
      <c r="AA340" s="27">
        <f>IF(E340="","",Y340-Z340)</f>
        <v/>
      </c>
      <c r="AB340" s="25">
        <f>IF(E340="","",IF(H340="Onsite",IFERROR(INDEX(tbl_Onsite[Qwilr Quote],MATCH(E340&amp;"",tbl_Onsite[Job Number],0)),""),IF(H340="Production",IFERROR(IF(INDEX(tbl_Production[Current RMS No],MATCH(E340&amp;"",tbl_Production[Job Number],0))="",INDEX(tbl_Production[Qwilr Quote],MATCH(E340&amp;"",tbl_Production[Job Number],0)),INDEX(tbl_Production[Current RMS No],MATCH(E340&amp;"",tbl_Production[Job Number],0))),""),IF(H340="Consulting",IFERROR(INDEX(tbl_Consulting[Qwilr Quote],MATCH(E340&amp;"",tbl_Consulting[Job Number],0)),""),""))))</f>
        <v/>
      </c>
      <c r="AC340" s="25">
        <f>IF(AB340="","",IF(AND(LEFT(AB340,4)&lt;&gt;"http",IF(H340="Production",set_RMSBase,set_QwilrBase)=""),"",HYPERLINK(IF(LEFT(AB340,4)="http",AB340,IF(H340="Production",set_RMSBase,set_QwilrBase)&amp;AB340),"Open")))</f>
        <v/>
      </c>
      <c r="AD340" s="27">
        <f>IF(E340="","",IF(H340="Production",IFERROR(INDEX(tbl_Production[Total Expense],MATCH(E340&amp;"",tbl_Production[Job Number],0)),0),IF(H340="Consulting",IFERROR(INDEX(tbl_Consulting[Total Expense],MATCH(E340&amp;"",tbl_Consulting[Job Number],0)),0),0)))</f>
        <v/>
      </c>
      <c r="AE340" s="27">
        <f>IF(E340="","",Y340-N(AD340))</f>
        <v/>
      </c>
      <c r="AF340" s="29">
        <f>IFERROR(AE340/Y340,"")</f>
        <v/>
      </c>
      <c r="AG340" s="25">
        <f>IF(E340="","",IF(H340="Onsite",IFERROR(INDEX(tbl_Onsite[Notes],MATCH(E340&amp;"",tbl_Onsite[Job Number],0)),""),IF(H340="Production",IFERROR(INDEX(tbl_Production[Notes],MATCH(E340&amp;"",tbl_Production[Job Number],0)),""),IF(H340="Consulting",IFERROR(INDEX(tbl_Consulting[Notes],MATCH(E340&amp;"",tbl_Consulting[Job Number],0)),""),""))))</f>
        <v/>
      </c>
    </row>
    <row r="341" ht="15" customHeight="1">
      <c r="A341" s="22" t="n"/>
      <c r="B341" s="23">
        <f>IF(A341="","",EOMONTH(A341,0))</f>
        <v/>
      </c>
      <c r="C341" s="24" t="n"/>
      <c r="D341" s="24" t="n"/>
      <c r="E341" s="24" t="n"/>
      <c r="F341" s="25">
        <f>IF(E341="","",IF(COUNTIF(lst_Jobs,E341&amp;"")&gt;0,"OK","CHECK"))</f>
        <v/>
      </c>
      <c r="G341" s="24" t="n"/>
      <c r="H341" s="24" t="n"/>
      <c r="I341" s="24" t="n"/>
      <c r="J341" s="24" t="n"/>
      <c r="K341" s="24" t="n"/>
      <c r="L341" s="26" t="n"/>
      <c r="M341" s="27">
        <f>IF(L341="","",IF(K341="GST 10%",ROUND(L341*set_GSTRate,2),0))</f>
        <v/>
      </c>
      <c r="N341" s="27">
        <f>IF(L341="","",L341+M341)</f>
        <v/>
      </c>
      <c r="O341" s="24" t="n"/>
      <c r="P341" s="24" t="n"/>
      <c r="Q341" s="24" t="n"/>
      <c r="R341" s="22" t="n"/>
      <c r="S341" s="22" t="n"/>
      <c r="T341" s="24" t="n"/>
      <c r="U341" s="24" t="n"/>
      <c r="V341" s="25">
        <f>IF(COUNTA(A341,D341,C341,L341)=0,"",IF(A341="","No date - sits outside every month",IF(E341="","No job number",IF(F341="CHECK","Job number is not in the Xero job list",IF(I341="","No cost centre",IF(AND(P341="Y",C341=""),"Marked posted to Xero but has no invoice number",IF(AND(L341&lt;&gt;"",K341=""),"No tax code",IF(AND(L341&lt;&gt;"",O341=""),"No revenue GL code",""))))))))</f>
        <v/>
      </c>
      <c r="W341" s="25">
        <f>IF(E341="","",IFERROR(INDEX(lst_JobName,MATCH(E341&amp;"",lst_Jobs,0)),""))</f>
        <v/>
      </c>
      <c r="X341" s="28">
        <f>IF(E341="","",COUNTIFS(tbl_Finance[Job Number],E341&amp;"",tbl_Finance[Ex GST],"&lt;&gt;"))</f>
        <v/>
      </c>
      <c r="Y341" s="27">
        <f>IF(E341="","",SUMIFS(tbl_Finance[Ex GST],tbl_Finance[Job Number],E341&amp;""))</f>
        <v/>
      </c>
      <c r="Z341" s="27">
        <f>IF(E341="","",SUMIFS(tbl_Finance[Ex GST],tbl_Finance[Job Number],E341&amp;"",tbl_Finance[Xero Invoice No],"&lt;&gt;"))</f>
        <v/>
      </c>
      <c r="AA341" s="27">
        <f>IF(E341="","",Y341-Z341)</f>
        <v/>
      </c>
      <c r="AB341" s="25">
        <f>IF(E341="","",IF(H341="Onsite",IFERROR(INDEX(tbl_Onsite[Qwilr Quote],MATCH(E341&amp;"",tbl_Onsite[Job Number],0)),""),IF(H341="Production",IFERROR(IF(INDEX(tbl_Production[Current RMS No],MATCH(E341&amp;"",tbl_Production[Job Number],0))="",INDEX(tbl_Production[Qwilr Quote],MATCH(E341&amp;"",tbl_Production[Job Number],0)),INDEX(tbl_Production[Current RMS No],MATCH(E341&amp;"",tbl_Production[Job Number],0))),""),IF(H341="Consulting",IFERROR(INDEX(tbl_Consulting[Qwilr Quote],MATCH(E341&amp;"",tbl_Consulting[Job Number],0)),""),""))))</f>
        <v/>
      </c>
      <c r="AC341" s="25">
        <f>IF(AB341="","",IF(AND(LEFT(AB341,4)&lt;&gt;"http",IF(H341="Production",set_RMSBase,set_QwilrBase)=""),"",HYPERLINK(IF(LEFT(AB341,4)="http",AB341,IF(H341="Production",set_RMSBase,set_QwilrBase)&amp;AB341),"Open")))</f>
        <v/>
      </c>
      <c r="AD341" s="27">
        <f>IF(E341="","",IF(H341="Production",IFERROR(INDEX(tbl_Production[Total Expense],MATCH(E341&amp;"",tbl_Production[Job Number],0)),0),IF(H341="Consulting",IFERROR(INDEX(tbl_Consulting[Total Expense],MATCH(E341&amp;"",tbl_Consulting[Job Number],0)),0),0)))</f>
        <v/>
      </c>
      <c r="AE341" s="27">
        <f>IF(E341="","",Y341-N(AD341))</f>
        <v/>
      </c>
      <c r="AF341" s="29">
        <f>IFERROR(AE341/Y341,"")</f>
        <v/>
      </c>
      <c r="AG341" s="25">
        <f>IF(E341="","",IF(H341="Onsite",IFERROR(INDEX(tbl_Onsite[Notes],MATCH(E341&amp;"",tbl_Onsite[Job Number],0)),""),IF(H341="Production",IFERROR(INDEX(tbl_Production[Notes],MATCH(E341&amp;"",tbl_Production[Job Number],0)),""),IF(H341="Consulting",IFERROR(INDEX(tbl_Consulting[Notes],MATCH(E341&amp;"",tbl_Consulting[Job Number],0)),""),""))))</f>
        <v/>
      </c>
    </row>
    <row r="342" ht="15" customHeight="1">
      <c r="A342" s="22" t="n"/>
      <c r="B342" s="23">
        <f>IF(A342="","",EOMONTH(A342,0))</f>
        <v/>
      </c>
      <c r="C342" s="24" t="n"/>
      <c r="D342" s="24" t="n"/>
      <c r="E342" s="24" t="n"/>
      <c r="F342" s="25">
        <f>IF(E342="","",IF(COUNTIF(lst_Jobs,E342&amp;"")&gt;0,"OK","CHECK"))</f>
        <v/>
      </c>
      <c r="G342" s="24" t="n"/>
      <c r="H342" s="24" t="n"/>
      <c r="I342" s="24" t="n"/>
      <c r="J342" s="24" t="n"/>
      <c r="K342" s="24" t="n"/>
      <c r="L342" s="26" t="n"/>
      <c r="M342" s="27">
        <f>IF(L342="","",IF(K342="GST 10%",ROUND(L342*set_GSTRate,2),0))</f>
        <v/>
      </c>
      <c r="N342" s="27">
        <f>IF(L342="","",L342+M342)</f>
        <v/>
      </c>
      <c r="O342" s="24" t="n"/>
      <c r="P342" s="24" t="n"/>
      <c r="Q342" s="24" t="n"/>
      <c r="R342" s="22" t="n"/>
      <c r="S342" s="22" t="n"/>
      <c r="T342" s="24" t="n"/>
      <c r="U342" s="24" t="n"/>
      <c r="V342" s="25">
        <f>IF(COUNTA(A342,D342,C342,L342)=0,"",IF(A342="","No date - sits outside every month",IF(E342="","No job number",IF(F342="CHECK","Job number is not in the Xero job list",IF(I342="","No cost centre",IF(AND(P342="Y",C342=""),"Marked posted to Xero but has no invoice number",IF(AND(L342&lt;&gt;"",K342=""),"No tax code",IF(AND(L342&lt;&gt;"",O342=""),"No revenue GL code",""))))))))</f>
        <v/>
      </c>
      <c r="W342" s="25">
        <f>IF(E342="","",IFERROR(INDEX(lst_JobName,MATCH(E342&amp;"",lst_Jobs,0)),""))</f>
        <v/>
      </c>
      <c r="X342" s="28">
        <f>IF(E342="","",COUNTIFS(tbl_Finance[Job Number],E342&amp;"",tbl_Finance[Ex GST],"&lt;&gt;"))</f>
        <v/>
      </c>
      <c r="Y342" s="27">
        <f>IF(E342="","",SUMIFS(tbl_Finance[Ex GST],tbl_Finance[Job Number],E342&amp;""))</f>
        <v/>
      </c>
      <c r="Z342" s="27">
        <f>IF(E342="","",SUMIFS(tbl_Finance[Ex GST],tbl_Finance[Job Number],E342&amp;"",tbl_Finance[Xero Invoice No],"&lt;&gt;"))</f>
        <v/>
      </c>
      <c r="AA342" s="27">
        <f>IF(E342="","",Y342-Z342)</f>
        <v/>
      </c>
      <c r="AB342" s="25">
        <f>IF(E342="","",IF(H342="Onsite",IFERROR(INDEX(tbl_Onsite[Qwilr Quote],MATCH(E342&amp;"",tbl_Onsite[Job Number],0)),""),IF(H342="Production",IFERROR(IF(INDEX(tbl_Production[Current RMS No],MATCH(E342&amp;"",tbl_Production[Job Number],0))="",INDEX(tbl_Production[Qwilr Quote],MATCH(E342&amp;"",tbl_Production[Job Number],0)),INDEX(tbl_Production[Current RMS No],MATCH(E342&amp;"",tbl_Production[Job Number],0))),""),IF(H342="Consulting",IFERROR(INDEX(tbl_Consulting[Qwilr Quote],MATCH(E342&amp;"",tbl_Consulting[Job Number],0)),""),""))))</f>
        <v/>
      </c>
      <c r="AC342" s="25">
        <f>IF(AB342="","",IF(AND(LEFT(AB342,4)&lt;&gt;"http",IF(H342="Production",set_RMSBase,set_QwilrBase)=""),"",HYPERLINK(IF(LEFT(AB342,4)="http",AB342,IF(H342="Production",set_RMSBase,set_QwilrBase)&amp;AB342),"Open")))</f>
        <v/>
      </c>
      <c r="AD342" s="27">
        <f>IF(E342="","",IF(H342="Production",IFERROR(INDEX(tbl_Production[Total Expense],MATCH(E342&amp;"",tbl_Production[Job Number],0)),0),IF(H342="Consulting",IFERROR(INDEX(tbl_Consulting[Total Expense],MATCH(E342&amp;"",tbl_Consulting[Job Number],0)),0),0)))</f>
        <v/>
      </c>
      <c r="AE342" s="27">
        <f>IF(E342="","",Y342-N(AD342))</f>
        <v/>
      </c>
      <c r="AF342" s="29">
        <f>IFERROR(AE342/Y342,"")</f>
        <v/>
      </c>
      <c r="AG342" s="25">
        <f>IF(E342="","",IF(H342="Onsite",IFERROR(INDEX(tbl_Onsite[Notes],MATCH(E342&amp;"",tbl_Onsite[Job Number],0)),""),IF(H342="Production",IFERROR(INDEX(tbl_Production[Notes],MATCH(E342&amp;"",tbl_Production[Job Number],0)),""),IF(H342="Consulting",IFERROR(INDEX(tbl_Consulting[Notes],MATCH(E342&amp;"",tbl_Consulting[Job Number],0)),""),""))))</f>
        <v/>
      </c>
    </row>
    <row r="343" ht="15" customHeight="1">
      <c r="A343" s="22" t="n"/>
      <c r="B343" s="23">
        <f>IF(A343="","",EOMONTH(A343,0))</f>
        <v/>
      </c>
      <c r="C343" s="24" t="n"/>
      <c r="D343" s="24" t="n"/>
      <c r="E343" s="24" t="n"/>
      <c r="F343" s="25">
        <f>IF(E343="","",IF(COUNTIF(lst_Jobs,E343&amp;"")&gt;0,"OK","CHECK"))</f>
        <v/>
      </c>
      <c r="G343" s="24" t="n"/>
      <c r="H343" s="24" t="n"/>
      <c r="I343" s="24" t="n"/>
      <c r="J343" s="24" t="n"/>
      <c r="K343" s="24" t="n"/>
      <c r="L343" s="26" t="n"/>
      <c r="M343" s="27">
        <f>IF(L343="","",IF(K343="GST 10%",ROUND(L343*set_GSTRate,2),0))</f>
        <v/>
      </c>
      <c r="N343" s="27">
        <f>IF(L343="","",L343+M343)</f>
        <v/>
      </c>
      <c r="O343" s="24" t="n"/>
      <c r="P343" s="24" t="n"/>
      <c r="Q343" s="24" t="n"/>
      <c r="R343" s="22" t="n"/>
      <c r="S343" s="22" t="n"/>
      <c r="T343" s="24" t="n"/>
      <c r="U343" s="24" t="n"/>
      <c r="V343" s="25">
        <f>IF(COUNTA(A343,D343,C343,L343)=0,"",IF(A343="","No date - sits outside every month",IF(E343="","No job number",IF(F343="CHECK","Job number is not in the Xero job list",IF(I343="","No cost centre",IF(AND(P343="Y",C343=""),"Marked posted to Xero but has no invoice number",IF(AND(L343&lt;&gt;"",K343=""),"No tax code",IF(AND(L343&lt;&gt;"",O343=""),"No revenue GL code",""))))))))</f>
        <v/>
      </c>
      <c r="W343" s="25">
        <f>IF(E343="","",IFERROR(INDEX(lst_JobName,MATCH(E343&amp;"",lst_Jobs,0)),""))</f>
        <v/>
      </c>
      <c r="X343" s="28">
        <f>IF(E343="","",COUNTIFS(tbl_Finance[Job Number],E343&amp;"",tbl_Finance[Ex GST],"&lt;&gt;"))</f>
        <v/>
      </c>
      <c r="Y343" s="27">
        <f>IF(E343="","",SUMIFS(tbl_Finance[Ex GST],tbl_Finance[Job Number],E343&amp;""))</f>
        <v/>
      </c>
      <c r="Z343" s="27">
        <f>IF(E343="","",SUMIFS(tbl_Finance[Ex GST],tbl_Finance[Job Number],E343&amp;"",tbl_Finance[Xero Invoice No],"&lt;&gt;"))</f>
        <v/>
      </c>
      <c r="AA343" s="27">
        <f>IF(E343="","",Y343-Z343)</f>
        <v/>
      </c>
      <c r="AB343" s="25">
        <f>IF(E343="","",IF(H343="Onsite",IFERROR(INDEX(tbl_Onsite[Qwilr Quote],MATCH(E343&amp;"",tbl_Onsite[Job Number],0)),""),IF(H343="Production",IFERROR(IF(INDEX(tbl_Production[Current RMS No],MATCH(E343&amp;"",tbl_Production[Job Number],0))="",INDEX(tbl_Production[Qwilr Quote],MATCH(E343&amp;"",tbl_Production[Job Number],0)),INDEX(tbl_Production[Current RMS No],MATCH(E343&amp;"",tbl_Production[Job Number],0))),""),IF(H343="Consulting",IFERROR(INDEX(tbl_Consulting[Qwilr Quote],MATCH(E343&amp;"",tbl_Consulting[Job Number],0)),""),""))))</f>
        <v/>
      </c>
      <c r="AC343" s="25">
        <f>IF(AB343="","",IF(AND(LEFT(AB343,4)&lt;&gt;"http",IF(H343="Production",set_RMSBase,set_QwilrBase)=""),"",HYPERLINK(IF(LEFT(AB343,4)="http",AB343,IF(H343="Production",set_RMSBase,set_QwilrBase)&amp;AB343),"Open")))</f>
        <v/>
      </c>
      <c r="AD343" s="27">
        <f>IF(E343="","",IF(H343="Production",IFERROR(INDEX(tbl_Production[Total Expense],MATCH(E343&amp;"",tbl_Production[Job Number],0)),0),IF(H343="Consulting",IFERROR(INDEX(tbl_Consulting[Total Expense],MATCH(E343&amp;"",tbl_Consulting[Job Number],0)),0),0)))</f>
        <v/>
      </c>
      <c r="AE343" s="27">
        <f>IF(E343="","",Y343-N(AD343))</f>
        <v/>
      </c>
      <c r="AF343" s="29">
        <f>IFERROR(AE343/Y343,"")</f>
        <v/>
      </c>
      <c r="AG343" s="25">
        <f>IF(E343="","",IF(H343="Onsite",IFERROR(INDEX(tbl_Onsite[Notes],MATCH(E343&amp;"",tbl_Onsite[Job Number],0)),""),IF(H343="Production",IFERROR(INDEX(tbl_Production[Notes],MATCH(E343&amp;"",tbl_Production[Job Number],0)),""),IF(H343="Consulting",IFERROR(INDEX(tbl_Consulting[Notes],MATCH(E343&amp;"",tbl_Consulting[Job Number],0)),""),""))))</f>
        <v/>
      </c>
    </row>
    <row r="344" ht="15" customHeight="1">
      <c r="A344" s="22" t="n"/>
      <c r="B344" s="23">
        <f>IF(A344="","",EOMONTH(A344,0))</f>
        <v/>
      </c>
      <c r="C344" s="24" t="n"/>
      <c r="D344" s="24" t="n"/>
      <c r="E344" s="24" t="n"/>
      <c r="F344" s="25">
        <f>IF(E344="","",IF(COUNTIF(lst_Jobs,E344&amp;"")&gt;0,"OK","CHECK"))</f>
        <v/>
      </c>
      <c r="G344" s="24" t="n"/>
      <c r="H344" s="24" t="n"/>
      <c r="I344" s="24" t="n"/>
      <c r="J344" s="24" t="n"/>
      <c r="K344" s="24" t="n"/>
      <c r="L344" s="26" t="n"/>
      <c r="M344" s="27">
        <f>IF(L344="","",IF(K344="GST 10%",ROUND(L344*set_GSTRate,2),0))</f>
        <v/>
      </c>
      <c r="N344" s="27">
        <f>IF(L344="","",L344+M344)</f>
        <v/>
      </c>
      <c r="O344" s="24" t="n"/>
      <c r="P344" s="24" t="n"/>
      <c r="Q344" s="24" t="n"/>
      <c r="R344" s="22" t="n"/>
      <c r="S344" s="22" t="n"/>
      <c r="T344" s="24" t="n"/>
      <c r="U344" s="24" t="n"/>
      <c r="V344" s="25">
        <f>IF(COUNTA(A344,D344,C344,L344)=0,"",IF(A344="","No date - sits outside every month",IF(E344="","No job number",IF(F344="CHECK","Job number is not in the Xero job list",IF(I344="","No cost centre",IF(AND(P344="Y",C344=""),"Marked posted to Xero but has no invoice number",IF(AND(L344&lt;&gt;"",K344=""),"No tax code",IF(AND(L344&lt;&gt;"",O344=""),"No revenue GL code",""))))))))</f>
        <v/>
      </c>
      <c r="W344" s="25">
        <f>IF(E344="","",IFERROR(INDEX(lst_JobName,MATCH(E344&amp;"",lst_Jobs,0)),""))</f>
        <v/>
      </c>
      <c r="X344" s="28">
        <f>IF(E344="","",COUNTIFS(tbl_Finance[Job Number],E344&amp;"",tbl_Finance[Ex GST],"&lt;&gt;"))</f>
        <v/>
      </c>
      <c r="Y344" s="27">
        <f>IF(E344="","",SUMIFS(tbl_Finance[Ex GST],tbl_Finance[Job Number],E344&amp;""))</f>
        <v/>
      </c>
      <c r="Z344" s="27">
        <f>IF(E344="","",SUMIFS(tbl_Finance[Ex GST],tbl_Finance[Job Number],E344&amp;"",tbl_Finance[Xero Invoice No],"&lt;&gt;"))</f>
        <v/>
      </c>
      <c r="AA344" s="27">
        <f>IF(E344="","",Y344-Z344)</f>
        <v/>
      </c>
      <c r="AB344" s="25">
        <f>IF(E344="","",IF(H344="Onsite",IFERROR(INDEX(tbl_Onsite[Qwilr Quote],MATCH(E344&amp;"",tbl_Onsite[Job Number],0)),""),IF(H344="Production",IFERROR(IF(INDEX(tbl_Production[Current RMS No],MATCH(E344&amp;"",tbl_Production[Job Number],0))="",INDEX(tbl_Production[Qwilr Quote],MATCH(E344&amp;"",tbl_Production[Job Number],0)),INDEX(tbl_Production[Current RMS No],MATCH(E344&amp;"",tbl_Production[Job Number],0))),""),IF(H344="Consulting",IFERROR(INDEX(tbl_Consulting[Qwilr Quote],MATCH(E344&amp;"",tbl_Consulting[Job Number],0)),""),""))))</f>
        <v/>
      </c>
      <c r="AC344" s="25">
        <f>IF(AB344="","",IF(AND(LEFT(AB344,4)&lt;&gt;"http",IF(H344="Production",set_RMSBase,set_QwilrBase)=""),"",HYPERLINK(IF(LEFT(AB344,4)="http",AB344,IF(H344="Production",set_RMSBase,set_QwilrBase)&amp;AB344),"Open")))</f>
        <v/>
      </c>
      <c r="AD344" s="27">
        <f>IF(E344="","",IF(H344="Production",IFERROR(INDEX(tbl_Production[Total Expense],MATCH(E344&amp;"",tbl_Production[Job Number],0)),0),IF(H344="Consulting",IFERROR(INDEX(tbl_Consulting[Total Expense],MATCH(E344&amp;"",tbl_Consulting[Job Number],0)),0),0)))</f>
        <v/>
      </c>
      <c r="AE344" s="27">
        <f>IF(E344="","",Y344-N(AD344))</f>
        <v/>
      </c>
      <c r="AF344" s="29">
        <f>IFERROR(AE344/Y344,"")</f>
        <v/>
      </c>
      <c r="AG344" s="25">
        <f>IF(E344="","",IF(H344="Onsite",IFERROR(INDEX(tbl_Onsite[Notes],MATCH(E344&amp;"",tbl_Onsite[Job Number],0)),""),IF(H344="Production",IFERROR(INDEX(tbl_Production[Notes],MATCH(E344&amp;"",tbl_Production[Job Number],0)),""),IF(H344="Consulting",IFERROR(INDEX(tbl_Consulting[Notes],MATCH(E344&amp;"",tbl_Consulting[Job Number],0)),""),""))))</f>
        <v/>
      </c>
    </row>
    <row r="345" ht="15" customHeight="1">
      <c r="A345" s="22" t="n"/>
      <c r="B345" s="23">
        <f>IF(A345="","",EOMONTH(A345,0))</f>
        <v/>
      </c>
      <c r="C345" s="24" t="n"/>
      <c r="D345" s="24" t="n"/>
      <c r="E345" s="24" t="n"/>
      <c r="F345" s="25">
        <f>IF(E345="","",IF(COUNTIF(lst_Jobs,E345&amp;"")&gt;0,"OK","CHECK"))</f>
        <v/>
      </c>
      <c r="G345" s="24" t="n"/>
      <c r="H345" s="24" t="n"/>
      <c r="I345" s="24" t="n"/>
      <c r="J345" s="24" t="n"/>
      <c r="K345" s="24" t="n"/>
      <c r="L345" s="26" t="n"/>
      <c r="M345" s="27">
        <f>IF(L345="","",IF(K345="GST 10%",ROUND(L345*set_GSTRate,2),0))</f>
        <v/>
      </c>
      <c r="N345" s="27">
        <f>IF(L345="","",L345+M345)</f>
        <v/>
      </c>
      <c r="O345" s="24" t="n"/>
      <c r="P345" s="24" t="n"/>
      <c r="Q345" s="24" t="n"/>
      <c r="R345" s="22" t="n"/>
      <c r="S345" s="22" t="n"/>
      <c r="T345" s="24" t="n"/>
      <c r="U345" s="24" t="n"/>
      <c r="V345" s="25">
        <f>IF(COUNTA(A345,D345,C345,L345)=0,"",IF(A345="","No date - sits outside every month",IF(E345="","No job number",IF(F345="CHECK","Job number is not in the Xero job list",IF(I345="","No cost centre",IF(AND(P345="Y",C345=""),"Marked posted to Xero but has no invoice number",IF(AND(L345&lt;&gt;"",K345=""),"No tax code",IF(AND(L345&lt;&gt;"",O345=""),"No revenue GL code",""))))))))</f>
        <v/>
      </c>
      <c r="W345" s="25">
        <f>IF(E345="","",IFERROR(INDEX(lst_JobName,MATCH(E345&amp;"",lst_Jobs,0)),""))</f>
        <v/>
      </c>
      <c r="X345" s="28">
        <f>IF(E345="","",COUNTIFS(tbl_Finance[Job Number],E345&amp;"",tbl_Finance[Ex GST],"&lt;&gt;"))</f>
        <v/>
      </c>
      <c r="Y345" s="27">
        <f>IF(E345="","",SUMIFS(tbl_Finance[Ex GST],tbl_Finance[Job Number],E345&amp;""))</f>
        <v/>
      </c>
      <c r="Z345" s="27">
        <f>IF(E345="","",SUMIFS(tbl_Finance[Ex GST],tbl_Finance[Job Number],E345&amp;"",tbl_Finance[Xero Invoice No],"&lt;&gt;"))</f>
        <v/>
      </c>
      <c r="AA345" s="27">
        <f>IF(E345="","",Y345-Z345)</f>
        <v/>
      </c>
      <c r="AB345" s="25">
        <f>IF(E345="","",IF(H345="Onsite",IFERROR(INDEX(tbl_Onsite[Qwilr Quote],MATCH(E345&amp;"",tbl_Onsite[Job Number],0)),""),IF(H345="Production",IFERROR(IF(INDEX(tbl_Production[Current RMS No],MATCH(E345&amp;"",tbl_Production[Job Number],0))="",INDEX(tbl_Production[Qwilr Quote],MATCH(E345&amp;"",tbl_Production[Job Number],0)),INDEX(tbl_Production[Current RMS No],MATCH(E345&amp;"",tbl_Production[Job Number],0))),""),IF(H345="Consulting",IFERROR(INDEX(tbl_Consulting[Qwilr Quote],MATCH(E345&amp;"",tbl_Consulting[Job Number],0)),""),""))))</f>
        <v/>
      </c>
      <c r="AC345" s="25">
        <f>IF(AB345="","",IF(AND(LEFT(AB345,4)&lt;&gt;"http",IF(H345="Production",set_RMSBase,set_QwilrBase)=""),"",HYPERLINK(IF(LEFT(AB345,4)="http",AB345,IF(H345="Production",set_RMSBase,set_QwilrBase)&amp;AB345),"Open")))</f>
        <v/>
      </c>
      <c r="AD345" s="27">
        <f>IF(E345="","",IF(H345="Production",IFERROR(INDEX(tbl_Production[Total Expense],MATCH(E345&amp;"",tbl_Production[Job Number],0)),0),IF(H345="Consulting",IFERROR(INDEX(tbl_Consulting[Total Expense],MATCH(E345&amp;"",tbl_Consulting[Job Number],0)),0),0)))</f>
        <v/>
      </c>
      <c r="AE345" s="27">
        <f>IF(E345="","",Y345-N(AD345))</f>
        <v/>
      </c>
      <c r="AF345" s="29">
        <f>IFERROR(AE345/Y345,"")</f>
        <v/>
      </c>
      <c r="AG345" s="25">
        <f>IF(E345="","",IF(H345="Onsite",IFERROR(INDEX(tbl_Onsite[Notes],MATCH(E345&amp;"",tbl_Onsite[Job Number],0)),""),IF(H345="Production",IFERROR(INDEX(tbl_Production[Notes],MATCH(E345&amp;"",tbl_Production[Job Number],0)),""),IF(H345="Consulting",IFERROR(INDEX(tbl_Consulting[Notes],MATCH(E345&amp;"",tbl_Consulting[Job Number],0)),""),""))))</f>
        <v/>
      </c>
    </row>
    <row r="346" ht="15" customHeight="1">
      <c r="A346" s="22" t="n"/>
      <c r="B346" s="23">
        <f>IF(A346="","",EOMONTH(A346,0))</f>
        <v/>
      </c>
      <c r="C346" s="24" t="n"/>
      <c r="D346" s="24" t="n"/>
      <c r="E346" s="24" t="n"/>
      <c r="F346" s="25">
        <f>IF(E346="","",IF(COUNTIF(lst_Jobs,E346&amp;"")&gt;0,"OK","CHECK"))</f>
        <v/>
      </c>
      <c r="G346" s="24" t="n"/>
      <c r="H346" s="24" t="n"/>
      <c r="I346" s="24" t="n"/>
      <c r="J346" s="24" t="n"/>
      <c r="K346" s="24" t="n"/>
      <c r="L346" s="26" t="n"/>
      <c r="M346" s="27">
        <f>IF(L346="","",IF(K346="GST 10%",ROUND(L346*set_GSTRate,2),0))</f>
        <v/>
      </c>
      <c r="N346" s="27">
        <f>IF(L346="","",L346+M346)</f>
        <v/>
      </c>
      <c r="O346" s="24" t="n"/>
      <c r="P346" s="24" t="n"/>
      <c r="Q346" s="24" t="n"/>
      <c r="R346" s="22" t="n"/>
      <c r="S346" s="22" t="n"/>
      <c r="T346" s="24" t="n"/>
      <c r="U346" s="24" t="n"/>
      <c r="V346" s="25">
        <f>IF(COUNTA(A346,D346,C346,L346)=0,"",IF(A346="","No date - sits outside every month",IF(E346="","No job number",IF(F346="CHECK","Job number is not in the Xero job list",IF(I346="","No cost centre",IF(AND(P346="Y",C346=""),"Marked posted to Xero but has no invoice number",IF(AND(L346&lt;&gt;"",K346=""),"No tax code",IF(AND(L346&lt;&gt;"",O346=""),"No revenue GL code",""))))))))</f>
        <v/>
      </c>
      <c r="W346" s="25">
        <f>IF(E346="","",IFERROR(INDEX(lst_JobName,MATCH(E346&amp;"",lst_Jobs,0)),""))</f>
        <v/>
      </c>
      <c r="X346" s="28">
        <f>IF(E346="","",COUNTIFS(tbl_Finance[Job Number],E346&amp;"",tbl_Finance[Ex GST],"&lt;&gt;"))</f>
        <v/>
      </c>
      <c r="Y346" s="27">
        <f>IF(E346="","",SUMIFS(tbl_Finance[Ex GST],tbl_Finance[Job Number],E346&amp;""))</f>
        <v/>
      </c>
      <c r="Z346" s="27">
        <f>IF(E346="","",SUMIFS(tbl_Finance[Ex GST],tbl_Finance[Job Number],E346&amp;"",tbl_Finance[Xero Invoice No],"&lt;&gt;"))</f>
        <v/>
      </c>
      <c r="AA346" s="27">
        <f>IF(E346="","",Y346-Z346)</f>
        <v/>
      </c>
      <c r="AB346" s="25">
        <f>IF(E346="","",IF(H346="Onsite",IFERROR(INDEX(tbl_Onsite[Qwilr Quote],MATCH(E346&amp;"",tbl_Onsite[Job Number],0)),""),IF(H346="Production",IFERROR(IF(INDEX(tbl_Production[Current RMS No],MATCH(E346&amp;"",tbl_Production[Job Number],0))="",INDEX(tbl_Production[Qwilr Quote],MATCH(E346&amp;"",tbl_Production[Job Number],0)),INDEX(tbl_Production[Current RMS No],MATCH(E346&amp;"",tbl_Production[Job Number],0))),""),IF(H346="Consulting",IFERROR(INDEX(tbl_Consulting[Qwilr Quote],MATCH(E346&amp;"",tbl_Consulting[Job Number],0)),""),""))))</f>
        <v/>
      </c>
      <c r="AC346" s="25">
        <f>IF(AB346="","",IF(AND(LEFT(AB346,4)&lt;&gt;"http",IF(H346="Production",set_RMSBase,set_QwilrBase)=""),"",HYPERLINK(IF(LEFT(AB346,4)="http",AB346,IF(H346="Production",set_RMSBase,set_QwilrBase)&amp;AB346),"Open")))</f>
        <v/>
      </c>
      <c r="AD346" s="27">
        <f>IF(E346="","",IF(H346="Production",IFERROR(INDEX(tbl_Production[Total Expense],MATCH(E346&amp;"",tbl_Production[Job Number],0)),0),IF(H346="Consulting",IFERROR(INDEX(tbl_Consulting[Total Expense],MATCH(E346&amp;"",tbl_Consulting[Job Number],0)),0),0)))</f>
        <v/>
      </c>
      <c r="AE346" s="27">
        <f>IF(E346="","",Y346-N(AD346))</f>
        <v/>
      </c>
      <c r="AF346" s="29">
        <f>IFERROR(AE346/Y346,"")</f>
        <v/>
      </c>
      <c r="AG346" s="25">
        <f>IF(E346="","",IF(H346="Onsite",IFERROR(INDEX(tbl_Onsite[Notes],MATCH(E346&amp;"",tbl_Onsite[Job Number],0)),""),IF(H346="Production",IFERROR(INDEX(tbl_Production[Notes],MATCH(E346&amp;"",tbl_Production[Job Number],0)),""),IF(H346="Consulting",IFERROR(INDEX(tbl_Consulting[Notes],MATCH(E346&amp;"",tbl_Consulting[Job Number],0)),""),""))))</f>
        <v/>
      </c>
    </row>
    <row r="347" ht="15" customHeight="1">
      <c r="A347" s="22" t="n"/>
      <c r="B347" s="23">
        <f>IF(A347="","",EOMONTH(A347,0))</f>
        <v/>
      </c>
      <c r="C347" s="24" t="n"/>
      <c r="D347" s="24" t="n"/>
      <c r="E347" s="24" t="n"/>
      <c r="F347" s="25">
        <f>IF(E347="","",IF(COUNTIF(lst_Jobs,E347&amp;"")&gt;0,"OK","CHECK"))</f>
        <v/>
      </c>
      <c r="G347" s="24" t="n"/>
      <c r="H347" s="24" t="n"/>
      <c r="I347" s="24" t="n"/>
      <c r="J347" s="24" t="n"/>
      <c r="K347" s="24" t="n"/>
      <c r="L347" s="26" t="n"/>
      <c r="M347" s="27">
        <f>IF(L347="","",IF(K347="GST 10%",ROUND(L347*set_GSTRate,2),0))</f>
        <v/>
      </c>
      <c r="N347" s="27">
        <f>IF(L347="","",L347+M347)</f>
        <v/>
      </c>
      <c r="O347" s="24" t="n"/>
      <c r="P347" s="24" t="n"/>
      <c r="Q347" s="24" t="n"/>
      <c r="R347" s="22" t="n"/>
      <c r="S347" s="22" t="n"/>
      <c r="T347" s="24" t="n"/>
      <c r="U347" s="24" t="n"/>
      <c r="V347" s="25">
        <f>IF(COUNTA(A347,D347,C347,L347)=0,"",IF(A347="","No date - sits outside every month",IF(E347="","No job number",IF(F347="CHECK","Job number is not in the Xero job list",IF(I347="","No cost centre",IF(AND(P347="Y",C347=""),"Marked posted to Xero but has no invoice number",IF(AND(L347&lt;&gt;"",K347=""),"No tax code",IF(AND(L347&lt;&gt;"",O347=""),"No revenue GL code",""))))))))</f>
        <v/>
      </c>
      <c r="W347" s="25">
        <f>IF(E347="","",IFERROR(INDEX(lst_JobName,MATCH(E347&amp;"",lst_Jobs,0)),""))</f>
        <v/>
      </c>
      <c r="X347" s="28">
        <f>IF(E347="","",COUNTIFS(tbl_Finance[Job Number],E347&amp;"",tbl_Finance[Ex GST],"&lt;&gt;"))</f>
        <v/>
      </c>
      <c r="Y347" s="27">
        <f>IF(E347="","",SUMIFS(tbl_Finance[Ex GST],tbl_Finance[Job Number],E347&amp;""))</f>
        <v/>
      </c>
      <c r="Z347" s="27">
        <f>IF(E347="","",SUMIFS(tbl_Finance[Ex GST],tbl_Finance[Job Number],E347&amp;"",tbl_Finance[Xero Invoice No],"&lt;&gt;"))</f>
        <v/>
      </c>
      <c r="AA347" s="27">
        <f>IF(E347="","",Y347-Z347)</f>
        <v/>
      </c>
      <c r="AB347" s="25">
        <f>IF(E347="","",IF(H347="Onsite",IFERROR(INDEX(tbl_Onsite[Qwilr Quote],MATCH(E347&amp;"",tbl_Onsite[Job Number],0)),""),IF(H347="Production",IFERROR(IF(INDEX(tbl_Production[Current RMS No],MATCH(E347&amp;"",tbl_Production[Job Number],0))="",INDEX(tbl_Production[Qwilr Quote],MATCH(E347&amp;"",tbl_Production[Job Number],0)),INDEX(tbl_Production[Current RMS No],MATCH(E347&amp;"",tbl_Production[Job Number],0))),""),IF(H347="Consulting",IFERROR(INDEX(tbl_Consulting[Qwilr Quote],MATCH(E347&amp;"",tbl_Consulting[Job Number],0)),""),""))))</f>
        <v/>
      </c>
      <c r="AC347" s="25">
        <f>IF(AB347="","",IF(AND(LEFT(AB347,4)&lt;&gt;"http",IF(H347="Production",set_RMSBase,set_QwilrBase)=""),"",HYPERLINK(IF(LEFT(AB347,4)="http",AB347,IF(H347="Production",set_RMSBase,set_QwilrBase)&amp;AB347),"Open")))</f>
        <v/>
      </c>
      <c r="AD347" s="27">
        <f>IF(E347="","",IF(H347="Production",IFERROR(INDEX(tbl_Production[Total Expense],MATCH(E347&amp;"",tbl_Production[Job Number],0)),0),IF(H347="Consulting",IFERROR(INDEX(tbl_Consulting[Total Expense],MATCH(E347&amp;"",tbl_Consulting[Job Number],0)),0),0)))</f>
        <v/>
      </c>
      <c r="AE347" s="27">
        <f>IF(E347="","",Y347-N(AD347))</f>
        <v/>
      </c>
      <c r="AF347" s="29">
        <f>IFERROR(AE347/Y347,"")</f>
        <v/>
      </c>
      <c r="AG347" s="25">
        <f>IF(E347="","",IF(H347="Onsite",IFERROR(INDEX(tbl_Onsite[Notes],MATCH(E347&amp;"",tbl_Onsite[Job Number],0)),""),IF(H347="Production",IFERROR(INDEX(tbl_Production[Notes],MATCH(E347&amp;"",tbl_Production[Job Number],0)),""),IF(H347="Consulting",IFERROR(INDEX(tbl_Consulting[Notes],MATCH(E347&amp;"",tbl_Consulting[Job Number],0)),""),""))))</f>
        <v/>
      </c>
    </row>
    <row r="348" ht="15" customHeight="1">
      <c r="A348" s="22" t="n"/>
      <c r="B348" s="23">
        <f>IF(A348="","",EOMONTH(A348,0))</f>
        <v/>
      </c>
      <c r="C348" s="24" t="n"/>
      <c r="D348" s="24" t="n"/>
      <c r="E348" s="24" t="n"/>
      <c r="F348" s="25">
        <f>IF(E348="","",IF(COUNTIF(lst_Jobs,E348&amp;"")&gt;0,"OK","CHECK"))</f>
        <v/>
      </c>
      <c r="G348" s="24" t="n"/>
      <c r="H348" s="24" t="n"/>
      <c r="I348" s="24" t="n"/>
      <c r="J348" s="24" t="n"/>
      <c r="K348" s="24" t="n"/>
      <c r="L348" s="26" t="n"/>
      <c r="M348" s="27">
        <f>IF(L348="","",IF(K348="GST 10%",ROUND(L348*set_GSTRate,2),0))</f>
        <v/>
      </c>
      <c r="N348" s="27">
        <f>IF(L348="","",L348+M348)</f>
        <v/>
      </c>
      <c r="O348" s="24" t="n"/>
      <c r="P348" s="24" t="n"/>
      <c r="Q348" s="24" t="n"/>
      <c r="R348" s="22" t="n"/>
      <c r="S348" s="22" t="n"/>
      <c r="T348" s="24" t="n"/>
      <c r="U348" s="24" t="n"/>
      <c r="V348" s="25">
        <f>IF(COUNTA(A348,D348,C348,L348)=0,"",IF(A348="","No date - sits outside every month",IF(E348="","No job number",IF(F348="CHECK","Job number is not in the Xero job list",IF(I348="","No cost centre",IF(AND(P348="Y",C348=""),"Marked posted to Xero but has no invoice number",IF(AND(L348&lt;&gt;"",K348=""),"No tax code",IF(AND(L348&lt;&gt;"",O348=""),"No revenue GL code",""))))))))</f>
        <v/>
      </c>
      <c r="W348" s="25">
        <f>IF(E348="","",IFERROR(INDEX(lst_JobName,MATCH(E348&amp;"",lst_Jobs,0)),""))</f>
        <v/>
      </c>
      <c r="X348" s="28">
        <f>IF(E348="","",COUNTIFS(tbl_Finance[Job Number],E348&amp;"",tbl_Finance[Ex GST],"&lt;&gt;"))</f>
        <v/>
      </c>
      <c r="Y348" s="27">
        <f>IF(E348="","",SUMIFS(tbl_Finance[Ex GST],tbl_Finance[Job Number],E348&amp;""))</f>
        <v/>
      </c>
      <c r="Z348" s="27">
        <f>IF(E348="","",SUMIFS(tbl_Finance[Ex GST],tbl_Finance[Job Number],E348&amp;"",tbl_Finance[Xero Invoice No],"&lt;&gt;"))</f>
        <v/>
      </c>
      <c r="AA348" s="27">
        <f>IF(E348="","",Y348-Z348)</f>
        <v/>
      </c>
      <c r="AB348" s="25">
        <f>IF(E348="","",IF(H348="Onsite",IFERROR(INDEX(tbl_Onsite[Qwilr Quote],MATCH(E348&amp;"",tbl_Onsite[Job Number],0)),""),IF(H348="Production",IFERROR(IF(INDEX(tbl_Production[Current RMS No],MATCH(E348&amp;"",tbl_Production[Job Number],0))="",INDEX(tbl_Production[Qwilr Quote],MATCH(E348&amp;"",tbl_Production[Job Number],0)),INDEX(tbl_Production[Current RMS No],MATCH(E348&amp;"",tbl_Production[Job Number],0))),""),IF(H348="Consulting",IFERROR(INDEX(tbl_Consulting[Qwilr Quote],MATCH(E348&amp;"",tbl_Consulting[Job Number],0)),""),""))))</f>
        <v/>
      </c>
      <c r="AC348" s="25">
        <f>IF(AB348="","",IF(AND(LEFT(AB348,4)&lt;&gt;"http",IF(H348="Production",set_RMSBase,set_QwilrBase)=""),"",HYPERLINK(IF(LEFT(AB348,4)="http",AB348,IF(H348="Production",set_RMSBase,set_QwilrBase)&amp;AB348),"Open")))</f>
        <v/>
      </c>
      <c r="AD348" s="27">
        <f>IF(E348="","",IF(H348="Production",IFERROR(INDEX(tbl_Production[Total Expense],MATCH(E348&amp;"",tbl_Production[Job Number],0)),0),IF(H348="Consulting",IFERROR(INDEX(tbl_Consulting[Total Expense],MATCH(E348&amp;"",tbl_Consulting[Job Number],0)),0),0)))</f>
        <v/>
      </c>
      <c r="AE348" s="27">
        <f>IF(E348="","",Y348-N(AD348))</f>
        <v/>
      </c>
      <c r="AF348" s="29">
        <f>IFERROR(AE348/Y348,"")</f>
        <v/>
      </c>
      <c r="AG348" s="25">
        <f>IF(E348="","",IF(H348="Onsite",IFERROR(INDEX(tbl_Onsite[Notes],MATCH(E348&amp;"",tbl_Onsite[Job Number],0)),""),IF(H348="Production",IFERROR(INDEX(tbl_Production[Notes],MATCH(E348&amp;"",tbl_Production[Job Number],0)),""),IF(H348="Consulting",IFERROR(INDEX(tbl_Consulting[Notes],MATCH(E348&amp;"",tbl_Consulting[Job Number],0)),""),""))))</f>
        <v/>
      </c>
    </row>
    <row r="349" ht="15" customHeight="1">
      <c r="A349" s="22" t="n"/>
      <c r="B349" s="23">
        <f>IF(A349="","",EOMONTH(A349,0))</f>
        <v/>
      </c>
      <c r="C349" s="24" t="n"/>
      <c r="D349" s="24" t="n"/>
      <c r="E349" s="24" t="n"/>
      <c r="F349" s="25">
        <f>IF(E349="","",IF(COUNTIF(lst_Jobs,E349&amp;"")&gt;0,"OK","CHECK"))</f>
        <v/>
      </c>
      <c r="G349" s="24" t="n"/>
      <c r="H349" s="24" t="n"/>
      <c r="I349" s="24" t="n"/>
      <c r="J349" s="24" t="n"/>
      <c r="K349" s="24" t="n"/>
      <c r="L349" s="26" t="n"/>
      <c r="M349" s="27">
        <f>IF(L349="","",IF(K349="GST 10%",ROUND(L349*set_GSTRate,2),0))</f>
        <v/>
      </c>
      <c r="N349" s="27">
        <f>IF(L349="","",L349+M349)</f>
        <v/>
      </c>
      <c r="O349" s="24" t="n"/>
      <c r="P349" s="24" t="n"/>
      <c r="Q349" s="24" t="n"/>
      <c r="R349" s="22" t="n"/>
      <c r="S349" s="22" t="n"/>
      <c r="T349" s="24" t="n"/>
      <c r="U349" s="24" t="n"/>
      <c r="V349" s="25">
        <f>IF(COUNTA(A349,D349,C349,L349)=0,"",IF(A349="","No date - sits outside every month",IF(E349="","No job number",IF(F349="CHECK","Job number is not in the Xero job list",IF(I349="","No cost centre",IF(AND(P349="Y",C349=""),"Marked posted to Xero but has no invoice number",IF(AND(L349&lt;&gt;"",K349=""),"No tax code",IF(AND(L349&lt;&gt;"",O349=""),"No revenue GL code",""))))))))</f>
        <v/>
      </c>
      <c r="W349" s="25">
        <f>IF(E349="","",IFERROR(INDEX(lst_JobName,MATCH(E349&amp;"",lst_Jobs,0)),""))</f>
        <v/>
      </c>
      <c r="X349" s="28">
        <f>IF(E349="","",COUNTIFS(tbl_Finance[Job Number],E349&amp;"",tbl_Finance[Ex GST],"&lt;&gt;"))</f>
        <v/>
      </c>
      <c r="Y349" s="27">
        <f>IF(E349="","",SUMIFS(tbl_Finance[Ex GST],tbl_Finance[Job Number],E349&amp;""))</f>
        <v/>
      </c>
      <c r="Z349" s="27">
        <f>IF(E349="","",SUMIFS(tbl_Finance[Ex GST],tbl_Finance[Job Number],E349&amp;"",tbl_Finance[Xero Invoice No],"&lt;&gt;"))</f>
        <v/>
      </c>
      <c r="AA349" s="27">
        <f>IF(E349="","",Y349-Z349)</f>
        <v/>
      </c>
      <c r="AB349" s="25">
        <f>IF(E349="","",IF(H349="Onsite",IFERROR(INDEX(tbl_Onsite[Qwilr Quote],MATCH(E349&amp;"",tbl_Onsite[Job Number],0)),""),IF(H349="Production",IFERROR(IF(INDEX(tbl_Production[Current RMS No],MATCH(E349&amp;"",tbl_Production[Job Number],0))="",INDEX(tbl_Production[Qwilr Quote],MATCH(E349&amp;"",tbl_Production[Job Number],0)),INDEX(tbl_Production[Current RMS No],MATCH(E349&amp;"",tbl_Production[Job Number],0))),""),IF(H349="Consulting",IFERROR(INDEX(tbl_Consulting[Qwilr Quote],MATCH(E349&amp;"",tbl_Consulting[Job Number],0)),""),""))))</f>
        <v/>
      </c>
      <c r="AC349" s="25">
        <f>IF(AB349="","",IF(AND(LEFT(AB349,4)&lt;&gt;"http",IF(H349="Production",set_RMSBase,set_QwilrBase)=""),"",HYPERLINK(IF(LEFT(AB349,4)="http",AB349,IF(H349="Production",set_RMSBase,set_QwilrBase)&amp;AB349),"Open")))</f>
        <v/>
      </c>
      <c r="AD349" s="27">
        <f>IF(E349="","",IF(H349="Production",IFERROR(INDEX(tbl_Production[Total Expense],MATCH(E349&amp;"",tbl_Production[Job Number],0)),0),IF(H349="Consulting",IFERROR(INDEX(tbl_Consulting[Total Expense],MATCH(E349&amp;"",tbl_Consulting[Job Number],0)),0),0)))</f>
        <v/>
      </c>
      <c r="AE349" s="27">
        <f>IF(E349="","",Y349-N(AD349))</f>
        <v/>
      </c>
      <c r="AF349" s="29">
        <f>IFERROR(AE349/Y349,"")</f>
        <v/>
      </c>
      <c r="AG349" s="25">
        <f>IF(E349="","",IF(H349="Onsite",IFERROR(INDEX(tbl_Onsite[Notes],MATCH(E349&amp;"",tbl_Onsite[Job Number],0)),""),IF(H349="Production",IFERROR(INDEX(tbl_Production[Notes],MATCH(E349&amp;"",tbl_Production[Job Number],0)),""),IF(H349="Consulting",IFERROR(INDEX(tbl_Consulting[Notes],MATCH(E349&amp;"",tbl_Consulting[Job Number],0)),""),""))))</f>
        <v/>
      </c>
    </row>
    <row r="350" ht="15" customHeight="1">
      <c r="A350" s="22" t="n"/>
      <c r="B350" s="23">
        <f>IF(A350="","",EOMONTH(A350,0))</f>
        <v/>
      </c>
      <c r="C350" s="24" t="n"/>
      <c r="D350" s="24" t="n"/>
      <c r="E350" s="24" t="n"/>
      <c r="F350" s="25">
        <f>IF(E350="","",IF(COUNTIF(lst_Jobs,E350&amp;"")&gt;0,"OK","CHECK"))</f>
        <v/>
      </c>
      <c r="G350" s="24" t="n"/>
      <c r="H350" s="24" t="n"/>
      <c r="I350" s="24" t="n"/>
      <c r="J350" s="24" t="n"/>
      <c r="K350" s="24" t="n"/>
      <c r="L350" s="26" t="n"/>
      <c r="M350" s="27">
        <f>IF(L350="","",IF(K350="GST 10%",ROUND(L350*set_GSTRate,2),0))</f>
        <v/>
      </c>
      <c r="N350" s="27">
        <f>IF(L350="","",L350+M350)</f>
        <v/>
      </c>
      <c r="O350" s="24" t="n"/>
      <c r="P350" s="24" t="n"/>
      <c r="Q350" s="24" t="n"/>
      <c r="R350" s="22" t="n"/>
      <c r="S350" s="22" t="n"/>
      <c r="T350" s="24" t="n"/>
      <c r="U350" s="24" t="n"/>
      <c r="V350" s="25">
        <f>IF(COUNTA(A350,D350,C350,L350)=0,"",IF(A350="","No date - sits outside every month",IF(E350="","No job number",IF(F350="CHECK","Job number is not in the Xero job list",IF(I350="","No cost centre",IF(AND(P350="Y",C350=""),"Marked posted to Xero but has no invoice number",IF(AND(L350&lt;&gt;"",K350=""),"No tax code",IF(AND(L350&lt;&gt;"",O350=""),"No revenue GL code",""))))))))</f>
        <v/>
      </c>
      <c r="W350" s="25">
        <f>IF(E350="","",IFERROR(INDEX(lst_JobName,MATCH(E350&amp;"",lst_Jobs,0)),""))</f>
        <v/>
      </c>
      <c r="X350" s="28">
        <f>IF(E350="","",COUNTIFS(tbl_Finance[Job Number],E350&amp;"",tbl_Finance[Ex GST],"&lt;&gt;"))</f>
        <v/>
      </c>
      <c r="Y350" s="27">
        <f>IF(E350="","",SUMIFS(tbl_Finance[Ex GST],tbl_Finance[Job Number],E350&amp;""))</f>
        <v/>
      </c>
      <c r="Z350" s="27">
        <f>IF(E350="","",SUMIFS(tbl_Finance[Ex GST],tbl_Finance[Job Number],E350&amp;"",tbl_Finance[Xero Invoice No],"&lt;&gt;"))</f>
        <v/>
      </c>
      <c r="AA350" s="27">
        <f>IF(E350="","",Y350-Z350)</f>
        <v/>
      </c>
      <c r="AB350" s="25">
        <f>IF(E350="","",IF(H350="Onsite",IFERROR(INDEX(tbl_Onsite[Qwilr Quote],MATCH(E350&amp;"",tbl_Onsite[Job Number],0)),""),IF(H350="Production",IFERROR(IF(INDEX(tbl_Production[Current RMS No],MATCH(E350&amp;"",tbl_Production[Job Number],0))="",INDEX(tbl_Production[Qwilr Quote],MATCH(E350&amp;"",tbl_Production[Job Number],0)),INDEX(tbl_Production[Current RMS No],MATCH(E350&amp;"",tbl_Production[Job Number],0))),""),IF(H350="Consulting",IFERROR(INDEX(tbl_Consulting[Qwilr Quote],MATCH(E350&amp;"",tbl_Consulting[Job Number],0)),""),""))))</f>
        <v/>
      </c>
      <c r="AC350" s="25">
        <f>IF(AB350="","",IF(AND(LEFT(AB350,4)&lt;&gt;"http",IF(H350="Production",set_RMSBase,set_QwilrBase)=""),"",HYPERLINK(IF(LEFT(AB350,4)="http",AB350,IF(H350="Production",set_RMSBase,set_QwilrBase)&amp;AB350),"Open")))</f>
        <v/>
      </c>
      <c r="AD350" s="27">
        <f>IF(E350="","",IF(H350="Production",IFERROR(INDEX(tbl_Production[Total Expense],MATCH(E350&amp;"",tbl_Production[Job Number],0)),0),IF(H350="Consulting",IFERROR(INDEX(tbl_Consulting[Total Expense],MATCH(E350&amp;"",tbl_Consulting[Job Number],0)),0),0)))</f>
        <v/>
      </c>
      <c r="AE350" s="27">
        <f>IF(E350="","",Y350-N(AD350))</f>
        <v/>
      </c>
      <c r="AF350" s="29">
        <f>IFERROR(AE350/Y350,"")</f>
        <v/>
      </c>
      <c r="AG350" s="25">
        <f>IF(E350="","",IF(H350="Onsite",IFERROR(INDEX(tbl_Onsite[Notes],MATCH(E350&amp;"",tbl_Onsite[Job Number],0)),""),IF(H350="Production",IFERROR(INDEX(tbl_Production[Notes],MATCH(E350&amp;"",tbl_Production[Job Number],0)),""),IF(H350="Consulting",IFERROR(INDEX(tbl_Consulting[Notes],MATCH(E350&amp;"",tbl_Consulting[Job Number],0)),""),""))))</f>
        <v/>
      </c>
    </row>
    <row r="351" ht="15" customHeight="1">
      <c r="A351" s="22" t="n"/>
      <c r="B351" s="23">
        <f>IF(A351="","",EOMONTH(A351,0))</f>
        <v/>
      </c>
      <c r="C351" s="24" t="n"/>
      <c r="D351" s="24" t="n"/>
      <c r="E351" s="24" t="n"/>
      <c r="F351" s="25">
        <f>IF(E351="","",IF(COUNTIF(lst_Jobs,E351&amp;"")&gt;0,"OK","CHECK"))</f>
        <v/>
      </c>
      <c r="G351" s="24" t="n"/>
      <c r="H351" s="24" t="n"/>
      <c r="I351" s="24" t="n"/>
      <c r="J351" s="24" t="n"/>
      <c r="K351" s="24" t="n"/>
      <c r="L351" s="26" t="n"/>
      <c r="M351" s="27">
        <f>IF(L351="","",IF(K351="GST 10%",ROUND(L351*set_GSTRate,2),0))</f>
        <v/>
      </c>
      <c r="N351" s="27">
        <f>IF(L351="","",L351+M351)</f>
        <v/>
      </c>
      <c r="O351" s="24" t="n"/>
      <c r="P351" s="24" t="n"/>
      <c r="Q351" s="24" t="n"/>
      <c r="R351" s="22" t="n"/>
      <c r="S351" s="22" t="n"/>
      <c r="T351" s="24" t="n"/>
      <c r="U351" s="24" t="n"/>
      <c r="V351" s="25">
        <f>IF(COUNTA(A351,D351,C351,L351)=0,"",IF(A351="","No date - sits outside every month",IF(E351="","No job number",IF(F351="CHECK","Job number is not in the Xero job list",IF(I351="","No cost centre",IF(AND(P351="Y",C351=""),"Marked posted to Xero but has no invoice number",IF(AND(L351&lt;&gt;"",K351=""),"No tax code",IF(AND(L351&lt;&gt;"",O351=""),"No revenue GL code",""))))))))</f>
        <v/>
      </c>
      <c r="W351" s="25">
        <f>IF(E351="","",IFERROR(INDEX(lst_JobName,MATCH(E351&amp;"",lst_Jobs,0)),""))</f>
        <v/>
      </c>
      <c r="X351" s="28">
        <f>IF(E351="","",COUNTIFS(tbl_Finance[Job Number],E351&amp;"",tbl_Finance[Ex GST],"&lt;&gt;"))</f>
        <v/>
      </c>
      <c r="Y351" s="27">
        <f>IF(E351="","",SUMIFS(tbl_Finance[Ex GST],tbl_Finance[Job Number],E351&amp;""))</f>
        <v/>
      </c>
      <c r="Z351" s="27">
        <f>IF(E351="","",SUMIFS(tbl_Finance[Ex GST],tbl_Finance[Job Number],E351&amp;"",tbl_Finance[Xero Invoice No],"&lt;&gt;"))</f>
        <v/>
      </c>
      <c r="AA351" s="27">
        <f>IF(E351="","",Y351-Z351)</f>
        <v/>
      </c>
      <c r="AB351" s="25">
        <f>IF(E351="","",IF(H351="Onsite",IFERROR(INDEX(tbl_Onsite[Qwilr Quote],MATCH(E351&amp;"",tbl_Onsite[Job Number],0)),""),IF(H351="Production",IFERROR(IF(INDEX(tbl_Production[Current RMS No],MATCH(E351&amp;"",tbl_Production[Job Number],0))="",INDEX(tbl_Production[Qwilr Quote],MATCH(E351&amp;"",tbl_Production[Job Number],0)),INDEX(tbl_Production[Current RMS No],MATCH(E351&amp;"",tbl_Production[Job Number],0))),""),IF(H351="Consulting",IFERROR(INDEX(tbl_Consulting[Qwilr Quote],MATCH(E351&amp;"",tbl_Consulting[Job Number],0)),""),""))))</f>
        <v/>
      </c>
      <c r="AC351" s="25">
        <f>IF(AB351="","",IF(AND(LEFT(AB351,4)&lt;&gt;"http",IF(H351="Production",set_RMSBase,set_QwilrBase)=""),"",HYPERLINK(IF(LEFT(AB351,4)="http",AB351,IF(H351="Production",set_RMSBase,set_QwilrBase)&amp;AB351),"Open")))</f>
        <v/>
      </c>
      <c r="AD351" s="27">
        <f>IF(E351="","",IF(H351="Production",IFERROR(INDEX(tbl_Production[Total Expense],MATCH(E351&amp;"",tbl_Production[Job Number],0)),0),IF(H351="Consulting",IFERROR(INDEX(tbl_Consulting[Total Expense],MATCH(E351&amp;"",tbl_Consulting[Job Number],0)),0),0)))</f>
        <v/>
      </c>
      <c r="AE351" s="27">
        <f>IF(E351="","",Y351-N(AD351))</f>
        <v/>
      </c>
      <c r="AF351" s="29">
        <f>IFERROR(AE351/Y351,"")</f>
        <v/>
      </c>
      <c r="AG351" s="25">
        <f>IF(E351="","",IF(H351="Onsite",IFERROR(INDEX(tbl_Onsite[Notes],MATCH(E351&amp;"",tbl_Onsite[Job Number],0)),""),IF(H351="Production",IFERROR(INDEX(tbl_Production[Notes],MATCH(E351&amp;"",tbl_Production[Job Number],0)),""),IF(H351="Consulting",IFERROR(INDEX(tbl_Consulting[Notes],MATCH(E351&amp;"",tbl_Consulting[Job Number],0)),""),""))))</f>
        <v/>
      </c>
    </row>
    <row r="352" ht="15" customHeight="1">
      <c r="A352" s="22" t="n"/>
      <c r="B352" s="23">
        <f>IF(A352="","",EOMONTH(A352,0))</f>
        <v/>
      </c>
      <c r="C352" s="24" t="n"/>
      <c r="D352" s="24" t="n"/>
      <c r="E352" s="24" t="n"/>
      <c r="F352" s="25">
        <f>IF(E352="","",IF(COUNTIF(lst_Jobs,E352&amp;"")&gt;0,"OK","CHECK"))</f>
        <v/>
      </c>
      <c r="G352" s="24" t="n"/>
      <c r="H352" s="24" t="n"/>
      <c r="I352" s="24" t="n"/>
      <c r="J352" s="24" t="n"/>
      <c r="K352" s="24" t="n"/>
      <c r="L352" s="26" t="n"/>
      <c r="M352" s="27">
        <f>IF(L352="","",IF(K352="GST 10%",ROUND(L352*set_GSTRate,2),0))</f>
        <v/>
      </c>
      <c r="N352" s="27">
        <f>IF(L352="","",L352+M352)</f>
        <v/>
      </c>
      <c r="O352" s="24" t="n"/>
      <c r="P352" s="24" t="n"/>
      <c r="Q352" s="24" t="n"/>
      <c r="R352" s="22" t="n"/>
      <c r="S352" s="22" t="n"/>
      <c r="T352" s="24" t="n"/>
      <c r="U352" s="24" t="n"/>
      <c r="V352" s="25">
        <f>IF(COUNTA(A352,D352,C352,L352)=0,"",IF(A352="","No date - sits outside every month",IF(E352="","No job number",IF(F352="CHECK","Job number is not in the Xero job list",IF(I352="","No cost centre",IF(AND(P352="Y",C352=""),"Marked posted to Xero but has no invoice number",IF(AND(L352&lt;&gt;"",K352=""),"No tax code",IF(AND(L352&lt;&gt;"",O352=""),"No revenue GL code",""))))))))</f>
        <v/>
      </c>
      <c r="W352" s="25">
        <f>IF(E352="","",IFERROR(INDEX(lst_JobName,MATCH(E352&amp;"",lst_Jobs,0)),""))</f>
        <v/>
      </c>
      <c r="X352" s="28">
        <f>IF(E352="","",COUNTIFS(tbl_Finance[Job Number],E352&amp;"",tbl_Finance[Ex GST],"&lt;&gt;"))</f>
        <v/>
      </c>
      <c r="Y352" s="27">
        <f>IF(E352="","",SUMIFS(tbl_Finance[Ex GST],tbl_Finance[Job Number],E352&amp;""))</f>
        <v/>
      </c>
      <c r="Z352" s="27">
        <f>IF(E352="","",SUMIFS(tbl_Finance[Ex GST],tbl_Finance[Job Number],E352&amp;"",tbl_Finance[Xero Invoice No],"&lt;&gt;"))</f>
        <v/>
      </c>
      <c r="AA352" s="27">
        <f>IF(E352="","",Y352-Z352)</f>
        <v/>
      </c>
      <c r="AB352" s="25">
        <f>IF(E352="","",IF(H352="Onsite",IFERROR(INDEX(tbl_Onsite[Qwilr Quote],MATCH(E352&amp;"",tbl_Onsite[Job Number],0)),""),IF(H352="Production",IFERROR(IF(INDEX(tbl_Production[Current RMS No],MATCH(E352&amp;"",tbl_Production[Job Number],0))="",INDEX(tbl_Production[Qwilr Quote],MATCH(E352&amp;"",tbl_Production[Job Number],0)),INDEX(tbl_Production[Current RMS No],MATCH(E352&amp;"",tbl_Production[Job Number],0))),""),IF(H352="Consulting",IFERROR(INDEX(tbl_Consulting[Qwilr Quote],MATCH(E352&amp;"",tbl_Consulting[Job Number],0)),""),""))))</f>
        <v/>
      </c>
      <c r="AC352" s="25">
        <f>IF(AB352="","",IF(AND(LEFT(AB352,4)&lt;&gt;"http",IF(H352="Production",set_RMSBase,set_QwilrBase)=""),"",HYPERLINK(IF(LEFT(AB352,4)="http",AB352,IF(H352="Production",set_RMSBase,set_QwilrBase)&amp;AB352),"Open")))</f>
        <v/>
      </c>
      <c r="AD352" s="27">
        <f>IF(E352="","",IF(H352="Production",IFERROR(INDEX(tbl_Production[Total Expense],MATCH(E352&amp;"",tbl_Production[Job Number],0)),0),IF(H352="Consulting",IFERROR(INDEX(tbl_Consulting[Total Expense],MATCH(E352&amp;"",tbl_Consulting[Job Number],0)),0),0)))</f>
        <v/>
      </c>
      <c r="AE352" s="27">
        <f>IF(E352="","",Y352-N(AD352))</f>
        <v/>
      </c>
      <c r="AF352" s="29">
        <f>IFERROR(AE352/Y352,"")</f>
        <v/>
      </c>
      <c r="AG352" s="25">
        <f>IF(E352="","",IF(H352="Onsite",IFERROR(INDEX(tbl_Onsite[Notes],MATCH(E352&amp;"",tbl_Onsite[Job Number],0)),""),IF(H352="Production",IFERROR(INDEX(tbl_Production[Notes],MATCH(E352&amp;"",tbl_Production[Job Number],0)),""),IF(H352="Consulting",IFERROR(INDEX(tbl_Consulting[Notes],MATCH(E352&amp;"",tbl_Consulting[Job Number],0)),""),""))))</f>
        <v/>
      </c>
    </row>
    <row r="353" ht="15" customHeight="1">
      <c r="A353" s="22" t="n"/>
      <c r="B353" s="23">
        <f>IF(A353="","",EOMONTH(A353,0))</f>
        <v/>
      </c>
      <c r="C353" s="24" t="n"/>
      <c r="D353" s="24" t="n"/>
      <c r="E353" s="24" t="n"/>
      <c r="F353" s="25">
        <f>IF(E353="","",IF(COUNTIF(lst_Jobs,E353&amp;"")&gt;0,"OK","CHECK"))</f>
        <v/>
      </c>
      <c r="G353" s="24" t="n"/>
      <c r="H353" s="24" t="n"/>
      <c r="I353" s="24" t="n"/>
      <c r="J353" s="24" t="n"/>
      <c r="K353" s="24" t="n"/>
      <c r="L353" s="26" t="n"/>
      <c r="M353" s="27">
        <f>IF(L353="","",IF(K353="GST 10%",ROUND(L353*set_GSTRate,2),0))</f>
        <v/>
      </c>
      <c r="N353" s="27">
        <f>IF(L353="","",L353+M353)</f>
        <v/>
      </c>
      <c r="O353" s="24" t="n"/>
      <c r="P353" s="24" t="n"/>
      <c r="Q353" s="24" t="n"/>
      <c r="R353" s="22" t="n"/>
      <c r="S353" s="22" t="n"/>
      <c r="T353" s="24" t="n"/>
      <c r="U353" s="24" t="n"/>
      <c r="V353" s="25">
        <f>IF(COUNTA(A353,D353,C353,L353)=0,"",IF(A353="","No date - sits outside every month",IF(E353="","No job number",IF(F353="CHECK","Job number is not in the Xero job list",IF(I353="","No cost centre",IF(AND(P353="Y",C353=""),"Marked posted to Xero but has no invoice number",IF(AND(L353&lt;&gt;"",K353=""),"No tax code",IF(AND(L353&lt;&gt;"",O353=""),"No revenue GL code",""))))))))</f>
        <v/>
      </c>
      <c r="W353" s="25">
        <f>IF(E353="","",IFERROR(INDEX(lst_JobName,MATCH(E353&amp;"",lst_Jobs,0)),""))</f>
        <v/>
      </c>
      <c r="X353" s="28">
        <f>IF(E353="","",COUNTIFS(tbl_Finance[Job Number],E353&amp;"",tbl_Finance[Ex GST],"&lt;&gt;"))</f>
        <v/>
      </c>
      <c r="Y353" s="27">
        <f>IF(E353="","",SUMIFS(tbl_Finance[Ex GST],tbl_Finance[Job Number],E353&amp;""))</f>
        <v/>
      </c>
      <c r="Z353" s="27">
        <f>IF(E353="","",SUMIFS(tbl_Finance[Ex GST],tbl_Finance[Job Number],E353&amp;"",tbl_Finance[Xero Invoice No],"&lt;&gt;"))</f>
        <v/>
      </c>
      <c r="AA353" s="27">
        <f>IF(E353="","",Y353-Z353)</f>
        <v/>
      </c>
      <c r="AB353" s="25">
        <f>IF(E353="","",IF(H353="Onsite",IFERROR(INDEX(tbl_Onsite[Qwilr Quote],MATCH(E353&amp;"",tbl_Onsite[Job Number],0)),""),IF(H353="Production",IFERROR(IF(INDEX(tbl_Production[Current RMS No],MATCH(E353&amp;"",tbl_Production[Job Number],0))="",INDEX(tbl_Production[Qwilr Quote],MATCH(E353&amp;"",tbl_Production[Job Number],0)),INDEX(tbl_Production[Current RMS No],MATCH(E353&amp;"",tbl_Production[Job Number],0))),""),IF(H353="Consulting",IFERROR(INDEX(tbl_Consulting[Qwilr Quote],MATCH(E353&amp;"",tbl_Consulting[Job Number],0)),""),""))))</f>
        <v/>
      </c>
      <c r="AC353" s="25">
        <f>IF(AB353="","",IF(AND(LEFT(AB353,4)&lt;&gt;"http",IF(H353="Production",set_RMSBase,set_QwilrBase)=""),"",HYPERLINK(IF(LEFT(AB353,4)="http",AB353,IF(H353="Production",set_RMSBase,set_QwilrBase)&amp;AB353),"Open")))</f>
        <v/>
      </c>
      <c r="AD353" s="27">
        <f>IF(E353="","",IF(H353="Production",IFERROR(INDEX(tbl_Production[Total Expense],MATCH(E353&amp;"",tbl_Production[Job Number],0)),0),IF(H353="Consulting",IFERROR(INDEX(tbl_Consulting[Total Expense],MATCH(E353&amp;"",tbl_Consulting[Job Number],0)),0),0)))</f>
        <v/>
      </c>
      <c r="AE353" s="27">
        <f>IF(E353="","",Y353-N(AD353))</f>
        <v/>
      </c>
      <c r="AF353" s="29">
        <f>IFERROR(AE353/Y353,"")</f>
        <v/>
      </c>
      <c r="AG353" s="25">
        <f>IF(E353="","",IF(H353="Onsite",IFERROR(INDEX(tbl_Onsite[Notes],MATCH(E353&amp;"",tbl_Onsite[Job Number],0)),""),IF(H353="Production",IFERROR(INDEX(tbl_Production[Notes],MATCH(E353&amp;"",tbl_Production[Job Number],0)),""),IF(H353="Consulting",IFERROR(INDEX(tbl_Consulting[Notes],MATCH(E353&amp;"",tbl_Consulting[Job Number],0)),""),""))))</f>
        <v/>
      </c>
    </row>
    <row r="354" ht="15" customHeight="1">
      <c r="A354" s="22" t="n"/>
      <c r="B354" s="23">
        <f>IF(A354="","",EOMONTH(A354,0))</f>
        <v/>
      </c>
      <c r="C354" s="24" t="n"/>
      <c r="D354" s="24" t="n"/>
      <c r="E354" s="24" t="n"/>
      <c r="F354" s="25">
        <f>IF(E354="","",IF(COUNTIF(lst_Jobs,E354&amp;"")&gt;0,"OK","CHECK"))</f>
        <v/>
      </c>
      <c r="G354" s="24" t="n"/>
      <c r="H354" s="24" t="n"/>
      <c r="I354" s="24" t="n"/>
      <c r="J354" s="24" t="n"/>
      <c r="K354" s="24" t="n"/>
      <c r="L354" s="26" t="n"/>
      <c r="M354" s="27">
        <f>IF(L354="","",IF(K354="GST 10%",ROUND(L354*set_GSTRate,2),0))</f>
        <v/>
      </c>
      <c r="N354" s="27">
        <f>IF(L354="","",L354+M354)</f>
        <v/>
      </c>
      <c r="O354" s="24" t="n"/>
      <c r="P354" s="24" t="n"/>
      <c r="Q354" s="24" t="n"/>
      <c r="R354" s="22" t="n"/>
      <c r="S354" s="22" t="n"/>
      <c r="T354" s="24" t="n"/>
      <c r="U354" s="24" t="n"/>
      <c r="V354" s="25">
        <f>IF(COUNTA(A354,D354,C354,L354)=0,"",IF(A354="","No date - sits outside every month",IF(E354="","No job number",IF(F354="CHECK","Job number is not in the Xero job list",IF(I354="","No cost centre",IF(AND(P354="Y",C354=""),"Marked posted to Xero but has no invoice number",IF(AND(L354&lt;&gt;"",K354=""),"No tax code",IF(AND(L354&lt;&gt;"",O354=""),"No revenue GL code",""))))))))</f>
        <v/>
      </c>
      <c r="W354" s="25">
        <f>IF(E354="","",IFERROR(INDEX(lst_JobName,MATCH(E354&amp;"",lst_Jobs,0)),""))</f>
        <v/>
      </c>
      <c r="X354" s="28">
        <f>IF(E354="","",COUNTIFS(tbl_Finance[Job Number],E354&amp;"",tbl_Finance[Ex GST],"&lt;&gt;"))</f>
        <v/>
      </c>
      <c r="Y354" s="27">
        <f>IF(E354="","",SUMIFS(tbl_Finance[Ex GST],tbl_Finance[Job Number],E354&amp;""))</f>
        <v/>
      </c>
      <c r="Z354" s="27">
        <f>IF(E354="","",SUMIFS(tbl_Finance[Ex GST],tbl_Finance[Job Number],E354&amp;"",tbl_Finance[Xero Invoice No],"&lt;&gt;"))</f>
        <v/>
      </c>
      <c r="AA354" s="27">
        <f>IF(E354="","",Y354-Z354)</f>
        <v/>
      </c>
      <c r="AB354" s="25">
        <f>IF(E354="","",IF(H354="Onsite",IFERROR(INDEX(tbl_Onsite[Qwilr Quote],MATCH(E354&amp;"",tbl_Onsite[Job Number],0)),""),IF(H354="Production",IFERROR(IF(INDEX(tbl_Production[Current RMS No],MATCH(E354&amp;"",tbl_Production[Job Number],0))="",INDEX(tbl_Production[Qwilr Quote],MATCH(E354&amp;"",tbl_Production[Job Number],0)),INDEX(tbl_Production[Current RMS No],MATCH(E354&amp;"",tbl_Production[Job Number],0))),""),IF(H354="Consulting",IFERROR(INDEX(tbl_Consulting[Qwilr Quote],MATCH(E354&amp;"",tbl_Consulting[Job Number],0)),""),""))))</f>
        <v/>
      </c>
      <c r="AC354" s="25">
        <f>IF(AB354="","",IF(AND(LEFT(AB354,4)&lt;&gt;"http",IF(H354="Production",set_RMSBase,set_QwilrBase)=""),"",HYPERLINK(IF(LEFT(AB354,4)="http",AB354,IF(H354="Production",set_RMSBase,set_QwilrBase)&amp;AB354),"Open")))</f>
        <v/>
      </c>
      <c r="AD354" s="27">
        <f>IF(E354="","",IF(H354="Production",IFERROR(INDEX(tbl_Production[Total Expense],MATCH(E354&amp;"",tbl_Production[Job Number],0)),0),IF(H354="Consulting",IFERROR(INDEX(tbl_Consulting[Total Expense],MATCH(E354&amp;"",tbl_Consulting[Job Number],0)),0),0)))</f>
        <v/>
      </c>
      <c r="AE354" s="27">
        <f>IF(E354="","",Y354-N(AD354))</f>
        <v/>
      </c>
      <c r="AF354" s="29">
        <f>IFERROR(AE354/Y354,"")</f>
        <v/>
      </c>
      <c r="AG354" s="25">
        <f>IF(E354="","",IF(H354="Onsite",IFERROR(INDEX(tbl_Onsite[Notes],MATCH(E354&amp;"",tbl_Onsite[Job Number],0)),""),IF(H354="Production",IFERROR(INDEX(tbl_Production[Notes],MATCH(E354&amp;"",tbl_Production[Job Number],0)),""),IF(H354="Consulting",IFERROR(INDEX(tbl_Consulting[Notes],MATCH(E354&amp;"",tbl_Consulting[Job Number],0)),""),""))))</f>
        <v/>
      </c>
    </row>
    <row r="355" ht="15" customHeight="1">
      <c r="A355" s="22" t="n"/>
      <c r="B355" s="23">
        <f>IF(A355="","",EOMONTH(A355,0))</f>
        <v/>
      </c>
      <c r="C355" s="24" t="n"/>
      <c r="D355" s="24" t="n"/>
      <c r="E355" s="24" t="n"/>
      <c r="F355" s="25">
        <f>IF(E355="","",IF(COUNTIF(lst_Jobs,E355&amp;"")&gt;0,"OK","CHECK"))</f>
        <v/>
      </c>
      <c r="G355" s="24" t="n"/>
      <c r="H355" s="24" t="n"/>
      <c r="I355" s="24" t="n"/>
      <c r="J355" s="24" t="n"/>
      <c r="K355" s="24" t="n"/>
      <c r="L355" s="26" t="n"/>
      <c r="M355" s="27">
        <f>IF(L355="","",IF(K355="GST 10%",ROUND(L355*set_GSTRate,2),0))</f>
        <v/>
      </c>
      <c r="N355" s="27">
        <f>IF(L355="","",L355+M355)</f>
        <v/>
      </c>
      <c r="O355" s="24" t="n"/>
      <c r="P355" s="24" t="n"/>
      <c r="Q355" s="24" t="n"/>
      <c r="R355" s="22" t="n"/>
      <c r="S355" s="22" t="n"/>
      <c r="T355" s="24" t="n"/>
      <c r="U355" s="24" t="n"/>
      <c r="V355" s="25">
        <f>IF(COUNTA(A355,D355,C355,L355)=0,"",IF(A355="","No date - sits outside every month",IF(E355="","No job number",IF(F355="CHECK","Job number is not in the Xero job list",IF(I355="","No cost centre",IF(AND(P355="Y",C355=""),"Marked posted to Xero but has no invoice number",IF(AND(L355&lt;&gt;"",K355=""),"No tax code",IF(AND(L355&lt;&gt;"",O355=""),"No revenue GL code",""))))))))</f>
        <v/>
      </c>
      <c r="W355" s="25">
        <f>IF(E355="","",IFERROR(INDEX(lst_JobName,MATCH(E355&amp;"",lst_Jobs,0)),""))</f>
        <v/>
      </c>
      <c r="X355" s="28">
        <f>IF(E355="","",COUNTIFS(tbl_Finance[Job Number],E355&amp;"",tbl_Finance[Ex GST],"&lt;&gt;"))</f>
        <v/>
      </c>
      <c r="Y355" s="27">
        <f>IF(E355="","",SUMIFS(tbl_Finance[Ex GST],tbl_Finance[Job Number],E355&amp;""))</f>
        <v/>
      </c>
      <c r="Z355" s="27">
        <f>IF(E355="","",SUMIFS(tbl_Finance[Ex GST],tbl_Finance[Job Number],E355&amp;"",tbl_Finance[Xero Invoice No],"&lt;&gt;"))</f>
        <v/>
      </c>
      <c r="AA355" s="27">
        <f>IF(E355="","",Y355-Z355)</f>
        <v/>
      </c>
      <c r="AB355" s="25">
        <f>IF(E355="","",IF(H355="Onsite",IFERROR(INDEX(tbl_Onsite[Qwilr Quote],MATCH(E355&amp;"",tbl_Onsite[Job Number],0)),""),IF(H355="Production",IFERROR(IF(INDEX(tbl_Production[Current RMS No],MATCH(E355&amp;"",tbl_Production[Job Number],0))="",INDEX(tbl_Production[Qwilr Quote],MATCH(E355&amp;"",tbl_Production[Job Number],0)),INDEX(tbl_Production[Current RMS No],MATCH(E355&amp;"",tbl_Production[Job Number],0))),""),IF(H355="Consulting",IFERROR(INDEX(tbl_Consulting[Qwilr Quote],MATCH(E355&amp;"",tbl_Consulting[Job Number],0)),""),""))))</f>
        <v/>
      </c>
      <c r="AC355" s="25">
        <f>IF(AB355="","",IF(AND(LEFT(AB355,4)&lt;&gt;"http",IF(H355="Production",set_RMSBase,set_QwilrBase)=""),"",HYPERLINK(IF(LEFT(AB355,4)="http",AB355,IF(H355="Production",set_RMSBase,set_QwilrBase)&amp;AB355),"Open")))</f>
        <v/>
      </c>
      <c r="AD355" s="27">
        <f>IF(E355="","",IF(H355="Production",IFERROR(INDEX(tbl_Production[Total Expense],MATCH(E355&amp;"",tbl_Production[Job Number],0)),0),IF(H355="Consulting",IFERROR(INDEX(tbl_Consulting[Total Expense],MATCH(E355&amp;"",tbl_Consulting[Job Number],0)),0),0)))</f>
        <v/>
      </c>
      <c r="AE355" s="27">
        <f>IF(E355="","",Y355-N(AD355))</f>
        <v/>
      </c>
      <c r="AF355" s="29">
        <f>IFERROR(AE355/Y355,"")</f>
        <v/>
      </c>
      <c r="AG355" s="25">
        <f>IF(E355="","",IF(H355="Onsite",IFERROR(INDEX(tbl_Onsite[Notes],MATCH(E355&amp;"",tbl_Onsite[Job Number],0)),""),IF(H355="Production",IFERROR(INDEX(tbl_Production[Notes],MATCH(E355&amp;"",tbl_Production[Job Number],0)),""),IF(H355="Consulting",IFERROR(INDEX(tbl_Consulting[Notes],MATCH(E355&amp;"",tbl_Consulting[Job Number],0)),""),""))))</f>
        <v/>
      </c>
    </row>
    <row r="356" ht="15" customHeight="1">
      <c r="A356" s="22" t="n"/>
      <c r="B356" s="23">
        <f>IF(A356="","",EOMONTH(A356,0))</f>
        <v/>
      </c>
      <c r="C356" s="24" t="n"/>
      <c r="D356" s="24" t="n"/>
      <c r="E356" s="24" t="n"/>
      <c r="F356" s="25">
        <f>IF(E356="","",IF(COUNTIF(lst_Jobs,E356&amp;"")&gt;0,"OK","CHECK"))</f>
        <v/>
      </c>
      <c r="G356" s="24" t="n"/>
      <c r="H356" s="24" t="n"/>
      <c r="I356" s="24" t="n"/>
      <c r="J356" s="24" t="n"/>
      <c r="K356" s="24" t="n"/>
      <c r="L356" s="26" t="n"/>
      <c r="M356" s="27">
        <f>IF(L356="","",IF(K356="GST 10%",ROUND(L356*set_GSTRate,2),0))</f>
        <v/>
      </c>
      <c r="N356" s="27">
        <f>IF(L356="","",L356+M356)</f>
        <v/>
      </c>
      <c r="O356" s="24" t="n"/>
      <c r="P356" s="24" t="n"/>
      <c r="Q356" s="24" t="n"/>
      <c r="R356" s="22" t="n"/>
      <c r="S356" s="22" t="n"/>
      <c r="T356" s="24" t="n"/>
      <c r="U356" s="24" t="n"/>
      <c r="V356" s="25">
        <f>IF(COUNTA(A356,D356,C356,L356)=0,"",IF(A356="","No date - sits outside every month",IF(E356="","No job number",IF(F356="CHECK","Job number is not in the Xero job list",IF(I356="","No cost centre",IF(AND(P356="Y",C356=""),"Marked posted to Xero but has no invoice number",IF(AND(L356&lt;&gt;"",K356=""),"No tax code",IF(AND(L356&lt;&gt;"",O356=""),"No revenue GL code",""))))))))</f>
        <v/>
      </c>
      <c r="W356" s="25">
        <f>IF(E356="","",IFERROR(INDEX(lst_JobName,MATCH(E356&amp;"",lst_Jobs,0)),""))</f>
        <v/>
      </c>
      <c r="X356" s="28">
        <f>IF(E356="","",COUNTIFS(tbl_Finance[Job Number],E356&amp;"",tbl_Finance[Ex GST],"&lt;&gt;"))</f>
        <v/>
      </c>
      <c r="Y356" s="27">
        <f>IF(E356="","",SUMIFS(tbl_Finance[Ex GST],tbl_Finance[Job Number],E356&amp;""))</f>
        <v/>
      </c>
      <c r="Z356" s="27">
        <f>IF(E356="","",SUMIFS(tbl_Finance[Ex GST],tbl_Finance[Job Number],E356&amp;"",tbl_Finance[Xero Invoice No],"&lt;&gt;"))</f>
        <v/>
      </c>
      <c r="AA356" s="27">
        <f>IF(E356="","",Y356-Z356)</f>
        <v/>
      </c>
      <c r="AB356" s="25">
        <f>IF(E356="","",IF(H356="Onsite",IFERROR(INDEX(tbl_Onsite[Qwilr Quote],MATCH(E356&amp;"",tbl_Onsite[Job Number],0)),""),IF(H356="Production",IFERROR(IF(INDEX(tbl_Production[Current RMS No],MATCH(E356&amp;"",tbl_Production[Job Number],0))="",INDEX(tbl_Production[Qwilr Quote],MATCH(E356&amp;"",tbl_Production[Job Number],0)),INDEX(tbl_Production[Current RMS No],MATCH(E356&amp;"",tbl_Production[Job Number],0))),""),IF(H356="Consulting",IFERROR(INDEX(tbl_Consulting[Qwilr Quote],MATCH(E356&amp;"",tbl_Consulting[Job Number],0)),""),""))))</f>
        <v/>
      </c>
      <c r="AC356" s="25">
        <f>IF(AB356="","",IF(AND(LEFT(AB356,4)&lt;&gt;"http",IF(H356="Production",set_RMSBase,set_QwilrBase)=""),"",HYPERLINK(IF(LEFT(AB356,4)="http",AB356,IF(H356="Production",set_RMSBase,set_QwilrBase)&amp;AB356),"Open")))</f>
        <v/>
      </c>
      <c r="AD356" s="27">
        <f>IF(E356="","",IF(H356="Production",IFERROR(INDEX(tbl_Production[Total Expense],MATCH(E356&amp;"",tbl_Production[Job Number],0)),0),IF(H356="Consulting",IFERROR(INDEX(tbl_Consulting[Total Expense],MATCH(E356&amp;"",tbl_Consulting[Job Number],0)),0),0)))</f>
        <v/>
      </c>
      <c r="AE356" s="27">
        <f>IF(E356="","",Y356-N(AD356))</f>
        <v/>
      </c>
      <c r="AF356" s="29">
        <f>IFERROR(AE356/Y356,"")</f>
        <v/>
      </c>
      <c r="AG356" s="25">
        <f>IF(E356="","",IF(H356="Onsite",IFERROR(INDEX(tbl_Onsite[Notes],MATCH(E356&amp;"",tbl_Onsite[Job Number],0)),""),IF(H356="Production",IFERROR(INDEX(tbl_Production[Notes],MATCH(E356&amp;"",tbl_Production[Job Number],0)),""),IF(H356="Consulting",IFERROR(INDEX(tbl_Consulting[Notes],MATCH(E356&amp;"",tbl_Consulting[Job Number],0)),""),""))))</f>
        <v/>
      </c>
    </row>
    <row r="357" ht="15" customHeight="1">
      <c r="A357" s="22" t="n"/>
      <c r="B357" s="23">
        <f>IF(A357="","",EOMONTH(A357,0))</f>
        <v/>
      </c>
      <c r="C357" s="24" t="n"/>
      <c r="D357" s="24" t="n"/>
      <c r="E357" s="24" t="n"/>
      <c r="F357" s="25">
        <f>IF(E357="","",IF(COUNTIF(lst_Jobs,E357&amp;"")&gt;0,"OK","CHECK"))</f>
        <v/>
      </c>
      <c r="G357" s="24" t="n"/>
      <c r="H357" s="24" t="n"/>
      <c r="I357" s="24" t="n"/>
      <c r="J357" s="24" t="n"/>
      <c r="K357" s="24" t="n"/>
      <c r="L357" s="26" t="n"/>
      <c r="M357" s="27">
        <f>IF(L357="","",IF(K357="GST 10%",ROUND(L357*set_GSTRate,2),0))</f>
        <v/>
      </c>
      <c r="N357" s="27">
        <f>IF(L357="","",L357+M357)</f>
        <v/>
      </c>
      <c r="O357" s="24" t="n"/>
      <c r="P357" s="24" t="n"/>
      <c r="Q357" s="24" t="n"/>
      <c r="R357" s="22" t="n"/>
      <c r="S357" s="22" t="n"/>
      <c r="T357" s="24" t="n"/>
      <c r="U357" s="24" t="n"/>
      <c r="V357" s="25">
        <f>IF(COUNTA(A357,D357,C357,L357)=0,"",IF(A357="","No date - sits outside every month",IF(E357="","No job number",IF(F357="CHECK","Job number is not in the Xero job list",IF(I357="","No cost centre",IF(AND(P357="Y",C357=""),"Marked posted to Xero but has no invoice number",IF(AND(L357&lt;&gt;"",K357=""),"No tax code",IF(AND(L357&lt;&gt;"",O357=""),"No revenue GL code",""))))))))</f>
        <v/>
      </c>
      <c r="W357" s="25">
        <f>IF(E357="","",IFERROR(INDEX(lst_JobName,MATCH(E357&amp;"",lst_Jobs,0)),""))</f>
        <v/>
      </c>
      <c r="X357" s="28">
        <f>IF(E357="","",COUNTIFS(tbl_Finance[Job Number],E357&amp;"",tbl_Finance[Ex GST],"&lt;&gt;"))</f>
        <v/>
      </c>
      <c r="Y357" s="27">
        <f>IF(E357="","",SUMIFS(tbl_Finance[Ex GST],tbl_Finance[Job Number],E357&amp;""))</f>
        <v/>
      </c>
      <c r="Z357" s="27">
        <f>IF(E357="","",SUMIFS(tbl_Finance[Ex GST],tbl_Finance[Job Number],E357&amp;"",tbl_Finance[Xero Invoice No],"&lt;&gt;"))</f>
        <v/>
      </c>
      <c r="AA357" s="27">
        <f>IF(E357="","",Y357-Z357)</f>
        <v/>
      </c>
      <c r="AB357" s="25">
        <f>IF(E357="","",IF(H357="Onsite",IFERROR(INDEX(tbl_Onsite[Qwilr Quote],MATCH(E357&amp;"",tbl_Onsite[Job Number],0)),""),IF(H357="Production",IFERROR(IF(INDEX(tbl_Production[Current RMS No],MATCH(E357&amp;"",tbl_Production[Job Number],0))="",INDEX(tbl_Production[Qwilr Quote],MATCH(E357&amp;"",tbl_Production[Job Number],0)),INDEX(tbl_Production[Current RMS No],MATCH(E357&amp;"",tbl_Production[Job Number],0))),""),IF(H357="Consulting",IFERROR(INDEX(tbl_Consulting[Qwilr Quote],MATCH(E357&amp;"",tbl_Consulting[Job Number],0)),""),""))))</f>
        <v/>
      </c>
      <c r="AC357" s="25">
        <f>IF(AB357="","",IF(AND(LEFT(AB357,4)&lt;&gt;"http",IF(H357="Production",set_RMSBase,set_QwilrBase)=""),"",HYPERLINK(IF(LEFT(AB357,4)="http",AB357,IF(H357="Production",set_RMSBase,set_QwilrBase)&amp;AB357),"Open")))</f>
        <v/>
      </c>
      <c r="AD357" s="27">
        <f>IF(E357="","",IF(H357="Production",IFERROR(INDEX(tbl_Production[Total Expense],MATCH(E357&amp;"",tbl_Production[Job Number],0)),0),IF(H357="Consulting",IFERROR(INDEX(tbl_Consulting[Total Expense],MATCH(E357&amp;"",tbl_Consulting[Job Number],0)),0),0)))</f>
        <v/>
      </c>
      <c r="AE357" s="27">
        <f>IF(E357="","",Y357-N(AD357))</f>
        <v/>
      </c>
      <c r="AF357" s="29">
        <f>IFERROR(AE357/Y357,"")</f>
        <v/>
      </c>
      <c r="AG357" s="25">
        <f>IF(E357="","",IF(H357="Onsite",IFERROR(INDEX(tbl_Onsite[Notes],MATCH(E357&amp;"",tbl_Onsite[Job Number],0)),""),IF(H357="Production",IFERROR(INDEX(tbl_Production[Notes],MATCH(E357&amp;"",tbl_Production[Job Number],0)),""),IF(H357="Consulting",IFERROR(INDEX(tbl_Consulting[Notes],MATCH(E357&amp;"",tbl_Consulting[Job Number],0)),""),""))))</f>
        <v/>
      </c>
    </row>
    <row r="358" ht="15" customHeight="1">
      <c r="A358" s="22" t="n"/>
      <c r="B358" s="23">
        <f>IF(A358="","",EOMONTH(A358,0))</f>
        <v/>
      </c>
      <c r="C358" s="24" t="n"/>
      <c r="D358" s="24" t="n"/>
      <c r="E358" s="24" t="n"/>
      <c r="F358" s="25">
        <f>IF(E358="","",IF(COUNTIF(lst_Jobs,E358&amp;"")&gt;0,"OK","CHECK"))</f>
        <v/>
      </c>
      <c r="G358" s="24" t="n"/>
      <c r="H358" s="24" t="n"/>
      <c r="I358" s="24" t="n"/>
      <c r="J358" s="24" t="n"/>
      <c r="K358" s="24" t="n"/>
      <c r="L358" s="26" t="n"/>
      <c r="M358" s="27">
        <f>IF(L358="","",IF(K358="GST 10%",ROUND(L358*set_GSTRate,2),0))</f>
        <v/>
      </c>
      <c r="N358" s="27">
        <f>IF(L358="","",L358+M358)</f>
        <v/>
      </c>
      <c r="O358" s="24" t="n"/>
      <c r="P358" s="24" t="n"/>
      <c r="Q358" s="24" t="n"/>
      <c r="R358" s="22" t="n"/>
      <c r="S358" s="22" t="n"/>
      <c r="T358" s="24" t="n"/>
      <c r="U358" s="24" t="n"/>
      <c r="V358" s="25">
        <f>IF(COUNTA(A358,D358,C358,L358)=0,"",IF(A358="","No date - sits outside every month",IF(E358="","No job number",IF(F358="CHECK","Job number is not in the Xero job list",IF(I358="","No cost centre",IF(AND(P358="Y",C358=""),"Marked posted to Xero but has no invoice number",IF(AND(L358&lt;&gt;"",K358=""),"No tax code",IF(AND(L358&lt;&gt;"",O358=""),"No revenue GL code",""))))))))</f>
        <v/>
      </c>
      <c r="W358" s="25">
        <f>IF(E358="","",IFERROR(INDEX(lst_JobName,MATCH(E358&amp;"",lst_Jobs,0)),""))</f>
        <v/>
      </c>
      <c r="X358" s="28">
        <f>IF(E358="","",COUNTIFS(tbl_Finance[Job Number],E358&amp;"",tbl_Finance[Ex GST],"&lt;&gt;"))</f>
        <v/>
      </c>
      <c r="Y358" s="27">
        <f>IF(E358="","",SUMIFS(tbl_Finance[Ex GST],tbl_Finance[Job Number],E358&amp;""))</f>
        <v/>
      </c>
      <c r="Z358" s="27">
        <f>IF(E358="","",SUMIFS(tbl_Finance[Ex GST],tbl_Finance[Job Number],E358&amp;"",tbl_Finance[Xero Invoice No],"&lt;&gt;"))</f>
        <v/>
      </c>
      <c r="AA358" s="27">
        <f>IF(E358="","",Y358-Z358)</f>
        <v/>
      </c>
      <c r="AB358" s="25">
        <f>IF(E358="","",IF(H358="Onsite",IFERROR(INDEX(tbl_Onsite[Qwilr Quote],MATCH(E358&amp;"",tbl_Onsite[Job Number],0)),""),IF(H358="Production",IFERROR(IF(INDEX(tbl_Production[Current RMS No],MATCH(E358&amp;"",tbl_Production[Job Number],0))="",INDEX(tbl_Production[Qwilr Quote],MATCH(E358&amp;"",tbl_Production[Job Number],0)),INDEX(tbl_Production[Current RMS No],MATCH(E358&amp;"",tbl_Production[Job Number],0))),""),IF(H358="Consulting",IFERROR(INDEX(tbl_Consulting[Qwilr Quote],MATCH(E358&amp;"",tbl_Consulting[Job Number],0)),""),""))))</f>
        <v/>
      </c>
      <c r="AC358" s="25">
        <f>IF(AB358="","",IF(AND(LEFT(AB358,4)&lt;&gt;"http",IF(H358="Production",set_RMSBase,set_QwilrBase)=""),"",HYPERLINK(IF(LEFT(AB358,4)="http",AB358,IF(H358="Production",set_RMSBase,set_QwilrBase)&amp;AB358),"Open")))</f>
        <v/>
      </c>
      <c r="AD358" s="27">
        <f>IF(E358="","",IF(H358="Production",IFERROR(INDEX(tbl_Production[Total Expense],MATCH(E358&amp;"",tbl_Production[Job Number],0)),0),IF(H358="Consulting",IFERROR(INDEX(tbl_Consulting[Total Expense],MATCH(E358&amp;"",tbl_Consulting[Job Number],0)),0),0)))</f>
        <v/>
      </c>
      <c r="AE358" s="27">
        <f>IF(E358="","",Y358-N(AD358))</f>
        <v/>
      </c>
      <c r="AF358" s="29">
        <f>IFERROR(AE358/Y358,"")</f>
        <v/>
      </c>
      <c r="AG358" s="25">
        <f>IF(E358="","",IF(H358="Onsite",IFERROR(INDEX(tbl_Onsite[Notes],MATCH(E358&amp;"",tbl_Onsite[Job Number],0)),""),IF(H358="Production",IFERROR(INDEX(tbl_Production[Notes],MATCH(E358&amp;"",tbl_Production[Job Number],0)),""),IF(H358="Consulting",IFERROR(INDEX(tbl_Consulting[Notes],MATCH(E358&amp;"",tbl_Consulting[Job Number],0)),""),""))))</f>
        <v/>
      </c>
    </row>
    <row r="359" ht="15" customHeight="1">
      <c r="A359" s="22" t="n"/>
      <c r="B359" s="23">
        <f>IF(A359="","",EOMONTH(A359,0))</f>
        <v/>
      </c>
      <c r="C359" s="24" t="n"/>
      <c r="D359" s="24" t="n"/>
      <c r="E359" s="24" t="n"/>
      <c r="F359" s="25">
        <f>IF(E359="","",IF(COUNTIF(lst_Jobs,E359&amp;"")&gt;0,"OK","CHECK"))</f>
        <v/>
      </c>
      <c r="G359" s="24" t="n"/>
      <c r="H359" s="24" t="n"/>
      <c r="I359" s="24" t="n"/>
      <c r="J359" s="24" t="n"/>
      <c r="K359" s="24" t="n"/>
      <c r="L359" s="26" t="n"/>
      <c r="M359" s="27">
        <f>IF(L359="","",IF(K359="GST 10%",ROUND(L359*set_GSTRate,2),0))</f>
        <v/>
      </c>
      <c r="N359" s="27">
        <f>IF(L359="","",L359+M359)</f>
        <v/>
      </c>
      <c r="O359" s="24" t="n"/>
      <c r="P359" s="24" t="n"/>
      <c r="Q359" s="24" t="n"/>
      <c r="R359" s="22" t="n"/>
      <c r="S359" s="22" t="n"/>
      <c r="T359" s="24" t="n"/>
      <c r="U359" s="24" t="n"/>
      <c r="V359" s="25">
        <f>IF(COUNTA(A359,D359,C359,L359)=0,"",IF(A359="","No date - sits outside every month",IF(E359="","No job number",IF(F359="CHECK","Job number is not in the Xero job list",IF(I359="","No cost centre",IF(AND(P359="Y",C359=""),"Marked posted to Xero but has no invoice number",IF(AND(L359&lt;&gt;"",K359=""),"No tax code",IF(AND(L359&lt;&gt;"",O359=""),"No revenue GL code",""))))))))</f>
        <v/>
      </c>
      <c r="W359" s="25">
        <f>IF(E359="","",IFERROR(INDEX(lst_JobName,MATCH(E359&amp;"",lst_Jobs,0)),""))</f>
        <v/>
      </c>
      <c r="X359" s="28">
        <f>IF(E359="","",COUNTIFS(tbl_Finance[Job Number],E359&amp;"",tbl_Finance[Ex GST],"&lt;&gt;"))</f>
        <v/>
      </c>
      <c r="Y359" s="27">
        <f>IF(E359="","",SUMIFS(tbl_Finance[Ex GST],tbl_Finance[Job Number],E359&amp;""))</f>
        <v/>
      </c>
      <c r="Z359" s="27">
        <f>IF(E359="","",SUMIFS(tbl_Finance[Ex GST],tbl_Finance[Job Number],E359&amp;"",tbl_Finance[Xero Invoice No],"&lt;&gt;"))</f>
        <v/>
      </c>
      <c r="AA359" s="27">
        <f>IF(E359="","",Y359-Z359)</f>
        <v/>
      </c>
      <c r="AB359" s="25">
        <f>IF(E359="","",IF(H359="Onsite",IFERROR(INDEX(tbl_Onsite[Qwilr Quote],MATCH(E359&amp;"",tbl_Onsite[Job Number],0)),""),IF(H359="Production",IFERROR(IF(INDEX(tbl_Production[Current RMS No],MATCH(E359&amp;"",tbl_Production[Job Number],0))="",INDEX(tbl_Production[Qwilr Quote],MATCH(E359&amp;"",tbl_Production[Job Number],0)),INDEX(tbl_Production[Current RMS No],MATCH(E359&amp;"",tbl_Production[Job Number],0))),""),IF(H359="Consulting",IFERROR(INDEX(tbl_Consulting[Qwilr Quote],MATCH(E359&amp;"",tbl_Consulting[Job Number],0)),""),""))))</f>
        <v/>
      </c>
      <c r="AC359" s="25">
        <f>IF(AB359="","",IF(AND(LEFT(AB359,4)&lt;&gt;"http",IF(H359="Production",set_RMSBase,set_QwilrBase)=""),"",HYPERLINK(IF(LEFT(AB359,4)="http",AB359,IF(H359="Production",set_RMSBase,set_QwilrBase)&amp;AB359),"Open")))</f>
        <v/>
      </c>
      <c r="AD359" s="27">
        <f>IF(E359="","",IF(H359="Production",IFERROR(INDEX(tbl_Production[Total Expense],MATCH(E359&amp;"",tbl_Production[Job Number],0)),0),IF(H359="Consulting",IFERROR(INDEX(tbl_Consulting[Total Expense],MATCH(E359&amp;"",tbl_Consulting[Job Number],0)),0),0)))</f>
        <v/>
      </c>
      <c r="AE359" s="27">
        <f>IF(E359="","",Y359-N(AD359))</f>
        <v/>
      </c>
      <c r="AF359" s="29">
        <f>IFERROR(AE359/Y359,"")</f>
        <v/>
      </c>
      <c r="AG359" s="25">
        <f>IF(E359="","",IF(H359="Onsite",IFERROR(INDEX(tbl_Onsite[Notes],MATCH(E359&amp;"",tbl_Onsite[Job Number],0)),""),IF(H359="Production",IFERROR(INDEX(tbl_Production[Notes],MATCH(E359&amp;"",tbl_Production[Job Number],0)),""),IF(H359="Consulting",IFERROR(INDEX(tbl_Consulting[Notes],MATCH(E359&amp;"",tbl_Consulting[Job Number],0)),""),""))))</f>
        <v/>
      </c>
    </row>
    <row r="360" ht="15" customHeight="1">
      <c r="A360" s="22" t="n"/>
      <c r="B360" s="23">
        <f>IF(A360="","",EOMONTH(A360,0))</f>
        <v/>
      </c>
      <c r="C360" s="24" t="n"/>
      <c r="D360" s="24" t="n"/>
      <c r="E360" s="24" t="n"/>
      <c r="F360" s="25">
        <f>IF(E360="","",IF(COUNTIF(lst_Jobs,E360&amp;"")&gt;0,"OK","CHECK"))</f>
        <v/>
      </c>
      <c r="G360" s="24" t="n"/>
      <c r="H360" s="24" t="n"/>
      <c r="I360" s="24" t="n"/>
      <c r="J360" s="24" t="n"/>
      <c r="K360" s="24" t="n"/>
      <c r="L360" s="26" t="n"/>
      <c r="M360" s="27">
        <f>IF(L360="","",IF(K360="GST 10%",ROUND(L360*set_GSTRate,2),0))</f>
        <v/>
      </c>
      <c r="N360" s="27">
        <f>IF(L360="","",L360+M360)</f>
        <v/>
      </c>
      <c r="O360" s="24" t="n"/>
      <c r="P360" s="24" t="n"/>
      <c r="Q360" s="24" t="n"/>
      <c r="R360" s="22" t="n"/>
      <c r="S360" s="22" t="n"/>
      <c r="T360" s="24" t="n"/>
      <c r="U360" s="24" t="n"/>
      <c r="V360" s="25">
        <f>IF(COUNTA(A360,D360,C360,L360)=0,"",IF(A360="","No date - sits outside every month",IF(E360="","No job number",IF(F360="CHECK","Job number is not in the Xero job list",IF(I360="","No cost centre",IF(AND(P360="Y",C360=""),"Marked posted to Xero but has no invoice number",IF(AND(L360&lt;&gt;"",K360=""),"No tax code",IF(AND(L360&lt;&gt;"",O360=""),"No revenue GL code",""))))))))</f>
        <v/>
      </c>
      <c r="W360" s="25">
        <f>IF(E360="","",IFERROR(INDEX(lst_JobName,MATCH(E360&amp;"",lst_Jobs,0)),""))</f>
        <v/>
      </c>
      <c r="X360" s="28">
        <f>IF(E360="","",COUNTIFS(tbl_Finance[Job Number],E360&amp;"",tbl_Finance[Ex GST],"&lt;&gt;"))</f>
        <v/>
      </c>
      <c r="Y360" s="27">
        <f>IF(E360="","",SUMIFS(tbl_Finance[Ex GST],tbl_Finance[Job Number],E360&amp;""))</f>
        <v/>
      </c>
      <c r="Z360" s="27">
        <f>IF(E360="","",SUMIFS(tbl_Finance[Ex GST],tbl_Finance[Job Number],E360&amp;"",tbl_Finance[Xero Invoice No],"&lt;&gt;"))</f>
        <v/>
      </c>
      <c r="AA360" s="27">
        <f>IF(E360="","",Y360-Z360)</f>
        <v/>
      </c>
      <c r="AB360" s="25">
        <f>IF(E360="","",IF(H360="Onsite",IFERROR(INDEX(tbl_Onsite[Qwilr Quote],MATCH(E360&amp;"",tbl_Onsite[Job Number],0)),""),IF(H360="Production",IFERROR(IF(INDEX(tbl_Production[Current RMS No],MATCH(E360&amp;"",tbl_Production[Job Number],0))="",INDEX(tbl_Production[Qwilr Quote],MATCH(E360&amp;"",tbl_Production[Job Number],0)),INDEX(tbl_Production[Current RMS No],MATCH(E360&amp;"",tbl_Production[Job Number],0))),""),IF(H360="Consulting",IFERROR(INDEX(tbl_Consulting[Qwilr Quote],MATCH(E360&amp;"",tbl_Consulting[Job Number],0)),""),""))))</f>
        <v/>
      </c>
      <c r="AC360" s="25">
        <f>IF(AB360="","",IF(AND(LEFT(AB360,4)&lt;&gt;"http",IF(H360="Production",set_RMSBase,set_QwilrBase)=""),"",HYPERLINK(IF(LEFT(AB360,4)="http",AB360,IF(H360="Production",set_RMSBase,set_QwilrBase)&amp;AB360),"Open")))</f>
        <v/>
      </c>
      <c r="AD360" s="27">
        <f>IF(E360="","",IF(H360="Production",IFERROR(INDEX(tbl_Production[Total Expense],MATCH(E360&amp;"",tbl_Production[Job Number],0)),0),IF(H360="Consulting",IFERROR(INDEX(tbl_Consulting[Total Expense],MATCH(E360&amp;"",tbl_Consulting[Job Number],0)),0),0)))</f>
        <v/>
      </c>
      <c r="AE360" s="27">
        <f>IF(E360="","",Y360-N(AD360))</f>
        <v/>
      </c>
      <c r="AF360" s="29">
        <f>IFERROR(AE360/Y360,"")</f>
        <v/>
      </c>
      <c r="AG360" s="25">
        <f>IF(E360="","",IF(H360="Onsite",IFERROR(INDEX(tbl_Onsite[Notes],MATCH(E360&amp;"",tbl_Onsite[Job Number],0)),""),IF(H360="Production",IFERROR(INDEX(tbl_Production[Notes],MATCH(E360&amp;"",tbl_Production[Job Number],0)),""),IF(H360="Consulting",IFERROR(INDEX(tbl_Consulting[Notes],MATCH(E360&amp;"",tbl_Consulting[Job Number],0)),""),""))))</f>
        <v/>
      </c>
    </row>
    <row r="361" ht="15" customHeight="1">
      <c r="A361" s="22" t="n"/>
      <c r="B361" s="23">
        <f>IF(A361="","",EOMONTH(A361,0))</f>
        <v/>
      </c>
      <c r="C361" s="24" t="n"/>
      <c r="D361" s="24" t="n"/>
      <c r="E361" s="24" t="n"/>
      <c r="F361" s="25">
        <f>IF(E361="","",IF(COUNTIF(lst_Jobs,E361&amp;"")&gt;0,"OK","CHECK"))</f>
        <v/>
      </c>
      <c r="G361" s="24" t="n"/>
      <c r="H361" s="24" t="n"/>
      <c r="I361" s="24" t="n"/>
      <c r="J361" s="24" t="n"/>
      <c r="K361" s="24" t="n"/>
      <c r="L361" s="26" t="n"/>
      <c r="M361" s="27">
        <f>IF(L361="","",IF(K361="GST 10%",ROUND(L361*set_GSTRate,2),0))</f>
        <v/>
      </c>
      <c r="N361" s="27">
        <f>IF(L361="","",L361+M361)</f>
        <v/>
      </c>
      <c r="O361" s="24" t="n"/>
      <c r="P361" s="24" t="n"/>
      <c r="Q361" s="24" t="n"/>
      <c r="R361" s="22" t="n"/>
      <c r="S361" s="22" t="n"/>
      <c r="T361" s="24" t="n"/>
      <c r="U361" s="24" t="n"/>
      <c r="V361" s="25">
        <f>IF(COUNTA(A361,D361,C361,L361)=0,"",IF(A361="","No date - sits outside every month",IF(E361="","No job number",IF(F361="CHECK","Job number is not in the Xero job list",IF(I361="","No cost centre",IF(AND(P361="Y",C361=""),"Marked posted to Xero but has no invoice number",IF(AND(L361&lt;&gt;"",K361=""),"No tax code",IF(AND(L361&lt;&gt;"",O361=""),"No revenue GL code",""))))))))</f>
        <v/>
      </c>
      <c r="W361" s="25">
        <f>IF(E361="","",IFERROR(INDEX(lst_JobName,MATCH(E361&amp;"",lst_Jobs,0)),""))</f>
        <v/>
      </c>
      <c r="X361" s="28">
        <f>IF(E361="","",COUNTIFS(tbl_Finance[Job Number],E361&amp;"",tbl_Finance[Ex GST],"&lt;&gt;"))</f>
        <v/>
      </c>
      <c r="Y361" s="27">
        <f>IF(E361="","",SUMIFS(tbl_Finance[Ex GST],tbl_Finance[Job Number],E361&amp;""))</f>
        <v/>
      </c>
      <c r="Z361" s="27">
        <f>IF(E361="","",SUMIFS(tbl_Finance[Ex GST],tbl_Finance[Job Number],E361&amp;"",tbl_Finance[Xero Invoice No],"&lt;&gt;"))</f>
        <v/>
      </c>
      <c r="AA361" s="27">
        <f>IF(E361="","",Y361-Z361)</f>
        <v/>
      </c>
      <c r="AB361" s="25">
        <f>IF(E361="","",IF(H361="Onsite",IFERROR(INDEX(tbl_Onsite[Qwilr Quote],MATCH(E361&amp;"",tbl_Onsite[Job Number],0)),""),IF(H361="Production",IFERROR(IF(INDEX(tbl_Production[Current RMS No],MATCH(E361&amp;"",tbl_Production[Job Number],0))="",INDEX(tbl_Production[Qwilr Quote],MATCH(E361&amp;"",tbl_Production[Job Number],0)),INDEX(tbl_Production[Current RMS No],MATCH(E361&amp;"",tbl_Production[Job Number],0))),""),IF(H361="Consulting",IFERROR(INDEX(tbl_Consulting[Qwilr Quote],MATCH(E361&amp;"",tbl_Consulting[Job Number],0)),""),""))))</f>
        <v/>
      </c>
      <c r="AC361" s="25">
        <f>IF(AB361="","",IF(AND(LEFT(AB361,4)&lt;&gt;"http",IF(H361="Production",set_RMSBase,set_QwilrBase)=""),"",HYPERLINK(IF(LEFT(AB361,4)="http",AB361,IF(H361="Production",set_RMSBase,set_QwilrBase)&amp;AB361),"Open")))</f>
        <v/>
      </c>
      <c r="AD361" s="27">
        <f>IF(E361="","",IF(H361="Production",IFERROR(INDEX(tbl_Production[Total Expense],MATCH(E361&amp;"",tbl_Production[Job Number],0)),0),IF(H361="Consulting",IFERROR(INDEX(tbl_Consulting[Total Expense],MATCH(E361&amp;"",tbl_Consulting[Job Number],0)),0),0)))</f>
        <v/>
      </c>
      <c r="AE361" s="27">
        <f>IF(E361="","",Y361-N(AD361))</f>
        <v/>
      </c>
      <c r="AF361" s="29">
        <f>IFERROR(AE361/Y361,"")</f>
        <v/>
      </c>
      <c r="AG361" s="25">
        <f>IF(E361="","",IF(H361="Onsite",IFERROR(INDEX(tbl_Onsite[Notes],MATCH(E361&amp;"",tbl_Onsite[Job Number],0)),""),IF(H361="Production",IFERROR(INDEX(tbl_Production[Notes],MATCH(E361&amp;"",tbl_Production[Job Number],0)),""),IF(H361="Consulting",IFERROR(INDEX(tbl_Consulting[Notes],MATCH(E361&amp;"",tbl_Consulting[Job Number],0)),""),""))))</f>
        <v/>
      </c>
    </row>
    <row r="362" ht="15" customHeight="1">
      <c r="A362" s="22" t="n"/>
      <c r="B362" s="23">
        <f>IF(A362="","",EOMONTH(A362,0))</f>
        <v/>
      </c>
      <c r="C362" s="24" t="n"/>
      <c r="D362" s="24" t="n"/>
      <c r="E362" s="24" t="n"/>
      <c r="F362" s="25">
        <f>IF(E362="","",IF(COUNTIF(lst_Jobs,E362&amp;"")&gt;0,"OK","CHECK"))</f>
        <v/>
      </c>
      <c r="G362" s="24" t="n"/>
      <c r="H362" s="24" t="n"/>
      <c r="I362" s="24" t="n"/>
      <c r="J362" s="24" t="n"/>
      <c r="K362" s="24" t="n"/>
      <c r="L362" s="26" t="n"/>
      <c r="M362" s="27">
        <f>IF(L362="","",IF(K362="GST 10%",ROUND(L362*set_GSTRate,2),0))</f>
        <v/>
      </c>
      <c r="N362" s="27">
        <f>IF(L362="","",L362+M362)</f>
        <v/>
      </c>
      <c r="O362" s="24" t="n"/>
      <c r="P362" s="24" t="n"/>
      <c r="Q362" s="24" t="n"/>
      <c r="R362" s="22" t="n"/>
      <c r="S362" s="22" t="n"/>
      <c r="T362" s="24" t="n"/>
      <c r="U362" s="24" t="n"/>
      <c r="V362" s="25">
        <f>IF(COUNTA(A362,D362,C362,L362)=0,"",IF(A362="","No date - sits outside every month",IF(E362="","No job number",IF(F362="CHECK","Job number is not in the Xero job list",IF(I362="","No cost centre",IF(AND(P362="Y",C362=""),"Marked posted to Xero but has no invoice number",IF(AND(L362&lt;&gt;"",K362=""),"No tax code",IF(AND(L362&lt;&gt;"",O362=""),"No revenue GL code",""))))))))</f>
        <v/>
      </c>
      <c r="W362" s="25">
        <f>IF(E362="","",IFERROR(INDEX(lst_JobName,MATCH(E362&amp;"",lst_Jobs,0)),""))</f>
        <v/>
      </c>
      <c r="X362" s="28">
        <f>IF(E362="","",COUNTIFS(tbl_Finance[Job Number],E362&amp;"",tbl_Finance[Ex GST],"&lt;&gt;"))</f>
        <v/>
      </c>
      <c r="Y362" s="27">
        <f>IF(E362="","",SUMIFS(tbl_Finance[Ex GST],tbl_Finance[Job Number],E362&amp;""))</f>
        <v/>
      </c>
      <c r="Z362" s="27">
        <f>IF(E362="","",SUMIFS(tbl_Finance[Ex GST],tbl_Finance[Job Number],E362&amp;"",tbl_Finance[Xero Invoice No],"&lt;&gt;"))</f>
        <v/>
      </c>
      <c r="AA362" s="27">
        <f>IF(E362="","",Y362-Z362)</f>
        <v/>
      </c>
      <c r="AB362" s="25">
        <f>IF(E362="","",IF(H362="Onsite",IFERROR(INDEX(tbl_Onsite[Qwilr Quote],MATCH(E362&amp;"",tbl_Onsite[Job Number],0)),""),IF(H362="Production",IFERROR(IF(INDEX(tbl_Production[Current RMS No],MATCH(E362&amp;"",tbl_Production[Job Number],0))="",INDEX(tbl_Production[Qwilr Quote],MATCH(E362&amp;"",tbl_Production[Job Number],0)),INDEX(tbl_Production[Current RMS No],MATCH(E362&amp;"",tbl_Production[Job Number],0))),""),IF(H362="Consulting",IFERROR(INDEX(tbl_Consulting[Qwilr Quote],MATCH(E362&amp;"",tbl_Consulting[Job Number],0)),""),""))))</f>
        <v/>
      </c>
      <c r="AC362" s="25">
        <f>IF(AB362="","",IF(AND(LEFT(AB362,4)&lt;&gt;"http",IF(H362="Production",set_RMSBase,set_QwilrBase)=""),"",HYPERLINK(IF(LEFT(AB362,4)="http",AB362,IF(H362="Production",set_RMSBase,set_QwilrBase)&amp;AB362),"Open")))</f>
        <v/>
      </c>
      <c r="AD362" s="27">
        <f>IF(E362="","",IF(H362="Production",IFERROR(INDEX(tbl_Production[Total Expense],MATCH(E362&amp;"",tbl_Production[Job Number],0)),0),IF(H362="Consulting",IFERROR(INDEX(tbl_Consulting[Total Expense],MATCH(E362&amp;"",tbl_Consulting[Job Number],0)),0),0)))</f>
        <v/>
      </c>
      <c r="AE362" s="27">
        <f>IF(E362="","",Y362-N(AD362))</f>
        <v/>
      </c>
      <c r="AF362" s="29">
        <f>IFERROR(AE362/Y362,"")</f>
        <v/>
      </c>
      <c r="AG362" s="25">
        <f>IF(E362="","",IF(H362="Onsite",IFERROR(INDEX(tbl_Onsite[Notes],MATCH(E362&amp;"",tbl_Onsite[Job Number],0)),""),IF(H362="Production",IFERROR(INDEX(tbl_Production[Notes],MATCH(E362&amp;"",tbl_Production[Job Number],0)),""),IF(H362="Consulting",IFERROR(INDEX(tbl_Consulting[Notes],MATCH(E362&amp;"",tbl_Consulting[Job Number],0)),""),""))))</f>
        <v/>
      </c>
    </row>
    <row r="363" ht="15" customHeight="1">
      <c r="A363" s="22" t="n"/>
      <c r="B363" s="23">
        <f>IF(A363="","",EOMONTH(A363,0))</f>
        <v/>
      </c>
      <c r="C363" s="24" t="n"/>
      <c r="D363" s="24" t="n"/>
      <c r="E363" s="24" t="n"/>
      <c r="F363" s="25">
        <f>IF(E363="","",IF(COUNTIF(lst_Jobs,E363&amp;"")&gt;0,"OK","CHECK"))</f>
        <v/>
      </c>
      <c r="G363" s="24" t="n"/>
      <c r="H363" s="24" t="n"/>
      <c r="I363" s="24" t="n"/>
      <c r="J363" s="24" t="n"/>
      <c r="K363" s="24" t="n"/>
      <c r="L363" s="26" t="n"/>
      <c r="M363" s="27">
        <f>IF(L363="","",IF(K363="GST 10%",ROUND(L363*set_GSTRate,2),0))</f>
        <v/>
      </c>
      <c r="N363" s="27">
        <f>IF(L363="","",L363+M363)</f>
        <v/>
      </c>
      <c r="O363" s="24" t="n"/>
      <c r="P363" s="24" t="n"/>
      <c r="Q363" s="24" t="n"/>
      <c r="R363" s="22" t="n"/>
      <c r="S363" s="22" t="n"/>
      <c r="T363" s="24" t="n"/>
      <c r="U363" s="24" t="n"/>
      <c r="V363" s="25">
        <f>IF(COUNTA(A363,D363,C363,L363)=0,"",IF(A363="","No date - sits outside every month",IF(E363="","No job number",IF(F363="CHECK","Job number is not in the Xero job list",IF(I363="","No cost centre",IF(AND(P363="Y",C363=""),"Marked posted to Xero but has no invoice number",IF(AND(L363&lt;&gt;"",K363=""),"No tax code",IF(AND(L363&lt;&gt;"",O363=""),"No revenue GL code",""))))))))</f>
        <v/>
      </c>
      <c r="W363" s="25">
        <f>IF(E363="","",IFERROR(INDEX(lst_JobName,MATCH(E363&amp;"",lst_Jobs,0)),""))</f>
        <v/>
      </c>
      <c r="X363" s="28">
        <f>IF(E363="","",COUNTIFS(tbl_Finance[Job Number],E363&amp;"",tbl_Finance[Ex GST],"&lt;&gt;"))</f>
        <v/>
      </c>
      <c r="Y363" s="27">
        <f>IF(E363="","",SUMIFS(tbl_Finance[Ex GST],tbl_Finance[Job Number],E363&amp;""))</f>
        <v/>
      </c>
      <c r="Z363" s="27">
        <f>IF(E363="","",SUMIFS(tbl_Finance[Ex GST],tbl_Finance[Job Number],E363&amp;"",tbl_Finance[Xero Invoice No],"&lt;&gt;"))</f>
        <v/>
      </c>
      <c r="AA363" s="27">
        <f>IF(E363="","",Y363-Z363)</f>
        <v/>
      </c>
      <c r="AB363" s="25">
        <f>IF(E363="","",IF(H363="Onsite",IFERROR(INDEX(tbl_Onsite[Qwilr Quote],MATCH(E363&amp;"",tbl_Onsite[Job Number],0)),""),IF(H363="Production",IFERROR(IF(INDEX(tbl_Production[Current RMS No],MATCH(E363&amp;"",tbl_Production[Job Number],0))="",INDEX(tbl_Production[Qwilr Quote],MATCH(E363&amp;"",tbl_Production[Job Number],0)),INDEX(tbl_Production[Current RMS No],MATCH(E363&amp;"",tbl_Production[Job Number],0))),""),IF(H363="Consulting",IFERROR(INDEX(tbl_Consulting[Qwilr Quote],MATCH(E363&amp;"",tbl_Consulting[Job Number],0)),""),""))))</f>
        <v/>
      </c>
      <c r="AC363" s="25">
        <f>IF(AB363="","",IF(AND(LEFT(AB363,4)&lt;&gt;"http",IF(H363="Production",set_RMSBase,set_QwilrBase)=""),"",HYPERLINK(IF(LEFT(AB363,4)="http",AB363,IF(H363="Production",set_RMSBase,set_QwilrBase)&amp;AB363),"Open")))</f>
        <v/>
      </c>
      <c r="AD363" s="27">
        <f>IF(E363="","",IF(H363="Production",IFERROR(INDEX(tbl_Production[Total Expense],MATCH(E363&amp;"",tbl_Production[Job Number],0)),0),IF(H363="Consulting",IFERROR(INDEX(tbl_Consulting[Total Expense],MATCH(E363&amp;"",tbl_Consulting[Job Number],0)),0),0)))</f>
        <v/>
      </c>
      <c r="AE363" s="27">
        <f>IF(E363="","",Y363-N(AD363))</f>
        <v/>
      </c>
      <c r="AF363" s="29">
        <f>IFERROR(AE363/Y363,"")</f>
        <v/>
      </c>
      <c r="AG363" s="25">
        <f>IF(E363="","",IF(H363="Onsite",IFERROR(INDEX(tbl_Onsite[Notes],MATCH(E363&amp;"",tbl_Onsite[Job Number],0)),""),IF(H363="Production",IFERROR(INDEX(tbl_Production[Notes],MATCH(E363&amp;"",tbl_Production[Job Number],0)),""),IF(H363="Consulting",IFERROR(INDEX(tbl_Consulting[Notes],MATCH(E363&amp;"",tbl_Consulting[Job Number],0)),""),""))))</f>
        <v/>
      </c>
    </row>
    <row r="364" ht="15" customHeight="1">
      <c r="A364" s="22" t="n"/>
      <c r="B364" s="23">
        <f>IF(A364="","",EOMONTH(A364,0))</f>
        <v/>
      </c>
      <c r="C364" s="24" t="n"/>
      <c r="D364" s="24" t="n"/>
      <c r="E364" s="24" t="n"/>
      <c r="F364" s="25">
        <f>IF(E364="","",IF(COUNTIF(lst_Jobs,E364&amp;"")&gt;0,"OK","CHECK"))</f>
        <v/>
      </c>
      <c r="G364" s="24" t="n"/>
      <c r="H364" s="24" t="n"/>
      <c r="I364" s="24" t="n"/>
      <c r="J364" s="24" t="n"/>
      <c r="K364" s="24" t="n"/>
      <c r="L364" s="26" t="n"/>
      <c r="M364" s="27">
        <f>IF(L364="","",IF(K364="GST 10%",ROUND(L364*set_GSTRate,2),0))</f>
        <v/>
      </c>
      <c r="N364" s="27">
        <f>IF(L364="","",L364+M364)</f>
        <v/>
      </c>
      <c r="O364" s="24" t="n"/>
      <c r="P364" s="24" t="n"/>
      <c r="Q364" s="24" t="n"/>
      <c r="R364" s="22" t="n"/>
      <c r="S364" s="22" t="n"/>
      <c r="T364" s="24" t="n"/>
      <c r="U364" s="24" t="n"/>
      <c r="V364" s="25">
        <f>IF(COUNTA(A364,D364,C364,L364)=0,"",IF(A364="","No date - sits outside every month",IF(E364="","No job number",IF(F364="CHECK","Job number is not in the Xero job list",IF(I364="","No cost centre",IF(AND(P364="Y",C364=""),"Marked posted to Xero but has no invoice number",IF(AND(L364&lt;&gt;"",K364=""),"No tax code",IF(AND(L364&lt;&gt;"",O364=""),"No revenue GL code",""))))))))</f>
        <v/>
      </c>
      <c r="W364" s="25">
        <f>IF(E364="","",IFERROR(INDEX(lst_JobName,MATCH(E364&amp;"",lst_Jobs,0)),""))</f>
        <v/>
      </c>
      <c r="X364" s="28">
        <f>IF(E364="","",COUNTIFS(tbl_Finance[Job Number],E364&amp;"",tbl_Finance[Ex GST],"&lt;&gt;"))</f>
        <v/>
      </c>
      <c r="Y364" s="27">
        <f>IF(E364="","",SUMIFS(tbl_Finance[Ex GST],tbl_Finance[Job Number],E364&amp;""))</f>
        <v/>
      </c>
      <c r="Z364" s="27">
        <f>IF(E364="","",SUMIFS(tbl_Finance[Ex GST],tbl_Finance[Job Number],E364&amp;"",tbl_Finance[Xero Invoice No],"&lt;&gt;"))</f>
        <v/>
      </c>
      <c r="AA364" s="27">
        <f>IF(E364="","",Y364-Z364)</f>
        <v/>
      </c>
      <c r="AB364" s="25">
        <f>IF(E364="","",IF(H364="Onsite",IFERROR(INDEX(tbl_Onsite[Qwilr Quote],MATCH(E364&amp;"",tbl_Onsite[Job Number],0)),""),IF(H364="Production",IFERROR(IF(INDEX(tbl_Production[Current RMS No],MATCH(E364&amp;"",tbl_Production[Job Number],0))="",INDEX(tbl_Production[Qwilr Quote],MATCH(E364&amp;"",tbl_Production[Job Number],0)),INDEX(tbl_Production[Current RMS No],MATCH(E364&amp;"",tbl_Production[Job Number],0))),""),IF(H364="Consulting",IFERROR(INDEX(tbl_Consulting[Qwilr Quote],MATCH(E364&amp;"",tbl_Consulting[Job Number],0)),""),""))))</f>
        <v/>
      </c>
      <c r="AC364" s="25">
        <f>IF(AB364="","",IF(AND(LEFT(AB364,4)&lt;&gt;"http",IF(H364="Production",set_RMSBase,set_QwilrBase)=""),"",HYPERLINK(IF(LEFT(AB364,4)="http",AB364,IF(H364="Production",set_RMSBase,set_QwilrBase)&amp;AB364),"Open")))</f>
        <v/>
      </c>
      <c r="AD364" s="27">
        <f>IF(E364="","",IF(H364="Production",IFERROR(INDEX(tbl_Production[Total Expense],MATCH(E364&amp;"",tbl_Production[Job Number],0)),0),IF(H364="Consulting",IFERROR(INDEX(tbl_Consulting[Total Expense],MATCH(E364&amp;"",tbl_Consulting[Job Number],0)),0),0)))</f>
        <v/>
      </c>
      <c r="AE364" s="27">
        <f>IF(E364="","",Y364-N(AD364))</f>
        <v/>
      </c>
      <c r="AF364" s="29">
        <f>IFERROR(AE364/Y364,"")</f>
        <v/>
      </c>
      <c r="AG364" s="25">
        <f>IF(E364="","",IF(H364="Onsite",IFERROR(INDEX(tbl_Onsite[Notes],MATCH(E364&amp;"",tbl_Onsite[Job Number],0)),""),IF(H364="Production",IFERROR(INDEX(tbl_Production[Notes],MATCH(E364&amp;"",tbl_Production[Job Number],0)),""),IF(H364="Consulting",IFERROR(INDEX(tbl_Consulting[Notes],MATCH(E364&amp;"",tbl_Consulting[Job Number],0)),""),""))))</f>
        <v/>
      </c>
    </row>
    <row r="365" ht="15" customHeight="1">
      <c r="A365" s="22" t="n"/>
      <c r="B365" s="23">
        <f>IF(A365="","",EOMONTH(A365,0))</f>
        <v/>
      </c>
      <c r="C365" s="24" t="n"/>
      <c r="D365" s="24" t="n"/>
      <c r="E365" s="24" t="n"/>
      <c r="F365" s="25">
        <f>IF(E365="","",IF(COUNTIF(lst_Jobs,E365&amp;"")&gt;0,"OK","CHECK"))</f>
        <v/>
      </c>
      <c r="G365" s="24" t="n"/>
      <c r="H365" s="24" t="n"/>
      <c r="I365" s="24" t="n"/>
      <c r="J365" s="24" t="n"/>
      <c r="K365" s="24" t="n"/>
      <c r="L365" s="26" t="n"/>
      <c r="M365" s="27">
        <f>IF(L365="","",IF(K365="GST 10%",ROUND(L365*set_GSTRate,2),0))</f>
        <v/>
      </c>
      <c r="N365" s="27">
        <f>IF(L365="","",L365+M365)</f>
        <v/>
      </c>
      <c r="O365" s="24" t="n"/>
      <c r="P365" s="24" t="n"/>
      <c r="Q365" s="24" t="n"/>
      <c r="R365" s="22" t="n"/>
      <c r="S365" s="22" t="n"/>
      <c r="T365" s="24" t="n"/>
      <c r="U365" s="24" t="n"/>
      <c r="V365" s="25">
        <f>IF(COUNTA(A365,D365,C365,L365)=0,"",IF(A365="","No date - sits outside every month",IF(E365="","No job number",IF(F365="CHECK","Job number is not in the Xero job list",IF(I365="","No cost centre",IF(AND(P365="Y",C365=""),"Marked posted to Xero but has no invoice number",IF(AND(L365&lt;&gt;"",K365=""),"No tax code",IF(AND(L365&lt;&gt;"",O365=""),"No revenue GL code",""))))))))</f>
        <v/>
      </c>
      <c r="W365" s="25">
        <f>IF(E365="","",IFERROR(INDEX(lst_JobName,MATCH(E365&amp;"",lst_Jobs,0)),""))</f>
        <v/>
      </c>
      <c r="X365" s="28">
        <f>IF(E365="","",COUNTIFS(tbl_Finance[Job Number],E365&amp;"",tbl_Finance[Ex GST],"&lt;&gt;"))</f>
        <v/>
      </c>
      <c r="Y365" s="27">
        <f>IF(E365="","",SUMIFS(tbl_Finance[Ex GST],tbl_Finance[Job Number],E365&amp;""))</f>
        <v/>
      </c>
      <c r="Z365" s="27">
        <f>IF(E365="","",SUMIFS(tbl_Finance[Ex GST],tbl_Finance[Job Number],E365&amp;"",tbl_Finance[Xero Invoice No],"&lt;&gt;"))</f>
        <v/>
      </c>
      <c r="AA365" s="27">
        <f>IF(E365="","",Y365-Z365)</f>
        <v/>
      </c>
      <c r="AB365" s="25">
        <f>IF(E365="","",IF(H365="Onsite",IFERROR(INDEX(tbl_Onsite[Qwilr Quote],MATCH(E365&amp;"",tbl_Onsite[Job Number],0)),""),IF(H365="Production",IFERROR(IF(INDEX(tbl_Production[Current RMS No],MATCH(E365&amp;"",tbl_Production[Job Number],0))="",INDEX(tbl_Production[Qwilr Quote],MATCH(E365&amp;"",tbl_Production[Job Number],0)),INDEX(tbl_Production[Current RMS No],MATCH(E365&amp;"",tbl_Production[Job Number],0))),""),IF(H365="Consulting",IFERROR(INDEX(tbl_Consulting[Qwilr Quote],MATCH(E365&amp;"",tbl_Consulting[Job Number],0)),""),""))))</f>
        <v/>
      </c>
      <c r="AC365" s="25">
        <f>IF(AB365="","",IF(AND(LEFT(AB365,4)&lt;&gt;"http",IF(H365="Production",set_RMSBase,set_QwilrBase)=""),"",HYPERLINK(IF(LEFT(AB365,4)="http",AB365,IF(H365="Production",set_RMSBase,set_QwilrBase)&amp;AB365),"Open")))</f>
        <v/>
      </c>
      <c r="AD365" s="27">
        <f>IF(E365="","",IF(H365="Production",IFERROR(INDEX(tbl_Production[Total Expense],MATCH(E365&amp;"",tbl_Production[Job Number],0)),0),IF(H365="Consulting",IFERROR(INDEX(tbl_Consulting[Total Expense],MATCH(E365&amp;"",tbl_Consulting[Job Number],0)),0),0)))</f>
        <v/>
      </c>
      <c r="AE365" s="27">
        <f>IF(E365="","",Y365-N(AD365))</f>
        <v/>
      </c>
      <c r="AF365" s="29">
        <f>IFERROR(AE365/Y365,"")</f>
        <v/>
      </c>
      <c r="AG365" s="25">
        <f>IF(E365="","",IF(H365="Onsite",IFERROR(INDEX(tbl_Onsite[Notes],MATCH(E365&amp;"",tbl_Onsite[Job Number],0)),""),IF(H365="Production",IFERROR(INDEX(tbl_Production[Notes],MATCH(E365&amp;"",tbl_Production[Job Number],0)),""),IF(H365="Consulting",IFERROR(INDEX(tbl_Consulting[Notes],MATCH(E365&amp;"",tbl_Consulting[Job Number],0)),""),""))))</f>
        <v/>
      </c>
    </row>
    <row r="366" ht="15" customHeight="1">
      <c r="A366" s="22" t="n"/>
      <c r="B366" s="23">
        <f>IF(A366="","",EOMONTH(A366,0))</f>
        <v/>
      </c>
      <c r="C366" s="24" t="n"/>
      <c r="D366" s="24" t="n"/>
      <c r="E366" s="24" t="n"/>
      <c r="F366" s="25">
        <f>IF(E366="","",IF(COUNTIF(lst_Jobs,E366&amp;"")&gt;0,"OK","CHECK"))</f>
        <v/>
      </c>
      <c r="G366" s="24" t="n"/>
      <c r="H366" s="24" t="n"/>
      <c r="I366" s="24" t="n"/>
      <c r="J366" s="24" t="n"/>
      <c r="K366" s="24" t="n"/>
      <c r="L366" s="26" t="n"/>
      <c r="M366" s="27">
        <f>IF(L366="","",IF(K366="GST 10%",ROUND(L366*set_GSTRate,2),0))</f>
        <v/>
      </c>
      <c r="N366" s="27">
        <f>IF(L366="","",L366+M366)</f>
        <v/>
      </c>
      <c r="O366" s="24" t="n"/>
      <c r="P366" s="24" t="n"/>
      <c r="Q366" s="24" t="n"/>
      <c r="R366" s="22" t="n"/>
      <c r="S366" s="22" t="n"/>
      <c r="T366" s="24" t="n"/>
      <c r="U366" s="24" t="n"/>
      <c r="V366" s="25">
        <f>IF(COUNTA(A366,D366,C366,L366)=0,"",IF(A366="","No date - sits outside every month",IF(E366="","No job number",IF(F366="CHECK","Job number is not in the Xero job list",IF(I366="","No cost centre",IF(AND(P366="Y",C366=""),"Marked posted to Xero but has no invoice number",IF(AND(L366&lt;&gt;"",K366=""),"No tax code",IF(AND(L366&lt;&gt;"",O366=""),"No revenue GL code",""))))))))</f>
        <v/>
      </c>
      <c r="W366" s="25">
        <f>IF(E366="","",IFERROR(INDEX(lst_JobName,MATCH(E366&amp;"",lst_Jobs,0)),""))</f>
        <v/>
      </c>
      <c r="X366" s="28">
        <f>IF(E366="","",COUNTIFS(tbl_Finance[Job Number],E366&amp;"",tbl_Finance[Ex GST],"&lt;&gt;"))</f>
        <v/>
      </c>
      <c r="Y366" s="27">
        <f>IF(E366="","",SUMIFS(tbl_Finance[Ex GST],tbl_Finance[Job Number],E366&amp;""))</f>
        <v/>
      </c>
      <c r="Z366" s="27">
        <f>IF(E366="","",SUMIFS(tbl_Finance[Ex GST],tbl_Finance[Job Number],E366&amp;"",tbl_Finance[Xero Invoice No],"&lt;&gt;"))</f>
        <v/>
      </c>
      <c r="AA366" s="27">
        <f>IF(E366="","",Y366-Z366)</f>
        <v/>
      </c>
      <c r="AB366" s="25">
        <f>IF(E366="","",IF(H366="Onsite",IFERROR(INDEX(tbl_Onsite[Qwilr Quote],MATCH(E366&amp;"",tbl_Onsite[Job Number],0)),""),IF(H366="Production",IFERROR(IF(INDEX(tbl_Production[Current RMS No],MATCH(E366&amp;"",tbl_Production[Job Number],0))="",INDEX(tbl_Production[Qwilr Quote],MATCH(E366&amp;"",tbl_Production[Job Number],0)),INDEX(tbl_Production[Current RMS No],MATCH(E366&amp;"",tbl_Production[Job Number],0))),""),IF(H366="Consulting",IFERROR(INDEX(tbl_Consulting[Qwilr Quote],MATCH(E366&amp;"",tbl_Consulting[Job Number],0)),""),""))))</f>
        <v/>
      </c>
      <c r="AC366" s="25">
        <f>IF(AB366="","",IF(AND(LEFT(AB366,4)&lt;&gt;"http",IF(H366="Production",set_RMSBase,set_QwilrBase)=""),"",HYPERLINK(IF(LEFT(AB366,4)="http",AB366,IF(H366="Production",set_RMSBase,set_QwilrBase)&amp;AB366),"Open")))</f>
        <v/>
      </c>
      <c r="AD366" s="27">
        <f>IF(E366="","",IF(H366="Production",IFERROR(INDEX(tbl_Production[Total Expense],MATCH(E366&amp;"",tbl_Production[Job Number],0)),0),IF(H366="Consulting",IFERROR(INDEX(tbl_Consulting[Total Expense],MATCH(E366&amp;"",tbl_Consulting[Job Number],0)),0),0)))</f>
        <v/>
      </c>
      <c r="AE366" s="27">
        <f>IF(E366="","",Y366-N(AD366))</f>
        <v/>
      </c>
      <c r="AF366" s="29">
        <f>IFERROR(AE366/Y366,"")</f>
        <v/>
      </c>
      <c r="AG366" s="25">
        <f>IF(E366="","",IF(H366="Onsite",IFERROR(INDEX(tbl_Onsite[Notes],MATCH(E366&amp;"",tbl_Onsite[Job Number],0)),""),IF(H366="Production",IFERROR(INDEX(tbl_Production[Notes],MATCH(E366&amp;"",tbl_Production[Job Number],0)),""),IF(H366="Consulting",IFERROR(INDEX(tbl_Consulting[Notes],MATCH(E366&amp;"",tbl_Consulting[Job Number],0)),""),""))))</f>
        <v/>
      </c>
    </row>
    <row r="367" ht="15" customHeight="1">
      <c r="A367" s="22" t="n"/>
      <c r="B367" s="23">
        <f>IF(A367="","",EOMONTH(A367,0))</f>
        <v/>
      </c>
      <c r="C367" s="24" t="n"/>
      <c r="D367" s="24" t="n"/>
      <c r="E367" s="24" t="n"/>
      <c r="F367" s="25">
        <f>IF(E367="","",IF(COUNTIF(lst_Jobs,E367&amp;"")&gt;0,"OK","CHECK"))</f>
        <v/>
      </c>
      <c r="G367" s="24" t="n"/>
      <c r="H367" s="24" t="n"/>
      <c r="I367" s="24" t="n"/>
      <c r="J367" s="24" t="n"/>
      <c r="K367" s="24" t="n"/>
      <c r="L367" s="26" t="n"/>
      <c r="M367" s="27">
        <f>IF(L367="","",IF(K367="GST 10%",ROUND(L367*set_GSTRate,2),0))</f>
        <v/>
      </c>
      <c r="N367" s="27">
        <f>IF(L367="","",L367+M367)</f>
        <v/>
      </c>
      <c r="O367" s="24" t="n"/>
      <c r="P367" s="24" t="n"/>
      <c r="Q367" s="24" t="n"/>
      <c r="R367" s="22" t="n"/>
      <c r="S367" s="22" t="n"/>
      <c r="T367" s="24" t="n"/>
      <c r="U367" s="24" t="n"/>
      <c r="V367" s="25">
        <f>IF(COUNTA(A367,D367,C367,L367)=0,"",IF(A367="","No date - sits outside every month",IF(E367="","No job number",IF(F367="CHECK","Job number is not in the Xero job list",IF(I367="","No cost centre",IF(AND(P367="Y",C367=""),"Marked posted to Xero but has no invoice number",IF(AND(L367&lt;&gt;"",K367=""),"No tax code",IF(AND(L367&lt;&gt;"",O367=""),"No revenue GL code",""))))))))</f>
        <v/>
      </c>
      <c r="W367" s="25">
        <f>IF(E367="","",IFERROR(INDEX(lst_JobName,MATCH(E367&amp;"",lst_Jobs,0)),""))</f>
        <v/>
      </c>
      <c r="X367" s="28">
        <f>IF(E367="","",COUNTIFS(tbl_Finance[Job Number],E367&amp;"",tbl_Finance[Ex GST],"&lt;&gt;"))</f>
        <v/>
      </c>
      <c r="Y367" s="27">
        <f>IF(E367="","",SUMIFS(tbl_Finance[Ex GST],tbl_Finance[Job Number],E367&amp;""))</f>
        <v/>
      </c>
      <c r="Z367" s="27">
        <f>IF(E367="","",SUMIFS(tbl_Finance[Ex GST],tbl_Finance[Job Number],E367&amp;"",tbl_Finance[Xero Invoice No],"&lt;&gt;"))</f>
        <v/>
      </c>
      <c r="AA367" s="27">
        <f>IF(E367="","",Y367-Z367)</f>
        <v/>
      </c>
      <c r="AB367" s="25">
        <f>IF(E367="","",IF(H367="Onsite",IFERROR(INDEX(tbl_Onsite[Qwilr Quote],MATCH(E367&amp;"",tbl_Onsite[Job Number],0)),""),IF(H367="Production",IFERROR(IF(INDEX(tbl_Production[Current RMS No],MATCH(E367&amp;"",tbl_Production[Job Number],0))="",INDEX(tbl_Production[Qwilr Quote],MATCH(E367&amp;"",tbl_Production[Job Number],0)),INDEX(tbl_Production[Current RMS No],MATCH(E367&amp;"",tbl_Production[Job Number],0))),""),IF(H367="Consulting",IFERROR(INDEX(tbl_Consulting[Qwilr Quote],MATCH(E367&amp;"",tbl_Consulting[Job Number],0)),""),""))))</f>
        <v/>
      </c>
      <c r="AC367" s="25">
        <f>IF(AB367="","",IF(AND(LEFT(AB367,4)&lt;&gt;"http",IF(H367="Production",set_RMSBase,set_QwilrBase)=""),"",HYPERLINK(IF(LEFT(AB367,4)="http",AB367,IF(H367="Production",set_RMSBase,set_QwilrBase)&amp;AB367),"Open")))</f>
        <v/>
      </c>
      <c r="AD367" s="27">
        <f>IF(E367="","",IF(H367="Production",IFERROR(INDEX(tbl_Production[Total Expense],MATCH(E367&amp;"",tbl_Production[Job Number],0)),0),IF(H367="Consulting",IFERROR(INDEX(tbl_Consulting[Total Expense],MATCH(E367&amp;"",tbl_Consulting[Job Number],0)),0),0)))</f>
        <v/>
      </c>
      <c r="AE367" s="27">
        <f>IF(E367="","",Y367-N(AD367))</f>
        <v/>
      </c>
      <c r="AF367" s="29">
        <f>IFERROR(AE367/Y367,"")</f>
        <v/>
      </c>
      <c r="AG367" s="25">
        <f>IF(E367="","",IF(H367="Onsite",IFERROR(INDEX(tbl_Onsite[Notes],MATCH(E367&amp;"",tbl_Onsite[Job Number],0)),""),IF(H367="Production",IFERROR(INDEX(tbl_Production[Notes],MATCH(E367&amp;"",tbl_Production[Job Number],0)),""),IF(H367="Consulting",IFERROR(INDEX(tbl_Consulting[Notes],MATCH(E367&amp;"",tbl_Consulting[Job Number],0)),""),""))))</f>
        <v/>
      </c>
    </row>
    <row r="368" ht="15" customHeight="1">
      <c r="A368" s="22" t="n"/>
      <c r="B368" s="23">
        <f>IF(A368="","",EOMONTH(A368,0))</f>
        <v/>
      </c>
      <c r="C368" s="24" t="n"/>
      <c r="D368" s="24" t="n"/>
      <c r="E368" s="24" t="n"/>
      <c r="F368" s="25">
        <f>IF(E368="","",IF(COUNTIF(lst_Jobs,E368&amp;"")&gt;0,"OK","CHECK"))</f>
        <v/>
      </c>
      <c r="G368" s="24" t="n"/>
      <c r="H368" s="24" t="n"/>
      <c r="I368" s="24" t="n"/>
      <c r="J368" s="24" t="n"/>
      <c r="K368" s="24" t="n"/>
      <c r="L368" s="26" t="n"/>
      <c r="M368" s="27">
        <f>IF(L368="","",IF(K368="GST 10%",ROUND(L368*set_GSTRate,2),0))</f>
        <v/>
      </c>
      <c r="N368" s="27">
        <f>IF(L368="","",L368+M368)</f>
        <v/>
      </c>
      <c r="O368" s="24" t="n"/>
      <c r="P368" s="24" t="n"/>
      <c r="Q368" s="24" t="n"/>
      <c r="R368" s="22" t="n"/>
      <c r="S368" s="22" t="n"/>
      <c r="T368" s="24" t="n"/>
      <c r="U368" s="24" t="n"/>
      <c r="V368" s="25">
        <f>IF(COUNTA(A368,D368,C368,L368)=0,"",IF(A368="","No date - sits outside every month",IF(E368="","No job number",IF(F368="CHECK","Job number is not in the Xero job list",IF(I368="","No cost centre",IF(AND(P368="Y",C368=""),"Marked posted to Xero but has no invoice number",IF(AND(L368&lt;&gt;"",K368=""),"No tax code",IF(AND(L368&lt;&gt;"",O368=""),"No revenue GL code",""))))))))</f>
        <v/>
      </c>
      <c r="W368" s="25">
        <f>IF(E368="","",IFERROR(INDEX(lst_JobName,MATCH(E368&amp;"",lst_Jobs,0)),""))</f>
        <v/>
      </c>
      <c r="X368" s="28">
        <f>IF(E368="","",COUNTIFS(tbl_Finance[Job Number],E368&amp;"",tbl_Finance[Ex GST],"&lt;&gt;"))</f>
        <v/>
      </c>
      <c r="Y368" s="27">
        <f>IF(E368="","",SUMIFS(tbl_Finance[Ex GST],tbl_Finance[Job Number],E368&amp;""))</f>
        <v/>
      </c>
      <c r="Z368" s="27">
        <f>IF(E368="","",SUMIFS(tbl_Finance[Ex GST],tbl_Finance[Job Number],E368&amp;"",tbl_Finance[Xero Invoice No],"&lt;&gt;"))</f>
        <v/>
      </c>
      <c r="AA368" s="27">
        <f>IF(E368="","",Y368-Z368)</f>
        <v/>
      </c>
      <c r="AB368" s="25">
        <f>IF(E368="","",IF(H368="Onsite",IFERROR(INDEX(tbl_Onsite[Qwilr Quote],MATCH(E368&amp;"",tbl_Onsite[Job Number],0)),""),IF(H368="Production",IFERROR(IF(INDEX(tbl_Production[Current RMS No],MATCH(E368&amp;"",tbl_Production[Job Number],0))="",INDEX(tbl_Production[Qwilr Quote],MATCH(E368&amp;"",tbl_Production[Job Number],0)),INDEX(tbl_Production[Current RMS No],MATCH(E368&amp;"",tbl_Production[Job Number],0))),""),IF(H368="Consulting",IFERROR(INDEX(tbl_Consulting[Qwilr Quote],MATCH(E368&amp;"",tbl_Consulting[Job Number],0)),""),""))))</f>
        <v/>
      </c>
      <c r="AC368" s="25">
        <f>IF(AB368="","",IF(AND(LEFT(AB368,4)&lt;&gt;"http",IF(H368="Production",set_RMSBase,set_QwilrBase)=""),"",HYPERLINK(IF(LEFT(AB368,4)="http",AB368,IF(H368="Production",set_RMSBase,set_QwilrBase)&amp;AB368),"Open")))</f>
        <v/>
      </c>
      <c r="AD368" s="27">
        <f>IF(E368="","",IF(H368="Production",IFERROR(INDEX(tbl_Production[Total Expense],MATCH(E368&amp;"",tbl_Production[Job Number],0)),0),IF(H368="Consulting",IFERROR(INDEX(tbl_Consulting[Total Expense],MATCH(E368&amp;"",tbl_Consulting[Job Number],0)),0),0)))</f>
        <v/>
      </c>
      <c r="AE368" s="27">
        <f>IF(E368="","",Y368-N(AD368))</f>
        <v/>
      </c>
      <c r="AF368" s="29">
        <f>IFERROR(AE368/Y368,"")</f>
        <v/>
      </c>
      <c r="AG368" s="25">
        <f>IF(E368="","",IF(H368="Onsite",IFERROR(INDEX(tbl_Onsite[Notes],MATCH(E368&amp;"",tbl_Onsite[Job Number],0)),""),IF(H368="Production",IFERROR(INDEX(tbl_Production[Notes],MATCH(E368&amp;"",tbl_Production[Job Number],0)),""),IF(H368="Consulting",IFERROR(INDEX(tbl_Consulting[Notes],MATCH(E368&amp;"",tbl_Consulting[Job Number],0)),""),""))))</f>
        <v/>
      </c>
    </row>
    <row r="369" ht="15" customHeight="1">
      <c r="A369" s="22" t="n"/>
      <c r="B369" s="23">
        <f>IF(A369="","",EOMONTH(A369,0))</f>
        <v/>
      </c>
      <c r="C369" s="24" t="n"/>
      <c r="D369" s="24" t="n"/>
      <c r="E369" s="24" t="n"/>
      <c r="F369" s="25">
        <f>IF(E369="","",IF(COUNTIF(lst_Jobs,E369&amp;"")&gt;0,"OK","CHECK"))</f>
        <v/>
      </c>
      <c r="G369" s="24" t="n"/>
      <c r="H369" s="24" t="n"/>
      <c r="I369" s="24" t="n"/>
      <c r="J369" s="24" t="n"/>
      <c r="K369" s="24" t="n"/>
      <c r="L369" s="26" t="n"/>
      <c r="M369" s="27">
        <f>IF(L369="","",IF(K369="GST 10%",ROUND(L369*set_GSTRate,2),0))</f>
        <v/>
      </c>
      <c r="N369" s="27">
        <f>IF(L369="","",L369+M369)</f>
        <v/>
      </c>
      <c r="O369" s="24" t="n"/>
      <c r="P369" s="24" t="n"/>
      <c r="Q369" s="24" t="n"/>
      <c r="R369" s="22" t="n"/>
      <c r="S369" s="22" t="n"/>
      <c r="T369" s="24" t="n"/>
      <c r="U369" s="24" t="n"/>
      <c r="V369" s="25">
        <f>IF(COUNTA(A369,D369,C369,L369)=0,"",IF(A369="","No date - sits outside every month",IF(E369="","No job number",IF(F369="CHECK","Job number is not in the Xero job list",IF(I369="","No cost centre",IF(AND(P369="Y",C369=""),"Marked posted to Xero but has no invoice number",IF(AND(L369&lt;&gt;"",K369=""),"No tax code",IF(AND(L369&lt;&gt;"",O369=""),"No revenue GL code",""))))))))</f>
        <v/>
      </c>
      <c r="W369" s="25">
        <f>IF(E369="","",IFERROR(INDEX(lst_JobName,MATCH(E369&amp;"",lst_Jobs,0)),""))</f>
        <v/>
      </c>
      <c r="X369" s="28">
        <f>IF(E369="","",COUNTIFS(tbl_Finance[Job Number],E369&amp;"",tbl_Finance[Ex GST],"&lt;&gt;"))</f>
        <v/>
      </c>
      <c r="Y369" s="27">
        <f>IF(E369="","",SUMIFS(tbl_Finance[Ex GST],tbl_Finance[Job Number],E369&amp;""))</f>
        <v/>
      </c>
      <c r="Z369" s="27">
        <f>IF(E369="","",SUMIFS(tbl_Finance[Ex GST],tbl_Finance[Job Number],E369&amp;"",tbl_Finance[Xero Invoice No],"&lt;&gt;"))</f>
        <v/>
      </c>
      <c r="AA369" s="27">
        <f>IF(E369="","",Y369-Z369)</f>
        <v/>
      </c>
      <c r="AB369" s="25">
        <f>IF(E369="","",IF(H369="Onsite",IFERROR(INDEX(tbl_Onsite[Qwilr Quote],MATCH(E369&amp;"",tbl_Onsite[Job Number],0)),""),IF(H369="Production",IFERROR(IF(INDEX(tbl_Production[Current RMS No],MATCH(E369&amp;"",tbl_Production[Job Number],0))="",INDEX(tbl_Production[Qwilr Quote],MATCH(E369&amp;"",tbl_Production[Job Number],0)),INDEX(tbl_Production[Current RMS No],MATCH(E369&amp;"",tbl_Production[Job Number],0))),""),IF(H369="Consulting",IFERROR(INDEX(tbl_Consulting[Qwilr Quote],MATCH(E369&amp;"",tbl_Consulting[Job Number],0)),""),""))))</f>
        <v/>
      </c>
      <c r="AC369" s="25">
        <f>IF(AB369="","",IF(AND(LEFT(AB369,4)&lt;&gt;"http",IF(H369="Production",set_RMSBase,set_QwilrBase)=""),"",HYPERLINK(IF(LEFT(AB369,4)="http",AB369,IF(H369="Production",set_RMSBase,set_QwilrBase)&amp;AB369),"Open")))</f>
        <v/>
      </c>
      <c r="AD369" s="27">
        <f>IF(E369="","",IF(H369="Production",IFERROR(INDEX(tbl_Production[Total Expense],MATCH(E369&amp;"",tbl_Production[Job Number],0)),0),IF(H369="Consulting",IFERROR(INDEX(tbl_Consulting[Total Expense],MATCH(E369&amp;"",tbl_Consulting[Job Number],0)),0),0)))</f>
        <v/>
      </c>
      <c r="AE369" s="27">
        <f>IF(E369="","",Y369-N(AD369))</f>
        <v/>
      </c>
      <c r="AF369" s="29">
        <f>IFERROR(AE369/Y369,"")</f>
        <v/>
      </c>
      <c r="AG369" s="25">
        <f>IF(E369="","",IF(H369="Onsite",IFERROR(INDEX(tbl_Onsite[Notes],MATCH(E369&amp;"",tbl_Onsite[Job Number],0)),""),IF(H369="Production",IFERROR(INDEX(tbl_Production[Notes],MATCH(E369&amp;"",tbl_Production[Job Number],0)),""),IF(H369="Consulting",IFERROR(INDEX(tbl_Consulting[Notes],MATCH(E369&amp;"",tbl_Consulting[Job Number],0)),""),""))))</f>
        <v/>
      </c>
    </row>
    <row r="370" ht="15" customHeight="1">
      <c r="A370" s="22" t="n"/>
      <c r="B370" s="23">
        <f>IF(A370="","",EOMONTH(A370,0))</f>
        <v/>
      </c>
      <c r="C370" s="24" t="n"/>
      <c r="D370" s="24" t="n"/>
      <c r="E370" s="24" t="n"/>
      <c r="F370" s="25">
        <f>IF(E370="","",IF(COUNTIF(lst_Jobs,E370&amp;"")&gt;0,"OK","CHECK"))</f>
        <v/>
      </c>
      <c r="G370" s="24" t="n"/>
      <c r="H370" s="24" t="n"/>
      <c r="I370" s="24" t="n"/>
      <c r="J370" s="24" t="n"/>
      <c r="K370" s="24" t="n"/>
      <c r="L370" s="26" t="n"/>
      <c r="M370" s="27">
        <f>IF(L370="","",IF(K370="GST 10%",ROUND(L370*set_GSTRate,2),0))</f>
        <v/>
      </c>
      <c r="N370" s="27">
        <f>IF(L370="","",L370+M370)</f>
        <v/>
      </c>
      <c r="O370" s="24" t="n"/>
      <c r="P370" s="24" t="n"/>
      <c r="Q370" s="24" t="n"/>
      <c r="R370" s="22" t="n"/>
      <c r="S370" s="22" t="n"/>
      <c r="T370" s="24" t="n"/>
      <c r="U370" s="24" t="n"/>
      <c r="V370" s="25">
        <f>IF(COUNTA(A370,D370,C370,L370)=0,"",IF(A370="","No date - sits outside every month",IF(E370="","No job number",IF(F370="CHECK","Job number is not in the Xero job list",IF(I370="","No cost centre",IF(AND(P370="Y",C370=""),"Marked posted to Xero but has no invoice number",IF(AND(L370&lt;&gt;"",K370=""),"No tax code",IF(AND(L370&lt;&gt;"",O370=""),"No revenue GL code",""))))))))</f>
        <v/>
      </c>
      <c r="W370" s="25">
        <f>IF(E370="","",IFERROR(INDEX(lst_JobName,MATCH(E370&amp;"",lst_Jobs,0)),""))</f>
        <v/>
      </c>
      <c r="X370" s="28">
        <f>IF(E370="","",COUNTIFS(tbl_Finance[Job Number],E370&amp;"",tbl_Finance[Ex GST],"&lt;&gt;"))</f>
        <v/>
      </c>
      <c r="Y370" s="27">
        <f>IF(E370="","",SUMIFS(tbl_Finance[Ex GST],tbl_Finance[Job Number],E370&amp;""))</f>
        <v/>
      </c>
      <c r="Z370" s="27">
        <f>IF(E370="","",SUMIFS(tbl_Finance[Ex GST],tbl_Finance[Job Number],E370&amp;"",tbl_Finance[Xero Invoice No],"&lt;&gt;"))</f>
        <v/>
      </c>
      <c r="AA370" s="27">
        <f>IF(E370="","",Y370-Z370)</f>
        <v/>
      </c>
      <c r="AB370" s="25">
        <f>IF(E370="","",IF(H370="Onsite",IFERROR(INDEX(tbl_Onsite[Qwilr Quote],MATCH(E370&amp;"",tbl_Onsite[Job Number],0)),""),IF(H370="Production",IFERROR(IF(INDEX(tbl_Production[Current RMS No],MATCH(E370&amp;"",tbl_Production[Job Number],0))="",INDEX(tbl_Production[Qwilr Quote],MATCH(E370&amp;"",tbl_Production[Job Number],0)),INDEX(tbl_Production[Current RMS No],MATCH(E370&amp;"",tbl_Production[Job Number],0))),""),IF(H370="Consulting",IFERROR(INDEX(tbl_Consulting[Qwilr Quote],MATCH(E370&amp;"",tbl_Consulting[Job Number],0)),""),""))))</f>
        <v/>
      </c>
      <c r="AC370" s="25">
        <f>IF(AB370="","",IF(AND(LEFT(AB370,4)&lt;&gt;"http",IF(H370="Production",set_RMSBase,set_QwilrBase)=""),"",HYPERLINK(IF(LEFT(AB370,4)="http",AB370,IF(H370="Production",set_RMSBase,set_QwilrBase)&amp;AB370),"Open")))</f>
        <v/>
      </c>
      <c r="AD370" s="27">
        <f>IF(E370="","",IF(H370="Production",IFERROR(INDEX(tbl_Production[Total Expense],MATCH(E370&amp;"",tbl_Production[Job Number],0)),0),IF(H370="Consulting",IFERROR(INDEX(tbl_Consulting[Total Expense],MATCH(E370&amp;"",tbl_Consulting[Job Number],0)),0),0)))</f>
        <v/>
      </c>
      <c r="AE370" s="27">
        <f>IF(E370="","",Y370-N(AD370))</f>
        <v/>
      </c>
      <c r="AF370" s="29">
        <f>IFERROR(AE370/Y370,"")</f>
        <v/>
      </c>
      <c r="AG370" s="25">
        <f>IF(E370="","",IF(H370="Onsite",IFERROR(INDEX(tbl_Onsite[Notes],MATCH(E370&amp;"",tbl_Onsite[Job Number],0)),""),IF(H370="Production",IFERROR(INDEX(tbl_Production[Notes],MATCH(E370&amp;"",tbl_Production[Job Number],0)),""),IF(H370="Consulting",IFERROR(INDEX(tbl_Consulting[Notes],MATCH(E370&amp;"",tbl_Consulting[Job Number],0)),""),""))))</f>
        <v/>
      </c>
    </row>
    <row r="371" ht="15" customHeight="1">
      <c r="A371" s="22" t="n"/>
      <c r="B371" s="23">
        <f>IF(A371="","",EOMONTH(A371,0))</f>
        <v/>
      </c>
      <c r="C371" s="24" t="n"/>
      <c r="D371" s="24" t="n"/>
      <c r="E371" s="24" t="n"/>
      <c r="F371" s="25">
        <f>IF(E371="","",IF(COUNTIF(lst_Jobs,E371&amp;"")&gt;0,"OK","CHECK"))</f>
        <v/>
      </c>
      <c r="G371" s="24" t="n"/>
      <c r="H371" s="24" t="n"/>
      <c r="I371" s="24" t="n"/>
      <c r="J371" s="24" t="n"/>
      <c r="K371" s="24" t="n"/>
      <c r="L371" s="26" t="n"/>
      <c r="M371" s="27">
        <f>IF(L371="","",IF(K371="GST 10%",ROUND(L371*set_GSTRate,2),0))</f>
        <v/>
      </c>
      <c r="N371" s="27">
        <f>IF(L371="","",L371+M371)</f>
        <v/>
      </c>
      <c r="O371" s="24" t="n"/>
      <c r="P371" s="24" t="n"/>
      <c r="Q371" s="24" t="n"/>
      <c r="R371" s="22" t="n"/>
      <c r="S371" s="22" t="n"/>
      <c r="T371" s="24" t="n"/>
      <c r="U371" s="24" t="n"/>
      <c r="V371" s="25">
        <f>IF(COUNTA(A371,D371,C371,L371)=0,"",IF(A371="","No date - sits outside every month",IF(E371="","No job number",IF(F371="CHECK","Job number is not in the Xero job list",IF(I371="","No cost centre",IF(AND(P371="Y",C371=""),"Marked posted to Xero but has no invoice number",IF(AND(L371&lt;&gt;"",K371=""),"No tax code",IF(AND(L371&lt;&gt;"",O371=""),"No revenue GL code",""))))))))</f>
        <v/>
      </c>
      <c r="W371" s="25">
        <f>IF(E371="","",IFERROR(INDEX(lst_JobName,MATCH(E371&amp;"",lst_Jobs,0)),""))</f>
        <v/>
      </c>
      <c r="X371" s="28">
        <f>IF(E371="","",COUNTIFS(tbl_Finance[Job Number],E371&amp;"",tbl_Finance[Ex GST],"&lt;&gt;"))</f>
        <v/>
      </c>
      <c r="Y371" s="27">
        <f>IF(E371="","",SUMIFS(tbl_Finance[Ex GST],tbl_Finance[Job Number],E371&amp;""))</f>
        <v/>
      </c>
      <c r="Z371" s="27">
        <f>IF(E371="","",SUMIFS(tbl_Finance[Ex GST],tbl_Finance[Job Number],E371&amp;"",tbl_Finance[Xero Invoice No],"&lt;&gt;"))</f>
        <v/>
      </c>
      <c r="AA371" s="27">
        <f>IF(E371="","",Y371-Z371)</f>
        <v/>
      </c>
      <c r="AB371" s="25">
        <f>IF(E371="","",IF(H371="Onsite",IFERROR(INDEX(tbl_Onsite[Qwilr Quote],MATCH(E371&amp;"",tbl_Onsite[Job Number],0)),""),IF(H371="Production",IFERROR(IF(INDEX(tbl_Production[Current RMS No],MATCH(E371&amp;"",tbl_Production[Job Number],0))="",INDEX(tbl_Production[Qwilr Quote],MATCH(E371&amp;"",tbl_Production[Job Number],0)),INDEX(tbl_Production[Current RMS No],MATCH(E371&amp;"",tbl_Production[Job Number],0))),""),IF(H371="Consulting",IFERROR(INDEX(tbl_Consulting[Qwilr Quote],MATCH(E371&amp;"",tbl_Consulting[Job Number],0)),""),""))))</f>
        <v/>
      </c>
      <c r="AC371" s="25">
        <f>IF(AB371="","",IF(AND(LEFT(AB371,4)&lt;&gt;"http",IF(H371="Production",set_RMSBase,set_QwilrBase)=""),"",HYPERLINK(IF(LEFT(AB371,4)="http",AB371,IF(H371="Production",set_RMSBase,set_QwilrBase)&amp;AB371),"Open")))</f>
        <v/>
      </c>
      <c r="AD371" s="27">
        <f>IF(E371="","",IF(H371="Production",IFERROR(INDEX(tbl_Production[Total Expense],MATCH(E371&amp;"",tbl_Production[Job Number],0)),0),IF(H371="Consulting",IFERROR(INDEX(tbl_Consulting[Total Expense],MATCH(E371&amp;"",tbl_Consulting[Job Number],0)),0),0)))</f>
        <v/>
      </c>
      <c r="AE371" s="27">
        <f>IF(E371="","",Y371-N(AD371))</f>
        <v/>
      </c>
      <c r="AF371" s="29">
        <f>IFERROR(AE371/Y371,"")</f>
        <v/>
      </c>
      <c r="AG371" s="25">
        <f>IF(E371="","",IF(H371="Onsite",IFERROR(INDEX(tbl_Onsite[Notes],MATCH(E371&amp;"",tbl_Onsite[Job Number],0)),""),IF(H371="Production",IFERROR(INDEX(tbl_Production[Notes],MATCH(E371&amp;"",tbl_Production[Job Number],0)),""),IF(H371="Consulting",IFERROR(INDEX(tbl_Consulting[Notes],MATCH(E371&amp;"",tbl_Consulting[Job Number],0)),""),""))))</f>
        <v/>
      </c>
    </row>
    <row r="372" ht="15" customHeight="1">
      <c r="A372" s="22" t="n"/>
      <c r="B372" s="23">
        <f>IF(A372="","",EOMONTH(A372,0))</f>
        <v/>
      </c>
      <c r="C372" s="24" t="n"/>
      <c r="D372" s="24" t="n"/>
      <c r="E372" s="24" t="n"/>
      <c r="F372" s="25">
        <f>IF(E372="","",IF(COUNTIF(lst_Jobs,E372&amp;"")&gt;0,"OK","CHECK"))</f>
        <v/>
      </c>
      <c r="G372" s="24" t="n"/>
      <c r="H372" s="24" t="n"/>
      <c r="I372" s="24" t="n"/>
      <c r="J372" s="24" t="n"/>
      <c r="K372" s="24" t="n"/>
      <c r="L372" s="26" t="n"/>
      <c r="M372" s="27">
        <f>IF(L372="","",IF(K372="GST 10%",ROUND(L372*set_GSTRate,2),0))</f>
        <v/>
      </c>
      <c r="N372" s="27">
        <f>IF(L372="","",L372+M372)</f>
        <v/>
      </c>
      <c r="O372" s="24" t="n"/>
      <c r="P372" s="24" t="n"/>
      <c r="Q372" s="24" t="n"/>
      <c r="R372" s="22" t="n"/>
      <c r="S372" s="22" t="n"/>
      <c r="T372" s="24" t="n"/>
      <c r="U372" s="24" t="n"/>
      <c r="V372" s="25">
        <f>IF(COUNTA(A372,D372,C372,L372)=0,"",IF(A372="","No date - sits outside every month",IF(E372="","No job number",IF(F372="CHECK","Job number is not in the Xero job list",IF(I372="","No cost centre",IF(AND(P372="Y",C372=""),"Marked posted to Xero but has no invoice number",IF(AND(L372&lt;&gt;"",K372=""),"No tax code",IF(AND(L372&lt;&gt;"",O372=""),"No revenue GL code",""))))))))</f>
        <v/>
      </c>
      <c r="W372" s="25">
        <f>IF(E372="","",IFERROR(INDEX(lst_JobName,MATCH(E372&amp;"",lst_Jobs,0)),""))</f>
        <v/>
      </c>
      <c r="X372" s="28">
        <f>IF(E372="","",COUNTIFS(tbl_Finance[Job Number],E372&amp;"",tbl_Finance[Ex GST],"&lt;&gt;"))</f>
        <v/>
      </c>
      <c r="Y372" s="27">
        <f>IF(E372="","",SUMIFS(tbl_Finance[Ex GST],tbl_Finance[Job Number],E372&amp;""))</f>
        <v/>
      </c>
      <c r="Z372" s="27">
        <f>IF(E372="","",SUMIFS(tbl_Finance[Ex GST],tbl_Finance[Job Number],E372&amp;"",tbl_Finance[Xero Invoice No],"&lt;&gt;"))</f>
        <v/>
      </c>
      <c r="AA372" s="27">
        <f>IF(E372="","",Y372-Z372)</f>
        <v/>
      </c>
      <c r="AB372" s="25">
        <f>IF(E372="","",IF(H372="Onsite",IFERROR(INDEX(tbl_Onsite[Qwilr Quote],MATCH(E372&amp;"",tbl_Onsite[Job Number],0)),""),IF(H372="Production",IFERROR(IF(INDEX(tbl_Production[Current RMS No],MATCH(E372&amp;"",tbl_Production[Job Number],0))="",INDEX(tbl_Production[Qwilr Quote],MATCH(E372&amp;"",tbl_Production[Job Number],0)),INDEX(tbl_Production[Current RMS No],MATCH(E372&amp;"",tbl_Production[Job Number],0))),""),IF(H372="Consulting",IFERROR(INDEX(tbl_Consulting[Qwilr Quote],MATCH(E372&amp;"",tbl_Consulting[Job Number],0)),""),""))))</f>
        <v/>
      </c>
      <c r="AC372" s="25">
        <f>IF(AB372="","",IF(AND(LEFT(AB372,4)&lt;&gt;"http",IF(H372="Production",set_RMSBase,set_QwilrBase)=""),"",HYPERLINK(IF(LEFT(AB372,4)="http",AB372,IF(H372="Production",set_RMSBase,set_QwilrBase)&amp;AB372),"Open")))</f>
        <v/>
      </c>
      <c r="AD372" s="27">
        <f>IF(E372="","",IF(H372="Production",IFERROR(INDEX(tbl_Production[Total Expense],MATCH(E372&amp;"",tbl_Production[Job Number],0)),0),IF(H372="Consulting",IFERROR(INDEX(tbl_Consulting[Total Expense],MATCH(E372&amp;"",tbl_Consulting[Job Number],0)),0),0)))</f>
        <v/>
      </c>
      <c r="AE372" s="27">
        <f>IF(E372="","",Y372-N(AD372))</f>
        <v/>
      </c>
      <c r="AF372" s="29">
        <f>IFERROR(AE372/Y372,"")</f>
        <v/>
      </c>
      <c r="AG372" s="25">
        <f>IF(E372="","",IF(H372="Onsite",IFERROR(INDEX(tbl_Onsite[Notes],MATCH(E372&amp;"",tbl_Onsite[Job Number],0)),""),IF(H372="Production",IFERROR(INDEX(tbl_Production[Notes],MATCH(E372&amp;"",tbl_Production[Job Number],0)),""),IF(H372="Consulting",IFERROR(INDEX(tbl_Consulting[Notes],MATCH(E372&amp;"",tbl_Consulting[Job Number],0)),""),""))))</f>
        <v/>
      </c>
    </row>
    <row r="373" ht="15" customHeight="1">
      <c r="A373" s="22" t="n"/>
      <c r="B373" s="23">
        <f>IF(A373="","",EOMONTH(A373,0))</f>
        <v/>
      </c>
      <c r="C373" s="24" t="n"/>
      <c r="D373" s="24" t="n"/>
      <c r="E373" s="24" t="n"/>
      <c r="F373" s="25">
        <f>IF(E373="","",IF(COUNTIF(lst_Jobs,E373&amp;"")&gt;0,"OK","CHECK"))</f>
        <v/>
      </c>
      <c r="G373" s="24" t="n"/>
      <c r="H373" s="24" t="n"/>
      <c r="I373" s="24" t="n"/>
      <c r="J373" s="24" t="n"/>
      <c r="K373" s="24" t="n"/>
      <c r="L373" s="26" t="n"/>
      <c r="M373" s="27">
        <f>IF(L373="","",IF(K373="GST 10%",ROUND(L373*set_GSTRate,2),0))</f>
        <v/>
      </c>
      <c r="N373" s="27">
        <f>IF(L373="","",L373+M373)</f>
        <v/>
      </c>
      <c r="O373" s="24" t="n"/>
      <c r="P373" s="24" t="n"/>
      <c r="Q373" s="24" t="n"/>
      <c r="R373" s="22" t="n"/>
      <c r="S373" s="22" t="n"/>
      <c r="T373" s="24" t="n"/>
      <c r="U373" s="24" t="n"/>
      <c r="V373" s="25">
        <f>IF(COUNTA(A373,D373,C373,L373)=0,"",IF(A373="","No date - sits outside every month",IF(E373="","No job number",IF(F373="CHECK","Job number is not in the Xero job list",IF(I373="","No cost centre",IF(AND(P373="Y",C373=""),"Marked posted to Xero but has no invoice number",IF(AND(L373&lt;&gt;"",K373=""),"No tax code",IF(AND(L373&lt;&gt;"",O373=""),"No revenue GL code",""))))))))</f>
        <v/>
      </c>
      <c r="W373" s="25">
        <f>IF(E373="","",IFERROR(INDEX(lst_JobName,MATCH(E373&amp;"",lst_Jobs,0)),""))</f>
        <v/>
      </c>
      <c r="X373" s="28">
        <f>IF(E373="","",COUNTIFS(tbl_Finance[Job Number],E373&amp;"",tbl_Finance[Ex GST],"&lt;&gt;"))</f>
        <v/>
      </c>
      <c r="Y373" s="27">
        <f>IF(E373="","",SUMIFS(tbl_Finance[Ex GST],tbl_Finance[Job Number],E373&amp;""))</f>
        <v/>
      </c>
      <c r="Z373" s="27">
        <f>IF(E373="","",SUMIFS(tbl_Finance[Ex GST],tbl_Finance[Job Number],E373&amp;"",tbl_Finance[Xero Invoice No],"&lt;&gt;"))</f>
        <v/>
      </c>
      <c r="AA373" s="27">
        <f>IF(E373="","",Y373-Z373)</f>
        <v/>
      </c>
      <c r="AB373" s="25">
        <f>IF(E373="","",IF(H373="Onsite",IFERROR(INDEX(tbl_Onsite[Qwilr Quote],MATCH(E373&amp;"",tbl_Onsite[Job Number],0)),""),IF(H373="Production",IFERROR(IF(INDEX(tbl_Production[Current RMS No],MATCH(E373&amp;"",tbl_Production[Job Number],0))="",INDEX(tbl_Production[Qwilr Quote],MATCH(E373&amp;"",tbl_Production[Job Number],0)),INDEX(tbl_Production[Current RMS No],MATCH(E373&amp;"",tbl_Production[Job Number],0))),""),IF(H373="Consulting",IFERROR(INDEX(tbl_Consulting[Qwilr Quote],MATCH(E373&amp;"",tbl_Consulting[Job Number],0)),""),""))))</f>
        <v/>
      </c>
      <c r="AC373" s="25">
        <f>IF(AB373="","",IF(AND(LEFT(AB373,4)&lt;&gt;"http",IF(H373="Production",set_RMSBase,set_QwilrBase)=""),"",HYPERLINK(IF(LEFT(AB373,4)="http",AB373,IF(H373="Production",set_RMSBase,set_QwilrBase)&amp;AB373),"Open")))</f>
        <v/>
      </c>
      <c r="AD373" s="27">
        <f>IF(E373="","",IF(H373="Production",IFERROR(INDEX(tbl_Production[Total Expense],MATCH(E373&amp;"",tbl_Production[Job Number],0)),0),IF(H373="Consulting",IFERROR(INDEX(tbl_Consulting[Total Expense],MATCH(E373&amp;"",tbl_Consulting[Job Number],0)),0),0)))</f>
        <v/>
      </c>
      <c r="AE373" s="27">
        <f>IF(E373="","",Y373-N(AD373))</f>
        <v/>
      </c>
      <c r="AF373" s="29">
        <f>IFERROR(AE373/Y373,"")</f>
        <v/>
      </c>
      <c r="AG373" s="25">
        <f>IF(E373="","",IF(H373="Onsite",IFERROR(INDEX(tbl_Onsite[Notes],MATCH(E373&amp;"",tbl_Onsite[Job Number],0)),""),IF(H373="Production",IFERROR(INDEX(tbl_Production[Notes],MATCH(E373&amp;"",tbl_Production[Job Number],0)),""),IF(H373="Consulting",IFERROR(INDEX(tbl_Consulting[Notes],MATCH(E373&amp;"",tbl_Consulting[Job Number],0)),""),""))))</f>
        <v/>
      </c>
    </row>
    <row r="374" ht="15" customHeight="1">
      <c r="A374" s="22" t="n"/>
      <c r="B374" s="23">
        <f>IF(A374="","",EOMONTH(A374,0))</f>
        <v/>
      </c>
      <c r="C374" s="24" t="n"/>
      <c r="D374" s="24" t="n"/>
      <c r="E374" s="24" t="n"/>
      <c r="F374" s="25">
        <f>IF(E374="","",IF(COUNTIF(lst_Jobs,E374&amp;"")&gt;0,"OK","CHECK"))</f>
        <v/>
      </c>
      <c r="G374" s="24" t="n"/>
      <c r="H374" s="24" t="n"/>
      <c r="I374" s="24" t="n"/>
      <c r="J374" s="24" t="n"/>
      <c r="K374" s="24" t="n"/>
      <c r="L374" s="26" t="n"/>
      <c r="M374" s="27">
        <f>IF(L374="","",IF(K374="GST 10%",ROUND(L374*set_GSTRate,2),0))</f>
        <v/>
      </c>
      <c r="N374" s="27">
        <f>IF(L374="","",L374+M374)</f>
        <v/>
      </c>
      <c r="O374" s="24" t="n"/>
      <c r="P374" s="24" t="n"/>
      <c r="Q374" s="24" t="n"/>
      <c r="R374" s="22" t="n"/>
      <c r="S374" s="22" t="n"/>
      <c r="T374" s="24" t="n"/>
      <c r="U374" s="24" t="n"/>
      <c r="V374" s="25">
        <f>IF(COUNTA(A374,D374,C374,L374)=0,"",IF(A374="","No date - sits outside every month",IF(E374="","No job number",IF(F374="CHECK","Job number is not in the Xero job list",IF(I374="","No cost centre",IF(AND(P374="Y",C374=""),"Marked posted to Xero but has no invoice number",IF(AND(L374&lt;&gt;"",K374=""),"No tax code",IF(AND(L374&lt;&gt;"",O374=""),"No revenue GL code",""))))))))</f>
        <v/>
      </c>
      <c r="W374" s="25">
        <f>IF(E374="","",IFERROR(INDEX(lst_JobName,MATCH(E374&amp;"",lst_Jobs,0)),""))</f>
        <v/>
      </c>
      <c r="X374" s="28">
        <f>IF(E374="","",COUNTIFS(tbl_Finance[Job Number],E374&amp;"",tbl_Finance[Ex GST],"&lt;&gt;"))</f>
        <v/>
      </c>
      <c r="Y374" s="27">
        <f>IF(E374="","",SUMIFS(tbl_Finance[Ex GST],tbl_Finance[Job Number],E374&amp;""))</f>
        <v/>
      </c>
      <c r="Z374" s="27">
        <f>IF(E374="","",SUMIFS(tbl_Finance[Ex GST],tbl_Finance[Job Number],E374&amp;"",tbl_Finance[Xero Invoice No],"&lt;&gt;"))</f>
        <v/>
      </c>
      <c r="AA374" s="27">
        <f>IF(E374="","",Y374-Z374)</f>
        <v/>
      </c>
      <c r="AB374" s="25">
        <f>IF(E374="","",IF(H374="Onsite",IFERROR(INDEX(tbl_Onsite[Qwilr Quote],MATCH(E374&amp;"",tbl_Onsite[Job Number],0)),""),IF(H374="Production",IFERROR(IF(INDEX(tbl_Production[Current RMS No],MATCH(E374&amp;"",tbl_Production[Job Number],0))="",INDEX(tbl_Production[Qwilr Quote],MATCH(E374&amp;"",tbl_Production[Job Number],0)),INDEX(tbl_Production[Current RMS No],MATCH(E374&amp;"",tbl_Production[Job Number],0))),""),IF(H374="Consulting",IFERROR(INDEX(tbl_Consulting[Qwilr Quote],MATCH(E374&amp;"",tbl_Consulting[Job Number],0)),""),""))))</f>
        <v/>
      </c>
      <c r="AC374" s="25">
        <f>IF(AB374="","",IF(AND(LEFT(AB374,4)&lt;&gt;"http",IF(H374="Production",set_RMSBase,set_QwilrBase)=""),"",HYPERLINK(IF(LEFT(AB374,4)="http",AB374,IF(H374="Production",set_RMSBase,set_QwilrBase)&amp;AB374),"Open")))</f>
        <v/>
      </c>
      <c r="AD374" s="27">
        <f>IF(E374="","",IF(H374="Production",IFERROR(INDEX(tbl_Production[Total Expense],MATCH(E374&amp;"",tbl_Production[Job Number],0)),0),IF(H374="Consulting",IFERROR(INDEX(tbl_Consulting[Total Expense],MATCH(E374&amp;"",tbl_Consulting[Job Number],0)),0),0)))</f>
        <v/>
      </c>
      <c r="AE374" s="27">
        <f>IF(E374="","",Y374-N(AD374))</f>
        <v/>
      </c>
      <c r="AF374" s="29">
        <f>IFERROR(AE374/Y374,"")</f>
        <v/>
      </c>
      <c r="AG374" s="25">
        <f>IF(E374="","",IF(H374="Onsite",IFERROR(INDEX(tbl_Onsite[Notes],MATCH(E374&amp;"",tbl_Onsite[Job Number],0)),""),IF(H374="Production",IFERROR(INDEX(tbl_Production[Notes],MATCH(E374&amp;"",tbl_Production[Job Number],0)),""),IF(H374="Consulting",IFERROR(INDEX(tbl_Consulting[Notes],MATCH(E374&amp;"",tbl_Consulting[Job Number],0)),""),""))))</f>
        <v/>
      </c>
    </row>
    <row r="375" ht="15" customHeight="1">
      <c r="A375" s="22" t="n"/>
      <c r="B375" s="23">
        <f>IF(A375="","",EOMONTH(A375,0))</f>
        <v/>
      </c>
      <c r="C375" s="24" t="n"/>
      <c r="D375" s="24" t="n"/>
      <c r="E375" s="24" t="n"/>
      <c r="F375" s="25">
        <f>IF(E375="","",IF(COUNTIF(lst_Jobs,E375&amp;"")&gt;0,"OK","CHECK"))</f>
        <v/>
      </c>
      <c r="G375" s="24" t="n"/>
      <c r="H375" s="24" t="n"/>
      <c r="I375" s="24" t="n"/>
      <c r="J375" s="24" t="n"/>
      <c r="K375" s="24" t="n"/>
      <c r="L375" s="26" t="n"/>
      <c r="M375" s="27">
        <f>IF(L375="","",IF(K375="GST 10%",ROUND(L375*set_GSTRate,2),0))</f>
        <v/>
      </c>
      <c r="N375" s="27">
        <f>IF(L375="","",L375+M375)</f>
        <v/>
      </c>
      <c r="O375" s="24" t="n"/>
      <c r="P375" s="24" t="n"/>
      <c r="Q375" s="24" t="n"/>
      <c r="R375" s="22" t="n"/>
      <c r="S375" s="22" t="n"/>
      <c r="T375" s="24" t="n"/>
      <c r="U375" s="24" t="n"/>
      <c r="V375" s="25">
        <f>IF(COUNTA(A375,D375,C375,L375)=0,"",IF(A375="","No date - sits outside every month",IF(E375="","No job number",IF(F375="CHECK","Job number is not in the Xero job list",IF(I375="","No cost centre",IF(AND(P375="Y",C375=""),"Marked posted to Xero but has no invoice number",IF(AND(L375&lt;&gt;"",K375=""),"No tax code",IF(AND(L375&lt;&gt;"",O375=""),"No revenue GL code",""))))))))</f>
        <v/>
      </c>
      <c r="W375" s="25">
        <f>IF(E375="","",IFERROR(INDEX(lst_JobName,MATCH(E375&amp;"",lst_Jobs,0)),""))</f>
        <v/>
      </c>
      <c r="X375" s="28">
        <f>IF(E375="","",COUNTIFS(tbl_Finance[Job Number],E375&amp;"",tbl_Finance[Ex GST],"&lt;&gt;"))</f>
        <v/>
      </c>
      <c r="Y375" s="27">
        <f>IF(E375="","",SUMIFS(tbl_Finance[Ex GST],tbl_Finance[Job Number],E375&amp;""))</f>
        <v/>
      </c>
      <c r="Z375" s="27">
        <f>IF(E375="","",SUMIFS(tbl_Finance[Ex GST],tbl_Finance[Job Number],E375&amp;"",tbl_Finance[Xero Invoice No],"&lt;&gt;"))</f>
        <v/>
      </c>
      <c r="AA375" s="27">
        <f>IF(E375="","",Y375-Z375)</f>
        <v/>
      </c>
      <c r="AB375" s="25">
        <f>IF(E375="","",IF(H375="Onsite",IFERROR(INDEX(tbl_Onsite[Qwilr Quote],MATCH(E375&amp;"",tbl_Onsite[Job Number],0)),""),IF(H375="Production",IFERROR(IF(INDEX(tbl_Production[Current RMS No],MATCH(E375&amp;"",tbl_Production[Job Number],0))="",INDEX(tbl_Production[Qwilr Quote],MATCH(E375&amp;"",tbl_Production[Job Number],0)),INDEX(tbl_Production[Current RMS No],MATCH(E375&amp;"",tbl_Production[Job Number],0))),""),IF(H375="Consulting",IFERROR(INDEX(tbl_Consulting[Qwilr Quote],MATCH(E375&amp;"",tbl_Consulting[Job Number],0)),""),""))))</f>
        <v/>
      </c>
      <c r="AC375" s="25">
        <f>IF(AB375="","",IF(AND(LEFT(AB375,4)&lt;&gt;"http",IF(H375="Production",set_RMSBase,set_QwilrBase)=""),"",HYPERLINK(IF(LEFT(AB375,4)="http",AB375,IF(H375="Production",set_RMSBase,set_QwilrBase)&amp;AB375),"Open")))</f>
        <v/>
      </c>
      <c r="AD375" s="27">
        <f>IF(E375="","",IF(H375="Production",IFERROR(INDEX(tbl_Production[Total Expense],MATCH(E375&amp;"",tbl_Production[Job Number],0)),0),IF(H375="Consulting",IFERROR(INDEX(tbl_Consulting[Total Expense],MATCH(E375&amp;"",tbl_Consulting[Job Number],0)),0),0)))</f>
        <v/>
      </c>
      <c r="AE375" s="27">
        <f>IF(E375="","",Y375-N(AD375))</f>
        <v/>
      </c>
      <c r="AF375" s="29">
        <f>IFERROR(AE375/Y375,"")</f>
        <v/>
      </c>
      <c r="AG375" s="25">
        <f>IF(E375="","",IF(H375="Onsite",IFERROR(INDEX(tbl_Onsite[Notes],MATCH(E375&amp;"",tbl_Onsite[Job Number],0)),""),IF(H375="Production",IFERROR(INDEX(tbl_Production[Notes],MATCH(E375&amp;"",tbl_Production[Job Number],0)),""),IF(H375="Consulting",IFERROR(INDEX(tbl_Consulting[Notes],MATCH(E375&amp;"",tbl_Consulting[Job Number],0)),""),""))))</f>
        <v/>
      </c>
    </row>
    <row r="376" ht="15" customHeight="1">
      <c r="A376" s="22" t="n"/>
      <c r="B376" s="23">
        <f>IF(A376="","",EOMONTH(A376,0))</f>
        <v/>
      </c>
      <c r="C376" s="24" t="n"/>
      <c r="D376" s="24" t="n"/>
      <c r="E376" s="24" t="n"/>
      <c r="F376" s="25">
        <f>IF(E376="","",IF(COUNTIF(lst_Jobs,E376&amp;"")&gt;0,"OK","CHECK"))</f>
        <v/>
      </c>
      <c r="G376" s="24" t="n"/>
      <c r="H376" s="24" t="n"/>
      <c r="I376" s="24" t="n"/>
      <c r="J376" s="24" t="n"/>
      <c r="K376" s="24" t="n"/>
      <c r="L376" s="26" t="n"/>
      <c r="M376" s="27">
        <f>IF(L376="","",IF(K376="GST 10%",ROUND(L376*set_GSTRate,2),0))</f>
        <v/>
      </c>
      <c r="N376" s="27">
        <f>IF(L376="","",L376+M376)</f>
        <v/>
      </c>
      <c r="O376" s="24" t="n"/>
      <c r="P376" s="24" t="n"/>
      <c r="Q376" s="24" t="n"/>
      <c r="R376" s="22" t="n"/>
      <c r="S376" s="22" t="n"/>
      <c r="T376" s="24" t="n"/>
      <c r="U376" s="24" t="n"/>
      <c r="V376" s="25">
        <f>IF(COUNTA(A376,D376,C376,L376)=0,"",IF(A376="","No date - sits outside every month",IF(E376="","No job number",IF(F376="CHECK","Job number is not in the Xero job list",IF(I376="","No cost centre",IF(AND(P376="Y",C376=""),"Marked posted to Xero but has no invoice number",IF(AND(L376&lt;&gt;"",K376=""),"No tax code",IF(AND(L376&lt;&gt;"",O376=""),"No revenue GL code",""))))))))</f>
        <v/>
      </c>
      <c r="W376" s="25">
        <f>IF(E376="","",IFERROR(INDEX(lst_JobName,MATCH(E376&amp;"",lst_Jobs,0)),""))</f>
        <v/>
      </c>
      <c r="X376" s="28">
        <f>IF(E376="","",COUNTIFS(tbl_Finance[Job Number],E376&amp;"",tbl_Finance[Ex GST],"&lt;&gt;"))</f>
        <v/>
      </c>
      <c r="Y376" s="27">
        <f>IF(E376="","",SUMIFS(tbl_Finance[Ex GST],tbl_Finance[Job Number],E376&amp;""))</f>
        <v/>
      </c>
      <c r="Z376" s="27">
        <f>IF(E376="","",SUMIFS(tbl_Finance[Ex GST],tbl_Finance[Job Number],E376&amp;"",tbl_Finance[Xero Invoice No],"&lt;&gt;"))</f>
        <v/>
      </c>
      <c r="AA376" s="27">
        <f>IF(E376="","",Y376-Z376)</f>
        <v/>
      </c>
      <c r="AB376" s="25">
        <f>IF(E376="","",IF(H376="Onsite",IFERROR(INDEX(tbl_Onsite[Qwilr Quote],MATCH(E376&amp;"",tbl_Onsite[Job Number],0)),""),IF(H376="Production",IFERROR(IF(INDEX(tbl_Production[Current RMS No],MATCH(E376&amp;"",tbl_Production[Job Number],0))="",INDEX(tbl_Production[Qwilr Quote],MATCH(E376&amp;"",tbl_Production[Job Number],0)),INDEX(tbl_Production[Current RMS No],MATCH(E376&amp;"",tbl_Production[Job Number],0))),""),IF(H376="Consulting",IFERROR(INDEX(tbl_Consulting[Qwilr Quote],MATCH(E376&amp;"",tbl_Consulting[Job Number],0)),""),""))))</f>
        <v/>
      </c>
      <c r="AC376" s="25">
        <f>IF(AB376="","",IF(AND(LEFT(AB376,4)&lt;&gt;"http",IF(H376="Production",set_RMSBase,set_QwilrBase)=""),"",HYPERLINK(IF(LEFT(AB376,4)="http",AB376,IF(H376="Production",set_RMSBase,set_QwilrBase)&amp;AB376),"Open")))</f>
        <v/>
      </c>
      <c r="AD376" s="27">
        <f>IF(E376="","",IF(H376="Production",IFERROR(INDEX(tbl_Production[Total Expense],MATCH(E376&amp;"",tbl_Production[Job Number],0)),0),IF(H376="Consulting",IFERROR(INDEX(tbl_Consulting[Total Expense],MATCH(E376&amp;"",tbl_Consulting[Job Number],0)),0),0)))</f>
        <v/>
      </c>
      <c r="AE376" s="27">
        <f>IF(E376="","",Y376-N(AD376))</f>
        <v/>
      </c>
      <c r="AF376" s="29">
        <f>IFERROR(AE376/Y376,"")</f>
        <v/>
      </c>
      <c r="AG376" s="25">
        <f>IF(E376="","",IF(H376="Onsite",IFERROR(INDEX(tbl_Onsite[Notes],MATCH(E376&amp;"",tbl_Onsite[Job Number],0)),""),IF(H376="Production",IFERROR(INDEX(tbl_Production[Notes],MATCH(E376&amp;"",tbl_Production[Job Number],0)),""),IF(H376="Consulting",IFERROR(INDEX(tbl_Consulting[Notes],MATCH(E376&amp;"",tbl_Consulting[Job Number],0)),""),""))))</f>
        <v/>
      </c>
    </row>
    <row r="377" ht="15" customHeight="1">
      <c r="A377" s="22" t="n"/>
      <c r="B377" s="23">
        <f>IF(A377="","",EOMONTH(A377,0))</f>
        <v/>
      </c>
      <c r="C377" s="24" t="n"/>
      <c r="D377" s="24" t="n"/>
      <c r="E377" s="24" t="n"/>
      <c r="F377" s="25">
        <f>IF(E377="","",IF(COUNTIF(lst_Jobs,E377&amp;"")&gt;0,"OK","CHECK"))</f>
        <v/>
      </c>
      <c r="G377" s="24" t="n"/>
      <c r="H377" s="24" t="n"/>
      <c r="I377" s="24" t="n"/>
      <c r="J377" s="24" t="n"/>
      <c r="K377" s="24" t="n"/>
      <c r="L377" s="26" t="n"/>
      <c r="M377" s="27">
        <f>IF(L377="","",IF(K377="GST 10%",ROUND(L377*set_GSTRate,2),0))</f>
        <v/>
      </c>
      <c r="N377" s="27">
        <f>IF(L377="","",L377+M377)</f>
        <v/>
      </c>
      <c r="O377" s="24" t="n"/>
      <c r="P377" s="24" t="n"/>
      <c r="Q377" s="24" t="n"/>
      <c r="R377" s="22" t="n"/>
      <c r="S377" s="22" t="n"/>
      <c r="T377" s="24" t="n"/>
      <c r="U377" s="24" t="n"/>
      <c r="V377" s="25">
        <f>IF(COUNTA(A377,D377,C377,L377)=0,"",IF(A377="","No date - sits outside every month",IF(E377="","No job number",IF(F377="CHECK","Job number is not in the Xero job list",IF(I377="","No cost centre",IF(AND(P377="Y",C377=""),"Marked posted to Xero but has no invoice number",IF(AND(L377&lt;&gt;"",K377=""),"No tax code",IF(AND(L377&lt;&gt;"",O377=""),"No revenue GL code",""))))))))</f>
        <v/>
      </c>
      <c r="W377" s="25">
        <f>IF(E377="","",IFERROR(INDEX(lst_JobName,MATCH(E377&amp;"",lst_Jobs,0)),""))</f>
        <v/>
      </c>
      <c r="X377" s="28">
        <f>IF(E377="","",COUNTIFS(tbl_Finance[Job Number],E377&amp;"",tbl_Finance[Ex GST],"&lt;&gt;"))</f>
        <v/>
      </c>
      <c r="Y377" s="27">
        <f>IF(E377="","",SUMIFS(tbl_Finance[Ex GST],tbl_Finance[Job Number],E377&amp;""))</f>
        <v/>
      </c>
      <c r="Z377" s="27">
        <f>IF(E377="","",SUMIFS(tbl_Finance[Ex GST],tbl_Finance[Job Number],E377&amp;"",tbl_Finance[Xero Invoice No],"&lt;&gt;"))</f>
        <v/>
      </c>
      <c r="AA377" s="27">
        <f>IF(E377="","",Y377-Z377)</f>
        <v/>
      </c>
      <c r="AB377" s="25">
        <f>IF(E377="","",IF(H377="Onsite",IFERROR(INDEX(tbl_Onsite[Qwilr Quote],MATCH(E377&amp;"",tbl_Onsite[Job Number],0)),""),IF(H377="Production",IFERROR(IF(INDEX(tbl_Production[Current RMS No],MATCH(E377&amp;"",tbl_Production[Job Number],0))="",INDEX(tbl_Production[Qwilr Quote],MATCH(E377&amp;"",tbl_Production[Job Number],0)),INDEX(tbl_Production[Current RMS No],MATCH(E377&amp;"",tbl_Production[Job Number],0))),""),IF(H377="Consulting",IFERROR(INDEX(tbl_Consulting[Qwilr Quote],MATCH(E377&amp;"",tbl_Consulting[Job Number],0)),""),""))))</f>
        <v/>
      </c>
      <c r="AC377" s="25">
        <f>IF(AB377="","",IF(AND(LEFT(AB377,4)&lt;&gt;"http",IF(H377="Production",set_RMSBase,set_QwilrBase)=""),"",HYPERLINK(IF(LEFT(AB377,4)="http",AB377,IF(H377="Production",set_RMSBase,set_QwilrBase)&amp;AB377),"Open")))</f>
        <v/>
      </c>
      <c r="AD377" s="27">
        <f>IF(E377="","",IF(H377="Production",IFERROR(INDEX(tbl_Production[Total Expense],MATCH(E377&amp;"",tbl_Production[Job Number],0)),0),IF(H377="Consulting",IFERROR(INDEX(tbl_Consulting[Total Expense],MATCH(E377&amp;"",tbl_Consulting[Job Number],0)),0),0)))</f>
        <v/>
      </c>
      <c r="AE377" s="27">
        <f>IF(E377="","",Y377-N(AD377))</f>
        <v/>
      </c>
      <c r="AF377" s="29">
        <f>IFERROR(AE377/Y377,"")</f>
        <v/>
      </c>
      <c r="AG377" s="25">
        <f>IF(E377="","",IF(H377="Onsite",IFERROR(INDEX(tbl_Onsite[Notes],MATCH(E377&amp;"",tbl_Onsite[Job Number],0)),""),IF(H377="Production",IFERROR(INDEX(tbl_Production[Notes],MATCH(E377&amp;"",tbl_Production[Job Number],0)),""),IF(H377="Consulting",IFERROR(INDEX(tbl_Consulting[Notes],MATCH(E377&amp;"",tbl_Consulting[Job Number],0)),""),""))))</f>
        <v/>
      </c>
    </row>
    <row r="378" ht="15" customHeight="1">
      <c r="A378" s="22" t="n"/>
      <c r="B378" s="23">
        <f>IF(A378="","",EOMONTH(A378,0))</f>
        <v/>
      </c>
      <c r="C378" s="24" t="n"/>
      <c r="D378" s="24" t="n"/>
      <c r="E378" s="24" t="n"/>
      <c r="F378" s="25">
        <f>IF(E378="","",IF(COUNTIF(lst_Jobs,E378&amp;"")&gt;0,"OK","CHECK"))</f>
        <v/>
      </c>
      <c r="G378" s="24" t="n"/>
      <c r="H378" s="24" t="n"/>
      <c r="I378" s="24" t="n"/>
      <c r="J378" s="24" t="n"/>
      <c r="K378" s="24" t="n"/>
      <c r="L378" s="26" t="n"/>
      <c r="M378" s="27">
        <f>IF(L378="","",IF(K378="GST 10%",ROUND(L378*set_GSTRate,2),0))</f>
        <v/>
      </c>
      <c r="N378" s="27">
        <f>IF(L378="","",L378+M378)</f>
        <v/>
      </c>
      <c r="O378" s="24" t="n"/>
      <c r="P378" s="24" t="n"/>
      <c r="Q378" s="24" t="n"/>
      <c r="R378" s="22" t="n"/>
      <c r="S378" s="22" t="n"/>
      <c r="T378" s="24" t="n"/>
      <c r="U378" s="24" t="n"/>
      <c r="V378" s="25">
        <f>IF(COUNTA(A378,D378,C378,L378)=0,"",IF(A378="","No date - sits outside every month",IF(E378="","No job number",IF(F378="CHECK","Job number is not in the Xero job list",IF(I378="","No cost centre",IF(AND(P378="Y",C378=""),"Marked posted to Xero but has no invoice number",IF(AND(L378&lt;&gt;"",K378=""),"No tax code",IF(AND(L378&lt;&gt;"",O378=""),"No revenue GL code",""))))))))</f>
        <v/>
      </c>
      <c r="W378" s="25">
        <f>IF(E378="","",IFERROR(INDEX(lst_JobName,MATCH(E378&amp;"",lst_Jobs,0)),""))</f>
        <v/>
      </c>
      <c r="X378" s="28">
        <f>IF(E378="","",COUNTIFS(tbl_Finance[Job Number],E378&amp;"",tbl_Finance[Ex GST],"&lt;&gt;"))</f>
        <v/>
      </c>
      <c r="Y378" s="27">
        <f>IF(E378="","",SUMIFS(tbl_Finance[Ex GST],tbl_Finance[Job Number],E378&amp;""))</f>
        <v/>
      </c>
      <c r="Z378" s="27">
        <f>IF(E378="","",SUMIFS(tbl_Finance[Ex GST],tbl_Finance[Job Number],E378&amp;"",tbl_Finance[Xero Invoice No],"&lt;&gt;"))</f>
        <v/>
      </c>
      <c r="AA378" s="27">
        <f>IF(E378="","",Y378-Z378)</f>
        <v/>
      </c>
      <c r="AB378" s="25">
        <f>IF(E378="","",IF(H378="Onsite",IFERROR(INDEX(tbl_Onsite[Qwilr Quote],MATCH(E378&amp;"",tbl_Onsite[Job Number],0)),""),IF(H378="Production",IFERROR(IF(INDEX(tbl_Production[Current RMS No],MATCH(E378&amp;"",tbl_Production[Job Number],0))="",INDEX(tbl_Production[Qwilr Quote],MATCH(E378&amp;"",tbl_Production[Job Number],0)),INDEX(tbl_Production[Current RMS No],MATCH(E378&amp;"",tbl_Production[Job Number],0))),""),IF(H378="Consulting",IFERROR(INDEX(tbl_Consulting[Qwilr Quote],MATCH(E378&amp;"",tbl_Consulting[Job Number],0)),""),""))))</f>
        <v/>
      </c>
      <c r="AC378" s="25">
        <f>IF(AB378="","",IF(AND(LEFT(AB378,4)&lt;&gt;"http",IF(H378="Production",set_RMSBase,set_QwilrBase)=""),"",HYPERLINK(IF(LEFT(AB378,4)="http",AB378,IF(H378="Production",set_RMSBase,set_QwilrBase)&amp;AB378),"Open")))</f>
        <v/>
      </c>
      <c r="AD378" s="27">
        <f>IF(E378="","",IF(H378="Production",IFERROR(INDEX(tbl_Production[Total Expense],MATCH(E378&amp;"",tbl_Production[Job Number],0)),0),IF(H378="Consulting",IFERROR(INDEX(tbl_Consulting[Total Expense],MATCH(E378&amp;"",tbl_Consulting[Job Number],0)),0),0)))</f>
        <v/>
      </c>
      <c r="AE378" s="27">
        <f>IF(E378="","",Y378-N(AD378))</f>
        <v/>
      </c>
      <c r="AF378" s="29">
        <f>IFERROR(AE378/Y378,"")</f>
        <v/>
      </c>
      <c r="AG378" s="25">
        <f>IF(E378="","",IF(H378="Onsite",IFERROR(INDEX(tbl_Onsite[Notes],MATCH(E378&amp;"",tbl_Onsite[Job Number],0)),""),IF(H378="Production",IFERROR(INDEX(tbl_Production[Notes],MATCH(E378&amp;"",tbl_Production[Job Number],0)),""),IF(H378="Consulting",IFERROR(INDEX(tbl_Consulting[Notes],MATCH(E378&amp;"",tbl_Consulting[Job Number],0)),""),""))))</f>
        <v/>
      </c>
    </row>
    <row r="379" ht="15" customHeight="1">
      <c r="A379" s="22" t="n"/>
      <c r="B379" s="23">
        <f>IF(A379="","",EOMONTH(A379,0))</f>
        <v/>
      </c>
      <c r="C379" s="24" t="n"/>
      <c r="D379" s="24" t="n"/>
      <c r="E379" s="24" t="n"/>
      <c r="F379" s="25">
        <f>IF(E379="","",IF(COUNTIF(lst_Jobs,E379&amp;"")&gt;0,"OK","CHECK"))</f>
        <v/>
      </c>
      <c r="G379" s="24" t="n"/>
      <c r="H379" s="24" t="n"/>
      <c r="I379" s="24" t="n"/>
      <c r="J379" s="24" t="n"/>
      <c r="K379" s="24" t="n"/>
      <c r="L379" s="26" t="n"/>
      <c r="M379" s="27">
        <f>IF(L379="","",IF(K379="GST 10%",ROUND(L379*set_GSTRate,2),0))</f>
        <v/>
      </c>
      <c r="N379" s="27">
        <f>IF(L379="","",L379+M379)</f>
        <v/>
      </c>
      <c r="O379" s="24" t="n"/>
      <c r="P379" s="24" t="n"/>
      <c r="Q379" s="24" t="n"/>
      <c r="R379" s="22" t="n"/>
      <c r="S379" s="22" t="n"/>
      <c r="T379" s="24" t="n"/>
      <c r="U379" s="24" t="n"/>
      <c r="V379" s="25">
        <f>IF(COUNTA(A379,D379,C379,L379)=0,"",IF(A379="","No date - sits outside every month",IF(E379="","No job number",IF(F379="CHECK","Job number is not in the Xero job list",IF(I379="","No cost centre",IF(AND(P379="Y",C379=""),"Marked posted to Xero but has no invoice number",IF(AND(L379&lt;&gt;"",K379=""),"No tax code",IF(AND(L379&lt;&gt;"",O379=""),"No revenue GL code",""))))))))</f>
        <v/>
      </c>
      <c r="W379" s="25">
        <f>IF(E379="","",IFERROR(INDEX(lst_JobName,MATCH(E379&amp;"",lst_Jobs,0)),""))</f>
        <v/>
      </c>
      <c r="X379" s="28">
        <f>IF(E379="","",COUNTIFS(tbl_Finance[Job Number],E379&amp;"",tbl_Finance[Ex GST],"&lt;&gt;"))</f>
        <v/>
      </c>
      <c r="Y379" s="27">
        <f>IF(E379="","",SUMIFS(tbl_Finance[Ex GST],tbl_Finance[Job Number],E379&amp;""))</f>
        <v/>
      </c>
      <c r="Z379" s="27">
        <f>IF(E379="","",SUMIFS(tbl_Finance[Ex GST],tbl_Finance[Job Number],E379&amp;"",tbl_Finance[Xero Invoice No],"&lt;&gt;"))</f>
        <v/>
      </c>
      <c r="AA379" s="27">
        <f>IF(E379="","",Y379-Z379)</f>
        <v/>
      </c>
      <c r="AB379" s="25">
        <f>IF(E379="","",IF(H379="Onsite",IFERROR(INDEX(tbl_Onsite[Qwilr Quote],MATCH(E379&amp;"",tbl_Onsite[Job Number],0)),""),IF(H379="Production",IFERROR(IF(INDEX(tbl_Production[Current RMS No],MATCH(E379&amp;"",tbl_Production[Job Number],0))="",INDEX(tbl_Production[Qwilr Quote],MATCH(E379&amp;"",tbl_Production[Job Number],0)),INDEX(tbl_Production[Current RMS No],MATCH(E379&amp;"",tbl_Production[Job Number],0))),""),IF(H379="Consulting",IFERROR(INDEX(tbl_Consulting[Qwilr Quote],MATCH(E379&amp;"",tbl_Consulting[Job Number],0)),""),""))))</f>
        <v/>
      </c>
      <c r="AC379" s="25">
        <f>IF(AB379="","",IF(AND(LEFT(AB379,4)&lt;&gt;"http",IF(H379="Production",set_RMSBase,set_QwilrBase)=""),"",HYPERLINK(IF(LEFT(AB379,4)="http",AB379,IF(H379="Production",set_RMSBase,set_QwilrBase)&amp;AB379),"Open")))</f>
        <v/>
      </c>
      <c r="AD379" s="27">
        <f>IF(E379="","",IF(H379="Production",IFERROR(INDEX(tbl_Production[Total Expense],MATCH(E379&amp;"",tbl_Production[Job Number],0)),0),IF(H379="Consulting",IFERROR(INDEX(tbl_Consulting[Total Expense],MATCH(E379&amp;"",tbl_Consulting[Job Number],0)),0),0)))</f>
        <v/>
      </c>
      <c r="AE379" s="27">
        <f>IF(E379="","",Y379-N(AD379))</f>
        <v/>
      </c>
      <c r="AF379" s="29">
        <f>IFERROR(AE379/Y379,"")</f>
        <v/>
      </c>
      <c r="AG379" s="25">
        <f>IF(E379="","",IF(H379="Onsite",IFERROR(INDEX(tbl_Onsite[Notes],MATCH(E379&amp;"",tbl_Onsite[Job Number],0)),""),IF(H379="Production",IFERROR(INDEX(tbl_Production[Notes],MATCH(E379&amp;"",tbl_Production[Job Number],0)),""),IF(H379="Consulting",IFERROR(INDEX(tbl_Consulting[Notes],MATCH(E379&amp;"",tbl_Consulting[Job Number],0)),""),""))))</f>
        <v/>
      </c>
    </row>
    <row r="380" ht="15" customHeight="1">
      <c r="A380" s="22" t="n"/>
      <c r="B380" s="23">
        <f>IF(A380="","",EOMONTH(A380,0))</f>
        <v/>
      </c>
      <c r="C380" s="24" t="n"/>
      <c r="D380" s="24" t="n"/>
      <c r="E380" s="24" t="n"/>
      <c r="F380" s="25">
        <f>IF(E380="","",IF(COUNTIF(lst_Jobs,E380&amp;"")&gt;0,"OK","CHECK"))</f>
        <v/>
      </c>
      <c r="G380" s="24" t="n"/>
      <c r="H380" s="24" t="n"/>
      <c r="I380" s="24" t="n"/>
      <c r="J380" s="24" t="n"/>
      <c r="K380" s="24" t="n"/>
      <c r="L380" s="26" t="n"/>
      <c r="M380" s="27">
        <f>IF(L380="","",IF(K380="GST 10%",ROUND(L380*set_GSTRate,2),0))</f>
        <v/>
      </c>
      <c r="N380" s="27">
        <f>IF(L380="","",L380+M380)</f>
        <v/>
      </c>
      <c r="O380" s="24" t="n"/>
      <c r="P380" s="24" t="n"/>
      <c r="Q380" s="24" t="n"/>
      <c r="R380" s="22" t="n"/>
      <c r="S380" s="22" t="n"/>
      <c r="T380" s="24" t="n"/>
      <c r="U380" s="24" t="n"/>
      <c r="V380" s="25">
        <f>IF(COUNTA(A380,D380,C380,L380)=0,"",IF(A380="","No date - sits outside every month",IF(E380="","No job number",IF(F380="CHECK","Job number is not in the Xero job list",IF(I380="","No cost centre",IF(AND(P380="Y",C380=""),"Marked posted to Xero but has no invoice number",IF(AND(L380&lt;&gt;"",K380=""),"No tax code",IF(AND(L380&lt;&gt;"",O380=""),"No revenue GL code",""))))))))</f>
        <v/>
      </c>
      <c r="W380" s="25">
        <f>IF(E380="","",IFERROR(INDEX(lst_JobName,MATCH(E380&amp;"",lst_Jobs,0)),""))</f>
        <v/>
      </c>
      <c r="X380" s="28">
        <f>IF(E380="","",COUNTIFS(tbl_Finance[Job Number],E380&amp;"",tbl_Finance[Ex GST],"&lt;&gt;"))</f>
        <v/>
      </c>
      <c r="Y380" s="27">
        <f>IF(E380="","",SUMIFS(tbl_Finance[Ex GST],tbl_Finance[Job Number],E380&amp;""))</f>
        <v/>
      </c>
      <c r="Z380" s="27">
        <f>IF(E380="","",SUMIFS(tbl_Finance[Ex GST],tbl_Finance[Job Number],E380&amp;"",tbl_Finance[Xero Invoice No],"&lt;&gt;"))</f>
        <v/>
      </c>
      <c r="AA380" s="27">
        <f>IF(E380="","",Y380-Z380)</f>
        <v/>
      </c>
      <c r="AB380" s="25">
        <f>IF(E380="","",IF(H380="Onsite",IFERROR(INDEX(tbl_Onsite[Qwilr Quote],MATCH(E380&amp;"",tbl_Onsite[Job Number],0)),""),IF(H380="Production",IFERROR(IF(INDEX(tbl_Production[Current RMS No],MATCH(E380&amp;"",tbl_Production[Job Number],0))="",INDEX(tbl_Production[Qwilr Quote],MATCH(E380&amp;"",tbl_Production[Job Number],0)),INDEX(tbl_Production[Current RMS No],MATCH(E380&amp;"",tbl_Production[Job Number],0))),""),IF(H380="Consulting",IFERROR(INDEX(tbl_Consulting[Qwilr Quote],MATCH(E380&amp;"",tbl_Consulting[Job Number],0)),""),""))))</f>
        <v/>
      </c>
      <c r="AC380" s="25">
        <f>IF(AB380="","",IF(AND(LEFT(AB380,4)&lt;&gt;"http",IF(H380="Production",set_RMSBase,set_QwilrBase)=""),"",HYPERLINK(IF(LEFT(AB380,4)="http",AB380,IF(H380="Production",set_RMSBase,set_QwilrBase)&amp;AB380),"Open")))</f>
        <v/>
      </c>
      <c r="AD380" s="27">
        <f>IF(E380="","",IF(H380="Production",IFERROR(INDEX(tbl_Production[Total Expense],MATCH(E380&amp;"",tbl_Production[Job Number],0)),0),IF(H380="Consulting",IFERROR(INDEX(tbl_Consulting[Total Expense],MATCH(E380&amp;"",tbl_Consulting[Job Number],0)),0),0)))</f>
        <v/>
      </c>
      <c r="AE380" s="27">
        <f>IF(E380="","",Y380-N(AD380))</f>
        <v/>
      </c>
      <c r="AF380" s="29">
        <f>IFERROR(AE380/Y380,"")</f>
        <v/>
      </c>
      <c r="AG380" s="25">
        <f>IF(E380="","",IF(H380="Onsite",IFERROR(INDEX(tbl_Onsite[Notes],MATCH(E380&amp;"",tbl_Onsite[Job Number],0)),""),IF(H380="Production",IFERROR(INDEX(tbl_Production[Notes],MATCH(E380&amp;"",tbl_Production[Job Number],0)),""),IF(H380="Consulting",IFERROR(INDEX(tbl_Consulting[Notes],MATCH(E380&amp;"",tbl_Consulting[Job Number],0)),""),""))))</f>
        <v/>
      </c>
    </row>
    <row r="381" ht="15" customHeight="1">
      <c r="A381" s="22" t="n"/>
      <c r="B381" s="23">
        <f>IF(A381="","",EOMONTH(A381,0))</f>
        <v/>
      </c>
      <c r="C381" s="24" t="n"/>
      <c r="D381" s="24" t="n"/>
      <c r="E381" s="24" t="n"/>
      <c r="F381" s="25">
        <f>IF(E381="","",IF(COUNTIF(lst_Jobs,E381&amp;"")&gt;0,"OK","CHECK"))</f>
        <v/>
      </c>
      <c r="G381" s="24" t="n"/>
      <c r="H381" s="24" t="n"/>
      <c r="I381" s="24" t="n"/>
      <c r="J381" s="24" t="n"/>
      <c r="K381" s="24" t="n"/>
      <c r="L381" s="26" t="n"/>
      <c r="M381" s="27">
        <f>IF(L381="","",IF(K381="GST 10%",ROUND(L381*set_GSTRate,2),0))</f>
        <v/>
      </c>
      <c r="N381" s="27">
        <f>IF(L381="","",L381+M381)</f>
        <v/>
      </c>
      <c r="O381" s="24" t="n"/>
      <c r="P381" s="24" t="n"/>
      <c r="Q381" s="24" t="n"/>
      <c r="R381" s="22" t="n"/>
      <c r="S381" s="22" t="n"/>
      <c r="T381" s="24" t="n"/>
      <c r="U381" s="24" t="n"/>
      <c r="V381" s="25">
        <f>IF(COUNTA(A381,D381,C381,L381)=0,"",IF(A381="","No date - sits outside every month",IF(E381="","No job number",IF(F381="CHECK","Job number is not in the Xero job list",IF(I381="","No cost centre",IF(AND(P381="Y",C381=""),"Marked posted to Xero but has no invoice number",IF(AND(L381&lt;&gt;"",K381=""),"No tax code",IF(AND(L381&lt;&gt;"",O381=""),"No revenue GL code",""))))))))</f>
        <v/>
      </c>
      <c r="W381" s="25">
        <f>IF(E381="","",IFERROR(INDEX(lst_JobName,MATCH(E381&amp;"",lst_Jobs,0)),""))</f>
        <v/>
      </c>
      <c r="X381" s="28">
        <f>IF(E381="","",COUNTIFS(tbl_Finance[Job Number],E381&amp;"",tbl_Finance[Ex GST],"&lt;&gt;"))</f>
        <v/>
      </c>
      <c r="Y381" s="27">
        <f>IF(E381="","",SUMIFS(tbl_Finance[Ex GST],tbl_Finance[Job Number],E381&amp;""))</f>
        <v/>
      </c>
      <c r="Z381" s="27">
        <f>IF(E381="","",SUMIFS(tbl_Finance[Ex GST],tbl_Finance[Job Number],E381&amp;"",tbl_Finance[Xero Invoice No],"&lt;&gt;"))</f>
        <v/>
      </c>
      <c r="AA381" s="27">
        <f>IF(E381="","",Y381-Z381)</f>
        <v/>
      </c>
      <c r="AB381" s="25">
        <f>IF(E381="","",IF(H381="Onsite",IFERROR(INDEX(tbl_Onsite[Qwilr Quote],MATCH(E381&amp;"",tbl_Onsite[Job Number],0)),""),IF(H381="Production",IFERROR(IF(INDEX(tbl_Production[Current RMS No],MATCH(E381&amp;"",tbl_Production[Job Number],0))="",INDEX(tbl_Production[Qwilr Quote],MATCH(E381&amp;"",tbl_Production[Job Number],0)),INDEX(tbl_Production[Current RMS No],MATCH(E381&amp;"",tbl_Production[Job Number],0))),""),IF(H381="Consulting",IFERROR(INDEX(tbl_Consulting[Qwilr Quote],MATCH(E381&amp;"",tbl_Consulting[Job Number],0)),""),""))))</f>
        <v/>
      </c>
      <c r="AC381" s="25">
        <f>IF(AB381="","",IF(AND(LEFT(AB381,4)&lt;&gt;"http",IF(H381="Production",set_RMSBase,set_QwilrBase)=""),"",HYPERLINK(IF(LEFT(AB381,4)="http",AB381,IF(H381="Production",set_RMSBase,set_QwilrBase)&amp;AB381),"Open")))</f>
        <v/>
      </c>
      <c r="AD381" s="27">
        <f>IF(E381="","",IF(H381="Production",IFERROR(INDEX(tbl_Production[Total Expense],MATCH(E381&amp;"",tbl_Production[Job Number],0)),0),IF(H381="Consulting",IFERROR(INDEX(tbl_Consulting[Total Expense],MATCH(E381&amp;"",tbl_Consulting[Job Number],0)),0),0)))</f>
        <v/>
      </c>
      <c r="AE381" s="27">
        <f>IF(E381="","",Y381-N(AD381))</f>
        <v/>
      </c>
      <c r="AF381" s="29">
        <f>IFERROR(AE381/Y381,"")</f>
        <v/>
      </c>
      <c r="AG381" s="25">
        <f>IF(E381="","",IF(H381="Onsite",IFERROR(INDEX(tbl_Onsite[Notes],MATCH(E381&amp;"",tbl_Onsite[Job Number],0)),""),IF(H381="Production",IFERROR(INDEX(tbl_Production[Notes],MATCH(E381&amp;"",tbl_Production[Job Number],0)),""),IF(H381="Consulting",IFERROR(INDEX(tbl_Consulting[Notes],MATCH(E381&amp;"",tbl_Consulting[Job Number],0)),""),""))))</f>
        <v/>
      </c>
    </row>
    <row r="382" ht="15" customHeight="1">
      <c r="A382" s="22" t="n"/>
      <c r="B382" s="23">
        <f>IF(A382="","",EOMONTH(A382,0))</f>
        <v/>
      </c>
      <c r="C382" s="24" t="n"/>
      <c r="D382" s="24" t="n"/>
      <c r="E382" s="24" t="n"/>
      <c r="F382" s="25">
        <f>IF(E382="","",IF(COUNTIF(lst_Jobs,E382&amp;"")&gt;0,"OK","CHECK"))</f>
        <v/>
      </c>
      <c r="G382" s="24" t="n"/>
      <c r="H382" s="24" t="n"/>
      <c r="I382" s="24" t="n"/>
      <c r="J382" s="24" t="n"/>
      <c r="K382" s="24" t="n"/>
      <c r="L382" s="26" t="n"/>
      <c r="M382" s="27">
        <f>IF(L382="","",IF(K382="GST 10%",ROUND(L382*set_GSTRate,2),0))</f>
        <v/>
      </c>
      <c r="N382" s="27">
        <f>IF(L382="","",L382+M382)</f>
        <v/>
      </c>
      <c r="O382" s="24" t="n"/>
      <c r="P382" s="24" t="n"/>
      <c r="Q382" s="24" t="n"/>
      <c r="R382" s="22" t="n"/>
      <c r="S382" s="22" t="n"/>
      <c r="T382" s="24" t="n"/>
      <c r="U382" s="24" t="n"/>
      <c r="V382" s="25">
        <f>IF(COUNTA(A382,D382,C382,L382)=0,"",IF(A382="","No date - sits outside every month",IF(E382="","No job number",IF(F382="CHECK","Job number is not in the Xero job list",IF(I382="","No cost centre",IF(AND(P382="Y",C382=""),"Marked posted to Xero but has no invoice number",IF(AND(L382&lt;&gt;"",K382=""),"No tax code",IF(AND(L382&lt;&gt;"",O382=""),"No revenue GL code",""))))))))</f>
        <v/>
      </c>
      <c r="W382" s="25">
        <f>IF(E382="","",IFERROR(INDEX(lst_JobName,MATCH(E382&amp;"",lst_Jobs,0)),""))</f>
        <v/>
      </c>
      <c r="X382" s="28">
        <f>IF(E382="","",COUNTIFS(tbl_Finance[Job Number],E382&amp;"",tbl_Finance[Ex GST],"&lt;&gt;"))</f>
        <v/>
      </c>
      <c r="Y382" s="27">
        <f>IF(E382="","",SUMIFS(tbl_Finance[Ex GST],tbl_Finance[Job Number],E382&amp;""))</f>
        <v/>
      </c>
      <c r="Z382" s="27">
        <f>IF(E382="","",SUMIFS(tbl_Finance[Ex GST],tbl_Finance[Job Number],E382&amp;"",tbl_Finance[Xero Invoice No],"&lt;&gt;"))</f>
        <v/>
      </c>
      <c r="AA382" s="27">
        <f>IF(E382="","",Y382-Z382)</f>
        <v/>
      </c>
      <c r="AB382" s="25">
        <f>IF(E382="","",IF(H382="Onsite",IFERROR(INDEX(tbl_Onsite[Qwilr Quote],MATCH(E382&amp;"",tbl_Onsite[Job Number],0)),""),IF(H382="Production",IFERROR(IF(INDEX(tbl_Production[Current RMS No],MATCH(E382&amp;"",tbl_Production[Job Number],0))="",INDEX(tbl_Production[Qwilr Quote],MATCH(E382&amp;"",tbl_Production[Job Number],0)),INDEX(tbl_Production[Current RMS No],MATCH(E382&amp;"",tbl_Production[Job Number],0))),""),IF(H382="Consulting",IFERROR(INDEX(tbl_Consulting[Qwilr Quote],MATCH(E382&amp;"",tbl_Consulting[Job Number],0)),""),""))))</f>
        <v/>
      </c>
      <c r="AC382" s="25">
        <f>IF(AB382="","",IF(AND(LEFT(AB382,4)&lt;&gt;"http",IF(H382="Production",set_RMSBase,set_QwilrBase)=""),"",HYPERLINK(IF(LEFT(AB382,4)="http",AB382,IF(H382="Production",set_RMSBase,set_QwilrBase)&amp;AB382),"Open")))</f>
        <v/>
      </c>
      <c r="AD382" s="27">
        <f>IF(E382="","",IF(H382="Production",IFERROR(INDEX(tbl_Production[Total Expense],MATCH(E382&amp;"",tbl_Production[Job Number],0)),0),IF(H382="Consulting",IFERROR(INDEX(tbl_Consulting[Total Expense],MATCH(E382&amp;"",tbl_Consulting[Job Number],0)),0),0)))</f>
        <v/>
      </c>
      <c r="AE382" s="27">
        <f>IF(E382="","",Y382-N(AD382))</f>
        <v/>
      </c>
      <c r="AF382" s="29">
        <f>IFERROR(AE382/Y382,"")</f>
        <v/>
      </c>
      <c r="AG382" s="25">
        <f>IF(E382="","",IF(H382="Onsite",IFERROR(INDEX(tbl_Onsite[Notes],MATCH(E382&amp;"",tbl_Onsite[Job Number],0)),""),IF(H382="Production",IFERROR(INDEX(tbl_Production[Notes],MATCH(E382&amp;"",tbl_Production[Job Number],0)),""),IF(H382="Consulting",IFERROR(INDEX(tbl_Consulting[Notes],MATCH(E382&amp;"",tbl_Consulting[Job Number],0)),""),""))))</f>
        <v/>
      </c>
    </row>
    <row r="383" ht="15" customHeight="1">
      <c r="A383" s="22" t="n"/>
      <c r="B383" s="23">
        <f>IF(A383="","",EOMONTH(A383,0))</f>
        <v/>
      </c>
      <c r="C383" s="24" t="n"/>
      <c r="D383" s="24" t="n"/>
      <c r="E383" s="24" t="n"/>
      <c r="F383" s="25">
        <f>IF(E383="","",IF(COUNTIF(lst_Jobs,E383&amp;"")&gt;0,"OK","CHECK"))</f>
        <v/>
      </c>
      <c r="G383" s="24" t="n"/>
      <c r="H383" s="24" t="n"/>
      <c r="I383" s="24" t="n"/>
      <c r="J383" s="24" t="n"/>
      <c r="K383" s="24" t="n"/>
      <c r="L383" s="26" t="n"/>
      <c r="M383" s="27">
        <f>IF(L383="","",IF(K383="GST 10%",ROUND(L383*set_GSTRate,2),0))</f>
        <v/>
      </c>
      <c r="N383" s="27">
        <f>IF(L383="","",L383+M383)</f>
        <v/>
      </c>
      <c r="O383" s="24" t="n"/>
      <c r="P383" s="24" t="n"/>
      <c r="Q383" s="24" t="n"/>
      <c r="R383" s="22" t="n"/>
      <c r="S383" s="22" t="n"/>
      <c r="T383" s="24" t="n"/>
      <c r="U383" s="24" t="n"/>
      <c r="V383" s="25">
        <f>IF(COUNTA(A383,D383,C383,L383)=0,"",IF(A383="","No date - sits outside every month",IF(E383="","No job number",IF(F383="CHECK","Job number is not in the Xero job list",IF(I383="","No cost centre",IF(AND(P383="Y",C383=""),"Marked posted to Xero but has no invoice number",IF(AND(L383&lt;&gt;"",K383=""),"No tax code",IF(AND(L383&lt;&gt;"",O383=""),"No revenue GL code",""))))))))</f>
        <v/>
      </c>
      <c r="W383" s="25">
        <f>IF(E383="","",IFERROR(INDEX(lst_JobName,MATCH(E383&amp;"",lst_Jobs,0)),""))</f>
        <v/>
      </c>
      <c r="X383" s="28">
        <f>IF(E383="","",COUNTIFS(tbl_Finance[Job Number],E383&amp;"",tbl_Finance[Ex GST],"&lt;&gt;"))</f>
        <v/>
      </c>
      <c r="Y383" s="27">
        <f>IF(E383="","",SUMIFS(tbl_Finance[Ex GST],tbl_Finance[Job Number],E383&amp;""))</f>
        <v/>
      </c>
      <c r="Z383" s="27">
        <f>IF(E383="","",SUMIFS(tbl_Finance[Ex GST],tbl_Finance[Job Number],E383&amp;"",tbl_Finance[Xero Invoice No],"&lt;&gt;"))</f>
        <v/>
      </c>
      <c r="AA383" s="27">
        <f>IF(E383="","",Y383-Z383)</f>
        <v/>
      </c>
      <c r="AB383" s="25">
        <f>IF(E383="","",IF(H383="Onsite",IFERROR(INDEX(tbl_Onsite[Qwilr Quote],MATCH(E383&amp;"",tbl_Onsite[Job Number],0)),""),IF(H383="Production",IFERROR(IF(INDEX(tbl_Production[Current RMS No],MATCH(E383&amp;"",tbl_Production[Job Number],0))="",INDEX(tbl_Production[Qwilr Quote],MATCH(E383&amp;"",tbl_Production[Job Number],0)),INDEX(tbl_Production[Current RMS No],MATCH(E383&amp;"",tbl_Production[Job Number],0))),""),IF(H383="Consulting",IFERROR(INDEX(tbl_Consulting[Qwilr Quote],MATCH(E383&amp;"",tbl_Consulting[Job Number],0)),""),""))))</f>
        <v/>
      </c>
      <c r="AC383" s="25">
        <f>IF(AB383="","",IF(AND(LEFT(AB383,4)&lt;&gt;"http",IF(H383="Production",set_RMSBase,set_QwilrBase)=""),"",HYPERLINK(IF(LEFT(AB383,4)="http",AB383,IF(H383="Production",set_RMSBase,set_QwilrBase)&amp;AB383),"Open")))</f>
        <v/>
      </c>
      <c r="AD383" s="27">
        <f>IF(E383="","",IF(H383="Production",IFERROR(INDEX(tbl_Production[Total Expense],MATCH(E383&amp;"",tbl_Production[Job Number],0)),0),IF(H383="Consulting",IFERROR(INDEX(tbl_Consulting[Total Expense],MATCH(E383&amp;"",tbl_Consulting[Job Number],0)),0),0)))</f>
        <v/>
      </c>
      <c r="AE383" s="27">
        <f>IF(E383="","",Y383-N(AD383))</f>
        <v/>
      </c>
      <c r="AF383" s="29">
        <f>IFERROR(AE383/Y383,"")</f>
        <v/>
      </c>
      <c r="AG383" s="25">
        <f>IF(E383="","",IF(H383="Onsite",IFERROR(INDEX(tbl_Onsite[Notes],MATCH(E383&amp;"",tbl_Onsite[Job Number],0)),""),IF(H383="Production",IFERROR(INDEX(tbl_Production[Notes],MATCH(E383&amp;"",tbl_Production[Job Number],0)),""),IF(H383="Consulting",IFERROR(INDEX(tbl_Consulting[Notes],MATCH(E383&amp;"",tbl_Consulting[Job Number],0)),""),""))))</f>
        <v/>
      </c>
    </row>
    <row r="384" ht="15" customHeight="1">
      <c r="A384" s="22" t="n"/>
      <c r="B384" s="23">
        <f>IF(A384="","",EOMONTH(A384,0))</f>
        <v/>
      </c>
      <c r="C384" s="24" t="n"/>
      <c r="D384" s="24" t="n"/>
      <c r="E384" s="24" t="n"/>
      <c r="F384" s="25">
        <f>IF(E384="","",IF(COUNTIF(lst_Jobs,E384&amp;"")&gt;0,"OK","CHECK"))</f>
        <v/>
      </c>
      <c r="G384" s="24" t="n"/>
      <c r="H384" s="24" t="n"/>
      <c r="I384" s="24" t="n"/>
      <c r="J384" s="24" t="n"/>
      <c r="K384" s="24" t="n"/>
      <c r="L384" s="26" t="n"/>
      <c r="M384" s="27">
        <f>IF(L384="","",IF(K384="GST 10%",ROUND(L384*set_GSTRate,2),0))</f>
        <v/>
      </c>
      <c r="N384" s="27">
        <f>IF(L384="","",L384+M384)</f>
        <v/>
      </c>
      <c r="O384" s="24" t="n"/>
      <c r="P384" s="24" t="n"/>
      <c r="Q384" s="24" t="n"/>
      <c r="R384" s="22" t="n"/>
      <c r="S384" s="22" t="n"/>
      <c r="T384" s="24" t="n"/>
      <c r="U384" s="24" t="n"/>
      <c r="V384" s="25">
        <f>IF(COUNTA(A384,D384,C384,L384)=0,"",IF(A384="","No date - sits outside every month",IF(E384="","No job number",IF(F384="CHECK","Job number is not in the Xero job list",IF(I384="","No cost centre",IF(AND(P384="Y",C384=""),"Marked posted to Xero but has no invoice number",IF(AND(L384&lt;&gt;"",K384=""),"No tax code",IF(AND(L384&lt;&gt;"",O384=""),"No revenue GL code",""))))))))</f>
        <v/>
      </c>
      <c r="W384" s="25">
        <f>IF(E384="","",IFERROR(INDEX(lst_JobName,MATCH(E384&amp;"",lst_Jobs,0)),""))</f>
        <v/>
      </c>
      <c r="X384" s="28">
        <f>IF(E384="","",COUNTIFS(tbl_Finance[Job Number],E384&amp;"",tbl_Finance[Ex GST],"&lt;&gt;"))</f>
        <v/>
      </c>
      <c r="Y384" s="27">
        <f>IF(E384="","",SUMIFS(tbl_Finance[Ex GST],tbl_Finance[Job Number],E384&amp;""))</f>
        <v/>
      </c>
      <c r="Z384" s="27">
        <f>IF(E384="","",SUMIFS(tbl_Finance[Ex GST],tbl_Finance[Job Number],E384&amp;"",tbl_Finance[Xero Invoice No],"&lt;&gt;"))</f>
        <v/>
      </c>
      <c r="AA384" s="27">
        <f>IF(E384="","",Y384-Z384)</f>
        <v/>
      </c>
      <c r="AB384" s="25">
        <f>IF(E384="","",IF(H384="Onsite",IFERROR(INDEX(tbl_Onsite[Qwilr Quote],MATCH(E384&amp;"",tbl_Onsite[Job Number],0)),""),IF(H384="Production",IFERROR(IF(INDEX(tbl_Production[Current RMS No],MATCH(E384&amp;"",tbl_Production[Job Number],0))="",INDEX(tbl_Production[Qwilr Quote],MATCH(E384&amp;"",tbl_Production[Job Number],0)),INDEX(tbl_Production[Current RMS No],MATCH(E384&amp;"",tbl_Production[Job Number],0))),""),IF(H384="Consulting",IFERROR(INDEX(tbl_Consulting[Qwilr Quote],MATCH(E384&amp;"",tbl_Consulting[Job Number],0)),""),""))))</f>
        <v/>
      </c>
      <c r="AC384" s="25">
        <f>IF(AB384="","",IF(AND(LEFT(AB384,4)&lt;&gt;"http",IF(H384="Production",set_RMSBase,set_QwilrBase)=""),"",HYPERLINK(IF(LEFT(AB384,4)="http",AB384,IF(H384="Production",set_RMSBase,set_QwilrBase)&amp;AB384),"Open")))</f>
        <v/>
      </c>
      <c r="AD384" s="27">
        <f>IF(E384="","",IF(H384="Production",IFERROR(INDEX(tbl_Production[Total Expense],MATCH(E384&amp;"",tbl_Production[Job Number],0)),0),IF(H384="Consulting",IFERROR(INDEX(tbl_Consulting[Total Expense],MATCH(E384&amp;"",tbl_Consulting[Job Number],0)),0),0)))</f>
        <v/>
      </c>
      <c r="AE384" s="27">
        <f>IF(E384="","",Y384-N(AD384))</f>
        <v/>
      </c>
      <c r="AF384" s="29">
        <f>IFERROR(AE384/Y384,"")</f>
        <v/>
      </c>
      <c r="AG384" s="25">
        <f>IF(E384="","",IF(H384="Onsite",IFERROR(INDEX(tbl_Onsite[Notes],MATCH(E384&amp;"",tbl_Onsite[Job Number],0)),""),IF(H384="Production",IFERROR(INDEX(tbl_Production[Notes],MATCH(E384&amp;"",tbl_Production[Job Number],0)),""),IF(H384="Consulting",IFERROR(INDEX(tbl_Consulting[Notes],MATCH(E384&amp;"",tbl_Consulting[Job Number],0)),""),""))))</f>
        <v/>
      </c>
    </row>
    <row r="385" ht="15" customHeight="1">
      <c r="A385" s="22" t="n"/>
      <c r="B385" s="23">
        <f>IF(A385="","",EOMONTH(A385,0))</f>
        <v/>
      </c>
      <c r="C385" s="24" t="n"/>
      <c r="D385" s="24" t="n"/>
      <c r="E385" s="24" t="n"/>
      <c r="F385" s="25">
        <f>IF(E385="","",IF(COUNTIF(lst_Jobs,E385&amp;"")&gt;0,"OK","CHECK"))</f>
        <v/>
      </c>
      <c r="G385" s="24" t="n"/>
      <c r="H385" s="24" t="n"/>
      <c r="I385" s="24" t="n"/>
      <c r="J385" s="24" t="n"/>
      <c r="K385" s="24" t="n"/>
      <c r="L385" s="26" t="n"/>
      <c r="M385" s="27">
        <f>IF(L385="","",IF(K385="GST 10%",ROUND(L385*set_GSTRate,2),0))</f>
        <v/>
      </c>
      <c r="N385" s="27">
        <f>IF(L385="","",L385+M385)</f>
        <v/>
      </c>
      <c r="O385" s="24" t="n"/>
      <c r="P385" s="24" t="n"/>
      <c r="Q385" s="24" t="n"/>
      <c r="R385" s="22" t="n"/>
      <c r="S385" s="22" t="n"/>
      <c r="T385" s="24" t="n"/>
      <c r="U385" s="24" t="n"/>
      <c r="V385" s="25">
        <f>IF(COUNTA(A385,D385,C385,L385)=0,"",IF(A385="","No date - sits outside every month",IF(E385="","No job number",IF(F385="CHECK","Job number is not in the Xero job list",IF(I385="","No cost centre",IF(AND(P385="Y",C385=""),"Marked posted to Xero but has no invoice number",IF(AND(L385&lt;&gt;"",K385=""),"No tax code",IF(AND(L385&lt;&gt;"",O385=""),"No revenue GL code",""))))))))</f>
        <v/>
      </c>
      <c r="W385" s="25">
        <f>IF(E385="","",IFERROR(INDEX(lst_JobName,MATCH(E385&amp;"",lst_Jobs,0)),""))</f>
        <v/>
      </c>
      <c r="X385" s="28">
        <f>IF(E385="","",COUNTIFS(tbl_Finance[Job Number],E385&amp;"",tbl_Finance[Ex GST],"&lt;&gt;"))</f>
        <v/>
      </c>
      <c r="Y385" s="27">
        <f>IF(E385="","",SUMIFS(tbl_Finance[Ex GST],tbl_Finance[Job Number],E385&amp;""))</f>
        <v/>
      </c>
      <c r="Z385" s="27">
        <f>IF(E385="","",SUMIFS(tbl_Finance[Ex GST],tbl_Finance[Job Number],E385&amp;"",tbl_Finance[Xero Invoice No],"&lt;&gt;"))</f>
        <v/>
      </c>
      <c r="AA385" s="27">
        <f>IF(E385="","",Y385-Z385)</f>
        <v/>
      </c>
      <c r="AB385" s="25">
        <f>IF(E385="","",IF(H385="Onsite",IFERROR(INDEX(tbl_Onsite[Qwilr Quote],MATCH(E385&amp;"",tbl_Onsite[Job Number],0)),""),IF(H385="Production",IFERROR(IF(INDEX(tbl_Production[Current RMS No],MATCH(E385&amp;"",tbl_Production[Job Number],0))="",INDEX(tbl_Production[Qwilr Quote],MATCH(E385&amp;"",tbl_Production[Job Number],0)),INDEX(tbl_Production[Current RMS No],MATCH(E385&amp;"",tbl_Production[Job Number],0))),""),IF(H385="Consulting",IFERROR(INDEX(tbl_Consulting[Qwilr Quote],MATCH(E385&amp;"",tbl_Consulting[Job Number],0)),""),""))))</f>
        <v/>
      </c>
      <c r="AC385" s="25">
        <f>IF(AB385="","",IF(AND(LEFT(AB385,4)&lt;&gt;"http",IF(H385="Production",set_RMSBase,set_QwilrBase)=""),"",HYPERLINK(IF(LEFT(AB385,4)="http",AB385,IF(H385="Production",set_RMSBase,set_QwilrBase)&amp;AB385),"Open")))</f>
        <v/>
      </c>
      <c r="AD385" s="27">
        <f>IF(E385="","",IF(H385="Production",IFERROR(INDEX(tbl_Production[Total Expense],MATCH(E385&amp;"",tbl_Production[Job Number],0)),0),IF(H385="Consulting",IFERROR(INDEX(tbl_Consulting[Total Expense],MATCH(E385&amp;"",tbl_Consulting[Job Number],0)),0),0)))</f>
        <v/>
      </c>
      <c r="AE385" s="27">
        <f>IF(E385="","",Y385-N(AD385))</f>
        <v/>
      </c>
      <c r="AF385" s="29">
        <f>IFERROR(AE385/Y385,"")</f>
        <v/>
      </c>
      <c r="AG385" s="25">
        <f>IF(E385="","",IF(H385="Onsite",IFERROR(INDEX(tbl_Onsite[Notes],MATCH(E385&amp;"",tbl_Onsite[Job Number],0)),""),IF(H385="Production",IFERROR(INDEX(tbl_Production[Notes],MATCH(E385&amp;"",tbl_Production[Job Number],0)),""),IF(H385="Consulting",IFERROR(INDEX(tbl_Consulting[Notes],MATCH(E385&amp;"",tbl_Consulting[Job Number],0)),""),""))))</f>
        <v/>
      </c>
    </row>
    <row r="386" ht="15" customHeight="1">
      <c r="A386" s="22" t="n"/>
      <c r="B386" s="23">
        <f>IF(A386="","",EOMONTH(A386,0))</f>
        <v/>
      </c>
      <c r="C386" s="24" t="n"/>
      <c r="D386" s="24" t="n"/>
      <c r="E386" s="24" t="n"/>
      <c r="F386" s="25">
        <f>IF(E386="","",IF(COUNTIF(lst_Jobs,E386&amp;"")&gt;0,"OK","CHECK"))</f>
        <v/>
      </c>
      <c r="G386" s="24" t="n"/>
      <c r="H386" s="24" t="n"/>
      <c r="I386" s="24" t="n"/>
      <c r="J386" s="24" t="n"/>
      <c r="K386" s="24" t="n"/>
      <c r="L386" s="26" t="n"/>
      <c r="M386" s="27">
        <f>IF(L386="","",IF(K386="GST 10%",ROUND(L386*set_GSTRate,2),0))</f>
        <v/>
      </c>
      <c r="N386" s="27">
        <f>IF(L386="","",L386+M386)</f>
        <v/>
      </c>
      <c r="O386" s="24" t="n"/>
      <c r="P386" s="24" t="n"/>
      <c r="Q386" s="24" t="n"/>
      <c r="R386" s="22" t="n"/>
      <c r="S386" s="22" t="n"/>
      <c r="T386" s="24" t="n"/>
      <c r="U386" s="24" t="n"/>
      <c r="V386" s="25">
        <f>IF(COUNTA(A386,D386,C386,L386)=0,"",IF(A386="","No date - sits outside every month",IF(E386="","No job number",IF(F386="CHECK","Job number is not in the Xero job list",IF(I386="","No cost centre",IF(AND(P386="Y",C386=""),"Marked posted to Xero but has no invoice number",IF(AND(L386&lt;&gt;"",K386=""),"No tax code",IF(AND(L386&lt;&gt;"",O386=""),"No revenue GL code",""))))))))</f>
        <v/>
      </c>
      <c r="W386" s="25">
        <f>IF(E386="","",IFERROR(INDEX(lst_JobName,MATCH(E386&amp;"",lst_Jobs,0)),""))</f>
        <v/>
      </c>
      <c r="X386" s="28">
        <f>IF(E386="","",COUNTIFS(tbl_Finance[Job Number],E386&amp;"",tbl_Finance[Ex GST],"&lt;&gt;"))</f>
        <v/>
      </c>
      <c r="Y386" s="27">
        <f>IF(E386="","",SUMIFS(tbl_Finance[Ex GST],tbl_Finance[Job Number],E386&amp;""))</f>
        <v/>
      </c>
      <c r="Z386" s="27">
        <f>IF(E386="","",SUMIFS(tbl_Finance[Ex GST],tbl_Finance[Job Number],E386&amp;"",tbl_Finance[Xero Invoice No],"&lt;&gt;"))</f>
        <v/>
      </c>
      <c r="AA386" s="27">
        <f>IF(E386="","",Y386-Z386)</f>
        <v/>
      </c>
      <c r="AB386" s="25">
        <f>IF(E386="","",IF(H386="Onsite",IFERROR(INDEX(tbl_Onsite[Qwilr Quote],MATCH(E386&amp;"",tbl_Onsite[Job Number],0)),""),IF(H386="Production",IFERROR(IF(INDEX(tbl_Production[Current RMS No],MATCH(E386&amp;"",tbl_Production[Job Number],0))="",INDEX(tbl_Production[Qwilr Quote],MATCH(E386&amp;"",tbl_Production[Job Number],0)),INDEX(tbl_Production[Current RMS No],MATCH(E386&amp;"",tbl_Production[Job Number],0))),""),IF(H386="Consulting",IFERROR(INDEX(tbl_Consulting[Qwilr Quote],MATCH(E386&amp;"",tbl_Consulting[Job Number],0)),""),""))))</f>
        <v/>
      </c>
      <c r="AC386" s="25">
        <f>IF(AB386="","",IF(AND(LEFT(AB386,4)&lt;&gt;"http",IF(H386="Production",set_RMSBase,set_QwilrBase)=""),"",HYPERLINK(IF(LEFT(AB386,4)="http",AB386,IF(H386="Production",set_RMSBase,set_QwilrBase)&amp;AB386),"Open")))</f>
        <v/>
      </c>
      <c r="AD386" s="27">
        <f>IF(E386="","",IF(H386="Production",IFERROR(INDEX(tbl_Production[Total Expense],MATCH(E386&amp;"",tbl_Production[Job Number],0)),0),IF(H386="Consulting",IFERROR(INDEX(tbl_Consulting[Total Expense],MATCH(E386&amp;"",tbl_Consulting[Job Number],0)),0),0)))</f>
        <v/>
      </c>
      <c r="AE386" s="27">
        <f>IF(E386="","",Y386-N(AD386))</f>
        <v/>
      </c>
      <c r="AF386" s="29">
        <f>IFERROR(AE386/Y386,"")</f>
        <v/>
      </c>
      <c r="AG386" s="25">
        <f>IF(E386="","",IF(H386="Onsite",IFERROR(INDEX(tbl_Onsite[Notes],MATCH(E386&amp;"",tbl_Onsite[Job Number],0)),""),IF(H386="Production",IFERROR(INDEX(tbl_Production[Notes],MATCH(E386&amp;"",tbl_Production[Job Number],0)),""),IF(H386="Consulting",IFERROR(INDEX(tbl_Consulting[Notes],MATCH(E386&amp;"",tbl_Consulting[Job Number],0)),""),""))))</f>
        <v/>
      </c>
    </row>
    <row r="387" ht="15" customHeight="1">
      <c r="A387" s="22" t="n"/>
      <c r="B387" s="23">
        <f>IF(A387="","",EOMONTH(A387,0))</f>
        <v/>
      </c>
      <c r="C387" s="24" t="n"/>
      <c r="D387" s="24" t="n"/>
      <c r="E387" s="24" t="n"/>
      <c r="F387" s="25">
        <f>IF(E387="","",IF(COUNTIF(lst_Jobs,E387&amp;"")&gt;0,"OK","CHECK"))</f>
        <v/>
      </c>
      <c r="G387" s="24" t="n"/>
      <c r="H387" s="24" t="n"/>
      <c r="I387" s="24" t="n"/>
      <c r="J387" s="24" t="n"/>
      <c r="K387" s="24" t="n"/>
      <c r="L387" s="26" t="n"/>
      <c r="M387" s="27">
        <f>IF(L387="","",IF(K387="GST 10%",ROUND(L387*set_GSTRate,2),0))</f>
        <v/>
      </c>
      <c r="N387" s="27">
        <f>IF(L387="","",L387+M387)</f>
        <v/>
      </c>
      <c r="O387" s="24" t="n"/>
      <c r="P387" s="24" t="n"/>
      <c r="Q387" s="24" t="n"/>
      <c r="R387" s="22" t="n"/>
      <c r="S387" s="22" t="n"/>
      <c r="T387" s="24" t="n"/>
      <c r="U387" s="24" t="n"/>
      <c r="V387" s="25">
        <f>IF(COUNTA(A387,D387,C387,L387)=0,"",IF(A387="","No date - sits outside every month",IF(E387="","No job number",IF(F387="CHECK","Job number is not in the Xero job list",IF(I387="","No cost centre",IF(AND(P387="Y",C387=""),"Marked posted to Xero but has no invoice number",IF(AND(L387&lt;&gt;"",K387=""),"No tax code",IF(AND(L387&lt;&gt;"",O387=""),"No revenue GL code",""))))))))</f>
        <v/>
      </c>
      <c r="W387" s="25">
        <f>IF(E387="","",IFERROR(INDEX(lst_JobName,MATCH(E387&amp;"",lst_Jobs,0)),""))</f>
        <v/>
      </c>
      <c r="X387" s="28">
        <f>IF(E387="","",COUNTIFS(tbl_Finance[Job Number],E387&amp;"",tbl_Finance[Ex GST],"&lt;&gt;"))</f>
        <v/>
      </c>
      <c r="Y387" s="27">
        <f>IF(E387="","",SUMIFS(tbl_Finance[Ex GST],tbl_Finance[Job Number],E387&amp;""))</f>
        <v/>
      </c>
      <c r="Z387" s="27">
        <f>IF(E387="","",SUMIFS(tbl_Finance[Ex GST],tbl_Finance[Job Number],E387&amp;"",tbl_Finance[Xero Invoice No],"&lt;&gt;"))</f>
        <v/>
      </c>
      <c r="AA387" s="27">
        <f>IF(E387="","",Y387-Z387)</f>
        <v/>
      </c>
      <c r="AB387" s="25">
        <f>IF(E387="","",IF(H387="Onsite",IFERROR(INDEX(tbl_Onsite[Qwilr Quote],MATCH(E387&amp;"",tbl_Onsite[Job Number],0)),""),IF(H387="Production",IFERROR(IF(INDEX(tbl_Production[Current RMS No],MATCH(E387&amp;"",tbl_Production[Job Number],0))="",INDEX(tbl_Production[Qwilr Quote],MATCH(E387&amp;"",tbl_Production[Job Number],0)),INDEX(tbl_Production[Current RMS No],MATCH(E387&amp;"",tbl_Production[Job Number],0))),""),IF(H387="Consulting",IFERROR(INDEX(tbl_Consulting[Qwilr Quote],MATCH(E387&amp;"",tbl_Consulting[Job Number],0)),""),""))))</f>
        <v/>
      </c>
      <c r="AC387" s="25">
        <f>IF(AB387="","",IF(AND(LEFT(AB387,4)&lt;&gt;"http",IF(H387="Production",set_RMSBase,set_QwilrBase)=""),"",HYPERLINK(IF(LEFT(AB387,4)="http",AB387,IF(H387="Production",set_RMSBase,set_QwilrBase)&amp;AB387),"Open")))</f>
        <v/>
      </c>
      <c r="AD387" s="27">
        <f>IF(E387="","",IF(H387="Production",IFERROR(INDEX(tbl_Production[Total Expense],MATCH(E387&amp;"",tbl_Production[Job Number],0)),0),IF(H387="Consulting",IFERROR(INDEX(tbl_Consulting[Total Expense],MATCH(E387&amp;"",tbl_Consulting[Job Number],0)),0),0)))</f>
        <v/>
      </c>
      <c r="AE387" s="27">
        <f>IF(E387="","",Y387-N(AD387))</f>
        <v/>
      </c>
      <c r="AF387" s="29">
        <f>IFERROR(AE387/Y387,"")</f>
        <v/>
      </c>
      <c r="AG387" s="25">
        <f>IF(E387="","",IF(H387="Onsite",IFERROR(INDEX(tbl_Onsite[Notes],MATCH(E387&amp;"",tbl_Onsite[Job Number],0)),""),IF(H387="Production",IFERROR(INDEX(tbl_Production[Notes],MATCH(E387&amp;"",tbl_Production[Job Number],0)),""),IF(H387="Consulting",IFERROR(INDEX(tbl_Consulting[Notes],MATCH(E387&amp;"",tbl_Consulting[Job Number],0)),""),""))))</f>
        <v/>
      </c>
    </row>
    <row r="388" ht="15" customHeight="1">
      <c r="A388" s="22" t="n"/>
      <c r="B388" s="23">
        <f>IF(A388="","",EOMONTH(A388,0))</f>
        <v/>
      </c>
      <c r="C388" s="24" t="n"/>
      <c r="D388" s="24" t="n"/>
      <c r="E388" s="24" t="n"/>
      <c r="F388" s="25">
        <f>IF(E388="","",IF(COUNTIF(lst_Jobs,E388&amp;"")&gt;0,"OK","CHECK"))</f>
        <v/>
      </c>
      <c r="G388" s="24" t="n"/>
      <c r="H388" s="24" t="n"/>
      <c r="I388" s="24" t="n"/>
      <c r="J388" s="24" t="n"/>
      <c r="K388" s="24" t="n"/>
      <c r="L388" s="26" t="n"/>
      <c r="M388" s="27">
        <f>IF(L388="","",IF(K388="GST 10%",ROUND(L388*set_GSTRate,2),0))</f>
        <v/>
      </c>
      <c r="N388" s="27">
        <f>IF(L388="","",L388+M388)</f>
        <v/>
      </c>
      <c r="O388" s="24" t="n"/>
      <c r="P388" s="24" t="n"/>
      <c r="Q388" s="24" t="n"/>
      <c r="R388" s="22" t="n"/>
      <c r="S388" s="22" t="n"/>
      <c r="T388" s="24" t="n"/>
      <c r="U388" s="24" t="n"/>
      <c r="V388" s="25">
        <f>IF(COUNTA(A388,D388,C388,L388)=0,"",IF(A388="","No date - sits outside every month",IF(E388="","No job number",IF(F388="CHECK","Job number is not in the Xero job list",IF(I388="","No cost centre",IF(AND(P388="Y",C388=""),"Marked posted to Xero but has no invoice number",IF(AND(L388&lt;&gt;"",K388=""),"No tax code",IF(AND(L388&lt;&gt;"",O388=""),"No revenue GL code",""))))))))</f>
        <v/>
      </c>
      <c r="W388" s="25">
        <f>IF(E388="","",IFERROR(INDEX(lst_JobName,MATCH(E388&amp;"",lst_Jobs,0)),""))</f>
        <v/>
      </c>
      <c r="X388" s="28">
        <f>IF(E388="","",COUNTIFS(tbl_Finance[Job Number],E388&amp;"",tbl_Finance[Ex GST],"&lt;&gt;"))</f>
        <v/>
      </c>
      <c r="Y388" s="27">
        <f>IF(E388="","",SUMIFS(tbl_Finance[Ex GST],tbl_Finance[Job Number],E388&amp;""))</f>
        <v/>
      </c>
      <c r="Z388" s="27">
        <f>IF(E388="","",SUMIFS(tbl_Finance[Ex GST],tbl_Finance[Job Number],E388&amp;"",tbl_Finance[Xero Invoice No],"&lt;&gt;"))</f>
        <v/>
      </c>
      <c r="AA388" s="27">
        <f>IF(E388="","",Y388-Z388)</f>
        <v/>
      </c>
      <c r="AB388" s="25">
        <f>IF(E388="","",IF(H388="Onsite",IFERROR(INDEX(tbl_Onsite[Qwilr Quote],MATCH(E388&amp;"",tbl_Onsite[Job Number],0)),""),IF(H388="Production",IFERROR(IF(INDEX(tbl_Production[Current RMS No],MATCH(E388&amp;"",tbl_Production[Job Number],0))="",INDEX(tbl_Production[Qwilr Quote],MATCH(E388&amp;"",tbl_Production[Job Number],0)),INDEX(tbl_Production[Current RMS No],MATCH(E388&amp;"",tbl_Production[Job Number],0))),""),IF(H388="Consulting",IFERROR(INDEX(tbl_Consulting[Qwilr Quote],MATCH(E388&amp;"",tbl_Consulting[Job Number],0)),""),""))))</f>
        <v/>
      </c>
      <c r="AC388" s="25">
        <f>IF(AB388="","",IF(AND(LEFT(AB388,4)&lt;&gt;"http",IF(H388="Production",set_RMSBase,set_QwilrBase)=""),"",HYPERLINK(IF(LEFT(AB388,4)="http",AB388,IF(H388="Production",set_RMSBase,set_QwilrBase)&amp;AB388),"Open")))</f>
        <v/>
      </c>
      <c r="AD388" s="27">
        <f>IF(E388="","",IF(H388="Production",IFERROR(INDEX(tbl_Production[Total Expense],MATCH(E388&amp;"",tbl_Production[Job Number],0)),0),IF(H388="Consulting",IFERROR(INDEX(tbl_Consulting[Total Expense],MATCH(E388&amp;"",tbl_Consulting[Job Number],0)),0),0)))</f>
        <v/>
      </c>
      <c r="AE388" s="27">
        <f>IF(E388="","",Y388-N(AD388))</f>
        <v/>
      </c>
      <c r="AF388" s="29">
        <f>IFERROR(AE388/Y388,"")</f>
        <v/>
      </c>
      <c r="AG388" s="25">
        <f>IF(E388="","",IF(H388="Onsite",IFERROR(INDEX(tbl_Onsite[Notes],MATCH(E388&amp;"",tbl_Onsite[Job Number],0)),""),IF(H388="Production",IFERROR(INDEX(tbl_Production[Notes],MATCH(E388&amp;"",tbl_Production[Job Number],0)),""),IF(H388="Consulting",IFERROR(INDEX(tbl_Consulting[Notes],MATCH(E388&amp;"",tbl_Consulting[Job Number],0)),""),""))))</f>
        <v/>
      </c>
    </row>
    <row r="389" ht="15" customHeight="1">
      <c r="A389" s="22" t="n"/>
      <c r="B389" s="23">
        <f>IF(A389="","",EOMONTH(A389,0))</f>
        <v/>
      </c>
      <c r="C389" s="24" t="n"/>
      <c r="D389" s="24" t="n"/>
      <c r="E389" s="24" t="n"/>
      <c r="F389" s="25">
        <f>IF(E389="","",IF(COUNTIF(lst_Jobs,E389&amp;"")&gt;0,"OK","CHECK"))</f>
        <v/>
      </c>
      <c r="G389" s="24" t="n"/>
      <c r="H389" s="24" t="n"/>
      <c r="I389" s="24" t="n"/>
      <c r="J389" s="24" t="n"/>
      <c r="K389" s="24" t="n"/>
      <c r="L389" s="26" t="n"/>
      <c r="M389" s="27">
        <f>IF(L389="","",IF(K389="GST 10%",ROUND(L389*set_GSTRate,2),0))</f>
        <v/>
      </c>
      <c r="N389" s="27">
        <f>IF(L389="","",L389+M389)</f>
        <v/>
      </c>
      <c r="O389" s="24" t="n"/>
      <c r="P389" s="24" t="n"/>
      <c r="Q389" s="24" t="n"/>
      <c r="R389" s="22" t="n"/>
      <c r="S389" s="22" t="n"/>
      <c r="T389" s="24" t="n"/>
      <c r="U389" s="24" t="n"/>
      <c r="V389" s="25">
        <f>IF(COUNTA(A389,D389,C389,L389)=0,"",IF(A389="","No date - sits outside every month",IF(E389="","No job number",IF(F389="CHECK","Job number is not in the Xero job list",IF(I389="","No cost centre",IF(AND(P389="Y",C389=""),"Marked posted to Xero but has no invoice number",IF(AND(L389&lt;&gt;"",K389=""),"No tax code",IF(AND(L389&lt;&gt;"",O389=""),"No revenue GL code",""))))))))</f>
        <v/>
      </c>
      <c r="W389" s="25">
        <f>IF(E389="","",IFERROR(INDEX(lst_JobName,MATCH(E389&amp;"",lst_Jobs,0)),""))</f>
        <v/>
      </c>
      <c r="X389" s="28">
        <f>IF(E389="","",COUNTIFS(tbl_Finance[Job Number],E389&amp;"",tbl_Finance[Ex GST],"&lt;&gt;"))</f>
        <v/>
      </c>
      <c r="Y389" s="27">
        <f>IF(E389="","",SUMIFS(tbl_Finance[Ex GST],tbl_Finance[Job Number],E389&amp;""))</f>
        <v/>
      </c>
      <c r="Z389" s="27">
        <f>IF(E389="","",SUMIFS(tbl_Finance[Ex GST],tbl_Finance[Job Number],E389&amp;"",tbl_Finance[Xero Invoice No],"&lt;&gt;"))</f>
        <v/>
      </c>
      <c r="AA389" s="27">
        <f>IF(E389="","",Y389-Z389)</f>
        <v/>
      </c>
      <c r="AB389" s="25">
        <f>IF(E389="","",IF(H389="Onsite",IFERROR(INDEX(tbl_Onsite[Qwilr Quote],MATCH(E389&amp;"",tbl_Onsite[Job Number],0)),""),IF(H389="Production",IFERROR(IF(INDEX(tbl_Production[Current RMS No],MATCH(E389&amp;"",tbl_Production[Job Number],0))="",INDEX(tbl_Production[Qwilr Quote],MATCH(E389&amp;"",tbl_Production[Job Number],0)),INDEX(tbl_Production[Current RMS No],MATCH(E389&amp;"",tbl_Production[Job Number],0))),""),IF(H389="Consulting",IFERROR(INDEX(tbl_Consulting[Qwilr Quote],MATCH(E389&amp;"",tbl_Consulting[Job Number],0)),""),""))))</f>
        <v/>
      </c>
      <c r="AC389" s="25">
        <f>IF(AB389="","",IF(AND(LEFT(AB389,4)&lt;&gt;"http",IF(H389="Production",set_RMSBase,set_QwilrBase)=""),"",HYPERLINK(IF(LEFT(AB389,4)="http",AB389,IF(H389="Production",set_RMSBase,set_QwilrBase)&amp;AB389),"Open")))</f>
        <v/>
      </c>
      <c r="AD389" s="27">
        <f>IF(E389="","",IF(H389="Production",IFERROR(INDEX(tbl_Production[Total Expense],MATCH(E389&amp;"",tbl_Production[Job Number],0)),0),IF(H389="Consulting",IFERROR(INDEX(tbl_Consulting[Total Expense],MATCH(E389&amp;"",tbl_Consulting[Job Number],0)),0),0)))</f>
        <v/>
      </c>
      <c r="AE389" s="27">
        <f>IF(E389="","",Y389-N(AD389))</f>
        <v/>
      </c>
      <c r="AF389" s="29">
        <f>IFERROR(AE389/Y389,"")</f>
        <v/>
      </c>
      <c r="AG389" s="25">
        <f>IF(E389="","",IF(H389="Onsite",IFERROR(INDEX(tbl_Onsite[Notes],MATCH(E389&amp;"",tbl_Onsite[Job Number],0)),""),IF(H389="Production",IFERROR(INDEX(tbl_Production[Notes],MATCH(E389&amp;"",tbl_Production[Job Number],0)),""),IF(H389="Consulting",IFERROR(INDEX(tbl_Consulting[Notes],MATCH(E389&amp;"",tbl_Consulting[Job Number],0)),""),""))))</f>
        <v/>
      </c>
    </row>
    <row r="390" ht="15" customHeight="1">
      <c r="A390" s="22" t="n"/>
      <c r="B390" s="23">
        <f>IF(A390="","",EOMONTH(A390,0))</f>
        <v/>
      </c>
      <c r="C390" s="24" t="n"/>
      <c r="D390" s="24" t="n"/>
      <c r="E390" s="24" t="n"/>
      <c r="F390" s="25">
        <f>IF(E390="","",IF(COUNTIF(lst_Jobs,E390&amp;"")&gt;0,"OK","CHECK"))</f>
        <v/>
      </c>
      <c r="G390" s="24" t="n"/>
      <c r="H390" s="24" t="n"/>
      <c r="I390" s="24" t="n"/>
      <c r="J390" s="24" t="n"/>
      <c r="K390" s="24" t="n"/>
      <c r="L390" s="26" t="n"/>
      <c r="M390" s="27">
        <f>IF(L390="","",IF(K390="GST 10%",ROUND(L390*set_GSTRate,2),0))</f>
        <v/>
      </c>
      <c r="N390" s="27">
        <f>IF(L390="","",L390+M390)</f>
        <v/>
      </c>
      <c r="O390" s="24" t="n"/>
      <c r="P390" s="24" t="n"/>
      <c r="Q390" s="24" t="n"/>
      <c r="R390" s="22" t="n"/>
      <c r="S390" s="22" t="n"/>
      <c r="T390" s="24" t="n"/>
      <c r="U390" s="24" t="n"/>
      <c r="V390" s="25">
        <f>IF(COUNTA(A390,D390,C390,L390)=0,"",IF(A390="","No date - sits outside every month",IF(E390="","No job number",IF(F390="CHECK","Job number is not in the Xero job list",IF(I390="","No cost centre",IF(AND(P390="Y",C390=""),"Marked posted to Xero but has no invoice number",IF(AND(L390&lt;&gt;"",K390=""),"No tax code",IF(AND(L390&lt;&gt;"",O390=""),"No revenue GL code",""))))))))</f>
        <v/>
      </c>
      <c r="W390" s="25">
        <f>IF(E390="","",IFERROR(INDEX(lst_JobName,MATCH(E390&amp;"",lst_Jobs,0)),""))</f>
        <v/>
      </c>
      <c r="X390" s="28">
        <f>IF(E390="","",COUNTIFS(tbl_Finance[Job Number],E390&amp;"",tbl_Finance[Ex GST],"&lt;&gt;"))</f>
        <v/>
      </c>
      <c r="Y390" s="27">
        <f>IF(E390="","",SUMIFS(tbl_Finance[Ex GST],tbl_Finance[Job Number],E390&amp;""))</f>
        <v/>
      </c>
      <c r="Z390" s="27">
        <f>IF(E390="","",SUMIFS(tbl_Finance[Ex GST],tbl_Finance[Job Number],E390&amp;"",tbl_Finance[Xero Invoice No],"&lt;&gt;"))</f>
        <v/>
      </c>
      <c r="AA390" s="27">
        <f>IF(E390="","",Y390-Z390)</f>
        <v/>
      </c>
      <c r="AB390" s="25">
        <f>IF(E390="","",IF(H390="Onsite",IFERROR(INDEX(tbl_Onsite[Qwilr Quote],MATCH(E390&amp;"",tbl_Onsite[Job Number],0)),""),IF(H390="Production",IFERROR(IF(INDEX(tbl_Production[Current RMS No],MATCH(E390&amp;"",tbl_Production[Job Number],0))="",INDEX(tbl_Production[Qwilr Quote],MATCH(E390&amp;"",tbl_Production[Job Number],0)),INDEX(tbl_Production[Current RMS No],MATCH(E390&amp;"",tbl_Production[Job Number],0))),""),IF(H390="Consulting",IFERROR(INDEX(tbl_Consulting[Qwilr Quote],MATCH(E390&amp;"",tbl_Consulting[Job Number],0)),""),""))))</f>
        <v/>
      </c>
      <c r="AC390" s="25">
        <f>IF(AB390="","",IF(AND(LEFT(AB390,4)&lt;&gt;"http",IF(H390="Production",set_RMSBase,set_QwilrBase)=""),"",HYPERLINK(IF(LEFT(AB390,4)="http",AB390,IF(H390="Production",set_RMSBase,set_QwilrBase)&amp;AB390),"Open")))</f>
        <v/>
      </c>
      <c r="AD390" s="27">
        <f>IF(E390="","",IF(H390="Production",IFERROR(INDEX(tbl_Production[Total Expense],MATCH(E390&amp;"",tbl_Production[Job Number],0)),0),IF(H390="Consulting",IFERROR(INDEX(tbl_Consulting[Total Expense],MATCH(E390&amp;"",tbl_Consulting[Job Number],0)),0),0)))</f>
        <v/>
      </c>
      <c r="AE390" s="27">
        <f>IF(E390="","",Y390-N(AD390))</f>
        <v/>
      </c>
      <c r="AF390" s="29">
        <f>IFERROR(AE390/Y390,"")</f>
        <v/>
      </c>
      <c r="AG390" s="25">
        <f>IF(E390="","",IF(H390="Onsite",IFERROR(INDEX(tbl_Onsite[Notes],MATCH(E390&amp;"",tbl_Onsite[Job Number],0)),""),IF(H390="Production",IFERROR(INDEX(tbl_Production[Notes],MATCH(E390&amp;"",tbl_Production[Job Number],0)),""),IF(H390="Consulting",IFERROR(INDEX(tbl_Consulting[Notes],MATCH(E390&amp;"",tbl_Consulting[Job Number],0)),""),""))))</f>
        <v/>
      </c>
    </row>
    <row r="391" ht="15" customHeight="1">
      <c r="A391" s="22" t="n"/>
      <c r="B391" s="23">
        <f>IF(A391="","",EOMONTH(A391,0))</f>
        <v/>
      </c>
      <c r="C391" s="24" t="n"/>
      <c r="D391" s="24" t="n"/>
      <c r="E391" s="24" t="n"/>
      <c r="F391" s="25">
        <f>IF(E391="","",IF(COUNTIF(lst_Jobs,E391&amp;"")&gt;0,"OK","CHECK"))</f>
        <v/>
      </c>
      <c r="G391" s="24" t="n"/>
      <c r="H391" s="24" t="n"/>
      <c r="I391" s="24" t="n"/>
      <c r="J391" s="24" t="n"/>
      <c r="K391" s="24" t="n"/>
      <c r="L391" s="26" t="n"/>
      <c r="M391" s="27">
        <f>IF(L391="","",IF(K391="GST 10%",ROUND(L391*set_GSTRate,2),0))</f>
        <v/>
      </c>
      <c r="N391" s="27">
        <f>IF(L391="","",L391+M391)</f>
        <v/>
      </c>
      <c r="O391" s="24" t="n"/>
      <c r="P391" s="24" t="n"/>
      <c r="Q391" s="24" t="n"/>
      <c r="R391" s="22" t="n"/>
      <c r="S391" s="22" t="n"/>
      <c r="T391" s="24" t="n"/>
      <c r="U391" s="24" t="n"/>
      <c r="V391" s="25">
        <f>IF(COUNTA(A391,D391,C391,L391)=0,"",IF(A391="","No date - sits outside every month",IF(E391="","No job number",IF(F391="CHECK","Job number is not in the Xero job list",IF(I391="","No cost centre",IF(AND(P391="Y",C391=""),"Marked posted to Xero but has no invoice number",IF(AND(L391&lt;&gt;"",K391=""),"No tax code",IF(AND(L391&lt;&gt;"",O391=""),"No revenue GL code",""))))))))</f>
        <v/>
      </c>
      <c r="W391" s="25">
        <f>IF(E391="","",IFERROR(INDEX(lst_JobName,MATCH(E391&amp;"",lst_Jobs,0)),""))</f>
        <v/>
      </c>
      <c r="X391" s="28">
        <f>IF(E391="","",COUNTIFS(tbl_Finance[Job Number],E391&amp;"",tbl_Finance[Ex GST],"&lt;&gt;"))</f>
        <v/>
      </c>
      <c r="Y391" s="27">
        <f>IF(E391="","",SUMIFS(tbl_Finance[Ex GST],tbl_Finance[Job Number],E391&amp;""))</f>
        <v/>
      </c>
      <c r="Z391" s="27">
        <f>IF(E391="","",SUMIFS(tbl_Finance[Ex GST],tbl_Finance[Job Number],E391&amp;"",tbl_Finance[Xero Invoice No],"&lt;&gt;"))</f>
        <v/>
      </c>
      <c r="AA391" s="27">
        <f>IF(E391="","",Y391-Z391)</f>
        <v/>
      </c>
      <c r="AB391" s="25">
        <f>IF(E391="","",IF(H391="Onsite",IFERROR(INDEX(tbl_Onsite[Qwilr Quote],MATCH(E391&amp;"",tbl_Onsite[Job Number],0)),""),IF(H391="Production",IFERROR(IF(INDEX(tbl_Production[Current RMS No],MATCH(E391&amp;"",tbl_Production[Job Number],0))="",INDEX(tbl_Production[Qwilr Quote],MATCH(E391&amp;"",tbl_Production[Job Number],0)),INDEX(tbl_Production[Current RMS No],MATCH(E391&amp;"",tbl_Production[Job Number],0))),""),IF(H391="Consulting",IFERROR(INDEX(tbl_Consulting[Qwilr Quote],MATCH(E391&amp;"",tbl_Consulting[Job Number],0)),""),""))))</f>
        <v/>
      </c>
      <c r="AC391" s="25">
        <f>IF(AB391="","",IF(AND(LEFT(AB391,4)&lt;&gt;"http",IF(H391="Production",set_RMSBase,set_QwilrBase)=""),"",HYPERLINK(IF(LEFT(AB391,4)="http",AB391,IF(H391="Production",set_RMSBase,set_QwilrBase)&amp;AB391),"Open")))</f>
        <v/>
      </c>
      <c r="AD391" s="27">
        <f>IF(E391="","",IF(H391="Production",IFERROR(INDEX(tbl_Production[Total Expense],MATCH(E391&amp;"",tbl_Production[Job Number],0)),0),IF(H391="Consulting",IFERROR(INDEX(tbl_Consulting[Total Expense],MATCH(E391&amp;"",tbl_Consulting[Job Number],0)),0),0)))</f>
        <v/>
      </c>
      <c r="AE391" s="27">
        <f>IF(E391="","",Y391-N(AD391))</f>
        <v/>
      </c>
      <c r="AF391" s="29">
        <f>IFERROR(AE391/Y391,"")</f>
        <v/>
      </c>
      <c r="AG391" s="25">
        <f>IF(E391="","",IF(H391="Onsite",IFERROR(INDEX(tbl_Onsite[Notes],MATCH(E391&amp;"",tbl_Onsite[Job Number],0)),""),IF(H391="Production",IFERROR(INDEX(tbl_Production[Notes],MATCH(E391&amp;"",tbl_Production[Job Number],0)),""),IF(H391="Consulting",IFERROR(INDEX(tbl_Consulting[Notes],MATCH(E391&amp;"",tbl_Consulting[Job Number],0)),""),""))))</f>
        <v/>
      </c>
    </row>
    <row r="392" ht="15" customHeight="1">
      <c r="A392" s="22" t="n"/>
      <c r="B392" s="23">
        <f>IF(A392="","",EOMONTH(A392,0))</f>
        <v/>
      </c>
      <c r="C392" s="24" t="n"/>
      <c r="D392" s="24" t="n"/>
      <c r="E392" s="24" t="n"/>
      <c r="F392" s="25">
        <f>IF(E392="","",IF(COUNTIF(lst_Jobs,E392&amp;"")&gt;0,"OK","CHECK"))</f>
        <v/>
      </c>
      <c r="G392" s="24" t="n"/>
      <c r="H392" s="24" t="n"/>
      <c r="I392" s="24" t="n"/>
      <c r="J392" s="24" t="n"/>
      <c r="K392" s="24" t="n"/>
      <c r="L392" s="26" t="n"/>
      <c r="M392" s="27">
        <f>IF(L392="","",IF(K392="GST 10%",ROUND(L392*set_GSTRate,2),0))</f>
        <v/>
      </c>
      <c r="N392" s="27">
        <f>IF(L392="","",L392+M392)</f>
        <v/>
      </c>
      <c r="O392" s="24" t="n"/>
      <c r="P392" s="24" t="n"/>
      <c r="Q392" s="24" t="n"/>
      <c r="R392" s="22" t="n"/>
      <c r="S392" s="22" t="n"/>
      <c r="T392" s="24" t="n"/>
      <c r="U392" s="24" t="n"/>
      <c r="V392" s="25">
        <f>IF(COUNTA(A392,D392,C392,L392)=0,"",IF(A392="","No date - sits outside every month",IF(E392="","No job number",IF(F392="CHECK","Job number is not in the Xero job list",IF(I392="","No cost centre",IF(AND(P392="Y",C392=""),"Marked posted to Xero but has no invoice number",IF(AND(L392&lt;&gt;"",K392=""),"No tax code",IF(AND(L392&lt;&gt;"",O392=""),"No revenue GL code",""))))))))</f>
        <v/>
      </c>
      <c r="W392" s="25">
        <f>IF(E392="","",IFERROR(INDEX(lst_JobName,MATCH(E392&amp;"",lst_Jobs,0)),""))</f>
        <v/>
      </c>
      <c r="X392" s="28">
        <f>IF(E392="","",COUNTIFS(tbl_Finance[Job Number],E392&amp;"",tbl_Finance[Ex GST],"&lt;&gt;"))</f>
        <v/>
      </c>
      <c r="Y392" s="27">
        <f>IF(E392="","",SUMIFS(tbl_Finance[Ex GST],tbl_Finance[Job Number],E392&amp;""))</f>
        <v/>
      </c>
      <c r="Z392" s="27">
        <f>IF(E392="","",SUMIFS(tbl_Finance[Ex GST],tbl_Finance[Job Number],E392&amp;"",tbl_Finance[Xero Invoice No],"&lt;&gt;"))</f>
        <v/>
      </c>
      <c r="AA392" s="27">
        <f>IF(E392="","",Y392-Z392)</f>
        <v/>
      </c>
      <c r="AB392" s="25">
        <f>IF(E392="","",IF(H392="Onsite",IFERROR(INDEX(tbl_Onsite[Qwilr Quote],MATCH(E392&amp;"",tbl_Onsite[Job Number],0)),""),IF(H392="Production",IFERROR(IF(INDEX(tbl_Production[Current RMS No],MATCH(E392&amp;"",tbl_Production[Job Number],0))="",INDEX(tbl_Production[Qwilr Quote],MATCH(E392&amp;"",tbl_Production[Job Number],0)),INDEX(tbl_Production[Current RMS No],MATCH(E392&amp;"",tbl_Production[Job Number],0))),""),IF(H392="Consulting",IFERROR(INDEX(tbl_Consulting[Qwilr Quote],MATCH(E392&amp;"",tbl_Consulting[Job Number],0)),""),""))))</f>
        <v/>
      </c>
      <c r="AC392" s="25">
        <f>IF(AB392="","",IF(AND(LEFT(AB392,4)&lt;&gt;"http",IF(H392="Production",set_RMSBase,set_QwilrBase)=""),"",HYPERLINK(IF(LEFT(AB392,4)="http",AB392,IF(H392="Production",set_RMSBase,set_QwilrBase)&amp;AB392),"Open")))</f>
        <v/>
      </c>
      <c r="AD392" s="27">
        <f>IF(E392="","",IF(H392="Production",IFERROR(INDEX(tbl_Production[Total Expense],MATCH(E392&amp;"",tbl_Production[Job Number],0)),0),IF(H392="Consulting",IFERROR(INDEX(tbl_Consulting[Total Expense],MATCH(E392&amp;"",tbl_Consulting[Job Number],0)),0),0)))</f>
        <v/>
      </c>
      <c r="AE392" s="27">
        <f>IF(E392="","",Y392-N(AD392))</f>
        <v/>
      </c>
      <c r="AF392" s="29">
        <f>IFERROR(AE392/Y392,"")</f>
        <v/>
      </c>
      <c r="AG392" s="25">
        <f>IF(E392="","",IF(H392="Onsite",IFERROR(INDEX(tbl_Onsite[Notes],MATCH(E392&amp;"",tbl_Onsite[Job Number],0)),""),IF(H392="Production",IFERROR(INDEX(tbl_Production[Notes],MATCH(E392&amp;"",tbl_Production[Job Number],0)),""),IF(H392="Consulting",IFERROR(INDEX(tbl_Consulting[Notes],MATCH(E392&amp;"",tbl_Consulting[Job Number],0)),""),""))))</f>
        <v/>
      </c>
    </row>
    <row r="393" ht="15" customHeight="1">
      <c r="A393" s="22" t="n"/>
      <c r="B393" s="23">
        <f>IF(A393="","",EOMONTH(A393,0))</f>
        <v/>
      </c>
      <c r="C393" s="24" t="n"/>
      <c r="D393" s="24" t="n"/>
      <c r="E393" s="24" t="n"/>
      <c r="F393" s="25">
        <f>IF(E393="","",IF(COUNTIF(lst_Jobs,E393&amp;"")&gt;0,"OK","CHECK"))</f>
        <v/>
      </c>
      <c r="G393" s="24" t="n"/>
      <c r="H393" s="24" t="n"/>
      <c r="I393" s="24" t="n"/>
      <c r="J393" s="24" t="n"/>
      <c r="K393" s="24" t="n"/>
      <c r="L393" s="26" t="n"/>
      <c r="M393" s="27">
        <f>IF(L393="","",IF(K393="GST 10%",ROUND(L393*set_GSTRate,2),0))</f>
        <v/>
      </c>
      <c r="N393" s="27">
        <f>IF(L393="","",L393+M393)</f>
        <v/>
      </c>
      <c r="O393" s="24" t="n"/>
      <c r="P393" s="24" t="n"/>
      <c r="Q393" s="24" t="n"/>
      <c r="R393" s="22" t="n"/>
      <c r="S393" s="22" t="n"/>
      <c r="T393" s="24" t="n"/>
      <c r="U393" s="24" t="n"/>
      <c r="V393" s="25">
        <f>IF(COUNTA(A393,D393,C393,L393)=0,"",IF(A393="","No date - sits outside every month",IF(E393="","No job number",IF(F393="CHECK","Job number is not in the Xero job list",IF(I393="","No cost centre",IF(AND(P393="Y",C393=""),"Marked posted to Xero but has no invoice number",IF(AND(L393&lt;&gt;"",K393=""),"No tax code",IF(AND(L393&lt;&gt;"",O393=""),"No revenue GL code",""))))))))</f>
        <v/>
      </c>
      <c r="W393" s="25">
        <f>IF(E393="","",IFERROR(INDEX(lst_JobName,MATCH(E393&amp;"",lst_Jobs,0)),""))</f>
        <v/>
      </c>
      <c r="X393" s="28">
        <f>IF(E393="","",COUNTIFS(tbl_Finance[Job Number],E393&amp;"",tbl_Finance[Ex GST],"&lt;&gt;"))</f>
        <v/>
      </c>
      <c r="Y393" s="27">
        <f>IF(E393="","",SUMIFS(tbl_Finance[Ex GST],tbl_Finance[Job Number],E393&amp;""))</f>
        <v/>
      </c>
      <c r="Z393" s="27">
        <f>IF(E393="","",SUMIFS(tbl_Finance[Ex GST],tbl_Finance[Job Number],E393&amp;"",tbl_Finance[Xero Invoice No],"&lt;&gt;"))</f>
        <v/>
      </c>
      <c r="AA393" s="27">
        <f>IF(E393="","",Y393-Z393)</f>
        <v/>
      </c>
      <c r="AB393" s="25">
        <f>IF(E393="","",IF(H393="Onsite",IFERROR(INDEX(tbl_Onsite[Qwilr Quote],MATCH(E393&amp;"",tbl_Onsite[Job Number],0)),""),IF(H393="Production",IFERROR(IF(INDEX(tbl_Production[Current RMS No],MATCH(E393&amp;"",tbl_Production[Job Number],0))="",INDEX(tbl_Production[Qwilr Quote],MATCH(E393&amp;"",tbl_Production[Job Number],0)),INDEX(tbl_Production[Current RMS No],MATCH(E393&amp;"",tbl_Production[Job Number],0))),""),IF(H393="Consulting",IFERROR(INDEX(tbl_Consulting[Qwilr Quote],MATCH(E393&amp;"",tbl_Consulting[Job Number],0)),""),""))))</f>
        <v/>
      </c>
      <c r="AC393" s="25">
        <f>IF(AB393="","",IF(AND(LEFT(AB393,4)&lt;&gt;"http",IF(H393="Production",set_RMSBase,set_QwilrBase)=""),"",HYPERLINK(IF(LEFT(AB393,4)="http",AB393,IF(H393="Production",set_RMSBase,set_QwilrBase)&amp;AB393),"Open")))</f>
        <v/>
      </c>
      <c r="AD393" s="27">
        <f>IF(E393="","",IF(H393="Production",IFERROR(INDEX(tbl_Production[Total Expense],MATCH(E393&amp;"",tbl_Production[Job Number],0)),0),IF(H393="Consulting",IFERROR(INDEX(tbl_Consulting[Total Expense],MATCH(E393&amp;"",tbl_Consulting[Job Number],0)),0),0)))</f>
        <v/>
      </c>
      <c r="AE393" s="27">
        <f>IF(E393="","",Y393-N(AD393))</f>
        <v/>
      </c>
      <c r="AF393" s="29">
        <f>IFERROR(AE393/Y393,"")</f>
        <v/>
      </c>
      <c r="AG393" s="25">
        <f>IF(E393="","",IF(H393="Onsite",IFERROR(INDEX(tbl_Onsite[Notes],MATCH(E393&amp;"",tbl_Onsite[Job Number],0)),""),IF(H393="Production",IFERROR(INDEX(tbl_Production[Notes],MATCH(E393&amp;"",tbl_Production[Job Number],0)),""),IF(H393="Consulting",IFERROR(INDEX(tbl_Consulting[Notes],MATCH(E393&amp;"",tbl_Consulting[Job Number],0)),""),""))))</f>
        <v/>
      </c>
    </row>
    <row r="394" ht="15" customHeight="1">
      <c r="A394" s="22" t="n"/>
      <c r="B394" s="23">
        <f>IF(A394="","",EOMONTH(A394,0))</f>
        <v/>
      </c>
      <c r="C394" s="24" t="n"/>
      <c r="D394" s="24" t="n"/>
      <c r="E394" s="24" t="n"/>
      <c r="F394" s="25">
        <f>IF(E394="","",IF(COUNTIF(lst_Jobs,E394&amp;"")&gt;0,"OK","CHECK"))</f>
        <v/>
      </c>
      <c r="G394" s="24" t="n"/>
      <c r="H394" s="24" t="n"/>
      <c r="I394" s="24" t="n"/>
      <c r="J394" s="24" t="n"/>
      <c r="K394" s="24" t="n"/>
      <c r="L394" s="26" t="n"/>
      <c r="M394" s="27">
        <f>IF(L394="","",IF(K394="GST 10%",ROUND(L394*set_GSTRate,2),0))</f>
        <v/>
      </c>
      <c r="N394" s="27">
        <f>IF(L394="","",L394+M394)</f>
        <v/>
      </c>
      <c r="O394" s="24" t="n"/>
      <c r="P394" s="24" t="n"/>
      <c r="Q394" s="24" t="n"/>
      <c r="R394" s="22" t="n"/>
      <c r="S394" s="22" t="n"/>
      <c r="T394" s="24" t="n"/>
      <c r="U394" s="24" t="n"/>
      <c r="V394" s="25">
        <f>IF(COUNTA(A394,D394,C394,L394)=0,"",IF(A394="","No date - sits outside every month",IF(E394="","No job number",IF(F394="CHECK","Job number is not in the Xero job list",IF(I394="","No cost centre",IF(AND(P394="Y",C394=""),"Marked posted to Xero but has no invoice number",IF(AND(L394&lt;&gt;"",K394=""),"No tax code",IF(AND(L394&lt;&gt;"",O394=""),"No revenue GL code",""))))))))</f>
        <v/>
      </c>
      <c r="W394" s="25">
        <f>IF(E394="","",IFERROR(INDEX(lst_JobName,MATCH(E394&amp;"",lst_Jobs,0)),""))</f>
        <v/>
      </c>
      <c r="X394" s="28">
        <f>IF(E394="","",COUNTIFS(tbl_Finance[Job Number],E394&amp;"",tbl_Finance[Ex GST],"&lt;&gt;"))</f>
        <v/>
      </c>
      <c r="Y394" s="27">
        <f>IF(E394="","",SUMIFS(tbl_Finance[Ex GST],tbl_Finance[Job Number],E394&amp;""))</f>
        <v/>
      </c>
      <c r="Z394" s="27">
        <f>IF(E394="","",SUMIFS(tbl_Finance[Ex GST],tbl_Finance[Job Number],E394&amp;"",tbl_Finance[Xero Invoice No],"&lt;&gt;"))</f>
        <v/>
      </c>
      <c r="AA394" s="27">
        <f>IF(E394="","",Y394-Z394)</f>
        <v/>
      </c>
      <c r="AB394" s="25">
        <f>IF(E394="","",IF(H394="Onsite",IFERROR(INDEX(tbl_Onsite[Qwilr Quote],MATCH(E394&amp;"",tbl_Onsite[Job Number],0)),""),IF(H394="Production",IFERROR(IF(INDEX(tbl_Production[Current RMS No],MATCH(E394&amp;"",tbl_Production[Job Number],0))="",INDEX(tbl_Production[Qwilr Quote],MATCH(E394&amp;"",tbl_Production[Job Number],0)),INDEX(tbl_Production[Current RMS No],MATCH(E394&amp;"",tbl_Production[Job Number],0))),""),IF(H394="Consulting",IFERROR(INDEX(tbl_Consulting[Qwilr Quote],MATCH(E394&amp;"",tbl_Consulting[Job Number],0)),""),""))))</f>
        <v/>
      </c>
      <c r="AC394" s="25">
        <f>IF(AB394="","",IF(AND(LEFT(AB394,4)&lt;&gt;"http",IF(H394="Production",set_RMSBase,set_QwilrBase)=""),"",HYPERLINK(IF(LEFT(AB394,4)="http",AB394,IF(H394="Production",set_RMSBase,set_QwilrBase)&amp;AB394),"Open")))</f>
        <v/>
      </c>
      <c r="AD394" s="27">
        <f>IF(E394="","",IF(H394="Production",IFERROR(INDEX(tbl_Production[Total Expense],MATCH(E394&amp;"",tbl_Production[Job Number],0)),0),IF(H394="Consulting",IFERROR(INDEX(tbl_Consulting[Total Expense],MATCH(E394&amp;"",tbl_Consulting[Job Number],0)),0),0)))</f>
        <v/>
      </c>
      <c r="AE394" s="27">
        <f>IF(E394="","",Y394-N(AD394))</f>
        <v/>
      </c>
      <c r="AF394" s="29">
        <f>IFERROR(AE394/Y394,"")</f>
        <v/>
      </c>
      <c r="AG394" s="25">
        <f>IF(E394="","",IF(H394="Onsite",IFERROR(INDEX(tbl_Onsite[Notes],MATCH(E394&amp;"",tbl_Onsite[Job Number],0)),""),IF(H394="Production",IFERROR(INDEX(tbl_Production[Notes],MATCH(E394&amp;"",tbl_Production[Job Number],0)),""),IF(H394="Consulting",IFERROR(INDEX(tbl_Consulting[Notes],MATCH(E394&amp;"",tbl_Consulting[Job Number],0)),""),""))))</f>
        <v/>
      </c>
    </row>
    <row r="395" ht="15" customHeight="1">
      <c r="A395" s="22" t="n"/>
      <c r="B395" s="23">
        <f>IF(A395="","",EOMONTH(A395,0))</f>
        <v/>
      </c>
      <c r="C395" s="24" t="n"/>
      <c r="D395" s="24" t="n"/>
      <c r="E395" s="24" t="n"/>
      <c r="F395" s="25">
        <f>IF(E395="","",IF(COUNTIF(lst_Jobs,E395&amp;"")&gt;0,"OK","CHECK"))</f>
        <v/>
      </c>
      <c r="G395" s="24" t="n"/>
      <c r="H395" s="24" t="n"/>
      <c r="I395" s="24" t="n"/>
      <c r="J395" s="24" t="n"/>
      <c r="K395" s="24" t="n"/>
      <c r="L395" s="26" t="n"/>
      <c r="M395" s="27">
        <f>IF(L395="","",IF(K395="GST 10%",ROUND(L395*set_GSTRate,2),0))</f>
        <v/>
      </c>
      <c r="N395" s="27">
        <f>IF(L395="","",L395+M395)</f>
        <v/>
      </c>
      <c r="O395" s="24" t="n"/>
      <c r="P395" s="24" t="n"/>
      <c r="Q395" s="24" t="n"/>
      <c r="R395" s="22" t="n"/>
      <c r="S395" s="22" t="n"/>
      <c r="T395" s="24" t="n"/>
      <c r="U395" s="24" t="n"/>
      <c r="V395" s="25">
        <f>IF(COUNTA(A395,D395,C395,L395)=0,"",IF(A395="","No date - sits outside every month",IF(E395="","No job number",IF(F395="CHECK","Job number is not in the Xero job list",IF(I395="","No cost centre",IF(AND(P395="Y",C395=""),"Marked posted to Xero but has no invoice number",IF(AND(L395&lt;&gt;"",K395=""),"No tax code",IF(AND(L395&lt;&gt;"",O395=""),"No revenue GL code",""))))))))</f>
        <v/>
      </c>
      <c r="W395" s="25">
        <f>IF(E395="","",IFERROR(INDEX(lst_JobName,MATCH(E395&amp;"",lst_Jobs,0)),""))</f>
        <v/>
      </c>
      <c r="X395" s="28">
        <f>IF(E395="","",COUNTIFS(tbl_Finance[Job Number],E395&amp;"",tbl_Finance[Ex GST],"&lt;&gt;"))</f>
        <v/>
      </c>
      <c r="Y395" s="27">
        <f>IF(E395="","",SUMIFS(tbl_Finance[Ex GST],tbl_Finance[Job Number],E395&amp;""))</f>
        <v/>
      </c>
      <c r="Z395" s="27">
        <f>IF(E395="","",SUMIFS(tbl_Finance[Ex GST],tbl_Finance[Job Number],E395&amp;"",tbl_Finance[Xero Invoice No],"&lt;&gt;"))</f>
        <v/>
      </c>
      <c r="AA395" s="27">
        <f>IF(E395="","",Y395-Z395)</f>
        <v/>
      </c>
      <c r="AB395" s="25">
        <f>IF(E395="","",IF(H395="Onsite",IFERROR(INDEX(tbl_Onsite[Qwilr Quote],MATCH(E395&amp;"",tbl_Onsite[Job Number],0)),""),IF(H395="Production",IFERROR(IF(INDEX(tbl_Production[Current RMS No],MATCH(E395&amp;"",tbl_Production[Job Number],0))="",INDEX(tbl_Production[Qwilr Quote],MATCH(E395&amp;"",tbl_Production[Job Number],0)),INDEX(tbl_Production[Current RMS No],MATCH(E395&amp;"",tbl_Production[Job Number],0))),""),IF(H395="Consulting",IFERROR(INDEX(tbl_Consulting[Qwilr Quote],MATCH(E395&amp;"",tbl_Consulting[Job Number],0)),""),""))))</f>
        <v/>
      </c>
      <c r="AC395" s="25">
        <f>IF(AB395="","",IF(AND(LEFT(AB395,4)&lt;&gt;"http",IF(H395="Production",set_RMSBase,set_QwilrBase)=""),"",HYPERLINK(IF(LEFT(AB395,4)="http",AB395,IF(H395="Production",set_RMSBase,set_QwilrBase)&amp;AB395),"Open")))</f>
        <v/>
      </c>
      <c r="AD395" s="27">
        <f>IF(E395="","",IF(H395="Production",IFERROR(INDEX(tbl_Production[Total Expense],MATCH(E395&amp;"",tbl_Production[Job Number],0)),0),IF(H395="Consulting",IFERROR(INDEX(tbl_Consulting[Total Expense],MATCH(E395&amp;"",tbl_Consulting[Job Number],0)),0),0)))</f>
        <v/>
      </c>
      <c r="AE395" s="27">
        <f>IF(E395="","",Y395-N(AD395))</f>
        <v/>
      </c>
      <c r="AF395" s="29">
        <f>IFERROR(AE395/Y395,"")</f>
        <v/>
      </c>
      <c r="AG395" s="25">
        <f>IF(E395="","",IF(H395="Onsite",IFERROR(INDEX(tbl_Onsite[Notes],MATCH(E395&amp;"",tbl_Onsite[Job Number],0)),""),IF(H395="Production",IFERROR(INDEX(tbl_Production[Notes],MATCH(E395&amp;"",tbl_Production[Job Number],0)),""),IF(H395="Consulting",IFERROR(INDEX(tbl_Consulting[Notes],MATCH(E395&amp;"",tbl_Consulting[Job Number],0)),""),""))))</f>
        <v/>
      </c>
    </row>
    <row r="396" ht="15" customHeight="1">
      <c r="A396" s="22" t="n"/>
      <c r="B396" s="23">
        <f>IF(A396="","",EOMONTH(A396,0))</f>
        <v/>
      </c>
      <c r="C396" s="24" t="n"/>
      <c r="D396" s="24" t="n"/>
      <c r="E396" s="24" t="n"/>
      <c r="F396" s="25">
        <f>IF(E396="","",IF(COUNTIF(lst_Jobs,E396&amp;"")&gt;0,"OK","CHECK"))</f>
        <v/>
      </c>
      <c r="G396" s="24" t="n"/>
      <c r="H396" s="24" t="n"/>
      <c r="I396" s="24" t="n"/>
      <c r="J396" s="24" t="n"/>
      <c r="K396" s="24" t="n"/>
      <c r="L396" s="26" t="n"/>
      <c r="M396" s="27">
        <f>IF(L396="","",IF(K396="GST 10%",ROUND(L396*set_GSTRate,2),0))</f>
        <v/>
      </c>
      <c r="N396" s="27">
        <f>IF(L396="","",L396+M396)</f>
        <v/>
      </c>
      <c r="O396" s="24" t="n"/>
      <c r="P396" s="24" t="n"/>
      <c r="Q396" s="24" t="n"/>
      <c r="R396" s="22" t="n"/>
      <c r="S396" s="22" t="n"/>
      <c r="T396" s="24" t="n"/>
      <c r="U396" s="24" t="n"/>
      <c r="V396" s="25">
        <f>IF(COUNTA(A396,D396,C396,L396)=0,"",IF(A396="","No date - sits outside every month",IF(E396="","No job number",IF(F396="CHECK","Job number is not in the Xero job list",IF(I396="","No cost centre",IF(AND(P396="Y",C396=""),"Marked posted to Xero but has no invoice number",IF(AND(L396&lt;&gt;"",K396=""),"No tax code",IF(AND(L396&lt;&gt;"",O396=""),"No revenue GL code",""))))))))</f>
        <v/>
      </c>
      <c r="W396" s="25">
        <f>IF(E396="","",IFERROR(INDEX(lst_JobName,MATCH(E396&amp;"",lst_Jobs,0)),""))</f>
        <v/>
      </c>
      <c r="X396" s="28">
        <f>IF(E396="","",COUNTIFS(tbl_Finance[Job Number],E396&amp;"",tbl_Finance[Ex GST],"&lt;&gt;"))</f>
        <v/>
      </c>
      <c r="Y396" s="27">
        <f>IF(E396="","",SUMIFS(tbl_Finance[Ex GST],tbl_Finance[Job Number],E396&amp;""))</f>
        <v/>
      </c>
      <c r="Z396" s="27">
        <f>IF(E396="","",SUMIFS(tbl_Finance[Ex GST],tbl_Finance[Job Number],E396&amp;"",tbl_Finance[Xero Invoice No],"&lt;&gt;"))</f>
        <v/>
      </c>
      <c r="AA396" s="27">
        <f>IF(E396="","",Y396-Z396)</f>
        <v/>
      </c>
      <c r="AB396" s="25">
        <f>IF(E396="","",IF(H396="Onsite",IFERROR(INDEX(tbl_Onsite[Qwilr Quote],MATCH(E396&amp;"",tbl_Onsite[Job Number],0)),""),IF(H396="Production",IFERROR(IF(INDEX(tbl_Production[Current RMS No],MATCH(E396&amp;"",tbl_Production[Job Number],0))="",INDEX(tbl_Production[Qwilr Quote],MATCH(E396&amp;"",tbl_Production[Job Number],0)),INDEX(tbl_Production[Current RMS No],MATCH(E396&amp;"",tbl_Production[Job Number],0))),""),IF(H396="Consulting",IFERROR(INDEX(tbl_Consulting[Qwilr Quote],MATCH(E396&amp;"",tbl_Consulting[Job Number],0)),""),""))))</f>
        <v/>
      </c>
      <c r="AC396" s="25">
        <f>IF(AB396="","",IF(AND(LEFT(AB396,4)&lt;&gt;"http",IF(H396="Production",set_RMSBase,set_QwilrBase)=""),"",HYPERLINK(IF(LEFT(AB396,4)="http",AB396,IF(H396="Production",set_RMSBase,set_QwilrBase)&amp;AB396),"Open")))</f>
        <v/>
      </c>
      <c r="AD396" s="27">
        <f>IF(E396="","",IF(H396="Production",IFERROR(INDEX(tbl_Production[Total Expense],MATCH(E396&amp;"",tbl_Production[Job Number],0)),0),IF(H396="Consulting",IFERROR(INDEX(tbl_Consulting[Total Expense],MATCH(E396&amp;"",tbl_Consulting[Job Number],0)),0),0)))</f>
        <v/>
      </c>
      <c r="AE396" s="27">
        <f>IF(E396="","",Y396-N(AD396))</f>
        <v/>
      </c>
      <c r="AF396" s="29">
        <f>IFERROR(AE396/Y396,"")</f>
        <v/>
      </c>
      <c r="AG396" s="25">
        <f>IF(E396="","",IF(H396="Onsite",IFERROR(INDEX(tbl_Onsite[Notes],MATCH(E396&amp;"",tbl_Onsite[Job Number],0)),""),IF(H396="Production",IFERROR(INDEX(tbl_Production[Notes],MATCH(E396&amp;"",tbl_Production[Job Number],0)),""),IF(H396="Consulting",IFERROR(INDEX(tbl_Consulting[Notes],MATCH(E396&amp;"",tbl_Consulting[Job Number],0)),""),""))))</f>
        <v/>
      </c>
    </row>
    <row r="397" ht="15" customHeight="1">
      <c r="A397" s="22" t="n"/>
      <c r="B397" s="23">
        <f>IF(A397="","",EOMONTH(A397,0))</f>
        <v/>
      </c>
      <c r="C397" s="24" t="n"/>
      <c r="D397" s="24" t="n"/>
      <c r="E397" s="24" t="n"/>
      <c r="F397" s="25">
        <f>IF(E397="","",IF(COUNTIF(lst_Jobs,E397&amp;"")&gt;0,"OK","CHECK"))</f>
        <v/>
      </c>
      <c r="G397" s="24" t="n"/>
      <c r="H397" s="24" t="n"/>
      <c r="I397" s="24" t="n"/>
      <c r="J397" s="24" t="n"/>
      <c r="K397" s="24" t="n"/>
      <c r="L397" s="26" t="n"/>
      <c r="M397" s="27">
        <f>IF(L397="","",IF(K397="GST 10%",ROUND(L397*set_GSTRate,2),0))</f>
        <v/>
      </c>
      <c r="N397" s="27">
        <f>IF(L397="","",L397+M397)</f>
        <v/>
      </c>
      <c r="O397" s="24" t="n"/>
      <c r="P397" s="24" t="n"/>
      <c r="Q397" s="24" t="n"/>
      <c r="R397" s="22" t="n"/>
      <c r="S397" s="22" t="n"/>
      <c r="T397" s="24" t="n"/>
      <c r="U397" s="24" t="n"/>
      <c r="V397" s="25">
        <f>IF(COUNTA(A397,D397,C397,L397)=0,"",IF(A397="","No date - sits outside every month",IF(E397="","No job number",IF(F397="CHECK","Job number is not in the Xero job list",IF(I397="","No cost centre",IF(AND(P397="Y",C397=""),"Marked posted to Xero but has no invoice number",IF(AND(L397&lt;&gt;"",K397=""),"No tax code",IF(AND(L397&lt;&gt;"",O397=""),"No revenue GL code",""))))))))</f>
        <v/>
      </c>
      <c r="W397" s="25">
        <f>IF(E397="","",IFERROR(INDEX(lst_JobName,MATCH(E397&amp;"",lst_Jobs,0)),""))</f>
        <v/>
      </c>
      <c r="X397" s="28">
        <f>IF(E397="","",COUNTIFS(tbl_Finance[Job Number],E397&amp;"",tbl_Finance[Ex GST],"&lt;&gt;"))</f>
        <v/>
      </c>
      <c r="Y397" s="27">
        <f>IF(E397="","",SUMIFS(tbl_Finance[Ex GST],tbl_Finance[Job Number],E397&amp;""))</f>
        <v/>
      </c>
      <c r="Z397" s="27">
        <f>IF(E397="","",SUMIFS(tbl_Finance[Ex GST],tbl_Finance[Job Number],E397&amp;"",tbl_Finance[Xero Invoice No],"&lt;&gt;"))</f>
        <v/>
      </c>
      <c r="AA397" s="27">
        <f>IF(E397="","",Y397-Z397)</f>
        <v/>
      </c>
      <c r="AB397" s="25">
        <f>IF(E397="","",IF(H397="Onsite",IFERROR(INDEX(tbl_Onsite[Qwilr Quote],MATCH(E397&amp;"",tbl_Onsite[Job Number],0)),""),IF(H397="Production",IFERROR(IF(INDEX(tbl_Production[Current RMS No],MATCH(E397&amp;"",tbl_Production[Job Number],0))="",INDEX(tbl_Production[Qwilr Quote],MATCH(E397&amp;"",tbl_Production[Job Number],0)),INDEX(tbl_Production[Current RMS No],MATCH(E397&amp;"",tbl_Production[Job Number],0))),""),IF(H397="Consulting",IFERROR(INDEX(tbl_Consulting[Qwilr Quote],MATCH(E397&amp;"",tbl_Consulting[Job Number],0)),""),""))))</f>
        <v/>
      </c>
      <c r="AC397" s="25">
        <f>IF(AB397="","",IF(AND(LEFT(AB397,4)&lt;&gt;"http",IF(H397="Production",set_RMSBase,set_QwilrBase)=""),"",HYPERLINK(IF(LEFT(AB397,4)="http",AB397,IF(H397="Production",set_RMSBase,set_QwilrBase)&amp;AB397),"Open")))</f>
        <v/>
      </c>
      <c r="AD397" s="27">
        <f>IF(E397="","",IF(H397="Production",IFERROR(INDEX(tbl_Production[Total Expense],MATCH(E397&amp;"",tbl_Production[Job Number],0)),0),IF(H397="Consulting",IFERROR(INDEX(tbl_Consulting[Total Expense],MATCH(E397&amp;"",tbl_Consulting[Job Number],0)),0),0)))</f>
        <v/>
      </c>
      <c r="AE397" s="27">
        <f>IF(E397="","",Y397-N(AD397))</f>
        <v/>
      </c>
      <c r="AF397" s="29">
        <f>IFERROR(AE397/Y397,"")</f>
        <v/>
      </c>
      <c r="AG397" s="25">
        <f>IF(E397="","",IF(H397="Onsite",IFERROR(INDEX(tbl_Onsite[Notes],MATCH(E397&amp;"",tbl_Onsite[Job Number],0)),""),IF(H397="Production",IFERROR(INDEX(tbl_Production[Notes],MATCH(E397&amp;"",tbl_Production[Job Number],0)),""),IF(H397="Consulting",IFERROR(INDEX(tbl_Consulting[Notes],MATCH(E397&amp;"",tbl_Consulting[Job Number],0)),""),""))))</f>
        <v/>
      </c>
    </row>
    <row r="398" ht="15" customHeight="1">
      <c r="A398" s="22" t="n"/>
      <c r="B398" s="23">
        <f>IF(A398="","",EOMONTH(A398,0))</f>
        <v/>
      </c>
      <c r="C398" s="24" t="n"/>
      <c r="D398" s="24" t="n"/>
      <c r="E398" s="24" t="n"/>
      <c r="F398" s="25">
        <f>IF(E398="","",IF(COUNTIF(lst_Jobs,E398&amp;"")&gt;0,"OK","CHECK"))</f>
        <v/>
      </c>
      <c r="G398" s="24" t="n"/>
      <c r="H398" s="24" t="n"/>
      <c r="I398" s="24" t="n"/>
      <c r="J398" s="24" t="n"/>
      <c r="K398" s="24" t="n"/>
      <c r="L398" s="26" t="n"/>
      <c r="M398" s="27">
        <f>IF(L398="","",IF(K398="GST 10%",ROUND(L398*set_GSTRate,2),0))</f>
        <v/>
      </c>
      <c r="N398" s="27">
        <f>IF(L398="","",L398+M398)</f>
        <v/>
      </c>
      <c r="O398" s="24" t="n"/>
      <c r="P398" s="24" t="n"/>
      <c r="Q398" s="24" t="n"/>
      <c r="R398" s="22" t="n"/>
      <c r="S398" s="22" t="n"/>
      <c r="T398" s="24" t="n"/>
      <c r="U398" s="24" t="n"/>
      <c r="V398" s="25">
        <f>IF(COUNTA(A398,D398,C398,L398)=0,"",IF(A398="","No date - sits outside every month",IF(E398="","No job number",IF(F398="CHECK","Job number is not in the Xero job list",IF(I398="","No cost centre",IF(AND(P398="Y",C398=""),"Marked posted to Xero but has no invoice number",IF(AND(L398&lt;&gt;"",K398=""),"No tax code",IF(AND(L398&lt;&gt;"",O398=""),"No revenue GL code",""))))))))</f>
        <v/>
      </c>
      <c r="W398" s="25">
        <f>IF(E398="","",IFERROR(INDEX(lst_JobName,MATCH(E398&amp;"",lst_Jobs,0)),""))</f>
        <v/>
      </c>
      <c r="X398" s="28">
        <f>IF(E398="","",COUNTIFS(tbl_Finance[Job Number],E398&amp;"",tbl_Finance[Ex GST],"&lt;&gt;"))</f>
        <v/>
      </c>
      <c r="Y398" s="27">
        <f>IF(E398="","",SUMIFS(tbl_Finance[Ex GST],tbl_Finance[Job Number],E398&amp;""))</f>
        <v/>
      </c>
      <c r="Z398" s="27">
        <f>IF(E398="","",SUMIFS(tbl_Finance[Ex GST],tbl_Finance[Job Number],E398&amp;"",tbl_Finance[Xero Invoice No],"&lt;&gt;"))</f>
        <v/>
      </c>
      <c r="AA398" s="27">
        <f>IF(E398="","",Y398-Z398)</f>
        <v/>
      </c>
      <c r="AB398" s="25">
        <f>IF(E398="","",IF(H398="Onsite",IFERROR(INDEX(tbl_Onsite[Qwilr Quote],MATCH(E398&amp;"",tbl_Onsite[Job Number],0)),""),IF(H398="Production",IFERROR(IF(INDEX(tbl_Production[Current RMS No],MATCH(E398&amp;"",tbl_Production[Job Number],0))="",INDEX(tbl_Production[Qwilr Quote],MATCH(E398&amp;"",tbl_Production[Job Number],0)),INDEX(tbl_Production[Current RMS No],MATCH(E398&amp;"",tbl_Production[Job Number],0))),""),IF(H398="Consulting",IFERROR(INDEX(tbl_Consulting[Qwilr Quote],MATCH(E398&amp;"",tbl_Consulting[Job Number],0)),""),""))))</f>
        <v/>
      </c>
      <c r="AC398" s="25">
        <f>IF(AB398="","",IF(AND(LEFT(AB398,4)&lt;&gt;"http",IF(H398="Production",set_RMSBase,set_QwilrBase)=""),"",HYPERLINK(IF(LEFT(AB398,4)="http",AB398,IF(H398="Production",set_RMSBase,set_QwilrBase)&amp;AB398),"Open")))</f>
        <v/>
      </c>
      <c r="AD398" s="27">
        <f>IF(E398="","",IF(H398="Production",IFERROR(INDEX(tbl_Production[Total Expense],MATCH(E398&amp;"",tbl_Production[Job Number],0)),0),IF(H398="Consulting",IFERROR(INDEX(tbl_Consulting[Total Expense],MATCH(E398&amp;"",tbl_Consulting[Job Number],0)),0),0)))</f>
        <v/>
      </c>
      <c r="AE398" s="27">
        <f>IF(E398="","",Y398-N(AD398))</f>
        <v/>
      </c>
      <c r="AF398" s="29">
        <f>IFERROR(AE398/Y398,"")</f>
        <v/>
      </c>
      <c r="AG398" s="25">
        <f>IF(E398="","",IF(H398="Onsite",IFERROR(INDEX(tbl_Onsite[Notes],MATCH(E398&amp;"",tbl_Onsite[Job Number],0)),""),IF(H398="Production",IFERROR(INDEX(tbl_Production[Notes],MATCH(E398&amp;"",tbl_Production[Job Number],0)),""),IF(H398="Consulting",IFERROR(INDEX(tbl_Consulting[Notes],MATCH(E398&amp;"",tbl_Consulting[Job Number],0)),""),""))))</f>
        <v/>
      </c>
    </row>
    <row r="399" ht="15" customHeight="1">
      <c r="A399" s="22" t="n"/>
      <c r="B399" s="23">
        <f>IF(A399="","",EOMONTH(A399,0))</f>
        <v/>
      </c>
      <c r="C399" s="24" t="n"/>
      <c r="D399" s="24" t="n"/>
      <c r="E399" s="24" t="n"/>
      <c r="F399" s="25">
        <f>IF(E399="","",IF(COUNTIF(lst_Jobs,E399&amp;"")&gt;0,"OK","CHECK"))</f>
        <v/>
      </c>
      <c r="G399" s="24" t="n"/>
      <c r="H399" s="24" t="n"/>
      <c r="I399" s="24" t="n"/>
      <c r="J399" s="24" t="n"/>
      <c r="K399" s="24" t="n"/>
      <c r="L399" s="26" t="n"/>
      <c r="M399" s="27">
        <f>IF(L399="","",IF(K399="GST 10%",ROUND(L399*set_GSTRate,2),0))</f>
        <v/>
      </c>
      <c r="N399" s="27">
        <f>IF(L399="","",L399+M399)</f>
        <v/>
      </c>
      <c r="O399" s="24" t="n"/>
      <c r="P399" s="24" t="n"/>
      <c r="Q399" s="24" t="n"/>
      <c r="R399" s="22" t="n"/>
      <c r="S399" s="22" t="n"/>
      <c r="T399" s="24" t="n"/>
      <c r="U399" s="24" t="n"/>
      <c r="V399" s="25">
        <f>IF(COUNTA(A399,D399,C399,L399)=0,"",IF(A399="","No date - sits outside every month",IF(E399="","No job number",IF(F399="CHECK","Job number is not in the Xero job list",IF(I399="","No cost centre",IF(AND(P399="Y",C399=""),"Marked posted to Xero but has no invoice number",IF(AND(L399&lt;&gt;"",K399=""),"No tax code",IF(AND(L399&lt;&gt;"",O399=""),"No revenue GL code",""))))))))</f>
        <v/>
      </c>
      <c r="W399" s="25">
        <f>IF(E399="","",IFERROR(INDEX(lst_JobName,MATCH(E399&amp;"",lst_Jobs,0)),""))</f>
        <v/>
      </c>
      <c r="X399" s="28">
        <f>IF(E399="","",COUNTIFS(tbl_Finance[Job Number],E399&amp;"",tbl_Finance[Ex GST],"&lt;&gt;"))</f>
        <v/>
      </c>
      <c r="Y399" s="27">
        <f>IF(E399="","",SUMIFS(tbl_Finance[Ex GST],tbl_Finance[Job Number],E399&amp;""))</f>
        <v/>
      </c>
      <c r="Z399" s="27">
        <f>IF(E399="","",SUMIFS(tbl_Finance[Ex GST],tbl_Finance[Job Number],E399&amp;"",tbl_Finance[Xero Invoice No],"&lt;&gt;"))</f>
        <v/>
      </c>
      <c r="AA399" s="27">
        <f>IF(E399="","",Y399-Z399)</f>
        <v/>
      </c>
      <c r="AB399" s="25">
        <f>IF(E399="","",IF(H399="Onsite",IFERROR(INDEX(tbl_Onsite[Qwilr Quote],MATCH(E399&amp;"",tbl_Onsite[Job Number],0)),""),IF(H399="Production",IFERROR(IF(INDEX(tbl_Production[Current RMS No],MATCH(E399&amp;"",tbl_Production[Job Number],0))="",INDEX(tbl_Production[Qwilr Quote],MATCH(E399&amp;"",tbl_Production[Job Number],0)),INDEX(tbl_Production[Current RMS No],MATCH(E399&amp;"",tbl_Production[Job Number],0))),""),IF(H399="Consulting",IFERROR(INDEX(tbl_Consulting[Qwilr Quote],MATCH(E399&amp;"",tbl_Consulting[Job Number],0)),""),""))))</f>
        <v/>
      </c>
      <c r="AC399" s="25">
        <f>IF(AB399="","",IF(AND(LEFT(AB399,4)&lt;&gt;"http",IF(H399="Production",set_RMSBase,set_QwilrBase)=""),"",HYPERLINK(IF(LEFT(AB399,4)="http",AB399,IF(H399="Production",set_RMSBase,set_QwilrBase)&amp;AB399),"Open")))</f>
        <v/>
      </c>
      <c r="AD399" s="27">
        <f>IF(E399="","",IF(H399="Production",IFERROR(INDEX(tbl_Production[Total Expense],MATCH(E399&amp;"",tbl_Production[Job Number],0)),0),IF(H399="Consulting",IFERROR(INDEX(tbl_Consulting[Total Expense],MATCH(E399&amp;"",tbl_Consulting[Job Number],0)),0),0)))</f>
        <v/>
      </c>
      <c r="AE399" s="27">
        <f>IF(E399="","",Y399-N(AD399))</f>
        <v/>
      </c>
      <c r="AF399" s="29">
        <f>IFERROR(AE399/Y399,"")</f>
        <v/>
      </c>
      <c r="AG399" s="25">
        <f>IF(E399="","",IF(H399="Onsite",IFERROR(INDEX(tbl_Onsite[Notes],MATCH(E399&amp;"",tbl_Onsite[Job Number],0)),""),IF(H399="Production",IFERROR(INDEX(tbl_Production[Notes],MATCH(E399&amp;"",tbl_Production[Job Number],0)),""),IF(H399="Consulting",IFERROR(INDEX(tbl_Consulting[Notes],MATCH(E399&amp;"",tbl_Consulting[Job Number],0)),""),""))))</f>
        <v/>
      </c>
    </row>
    <row r="400" ht="15" customHeight="1">
      <c r="A400" s="22" t="n"/>
      <c r="B400" s="23">
        <f>IF(A400="","",EOMONTH(A400,0))</f>
        <v/>
      </c>
      <c r="C400" s="24" t="n"/>
      <c r="D400" s="24" t="n"/>
      <c r="E400" s="24" t="n"/>
      <c r="F400" s="25">
        <f>IF(E400="","",IF(COUNTIF(lst_Jobs,E400&amp;"")&gt;0,"OK","CHECK"))</f>
        <v/>
      </c>
      <c r="G400" s="24" t="n"/>
      <c r="H400" s="24" t="n"/>
      <c r="I400" s="24" t="n"/>
      <c r="J400" s="24" t="n"/>
      <c r="K400" s="24" t="n"/>
      <c r="L400" s="26" t="n"/>
      <c r="M400" s="27">
        <f>IF(L400="","",IF(K400="GST 10%",ROUND(L400*set_GSTRate,2),0))</f>
        <v/>
      </c>
      <c r="N400" s="27">
        <f>IF(L400="","",L400+M400)</f>
        <v/>
      </c>
      <c r="O400" s="24" t="n"/>
      <c r="P400" s="24" t="n"/>
      <c r="Q400" s="24" t="n"/>
      <c r="R400" s="22" t="n"/>
      <c r="S400" s="22" t="n"/>
      <c r="T400" s="24" t="n"/>
      <c r="U400" s="24" t="n"/>
      <c r="V400" s="25">
        <f>IF(COUNTA(A400,D400,C400,L400)=0,"",IF(A400="","No date - sits outside every month",IF(E400="","No job number",IF(F400="CHECK","Job number is not in the Xero job list",IF(I400="","No cost centre",IF(AND(P400="Y",C400=""),"Marked posted to Xero but has no invoice number",IF(AND(L400&lt;&gt;"",K400=""),"No tax code",IF(AND(L400&lt;&gt;"",O400=""),"No revenue GL code",""))))))))</f>
        <v/>
      </c>
      <c r="W400" s="25">
        <f>IF(E400="","",IFERROR(INDEX(lst_JobName,MATCH(E400&amp;"",lst_Jobs,0)),""))</f>
        <v/>
      </c>
      <c r="X400" s="28">
        <f>IF(E400="","",COUNTIFS(tbl_Finance[Job Number],E400&amp;"",tbl_Finance[Ex GST],"&lt;&gt;"))</f>
        <v/>
      </c>
      <c r="Y400" s="27">
        <f>IF(E400="","",SUMIFS(tbl_Finance[Ex GST],tbl_Finance[Job Number],E400&amp;""))</f>
        <v/>
      </c>
      <c r="Z400" s="27">
        <f>IF(E400="","",SUMIFS(tbl_Finance[Ex GST],tbl_Finance[Job Number],E400&amp;"",tbl_Finance[Xero Invoice No],"&lt;&gt;"))</f>
        <v/>
      </c>
      <c r="AA400" s="27">
        <f>IF(E400="","",Y400-Z400)</f>
        <v/>
      </c>
      <c r="AB400" s="25">
        <f>IF(E400="","",IF(H400="Onsite",IFERROR(INDEX(tbl_Onsite[Qwilr Quote],MATCH(E400&amp;"",tbl_Onsite[Job Number],0)),""),IF(H400="Production",IFERROR(IF(INDEX(tbl_Production[Current RMS No],MATCH(E400&amp;"",tbl_Production[Job Number],0))="",INDEX(tbl_Production[Qwilr Quote],MATCH(E400&amp;"",tbl_Production[Job Number],0)),INDEX(tbl_Production[Current RMS No],MATCH(E400&amp;"",tbl_Production[Job Number],0))),""),IF(H400="Consulting",IFERROR(INDEX(tbl_Consulting[Qwilr Quote],MATCH(E400&amp;"",tbl_Consulting[Job Number],0)),""),""))))</f>
        <v/>
      </c>
      <c r="AC400" s="25">
        <f>IF(AB400="","",IF(AND(LEFT(AB400,4)&lt;&gt;"http",IF(H400="Production",set_RMSBase,set_QwilrBase)=""),"",HYPERLINK(IF(LEFT(AB400,4)="http",AB400,IF(H400="Production",set_RMSBase,set_QwilrBase)&amp;AB400),"Open")))</f>
        <v/>
      </c>
      <c r="AD400" s="27">
        <f>IF(E400="","",IF(H400="Production",IFERROR(INDEX(tbl_Production[Total Expense],MATCH(E400&amp;"",tbl_Production[Job Number],0)),0),IF(H400="Consulting",IFERROR(INDEX(tbl_Consulting[Total Expense],MATCH(E400&amp;"",tbl_Consulting[Job Number],0)),0),0)))</f>
        <v/>
      </c>
      <c r="AE400" s="27">
        <f>IF(E400="","",Y400-N(AD400))</f>
        <v/>
      </c>
      <c r="AF400" s="29">
        <f>IFERROR(AE400/Y400,"")</f>
        <v/>
      </c>
      <c r="AG400" s="25">
        <f>IF(E400="","",IF(H400="Onsite",IFERROR(INDEX(tbl_Onsite[Notes],MATCH(E400&amp;"",tbl_Onsite[Job Number],0)),""),IF(H400="Production",IFERROR(INDEX(tbl_Production[Notes],MATCH(E400&amp;"",tbl_Production[Job Number],0)),""),IF(H400="Consulting",IFERROR(INDEX(tbl_Consulting[Notes],MATCH(E400&amp;"",tbl_Consulting[Job Number],0)),""),""))))</f>
        <v/>
      </c>
    </row>
    <row r="401" ht="15" customHeight="1">
      <c r="A401" s="22" t="n"/>
      <c r="B401" s="23">
        <f>IF(A401="","",EOMONTH(A401,0))</f>
        <v/>
      </c>
      <c r="C401" s="24" t="n"/>
      <c r="D401" s="24" t="n"/>
      <c r="E401" s="24" t="n"/>
      <c r="F401" s="25">
        <f>IF(E401="","",IF(COUNTIF(lst_Jobs,E401&amp;"")&gt;0,"OK","CHECK"))</f>
        <v/>
      </c>
      <c r="G401" s="24" t="n"/>
      <c r="H401" s="24" t="n"/>
      <c r="I401" s="24" t="n"/>
      <c r="J401" s="24" t="n"/>
      <c r="K401" s="24" t="n"/>
      <c r="L401" s="26" t="n"/>
      <c r="M401" s="27">
        <f>IF(L401="","",IF(K401="GST 10%",ROUND(L401*set_GSTRate,2),0))</f>
        <v/>
      </c>
      <c r="N401" s="27">
        <f>IF(L401="","",L401+M401)</f>
        <v/>
      </c>
      <c r="O401" s="24" t="n"/>
      <c r="P401" s="24" t="n"/>
      <c r="Q401" s="24" t="n"/>
      <c r="R401" s="22" t="n"/>
      <c r="S401" s="22" t="n"/>
      <c r="T401" s="24" t="n"/>
      <c r="U401" s="24" t="n"/>
      <c r="V401" s="25">
        <f>IF(COUNTA(A401,D401,C401,L401)=0,"",IF(A401="","No date - sits outside every month",IF(E401="","No job number",IF(F401="CHECK","Job number is not in the Xero job list",IF(I401="","No cost centre",IF(AND(P401="Y",C401=""),"Marked posted to Xero but has no invoice number",IF(AND(L401&lt;&gt;"",K401=""),"No tax code",IF(AND(L401&lt;&gt;"",O401=""),"No revenue GL code",""))))))))</f>
        <v/>
      </c>
      <c r="W401" s="25">
        <f>IF(E401="","",IFERROR(INDEX(lst_JobName,MATCH(E401&amp;"",lst_Jobs,0)),""))</f>
        <v/>
      </c>
      <c r="X401" s="28">
        <f>IF(E401="","",COUNTIFS(tbl_Finance[Job Number],E401&amp;"",tbl_Finance[Ex GST],"&lt;&gt;"))</f>
        <v/>
      </c>
      <c r="Y401" s="27">
        <f>IF(E401="","",SUMIFS(tbl_Finance[Ex GST],tbl_Finance[Job Number],E401&amp;""))</f>
        <v/>
      </c>
      <c r="Z401" s="27">
        <f>IF(E401="","",SUMIFS(tbl_Finance[Ex GST],tbl_Finance[Job Number],E401&amp;"",tbl_Finance[Xero Invoice No],"&lt;&gt;"))</f>
        <v/>
      </c>
      <c r="AA401" s="27">
        <f>IF(E401="","",Y401-Z401)</f>
        <v/>
      </c>
      <c r="AB401" s="25">
        <f>IF(E401="","",IF(H401="Onsite",IFERROR(INDEX(tbl_Onsite[Qwilr Quote],MATCH(E401&amp;"",tbl_Onsite[Job Number],0)),""),IF(H401="Production",IFERROR(IF(INDEX(tbl_Production[Current RMS No],MATCH(E401&amp;"",tbl_Production[Job Number],0))="",INDEX(tbl_Production[Qwilr Quote],MATCH(E401&amp;"",tbl_Production[Job Number],0)),INDEX(tbl_Production[Current RMS No],MATCH(E401&amp;"",tbl_Production[Job Number],0))),""),IF(H401="Consulting",IFERROR(INDEX(tbl_Consulting[Qwilr Quote],MATCH(E401&amp;"",tbl_Consulting[Job Number],0)),""),""))))</f>
        <v/>
      </c>
      <c r="AC401" s="25">
        <f>IF(AB401="","",IF(AND(LEFT(AB401,4)&lt;&gt;"http",IF(H401="Production",set_RMSBase,set_QwilrBase)=""),"",HYPERLINK(IF(LEFT(AB401,4)="http",AB401,IF(H401="Production",set_RMSBase,set_QwilrBase)&amp;AB401),"Open")))</f>
        <v/>
      </c>
      <c r="AD401" s="27">
        <f>IF(E401="","",IF(H401="Production",IFERROR(INDEX(tbl_Production[Total Expense],MATCH(E401&amp;"",tbl_Production[Job Number],0)),0),IF(H401="Consulting",IFERROR(INDEX(tbl_Consulting[Total Expense],MATCH(E401&amp;"",tbl_Consulting[Job Number],0)),0),0)))</f>
        <v/>
      </c>
      <c r="AE401" s="27">
        <f>IF(E401="","",Y401-N(AD401))</f>
        <v/>
      </c>
      <c r="AF401" s="29">
        <f>IFERROR(AE401/Y401,"")</f>
        <v/>
      </c>
      <c r="AG401" s="25">
        <f>IF(E401="","",IF(H401="Onsite",IFERROR(INDEX(tbl_Onsite[Notes],MATCH(E401&amp;"",tbl_Onsite[Job Number],0)),""),IF(H401="Production",IFERROR(INDEX(tbl_Production[Notes],MATCH(E401&amp;"",tbl_Production[Job Number],0)),""),IF(H401="Consulting",IFERROR(INDEX(tbl_Consulting[Notes],MATCH(E401&amp;"",tbl_Consulting[Job Number],0)),""),""))))</f>
        <v/>
      </c>
    </row>
    <row r="402" ht="15" customHeight="1">
      <c r="A402" s="22" t="n"/>
      <c r="B402" s="23">
        <f>IF(A402="","",EOMONTH(A402,0))</f>
        <v/>
      </c>
      <c r="C402" s="24" t="n"/>
      <c r="D402" s="24" t="n"/>
      <c r="E402" s="24" t="n"/>
      <c r="F402" s="25">
        <f>IF(E402="","",IF(COUNTIF(lst_Jobs,E402&amp;"")&gt;0,"OK","CHECK"))</f>
        <v/>
      </c>
      <c r="G402" s="24" t="n"/>
      <c r="H402" s="24" t="n"/>
      <c r="I402" s="24" t="n"/>
      <c r="J402" s="24" t="n"/>
      <c r="K402" s="24" t="n"/>
      <c r="L402" s="26" t="n"/>
      <c r="M402" s="27">
        <f>IF(L402="","",IF(K402="GST 10%",ROUND(L402*set_GSTRate,2),0))</f>
        <v/>
      </c>
      <c r="N402" s="27">
        <f>IF(L402="","",L402+M402)</f>
        <v/>
      </c>
      <c r="O402" s="24" t="n"/>
      <c r="P402" s="24" t="n"/>
      <c r="Q402" s="24" t="n"/>
      <c r="R402" s="22" t="n"/>
      <c r="S402" s="22" t="n"/>
      <c r="T402" s="24" t="n"/>
      <c r="U402" s="24" t="n"/>
      <c r="V402" s="25">
        <f>IF(COUNTA(A402,D402,C402,L402)=0,"",IF(A402="","No date - sits outside every month",IF(E402="","No job number",IF(F402="CHECK","Job number is not in the Xero job list",IF(I402="","No cost centre",IF(AND(P402="Y",C402=""),"Marked posted to Xero but has no invoice number",IF(AND(L402&lt;&gt;"",K402=""),"No tax code",IF(AND(L402&lt;&gt;"",O402=""),"No revenue GL code",""))))))))</f>
        <v/>
      </c>
      <c r="W402" s="25">
        <f>IF(E402="","",IFERROR(INDEX(lst_JobName,MATCH(E402&amp;"",lst_Jobs,0)),""))</f>
        <v/>
      </c>
      <c r="X402" s="28">
        <f>IF(E402="","",COUNTIFS(tbl_Finance[Job Number],E402&amp;"",tbl_Finance[Ex GST],"&lt;&gt;"))</f>
        <v/>
      </c>
      <c r="Y402" s="27">
        <f>IF(E402="","",SUMIFS(tbl_Finance[Ex GST],tbl_Finance[Job Number],E402&amp;""))</f>
        <v/>
      </c>
      <c r="Z402" s="27">
        <f>IF(E402="","",SUMIFS(tbl_Finance[Ex GST],tbl_Finance[Job Number],E402&amp;"",tbl_Finance[Xero Invoice No],"&lt;&gt;"))</f>
        <v/>
      </c>
      <c r="AA402" s="27">
        <f>IF(E402="","",Y402-Z402)</f>
        <v/>
      </c>
      <c r="AB402" s="25">
        <f>IF(E402="","",IF(H402="Onsite",IFERROR(INDEX(tbl_Onsite[Qwilr Quote],MATCH(E402&amp;"",tbl_Onsite[Job Number],0)),""),IF(H402="Production",IFERROR(IF(INDEX(tbl_Production[Current RMS No],MATCH(E402&amp;"",tbl_Production[Job Number],0))="",INDEX(tbl_Production[Qwilr Quote],MATCH(E402&amp;"",tbl_Production[Job Number],0)),INDEX(tbl_Production[Current RMS No],MATCH(E402&amp;"",tbl_Production[Job Number],0))),""),IF(H402="Consulting",IFERROR(INDEX(tbl_Consulting[Qwilr Quote],MATCH(E402&amp;"",tbl_Consulting[Job Number],0)),""),""))))</f>
        <v/>
      </c>
      <c r="AC402" s="25">
        <f>IF(AB402="","",IF(AND(LEFT(AB402,4)&lt;&gt;"http",IF(H402="Production",set_RMSBase,set_QwilrBase)=""),"",HYPERLINK(IF(LEFT(AB402,4)="http",AB402,IF(H402="Production",set_RMSBase,set_QwilrBase)&amp;AB402),"Open")))</f>
        <v/>
      </c>
      <c r="AD402" s="27">
        <f>IF(E402="","",IF(H402="Production",IFERROR(INDEX(tbl_Production[Total Expense],MATCH(E402&amp;"",tbl_Production[Job Number],0)),0),IF(H402="Consulting",IFERROR(INDEX(tbl_Consulting[Total Expense],MATCH(E402&amp;"",tbl_Consulting[Job Number],0)),0),0)))</f>
        <v/>
      </c>
      <c r="AE402" s="27">
        <f>IF(E402="","",Y402-N(AD402))</f>
        <v/>
      </c>
      <c r="AF402" s="29">
        <f>IFERROR(AE402/Y402,"")</f>
        <v/>
      </c>
      <c r="AG402" s="25">
        <f>IF(E402="","",IF(H402="Onsite",IFERROR(INDEX(tbl_Onsite[Notes],MATCH(E402&amp;"",tbl_Onsite[Job Number],0)),""),IF(H402="Production",IFERROR(INDEX(tbl_Production[Notes],MATCH(E402&amp;"",tbl_Production[Job Number],0)),""),IF(H402="Consulting",IFERROR(INDEX(tbl_Consulting[Notes],MATCH(E402&amp;"",tbl_Consulting[Job Number],0)),""),""))))</f>
        <v/>
      </c>
    </row>
    <row r="403" ht="15" customHeight="1">
      <c r="A403" s="22" t="n"/>
      <c r="B403" s="23">
        <f>IF(A403="","",EOMONTH(A403,0))</f>
        <v/>
      </c>
      <c r="C403" s="24" t="n"/>
      <c r="D403" s="24" t="n"/>
      <c r="E403" s="24" t="n"/>
      <c r="F403" s="25">
        <f>IF(E403="","",IF(COUNTIF(lst_Jobs,E403&amp;"")&gt;0,"OK","CHECK"))</f>
        <v/>
      </c>
      <c r="G403" s="24" t="n"/>
      <c r="H403" s="24" t="n"/>
      <c r="I403" s="24" t="n"/>
      <c r="J403" s="24" t="n"/>
      <c r="K403" s="24" t="n"/>
      <c r="L403" s="26" t="n"/>
      <c r="M403" s="27">
        <f>IF(L403="","",IF(K403="GST 10%",ROUND(L403*set_GSTRate,2),0))</f>
        <v/>
      </c>
      <c r="N403" s="27">
        <f>IF(L403="","",L403+M403)</f>
        <v/>
      </c>
      <c r="O403" s="24" t="n"/>
      <c r="P403" s="24" t="n"/>
      <c r="Q403" s="24" t="n"/>
      <c r="R403" s="22" t="n"/>
      <c r="S403" s="22" t="n"/>
      <c r="T403" s="24" t="n"/>
      <c r="U403" s="24" t="n"/>
      <c r="V403" s="25">
        <f>IF(COUNTA(A403,D403,C403,L403)=0,"",IF(A403="","No date - sits outside every month",IF(E403="","No job number",IF(F403="CHECK","Job number is not in the Xero job list",IF(I403="","No cost centre",IF(AND(P403="Y",C403=""),"Marked posted to Xero but has no invoice number",IF(AND(L403&lt;&gt;"",K403=""),"No tax code",IF(AND(L403&lt;&gt;"",O403=""),"No revenue GL code",""))))))))</f>
        <v/>
      </c>
      <c r="W403" s="25">
        <f>IF(E403="","",IFERROR(INDEX(lst_JobName,MATCH(E403&amp;"",lst_Jobs,0)),""))</f>
        <v/>
      </c>
      <c r="X403" s="28">
        <f>IF(E403="","",COUNTIFS(tbl_Finance[Job Number],E403&amp;"",tbl_Finance[Ex GST],"&lt;&gt;"))</f>
        <v/>
      </c>
      <c r="Y403" s="27">
        <f>IF(E403="","",SUMIFS(tbl_Finance[Ex GST],tbl_Finance[Job Number],E403&amp;""))</f>
        <v/>
      </c>
      <c r="Z403" s="27">
        <f>IF(E403="","",SUMIFS(tbl_Finance[Ex GST],tbl_Finance[Job Number],E403&amp;"",tbl_Finance[Xero Invoice No],"&lt;&gt;"))</f>
        <v/>
      </c>
      <c r="AA403" s="27">
        <f>IF(E403="","",Y403-Z403)</f>
        <v/>
      </c>
      <c r="AB403" s="25">
        <f>IF(E403="","",IF(H403="Onsite",IFERROR(INDEX(tbl_Onsite[Qwilr Quote],MATCH(E403&amp;"",tbl_Onsite[Job Number],0)),""),IF(H403="Production",IFERROR(IF(INDEX(tbl_Production[Current RMS No],MATCH(E403&amp;"",tbl_Production[Job Number],0))="",INDEX(tbl_Production[Qwilr Quote],MATCH(E403&amp;"",tbl_Production[Job Number],0)),INDEX(tbl_Production[Current RMS No],MATCH(E403&amp;"",tbl_Production[Job Number],0))),""),IF(H403="Consulting",IFERROR(INDEX(tbl_Consulting[Qwilr Quote],MATCH(E403&amp;"",tbl_Consulting[Job Number],0)),""),""))))</f>
        <v/>
      </c>
      <c r="AC403" s="25">
        <f>IF(AB403="","",IF(AND(LEFT(AB403,4)&lt;&gt;"http",IF(H403="Production",set_RMSBase,set_QwilrBase)=""),"",HYPERLINK(IF(LEFT(AB403,4)="http",AB403,IF(H403="Production",set_RMSBase,set_QwilrBase)&amp;AB403),"Open")))</f>
        <v/>
      </c>
      <c r="AD403" s="27">
        <f>IF(E403="","",IF(H403="Production",IFERROR(INDEX(tbl_Production[Total Expense],MATCH(E403&amp;"",tbl_Production[Job Number],0)),0),IF(H403="Consulting",IFERROR(INDEX(tbl_Consulting[Total Expense],MATCH(E403&amp;"",tbl_Consulting[Job Number],0)),0),0)))</f>
        <v/>
      </c>
      <c r="AE403" s="27">
        <f>IF(E403="","",Y403-N(AD403))</f>
        <v/>
      </c>
      <c r="AF403" s="29">
        <f>IFERROR(AE403/Y403,"")</f>
        <v/>
      </c>
      <c r="AG403" s="25">
        <f>IF(E403="","",IF(H403="Onsite",IFERROR(INDEX(tbl_Onsite[Notes],MATCH(E403&amp;"",tbl_Onsite[Job Number],0)),""),IF(H403="Production",IFERROR(INDEX(tbl_Production[Notes],MATCH(E403&amp;"",tbl_Production[Job Number],0)),""),IF(H403="Consulting",IFERROR(INDEX(tbl_Consulting[Notes],MATCH(E403&amp;"",tbl_Consulting[Job Number],0)),""),""))))</f>
        <v/>
      </c>
    </row>
    <row r="404" ht="15" customHeight="1">
      <c r="A404" s="22" t="n"/>
      <c r="B404" s="23">
        <f>IF(A404="","",EOMONTH(A404,0))</f>
        <v/>
      </c>
      <c r="C404" s="24" t="n"/>
      <c r="D404" s="24" t="n"/>
      <c r="E404" s="24" t="n"/>
      <c r="F404" s="25">
        <f>IF(E404="","",IF(COUNTIF(lst_Jobs,E404&amp;"")&gt;0,"OK","CHECK"))</f>
        <v/>
      </c>
      <c r="G404" s="24" t="n"/>
      <c r="H404" s="24" t="n"/>
      <c r="I404" s="24" t="n"/>
      <c r="J404" s="24" t="n"/>
      <c r="K404" s="24" t="n"/>
      <c r="L404" s="26" t="n"/>
      <c r="M404" s="27">
        <f>IF(L404="","",IF(K404="GST 10%",ROUND(L404*set_GSTRate,2),0))</f>
        <v/>
      </c>
      <c r="N404" s="27">
        <f>IF(L404="","",L404+M404)</f>
        <v/>
      </c>
      <c r="O404" s="24" t="n"/>
      <c r="P404" s="24" t="n"/>
      <c r="Q404" s="24" t="n"/>
      <c r="R404" s="22" t="n"/>
      <c r="S404" s="22" t="n"/>
      <c r="T404" s="24" t="n"/>
      <c r="U404" s="24" t="n"/>
      <c r="V404" s="25">
        <f>IF(COUNTA(A404,D404,C404,L404)=0,"",IF(A404="","No date - sits outside every month",IF(E404="","No job number",IF(F404="CHECK","Job number is not in the Xero job list",IF(I404="","No cost centre",IF(AND(P404="Y",C404=""),"Marked posted to Xero but has no invoice number",IF(AND(L404&lt;&gt;"",K404=""),"No tax code",IF(AND(L404&lt;&gt;"",O404=""),"No revenue GL code",""))))))))</f>
        <v/>
      </c>
      <c r="W404" s="25">
        <f>IF(E404="","",IFERROR(INDEX(lst_JobName,MATCH(E404&amp;"",lst_Jobs,0)),""))</f>
        <v/>
      </c>
      <c r="X404" s="28">
        <f>IF(E404="","",COUNTIFS(tbl_Finance[Job Number],E404&amp;"",tbl_Finance[Ex GST],"&lt;&gt;"))</f>
        <v/>
      </c>
      <c r="Y404" s="27">
        <f>IF(E404="","",SUMIFS(tbl_Finance[Ex GST],tbl_Finance[Job Number],E404&amp;""))</f>
        <v/>
      </c>
      <c r="Z404" s="27">
        <f>IF(E404="","",SUMIFS(tbl_Finance[Ex GST],tbl_Finance[Job Number],E404&amp;"",tbl_Finance[Xero Invoice No],"&lt;&gt;"))</f>
        <v/>
      </c>
      <c r="AA404" s="27">
        <f>IF(E404="","",Y404-Z404)</f>
        <v/>
      </c>
      <c r="AB404" s="25">
        <f>IF(E404="","",IF(H404="Onsite",IFERROR(INDEX(tbl_Onsite[Qwilr Quote],MATCH(E404&amp;"",tbl_Onsite[Job Number],0)),""),IF(H404="Production",IFERROR(IF(INDEX(tbl_Production[Current RMS No],MATCH(E404&amp;"",tbl_Production[Job Number],0))="",INDEX(tbl_Production[Qwilr Quote],MATCH(E404&amp;"",tbl_Production[Job Number],0)),INDEX(tbl_Production[Current RMS No],MATCH(E404&amp;"",tbl_Production[Job Number],0))),""),IF(H404="Consulting",IFERROR(INDEX(tbl_Consulting[Qwilr Quote],MATCH(E404&amp;"",tbl_Consulting[Job Number],0)),""),""))))</f>
        <v/>
      </c>
      <c r="AC404" s="25">
        <f>IF(AB404="","",IF(AND(LEFT(AB404,4)&lt;&gt;"http",IF(H404="Production",set_RMSBase,set_QwilrBase)=""),"",HYPERLINK(IF(LEFT(AB404,4)="http",AB404,IF(H404="Production",set_RMSBase,set_QwilrBase)&amp;AB404),"Open")))</f>
        <v/>
      </c>
      <c r="AD404" s="27">
        <f>IF(E404="","",IF(H404="Production",IFERROR(INDEX(tbl_Production[Total Expense],MATCH(E404&amp;"",tbl_Production[Job Number],0)),0),IF(H404="Consulting",IFERROR(INDEX(tbl_Consulting[Total Expense],MATCH(E404&amp;"",tbl_Consulting[Job Number],0)),0),0)))</f>
        <v/>
      </c>
      <c r="AE404" s="27">
        <f>IF(E404="","",Y404-N(AD404))</f>
        <v/>
      </c>
      <c r="AF404" s="29">
        <f>IFERROR(AE404/Y404,"")</f>
        <v/>
      </c>
      <c r="AG404" s="25">
        <f>IF(E404="","",IF(H404="Onsite",IFERROR(INDEX(tbl_Onsite[Notes],MATCH(E404&amp;"",tbl_Onsite[Job Number],0)),""),IF(H404="Production",IFERROR(INDEX(tbl_Production[Notes],MATCH(E404&amp;"",tbl_Production[Job Number],0)),""),IF(H404="Consulting",IFERROR(INDEX(tbl_Consulting[Notes],MATCH(E404&amp;"",tbl_Consulting[Job Number],0)),""),""))))</f>
        <v/>
      </c>
    </row>
    <row r="405" ht="15" customHeight="1">
      <c r="A405" s="22" t="n"/>
      <c r="B405" s="23">
        <f>IF(A405="","",EOMONTH(A405,0))</f>
        <v/>
      </c>
      <c r="C405" s="24" t="n"/>
      <c r="D405" s="24" t="n"/>
      <c r="E405" s="24" t="n"/>
      <c r="F405" s="25">
        <f>IF(E405="","",IF(COUNTIF(lst_Jobs,E405&amp;"")&gt;0,"OK","CHECK"))</f>
        <v/>
      </c>
      <c r="G405" s="24" t="n"/>
      <c r="H405" s="24" t="n"/>
      <c r="I405" s="24" t="n"/>
      <c r="J405" s="24" t="n"/>
      <c r="K405" s="24" t="n"/>
      <c r="L405" s="26" t="n"/>
      <c r="M405" s="27">
        <f>IF(L405="","",IF(K405="GST 10%",ROUND(L405*set_GSTRate,2),0))</f>
        <v/>
      </c>
      <c r="N405" s="27">
        <f>IF(L405="","",L405+M405)</f>
        <v/>
      </c>
      <c r="O405" s="24" t="n"/>
      <c r="P405" s="24" t="n"/>
      <c r="Q405" s="24" t="n"/>
      <c r="R405" s="22" t="n"/>
      <c r="S405" s="22" t="n"/>
      <c r="T405" s="24" t="n"/>
      <c r="U405" s="24" t="n"/>
      <c r="V405" s="25">
        <f>IF(COUNTA(A405,D405,C405,L405)=0,"",IF(A405="","No date - sits outside every month",IF(E405="","No job number",IF(F405="CHECK","Job number is not in the Xero job list",IF(I405="","No cost centre",IF(AND(P405="Y",C405=""),"Marked posted to Xero but has no invoice number",IF(AND(L405&lt;&gt;"",K405=""),"No tax code",IF(AND(L405&lt;&gt;"",O405=""),"No revenue GL code",""))))))))</f>
        <v/>
      </c>
      <c r="W405" s="25">
        <f>IF(E405="","",IFERROR(INDEX(lst_JobName,MATCH(E405&amp;"",lst_Jobs,0)),""))</f>
        <v/>
      </c>
      <c r="X405" s="28">
        <f>IF(E405="","",COUNTIFS(tbl_Finance[Job Number],E405&amp;"",tbl_Finance[Ex GST],"&lt;&gt;"))</f>
        <v/>
      </c>
      <c r="Y405" s="27">
        <f>IF(E405="","",SUMIFS(tbl_Finance[Ex GST],tbl_Finance[Job Number],E405&amp;""))</f>
        <v/>
      </c>
      <c r="Z405" s="27">
        <f>IF(E405="","",SUMIFS(tbl_Finance[Ex GST],tbl_Finance[Job Number],E405&amp;"",tbl_Finance[Xero Invoice No],"&lt;&gt;"))</f>
        <v/>
      </c>
      <c r="AA405" s="27">
        <f>IF(E405="","",Y405-Z405)</f>
        <v/>
      </c>
      <c r="AB405" s="25">
        <f>IF(E405="","",IF(H405="Onsite",IFERROR(INDEX(tbl_Onsite[Qwilr Quote],MATCH(E405&amp;"",tbl_Onsite[Job Number],0)),""),IF(H405="Production",IFERROR(IF(INDEX(tbl_Production[Current RMS No],MATCH(E405&amp;"",tbl_Production[Job Number],0))="",INDEX(tbl_Production[Qwilr Quote],MATCH(E405&amp;"",tbl_Production[Job Number],0)),INDEX(tbl_Production[Current RMS No],MATCH(E405&amp;"",tbl_Production[Job Number],0))),""),IF(H405="Consulting",IFERROR(INDEX(tbl_Consulting[Qwilr Quote],MATCH(E405&amp;"",tbl_Consulting[Job Number],0)),""),""))))</f>
        <v/>
      </c>
      <c r="AC405" s="25">
        <f>IF(AB405="","",IF(AND(LEFT(AB405,4)&lt;&gt;"http",IF(H405="Production",set_RMSBase,set_QwilrBase)=""),"",HYPERLINK(IF(LEFT(AB405,4)="http",AB405,IF(H405="Production",set_RMSBase,set_QwilrBase)&amp;AB405),"Open")))</f>
        <v/>
      </c>
      <c r="AD405" s="27">
        <f>IF(E405="","",IF(H405="Production",IFERROR(INDEX(tbl_Production[Total Expense],MATCH(E405&amp;"",tbl_Production[Job Number],0)),0),IF(H405="Consulting",IFERROR(INDEX(tbl_Consulting[Total Expense],MATCH(E405&amp;"",tbl_Consulting[Job Number],0)),0),0)))</f>
        <v/>
      </c>
      <c r="AE405" s="27">
        <f>IF(E405="","",Y405-N(AD405))</f>
        <v/>
      </c>
      <c r="AF405" s="29">
        <f>IFERROR(AE405/Y405,"")</f>
        <v/>
      </c>
      <c r="AG405" s="25">
        <f>IF(E405="","",IF(H405="Onsite",IFERROR(INDEX(tbl_Onsite[Notes],MATCH(E405&amp;"",tbl_Onsite[Job Number],0)),""),IF(H405="Production",IFERROR(INDEX(tbl_Production[Notes],MATCH(E405&amp;"",tbl_Production[Job Number],0)),""),IF(H405="Consulting",IFERROR(INDEX(tbl_Consulting[Notes],MATCH(E405&amp;"",tbl_Consulting[Job Number],0)),""),""))))</f>
        <v/>
      </c>
    </row>
    <row r="406" ht="15" customHeight="1">
      <c r="A406" s="22" t="n"/>
      <c r="B406" s="23">
        <f>IF(A406="","",EOMONTH(A406,0))</f>
        <v/>
      </c>
      <c r="C406" s="24" t="n"/>
      <c r="D406" s="24" t="n"/>
      <c r="E406" s="24" t="n"/>
      <c r="F406" s="25">
        <f>IF(E406="","",IF(COUNTIF(lst_Jobs,E406&amp;"")&gt;0,"OK","CHECK"))</f>
        <v/>
      </c>
      <c r="G406" s="24" t="n"/>
      <c r="H406" s="24" t="n"/>
      <c r="I406" s="24" t="n"/>
      <c r="J406" s="24" t="n"/>
      <c r="K406" s="24" t="n"/>
      <c r="L406" s="26" t="n"/>
      <c r="M406" s="27">
        <f>IF(L406="","",IF(K406="GST 10%",ROUND(L406*set_GSTRate,2),0))</f>
        <v/>
      </c>
      <c r="N406" s="27">
        <f>IF(L406="","",L406+M406)</f>
        <v/>
      </c>
      <c r="O406" s="24" t="n"/>
      <c r="P406" s="24" t="n"/>
      <c r="Q406" s="24" t="n"/>
      <c r="R406" s="22" t="n"/>
      <c r="S406" s="22" t="n"/>
      <c r="T406" s="24" t="n"/>
      <c r="U406" s="24" t="n"/>
      <c r="V406" s="25">
        <f>IF(COUNTA(A406,D406,C406,L406)=0,"",IF(A406="","No date - sits outside every month",IF(E406="","No job number",IF(F406="CHECK","Job number is not in the Xero job list",IF(I406="","No cost centre",IF(AND(P406="Y",C406=""),"Marked posted to Xero but has no invoice number",IF(AND(L406&lt;&gt;"",K406=""),"No tax code",IF(AND(L406&lt;&gt;"",O406=""),"No revenue GL code",""))))))))</f>
        <v/>
      </c>
      <c r="W406" s="25">
        <f>IF(E406="","",IFERROR(INDEX(lst_JobName,MATCH(E406&amp;"",lst_Jobs,0)),""))</f>
        <v/>
      </c>
      <c r="X406" s="28">
        <f>IF(E406="","",COUNTIFS(tbl_Finance[Job Number],E406&amp;"",tbl_Finance[Ex GST],"&lt;&gt;"))</f>
        <v/>
      </c>
      <c r="Y406" s="27">
        <f>IF(E406="","",SUMIFS(tbl_Finance[Ex GST],tbl_Finance[Job Number],E406&amp;""))</f>
        <v/>
      </c>
      <c r="Z406" s="27">
        <f>IF(E406="","",SUMIFS(tbl_Finance[Ex GST],tbl_Finance[Job Number],E406&amp;"",tbl_Finance[Xero Invoice No],"&lt;&gt;"))</f>
        <v/>
      </c>
      <c r="AA406" s="27">
        <f>IF(E406="","",Y406-Z406)</f>
        <v/>
      </c>
      <c r="AB406" s="25">
        <f>IF(E406="","",IF(H406="Onsite",IFERROR(INDEX(tbl_Onsite[Qwilr Quote],MATCH(E406&amp;"",tbl_Onsite[Job Number],0)),""),IF(H406="Production",IFERROR(IF(INDEX(tbl_Production[Current RMS No],MATCH(E406&amp;"",tbl_Production[Job Number],0))="",INDEX(tbl_Production[Qwilr Quote],MATCH(E406&amp;"",tbl_Production[Job Number],0)),INDEX(tbl_Production[Current RMS No],MATCH(E406&amp;"",tbl_Production[Job Number],0))),""),IF(H406="Consulting",IFERROR(INDEX(tbl_Consulting[Qwilr Quote],MATCH(E406&amp;"",tbl_Consulting[Job Number],0)),""),""))))</f>
        <v/>
      </c>
      <c r="AC406" s="25">
        <f>IF(AB406="","",IF(AND(LEFT(AB406,4)&lt;&gt;"http",IF(H406="Production",set_RMSBase,set_QwilrBase)=""),"",HYPERLINK(IF(LEFT(AB406,4)="http",AB406,IF(H406="Production",set_RMSBase,set_QwilrBase)&amp;AB406),"Open")))</f>
        <v/>
      </c>
      <c r="AD406" s="27">
        <f>IF(E406="","",IF(H406="Production",IFERROR(INDEX(tbl_Production[Total Expense],MATCH(E406&amp;"",tbl_Production[Job Number],0)),0),IF(H406="Consulting",IFERROR(INDEX(tbl_Consulting[Total Expense],MATCH(E406&amp;"",tbl_Consulting[Job Number],0)),0),0)))</f>
        <v/>
      </c>
      <c r="AE406" s="27">
        <f>IF(E406="","",Y406-N(AD406))</f>
        <v/>
      </c>
      <c r="AF406" s="29">
        <f>IFERROR(AE406/Y406,"")</f>
        <v/>
      </c>
      <c r="AG406" s="25">
        <f>IF(E406="","",IF(H406="Onsite",IFERROR(INDEX(tbl_Onsite[Notes],MATCH(E406&amp;"",tbl_Onsite[Job Number],0)),""),IF(H406="Production",IFERROR(INDEX(tbl_Production[Notes],MATCH(E406&amp;"",tbl_Production[Job Number],0)),""),IF(H406="Consulting",IFERROR(INDEX(tbl_Consulting[Notes],MATCH(E406&amp;"",tbl_Consulting[Job Number],0)),""),""))))</f>
        <v/>
      </c>
    </row>
    <row r="407" ht="15" customHeight="1">
      <c r="A407" s="22" t="n"/>
      <c r="B407" s="23">
        <f>IF(A407="","",EOMONTH(A407,0))</f>
        <v/>
      </c>
      <c r="C407" s="24" t="n"/>
      <c r="D407" s="24" t="n"/>
      <c r="E407" s="24" t="n"/>
      <c r="F407" s="25">
        <f>IF(E407="","",IF(COUNTIF(lst_Jobs,E407&amp;"")&gt;0,"OK","CHECK"))</f>
        <v/>
      </c>
      <c r="G407" s="24" t="n"/>
      <c r="H407" s="24" t="n"/>
      <c r="I407" s="24" t="n"/>
      <c r="J407" s="24" t="n"/>
      <c r="K407" s="24" t="n"/>
      <c r="L407" s="26" t="n"/>
      <c r="M407" s="27">
        <f>IF(L407="","",IF(K407="GST 10%",ROUND(L407*set_GSTRate,2),0))</f>
        <v/>
      </c>
      <c r="N407" s="27">
        <f>IF(L407="","",L407+M407)</f>
        <v/>
      </c>
      <c r="O407" s="24" t="n"/>
      <c r="P407" s="24" t="n"/>
      <c r="Q407" s="24" t="n"/>
      <c r="R407" s="22" t="n"/>
      <c r="S407" s="22" t="n"/>
      <c r="T407" s="24" t="n"/>
      <c r="U407" s="24" t="n"/>
      <c r="V407" s="25">
        <f>IF(COUNTA(A407,D407,C407,L407)=0,"",IF(A407="","No date - sits outside every month",IF(E407="","No job number",IF(F407="CHECK","Job number is not in the Xero job list",IF(I407="","No cost centre",IF(AND(P407="Y",C407=""),"Marked posted to Xero but has no invoice number",IF(AND(L407&lt;&gt;"",K407=""),"No tax code",IF(AND(L407&lt;&gt;"",O407=""),"No revenue GL code",""))))))))</f>
        <v/>
      </c>
      <c r="W407" s="25">
        <f>IF(E407="","",IFERROR(INDEX(lst_JobName,MATCH(E407&amp;"",lst_Jobs,0)),""))</f>
        <v/>
      </c>
      <c r="X407" s="28">
        <f>IF(E407="","",COUNTIFS(tbl_Finance[Job Number],E407&amp;"",tbl_Finance[Ex GST],"&lt;&gt;"))</f>
        <v/>
      </c>
      <c r="Y407" s="27">
        <f>IF(E407="","",SUMIFS(tbl_Finance[Ex GST],tbl_Finance[Job Number],E407&amp;""))</f>
        <v/>
      </c>
      <c r="Z407" s="27">
        <f>IF(E407="","",SUMIFS(tbl_Finance[Ex GST],tbl_Finance[Job Number],E407&amp;"",tbl_Finance[Xero Invoice No],"&lt;&gt;"))</f>
        <v/>
      </c>
      <c r="AA407" s="27">
        <f>IF(E407="","",Y407-Z407)</f>
        <v/>
      </c>
      <c r="AB407" s="25">
        <f>IF(E407="","",IF(H407="Onsite",IFERROR(INDEX(tbl_Onsite[Qwilr Quote],MATCH(E407&amp;"",tbl_Onsite[Job Number],0)),""),IF(H407="Production",IFERROR(IF(INDEX(tbl_Production[Current RMS No],MATCH(E407&amp;"",tbl_Production[Job Number],0))="",INDEX(tbl_Production[Qwilr Quote],MATCH(E407&amp;"",tbl_Production[Job Number],0)),INDEX(tbl_Production[Current RMS No],MATCH(E407&amp;"",tbl_Production[Job Number],0))),""),IF(H407="Consulting",IFERROR(INDEX(tbl_Consulting[Qwilr Quote],MATCH(E407&amp;"",tbl_Consulting[Job Number],0)),""),""))))</f>
        <v/>
      </c>
      <c r="AC407" s="25">
        <f>IF(AB407="","",IF(AND(LEFT(AB407,4)&lt;&gt;"http",IF(H407="Production",set_RMSBase,set_QwilrBase)=""),"",HYPERLINK(IF(LEFT(AB407,4)="http",AB407,IF(H407="Production",set_RMSBase,set_QwilrBase)&amp;AB407),"Open")))</f>
        <v/>
      </c>
      <c r="AD407" s="27">
        <f>IF(E407="","",IF(H407="Production",IFERROR(INDEX(tbl_Production[Total Expense],MATCH(E407&amp;"",tbl_Production[Job Number],0)),0),IF(H407="Consulting",IFERROR(INDEX(tbl_Consulting[Total Expense],MATCH(E407&amp;"",tbl_Consulting[Job Number],0)),0),0)))</f>
        <v/>
      </c>
      <c r="AE407" s="27">
        <f>IF(E407="","",Y407-N(AD407))</f>
        <v/>
      </c>
      <c r="AF407" s="29">
        <f>IFERROR(AE407/Y407,"")</f>
        <v/>
      </c>
      <c r="AG407" s="25">
        <f>IF(E407="","",IF(H407="Onsite",IFERROR(INDEX(tbl_Onsite[Notes],MATCH(E407&amp;"",tbl_Onsite[Job Number],0)),""),IF(H407="Production",IFERROR(INDEX(tbl_Production[Notes],MATCH(E407&amp;"",tbl_Production[Job Number],0)),""),IF(H407="Consulting",IFERROR(INDEX(tbl_Consulting[Notes],MATCH(E407&amp;"",tbl_Consulting[Job Number],0)),""),""))))</f>
        <v/>
      </c>
    </row>
    <row r="408" ht="15" customHeight="1">
      <c r="A408" s="22" t="n"/>
      <c r="B408" s="23">
        <f>IF(A408="","",EOMONTH(A408,0))</f>
        <v/>
      </c>
      <c r="C408" s="24" t="n"/>
      <c r="D408" s="24" t="n"/>
      <c r="E408" s="24" t="n"/>
      <c r="F408" s="25">
        <f>IF(E408="","",IF(COUNTIF(lst_Jobs,E408&amp;"")&gt;0,"OK","CHECK"))</f>
        <v/>
      </c>
      <c r="G408" s="24" t="n"/>
      <c r="H408" s="24" t="n"/>
      <c r="I408" s="24" t="n"/>
      <c r="J408" s="24" t="n"/>
      <c r="K408" s="24" t="n"/>
      <c r="L408" s="26" t="n"/>
      <c r="M408" s="27">
        <f>IF(L408="","",IF(K408="GST 10%",ROUND(L408*set_GSTRate,2),0))</f>
        <v/>
      </c>
      <c r="N408" s="27">
        <f>IF(L408="","",L408+M408)</f>
        <v/>
      </c>
      <c r="O408" s="24" t="n"/>
      <c r="P408" s="24" t="n"/>
      <c r="Q408" s="24" t="n"/>
      <c r="R408" s="22" t="n"/>
      <c r="S408" s="22" t="n"/>
      <c r="T408" s="24" t="n"/>
      <c r="U408" s="24" t="n"/>
      <c r="V408" s="25">
        <f>IF(COUNTA(A408,D408,C408,L408)=0,"",IF(A408="","No date - sits outside every month",IF(E408="","No job number",IF(F408="CHECK","Job number is not in the Xero job list",IF(I408="","No cost centre",IF(AND(P408="Y",C408=""),"Marked posted to Xero but has no invoice number",IF(AND(L408&lt;&gt;"",K408=""),"No tax code",IF(AND(L408&lt;&gt;"",O408=""),"No revenue GL code",""))))))))</f>
        <v/>
      </c>
      <c r="W408" s="25">
        <f>IF(E408="","",IFERROR(INDEX(lst_JobName,MATCH(E408&amp;"",lst_Jobs,0)),""))</f>
        <v/>
      </c>
      <c r="X408" s="28">
        <f>IF(E408="","",COUNTIFS(tbl_Finance[Job Number],E408&amp;"",tbl_Finance[Ex GST],"&lt;&gt;"))</f>
        <v/>
      </c>
      <c r="Y408" s="27">
        <f>IF(E408="","",SUMIFS(tbl_Finance[Ex GST],tbl_Finance[Job Number],E408&amp;""))</f>
        <v/>
      </c>
      <c r="Z408" s="27">
        <f>IF(E408="","",SUMIFS(tbl_Finance[Ex GST],tbl_Finance[Job Number],E408&amp;"",tbl_Finance[Xero Invoice No],"&lt;&gt;"))</f>
        <v/>
      </c>
      <c r="AA408" s="27">
        <f>IF(E408="","",Y408-Z408)</f>
        <v/>
      </c>
      <c r="AB408" s="25">
        <f>IF(E408="","",IF(H408="Onsite",IFERROR(INDEX(tbl_Onsite[Qwilr Quote],MATCH(E408&amp;"",tbl_Onsite[Job Number],0)),""),IF(H408="Production",IFERROR(IF(INDEX(tbl_Production[Current RMS No],MATCH(E408&amp;"",tbl_Production[Job Number],0))="",INDEX(tbl_Production[Qwilr Quote],MATCH(E408&amp;"",tbl_Production[Job Number],0)),INDEX(tbl_Production[Current RMS No],MATCH(E408&amp;"",tbl_Production[Job Number],0))),""),IF(H408="Consulting",IFERROR(INDEX(tbl_Consulting[Qwilr Quote],MATCH(E408&amp;"",tbl_Consulting[Job Number],0)),""),""))))</f>
        <v/>
      </c>
      <c r="AC408" s="25">
        <f>IF(AB408="","",IF(AND(LEFT(AB408,4)&lt;&gt;"http",IF(H408="Production",set_RMSBase,set_QwilrBase)=""),"",HYPERLINK(IF(LEFT(AB408,4)="http",AB408,IF(H408="Production",set_RMSBase,set_QwilrBase)&amp;AB408),"Open")))</f>
        <v/>
      </c>
      <c r="AD408" s="27">
        <f>IF(E408="","",IF(H408="Production",IFERROR(INDEX(tbl_Production[Total Expense],MATCH(E408&amp;"",tbl_Production[Job Number],0)),0),IF(H408="Consulting",IFERROR(INDEX(tbl_Consulting[Total Expense],MATCH(E408&amp;"",tbl_Consulting[Job Number],0)),0),0)))</f>
        <v/>
      </c>
      <c r="AE408" s="27">
        <f>IF(E408="","",Y408-N(AD408))</f>
        <v/>
      </c>
      <c r="AF408" s="29">
        <f>IFERROR(AE408/Y408,"")</f>
        <v/>
      </c>
      <c r="AG408" s="25">
        <f>IF(E408="","",IF(H408="Onsite",IFERROR(INDEX(tbl_Onsite[Notes],MATCH(E408&amp;"",tbl_Onsite[Job Number],0)),""),IF(H408="Production",IFERROR(INDEX(tbl_Production[Notes],MATCH(E408&amp;"",tbl_Production[Job Number],0)),""),IF(H408="Consulting",IFERROR(INDEX(tbl_Consulting[Notes],MATCH(E408&amp;"",tbl_Consulting[Job Number],0)),""),""))))</f>
        <v/>
      </c>
    </row>
    <row r="409" ht="15" customHeight="1">
      <c r="A409" s="22" t="n"/>
      <c r="B409" s="23">
        <f>IF(A409="","",EOMONTH(A409,0))</f>
        <v/>
      </c>
      <c r="C409" s="24" t="n"/>
      <c r="D409" s="24" t="n"/>
      <c r="E409" s="24" t="n"/>
      <c r="F409" s="25">
        <f>IF(E409="","",IF(COUNTIF(lst_Jobs,E409&amp;"")&gt;0,"OK","CHECK"))</f>
        <v/>
      </c>
      <c r="G409" s="24" t="n"/>
      <c r="H409" s="24" t="n"/>
      <c r="I409" s="24" t="n"/>
      <c r="J409" s="24" t="n"/>
      <c r="K409" s="24" t="n"/>
      <c r="L409" s="26" t="n"/>
      <c r="M409" s="27">
        <f>IF(L409="","",IF(K409="GST 10%",ROUND(L409*set_GSTRate,2),0))</f>
        <v/>
      </c>
      <c r="N409" s="27">
        <f>IF(L409="","",L409+M409)</f>
        <v/>
      </c>
      <c r="O409" s="24" t="n"/>
      <c r="P409" s="24" t="n"/>
      <c r="Q409" s="24" t="n"/>
      <c r="R409" s="22" t="n"/>
      <c r="S409" s="22" t="n"/>
      <c r="T409" s="24" t="n"/>
      <c r="U409" s="24" t="n"/>
      <c r="V409" s="25">
        <f>IF(COUNTA(A409,D409,C409,L409)=0,"",IF(A409="","No date - sits outside every month",IF(E409="","No job number",IF(F409="CHECK","Job number is not in the Xero job list",IF(I409="","No cost centre",IF(AND(P409="Y",C409=""),"Marked posted to Xero but has no invoice number",IF(AND(L409&lt;&gt;"",K409=""),"No tax code",IF(AND(L409&lt;&gt;"",O409=""),"No revenue GL code",""))))))))</f>
        <v/>
      </c>
      <c r="W409" s="25">
        <f>IF(E409="","",IFERROR(INDEX(lst_JobName,MATCH(E409&amp;"",lst_Jobs,0)),""))</f>
        <v/>
      </c>
      <c r="X409" s="28">
        <f>IF(E409="","",COUNTIFS(tbl_Finance[Job Number],E409&amp;"",tbl_Finance[Ex GST],"&lt;&gt;"))</f>
        <v/>
      </c>
      <c r="Y409" s="27">
        <f>IF(E409="","",SUMIFS(tbl_Finance[Ex GST],tbl_Finance[Job Number],E409&amp;""))</f>
        <v/>
      </c>
      <c r="Z409" s="27">
        <f>IF(E409="","",SUMIFS(tbl_Finance[Ex GST],tbl_Finance[Job Number],E409&amp;"",tbl_Finance[Xero Invoice No],"&lt;&gt;"))</f>
        <v/>
      </c>
      <c r="AA409" s="27">
        <f>IF(E409="","",Y409-Z409)</f>
        <v/>
      </c>
      <c r="AB409" s="25">
        <f>IF(E409="","",IF(H409="Onsite",IFERROR(INDEX(tbl_Onsite[Qwilr Quote],MATCH(E409&amp;"",tbl_Onsite[Job Number],0)),""),IF(H409="Production",IFERROR(IF(INDEX(tbl_Production[Current RMS No],MATCH(E409&amp;"",tbl_Production[Job Number],0))="",INDEX(tbl_Production[Qwilr Quote],MATCH(E409&amp;"",tbl_Production[Job Number],0)),INDEX(tbl_Production[Current RMS No],MATCH(E409&amp;"",tbl_Production[Job Number],0))),""),IF(H409="Consulting",IFERROR(INDEX(tbl_Consulting[Qwilr Quote],MATCH(E409&amp;"",tbl_Consulting[Job Number],0)),""),""))))</f>
        <v/>
      </c>
      <c r="AC409" s="25">
        <f>IF(AB409="","",IF(AND(LEFT(AB409,4)&lt;&gt;"http",IF(H409="Production",set_RMSBase,set_QwilrBase)=""),"",HYPERLINK(IF(LEFT(AB409,4)="http",AB409,IF(H409="Production",set_RMSBase,set_QwilrBase)&amp;AB409),"Open")))</f>
        <v/>
      </c>
      <c r="AD409" s="27">
        <f>IF(E409="","",IF(H409="Production",IFERROR(INDEX(tbl_Production[Total Expense],MATCH(E409&amp;"",tbl_Production[Job Number],0)),0),IF(H409="Consulting",IFERROR(INDEX(tbl_Consulting[Total Expense],MATCH(E409&amp;"",tbl_Consulting[Job Number],0)),0),0)))</f>
        <v/>
      </c>
      <c r="AE409" s="27">
        <f>IF(E409="","",Y409-N(AD409))</f>
        <v/>
      </c>
      <c r="AF409" s="29">
        <f>IFERROR(AE409/Y409,"")</f>
        <v/>
      </c>
      <c r="AG409" s="25">
        <f>IF(E409="","",IF(H409="Onsite",IFERROR(INDEX(tbl_Onsite[Notes],MATCH(E409&amp;"",tbl_Onsite[Job Number],0)),""),IF(H409="Production",IFERROR(INDEX(tbl_Production[Notes],MATCH(E409&amp;"",tbl_Production[Job Number],0)),""),IF(H409="Consulting",IFERROR(INDEX(tbl_Consulting[Notes],MATCH(E409&amp;"",tbl_Consulting[Job Number],0)),""),""))))</f>
        <v/>
      </c>
    </row>
    <row r="410" ht="15" customHeight="1">
      <c r="A410" s="22" t="n"/>
      <c r="B410" s="23">
        <f>IF(A410="","",EOMONTH(A410,0))</f>
        <v/>
      </c>
      <c r="C410" s="24" t="n"/>
      <c r="D410" s="24" t="n"/>
      <c r="E410" s="24" t="n"/>
      <c r="F410" s="25">
        <f>IF(E410="","",IF(COUNTIF(lst_Jobs,E410&amp;"")&gt;0,"OK","CHECK"))</f>
        <v/>
      </c>
      <c r="G410" s="24" t="n"/>
      <c r="H410" s="24" t="n"/>
      <c r="I410" s="24" t="n"/>
      <c r="J410" s="24" t="n"/>
      <c r="K410" s="24" t="n"/>
      <c r="L410" s="26" t="n"/>
      <c r="M410" s="27">
        <f>IF(L410="","",IF(K410="GST 10%",ROUND(L410*set_GSTRate,2),0))</f>
        <v/>
      </c>
      <c r="N410" s="27">
        <f>IF(L410="","",L410+M410)</f>
        <v/>
      </c>
      <c r="O410" s="24" t="n"/>
      <c r="P410" s="24" t="n"/>
      <c r="Q410" s="24" t="n"/>
      <c r="R410" s="22" t="n"/>
      <c r="S410" s="22" t="n"/>
      <c r="T410" s="24" t="n"/>
      <c r="U410" s="24" t="n"/>
      <c r="V410" s="25">
        <f>IF(COUNTA(A410,D410,C410,L410)=0,"",IF(A410="","No date - sits outside every month",IF(E410="","No job number",IF(F410="CHECK","Job number is not in the Xero job list",IF(I410="","No cost centre",IF(AND(P410="Y",C410=""),"Marked posted to Xero but has no invoice number",IF(AND(L410&lt;&gt;"",K410=""),"No tax code",IF(AND(L410&lt;&gt;"",O410=""),"No revenue GL code",""))))))))</f>
        <v/>
      </c>
      <c r="W410" s="25">
        <f>IF(E410="","",IFERROR(INDEX(lst_JobName,MATCH(E410&amp;"",lst_Jobs,0)),""))</f>
        <v/>
      </c>
      <c r="X410" s="28">
        <f>IF(E410="","",COUNTIFS(tbl_Finance[Job Number],E410&amp;"",tbl_Finance[Ex GST],"&lt;&gt;"))</f>
        <v/>
      </c>
      <c r="Y410" s="27">
        <f>IF(E410="","",SUMIFS(tbl_Finance[Ex GST],tbl_Finance[Job Number],E410&amp;""))</f>
        <v/>
      </c>
      <c r="Z410" s="27">
        <f>IF(E410="","",SUMIFS(tbl_Finance[Ex GST],tbl_Finance[Job Number],E410&amp;"",tbl_Finance[Xero Invoice No],"&lt;&gt;"))</f>
        <v/>
      </c>
      <c r="AA410" s="27">
        <f>IF(E410="","",Y410-Z410)</f>
        <v/>
      </c>
      <c r="AB410" s="25">
        <f>IF(E410="","",IF(H410="Onsite",IFERROR(INDEX(tbl_Onsite[Qwilr Quote],MATCH(E410&amp;"",tbl_Onsite[Job Number],0)),""),IF(H410="Production",IFERROR(IF(INDEX(tbl_Production[Current RMS No],MATCH(E410&amp;"",tbl_Production[Job Number],0))="",INDEX(tbl_Production[Qwilr Quote],MATCH(E410&amp;"",tbl_Production[Job Number],0)),INDEX(tbl_Production[Current RMS No],MATCH(E410&amp;"",tbl_Production[Job Number],0))),""),IF(H410="Consulting",IFERROR(INDEX(tbl_Consulting[Qwilr Quote],MATCH(E410&amp;"",tbl_Consulting[Job Number],0)),""),""))))</f>
        <v/>
      </c>
      <c r="AC410" s="25">
        <f>IF(AB410="","",IF(AND(LEFT(AB410,4)&lt;&gt;"http",IF(H410="Production",set_RMSBase,set_QwilrBase)=""),"",HYPERLINK(IF(LEFT(AB410,4)="http",AB410,IF(H410="Production",set_RMSBase,set_QwilrBase)&amp;AB410),"Open")))</f>
        <v/>
      </c>
      <c r="AD410" s="27">
        <f>IF(E410="","",IF(H410="Production",IFERROR(INDEX(tbl_Production[Total Expense],MATCH(E410&amp;"",tbl_Production[Job Number],0)),0),IF(H410="Consulting",IFERROR(INDEX(tbl_Consulting[Total Expense],MATCH(E410&amp;"",tbl_Consulting[Job Number],0)),0),0)))</f>
        <v/>
      </c>
      <c r="AE410" s="27">
        <f>IF(E410="","",Y410-N(AD410))</f>
        <v/>
      </c>
      <c r="AF410" s="29">
        <f>IFERROR(AE410/Y410,"")</f>
        <v/>
      </c>
      <c r="AG410" s="25">
        <f>IF(E410="","",IF(H410="Onsite",IFERROR(INDEX(tbl_Onsite[Notes],MATCH(E410&amp;"",tbl_Onsite[Job Number],0)),""),IF(H410="Production",IFERROR(INDEX(tbl_Production[Notes],MATCH(E410&amp;"",tbl_Production[Job Number],0)),""),IF(H410="Consulting",IFERROR(INDEX(tbl_Consulting[Notes],MATCH(E410&amp;"",tbl_Consulting[Job Number],0)),""),""))))</f>
        <v/>
      </c>
    </row>
    <row r="411" ht="15" customHeight="1">
      <c r="A411" s="22" t="n"/>
      <c r="B411" s="23">
        <f>IF(A411="","",EOMONTH(A411,0))</f>
        <v/>
      </c>
      <c r="C411" s="24" t="n"/>
      <c r="D411" s="24" t="n"/>
      <c r="E411" s="24" t="n"/>
      <c r="F411" s="25">
        <f>IF(E411="","",IF(COUNTIF(lst_Jobs,E411&amp;"")&gt;0,"OK","CHECK"))</f>
        <v/>
      </c>
      <c r="G411" s="24" t="n"/>
      <c r="H411" s="24" t="n"/>
      <c r="I411" s="24" t="n"/>
      <c r="J411" s="24" t="n"/>
      <c r="K411" s="24" t="n"/>
      <c r="L411" s="26" t="n"/>
      <c r="M411" s="27">
        <f>IF(L411="","",IF(K411="GST 10%",ROUND(L411*set_GSTRate,2),0))</f>
        <v/>
      </c>
      <c r="N411" s="27">
        <f>IF(L411="","",L411+M411)</f>
        <v/>
      </c>
      <c r="O411" s="24" t="n"/>
      <c r="P411" s="24" t="n"/>
      <c r="Q411" s="24" t="n"/>
      <c r="R411" s="22" t="n"/>
      <c r="S411" s="22" t="n"/>
      <c r="T411" s="24" t="n"/>
      <c r="U411" s="24" t="n"/>
      <c r="V411" s="25">
        <f>IF(COUNTA(A411,D411,C411,L411)=0,"",IF(A411="","No date - sits outside every month",IF(E411="","No job number",IF(F411="CHECK","Job number is not in the Xero job list",IF(I411="","No cost centre",IF(AND(P411="Y",C411=""),"Marked posted to Xero but has no invoice number",IF(AND(L411&lt;&gt;"",K411=""),"No tax code",IF(AND(L411&lt;&gt;"",O411=""),"No revenue GL code",""))))))))</f>
        <v/>
      </c>
      <c r="W411" s="25">
        <f>IF(E411="","",IFERROR(INDEX(lst_JobName,MATCH(E411&amp;"",lst_Jobs,0)),""))</f>
        <v/>
      </c>
      <c r="X411" s="28">
        <f>IF(E411="","",COUNTIFS(tbl_Finance[Job Number],E411&amp;"",tbl_Finance[Ex GST],"&lt;&gt;"))</f>
        <v/>
      </c>
      <c r="Y411" s="27">
        <f>IF(E411="","",SUMIFS(tbl_Finance[Ex GST],tbl_Finance[Job Number],E411&amp;""))</f>
        <v/>
      </c>
      <c r="Z411" s="27">
        <f>IF(E411="","",SUMIFS(tbl_Finance[Ex GST],tbl_Finance[Job Number],E411&amp;"",tbl_Finance[Xero Invoice No],"&lt;&gt;"))</f>
        <v/>
      </c>
      <c r="AA411" s="27">
        <f>IF(E411="","",Y411-Z411)</f>
        <v/>
      </c>
      <c r="AB411" s="25">
        <f>IF(E411="","",IF(H411="Onsite",IFERROR(INDEX(tbl_Onsite[Qwilr Quote],MATCH(E411&amp;"",tbl_Onsite[Job Number],0)),""),IF(H411="Production",IFERROR(IF(INDEX(tbl_Production[Current RMS No],MATCH(E411&amp;"",tbl_Production[Job Number],0))="",INDEX(tbl_Production[Qwilr Quote],MATCH(E411&amp;"",tbl_Production[Job Number],0)),INDEX(tbl_Production[Current RMS No],MATCH(E411&amp;"",tbl_Production[Job Number],0))),""),IF(H411="Consulting",IFERROR(INDEX(tbl_Consulting[Qwilr Quote],MATCH(E411&amp;"",tbl_Consulting[Job Number],0)),""),""))))</f>
        <v/>
      </c>
      <c r="AC411" s="25">
        <f>IF(AB411="","",IF(AND(LEFT(AB411,4)&lt;&gt;"http",IF(H411="Production",set_RMSBase,set_QwilrBase)=""),"",HYPERLINK(IF(LEFT(AB411,4)="http",AB411,IF(H411="Production",set_RMSBase,set_QwilrBase)&amp;AB411),"Open")))</f>
        <v/>
      </c>
      <c r="AD411" s="27">
        <f>IF(E411="","",IF(H411="Production",IFERROR(INDEX(tbl_Production[Total Expense],MATCH(E411&amp;"",tbl_Production[Job Number],0)),0),IF(H411="Consulting",IFERROR(INDEX(tbl_Consulting[Total Expense],MATCH(E411&amp;"",tbl_Consulting[Job Number],0)),0),0)))</f>
        <v/>
      </c>
      <c r="AE411" s="27">
        <f>IF(E411="","",Y411-N(AD411))</f>
        <v/>
      </c>
      <c r="AF411" s="29">
        <f>IFERROR(AE411/Y411,"")</f>
        <v/>
      </c>
      <c r="AG411" s="25">
        <f>IF(E411="","",IF(H411="Onsite",IFERROR(INDEX(tbl_Onsite[Notes],MATCH(E411&amp;"",tbl_Onsite[Job Number],0)),""),IF(H411="Production",IFERROR(INDEX(tbl_Production[Notes],MATCH(E411&amp;"",tbl_Production[Job Number],0)),""),IF(H411="Consulting",IFERROR(INDEX(tbl_Consulting[Notes],MATCH(E411&amp;"",tbl_Consulting[Job Number],0)),""),""))))</f>
        <v/>
      </c>
    </row>
    <row r="412" ht="15" customHeight="1">
      <c r="A412" s="22" t="n"/>
      <c r="B412" s="23">
        <f>IF(A412="","",EOMONTH(A412,0))</f>
        <v/>
      </c>
      <c r="C412" s="24" t="n"/>
      <c r="D412" s="24" t="n"/>
      <c r="E412" s="24" t="n"/>
      <c r="F412" s="25">
        <f>IF(E412="","",IF(COUNTIF(lst_Jobs,E412&amp;"")&gt;0,"OK","CHECK"))</f>
        <v/>
      </c>
      <c r="G412" s="24" t="n"/>
      <c r="H412" s="24" t="n"/>
      <c r="I412" s="24" t="n"/>
      <c r="J412" s="24" t="n"/>
      <c r="K412" s="24" t="n"/>
      <c r="L412" s="26" t="n"/>
      <c r="M412" s="27">
        <f>IF(L412="","",IF(K412="GST 10%",ROUND(L412*set_GSTRate,2),0))</f>
        <v/>
      </c>
      <c r="N412" s="27">
        <f>IF(L412="","",L412+M412)</f>
        <v/>
      </c>
      <c r="O412" s="24" t="n"/>
      <c r="P412" s="24" t="n"/>
      <c r="Q412" s="24" t="n"/>
      <c r="R412" s="22" t="n"/>
      <c r="S412" s="22" t="n"/>
      <c r="T412" s="24" t="n"/>
      <c r="U412" s="24" t="n"/>
      <c r="V412" s="25">
        <f>IF(COUNTA(A412,D412,C412,L412)=0,"",IF(A412="","No date - sits outside every month",IF(E412="","No job number",IF(F412="CHECK","Job number is not in the Xero job list",IF(I412="","No cost centre",IF(AND(P412="Y",C412=""),"Marked posted to Xero but has no invoice number",IF(AND(L412&lt;&gt;"",K412=""),"No tax code",IF(AND(L412&lt;&gt;"",O412=""),"No revenue GL code",""))))))))</f>
        <v/>
      </c>
      <c r="W412" s="25">
        <f>IF(E412="","",IFERROR(INDEX(lst_JobName,MATCH(E412&amp;"",lst_Jobs,0)),""))</f>
        <v/>
      </c>
      <c r="X412" s="28">
        <f>IF(E412="","",COUNTIFS(tbl_Finance[Job Number],E412&amp;"",tbl_Finance[Ex GST],"&lt;&gt;"))</f>
        <v/>
      </c>
      <c r="Y412" s="27">
        <f>IF(E412="","",SUMIFS(tbl_Finance[Ex GST],tbl_Finance[Job Number],E412&amp;""))</f>
        <v/>
      </c>
      <c r="Z412" s="27">
        <f>IF(E412="","",SUMIFS(tbl_Finance[Ex GST],tbl_Finance[Job Number],E412&amp;"",tbl_Finance[Xero Invoice No],"&lt;&gt;"))</f>
        <v/>
      </c>
      <c r="AA412" s="27">
        <f>IF(E412="","",Y412-Z412)</f>
        <v/>
      </c>
      <c r="AB412" s="25">
        <f>IF(E412="","",IF(H412="Onsite",IFERROR(INDEX(tbl_Onsite[Qwilr Quote],MATCH(E412&amp;"",tbl_Onsite[Job Number],0)),""),IF(H412="Production",IFERROR(IF(INDEX(tbl_Production[Current RMS No],MATCH(E412&amp;"",tbl_Production[Job Number],0))="",INDEX(tbl_Production[Qwilr Quote],MATCH(E412&amp;"",tbl_Production[Job Number],0)),INDEX(tbl_Production[Current RMS No],MATCH(E412&amp;"",tbl_Production[Job Number],0))),""),IF(H412="Consulting",IFERROR(INDEX(tbl_Consulting[Qwilr Quote],MATCH(E412&amp;"",tbl_Consulting[Job Number],0)),""),""))))</f>
        <v/>
      </c>
      <c r="AC412" s="25">
        <f>IF(AB412="","",IF(AND(LEFT(AB412,4)&lt;&gt;"http",IF(H412="Production",set_RMSBase,set_QwilrBase)=""),"",HYPERLINK(IF(LEFT(AB412,4)="http",AB412,IF(H412="Production",set_RMSBase,set_QwilrBase)&amp;AB412),"Open")))</f>
        <v/>
      </c>
      <c r="AD412" s="27">
        <f>IF(E412="","",IF(H412="Production",IFERROR(INDEX(tbl_Production[Total Expense],MATCH(E412&amp;"",tbl_Production[Job Number],0)),0),IF(H412="Consulting",IFERROR(INDEX(tbl_Consulting[Total Expense],MATCH(E412&amp;"",tbl_Consulting[Job Number],0)),0),0)))</f>
        <v/>
      </c>
      <c r="AE412" s="27">
        <f>IF(E412="","",Y412-N(AD412))</f>
        <v/>
      </c>
      <c r="AF412" s="29">
        <f>IFERROR(AE412/Y412,"")</f>
        <v/>
      </c>
      <c r="AG412" s="25">
        <f>IF(E412="","",IF(H412="Onsite",IFERROR(INDEX(tbl_Onsite[Notes],MATCH(E412&amp;"",tbl_Onsite[Job Number],0)),""),IF(H412="Production",IFERROR(INDEX(tbl_Production[Notes],MATCH(E412&amp;"",tbl_Production[Job Number],0)),""),IF(H412="Consulting",IFERROR(INDEX(tbl_Consulting[Notes],MATCH(E412&amp;"",tbl_Consulting[Job Number],0)),""),""))))</f>
        <v/>
      </c>
    </row>
    <row r="413" ht="15" customHeight="1">
      <c r="A413" s="22" t="n"/>
      <c r="B413" s="23">
        <f>IF(A413="","",EOMONTH(A413,0))</f>
        <v/>
      </c>
      <c r="C413" s="24" t="n"/>
      <c r="D413" s="24" t="n"/>
      <c r="E413" s="24" t="n"/>
      <c r="F413" s="25">
        <f>IF(E413="","",IF(COUNTIF(lst_Jobs,E413&amp;"")&gt;0,"OK","CHECK"))</f>
        <v/>
      </c>
      <c r="G413" s="24" t="n"/>
      <c r="H413" s="24" t="n"/>
      <c r="I413" s="24" t="n"/>
      <c r="J413" s="24" t="n"/>
      <c r="K413" s="24" t="n"/>
      <c r="L413" s="26" t="n"/>
      <c r="M413" s="27">
        <f>IF(L413="","",IF(K413="GST 10%",ROUND(L413*set_GSTRate,2),0))</f>
        <v/>
      </c>
      <c r="N413" s="27">
        <f>IF(L413="","",L413+M413)</f>
        <v/>
      </c>
      <c r="O413" s="24" t="n"/>
      <c r="P413" s="24" t="n"/>
      <c r="Q413" s="24" t="n"/>
      <c r="R413" s="22" t="n"/>
      <c r="S413" s="22" t="n"/>
      <c r="T413" s="24" t="n"/>
      <c r="U413" s="24" t="n"/>
      <c r="V413" s="25">
        <f>IF(COUNTA(A413,D413,C413,L413)=0,"",IF(A413="","No date - sits outside every month",IF(E413="","No job number",IF(F413="CHECK","Job number is not in the Xero job list",IF(I413="","No cost centre",IF(AND(P413="Y",C413=""),"Marked posted to Xero but has no invoice number",IF(AND(L413&lt;&gt;"",K413=""),"No tax code",IF(AND(L413&lt;&gt;"",O413=""),"No revenue GL code",""))))))))</f>
        <v/>
      </c>
      <c r="W413" s="25">
        <f>IF(E413="","",IFERROR(INDEX(lst_JobName,MATCH(E413&amp;"",lst_Jobs,0)),""))</f>
        <v/>
      </c>
      <c r="X413" s="28">
        <f>IF(E413="","",COUNTIFS(tbl_Finance[Job Number],E413&amp;"",tbl_Finance[Ex GST],"&lt;&gt;"))</f>
        <v/>
      </c>
      <c r="Y413" s="27">
        <f>IF(E413="","",SUMIFS(tbl_Finance[Ex GST],tbl_Finance[Job Number],E413&amp;""))</f>
        <v/>
      </c>
      <c r="Z413" s="27">
        <f>IF(E413="","",SUMIFS(tbl_Finance[Ex GST],tbl_Finance[Job Number],E413&amp;"",tbl_Finance[Xero Invoice No],"&lt;&gt;"))</f>
        <v/>
      </c>
      <c r="AA413" s="27">
        <f>IF(E413="","",Y413-Z413)</f>
        <v/>
      </c>
      <c r="AB413" s="25">
        <f>IF(E413="","",IF(H413="Onsite",IFERROR(INDEX(tbl_Onsite[Qwilr Quote],MATCH(E413&amp;"",tbl_Onsite[Job Number],0)),""),IF(H413="Production",IFERROR(IF(INDEX(tbl_Production[Current RMS No],MATCH(E413&amp;"",tbl_Production[Job Number],0))="",INDEX(tbl_Production[Qwilr Quote],MATCH(E413&amp;"",tbl_Production[Job Number],0)),INDEX(tbl_Production[Current RMS No],MATCH(E413&amp;"",tbl_Production[Job Number],0))),""),IF(H413="Consulting",IFERROR(INDEX(tbl_Consulting[Qwilr Quote],MATCH(E413&amp;"",tbl_Consulting[Job Number],0)),""),""))))</f>
        <v/>
      </c>
      <c r="AC413" s="25">
        <f>IF(AB413="","",IF(AND(LEFT(AB413,4)&lt;&gt;"http",IF(H413="Production",set_RMSBase,set_QwilrBase)=""),"",HYPERLINK(IF(LEFT(AB413,4)="http",AB413,IF(H413="Production",set_RMSBase,set_QwilrBase)&amp;AB413),"Open")))</f>
        <v/>
      </c>
      <c r="AD413" s="27">
        <f>IF(E413="","",IF(H413="Production",IFERROR(INDEX(tbl_Production[Total Expense],MATCH(E413&amp;"",tbl_Production[Job Number],0)),0),IF(H413="Consulting",IFERROR(INDEX(tbl_Consulting[Total Expense],MATCH(E413&amp;"",tbl_Consulting[Job Number],0)),0),0)))</f>
        <v/>
      </c>
      <c r="AE413" s="27">
        <f>IF(E413="","",Y413-N(AD413))</f>
        <v/>
      </c>
      <c r="AF413" s="29">
        <f>IFERROR(AE413/Y413,"")</f>
        <v/>
      </c>
      <c r="AG413" s="25">
        <f>IF(E413="","",IF(H413="Onsite",IFERROR(INDEX(tbl_Onsite[Notes],MATCH(E413&amp;"",tbl_Onsite[Job Number],0)),""),IF(H413="Production",IFERROR(INDEX(tbl_Production[Notes],MATCH(E413&amp;"",tbl_Production[Job Number],0)),""),IF(H413="Consulting",IFERROR(INDEX(tbl_Consulting[Notes],MATCH(E413&amp;"",tbl_Consulting[Job Number],0)),""),""))))</f>
        <v/>
      </c>
    </row>
    <row r="414" ht="15" customHeight="1">
      <c r="A414" s="22" t="n"/>
      <c r="B414" s="23">
        <f>IF(A414="","",EOMONTH(A414,0))</f>
        <v/>
      </c>
      <c r="C414" s="24" t="n"/>
      <c r="D414" s="24" t="n"/>
      <c r="E414" s="24" t="n"/>
      <c r="F414" s="25">
        <f>IF(E414="","",IF(COUNTIF(lst_Jobs,E414&amp;"")&gt;0,"OK","CHECK"))</f>
        <v/>
      </c>
      <c r="G414" s="24" t="n"/>
      <c r="H414" s="24" t="n"/>
      <c r="I414" s="24" t="n"/>
      <c r="J414" s="24" t="n"/>
      <c r="K414" s="24" t="n"/>
      <c r="L414" s="26" t="n"/>
      <c r="M414" s="27">
        <f>IF(L414="","",IF(K414="GST 10%",ROUND(L414*set_GSTRate,2),0))</f>
        <v/>
      </c>
      <c r="N414" s="27">
        <f>IF(L414="","",L414+M414)</f>
        <v/>
      </c>
      <c r="O414" s="24" t="n"/>
      <c r="P414" s="24" t="n"/>
      <c r="Q414" s="24" t="n"/>
      <c r="R414" s="22" t="n"/>
      <c r="S414" s="22" t="n"/>
      <c r="T414" s="24" t="n"/>
      <c r="U414" s="24" t="n"/>
      <c r="V414" s="25">
        <f>IF(COUNTA(A414,D414,C414,L414)=0,"",IF(A414="","No date - sits outside every month",IF(E414="","No job number",IF(F414="CHECK","Job number is not in the Xero job list",IF(I414="","No cost centre",IF(AND(P414="Y",C414=""),"Marked posted to Xero but has no invoice number",IF(AND(L414&lt;&gt;"",K414=""),"No tax code",IF(AND(L414&lt;&gt;"",O414=""),"No revenue GL code",""))))))))</f>
        <v/>
      </c>
      <c r="W414" s="25">
        <f>IF(E414="","",IFERROR(INDEX(lst_JobName,MATCH(E414&amp;"",lst_Jobs,0)),""))</f>
        <v/>
      </c>
      <c r="X414" s="28">
        <f>IF(E414="","",COUNTIFS(tbl_Finance[Job Number],E414&amp;"",tbl_Finance[Ex GST],"&lt;&gt;"))</f>
        <v/>
      </c>
      <c r="Y414" s="27">
        <f>IF(E414="","",SUMIFS(tbl_Finance[Ex GST],tbl_Finance[Job Number],E414&amp;""))</f>
        <v/>
      </c>
      <c r="Z414" s="27">
        <f>IF(E414="","",SUMIFS(tbl_Finance[Ex GST],tbl_Finance[Job Number],E414&amp;"",tbl_Finance[Xero Invoice No],"&lt;&gt;"))</f>
        <v/>
      </c>
      <c r="AA414" s="27">
        <f>IF(E414="","",Y414-Z414)</f>
        <v/>
      </c>
      <c r="AB414" s="25">
        <f>IF(E414="","",IF(H414="Onsite",IFERROR(INDEX(tbl_Onsite[Qwilr Quote],MATCH(E414&amp;"",tbl_Onsite[Job Number],0)),""),IF(H414="Production",IFERROR(IF(INDEX(tbl_Production[Current RMS No],MATCH(E414&amp;"",tbl_Production[Job Number],0))="",INDEX(tbl_Production[Qwilr Quote],MATCH(E414&amp;"",tbl_Production[Job Number],0)),INDEX(tbl_Production[Current RMS No],MATCH(E414&amp;"",tbl_Production[Job Number],0))),""),IF(H414="Consulting",IFERROR(INDEX(tbl_Consulting[Qwilr Quote],MATCH(E414&amp;"",tbl_Consulting[Job Number],0)),""),""))))</f>
        <v/>
      </c>
      <c r="AC414" s="25">
        <f>IF(AB414="","",IF(AND(LEFT(AB414,4)&lt;&gt;"http",IF(H414="Production",set_RMSBase,set_QwilrBase)=""),"",HYPERLINK(IF(LEFT(AB414,4)="http",AB414,IF(H414="Production",set_RMSBase,set_QwilrBase)&amp;AB414),"Open")))</f>
        <v/>
      </c>
      <c r="AD414" s="27">
        <f>IF(E414="","",IF(H414="Production",IFERROR(INDEX(tbl_Production[Total Expense],MATCH(E414&amp;"",tbl_Production[Job Number],0)),0),IF(H414="Consulting",IFERROR(INDEX(tbl_Consulting[Total Expense],MATCH(E414&amp;"",tbl_Consulting[Job Number],0)),0),0)))</f>
        <v/>
      </c>
      <c r="AE414" s="27">
        <f>IF(E414="","",Y414-N(AD414))</f>
        <v/>
      </c>
      <c r="AF414" s="29">
        <f>IFERROR(AE414/Y414,"")</f>
        <v/>
      </c>
      <c r="AG414" s="25">
        <f>IF(E414="","",IF(H414="Onsite",IFERROR(INDEX(tbl_Onsite[Notes],MATCH(E414&amp;"",tbl_Onsite[Job Number],0)),""),IF(H414="Production",IFERROR(INDEX(tbl_Production[Notes],MATCH(E414&amp;"",tbl_Production[Job Number],0)),""),IF(H414="Consulting",IFERROR(INDEX(tbl_Consulting[Notes],MATCH(E414&amp;"",tbl_Consulting[Job Number],0)),""),""))))</f>
        <v/>
      </c>
    </row>
    <row r="415" ht="15" customHeight="1">
      <c r="A415" s="22" t="n"/>
      <c r="B415" s="23">
        <f>IF(A415="","",EOMONTH(A415,0))</f>
        <v/>
      </c>
      <c r="C415" s="24" t="n"/>
      <c r="D415" s="24" t="n"/>
      <c r="E415" s="24" t="n"/>
      <c r="F415" s="25">
        <f>IF(E415="","",IF(COUNTIF(lst_Jobs,E415&amp;"")&gt;0,"OK","CHECK"))</f>
        <v/>
      </c>
      <c r="G415" s="24" t="n"/>
      <c r="H415" s="24" t="n"/>
      <c r="I415" s="24" t="n"/>
      <c r="J415" s="24" t="n"/>
      <c r="K415" s="24" t="n"/>
      <c r="L415" s="26" t="n"/>
      <c r="M415" s="27">
        <f>IF(L415="","",IF(K415="GST 10%",ROUND(L415*set_GSTRate,2),0))</f>
        <v/>
      </c>
      <c r="N415" s="27">
        <f>IF(L415="","",L415+M415)</f>
        <v/>
      </c>
      <c r="O415" s="24" t="n"/>
      <c r="P415" s="24" t="n"/>
      <c r="Q415" s="24" t="n"/>
      <c r="R415" s="22" t="n"/>
      <c r="S415" s="22" t="n"/>
      <c r="T415" s="24" t="n"/>
      <c r="U415" s="24" t="n"/>
      <c r="V415" s="25">
        <f>IF(COUNTA(A415,D415,C415,L415)=0,"",IF(A415="","No date - sits outside every month",IF(E415="","No job number",IF(F415="CHECK","Job number is not in the Xero job list",IF(I415="","No cost centre",IF(AND(P415="Y",C415=""),"Marked posted to Xero but has no invoice number",IF(AND(L415&lt;&gt;"",K415=""),"No tax code",IF(AND(L415&lt;&gt;"",O415=""),"No revenue GL code",""))))))))</f>
        <v/>
      </c>
      <c r="W415" s="25">
        <f>IF(E415="","",IFERROR(INDEX(lst_JobName,MATCH(E415&amp;"",lst_Jobs,0)),""))</f>
        <v/>
      </c>
      <c r="X415" s="28">
        <f>IF(E415="","",COUNTIFS(tbl_Finance[Job Number],E415&amp;"",tbl_Finance[Ex GST],"&lt;&gt;"))</f>
        <v/>
      </c>
      <c r="Y415" s="27">
        <f>IF(E415="","",SUMIFS(tbl_Finance[Ex GST],tbl_Finance[Job Number],E415&amp;""))</f>
        <v/>
      </c>
      <c r="Z415" s="27">
        <f>IF(E415="","",SUMIFS(tbl_Finance[Ex GST],tbl_Finance[Job Number],E415&amp;"",tbl_Finance[Xero Invoice No],"&lt;&gt;"))</f>
        <v/>
      </c>
      <c r="AA415" s="27">
        <f>IF(E415="","",Y415-Z415)</f>
        <v/>
      </c>
      <c r="AB415" s="25">
        <f>IF(E415="","",IF(H415="Onsite",IFERROR(INDEX(tbl_Onsite[Qwilr Quote],MATCH(E415&amp;"",tbl_Onsite[Job Number],0)),""),IF(H415="Production",IFERROR(IF(INDEX(tbl_Production[Current RMS No],MATCH(E415&amp;"",tbl_Production[Job Number],0))="",INDEX(tbl_Production[Qwilr Quote],MATCH(E415&amp;"",tbl_Production[Job Number],0)),INDEX(tbl_Production[Current RMS No],MATCH(E415&amp;"",tbl_Production[Job Number],0))),""),IF(H415="Consulting",IFERROR(INDEX(tbl_Consulting[Qwilr Quote],MATCH(E415&amp;"",tbl_Consulting[Job Number],0)),""),""))))</f>
        <v/>
      </c>
      <c r="AC415" s="25">
        <f>IF(AB415="","",IF(AND(LEFT(AB415,4)&lt;&gt;"http",IF(H415="Production",set_RMSBase,set_QwilrBase)=""),"",HYPERLINK(IF(LEFT(AB415,4)="http",AB415,IF(H415="Production",set_RMSBase,set_QwilrBase)&amp;AB415),"Open")))</f>
        <v/>
      </c>
      <c r="AD415" s="27">
        <f>IF(E415="","",IF(H415="Production",IFERROR(INDEX(tbl_Production[Total Expense],MATCH(E415&amp;"",tbl_Production[Job Number],0)),0),IF(H415="Consulting",IFERROR(INDEX(tbl_Consulting[Total Expense],MATCH(E415&amp;"",tbl_Consulting[Job Number],0)),0),0)))</f>
        <v/>
      </c>
      <c r="AE415" s="27">
        <f>IF(E415="","",Y415-N(AD415))</f>
        <v/>
      </c>
      <c r="AF415" s="29">
        <f>IFERROR(AE415/Y415,"")</f>
        <v/>
      </c>
      <c r="AG415" s="25">
        <f>IF(E415="","",IF(H415="Onsite",IFERROR(INDEX(tbl_Onsite[Notes],MATCH(E415&amp;"",tbl_Onsite[Job Number],0)),""),IF(H415="Production",IFERROR(INDEX(tbl_Production[Notes],MATCH(E415&amp;"",tbl_Production[Job Number],0)),""),IF(H415="Consulting",IFERROR(INDEX(tbl_Consulting[Notes],MATCH(E415&amp;"",tbl_Consulting[Job Number],0)),""),""))))</f>
        <v/>
      </c>
    </row>
    <row r="416" ht="15" customHeight="1">
      <c r="A416" s="22" t="n"/>
      <c r="B416" s="23">
        <f>IF(A416="","",EOMONTH(A416,0))</f>
        <v/>
      </c>
      <c r="C416" s="24" t="n"/>
      <c r="D416" s="24" t="n"/>
      <c r="E416" s="24" t="n"/>
      <c r="F416" s="25">
        <f>IF(E416="","",IF(COUNTIF(lst_Jobs,E416&amp;"")&gt;0,"OK","CHECK"))</f>
        <v/>
      </c>
      <c r="G416" s="24" t="n"/>
      <c r="H416" s="24" t="n"/>
      <c r="I416" s="24" t="n"/>
      <c r="J416" s="24" t="n"/>
      <c r="K416" s="24" t="n"/>
      <c r="L416" s="26" t="n"/>
      <c r="M416" s="27">
        <f>IF(L416="","",IF(K416="GST 10%",ROUND(L416*set_GSTRate,2),0))</f>
        <v/>
      </c>
      <c r="N416" s="27">
        <f>IF(L416="","",L416+M416)</f>
        <v/>
      </c>
      <c r="O416" s="24" t="n"/>
      <c r="P416" s="24" t="n"/>
      <c r="Q416" s="24" t="n"/>
      <c r="R416" s="22" t="n"/>
      <c r="S416" s="22" t="n"/>
      <c r="T416" s="24" t="n"/>
      <c r="U416" s="24" t="n"/>
      <c r="V416" s="25">
        <f>IF(COUNTA(A416,D416,C416,L416)=0,"",IF(A416="","No date - sits outside every month",IF(E416="","No job number",IF(F416="CHECK","Job number is not in the Xero job list",IF(I416="","No cost centre",IF(AND(P416="Y",C416=""),"Marked posted to Xero but has no invoice number",IF(AND(L416&lt;&gt;"",K416=""),"No tax code",IF(AND(L416&lt;&gt;"",O416=""),"No revenue GL code",""))))))))</f>
        <v/>
      </c>
      <c r="W416" s="25">
        <f>IF(E416="","",IFERROR(INDEX(lst_JobName,MATCH(E416&amp;"",lst_Jobs,0)),""))</f>
        <v/>
      </c>
      <c r="X416" s="28">
        <f>IF(E416="","",COUNTIFS(tbl_Finance[Job Number],E416&amp;"",tbl_Finance[Ex GST],"&lt;&gt;"))</f>
        <v/>
      </c>
      <c r="Y416" s="27">
        <f>IF(E416="","",SUMIFS(tbl_Finance[Ex GST],tbl_Finance[Job Number],E416&amp;""))</f>
        <v/>
      </c>
      <c r="Z416" s="27">
        <f>IF(E416="","",SUMIFS(tbl_Finance[Ex GST],tbl_Finance[Job Number],E416&amp;"",tbl_Finance[Xero Invoice No],"&lt;&gt;"))</f>
        <v/>
      </c>
      <c r="AA416" s="27">
        <f>IF(E416="","",Y416-Z416)</f>
        <v/>
      </c>
      <c r="AB416" s="25">
        <f>IF(E416="","",IF(H416="Onsite",IFERROR(INDEX(tbl_Onsite[Qwilr Quote],MATCH(E416&amp;"",tbl_Onsite[Job Number],0)),""),IF(H416="Production",IFERROR(IF(INDEX(tbl_Production[Current RMS No],MATCH(E416&amp;"",tbl_Production[Job Number],0))="",INDEX(tbl_Production[Qwilr Quote],MATCH(E416&amp;"",tbl_Production[Job Number],0)),INDEX(tbl_Production[Current RMS No],MATCH(E416&amp;"",tbl_Production[Job Number],0))),""),IF(H416="Consulting",IFERROR(INDEX(tbl_Consulting[Qwilr Quote],MATCH(E416&amp;"",tbl_Consulting[Job Number],0)),""),""))))</f>
        <v/>
      </c>
      <c r="AC416" s="25">
        <f>IF(AB416="","",IF(AND(LEFT(AB416,4)&lt;&gt;"http",IF(H416="Production",set_RMSBase,set_QwilrBase)=""),"",HYPERLINK(IF(LEFT(AB416,4)="http",AB416,IF(H416="Production",set_RMSBase,set_QwilrBase)&amp;AB416),"Open")))</f>
        <v/>
      </c>
      <c r="AD416" s="27">
        <f>IF(E416="","",IF(H416="Production",IFERROR(INDEX(tbl_Production[Total Expense],MATCH(E416&amp;"",tbl_Production[Job Number],0)),0),IF(H416="Consulting",IFERROR(INDEX(tbl_Consulting[Total Expense],MATCH(E416&amp;"",tbl_Consulting[Job Number],0)),0),0)))</f>
        <v/>
      </c>
      <c r="AE416" s="27">
        <f>IF(E416="","",Y416-N(AD416))</f>
        <v/>
      </c>
      <c r="AF416" s="29">
        <f>IFERROR(AE416/Y416,"")</f>
        <v/>
      </c>
      <c r="AG416" s="25">
        <f>IF(E416="","",IF(H416="Onsite",IFERROR(INDEX(tbl_Onsite[Notes],MATCH(E416&amp;"",tbl_Onsite[Job Number],0)),""),IF(H416="Production",IFERROR(INDEX(tbl_Production[Notes],MATCH(E416&amp;"",tbl_Production[Job Number],0)),""),IF(H416="Consulting",IFERROR(INDEX(tbl_Consulting[Notes],MATCH(E416&amp;"",tbl_Consulting[Job Number],0)),""),""))))</f>
        <v/>
      </c>
    </row>
    <row r="417" ht="15" customHeight="1">
      <c r="A417" s="22" t="n"/>
      <c r="B417" s="23">
        <f>IF(A417="","",EOMONTH(A417,0))</f>
        <v/>
      </c>
      <c r="C417" s="24" t="n"/>
      <c r="D417" s="24" t="n"/>
      <c r="E417" s="24" t="n"/>
      <c r="F417" s="25">
        <f>IF(E417="","",IF(COUNTIF(lst_Jobs,E417&amp;"")&gt;0,"OK","CHECK"))</f>
        <v/>
      </c>
      <c r="G417" s="24" t="n"/>
      <c r="H417" s="24" t="n"/>
      <c r="I417" s="24" t="n"/>
      <c r="J417" s="24" t="n"/>
      <c r="K417" s="24" t="n"/>
      <c r="L417" s="26" t="n"/>
      <c r="M417" s="27">
        <f>IF(L417="","",IF(K417="GST 10%",ROUND(L417*set_GSTRate,2),0))</f>
        <v/>
      </c>
      <c r="N417" s="27">
        <f>IF(L417="","",L417+M417)</f>
        <v/>
      </c>
      <c r="O417" s="24" t="n"/>
      <c r="P417" s="24" t="n"/>
      <c r="Q417" s="24" t="n"/>
      <c r="R417" s="22" t="n"/>
      <c r="S417" s="22" t="n"/>
      <c r="T417" s="24" t="n"/>
      <c r="U417" s="24" t="n"/>
      <c r="V417" s="25">
        <f>IF(COUNTA(A417,D417,C417,L417)=0,"",IF(A417="","No date - sits outside every month",IF(E417="","No job number",IF(F417="CHECK","Job number is not in the Xero job list",IF(I417="","No cost centre",IF(AND(P417="Y",C417=""),"Marked posted to Xero but has no invoice number",IF(AND(L417&lt;&gt;"",K417=""),"No tax code",IF(AND(L417&lt;&gt;"",O417=""),"No revenue GL code",""))))))))</f>
        <v/>
      </c>
      <c r="W417" s="25">
        <f>IF(E417="","",IFERROR(INDEX(lst_JobName,MATCH(E417&amp;"",lst_Jobs,0)),""))</f>
        <v/>
      </c>
      <c r="X417" s="28">
        <f>IF(E417="","",COUNTIFS(tbl_Finance[Job Number],E417&amp;"",tbl_Finance[Ex GST],"&lt;&gt;"))</f>
        <v/>
      </c>
      <c r="Y417" s="27">
        <f>IF(E417="","",SUMIFS(tbl_Finance[Ex GST],tbl_Finance[Job Number],E417&amp;""))</f>
        <v/>
      </c>
      <c r="Z417" s="27">
        <f>IF(E417="","",SUMIFS(tbl_Finance[Ex GST],tbl_Finance[Job Number],E417&amp;"",tbl_Finance[Xero Invoice No],"&lt;&gt;"))</f>
        <v/>
      </c>
      <c r="AA417" s="27">
        <f>IF(E417="","",Y417-Z417)</f>
        <v/>
      </c>
      <c r="AB417" s="25">
        <f>IF(E417="","",IF(H417="Onsite",IFERROR(INDEX(tbl_Onsite[Qwilr Quote],MATCH(E417&amp;"",tbl_Onsite[Job Number],0)),""),IF(H417="Production",IFERROR(IF(INDEX(tbl_Production[Current RMS No],MATCH(E417&amp;"",tbl_Production[Job Number],0))="",INDEX(tbl_Production[Qwilr Quote],MATCH(E417&amp;"",tbl_Production[Job Number],0)),INDEX(tbl_Production[Current RMS No],MATCH(E417&amp;"",tbl_Production[Job Number],0))),""),IF(H417="Consulting",IFERROR(INDEX(tbl_Consulting[Qwilr Quote],MATCH(E417&amp;"",tbl_Consulting[Job Number],0)),""),""))))</f>
        <v/>
      </c>
      <c r="AC417" s="25">
        <f>IF(AB417="","",IF(AND(LEFT(AB417,4)&lt;&gt;"http",IF(H417="Production",set_RMSBase,set_QwilrBase)=""),"",HYPERLINK(IF(LEFT(AB417,4)="http",AB417,IF(H417="Production",set_RMSBase,set_QwilrBase)&amp;AB417),"Open")))</f>
        <v/>
      </c>
      <c r="AD417" s="27">
        <f>IF(E417="","",IF(H417="Production",IFERROR(INDEX(tbl_Production[Total Expense],MATCH(E417&amp;"",tbl_Production[Job Number],0)),0),IF(H417="Consulting",IFERROR(INDEX(tbl_Consulting[Total Expense],MATCH(E417&amp;"",tbl_Consulting[Job Number],0)),0),0)))</f>
        <v/>
      </c>
      <c r="AE417" s="27">
        <f>IF(E417="","",Y417-N(AD417))</f>
        <v/>
      </c>
      <c r="AF417" s="29">
        <f>IFERROR(AE417/Y417,"")</f>
        <v/>
      </c>
      <c r="AG417" s="25">
        <f>IF(E417="","",IF(H417="Onsite",IFERROR(INDEX(tbl_Onsite[Notes],MATCH(E417&amp;"",tbl_Onsite[Job Number],0)),""),IF(H417="Production",IFERROR(INDEX(tbl_Production[Notes],MATCH(E417&amp;"",tbl_Production[Job Number],0)),""),IF(H417="Consulting",IFERROR(INDEX(tbl_Consulting[Notes],MATCH(E417&amp;"",tbl_Consulting[Job Number],0)),""),""))))</f>
        <v/>
      </c>
    </row>
    <row r="418" ht="15" customHeight="1">
      <c r="A418" s="22" t="n"/>
      <c r="B418" s="23">
        <f>IF(A418="","",EOMONTH(A418,0))</f>
        <v/>
      </c>
      <c r="C418" s="24" t="n"/>
      <c r="D418" s="24" t="n"/>
      <c r="E418" s="24" t="n"/>
      <c r="F418" s="25">
        <f>IF(E418="","",IF(COUNTIF(lst_Jobs,E418&amp;"")&gt;0,"OK","CHECK"))</f>
        <v/>
      </c>
      <c r="G418" s="24" t="n"/>
      <c r="H418" s="24" t="n"/>
      <c r="I418" s="24" t="n"/>
      <c r="J418" s="24" t="n"/>
      <c r="K418" s="24" t="n"/>
      <c r="L418" s="26" t="n"/>
      <c r="M418" s="27">
        <f>IF(L418="","",IF(K418="GST 10%",ROUND(L418*set_GSTRate,2),0))</f>
        <v/>
      </c>
      <c r="N418" s="27">
        <f>IF(L418="","",L418+M418)</f>
        <v/>
      </c>
      <c r="O418" s="24" t="n"/>
      <c r="P418" s="24" t="n"/>
      <c r="Q418" s="24" t="n"/>
      <c r="R418" s="22" t="n"/>
      <c r="S418" s="22" t="n"/>
      <c r="T418" s="24" t="n"/>
      <c r="U418" s="24" t="n"/>
      <c r="V418" s="25">
        <f>IF(COUNTA(A418,D418,C418,L418)=0,"",IF(A418="","No date - sits outside every month",IF(E418="","No job number",IF(F418="CHECK","Job number is not in the Xero job list",IF(I418="","No cost centre",IF(AND(P418="Y",C418=""),"Marked posted to Xero but has no invoice number",IF(AND(L418&lt;&gt;"",K418=""),"No tax code",IF(AND(L418&lt;&gt;"",O418=""),"No revenue GL code",""))))))))</f>
        <v/>
      </c>
      <c r="W418" s="25">
        <f>IF(E418="","",IFERROR(INDEX(lst_JobName,MATCH(E418&amp;"",lst_Jobs,0)),""))</f>
        <v/>
      </c>
      <c r="X418" s="28">
        <f>IF(E418="","",COUNTIFS(tbl_Finance[Job Number],E418&amp;"",tbl_Finance[Ex GST],"&lt;&gt;"))</f>
        <v/>
      </c>
      <c r="Y418" s="27">
        <f>IF(E418="","",SUMIFS(tbl_Finance[Ex GST],tbl_Finance[Job Number],E418&amp;""))</f>
        <v/>
      </c>
      <c r="Z418" s="27">
        <f>IF(E418="","",SUMIFS(tbl_Finance[Ex GST],tbl_Finance[Job Number],E418&amp;"",tbl_Finance[Xero Invoice No],"&lt;&gt;"))</f>
        <v/>
      </c>
      <c r="AA418" s="27">
        <f>IF(E418="","",Y418-Z418)</f>
        <v/>
      </c>
      <c r="AB418" s="25">
        <f>IF(E418="","",IF(H418="Onsite",IFERROR(INDEX(tbl_Onsite[Qwilr Quote],MATCH(E418&amp;"",tbl_Onsite[Job Number],0)),""),IF(H418="Production",IFERROR(IF(INDEX(tbl_Production[Current RMS No],MATCH(E418&amp;"",tbl_Production[Job Number],0))="",INDEX(tbl_Production[Qwilr Quote],MATCH(E418&amp;"",tbl_Production[Job Number],0)),INDEX(tbl_Production[Current RMS No],MATCH(E418&amp;"",tbl_Production[Job Number],0))),""),IF(H418="Consulting",IFERROR(INDEX(tbl_Consulting[Qwilr Quote],MATCH(E418&amp;"",tbl_Consulting[Job Number],0)),""),""))))</f>
        <v/>
      </c>
      <c r="AC418" s="25">
        <f>IF(AB418="","",IF(AND(LEFT(AB418,4)&lt;&gt;"http",IF(H418="Production",set_RMSBase,set_QwilrBase)=""),"",HYPERLINK(IF(LEFT(AB418,4)="http",AB418,IF(H418="Production",set_RMSBase,set_QwilrBase)&amp;AB418),"Open")))</f>
        <v/>
      </c>
      <c r="AD418" s="27">
        <f>IF(E418="","",IF(H418="Production",IFERROR(INDEX(tbl_Production[Total Expense],MATCH(E418&amp;"",tbl_Production[Job Number],0)),0),IF(H418="Consulting",IFERROR(INDEX(tbl_Consulting[Total Expense],MATCH(E418&amp;"",tbl_Consulting[Job Number],0)),0),0)))</f>
        <v/>
      </c>
      <c r="AE418" s="27">
        <f>IF(E418="","",Y418-N(AD418))</f>
        <v/>
      </c>
      <c r="AF418" s="29">
        <f>IFERROR(AE418/Y418,"")</f>
        <v/>
      </c>
      <c r="AG418" s="25">
        <f>IF(E418="","",IF(H418="Onsite",IFERROR(INDEX(tbl_Onsite[Notes],MATCH(E418&amp;"",tbl_Onsite[Job Number],0)),""),IF(H418="Production",IFERROR(INDEX(tbl_Production[Notes],MATCH(E418&amp;"",tbl_Production[Job Number],0)),""),IF(H418="Consulting",IFERROR(INDEX(tbl_Consulting[Notes],MATCH(E418&amp;"",tbl_Consulting[Job Number],0)),""),""))))</f>
        <v/>
      </c>
    </row>
    <row r="419" ht="15" customHeight="1">
      <c r="A419" s="22" t="n"/>
      <c r="B419" s="23">
        <f>IF(A419="","",EOMONTH(A419,0))</f>
        <v/>
      </c>
      <c r="C419" s="24" t="n"/>
      <c r="D419" s="24" t="n"/>
      <c r="E419" s="24" t="n"/>
      <c r="F419" s="25">
        <f>IF(E419="","",IF(COUNTIF(lst_Jobs,E419&amp;"")&gt;0,"OK","CHECK"))</f>
        <v/>
      </c>
      <c r="G419" s="24" t="n"/>
      <c r="H419" s="24" t="n"/>
      <c r="I419" s="24" t="n"/>
      <c r="J419" s="24" t="n"/>
      <c r="K419" s="24" t="n"/>
      <c r="L419" s="26" t="n"/>
      <c r="M419" s="27">
        <f>IF(L419="","",IF(K419="GST 10%",ROUND(L419*set_GSTRate,2),0))</f>
        <v/>
      </c>
      <c r="N419" s="27">
        <f>IF(L419="","",L419+M419)</f>
        <v/>
      </c>
      <c r="O419" s="24" t="n"/>
      <c r="P419" s="24" t="n"/>
      <c r="Q419" s="24" t="n"/>
      <c r="R419" s="22" t="n"/>
      <c r="S419" s="22" t="n"/>
      <c r="T419" s="24" t="n"/>
      <c r="U419" s="24" t="n"/>
      <c r="V419" s="25">
        <f>IF(COUNTA(A419,D419,C419,L419)=0,"",IF(A419="","No date - sits outside every month",IF(E419="","No job number",IF(F419="CHECK","Job number is not in the Xero job list",IF(I419="","No cost centre",IF(AND(P419="Y",C419=""),"Marked posted to Xero but has no invoice number",IF(AND(L419&lt;&gt;"",K419=""),"No tax code",IF(AND(L419&lt;&gt;"",O419=""),"No revenue GL code",""))))))))</f>
        <v/>
      </c>
      <c r="W419" s="25">
        <f>IF(E419="","",IFERROR(INDEX(lst_JobName,MATCH(E419&amp;"",lst_Jobs,0)),""))</f>
        <v/>
      </c>
      <c r="X419" s="28">
        <f>IF(E419="","",COUNTIFS(tbl_Finance[Job Number],E419&amp;"",tbl_Finance[Ex GST],"&lt;&gt;"))</f>
        <v/>
      </c>
      <c r="Y419" s="27">
        <f>IF(E419="","",SUMIFS(tbl_Finance[Ex GST],tbl_Finance[Job Number],E419&amp;""))</f>
        <v/>
      </c>
      <c r="Z419" s="27">
        <f>IF(E419="","",SUMIFS(tbl_Finance[Ex GST],tbl_Finance[Job Number],E419&amp;"",tbl_Finance[Xero Invoice No],"&lt;&gt;"))</f>
        <v/>
      </c>
      <c r="AA419" s="27">
        <f>IF(E419="","",Y419-Z419)</f>
        <v/>
      </c>
      <c r="AB419" s="25">
        <f>IF(E419="","",IF(H419="Onsite",IFERROR(INDEX(tbl_Onsite[Qwilr Quote],MATCH(E419&amp;"",tbl_Onsite[Job Number],0)),""),IF(H419="Production",IFERROR(IF(INDEX(tbl_Production[Current RMS No],MATCH(E419&amp;"",tbl_Production[Job Number],0))="",INDEX(tbl_Production[Qwilr Quote],MATCH(E419&amp;"",tbl_Production[Job Number],0)),INDEX(tbl_Production[Current RMS No],MATCH(E419&amp;"",tbl_Production[Job Number],0))),""),IF(H419="Consulting",IFERROR(INDEX(tbl_Consulting[Qwilr Quote],MATCH(E419&amp;"",tbl_Consulting[Job Number],0)),""),""))))</f>
        <v/>
      </c>
      <c r="AC419" s="25">
        <f>IF(AB419="","",IF(AND(LEFT(AB419,4)&lt;&gt;"http",IF(H419="Production",set_RMSBase,set_QwilrBase)=""),"",HYPERLINK(IF(LEFT(AB419,4)="http",AB419,IF(H419="Production",set_RMSBase,set_QwilrBase)&amp;AB419),"Open")))</f>
        <v/>
      </c>
      <c r="AD419" s="27">
        <f>IF(E419="","",IF(H419="Production",IFERROR(INDEX(tbl_Production[Total Expense],MATCH(E419&amp;"",tbl_Production[Job Number],0)),0),IF(H419="Consulting",IFERROR(INDEX(tbl_Consulting[Total Expense],MATCH(E419&amp;"",tbl_Consulting[Job Number],0)),0),0)))</f>
        <v/>
      </c>
      <c r="AE419" s="27">
        <f>IF(E419="","",Y419-N(AD419))</f>
        <v/>
      </c>
      <c r="AF419" s="29">
        <f>IFERROR(AE419/Y419,"")</f>
        <v/>
      </c>
      <c r="AG419" s="25">
        <f>IF(E419="","",IF(H419="Onsite",IFERROR(INDEX(tbl_Onsite[Notes],MATCH(E419&amp;"",tbl_Onsite[Job Number],0)),""),IF(H419="Production",IFERROR(INDEX(tbl_Production[Notes],MATCH(E419&amp;"",tbl_Production[Job Number],0)),""),IF(H419="Consulting",IFERROR(INDEX(tbl_Consulting[Notes],MATCH(E419&amp;"",tbl_Consulting[Job Number],0)),""),""))))</f>
        <v/>
      </c>
    </row>
    <row r="420" ht="15" customHeight="1">
      <c r="A420" s="22" t="n"/>
      <c r="B420" s="23">
        <f>IF(A420="","",EOMONTH(A420,0))</f>
        <v/>
      </c>
      <c r="C420" s="24" t="n"/>
      <c r="D420" s="24" t="n"/>
      <c r="E420" s="24" t="n"/>
      <c r="F420" s="25">
        <f>IF(E420="","",IF(COUNTIF(lst_Jobs,E420&amp;"")&gt;0,"OK","CHECK"))</f>
        <v/>
      </c>
      <c r="G420" s="24" t="n"/>
      <c r="H420" s="24" t="n"/>
      <c r="I420" s="24" t="n"/>
      <c r="J420" s="24" t="n"/>
      <c r="K420" s="24" t="n"/>
      <c r="L420" s="26" t="n"/>
      <c r="M420" s="27">
        <f>IF(L420="","",IF(K420="GST 10%",ROUND(L420*set_GSTRate,2),0))</f>
        <v/>
      </c>
      <c r="N420" s="27">
        <f>IF(L420="","",L420+M420)</f>
        <v/>
      </c>
      <c r="O420" s="24" t="n"/>
      <c r="P420" s="24" t="n"/>
      <c r="Q420" s="24" t="n"/>
      <c r="R420" s="22" t="n"/>
      <c r="S420" s="22" t="n"/>
      <c r="T420" s="24" t="n"/>
      <c r="U420" s="24" t="n"/>
      <c r="V420" s="25">
        <f>IF(COUNTA(A420,D420,C420,L420)=0,"",IF(A420="","No date - sits outside every month",IF(E420="","No job number",IF(F420="CHECK","Job number is not in the Xero job list",IF(I420="","No cost centre",IF(AND(P420="Y",C420=""),"Marked posted to Xero but has no invoice number",IF(AND(L420&lt;&gt;"",K420=""),"No tax code",IF(AND(L420&lt;&gt;"",O420=""),"No revenue GL code",""))))))))</f>
        <v/>
      </c>
      <c r="W420" s="25">
        <f>IF(E420="","",IFERROR(INDEX(lst_JobName,MATCH(E420&amp;"",lst_Jobs,0)),""))</f>
        <v/>
      </c>
      <c r="X420" s="28">
        <f>IF(E420="","",COUNTIFS(tbl_Finance[Job Number],E420&amp;"",tbl_Finance[Ex GST],"&lt;&gt;"))</f>
        <v/>
      </c>
      <c r="Y420" s="27">
        <f>IF(E420="","",SUMIFS(tbl_Finance[Ex GST],tbl_Finance[Job Number],E420&amp;""))</f>
        <v/>
      </c>
      <c r="Z420" s="27">
        <f>IF(E420="","",SUMIFS(tbl_Finance[Ex GST],tbl_Finance[Job Number],E420&amp;"",tbl_Finance[Xero Invoice No],"&lt;&gt;"))</f>
        <v/>
      </c>
      <c r="AA420" s="27">
        <f>IF(E420="","",Y420-Z420)</f>
        <v/>
      </c>
      <c r="AB420" s="25">
        <f>IF(E420="","",IF(H420="Onsite",IFERROR(INDEX(tbl_Onsite[Qwilr Quote],MATCH(E420&amp;"",tbl_Onsite[Job Number],0)),""),IF(H420="Production",IFERROR(IF(INDEX(tbl_Production[Current RMS No],MATCH(E420&amp;"",tbl_Production[Job Number],0))="",INDEX(tbl_Production[Qwilr Quote],MATCH(E420&amp;"",tbl_Production[Job Number],0)),INDEX(tbl_Production[Current RMS No],MATCH(E420&amp;"",tbl_Production[Job Number],0))),""),IF(H420="Consulting",IFERROR(INDEX(tbl_Consulting[Qwilr Quote],MATCH(E420&amp;"",tbl_Consulting[Job Number],0)),""),""))))</f>
        <v/>
      </c>
      <c r="AC420" s="25">
        <f>IF(AB420="","",IF(AND(LEFT(AB420,4)&lt;&gt;"http",IF(H420="Production",set_RMSBase,set_QwilrBase)=""),"",HYPERLINK(IF(LEFT(AB420,4)="http",AB420,IF(H420="Production",set_RMSBase,set_QwilrBase)&amp;AB420),"Open")))</f>
        <v/>
      </c>
      <c r="AD420" s="27">
        <f>IF(E420="","",IF(H420="Production",IFERROR(INDEX(tbl_Production[Total Expense],MATCH(E420&amp;"",tbl_Production[Job Number],0)),0),IF(H420="Consulting",IFERROR(INDEX(tbl_Consulting[Total Expense],MATCH(E420&amp;"",tbl_Consulting[Job Number],0)),0),0)))</f>
        <v/>
      </c>
      <c r="AE420" s="27">
        <f>IF(E420="","",Y420-N(AD420))</f>
        <v/>
      </c>
      <c r="AF420" s="29">
        <f>IFERROR(AE420/Y420,"")</f>
        <v/>
      </c>
      <c r="AG420" s="25">
        <f>IF(E420="","",IF(H420="Onsite",IFERROR(INDEX(tbl_Onsite[Notes],MATCH(E420&amp;"",tbl_Onsite[Job Number],0)),""),IF(H420="Production",IFERROR(INDEX(tbl_Production[Notes],MATCH(E420&amp;"",tbl_Production[Job Number],0)),""),IF(H420="Consulting",IFERROR(INDEX(tbl_Consulting[Notes],MATCH(E420&amp;"",tbl_Consulting[Job Number],0)),""),""))))</f>
        <v/>
      </c>
    </row>
    <row r="421" ht="15" customHeight="1">
      <c r="A421" s="22" t="n"/>
      <c r="B421" s="23">
        <f>IF(A421="","",EOMONTH(A421,0))</f>
        <v/>
      </c>
      <c r="C421" s="24" t="n"/>
      <c r="D421" s="24" t="n"/>
      <c r="E421" s="24" t="n"/>
      <c r="F421" s="25">
        <f>IF(E421="","",IF(COUNTIF(lst_Jobs,E421&amp;"")&gt;0,"OK","CHECK"))</f>
        <v/>
      </c>
      <c r="G421" s="24" t="n"/>
      <c r="H421" s="24" t="n"/>
      <c r="I421" s="24" t="n"/>
      <c r="J421" s="24" t="n"/>
      <c r="K421" s="24" t="n"/>
      <c r="L421" s="26" t="n"/>
      <c r="M421" s="27">
        <f>IF(L421="","",IF(K421="GST 10%",ROUND(L421*set_GSTRate,2),0))</f>
        <v/>
      </c>
      <c r="N421" s="27">
        <f>IF(L421="","",L421+M421)</f>
        <v/>
      </c>
      <c r="O421" s="24" t="n"/>
      <c r="P421" s="24" t="n"/>
      <c r="Q421" s="24" t="n"/>
      <c r="R421" s="22" t="n"/>
      <c r="S421" s="22" t="n"/>
      <c r="T421" s="24" t="n"/>
      <c r="U421" s="24" t="n"/>
      <c r="V421" s="25">
        <f>IF(COUNTA(A421,D421,C421,L421)=0,"",IF(A421="","No date - sits outside every month",IF(E421="","No job number",IF(F421="CHECK","Job number is not in the Xero job list",IF(I421="","No cost centre",IF(AND(P421="Y",C421=""),"Marked posted to Xero but has no invoice number",IF(AND(L421&lt;&gt;"",K421=""),"No tax code",IF(AND(L421&lt;&gt;"",O421=""),"No revenue GL code",""))))))))</f>
        <v/>
      </c>
      <c r="W421" s="25">
        <f>IF(E421="","",IFERROR(INDEX(lst_JobName,MATCH(E421&amp;"",lst_Jobs,0)),""))</f>
        <v/>
      </c>
      <c r="X421" s="28">
        <f>IF(E421="","",COUNTIFS(tbl_Finance[Job Number],E421&amp;"",tbl_Finance[Ex GST],"&lt;&gt;"))</f>
        <v/>
      </c>
      <c r="Y421" s="27">
        <f>IF(E421="","",SUMIFS(tbl_Finance[Ex GST],tbl_Finance[Job Number],E421&amp;""))</f>
        <v/>
      </c>
      <c r="Z421" s="27">
        <f>IF(E421="","",SUMIFS(tbl_Finance[Ex GST],tbl_Finance[Job Number],E421&amp;"",tbl_Finance[Xero Invoice No],"&lt;&gt;"))</f>
        <v/>
      </c>
      <c r="AA421" s="27">
        <f>IF(E421="","",Y421-Z421)</f>
        <v/>
      </c>
      <c r="AB421" s="25">
        <f>IF(E421="","",IF(H421="Onsite",IFERROR(INDEX(tbl_Onsite[Qwilr Quote],MATCH(E421&amp;"",tbl_Onsite[Job Number],0)),""),IF(H421="Production",IFERROR(IF(INDEX(tbl_Production[Current RMS No],MATCH(E421&amp;"",tbl_Production[Job Number],0))="",INDEX(tbl_Production[Qwilr Quote],MATCH(E421&amp;"",tbl_Production[Job Number],0)),INDEX(tbl_Production[Current RMS No],MATCH(E421&amp;"",tbl_Production[Job Number],0))),""),IF(H421="Consulting",IFERROR(INDEX(tbl_Consulting[Qwilr Quote],MATCH(E421&amp;"",tbl_Consulting[Job Number],0)),""),""))))</f>
        <v/>
      </c>
      <c r="AC421" s="25">
        <f>IF(AB421="","",IF(AND(LEFT(AB421,4)&lt;&gt;"http",IF(H421="Production",set_RMSBase,set_QwilrBase)=""),"",HYPERLINK(IF(LEFT(AB421,4)="http",AB421,IF(H421="Production",set_RMSBase,set_QwilrBase)&amp;AB421),"Open")))</f>
        <v/>
      </c>
      <c r="AD421" s="27">
        <f>IF(E421="","",IF(H421="Production",IFERROR(INDEX(tbl_Production[Total Expense],MATCH(E421&amp;"",tbl_Production[Job Number],0)),0),IF(H421="Consulting",IFERROR(INDEX(tbl_Consulting[Total Expense],MATCH(E421&amp;"",tbl_Consulting[Job Number],0)),0),0)))</f>
        <v/>
      </c>
      <c r="AE421" s="27">
        <f>IF(E421="","",Y421-N(AD421))</f>
        <v/>
      </c>
      <c r="AF421" s="29">
        <f>IFERROR(AE421/Y421,"")</f>
        <v/>
      </c>
      <c r="AG421" s="25">
        <f>IF(E421="","",IF(H421="Onsite",IFERROR(INDEX(tbl_Onsite[Notes],MATCH(E421&amp;"",tbl_Onsite[Job Number],0)),""),IF(H421="Production",IFERROR(INDEX(tbl_Production[Notes],MATCH(E421&amp;"",tbl_Production[Job Number],0)),""),IF(H421="Consulting",IFERROR(INDEX(tbl_Consulting[Notes],MATCH(E421&amp;"",tbl_Consulting[Job Number],0)),""),""))))</f>
        <v/>
      </c>
    </row>
    <row r="422" ht="15" customHeight="1">
      <c r="A422" s="22" t="n"/>
      <c r="B422" s="23">
        <f>IF(A422="","",EOMONTH(A422,0))</f>
        <v/>
      </c>
      <c r="C422" s="24" t="n"/>
      <c r="D422" s="24" t="n"/>
      <c r="E422" s="24" t="n"/>
      <c r="F422" s="25">
        <f>IF(E422="","",IF(COUNTIF(lst_Jobs,E422&amp;"")&gt;0,"OK","CHECK"))</f>
        <v/>
      </c>
      <c r="G422" s="24" t="n"/>
      <c r="H422" s="24" t="n"/>
      <c r="I422" s="24" t="n"/>
      <c r="J422" s="24" t="n"/>
      <c r="K422" s="24" t="n"/>
      <c r="L422" s="26" t="n"/>
      <c r="M422" s="27">
        <f>IF(L422="","",IF(K422="GST 10%",ROUND(L422*set_GSTRate,2),0))</f>
        <v/>
      </c>
      <c r="N422" s="27">
        <f>IF(L422="","",L422+M422)</f>
        <v/>
      </c>
      <c r="O422" s="24" t="n"/>
      <c r="P422" s="24" t="n"/>
      <c r="Q422" s="24" t="n"/>
      <c r="R422" s="22" t="n"/>
      <c r="S422" s="22" t="n"/>
      <c r="T422" s="24" t="n"/>
      <c r="U422" s="24" t="n"/>
      <c r="V422" s="25">
        <f>IF(COUNTA(A422,D422,C422,L422)=0,"",IF(A422="","No date - sits outside every month",IF(E422="","No job number",IF(F422="CHECK","Job number is not in the Xero job list",IF(I422="","No cost centre",IF(AND(P422="Y",C422=""),"Marked posted to Xero but has no invoice number",IF(AND(L422&lt;&gt;"",K422=""),"No tax code",IF(AND(L422&lt;&gt;"",O422=""),"No revenue GL code",""))))))))</f>
        <v/>
      </c>
      <c r="W422" s="25">
        <f>IF(E422="","",IFERROR(INDEX(lst_JobName,MATCH(E422&amp;"",lst_Jobs,0)),""))</f>
        <v/>
      </c>
      <c r="X422" s="28">
        <f>IF(E422="","",COUNTIFS(tbl_Finance[Job Number],E422&amp;"",tbl_Finance[Ex GST],"&lt;&gt;"))</f>
        <v/>
      </c>
      <c r="Y422" s="27">
        <f>IF(E422="","",SUMIFS(tbl_Finance[Ex GST],tbl_Finance[Job Number],E422&amp;""))</f>
        <v/>
      </c>
      <c r="Z422" s="27">
        <f>IF(E422="","",SUMIFS(tbl_Finance[Ex GST],tbl_Finance[Job Number],E422&amp;"",tbl_Finance[Xero Invoice No],"&lt;&gt;"))</f>
        <v/>
      </c>
      <c r="AA422" s="27">
        <f>IF(E422="","",Y422-Z422)</f>
        <v/>
      </c>
      <c r="AB422" s="25">
        <f>IF(E422="","",IF(H422="Onsite",IFERROR(INDEX(tbl_Onsite[Qwilr Quote],MATCH(E422&amp;"",tbl_Onsite[Job Number],0)),""),IF(H422="Production",IFERROR(IF(INDEX(tbl_Production[Current RMS No],MATCH(E422&amp;"",tbl_Production[Job Number],0))="",INDEX(tbl_Production[Qwilr Quote],MATCH(E422&amp;"",tbl_Production[Job Number],0)),INDEX(tbl_Production[Current RMS No],MATCH(E422&amp;"",tbl_Production[Job Number],0))),""),IF(H422="Consulting",IFERROR(INDEX(tbl_Consulting[Qwilr Quote],MATCH(E422&amp;"",tbl_Consulting[Job Number],0)),""),""))))</f>
        <v/>
      </c>
      <c r="AC422" s="25">
        <f>IF(AB422="","",IF(AND(LEFT(AB422,4)&lt;&gt;"http",IF(H422="Production",set_RMSBase,set_QwilrBase)=""),"",HYPERLINK(IF(LEFT(AB422,4)="http",AB422,IF(H422="Production",set_RMSBase,set_QwilrBase)&amp;AB422),"Open")))</f>
        <v/>
      </c>
      <c r="AD422" s="27">
        <f>IF(E422="","",IF(H422="Production",IFERROR(INDEX(tbl_Production[Total Expense],MATCH(E422&amp;"",tbl_Production[Job Number],0)),0),IF(H422="Consulting",IFERROR(INDEX(tbl_Consulting[Total Expense],MATCH(E422&amp;"",tbl_Consulting[Job Number],0)),0),0)))</f>
        <v/>
      </c>
      <c r="AE422" s="27">
        <f>IF(E422="","",Y422-N(AD422))</f>
        <v/>
      </c>
      <c r="AF422" s="29">
        <f>IFERROR(AE422/Y422,"")</f>
        <v/>
      </c>
      <c r="AG422" s="25">
        <f>IF(E422="","",IF(H422="Onsite",IFERROR(INDEX(tbl_Onsite[Notes],MATCH(E422&amp;"",tbl_Onsite[Job Number],0)),""),IF(H422="Production",IFERROR(INDEX(tbl_Production[Notes],MATCH(E422&amp;"",tbl_Production[Job Number],0)),""),IF(H422="Consulting",IFERROR(INDEX(tbl_Consulting[Notes],MATCH(E422&amp;"",tbl_Consulting[Job Number],0)),""),""))))</f>
        <v/>
      </c>
    </row>
    <row r="423" ht="15" customHeight="1">
      <c r="A423" s="22" t="n"/>
      <c r="B423" s="23">
        <f>IF(A423="","",EOMONTH(A423,0))</f>
        <v/>
      </c>
      <c r="C423" s="24" t="n"/>
      <c r="D423" s="24" t="n"/>
      <c r="E423" s="24" t="n"/>
      <c r="F423" s="25">
        <f>IF(E423="","",IF(COUNTIF(lst_Jobs,E423&amp;"")&gt;0,"OK","CHECK"))</f>
        <v/>
      </c>
      <c r="G423" s="24" t="n"/>
      <c r="H423" s="24" t="n"/>
      <c r="I423" s="24" t="n"/>
      <c r="J423" s="24" t="n"/>
      <c r="K423" s="24" t="n"/>
      <c r="L423" s="26" t="n"/>
      <c r="M423" s="27">
        <f>IF(L423="","",IF(K423="GST 10%",ROUND(L423*set_GSTRate,2),0))</f>
        <v/>
      </c>
      <c r="N423" s="27">
        <f>IF(L423="","",L423+M423)</f>
        <v/>
      </c>
      <c r="O423" s="24" t="n"/>
      <c r="P423" s="24" t="n"/>
      <c r="Q423" s="24" t="n"/>
      <c r="R423" s="22" t="n"/>
      <c r="S423" s="22" t="n"/>
      <c r="T423" s="24" t="n"/>
      <c r="U423" s="24" t="n"/>
      <c r="V423" s="25">
        <f>IF(COUNTA(A423,D423,C423,L423)=0,"",IF(A423="","No date - sits outside every month",IF(E423="","No job number",IF(F423="CHECK","Job number is not in the Xero job list",IF(I423="","No cost centre",IF(AND(P423="Y",C423=""),"Marked posted to Xero but has no invoice number",IF(AND(L423&lt;&gt;"",K423=""),"No tax code",IF(AND(L423&lt;&gt;"",O423=""),"No revenue GL code",""))))))))</f>
        <v/>
      </c>
      <c r="W423" s="25">
        <f>IF(E423="","",IFERROR(INDEX(lst_JobName,MATCH(E423&amp;"",lst_Jobs,0)),""))</f>
        <v/>
      </c>
      <c r="X423" s="28">
        <f>IF(E423="","",COUNTIFS(tbl_Finance[Job Number],E423&amp;"",tbl_Finance[Ex GST],"&lt;&gt;"))</f>
        <v/>
      </c>
      <c r="Y423" s="27">
        <f>IF(E423="","",SUMIFS(tbl_Finance[Ex GST],tbl_Finance[Job Number],E423&amp;""))</f>
        <v/>
      </c>
      <c r="Z423" s="27">
        <f>IF(E423="","",SUMIFS(tbl_Finance[Ex GST],tbl_Finance[Job Number],E423&amp;"",tbl_Finance[Xero Invoice No],"&lt;&gt;"))</f>
        <v/>
      </c>
      <c r="AA423" s="27">
        <f>IF(E423="","",Y423-Z423)</f>
        <v/>
      </c>
      <c r="AB423" s="25">
        <f>IF(E423="","",IF(H423="Onsite",IFERROR(INDEX(tbl_Onsite[Qwilr Quote],MATCH(E423&amp;"",tbl_Onsite[Job Number],0)),""),IF(H423="Production",IFERROR(IF(INDEX(tbl_Production[Current RMS No],MATCH(E423&amp;"",tbl_Production[Job Number],0))="",INDEX(tbl_Production[Qwilr Quote],MATCH(E423&amp;"",tbl_Production[Job Number],0)),INDEX(tbl_Production[Current RMS No],MATCH(E423&amp;"",tbl_Production[Job Number],0))),""),IF(H423="Consulting",IFERROR(INDEX(tbl_Consulting[Qwilr Quote],MATCH(E423&amp;"",tbl_Consulting[Job Number],0)),""),""))))</f>
        <v/>
      </c>
      <c r="AC423" s="25">
        <f>IF(AB423="","",IF(AND(LEFT(AB423,4)&lt;&gt;"http",IF(H423="Production",set_RMSBase,set_QwilrBase)=""),"",HYPERLINK(IF(LEFT(AB423,4)="http",AB423,IF(H423="Production",set_RMSBase,set_QwilrBase)&amp;AB423),"Open")))</f>
        <v/>
      </c>
      <c r="AD423" s="27">
        <f>IF(E423="","",IF(H423="Production",IFERROR(INDEX(tbl_Production[Total Expense],MATCH(E423&amp;"",tbl_Production[Job Number],0)),0),IF(H423="Consulting",IFERROR(INDEX(tbl_Consulting[Total Expense],MATCH(E423&amp;"",tbl_Consulting[Job Number],0)),0),0)))</f>
        <v/>
      </c>
      <c r="AE423" s="27">
        <f>IF(E423="","",Y423-N(AD423))</f>
        <v/>
      </c>
      <c r="AF423" s="29">
        <f>IFERROR(AE423/Y423,"")</f>
        <v/>
      </c>
      <c r="AG423" s="25">
        <f>IF(E423="","",IF(H423="Onsite",IFERROR(INDEX(tbl_Onsite[Notes],MATCH(E423&amp;"",tbl_Onsite[Job Number],0)),""),IF(H423="Production",IFERROR(INDEX(tbl_Production[Notes],MATCH(E423&amp;"",tbl_Production[Job Number],0)),""),IF(H423="Consulting",IFERROR(INDEX(tbl_Consulting[Notes],MATCH(E423&amp;"",tbl_Consulting[Job Number],0)),""),""))))</f>
        <v/>
      </c>
    </row>
    <row r="424" ht="15" customHeight="1">
      <c r="A424" s="22" t="n"/>
      <c r="B424" s="23">
        <f>IF(A424="","",EOMONTH(A424,0))</f>
        <v/>
      </c>
      <c r="C424" s="24" t="n"/>
      <c r="D424" s="24" t="n"/>
      <c r="E424" s="24" t="n"/>
      <c r="F424" s="25">
        <f>IF(E424="","",IF(COUNTIF(lst_Jobs,E424&amp;"")&gt;0,"OK","CHECK"))</f>
        <v/>
      </c>
      <c r="G424" s="24" t="n"/>
      <c r="H424" s="24" t="n"/>
      <c r="I424" s="24" t="n"/>
      <c r="J424" s="24" t="n"/>
      <c r="K424" s="24" t="n"/>
      <c r="L424" s="26" t="n"/>
      <c r="M424" s="27">
        <f>IF(L424="","",IF(K424="GST 10%",ROUND(L424*set_GSTRate,2),0))</f>
        <v/>
      </c>
      <c r="N424" s="27">
        <f>IF(L424="","",L424+M424)</f>
        <v/>
      </c>
      <c r="O424" s="24" t="n"/>
      <c r="P424" s="24" t="n"/>
      <c r="Q424" s="24" t="n"/>
      <c r="R424" s="22" t="n"/>
      <c r="S424" s="22" t="n"/>
      <c r="T424" s="24" t="n"/>
      <c r="U424" s="24" t="n"/>
      <c r="V424" s="25">
        <f>IF(COUNTA(A424,D424,C424,L424)=0,"",IF(A424="","No date - sits outside every month",IF(E424="","No job number",IF(F424="CHECK","Job number is not in the Xero job list",IF(I424="","No cost centre",IF(AND(P424="Y",C424=""),"Marked posted to Xero but has no invoice number",IF(AND(L424&lt;&gt;"",K424=""),"No tax code",IF(AND(L424&lt;&gt;"",O424=""),"No revenue GL code",""))))))))</f>
        <v/>
      </c>
      <c r="W424" s="25">
        <f>IF(E424="","",IFERROR(INDEX(lst_JobName,MATCH(E424&amp;"",lst_Jobs,0)),""))</f>
        <v/>
      </c>
      <c r="X424" s="28">
        <f>IF(E424="","",COUNTIFS(tbl_Finance[Job Number],E424&amp;"",tbl_Finance[Ex GST],"&lt;&gt;"))</f>
        <v/>
      </c>
      <c r="Y424" s="27">
        <f>IF(E424="","",SUMIFS(tbl_Finance[Ex GST],tbl_Finance[Job Number],E424&amp;""))</f>
        <v/>
      </c>
      <c r="Z424" s="27">
        <f>IF(E424="","",SUMIFS(tbl_Finance[Ex GST],tbl_Finance[Job Number],E424&amp;"",tbl_Finance[Xero Invoice No],"&lt;&gt;"))</f>
        <v/>
      </c>
      <c r="AA424" s="27">
        <f>IF(E424="","",Y424-Z424)</f>
        <v/>
      </c>
      <c r="AB424" s="25">
        <f>IF(E424="","",IF(H424="Onsite",IFERROR(INDEX(tbl_Onsite[Qwilr Quote],MATCH(E424&amp;"",tbl_Onsite[Job Number],0)),""),IF(H424="Production",IFERROR(IF(INDEX(tbl_Production[Current RMS No],MATCH(E424&amp;"",tbl_Production[Job Number],0))="",INDEX(tbl_Production[Qwilr Quote],MATCH(E424&amp;"",tbl_Production[Job Number],0)),INDEX(tbl_Production[Current RMS No],MATCH(E424&amp;"",tbl_Production[Job Number],0))),""),IF(H424="Consulting",IFERROR(INDEX(tbl_Consulting[Qwilr Quote],MATCH(E424&amp;"",tbl_Consulting[Job Number],0)),""),""))))</f>
        <v/>
      </c>
      <c r="AC424" s="25">
        <f>IF(AB424="","",IF(AND(LEFT(AB424,4)&lt;&gt;"http",IF(H424="Production",set_RMSBase,set_QwilrBase)=""),"",HYPERLINK(IF(LEFT(AB424,4)="http",AB424,IF(H424="Production",set_RMSBase,set_QwilrBase)&amp;AB424),"Open")))</f>
        <v/>
      </c>
      <c r="AD424" s="27">
        <f>IF(E424="","",IF(H424="Production",IFERROR(INDEX(tbl_Production[Total Expense],MATCH(E424&amp;"",tbl_Production[Job Number],0)),0),IF(H424="Consulting",IFERROR(INDEX(tbl_Consulting[Total Expense],MATCH(E424&amp;"",tbl_Consulting[Job Number],0)),0),0)))</f>
        <v/>
      </c>
      <c r="AE424" s="27">
        <f>IF(E424="","",Y424-N(AD424))</f>
        <v/>
      </c>
      <c r="AF424" s="29">
        <f>IFERROR(AE424/Y424,"")</f>
        <v/>
      </c>
      <c r="AG424" s="25">
        <f>IF(E424="","",IF(H424="Onsite",IFERROR(INDEX(tbl_Onsite[Notes],MATCH(E424&amp;"",tbl_Onsite[Job Number],0)),""),IF(H424="Production",IFERROR(INDEX(tbl_Production[Notes],MATCH(E424&amp;"",tbl_Production[Job Number],0)),""),IF(H424="Consulting",IFERROR(INDEX(tbl_Consulting[Notes],MATCH(E424&amp;"",tbl_Consulting[Job Number],0)),""),""))))</f>
        <v/>
      </c>
    </row>
    <row r="425" ht="15" customHeight="1">
      <c r="A425" s="22" t="n"/>
      <c r="B425" s="23">
        <f>IF(A425="","",EOMONTH(A425,0))</f>
        <v/>
      </c>
      <c r="C425" s="24" t="n"/>
      <c r="D425" s="24" t="n"/>
      <c r="E425" s="24" t="n"/>
      <c r="F425" s="25">
        <f>IF(E425="","",IF(COUNTIF(lst_Jobs,E425&amp;"")&gt;0,"OK","CHECK"))</f>
        <v/>
      </c>
      <c r="G425" s="24" t="n"/>
      <c r="H425" s="24" t="n"/>
      <c r="I425" s="24" t="n"/>
      <c r="J425" s="24" t="n"/>
      <c r="K425" s="24" t="n"/>
      <c r="L425" s="26" t="n"/>
      <c r="M425" s="27">
        <f>IF(L425="","",IF(K425="GST 10%",ROUND(L425*set_GSTRate,2),0))</f>
        <v/>
      </c>
      <c r="N425" s="27">
        <f>IF(L425="","",L425+M425)</f>
        <v/>
      </c>
      <c r="O425" s="24" t="n"/>
      <c r="P425" s="24" t="n"/>
      <c r="Q425" s="24" t="n"/>
      <c r="R425" s="22" t="n"/>
      <c r="S425" s="22" t="n"/>
      <c r="T425" s="24" t="n"/>
      <c r="U425" s="24" t="n"/>
      <c r="V425" s="25">
        <f>IF(COUNTA(A425,D425,C425,L425)=0,"",IF(A425="","No date - sits outside every month",IF(E425="","No job number",IF(F425="CHECK","Job number is not in the Xero job list",IF(I425="","No cost centre",IF(AND(P425="Y",C425=""),"Marked posted to Xero but has no invoice number",IF(AND(L425&lt;&gt;"",K425=""),"No tax code",IF(AND(L425&lt;&gt;"",O425=""),"No revenue GL code",""))))))))</f>
        <v/>
      </c>
      <c r="W425" s="25">
        <f>IF(E425="","",IFERROR(INDEX(lst_JobName,MATCH(E425&amp;"",lst_Jobs,0)),""))</f>
        <v/>
      </c>
      <c r="X425" s="28">
        <f>IF(E425="","",COUNTIFS(tbl_Finance[Job Number],E425&amp;"",tbl_Finance[Ex GST],"&lt;&gt;"))</f>
        <v/>
      </c>
      <c r="Y425" s="27">
        <f>IF(E425="","",SUMIFS(tbl_Finance[Ex GST],tbl_Finance[Job Number],E425&amp;""))</f>
        <v/>
      </c>
      <c r="Z425" s="27">
        <f>IF(E425="","",SUMIFS(tbl_Finance[Ex GST],tbl_Finance[Job Number],E425&amp;"",tbl_Finance[Xero Invoice No],"&lt;&gt;"))</f>
        <v/>
      </c>
      <c r="AA425" s="27">
        <f>IF(E425="","",Y425-Z425)</f>
        <v/>
      </c>
      <c r="AB425" s="25">
        <f>IF(E425="","",IF(H425="Onsite",IFERROR(INDEX(tbl_Onsite[Qwilr Quote],MATCH(E425&amp;"",tbl_Onsite[Job Number],0)),""),IF(H425="Production",IFERROR(IF(INDEX(tbl_Production[Current RMS No],MATCH(E425&amp;"",tbl_Production[Job Number],0))="",INDEX(tbl_Production[Qwilr Quote],MATCH(E425&amp;"",tbl_Production[Job Number],0)),INDEX(tbl_Production[Current RMS No],MATCH(E425&amp;"",tbl_Production[Job Number],0))),""),IF(H425="Consulting",IFERROR(INDEX(tbl_Consulting[Qwilr Quote],MATCH(E425&amp;"",tbl_Consulting[Job Number],0)),""),""))))</f>
        <v/>
      </c>
      <c r="AC425" s="25">
        <f>IF(AB425="","",IF(AND(LEFT(AB425,4)&lt;&gt;"http",IF(H425="Production",set_RMSBase,set_QwilrBase)=""),"",HYPERLINK(IF(LEFT(AB425,4)="http",AB425,IF(H425="Production",set_RMSBase,set_QwilrBase)&amp;AB425),"Open")))</f>
        <v/>
      </c>
      <c r="AD425" s="27">
        <f>IF(E425="","",IF(H425="Production",IFERROR(INDEX(tbl_Production[Total Expense],MATCH(E425&amp;"",tbl_Production[Job Number],0)),0),IF(H425="Consulting",IFERROR(INDEX(tbl_Consulting[Total Expense],MATCH(E425&amp;"",tbl_Consulting[Job Number],0)),0),0)))</f>
        <v/>
      </c>
      <c r="AE425" s="27">
        <f>IF(E425="","",Y425-N(AD425))</f>
        <v/>
      </c>
      <c r="AF425" s="29">
        <f>IFERROR(AE425/Y425,"")</f>
        <v/>
      </c>
      <c r="AG425" s="25">
        <f>IF(E425="","",IF(H425="Onsite",IFERROR(INDEX(tbl_Onsite[Notes],MATCH(E425&amp;"",tbl_Onsite[Job Number],0)),""),IF(H425="Production",IFERROR(INDEX(tbl_Production[Notes],MATCH(E425&amp;"",tbl_Production[Job Number],0)),""),IF(H425="Consulting",IFERROR(INDEX(tbl_Consulting[Notes],MATCH(E425&amp;"",tbl_Consulting[Job Number],0)),""),""))))</f>
        <v/>
      </c>
    </row>
    <row r="426" ht="15" customHeight="1">
      <c r="A426" s="22" t="n"/>
      <c r="B426" s="23">
        <f>IF(A426="","",EOMONTH(A426,0))</f>
        <v/>
      </c>
      <c r="C426" s="24" t="n"/>
      <c r="D426" s="24" t="n"/>
      <c r="E426" s="24" t="n"/>
      <c r="F426" s="25">
        <f>IF(E426="","",IF(COUNTIF(lst_Jobs,E426&amp;"")&gt;0,"OK","CHECK"))</f>
        <v/>
      </c>
      <c r="G426" s="24" t="n"/>
      <c r="H426" s="24" t="n"/>
      <c r="I426" s="24" t="n"/>
      <c r="J426" s="24" t="n"/>
      <c r="K426" s="24" t="n"/>
      <c r="L426" s="26" t="n"/>
      <c r="M426" s="27">
        <f>IF(L426="","",IF(K426="GST 10%",ROUND(L426*set_GSTRate,2),0))</f>
        <v/>
      </c>
      <c r="N426" s="27">
        <f>IF(L426="","",L426+M426)</f>
        <v/>
      </c>
      <c r="O426" s="24" t="n"/>
      <c r="P426" s="24" t="n"/>
      <c r="Q426" s="24" t="n"/>
      <c r="R426" s="22" t="n"/>
      <c r="S426" s="22" t="n"/>
      <c r="T426" s="24" t="n"/>
      <c r="U426" s="24" t="n"/>
      <c r="V426" s="25">
        <f>IF(COUNTA(A426,D426,C426,L426)=0,"",IF(A426="","No date - sits outside every month",IF(E426="","No job number",IF(F426="CHECK","Job number is not in the Xero job list",IF(I426="","No cost centre",IF(AND(P426="Y",C426=""),"Marked posted to Xero but has no invoice number",IF(AND(L426&lt;&gt;"",K426=""),"No tax code",IF(AND(L426&lt;&gt;"",O426=""),"No revenue GL code",""))))))))</f>
        <v/>
      </c>
      <c r="W426" s="25">
        <f>IF(E426="","",IFERROR(INDEX(lst_JobName,MATCH(E426&amp;"",lst_Jobs,0)),""))</f>
        <v/>
      </c>
      <c r="X426" s="28">
        <f>IF(E426="","",COUNTIFS(tbl_Finance[Job Number],E426&amp;"",tbl_Finance[Ex GST],"&lt;&gt;"))</f>
        <v/>
      </c>
      <c r="Y426" s="27">
        <f>IF(E426="","",SUMIFS(tbl_Finance[Ex GST],tbl_Finance[Job Number],E426&amp;""))</f>
        <v/>
      </c>
      <c r="Z426" s="27">
        <f>IF(E426="","",SUMIFS(tbl_Finance[Ex GST],tbl_Finance[Job Number],E426&amp;"",tbl_Finance[Xero Invoice No],"&lt;&gt;"))</f>
        <v/>
      </c>
      <c r="AA426" s="27">
        <f>IF(E426="","",Y426-Z426)</f>
        <v/>
      </c>
      <c r="AB426" s="25">
        <f>IF(E426="","",IF(H426="Onsite",IFERROR(INDEX(tbl_Onsite[Qwilr Quote],MATCH(E426&amp;"",tbl_Onsite[Job Number],0)),""),IF(H426="Production",IFERROR(IF(INDEX(tbl_Production[Current RMS No],MATCH(E426&amp;"",tbl_Production[Job Number],0))="",INDEX(tbl_Production[Qwilr Quote],MATCH(E426&amp;"",tbl_Production[Job Number],0)),INDEX(tbl_Production[Current RMS No],MATCH(E426&amp;"",tbl_Production[Job Number],0))),""),IF(H426="Consulting",IFERROR(INDEX(tbl_Consulting[Qwilr Quote],MATCH(E426&amp;"",tbl_Consulting[Job Number],0)),""),""))))</f>
        <v/>
      </c>
      <c r="AC426" s="25">
        <f>IF(AB426="","",IF(AND(LEFT(AB426,4)&lt;&gt;"http",IF(H426="Production",set_RMSBase,set_QwilrBase)=""),"",HYPERLINK(IF(LEFT(AB426,4)="http",AB426,IF(H426="Production",set_RMSBase,set_QwilrBase)&amp;AB426),"Open")))</f>
        <v/>
      </c>
      <c r="AD426" s="27">
        <f>IF(E426="","",IF(H426="Production",IFERROR(INDEX(tbl_Production[Total Expense],MATCH(E426&amp;"",tbl_Production[Job Number],0)),0),IF(H426="Consulting",IFERROR(INDEX(tbl_Consulting[Total Expense],MATCH(E426&amp;"",tbl_Consulting[Job Number],0)),0),0)))</f>
        <v/>
      </c>
      <c r="AE426" s="27">
        <f>IF(E426="","",Y426-N(AD426))</f>
        <v/>
      </c>
      <c r="AF426" s="29">
        <f>IFERROR(AE426/Y426,"")</f>
        <v/>
      </c>
      <c r="AG426" s="25">
        <f>IF(E426="","",IF(H426="Onsite",IFERROR(INDEX(tbl_Onsite[Notes],MATCH(E426&amp;"",tbl_Onsite[Job Number],0)),""),IF(H426="Production",IFERROR(INDEX(tbl_Production[Notes],MATCH(E426&amp;"",tbl_Production[Job Number],0)),""),IF(H426="Consulting",IFERROR(INDEX(tbl_Consulting[Notes],MATCH(E426&amp;"",tbl_Consulting[Job Number],0)),""),""))))</f>
        <v/>
      </c>
    </row>
    <row r="427" ht="15" customHeight="1">
      <c r="A427" s="22" t="n"/>
      <c r="B427" s="23">
        <f>IF(A427="","",EOMONTH(A427,0))</f>
        <v/>
      </c>
      <c r="C427" s="24" t="n"/>
      <c r="D427" s="24" t="n"/>
      <c r="E427" s="24" t="n"/>
      <c r="F427" s="25">
        <f>IF(E427="","",IF(COUNTIF(lst_Jobs,E427&amp;"")&gt;0,"OK","CHECK"))</f>
        <v/>
      </c>
      <c r="G427" s="24" t="n"/>
      <c r="H427" s="24" t="n"/>
      <c r="I427" s="24" t="n"/>
      <c r="J427" s="24" t="n"/>
      <c r="K427" s="24" t="n"/>
      <c r="L427" s="26" t="n"/>
      <c r="M427" s="27">
        <f>IF(L427="","",IF(K427="GST 10%",ROUND(L427*set_GSTRate,2),0))</f>
        <v/>
      </c>
      <c r="N427" s="27">
        <f>IF(L427="","",L427+M427)</f>
        <v/>
      </c>
      <c r="O427" s="24" t="n"/>
      <c r="P427" s="24" t="n"/>
      <c r="Q427" s="24" t="n"/>
      <c r="R427" s="22" t="n"/>
      <c r="S427" s="22" t="n"/>
      <c r="T427" s="24" t="n"/>
      <c r="U427" s="24" t="n"/>
      <c r="V427" s="25">
        <f>IF(COUNTA(A427,D427,C427,L427)=0,"",IF(A427="","No date - sits outside every month",IF(E427="","No job number",IF(F427="CHECK","Job number is not in the Xero job list",IF(I427="","No cost centre",IF(AND(P427="Y",C427=""),"Marked posted to Xero but has no invoice number",IF(AND(L427&lt;&gt;"",K427=""),"No tax code",IF(AND(L427&lt;&gt;"",O427=""),"No revenue GL code",""))))))))</f>
        <v/>
      </c>
      <c r="W427" s="25">
        <f>IF(E427="","",IFERROR(INDEX(lst_JobName,MATCH(E427&amp;"",lst_Jobs,0)),""))</f>
        <v/>
      </c>
      <c r="X427" s="28">
        <f>IF(E427="","",COUNTIFS(tbl_Finance[Job Number],E427&amp;"",tbl_Finance[Ex GST],"&lt;&gt;"))</f>
        <v/>
      </c>
      <c r="Y427" s="27">
        <f>IF(E427="","",SUMIFS(tbl_Finance[Ex GST],tbl_Finance[Job Number],E427&amp;""))</f>
        <v/>
      </c>
      <c r="Z427" s="27">
        <f>IF(E427="","",SUMIFS(tbl_Finance[Ex GST],tbl_Finance[Job Number],E427&amp;"",tbl_Finance[Xero Invoice No],"&lt;&gt;"))</f>
        <v/>
      </c>
      <c r="AA427" s="27">
        <f>IF(E427="","",Y427-Z427)</f>
        <v/>
      </c>
      <c r="AB427" s="25">
        <f>IF(E427="","",IF(H427="Onsite",IFERROR(INDEX(tbl_Onsite[Qwilr Quote],MATCH(E427&amp;"",tbl_Onsite[Job Number],0)),""),IF(H427="Production",IFERROR(IF(INDEX(tbl_Production[Current RMS No],MATCH(E427&amp;"",tbl_Production[Job Number],0))="",INDEX(tbl_Production[Qwilr Quote],MATCH(E427&amp;"",tbl_Production[Job Number],0)),INDEX(tbl_Production[Current RMS No],MATCH(E427&amp;"",tbl_Production[Job Number],0))),""),IF(H427="Consulting",IFERROR(INDEX(tbl_Consulting[Qwilr Quote],MATCH(E427&amp;"",tbl_Consulting[Job Number],0)),""),""))))</f>
        <v/>
      </c>
      <c r="AC427" s="25">
        <f>IF(AB427="","",IF(AND(LEFT(AB427,4)&lt;&gt;"http",IF(H427="Production",set_RMSBase,set_QwilrBase)=""),"",HYPERLINK(IF(LEFT(AB427,4)="http",AB427,IF(H427="Production",set_RMSBase,set_QwilrBase)&amp;AB427),"Open")))</f>
        <v/>
      </c>
      <c r="AD427" s="27">
        <f>IF(E427="","",IF(H427="Production",IFERROR(INDEX(tbl_Production[Total Expense],MATCH(E427&amp;"",tbl_Production[Job Number],0)),0),IF(H427="Consulting",IFERROR(INDEX(tbl_Consulting[Total Expense],MATCH(E427&amp;"",tbl_Consulting[Job Number],0)),0),0)))</f>
        <v/>
      </c>
      <c r="AE427" s="27">
        <f>IF(E427="","",Y427-N(AD427))</f>
        <v/>
      </c>
      <c r="AF427" s="29">
        <f>IFERROR(AE427/Y427,"")</f>
        <v/>
      </c>
      <c r="AG427" s="25">
        <f>IF(E427="","",IF(H427="Onsite",IFERROR(INDEX(tbl_Onsite[Notes],MATCH(E427&amp;"",tbl_Onsite[Job Number],0)),""),IF(H427="Production",IFERROR(INDEX(tbl_Production[Notes],MATCH(E427&amp;"",tbl_Production[Job Number],0)),""),IF(H427="Consulting",IFERROR(INDEX(tbl_Consulting[Notes],MATCH(E427&amp;"",tbl_Consulting[Job Number],0)),""),""))))</f>
        <v/>
      </c>
    </row>
    <row r="428" ht="15" customHeight="1">
      <c r="A428" s="22" t="n"/>
      <c r="B428" s="23">
        <f>IF(A428="","",EOMONTH(A428,0))</f>
        <v/>
      </c>
      <c r="C428" s="24" t="n"/>
      <c r="D428" s="24" t="n"/>
      <c r="E428" s="24" t="n"/>
      <c r="F428" s="25">
        <f>IF(E428="","",IF(COUNTIF(lst_Jobs,E428&amp;"")&gt;0,"OK","CHECK"))</f>
        <v/>
      </c>
      <c r="G428" s="24" t="n"/>
      <c r="H428" s="24" t="n"/>
      <c r="I428" s="24" t="n"/>
      <c r="J428" s="24" t="n"/>
      <c r="K428" s="24" t="n"/>
      <c r="L428" s="26" t="n"/>
      <c r="M428" s="27">
        <f>IF(L428="","",IF(K428="GST 10%",ROUND(L428*set_GSTRate,2),0))</f>
        <v/>
      </c>
      <c r="N428" s="27">
        <f>IF(L428="","",L428+M428)</f>
        <v/>
      </c>
      <c r="O428" s="24" t="n"/>
      <c r="P428" s="24" t="n"/>
      <c r="Q428" s="24" t="n"/>
      <c r="R428" s="22" t="n"/>
      <c r="S428" s="22" t="n"/>
      <c r="T428" s="24" t="n"/>
      <c r="U428" s="24" t="n"/>
      <c r="V428" s="25">
        <f>IF(COUNTA(A428,D428,C428,L428)=0,"",IF(A428="","No date - sits outside every month",IF(E428="","No job number",IF(F428="CHECK","Job number is not in the Xero job list",IF(I428="","No cost centre",IF(AND(P428="Y",C428=""),"Marked posted to Xero but has no invoice number",IF(AND(L428&lt;&gt;"",K428=""),"No tax code",IF(AND(L428&lt;&gt;"",O428=""),"No revenue GL code",""))))))))</f>
        <v/>
      </c>
      <c r="W428" s="25">
        <f>IF(E428="","",IFERROR(INDEX(lst_JobName,MATCH(E428&amp;"",lst_Jobs,0)),""))</f>
        <v/>
      </c>
      <c r="X428" s="28">
        <f>IF(E428="","",COUNTIFS(tbl_Finance[Job Number],E428&amp;"",tbl_Finance[Ex GST],"&lt;&gt;"))</f>
        <v/>
      </c>
      <c r="Y428" s="27">
        <f>IF(E428="","",SUMIFS(tbl_Finance[Ex GST],tbl_Finance[Job Number],E428&amp;""))</f>
        <v/>
      </c>
      <c r="Z428" s="27">
        <f>IF(E428="","",SUMIFS(tbl_Finance[Ex GST],tbl_Finance[Job Number],E428&amp;"",tbl_Finance[Xero Invoice No],"&lt;&gt;"))</f>
        <v/>
      </c>
      <c r="AA428" s="27">
        <f>IF(E428="","",Y428-Z428)</f>
        <v/>
      </c>
      <c r="AB428" s="25">
        <f>IF(E428="","",IF(H428="Onsite",IFERROR(INDEX(tbl_Onsite[Qwilr Quote],MATCH(E428&amp;"",tbl_Onsite[Job Number],0)),""),IF(H428="Production",IFERROR(IF(INDEX(tbl_Production[Current RMS No],MATCH(E428&amp;"",tbl_Production[Job Number],0))="",INDEX(tbl_Production[Qwilr Quote],MATCH(E428&amp;"",tbl_Production[Job Number],0)),INDEX(tbl_Production[Current RMS No],MATCH(E428&amp;"",tbl_Production[Job Number],0))),""),IF(H428="Consulting",IFERROR(INDEX(tbl_Consulting[Qwilr Quote],MATCH(E428&amp;"",tbl_Consulting[Job Number],0)),""),""))))</f>
        <v/>
      </c>
      <c r="AC428" s="25">
        <f>IF(AB428="","",IF(AND(LEFT(AB428,4)&lt;&gt;"http",IF(H428="Production",set_RMSBase,set_QwilrBase)=""),"",HYPERLINK(IF(LEFT(AB428,4)="http",AB428,IF(H428="Production",set_RMSBase,set_QwilrBase)&amp;AB428),"Open")))</f>
        <v/>
      </c>
      <c r="AD428" s="27">
        <f>IF(E428="","",IF(H428="Production",IFERROR(INDEX(tbl_Production[Total Expense],MATCH(E428&amp;"",tbl_Production[Job Number],0)),0),IF(H428="Consulting",IFERROR(INDEX(tbl_Consulting[Total Expense],MATCH(E428&amp;"",tbl_Consulting[Job Number],0)),0),0)))</f>
        <v/>
      </c>
      <c r="AE428" s="27">
        <f>IF(E428="","",Y428-N(AD428))</f>
        <v/>
      </c>
      <c r="AF428" s="29">
        <f>IFERROR(AE428/Y428,"")</f>
        <v/>
      </c>
      <c r="AG428" s="25">
        <f>IF(E428="","",IF(H428="Onsite",IFERROR(INDEX(tbl_Onsite[Notes],MATCH(E428&amp;"",tbl_Onsite[Job Number],0)),""),IF(H428="Production",IFERROR(INDEX(tbl_Production[Notes],MATCH(E428&amp;"",tbl_Production[Job Number],0)),""),IF(H428="Consulting",IFERROR(INDEX(tbl_Consulting[Notes],MATCH(E428&amp;"",tbl_Consulting[Job Number],0)),""),""))))</f>
        <v/>
      </c>
    </row>
    <row r="429" ht="15" customHeight="1">
      <c r="A429" s="22" t="n"/>
      <c r="B429" s="23">
        <f>IF(A429="","",EOMONTH(A429,0))</f>
        <v/>
      </c>
      <c r="C429" s="24" t="n"/>
      <c r="D429" s="24" t="n"/>
      <c r="E429" s="24" t="n"/>
      <c r="F429" s="25">
        <f>IF(E429="","",IF(COUNTIF(lst_Jobs,E429&amp;"")&gt;0,"OK","CHECK"))</f>
        <v/>
      </c>
      <c r="G429" s="24" t="n"/>
      <c r="H429" s="24" t="n"/>
      <c r="I429" s="24" t="n"/>
      <c r="J429" s="24" t="n"/>
      <c r="K429" s="24" t="n"/>
      <c r="L429" s="26" t="n"/>
      <c r="M429" s="27">
        <f>IF(L429="","",IF(K429="GST 10%",ROUND(L429*set_GSTRate,2),0))</f>
        <v/>
      </c>
      <c r="N429" s="27">
        <f>IF(L429="","",L429+M429)</f>
        <v/>
      </c>
      <c r="O429" s="24" t="n"/>
      <c r="P429" s="24" t="n"/>
      <c r="Q429" s="24" t="n"/>
      <c r="R429" s="22" t="n"/>
      <c r="S429" s="22" t="n"/>
      <c r="T429" s="24" t="n"/>
      <c r="U429" s="24" t="n"/>
      <c r="V429" s="25">
        <f>IF(COUNTA(A429,D429,C429,L429)=0,"",IF(A429="","No date - sits outside every month",IF(E429="","No job number",IF(F429="CHECK","Job number is not in the Xero job list",IF(I429="","No cost centre",IF(AND(P429="Y",C429=""),"Marked posted to Xero but has no invoice number",IF(AND(L429&lt;&gt;"",K429=""),"No tax code",IF(AND(L429&lt;&gt;"",O429=""),"No revenue GL code",""))))))))</f>
        <v/>
      </c>
      <c r="W429" s="25">
        <f>IF(E429="","",IFERROR(INDEX(lst_JobName,MATCH(E429&amp;"",lst_Jobs,0)),""))</f>
        <v/>
      </c>
      <c r="X429" s="28">
        <f>IF(E429="","",COUNTIFS(tbl_Finance[Job Number],E429&amp;"",tbl_Finance[Ex GST],"&lt;&gt;"))</f>
        <v/>
      </c>
      <c r="Y429" s="27">
        <f>IF(E429="","",SUMIFS(tbl_Finance[Ex GST],tbl_Finance[Job Number],E429&amp;""))</f>
        <v/>
      </c>
      <c r="Z429" s="27">
        <f>IF(E429="","",SUMIFS(tbl_Finance[Ex GST],tbl_Finance[Job Number],E429&amp;"",tbl_Finance[Xero Invoice No],"&lt;&gt;"))</f>
        <v/>
      </c>
      <c r="AA429" s="27">
        <f>IF(E429="","",Y429-Z429)</f>
        <v/>
      </c>
      <c r="AB429" s="25">
        <f>IF(E429="","",IF(H429="Onsite",IFERROR(INDEX(tbl_Onsite[Qwilr Quote],MATCH(E429&amp;"",tbl_Onsite[Job Number],0)),""),IF(H429="Production",IFERROR(IF(INDEX(tbl_Production[Current RMS No],MATCH(E429&amp;"",tbl_Production[Job Number],0))="",INDEX(tbl_Production[Qwilr Quote],MATCH(E429&amp;"",tbl_Production[Job Number],0)),INDEX(tbl_Production[Current RMS No],MATCH(E429&amp;"",tbl_Production[Job Number],0))),""),IF(H429="Consulting",IFERROR(INDEX(tbl_Consulting[Qwilr Quote],MATCH(E429&amp;"",tbl_Consulting[Job Number],0)),""),""))))</f>
        <v/>
      </c>
      <c r="AC429" s="25">
        <f>IF(AB429="","",IF(AND(LEFT(AB429,4)&lt;&gt;"http",IF(H429="Production",set_RMSBase,set_QwilrBase)=""),"",HYPERLINK(IF(LEFT(AB429,4)="http",AB429,IF(H429="Production",set_RMSBase,set_QwilrBase)&amp;AB429),"Open")))</f>
        <v/>
      </c>
      <c r="AD429" s="27">
        <f>IF(E429="","",IF(H429="Production",IFERROR(INDEX(tbl_Production[Total Expense],MATCH(E429&amp;"",tbl_Production[Job Number],0)),0),IF(H429="Consulting",IFERROR(INDEX(tbl_Consulting[Total Expense],MATCH(E429&amp;"",tbl_Consulting[Job Number],0)),0),0)))</f>
        <v/>
      </c>
      <c r="AE429" s="27">
        <f>IF(E429="","",Y429-N(AD429))</f>
        <v/>
      </c>
      <c r="AF429" s="29">
        <f>IFERROR(AE429/Y429,"")</f>
        <v/>
      </c>
      <c r="AG429" s="25">
        <f>IF(E429="","",IF(H429="Onsite",IFERROR(INDEX(tbl_Onsite[Notes],MATCH(E429&amp;"",tbl_Onsite[Job Number],0)),""),IF(H429="Production",IFERROR(INDEX(tbl_Production[Notes],MATCH(E429&amp;"",tbl_Production[Job Number],0)),""),IF(H429="Consulting",IFERROR(INDEX(tbl_Consulting[Notes],MATCH(E429&amp;"",tbl_Consulting[Job Number],0)),""),""))))</f>
        <v/>
      </c>
    </row>
    <row r="430" ht="15" customHeight="1">
      <c r="A430" s="22" t="n"/>
      <c r="B430" s="23">
        <f>IF(A430="","",EOMONTH(A430,0))</f>
        <v/>
      </c>
      <c r="C430" s="24" t="n"/>
      <c r="D430" s="24" t="n"/>
      <c r="E430" s="24" t="n"/>
      <c r="F430" s="25">
        <f>IF(E430="","",IF(COUNTIF(lst_Jobs,E430&amp;"")&gt;0,"OK","CHECK"))</f>
        <v/>
      </c>
      <c r="G430" s="24" t="n"/>
      <c r="H430" s="24" t="n"/>
      <c r="I430" s="24" t="n"/>
      <c r="J430" s="24" t="n"/>
      <c r="K430" s="24" t="n"/>
      <c r="L430" s="26" t="n"/>
      <c r="M430" s="27">
        <f>IF(L430="","",IF(K430="GST 10%",ROUND(L430*set_GSTRate,2),0))</f>
        <v/>
      </c>
      <c r="N430" s="27">
        <f>IF(L430="","",L430+M430)</f>
        <v/>
      </c>
      <c r="O430" s="24" t="n"/>
      <c r="P430" s="24" t="n"/>
      <c r="Q430" s="24" t="n"/>
      <c r="R430" s="22" t="n"/>
      <c r="S430" s="22" t="n"/>
      <c r="T430" s="24" t="n"/>
      <c r="U430" s="24" t="n"/>
      <c r="V430" s="25">
        <f>IF(COUNTA(A430,D430,C430,L430)=0,"",IF(A430="","No date - sits outside every month",IF(E430="","No job number",IF(F430="CHECK","Job number is not in the Xero job list",IF(I430="","No cost centre",IF(AND(P430="Y",C430=""),"Marked posted to Xero but has no invoice number",IF(AND(L430&lt;&gt;"",K430=""),"No tax code",IF(AND(L430&lt;&gt;"",O430=""),"No revenue GL code",""))))))))</f>
        <v/>
      </c>
      <c r="W430" s="25">
        <f>IF(E430="","",IFERROR(INDEX(lst_JobName,MATCH(E430&amp;"",lst_Jobs,0)),""))</f>
        <v/>
      </c>
      <c r="X430" s="28">
        <f>IF(E430="","",COUNTIFS(tbl_Finance[Job Number],E430&amp;"",tbl_Finance[Ex GST],"&lt;&gt;"))</f>
        <v/>
      </c>
      <c r="Y430" s="27">
        <f>IF(E430="","",SUMIFS(tbl_Finance[Ex GST],tbl_Finance[Job Number],E430&amp;""))</f>
        <v/>
      </c>
      <c r="Z430" s="27">
        <f>IF(E430="","",SUMIFS(tbl_Finance[Ex GST],tbl_Finance[Job Number],E430&amp;"",tbl_Finance[Xero Invoice No],"&lt;&gt;"))</f>
        <v/>
      </c>
      <c r="AA430" s="27">
        <f>IF(E430="","",Y430-Z430)</f>
        <v/>
      </c>
      <c r="AB430" s="25">
        <f>IF(E430="","",IF(H430="Onsite",IFERROR(INDEX(tbl_Onsite[Qwilr Quote],MATCH(E430&amp;"",tbl_Onsite[Job Number],0)),""),IF(H430="Production",IFERROR(IF(INDEX(tbl_Production[Current RMS No],MATCH(E430&amp;"",tbl_Production[Job Number],0))="",INDEX(tbl_Production[Qwilr Quote],MATCH(E430&amp;"",tbl_Production[Job Number],0)),INDEX(tbl_Production[Current RMS No],MATCH(E430&amp;"",tbl_Production[Job Number],0))),""),IF(H430="Consulting",IFERROR(INDEX(tbl_Consulting[Qwilr Quote],MATCH(E430&amp;"",tbl_Consulting[Job Number],0)),""),""))))</f>
        <v/>
      </c>
      <c r="AC430" s="25">
        <f>IF(AB430="","",IF(AND(LEFT(AB430,4)&lt;&gt;"http",IF(H430="Production",set_RMSBase,set_QwilrBase)=""),"",HYPERLINK(IF(LEFT(AB430,4)="http",AB430,IF(H430="Production",set_RMSBase,set_QwilrBase)&amp;AB430),"Open")))</f>
        <v/>
      </c>
      <c r="AD430" s="27">
        <f>IF(E430="","",IF(H430="Production",IFERROR(INDEX(tbl_Production[Total Expense],MATCH(E430&amp;"",tbl_Production[Job Number],0)),0),IF(H430="Consulting",IFERROR(INDEX(tbl_Consulting[Total Expense],MATCH(E430&amp;"",tbl_Consulting[Job Number],0)),0),0)))</f>
        <v/>
      </c>
      <c r="AE430" s="27">
        <f>IF(E430="","",Y430-N(AD430))</f>
        <v/>
      </c>
      <c r="AF430" s="29">
        <f>IFERROR(AE430/Y430,"")</f>
        <v/>
      </c>
      <c r="AG430" s="25">
        <f>IF(E430="","",IF(H430="Onsite",IFERROR(INDEX(tbl_Onsite[Notes],MATCH(E430&amp;"",tbl_Onsite[Job Number],0)),""),IF(H430="Production",IFERROR(INDEX(tbl_Production[Notes],MATCH(E430&amp;"",tbl_Production[Job Number],0)),""),IF(H430="Consulting",IFERROR(INDEX(tbl_Consulting[Notes],MATCH(E430&amp;"",tbl_Consulting[Job Number],0)),""),""))))</f>
        <v/>
      </c>
    </row>
    <row r="431" ht="15" customHeight="1">
      <c r="A431" s="22" t="n"/>
      <c r="B431" s="23">
        <f>IF(A431="","",EOMONTH(A431,0))</f>
        <v/>
      </c>
      <c r="C431" s="24" t="n"/>
      <c r="D431" s="24" t="n"/>
      <c r="E431" s="24" t="n"/>
      <c r="F431" s="25">
        <f>IF(E431="","",IF(COUNTIF(lst_Jobs,E431&amp;"")&gt;0,"OK","CHECK"))</f>
        <v/>
      </c>
      <c r="G431" s="24" t="n"/>
      <c r="H431" s="24" t="n"/>
      <c r="I431" s="24" t="n"/>
      <c r="J431" s="24" t="n"/>
      <c r="K431" s="24" t="n"/>
      <c r="L431" s="26" t="n"/>
      <c r="M431" s="27">
        <f>IF(L431="","",IF(K431="GST 10%",ROUND(L431*set_GSTRate,2),0))</f>
        <v/>
      </c>
      <c r="N431" s="27">
        <f>IF(L431="","",L431+M431)</f>
        <v/>
      </c>
      <c r="O431" s="24" t="n"/>
      <c r="P431" s="24" t="n"/>
      <c r="Q431" s="24" t="n"/>
      <c r="R431" s="22" t="n"/>
      <c r="S431" s="22" t="n"/>
      <c r="T431" s="24" t="n"/>
      <c r="U431" s="24" t="n"/>
      <c r="V431" s="25">
        <f>IF(COUNTA(A431,D431,C431,L431)=0,"",IF(A431="","No date - sits outside every month",IF(E431="","No job number",IF(F431="CHECK","Job number is not in the Xero job list",IF(I431="","No cost centre",IF(AND(P431="Y",C431=""),"Marked posted to Xero but has no invoice number",IF(AND(L431&lt;&gt;"",K431=""),"No tax code",IF(AND(L431&lt;&gt;"",O431=""),"No revenue GL code",""))))))))</f>
        <v/>
      </c>
      <c r="W431" s="25">
        <f>IF(E431="","",IFERROR(INDEX(lst_JobName,MATCH(E431&amp;"",lst_Jobs,0)),""))</f>
        <v/>
      </c>
      <c r="X431" s="28">
        <f>IF(E431="","",COUNTIFS(tbl_Finance[Job Number],E431&amp;"",tbl_Finance[Ex GST],"&lt;&gt;"))</f>
        <v/>
      </c>
      <c r="Y431" s="27">
        <f>IF(E431="","",SUMIFS(tbl_Finance[Ex GST],tbl_Finance[Job Number],E431&amp;""))</f>
        <v/>
      </c>
      <c r="Z431" s="27">
        <f>IF(E431="","",SUMIFS(tbl_Finance[Ex GST],tbl_Finance[Job Number],E431&amp;"",tbl_Finance[Xero Invoice No],"&lt;&gt;"))</f>
        <v/>
      </c>
      <c r="AA431" s="27">
        <f>IF(E431="","",Y431-Z431)</f>
        <v/>
      </c>
      <c r="AB431" s="25">
        <f>IF(E431="","",IF(H431="Onsite",IFERROR(INDEX(tbl_Onsite[Qwilr Quote],MATCH(E431&amp;"",tbl_Onsite[Job Number],0)),""),IF(H431="Production",IFERROR(IF(INDEX(tbl_Production[Current RMS No],MATCH(E431&amp;"",tbl_Production[Job Number],0))="",INDEX(tbl_Production[Qwilr Quote],MATCH(E431&amp;"",tbl_Production[Job Number],0)),INDEX(tbl_Production[Current RMS No],MATCH(E431&amp;"",tbl_Production[Job Number],0))),""),IF(H431="Consulting",IFERROR(INDEX(tbl_Consulting[Qwilr Quote],MATCH(E431&amp;"",tbl_Consulting[Job Number],0)),""),""))))</f>
        <v/>
      </c>
      <c r="AC431" s="25">
        <f>IF(AB431="","",IF(AND(LEFT(AB431,4)&lt;&gt;"http",IF(H431="Production",set_RMSBase,set_QwilrBase)=""),"",HYPERLINK(IF(LEFT(AB431,4)="http",AB431,IF(H431="Production",set_RMSBase,set_QwilrBase)&amp;AB431),"Open")))</f>
        <v/>
      </c>
      <c r="AD431" s="27">
        <f>IF(E431="","",IF(H431="Production",IFERROR(INDEX(tbl_Production[Total Expense],MATCH(E431&amp;"",tbl_Production[Job Number],0)),0),IF(H431="Consulting",IFERROR(INDEX(tbl_Consulting[Total Expense],MATCH(E431&amp;"",tbl_Consulting[Job Number],0)),0),0)))</f>
        <v/>
      </c>
      <c r="AE431" s="27">
        <f>IF(E431="","",Y431-N(AD431))</f>
        <v/>
      </c>
      <c r="AF431" s="29">
        <f>IFERROR(AE431/Y431,"")</f>
        <v/>
      </c>
      <c r="AG431" s="25">
        <f>IF(E431="","",IF(H431="Onsite",IFERROR(INDEX(tbl_Onsite[Notes],MATCH(E431&amp;"",tbl_Onsite[Job Number],0)),""),IF(H431="Production",IFERROR(INDEX(tbl_Production[Notes],MATCH(E431&amp;"",tbl_Production[Job Number],0)),""),IF(H431="Consulting",IFERROR(INDEX(tbl_Consulting[Notes],MATCH(E431&amp;"",tbl_Consulting[Job Number],0)),""),""))))</f>
        <v/>
      </c>
    </row>
    <row r="432" ht="15" customHeight="1">
      <c r="A432" s="22" t="n"/>
      <c r="B432" s="23">
        <f>IF(A432="","",EOMONTH(A432,0))</f>
        <v/>
      </c>
      <c r="C432" s="24" t="n"/>
      <c r="D432" s="24" t="n"/>
      <c r="E432" s="24" t="n"/>
      <c r="F432" s="25">
        <f>IF(E432="","",IF(COUNTIF(lst_Jobs,E432&amp;"")&gt;0,"OK","CHECK"))</f>
        <v/>
      </c>
      <c r="G432" s="24" t="n"/>
      <c r="H432" s="24" t="n"/>
      <c r="I432" s="24" t="n"/>
      <c r="J432" s="24" t="n"/>
      <c r="K432" s="24" t="n"/>
      <c r="L432" s="26" t="n"/>
      <c r="M432" s="27">
        <f>IF(L432="","",IF(K432="GST 10%",ROUND(L432*set_GSTRate,2),0))</f>
        <v/>
      </c>
      <c r="N432" s="27">
        <f>IF(L432="","",L432+M432)</f>
        <v/>
      </c>
      <c r="O432" s="24" t="n"/>
      <c r="P432" s="24" t="n"/>
      <c r="Q432" s="24" t="n"/>
      <c r="R432" s="22" t="n"/>
      <c r="S432" s="22" t="n"/>
      <c r="T432" s="24" t="n"/>
      <c r="U432" s="24" t="n"/>
      <c r="V432" s="25">
        <f>IF(COUNTA(A432,D432,C432,L432)=0,"",IF(A432="","No date - sits outside every month",IF(E432="","No job number",IF(F432="CHECK","Job number is not in the Xero job list",IF(I432="","No cost centre",IF(AND(P432="Y",C432=""),"Marked posted to Xero but has no invoice number",IF(AND(L432&lt;&gt;"",K432=""),"No tax code",IF(AND(L432&lt;&gt;"",O432=""),"No revenue GL code",""))))))))</f>
        <v/>
      </c>
      <c r="W432" s="25">
        <f>IF(E432="","",IFERROR(INDEX(lst_JobName,MATCH(E432&amp;"",lst_Jobs,0)),""))</f>
        <v/>
      </c>
      <c r="X432" s="28">
        <f>IF(E432="","",COUNTIFS(tbl_Finance[Job Number],E432&amp;"",tbl_Finance[Ex GST],"&lt;&gt;"))</f>
        <v/>
      </c>
      <c r="Y432" s="27">
        <f>IF(E432="","",SUMIFS(tbl_Finance[Ex GST],tbl_Finance[Job Number],E432&amp;""))</f>
        <v/>
      </c>
      <c r="Z432" s="27">
        <f>IF(E432="","",SUMIFS(tbl_Finance[Ex GST],tbl_Finance[Job Number],E432&amp;"",tbl_Finance[Xero Invoice No],"&lt;&gt;"))</f>
        <v/>
      </c>
      <c r="AA432" s="27">
        <f>IF(E432="","",Y432-Z432)</f>
        <v/>
      </c>
      <c r="AB432" s="25">
        <f>IF(E432="","",IF(H432="Onsite",IFERROR(INDEX(tbl_Onsite[Qwilr Quote],MATCH(E432&amp;"",tbl_Onsite[Job Number],0)),""),IF(H432="Production",IFERROR(IF(INDEX(tbl_Production[Current RMS No],MATCH(E432&amp;"",tbl_Production[Job Number],0))="",INDEX(tbl_Production[Qwilr Quote],MATCH(E432&amp;"",tbl_Production[Job Number],0)),INDEX(tbl_Production[Current RMS No],MATCH(E432&amp;"",tbl_Production[Job Number],0))),""),IF(H432="Consulting",IFERROR(INDEX(tbl_Consulting[Qwilr Quote],MATCH(E432&amp;"",tbl_Consulting[Job Number],0)),""),""))))</f>
        <v/>
      </c>
      <c r="AC432" s="25">
        <f>IF(AB432="","",IF(AND(LEFT(AB432,4)&lt;&gt;"http",IF(H432="Production",set_RMSBase,set_QwilrBase)=""),"",HYPERLINK(IF(LEFT(AB432,4)="http",AB432,IF(H432="Production",set_RMSBase,set_QwilrBase)&amp;AB432),"Open")))</f>
        <v/>
      </c>
      <c r="AD432" s="27">
        <f>IF(E432="","",IF(H432="Production",IFERROR(INDEX(tbl_Production[Total Expense],MATCH(E432&amp;"",tbl_Production[Job Number],0)),0),IF(H432="Consulting",IFERROR(INDEX(tbl_Consulting[Total Expense],MATCH(E432&amp;"",tbl_Consulting[Job Number],0)),0),0)))</f>
        <v/>
      </c>
      <c r="AE432" s="27">
        <f>IF(E432="","",Y432-N(AD432))</f>
        <v/>
      </c>
      <c r="AF432" s="29">
        <f>IFERROR(AE432/Y432,"")</f>
        <v/>
      </c>
      <c r="AG432" s="25">
        <f>IF(E432="","",IF(H432="Onsite",IFERROR(INDEX(tbl_Onsite[Notes],MATCH(E432&amp;"",tbl_Onsite[Job Number],0)),""),IF(H432="Production",IFERROR(INDEX(tbl_Production[Notes],MATCH(E432&amp;"",tbl_Production[Job Number],0)),""),IF(H432="Consulting",IFERROR(INDEX(tbl_Consulting[Notes],MATCH(E432&amp;"",tbl_Consulting[Job Number],0)),""),""))))</f>
        <v/>
      </c>
    </row>
    <row r="433" ht="15" customHeight="1">
      <c r="A433" s="22" t="n"/>
      <c r="B433" s="23">
        <f>IF(A433="","",EOMONTH(A433,0))</f>
        <v/>
      </c>
      <c r="C433" s="24" t="n"/>
      <c r="D433" s="24" t="n"/>
      <c r="E433" s="24" t="n"/>
      <c r="F433" s="25">
        <f>IF(E433="","",IF(COUNTIF(lst_Jobs,E433&amp;"")&gt;0,"OK","CHECK"))</f>
        <v/>
      </c>
      <c r="G433" s="24" t="n"/>
      <c r="H433" s="24" t="n"/>
      <c r="I433" s="24" t="n"/>
      <c r="J433" s="24" t="n"/>
      <c r="K433" s="24" t="n"/>
      <c r="L433" s="26" t="n"/>
      <c r="M433" s="27">
        <f>IF(L433="","",IF(K433="GST 10%",ROUND(L433*set_GSTRate,2),0))</f>
        <v/>
      </c>
      <c r="N433" s="27">
        <f>IF(L433="","",L433+M433)</f>
        <v/>
      </c>
      <c r="O433" s="24" t="n"/>
      <c r="P433" s="24" t="n"/>
      <c r="Q433" s="24" t="n"/>
      <c r="R433" s="22" t="n"/>
      <c r="S433" s="22" t="n"/>
      <c r="T433" s="24" t="n"/>
      <c r="U433" s="24" t="n"/>
      <c r="V433" s="25">
        <f>IF(COUNTA(A433,D433,C433,L433)=0,"",IF(A433="","No date - sits outside every month",IF(E433="","No job number",IF(F433="CHECK","Job number is not in the Xero job list",IF(I433="","No cost centre",IF(AND(P433="Y",C433=""),"Marked posted to Xero but has no invoice number",IF(AND(L433&lt;&gt;"",K433=""),"No tax code",IF(AND(L433&lt;&gt;"",O433=""),"No revenue GL code",""))))))))</f>
        <v/>
      </c>
      <c r="W433" s="25">
        <f>IF(E433="","",IFERROR(INDEX(lst_JobName,MATCH(E433&amp;"",lst_Jobs,0)),""))</f>
        <v/>
      </c>
      <c r="X433" s="28">
        <f>IF(E433="","",COUNTIFS(tbl_Finance[Job Number],E433&amp;"",tbl_Finance[Ex GST],"&lt;&gt;"))</f>
        <v/>
      </c>
      <c r="Y433" s="27">
        <f>IF(E433="","",SUMIFS(tbl_Finance[Ex GST],tbl_Finance[Job Number],E433&amp;""))</f>
        <v/>
      </c>
      <c r="Z433" s="27">
        <f>IF(E433="","",SUMIFS(tbl_Finance[Ex GST],tbl_Finance[Job Number],E433&amp;"",tbl_Finance[Xero Invoice No],"&lt;&gt;"))</f>
        <v/>
      </c>
      <c r="AA433" s="27">
        <f>IF(E433="","",Y433-Z433)</f>
        <v/>
      </c>
      <c r="AB433" s="25">
        <f>IF(E433="","",IF(H433="Onsite",IFERROR(INDEX(tbl_Onsite[Qwilr Quote],MATCH(E433&amp;"",tbl_Onsite[Job Number],0)),""),IF(H433="Production",IFERROR(IF(INDEX(tbl_Production[Current RMS No],MATCH(E433&amp;"",tbl_Production[Job Number],0))="",INDEX(tbl_Production[Qwilr Quote],MATCH(E433&amp;"",tbl_Production[Job Number],0)),INDEX(tbl_Production[Current RMS No],MATCH(E433&amp;"",tbl_Production[Job Number],0))),""),IF(H433="Consulting",IFERROR(INDEX(tbl_Consulting[Qwilr Quote],MATCH(E433&amp;"",tbl_Consulting[Job Number],0)),""),""))))</f>
        <v/>
      </c>
      <c r="AC433" s="25">
        <f>IF(AB433="","",IF(AND(LEFT(AB433,4)&lt;&gt;"http",IF(H433="Production",set_RMSBase,set_QwilrBase)=""),"",HYPERLINK(IF(LEFT(AB433,4)="http",AB433,IF(H433="Production",set_RMSBase,set_QwilrBase)&amp;AB433),"Open")))</f>
        <v/>
      </c>
      <c r="AD433" s="27">
        <f>IF(E433="","",IF(H433="Production",IFERROR(INDEX(tbl_Production[Total Expense],MATCH(E433&amp;"",tbl_Production[Job Number],0)),0),IF(H433="Consulting",IFERROR(INDEX(tbl_Consulting[Total Expense],MATCH(E433&amp;"",tbl_Consulting[Job Number],0)),0),0)))</f>
        <v/>
      </c>
      <c r="AE433" s="27">
        <f>IF(E433="","",Y433-N(AD433))</f>
        <v/>
      </c>
      <c r="AF433" s="29">
        <f>IFERROR(AE433/Y433,"")</f>
        <v/>
      </c>
      <c r="AG433" s="25">
        <f>IF(E433="","",IF(H433="Onsite",IFERROR(INDEX(tbl_Onsite[Notes],MATCH(E433&amp;"",tbl_Onsite[Job Number],0)),""),IF(H433="Production",IFERROR(INDEX(tbl_Production[Notes],MATCH(E433&amp;"",tbl_Production[Job Number],0)),""),IF(H433="Consulting",IFERROR(INDEX(tbl_Consulting[Notes],MATCH(E433&amp;"",tbl_Consulting[Job Number],0)),""),""))))</f>
        <v/>
      </c>
    </row>
    <row r="434" ht="15" customHeight="1">
      <c r="A434" s="22" t="n"/>
      <c r="B434" s="23">
        <f>IF(A434="","",EOMONTH(A434,0))</f>
        <v/>
      </c>
      <c r="C434" s="24" t="n"/>
      <c r="D434" s="24" t="n"/>
      <c r="E434" s="24" t="n"/>
      <c r="F434" s="25">
        <f>IF(E434="","",IF(COUNTIF(lst_Jobs,E434&amp;"")&gt;0,"OK","CHECK"))</f>
        <v/>
      </c>
      <c r="G434" s="24" t="n"/>
      <c r="H434" s="24" t="n"/>
      <c r="I434" s="24" t="n"/>
      <c r="J434" s="24" t="n"/>
      <c r="K434" s="24" t="n"/>
      <c r="L434" s="26" t="n"/>
      <c r="M434" s="27">
        <f>IF(L434="","",IF(K434="GST 10%",ROUND(L434*set_GSTRate,2),0))</f>
        <v/>
      </c>
      <c r="N434" s="27">
        <f>IF(L434="","",L434+M434)</f>
        <v/>
      </c>
      <c r="O434" s="24" t="n"/>
      <c r="P434" s="24" t="n"/>
      <c r="Q434" s="24" t="n"/>
      <c r="R434" s="22" t="n"/>
      <c r="S434" s="22" t="n"/>
      <c r="T434" s="24" t="n"/>
      <c r="U434" s="24" t="n"/>
      <c r="V434" s="25">
        <f>IF(COUNTA(A434,D434,C434,L434)=0,"",IF(A434="","No date - sits outside every month",IF(E434="","No job number",IF(F434="CHECK","Job number is not in the Xero job list",IF(I434="","No cost centre",IF(AND(P434="Y",C434=""),"Marked posted to Xero but has no invoice number",IF(AND(L434&lt;&gt;"",K434=""),"No tax code",IF(AND(L434&lt;&gt;"",O434=""),"No revenue GL code",""))))))))</f>
        <v/>
      </c>
      <c r="W434" s="25">
        <f>IF(E434="","",IFERROR(INDEX(lst_JobName,MATCH(E434&amp;"",lst_Jobs,0)),""))</f>
        <v/>
      </c>
      <c r="X434" s="28">
        <f>IF(E434="","",COUNTIFS(tbl_Finance[Job Number],E434&amp;"",tbl_Finance[Ex GST],"&lt;&gt;"))</f>
        <v/>
      </c>
      <c r="Y434" s="27">
        <f>IF(E434="","",SUMIFS(tbl_Finance[Ex GST],tbl_Finance[Job Number],E434&amp;""))</f>
        <v/>
      </c>
      <c r="Z434" s="27">
        <f>IF(E434="","",SUMIFS(tbl_Finance[Ex GST],tbl_Finance[Job Number],E434&amp;"",tbl_Finance[Xero Invoice No],"&lt;&gt;"))</f>
        <v/>
      </c>
      <c r="AA434" s="27">
        <f>IF(E434="","",Y434-Z434)</f>
        <v/>
      </c>
      <c r="AB434" s="25">
        <f>IF(E434="","",IF(H434="Onsite",IFERROR(INDEX(tbl_Onsite[Qwilr Quote],MATCH(E434&amp;"",tbl_Onsite[Job Number],0)),""),IF(H434="Production",IFERROR(IF(INDEX(tbl_Production[Current RMS No],MATCH(E434&amp;"",tbl_Production[Job Number],0))="",INDEX(tbl_Production[Qwilr Quote],MATCH(E434&amp;"",tbl_Production[Job Number],0)),INDEX(tbl_Production[Current RMS No],MATCH(E434&amp;"",tbl_Production[Job Number],0))),""),IF(H434="Consulting",IFERROR(INDEX(tbl_Consulting[Qwilr Quote],MATCH(E434&amp;"",tbl_Consulting[Job Number],0)),""),""))))</f>
        <v/>
      </c>
      <c r="AC434" s="25">
        <f>IF(AB434="","",IF(AND(LEFT(AB434,4)&lt;&gt;"http",IF(H434="Production",set_RMSBase,set_QwilrBase)=""),"",HYPERLINK(IF(LEFT(AB434,4)="http",AB434,IF(H434="Production",set_RMSBase,set_QwilrBase)&amp;AB434),"Open")))</f>
        <v/>
      </c>
      <c r="AD434" s="27">
        <f>IF(E434="","",IF(H434="Production",IFERROR(INDEX(tbl_Production[Total Expense],MATCH(E434&amp;"",tbl_Production[Job Number],0)),0),IF(H434="Consulting",IFERROR(INDEX(tbl_Consulting[Total Expense],MATCH(E434&amp;"",tbl_Consulting[Job Number],0)),0),0)))</f>
        <v/>
      </c>
      <c r="AE434" s="27">
        <f>IF(E434="","",Y434-N(AD434))</f>
        <v/>
      </c>
      <c r="AF434" s="29">
        <f>IFERROR(AE434/Y434,"")</f>
        <v/>
      </c>
      <c r="AG434" s="25">
        <f>IF(E434="","",IF(H434="Onsite",IFERROR(INDEX(tbl_Onsite[Notes],MATCH(E434&amp;"",tbl_Onsite[Job Number],0)),""),IF(H434="Production",IFERROR(INDEX(tbl_Production[Notes],MATCH(E434&amp;"",tbl_Production[Job Number],0)),""),IF(H434="Consulting",IFERROR(INDEX(tbl_Consulting[Notes],MATCH(E434&amp;"",tbl_Consulting[Job Number],0)),""),""))))</f>
        <v/>
      </c>
    </row>
    <row r="435" ht="15" customHeight="1">
      <c r="A435" s="22" t="n"/>
      <c r="B435" s="23">
        <f>IF(A435="","",EOMONTH(A435,0))</f>
        <v/>
      </c>
      <c r="C435" s="24" t="n"/>
      <c r="D435" s="24" t="n"/>
      <c r="E435" s="24" t="n"/>
      <c r="F435" s="25">
        <f>IF(E435="","",IF(COUNTIF(lst_Jobs,E435&amp;"")&gt;0,"OK","CHECK"))</f>
        <v/>
      </c>
      <c r="G435" s="24" t="n"/>
      <c r="H435" s="24" t="n"/>
      <c r="I435" s="24" t="n"/>
      <c r="J435" s="24" t="n"/>
      <c r="K435" s="24" t="n"/>
      <c r="L435" s="26" t="n"/>
      <c r="M435" s="27">
        <f>IF(L435="","",IF(K435="GST 10%",ROUND(L435*set_GSTRate,2),0))</f>
        <v/>
      </c>
      <c r="N435" s="27">
        <f>IF(L435="","",L435+M435)</f>
        <v/>
      </c>
      <c r="O435" s="24" t="n"/>
      <c r="P435" s="24" t="n"/>
      <c r="Q435" s="24" t="n"/>
      <c r="R435" s="22" t="n"/>
      <c r="S435" s="22" t="n"/>
      <c r="T435" s="24" t="n"/>
      <c r="U435" s="24" t="n"/>
      <c r="V435" s="25">
        <f>IF(COUNTA(A435,D435,C435,L435)=0,"",IF(A435="","No date - sits outside every month",IF(E435="","No job number",IF(F435="CHECK","Job number is not in the Xero job list",IF(I435="","No cost centre",IF(AND(P435="Y",C435=""),"Marked posted to Xero but has no invoice number",IF(AND(L435&lt;&gt;"",K435=""),"No tax code",IF(AND(L435&lt;&gt;"",O435=""),"No revenue GL code",""))))))))</f>
        <v/>
      </c>
      <c r="W435" s="25">
        <f>IF(E435="","",IFERROR(INDEX(lst_JobName,MATCH(E435&amp;"",lst_Jobs,0)),""))</f>
        <v/>
      </c>
      <c r="X435" s="28">
        <f>IF(E435="","",COUNTIFS(tbl_Finance[Job Number],E435&amp;"",tbl_Finance[Ex GST],"&lt;&gt;"))</f>
        <v/>
      </c>
      <c r="Y435" s="27">
        <f>IF(E435="","",SUMIFS(tbl_Finance[Ex GST],tbl_Finance[Job Number],E435&amp;""))</f>
        <v/>
      </c>
      <c r="Z435" s="27">
        <f>IF(E435="","",SUMIFS(tbl_Finance[Ex GST],tbl_Finance[Job Number],E435&amp;"",tbl_Finance[Xero Invoice No],"&lt;&gt;"))</f>
        <v/>
      </c>
      <c r="AA435" s="27">
        <f>IF(E435="","",Y435-Z435)</f>
        <v/>
      </c>
      <c r="AB435" s="25">
        <f>IF(E435="","",IF(H435="Onsite",IFERROR(INDEX(tbl_Onsite[Qwilr Quote],MATCH(E435&amp;"",tbl_Onsite[Job Number],0)),""),IF(H435="Production",IFERROR(IF(INDEX(tbl_Production[Current RMS No],MATCH(E435&amp;"",tbl_Production[Job Number],0))="",INDEX(tbl_Production[Qwilr Quote],MATCH(E435&amp;"",tbl_Production[Job Number],0)),INDEX(tbl_Production[Current RMS No],MATCH(E435&amp;"",tbl_Production[Job Number],0))),""),IF(H435="Consulting",IFERROR(INDEX(tbl_Consulting[Qwilr Quote],MATCH(E435&amp;"",tbl_Consulting[Job Number],0)),""),""))))</f>
        <v/>
      </c>
      <c r="AC435" s="25">
        <f>IF(AB435="","",IF(AND(LEFT(AB435,4)&lt;&gt;"http",IF(H435="Production",set_RMSBase,set_QwilrBase)=""),"",HYPERLINK(IF(LEFT(AB435,4)="http",AB435,IF(H435="Production",set_RMSBase,set_QwilrBase)&amp;AB435),"Open")))</f>
        <v/>
      </c>
      <c r="AD435" s="27">
        <f>IF(E435="","",IF(H435="Production",IFERROR(INDEX(tbl_Production[Total Expense],MATCH(E435&amp;"",tbl_Production[Job Number],0)),0),IF(H435="Consulting",IFERROR(INDEX(tbl_Consulting[Total Expense],MATCH(E435&amp;"",tbl_Consulting[Job Number],0)),0),0)))</f>
        <v/>
      </c>
      <c r="AE435" s="27">
        <f>IF(E435="","",Y435-N(AD435))</f>
        <v/>
      </c>
      <c r="AF435" s="29">
        <f>IFERROR(AE435/Y435,"")</f>
        <v/>
      </c>
      <c r="AG435" s="25">
        <f>IF(E435="","",IF(H435="Onsite",IFERROR(INDEX(tbl_Onsite[Notes],MATCH(E435&amp;"",tbl_Onsite[Job Number],0)),""),IF(H435="Production",IFERROR(INDEX(tbl_Production[Notes],MATCH(E435&amp;"",tbl_Production[Job Number],0)),""),IF(H435="Consulting",IFERROR(INDEX(tbl_Consulting[Notes],MATCH(E435&amp;"",tbl_Consulting[Job Number],0)),""),""))))</f>
        <v/>
      </c>
    </row>
    <row r="436" ht="15" customHeight="1">
      <c r="A436" s="22" t="n"/>
      <c r="B436" s="23">
        <f>IF(A436="","",EOMONTH(A436,0))</f>
        <v/>
      </c>
      <c r="C436" s="24" t="n"/>
      <c r="D436" s="24" t="n"/>
      <c r="E436" s="24" t="n"/>
      <c r="F436" s="25">
        <f>IF(E436="","",IF(COUNTIF(lst_Jobs,E436&amp;"")&gt;0,"OK","CHECK"))</f>
        <v/>
      </c>
      <c r="G436" s="24" t="n"/>
      <c r="H436" s="24" t="n"/>
      <c r="I436" s="24" t="n"/>
      <c r="J436" s="24" t="n"/>
      <c r="K436" s="24" t="n"/>
      <c r="L436" s="26" t="n"/>
      <c r="M436" s="27">
        <f>IF(L436="","",IF(K436="GST 10%",ROUND(L436*set_GSTRate,2),0))</f>
        <v/>
      </c>
      <c r="N436" s="27">
        <f>IF(L436="","",L436+M436)</f>
        <v/>
      </c>
      <c r="O436" s="24" t="n"/>
      <c r="P436" s="24" t="n"/>
      <c r="Q436" s="24" t="n"/>
      <c r="R436" s="22" t="n"/>
      <c r="S436" s="22" t="n"/>
      <c r="T436" s="24" t="n"/>
      <c r="U436" s="24" t="n"/>
      <c r="V436" s="25">
        <f>IF(COUNTA(A436,D436,C436,L436)=0,"",IF(A436="","No date - sits outside every month",IF(E436="","No job number",IF(F436="CHECK","Job number is not in the Xero job list",IF(I436="","No cost centre",IF(AND(P436="Y",C436=""),"Marked posted to Xero but has no invoice number",IF(AND(L436&lt;&gt;"",K436=""),"No tax code",IF(AND(L436&lt;&gt;"",O436=""),"No revenue GL code",""))))))))</f>
        <v/>
      </c>
      <c r="W436" s="25">
        <f>IF(E436="","",IFERROR(INDEX(lst_JobName,MATCH(E436&amp;"",lst_Jobs,0)),""))</f>
        <v/>
      </c>
      <c r="X436" s="28">
        <f>IF(E436="","",COUNTIFS(tbl_Finance[Job Number],E436&amp;"",tbl_Finance[Ex GST],"&lt;&gt;"))</f>
        <v/>
      </c>
      <c r="Y436" s="27">
        <f>IF(E436="","",SUMIFS(tbl_Finance[Ex GST],tbl_Finance[Job Number],E436&amp;""))</f>
        <v/>
      </c>
      <c r="Z436" s="27">
        <f>IF(E436="","",SUMIFS(tbl_Finance[Ex GST],tbl_Finance[Job Number],E436&amp;"",tbl_Finance[Xero Invoice No],"&lt;&gt;"))</f>
        <v/>
      </c>
      <c r="AA436" s="27">
        <f>IF(E436="","",Y436-Z436)</f>
        <v/>
      </c>
      <c r="AB436" s="25">
        <f>IF(E436="","",IF(H436="Onsite",IFERROR(INDEX(tbl_Onsite[Qwilr Quote],MATCH(E436&amp;"",tbl_Onsite[Job Number],0)),""),IF(H436="Production",IFERROR(IF(INDEX(tbl_Production[Current RMS No],MATCH(E436&amp;"",tbl_Production[Job Number],0))="",INDEX(tbl_Production[Qwilr Quote],MATCH(E436&amp;"",tbl_Production[Job Number],0)),INDEX(tbl_Production[Current RMS No],MATCH(E436&amp;"",tbl_Production[Job Number],0))),""),IF(H436="Consulting",IFERROR(INDEX(tbl_Consulting[Qwilr Quote],MATCH(E436&amp;"",tbl_Consulting[Job Number],0)),""),""))))</f>
        <v/>
      </c>
      <c r="AC436" s="25">
        <f>IF(AB436="","",IF(AND(LEFT(AB436,4)&lt;&gt;"http",IF(H436="Production",set_RMSBase,set_QwilrBase)=""),"",HYPERLINK(IF(LEFT(AB436,4)="http",AB436,IF(H436="Production",set_RMSBase,set_QwilrBase)&amp;AB436),"Open")))</f>
        <v/>
      </c>
      <c r="AD436" s="27">
        <f>IF(E436="","",IF(H436="Production",IFERROR(INDEX(tbl_Production[Total Expense],MATCH(E436&amp;"",tbl_Production[Job Number],0)),0),IF(H436="Consulting",IFERROR(INDEX(tbl_Consulting[Total Expense],MATCH(E436&amp;"",tbl_Consulting[Job Number],0)),0),0)))</f>
        <v/>
      </c>
      <c r="AE436" s="27">
        <f>IF(E436="","",Y436-N(AD436))</f>
        <v/>
      </c>
      <c r="AF436" s="29">
        <f>IFERROR(AE436/Y436,"")</f>
        <v/>
      </c>
      <c r="AG436" s="25">
        <f>IF(E436="","",IF(H436="Onsite",IFERROR(INDEX(tbl_Onsite[Notes],MATCH(E436&amp;"",tbl_Onsite[Job Number],0)),""),IF(H436="Production",IFERROR(INDEX(tbl_Production[Notes],MATCH(E436&amp;"",tbl_Production[Job Number],0)),""),IF(H436="Consulting",IFERROR(INDEX(tbl_Consulting[Notes],MATCH(E436&amp;"",tbl_Consulting[Job Number],0)),""),""))))</f>
        <v/>
      </c>
    </row>
    <row r="437" ht="15" customHeight="1">
      <c r="A437" s="22" t="n"/>
      <c r="B437" s="23">
        <f>IF(A437="","",EOMONTH(A437,0))</f>
        <v/>
      </c>
      <c r="C437" s="24" t="n"/>
      <c r="D437" s="24" t="n"/>
      <c r="E437" s="24" t="n"/>
      <c r="F437" s="25">
        <f>IF(E437="","",IF(COUNTIF(lst_Jobs,E437&amp;"")&gt;0,"OK","CHECK"))</f>
        <v/>
      </c>
      <c r="G437" s="24" t="n"/>
      <c r="H437" s="24" t="n"/>
      <c r="I437" s="24" t="n"/>
      <c r="J437" s="24" t="n"/>
      <c r="K437" s="24" t="n"/>
      <c r="L437" s="26" t="n"/>
      <c r="M437" s="27">
        <f>IF(L437="","",IF(K437="GST 10%",ROUND(L437*set_GSTRate,2),0))</f>
        <v/>
      </c>
      <c r="N437" s="27">
        <f>IF(L437="","",L437+M437)</f>
        <v/>
      </c>
      <c r="O437" s="24" t="n"/>
      <c r="P437" s="24" t="n"/>
      <c r="Q437" s="24" t="n"/>
      <c r="R437" s="22" t="n"/>
      <c r="S437" s="22" t="n"/>
      <c r="T437" s="24" t="n"/>
      <c r="U437" s="24" t="n"/>
      <c r="V437" s="25">
        <f>IF(COUNTA(A437,D437,C437,L437)=0,"",IF(A437="","No date - sits outside every month",IF(E437="","No job number",IF(F437="CHECK","Job number is not in the Xero job list",IF(I437="","No cost centre",IF(AND(P437="Y",C437=""),"Marked posted to Xero but has no invoice number",IF(AND(L437&lt;&gt;"",K437=""),"No tax code",IF(AND(L437&lt;&gt;"",O437=""),"No revenue GL code",""))))))))</f>
        <v/>
      </c>
      <c r="W437" s="25">
        <f>IF(E437="","",IFERROR(INDEX(lst_JobName,MATCH(E437&amp;"",lst_Jobs,0)),""))</f>
        <v/>
      </c>
      <c r="X437" s="28">
        <f>IF(E437="","",COUNTIFS(tbl_Finance[Job Number],E437&amp;"",tbl_Finance[Ex GST],"&lt;&gt;"))</f>
        <v/>
      </c>
      <c r="Y437" s="27">
        <f>IF(E437="","",SUMIFS(tbl_Finance[Ex GST],tbl_Finance[Job Number],E437&amp;""))</f>
        <v/>
      </c>
      <c r="Z437" s="27">
        <f>IF(E437="","",SUMIFS(tbl_Finance[Ex GST],tbl_Finance[Job Number],E437&amp;"",tbl_Finance[Xero Invoice No],"&lt;&gt;"))</f>
        <v/>
      </c>
      <c r="AA437" s="27">
        <f>IF(E437="","",Y437-Z437)</f>
        <v/>
      </c>
      <c r="AB437" s="25">
        <f>IF(E437="","",IF(H437="Onsite",IFERROR(INDEX(tbl_Onsite[Qwilr Quote],MATCH(E437&amp;"",tbl_Onsite[Job Number],0)),""),IF(H437="Production",IFERROR(IF(INDEX(tbl_Production[Current RMS No],MATCH(E437&amp;"",tbl_Production[Job Number],0))="",INDEX(tbl_Production[Qwilr Quote],MATCH(E437&amp;"",tbl_Production[Job Number],0)),INDEX(tbl_Production[Current RMS No],MATCH(E437&amp;"",tbl_Production[Job Number],0))),""),IF(H437="Consulting",IFERROR(INDEX(tbl_Consulting[Qwilr Quote],MATCH(E437&amp;"",tbl_Consulting[Job Number],0)),""),""))))</f>
        <v/>
      </c>
      <c r="AC437" s="25">
        <f>IF(AB437="","",IF(AND(LEFT(AB437,4)&lt;&gt;"http",IF(H437="Production",set_RMSBase,set_QwilrBase)=""),"",HYPERLINK(IF(LEFT(AB437,4)="http",AB437,IF(H437="Production",set_RMSBase,set_QwilrBase)&amp;AB437),"Open")))</f>
        <v/>
      </c>
      <c r="AD437" s="27">
        <f>IF(E437="","",IF(H437="Production",IFERROR(INDEX(tbl_Production[Total Expense],MATCH(E437&amp;"",tbl_Production[Job Number],0)),0),IF(H437="Consulting",IFERROR(INDEX(tbl_Consulting[Total Expense],MATCH(E437&amp;"",tbl_Consulting[Job Number],0)),0),0)))</f>
        <v/>
      </c>
      <c r="AE437" s="27">
        <f>IF(E437="","",Y437-N(AD437))</f>
        <v/>
      </c>
      <c r="AF437" s="29">
        <f>IFERROR(AE437/Y437,"")</f>
        <v/>
      </c>
      <c r="AG437" s="25">
        <f>IF(E437="","",IF(H437="Onsite",IFERROR(INDEX(tbl_Onsite[Notes],MATCH(E437&amp;"",tbl_Onsite[Job Number],0)),""),IF(H437="Production",IFERROR(INDEX(tbl_Production[Notes],MATCH(E437&amp;"",tbl_Production[Job Number],0)),""),IF(H437="Consulting",IFERROR(INDEX(tbl_Consulting[Notes],MATCH(E437&amp;"",tbl_Consulting[Job Number],0)),""),""))))</f>
        <v/>
      </c>
    </row>
    <row r="438" ht="15" customHeight="1">
      <c r="A438" s="22" t="n"/>
      <c r="B438" s="23">
        <f>IF(A438="","",EOMONTH(A438,0))</f>
        <v/>
      </c>
      <c r="C438" s="24" t="n"/>
      <c r="D438" s="24" t="n"/>
      <c r="E438" s="24" t="n"/>
      <c r="F438" s="25">
        <f>IF(E438="","",IF(COUNTIF(lst_Jobs,E438&amp;"")&gt;0,"OK","CHECK"))</f>
        <v/>
      </c>
      <c r="G438" s="24" t="n"/>
      <c r="H438" s="24" t="n"/>
      <c r="I438" s="24" t="n"/>
      <c r="J438" s="24" t="n"/>
      <c r="K438" s="24" t="n"/>
      <c r="L438" s="26" t="n"/>
      <c r="M438" s="27">
        <f>IF(L438="","",IF(K438="GST 10%",ROUND(L438*set_GSTRate,2),0))</f>
        <v/>
      </c>
      <c r="N438" s="27">
        <f>IF(L438="","",L438+M438)</f>
        <v/>
      </c>
      <c r="O438" s="24" t="n"/>
      <c r="P438" s="24" t="n"/>
      <c r="Q438" s="24" t="n"/>
      <c r="R438" s="22" t="n"/>
      <c r="S438" s="22" t="n"/>
      <c r="T438" s="24" t="n"/>
      <c r="U438" s="24" t="n"/>
      <c r="V438" s="25">
        <f>IF(COUNTA(A438,D438,C438,L438)=0,"",IF(A438="","No date - sits outside every month",IF(E438="","No job number",IF(F438="CHECK","Job number is not in the Xero job list",IF(I438="","No cost centre",IF(AND(P438="Y",C438=""),"Marked posted to Xero but has no invoice number",IF(AND(L438&lt;&gt;"",K438=""),"No tax code",IF(AND(L438&lt;&gt;"",O438=""),"No revenue GL code",""))))))))</f>
        <v/>
      </c>
      <c r="W438" s="25">
        <f>IF(E438="","",IFERROR(INDEX(lst_JobName,MATCH(E438&amp;"",lst_Jobs,0)),""))</f>
        <v/>
      </c>
      <c r="X438" s="28">
        <f>IF(E438="","",COUNTIFS(tbl_Finance[Job Number],E438&amp;"",tbl_Finance[Ex GST],"&lt;&gt;"))</f>
        <v/>
      </c>
      <c r="Y438" s="27">
        <f>IF(E438="","",SUMIFS(tbl_Finance[Ex GST],tbl_Finance[Job Number],E438&amp;""))</f>
        <v/>
      </c>
      <c r="Z438" s="27">
        <f>IF(E438="","",SUMIFS(tbl_Finance[Ex GST],tbl_Finance[Job Number],E438&amp;"",tbl_Finance[Xero Invoice No],"&lt;&gt;"))</f>
        <v/>
      </c>
      <c r="AA438" s="27">
        <f>IF(E438="","",Y438-Z438)</f>
        <v/>
      </c>
      <c r="AB438" s="25">
        <f>IF(E438="","",IF(H438="Onsite",IFERROR(INDEX(tbl_Onsite[Qwilr Quote],MATCH(E438&amp;"",tbl_Onsite[Job Number],0)),""),IF(H438="Production",IFERROR(IF(INDEX(tbl_Production[Current RMS No],MATCH(E438&amp;"",tbl_Production[Job Number],0))="",INDEX(tbl_Production[Qwilr Quote],MATCH(E438&amp;"",tbl_Production[Job Number],0)),INDEX(tbl_Production[Current RMS No],MATCH(E438&amp;"",tbl_Production[Job Number],0))),""),IF(H438="Consulting",IFERROR(INDEX(tbl_Consulting[Qwilr Quote],MATCH(E438&amp;"",tbl_Consulting[Job Number],0)),""),""))))</f>
        <v/>
      </c>
      <c r="AC438" s="25">
        <f>IF(AB438="","",IF(AND(LEFT(AB438,4)&lt;&gt;"http",IF(H438="Production",set_RMSBase,set_QwilrBase)=""),"",HYPERLINK(IF(LEFT(AB438,4)="http",AB438,IF(H438="Production",set_RMSBase,set_QwilrBase)&amp;AB438),"Open")))</f>
        <v/>
      </c>
      <c r="AD438" s="27">
        <f>IF(E438="","",IF(H438="Production",IFERROR(INDEX(tbl_Production[Total Expense],MATCH(E438&amp;"",tbl_Production[Job Number],0)),0),IF(H438="Consulting",IFERROR(INDEX(tbl_Consulting[Total Expense],MATCH(E438&amp;"",tbl_Consulting[Job Number],0)),0),0)))</f>
        <v/>
      </c>
      <c r="AE438" s="27">
        <f>IF(E438="","",Y438-N(AD438))</f>
        <v/>
      </c>
      <c r="AF438" s="29">
        <f>IFERROR(AE438/Y438,"")</f>
        <v/>
      </c>
      <c r="AG438" s="25">
        <f>IF(E438="","",IF(H438="Onsite",IFERROR(INDEX(tbl_Onsite[Notes],MATCH(E438&amp;"",tbl_Onsite[Job Number],0)),""),IF(H438="Production",IFERROR(INDEX(tbl_Production[Notes],MATCH(E438&amp;"",tbl_Production[Job Number],0)),""),IF(H438="Consulting",IFERROR(INDEX(tbl_Consulting[Notes],MATCH(E438&amp;"",tbl_Consulting[Job Number],0)),""),""))))</f>
        <v/>
      </c>
    </row>
    <row r="439" ht="15" customHeight="1">
      <c r="A439" s="22" t="n"/>
      <c r="B439" s="23">
        <f>IF(A439="","",EOMONTH(A439,0))</f>
        <v/>
      </c>
      <c r="C439" s="24" t="n"/>
      <c r="D439" s="24" t="n"/>
      <c r="E439" s="24" t="n"/>
      <c r="F439" s="25">
        <f>IF(E439="","",IF(COUNTIF(lst_Jobs,E439&amp;"")&gt;0,"OK","CHECK"))</f>
        <v/>
      </c>
      <c r="G439" s="24" t="n"/>
      <c r="H439" s="24" t="n"/>
      <c r="I439" s="24" t="n"/>
      <c r="J439" s="24" t="n"/>
      <c r="K439" s="24" t="n"/>
      <c r="L439" s="26" t="n"/>
      <c r="M439" s="27">
        <f>IF(L439="","",IF(K439="GST 10%",ROUND(L439*set_GSTRate,2),0))</f>
        <v/>
      </c>
      <c r="N439" s="27">
        <f>IF(L439="","",L439+M439)</f>
        <v/>
      </c>
      <c r="O439" s="24" t="n"/>
      <c r="P439" s="24" t="n"/>
      <c r="Q439" s="24" t="n"/>
      <c r="R439" s="22" t="n"/>
      <c r="S439" s="22" t="n"/>
      <c r="T439" s="24" t="n"/>
      <c r="U439" s="24" t="n"/>
      <c r="V439" s="25">
        <f>IF(COUNTA(A439,D439,C439,L439)=0,"",IF(A439="","No date - sits outside every month",IF(E439="","No job number",IF(F439="CHECK","Job number is not in the Xero job list",IF(I439="","No cost centre",IF(AND(P439="Y",C439=""),"Marked posted to Xero but has no invoice number",IF(AND(L439&lt;&gt;"",K439=""),"No tax code",IF(AND(L439&lt;&gt;"",O439=""),"No revenue GL code",""))))))))</f>
        <v/>
      </c>
      <c r="W439" s="25">
        <f>IF(E439="","",IFERROR(INDEX(lst_JobName,MATCH(E439&amp;"",lst_Jobs,0)),""))</f>
        <v/>
      </c>
      <c r="X439" s="28">
        <f>IF(E439="","",COUNTIFS(tbl_Finance[Job Number],E439&amp;"",tbl_Finance[Ex GST],"&lt;&gt;"))</f>
        <v/>
      </c>
      <c r="Y439" s="27">
        <f>IF(E439="","",SUMIFS(tbl_Finance[Ex GST],tbl_Finance[Job Number],E439&amp;""))</f>
        <v/>
      </c>
      <c r="Z439" s="27">
        <f>IF(E439="","",SUMIFS(tbl_Finance[Ex GST],tbl_Finance[Job Number],E439&amp;"",tbl_Finance[Xero Invoice No],"&lt;&gt;"))</f>
        <v/>
      </c>
      <c r="AA439" s="27">
        <f>IF(E439="","",Y439-Z439)</f>
        <v/>
      </c>
      <c r="AB439" s="25">
        <f>IF(E439="","",IF(H439="Onsite",IFERROR(INDEX(tbl_Onsite[Qwilr Quote],MATCH(E439&amp;"",tbl_Onsite[Job Number],0)),""),IF(H439="Production",IFERROR(IF(INDEX(tbl_Production[Current RMS No],MATCH(E439&amp;"",tbl_Production[Job Number],0))="",INDEX(tbl_Production[Qwilr Quote],MATCH(E439&amp;"",tbl_Production[Job Number],0)),INDEX(tbl_Production[Current RMS No],MATCH(E439&amp;"",tbl_Production[Job Number],0))),""),IF(H439="Consulting",IFERROR(INDEX(tbl_Consulting[Qwilr Quote],MATCH(E439&amp;"",tbl_Consulting[Job Number],0)),""),""))))</f>
        <v/>
      </c>
      <c r="AC439" s="25">
        <f>IF(AB439="","",IF(AND(LEFT(AB439,4)&lt;&gt;"http",IF(H439="Production",set_RMSBase,set_QwilrBase)=""),"",HYPERLINK(IF(LEFT(AB439,4)="http",AB439,IF(H439="Production",set_RMSBase,set_QwilrBase)&amp;AB439),"Open")))</f>
        <v/>
      </c>
      <c r="AD439" s="27">
        <f>IF(E439="","",IF(H439="Production",IFERROR(INDEX(tbl_Production[Total Expense],MATCH(E439&amp;"",tbl_Production[Job Number],0)),0),IF(H439="Consulting",IFERROR(INDEX(tbl_Consulting[Total Expense],MATCH(E439&amp;"",tbl_Consulting[Job Number],0)),0),0)))</f>
        <v/>
      </c>
      <c r="AE439" s="27">
        <f>IF(E439="","",Y439-N(AD439))</f>
        <v/>
      </c>
      <c r="AF439" s="29">
        <f>IFERROR(AE439/Y439,"")</f>
        <v/>
      </c>
      <c r="AG439" s="25">
        <f>IF(E439="","",IF(H439="Onsite",IFERROR(INDEX(tbl_Onsite[Notes],MATCH(E439&amp;"",tbl_Onsite[Job Number],0)),""),IF(H439="Production",IFERROR(INDEX(tbl_Production[Notes],MATCH(E439&amp;"",tbl_Production[Job Number],0)),""),IF(H439="Consulting",IFERROR(INDEX(tbl_Consulting[Notes],MATCH(E439&amp;"",tbl_Consulting[Job Number],0)),""),""))))</f>
        <v/>
      </c>
    </row>
    <row r="440" ht="15" customHeight="1">
      <c r="A440" s="22" t="n"/>
      <c r="B440" s="23">
        <f>IF(A440="","",EOMONTH(A440,0))</f>
        <v/>
      </c>
      <c r="C440" s="24" t="n"/>
      <c r="D440" s="24" t="n"/>
      <c r="E440" s="24" t="n"/>
      <c r="F440" s="25">
        <f>IF(E440="","",IF(COUNTIF(lst_Jobs,E440&amp;"")&gt;0,"OK","CHECK"))</f>
        <v/>
      </c>
      <c r="G440" s="24" t="n"/>
      <c r="H440" s="24" t="n"/>
      <c r="I440" s="24" t="n"/>
      <c r="J440" s="24" t="n"/>
      <c r="K440" s="24" t="n"/>
      <c r="L440" s="26" t="n"/>
      <c r="M440" s="27">
        <f>IF(L440="","",IF(K440="GST 10%",ROUND(L440*set_GSTRate,2),0))</f>
        <v/>
      </c>
      <c r="N440" s="27">
        <f>IF(L440="","",L440+M440)</f>
        <v/>
      </c>
      <c r="O440" s="24" t="n"/>
      <c r="P440" s="24" t="n"/>
      <c r="Q440" s="24" t="n"/>
      <c r="R440" s="22" t="n"/>
      <c r="S440" s="22" t="n"/>
      <c r="T440" s="24" t="n"/>
      <c r="U440" s="24" t="n"/>
      <c r="V440" s="25">
        <f>IF(COUNTA(A440,D440,C440,L440)=0,"",IF(A440="","No date - sits outside every month",IF(E440="","No job number",IF(F440="CHECK","Job number is not in the Xero job list",IF(I440="","No cost centre",IF(AND(P440="Y",C440=""),"Marked posted to Xero but has no invoice number",IF(AND(L440&lt;&gt;"",K440=""),"No tax code",IF(AND(L440&lt;&gt;"",O440=""),"No revenue GL code",""))))))))</f>
        <v/>
      </c>
      <c r="W440" s="25">
        <f>IF(E440="","",IFERROR(INDEX(lst_JobName,MATCH(E440&amp;"",lst_Jobs,0)),""))</f>
        <v/>
      </c>
      <c r="X440" s="28">
        <f>IF(E440="","",COUNTIFS(tbl_Finance[Job Number],E440&amp;"",tbl_Finance[Ex GST],"&lt;&gt;"))</f>
        <v/>
      </c>
      <c r="Y440" s="27">
        <f>IF(E440="","",SUMIFS(tbl_Finance[Ex GST],tbl_Finance[Job Number],E440&amp;""))</f>
        <v/>
      </c>
      <c r="Z440" s="27">
        <f>IF(E440="","",SUMIFS(tbl_Finance[Ex GST],tbl_Finance[Job Number],E440&amp;"",tbl_Finance[Xero Invoice No],"&lt;&gt;"))</f>
        <v/>
      </c>
      <c r="AA440" s="27">
        <f>IF(E440="","",Y440-Z440)</f>
        <v/>
      </c>
      <c r="AB440" s="25">
        <f>IF(E440="","",IF(H440="Onsite",IFERROR(INDEX(tbl_Onsite[Qwilr Quote],MATCH(E440&amp;"",tbl_Onsite[Job Number],0)),""),IF(H440="Production",IFERROR(IF(INDEX(tbl_Production[Current RMS No],MATCH(E440&amp;"",tbl_Production[Job Number],0))="",INDEX(tbl_Production[Qwilr Quote],MATCH(E440&amp;"",tbl_Production[Job Number],0)),INDEX(tbl_Production[Current RMS No],MATCH(E440&amp;"",tbl_Production[Job Number],0))),""),IF(H440="Consulting",IFERROR(INDEX(tbl_Consulting[Qwilr Quote],MATCH(E440&amp;"",tbl_Consulting[Job Number],0)),""),""))))</f>
        <v/>
      </c>
      <c r="AC440" s="25">
        <f>IF(AB440="","",IF(AND(LEFT(AB440,4)&lt;&gt;"http",IF(H440="Production",set_RMSBase,set_QwilrBase)=""),"",HYPERLINK(IF(LEFT(AB440,4)="http",AB440,IF(H440="Production",set_RMSBase,set_QwilrBase)&amp;AB440),"Open")))</f>
        <v/>
      </c>
      <c r="AD440" s="27">
        <f>IF(E440="","",IF(H440="Production",IFERROR(INDEX(tbl_Production[Total Expense],MATCH(E440&amp;"",tbl_Production[Job Number],0)),0),IF(H440="Consulting",IFERROR(INDEX(tbl_Consulting[Total Expense],MATCH(E440&amp;"",tbl_Consulting[Job Number],0)),0),0)))</f>
        <v/>
      </c>
      <c r="AE440" s="27">
        <f>IF(E440="","",Y440-N(AD440))</f>
        <v/>
      </c>
      <c r="AF440" s="29">
        <f>IFERROR(AE440/Y440,"")</f>
        <v/>
      </c>
      <c r="AG440" s="25">
        <f>IF(E440="","",IF(H440="Onsite",IFERROR(INDEX(tbl_Onsite[Notes],MATCH(E440&amp;"",tbl_Onsite[Job Number],0)),""),IF(H440="Production",IFERROR(INDEX(tbl_Production[Notes],MATCH(E440&amp;"",tbl_Production[Job Number],0)),""),IF(H440="Consulting",IFERROR(INDEX(tbl_Consulting[Notes],MATCH(E440&amp;"",tbl_Consulting[Job Number],0)),""),""))))</f>
        <v/>
      </c>
    </row>
    <row r="441" ht="15" customHeight="1">
      <c r="A441" s="22" t="n"/>
      <c r="B441" s="23">
        <f>IF(A441="","",EOMONTH(A441,0))</f>
        <v/>
      </c>
      <c r="C441" s="24" t="n"/>
      <c r="D441" s="24" t="n"/>
      <c r="E441" s="24" t="n"/>
      <c r="F441" s="25">
        <f>IF(E441="","",IF(COUNTIF(lst_Jobs,E441&amp;"")&gt;0,"OK","CHECK"))</f>
        <v/>
      </c>
      <c r="G441" s="24" t="n"/>
      <c r="H441" s="24" t="n"/>
      <c r="I441" s="24" t="n"/>
      <c r="J441" s="24" t="n"/>
      <c r="K441" s="24" t="n"/>
      <c r="L441" s="26" t="n"/>
      <c r="M441" s="27">
        <f>IF(L441="","",IF(K441="GST 10%",ROUND(L441*set_GSTRate,2),0))</f>
        <v/>
      </c>
      <c r="N441" s="27">
        <f>IF(L441="","",L441+M441)</f>
        <v/>
      </c>
      <c r="O441" s="24" t="n"/>
      <c r="P441" s="24" t="n"/>
      <c r="Q441" s="24" t="n"/>
      <c r="R441" s="22" t="n"/>
      <c r="S441" s="22" t="n"/>
      <c r="T441" s="24" t="n"/>
      <c r="U441" s="24" t="n"/>
      <c r="V441" s="25">
        <f>IF(COUNTA(A441,D441,C441,L441)=0,"",IF(A441="","No date - sits outside every month",IF(E441="","No job number",IF(F441="CHECK","Job number is not in the Xero job list",IF(I441="","No cost centre",IF(AND(P441="Y",C441=""),"Marked posted to Xero but has no invoice number",IF(AND(L441&lt;&gt;"",K441=""),"No tax code",IF(AND(L441&lt;&gt;"",O441=""),"No revenue GL code",""))))))))</f>
        <v/>
      </c>
      <c r="W441" s="25">
        <f>IF(E441="","",IFERROR(INDEX(lst_JobName,MATCH(E441&amp;"",lst_Jobs,0)),""))</f>
        <v/>
      </c>
      <c r="X441" s="28">
        <f>IF(E441="","",COUNTIFS(tbl_Finance[Job Number],E441&amp;"",tbl_Finance[Ex GST],"&lt;&gt;"))</f>
        <v/>
      </c>
      <c r="Y441" s="27">
        <f>IF(E441="","",SUMIFS(tbl_Finance[Ex GST],tbl_Finance[Job Number],E441&amp;""))</f>
        <v/>
      </c>
      <c r="Z441" s="27">
        <f>IF(E441="","",SUMIFS(tbl_Finance[Ex GST],tbl_Finance[Job Number],E441&amp;"",tbl_Finance[Xero Invoice No],"&lt;&gt;"))</f>
        <v/>
      </c>
      <c r="AA441" s="27">
        <f>IF(E441="","",Y441-Z441)</f>
        <v/>
      </c>
      <c r="AB441" s="25">
        <f>IF(E441="","",IF(H441="Onsite",IFERROR(INDEX(tbl_Onsite[Qwilr Quote],MATCH(E441&amp;"",tbl_Onsite[Job Number],0)),""),IF(H441="Production",IFERROR(IF(INDEX(tbl_Production[Current RMS No],MATCH(E441&amp;"",tbl_Production[Job Number],0))="",INDEX(tbl_Production[Qwilr Quote],MATCH(E441&amp;"",tbl_Production[Job Number],0)),INDEX(tbl_Production[Current RMS No],MATCH(E441&amp;"",tbl_Production[Job Number],0))),""),IF(H441="Consulting",IFERROR(INDEX(tbl_Consulting[Qwilr Quote],MATCH(E441&amp;"",tbl_Consulting[Job Number],0)),""),""))))</f>
        <v/>
      </c>
      <c r="AC441" s="25">
        <f>IF(AB441="","",IF(AND(LEFT(AB441,4)&lt;&gt;"http",IF(H441="Production",set_RMSBase,set_QwilrBase)=""),"",HYPERLINK(IF(LEFT(AB441,4)="http",AB441,IF(H441="Production",set_RMSBase,set_QwilrBase)&amp;AB441),"Open")))</f>
        <v/>
      </c>
      <c r="AD441" s="27">
        <f>IF(E441="","",IF(H441="Production",IFERROR(INDEX(tbl_Production[Total Expense],MATCH(E441&amp;"",tbl_Production[Job Number],0)),0),IF(H441="Consulting",IFERROR(INDEX(tbl_Consulting[Total Expense],MATCH(E441&amp;"",tbl_Consulting[Job Number],0)),0),0)))</f>
        <v/>
      </c>
      <c r="AE441" s="27">
        <f>IF(E441="","",Y441-N(AD441))</f>
        <v/>
      </c>
      <c r="AF441" s="29">
        <f>IFERROR(AE441/Y441,"")</f>
        <v/>
      </c>
      <c r="AG441" s="25">
        <f>IF(E441="","",IF(H441="Onsite",IFERROR(INDEX(tbl_Onsite[Notes],MATCH(E441&amp;"",tbl_Onsite[Job Number],0)),""),IF(H441="Production",IFERROR(INDEX(tbl_Production[Notes],MATCH(E441&amp;"",tbl_Production[Job Number],0)),""),IF(H441="Consulting",IFERROR(INDEX(tbl_Consulting[Notes],MATCH(E441&amp;"",tbl_Consulting[Job Number],0)),""),""))))</f>
        <v/>
      </c>
    </row>
    <row r="442" ht="15" customHeight="1">
      <c r="A442" s="22" t="n"/>
      <c r="B442" s="23">
        <f>IF(A442="","",EOMONTH(A442,0))</f>
        <v/>
      </c>
      <c r="C442" s="24" t="n"/>
      <c r="D442" s="24" t="n"/>
      <c r="E442" s="24" t="n"/>
      <c r="F442" s="25">
        <f>IF(E442="","",IF(COUNTIF(lst_Jobs,E442&amp;"")&gt;0,"OK","CHECK"))</f>
        <v/>
      </c>
      <c r="G442" s="24" t="n"/>
      <c r="H442" s="24" t="n"/>
      <c r="I442" s="24" t="n"/>
      <c r="J442" s="24" t="n"/>
      <c r="K442" s="24" t="n"/>
      <c r="L442" s="26" t="n"/>
      <c r="M442" s="27">
        <f>IF(L442="","",IF(K442="GST 10%",ROUND(L442*set_GSTRate,2),0))</f>
        <v/>
      </c>
      <c r="N442" s="27">
        <f>IF(L442="","",L442+M442)</f>
        <v/>
      </c>
      <c r="O442" s="24" t="n"/>
      <c r="P442" s="24" t="n"/>
      <c r="Q442" s="24" t="n"/>
      <c r="R442" s="22" t="n"/>
      <c r="S442" s="22" t="n"/>
      <c r="T442" s="24" t="n"/>
      <c r="U442" s="24" t="n"/>
      <c r="V442" s="25">
        <f>IF(COUNTA(A442,D442,C442,L442)=0,"",IF(A442="","No date - sits outside every month",IF(E442="","No job number",IF(F442="CHECK","Job number is not in the Xero job list",IF(I442="","No cost centre",IF(AND(P442="Y",C442=""),"Marked posted to Xero but has no invoice number",IF(AND(L442&lt;&gt;"",K442=""),"No tax code",IF(AND(L442&lt;&gt;"",O442=""),"No revenue GL code",""))))))))</f>
        <v/>
      </c>
      <c r="W442" s="25">
        <f>IF(E442="","",IFERROR(INDEX(lst_JobName,MATCH(E442&amp;"",lst_Jobs,0)),""))</f>
        <v/>
      </c>
      <c r="X442" s="28">
        <f>IF(E442="","",COUNTIFS(tbl_Finance[Job Number],E442&amp;"",tbl_Finance[Ex GST],"&lt;&gt;"))</f>
        <v/>
      </c>
      <c r="Y442" s="27">
        <f>IF(E442="","",SUMIFS(tbl_Finance[Ex GST],tbl_Finance[Job Number],E442&amp;""))</f>
        <v/>
      </c>
      <c r="Z442" s="27">
        <f>IF(E442="","",SUMIFS(tbl_Finance[Ex GST],tbl_Finance[Job Number],E442&amp;"",tbl_Finance[Xero Invoice No],"&lt;&gt;"))</f>
        <v/>
      </c>
      <c r="AA442" s="27">
        <f>IF(E442="","",Y442-Z442)</f>
        <v/>
      </c>
      <c r="AB442" s="25">
        <f>IF(E442="","",IF(H442="Onsite",IFERROR(INDEX(tbl_Onsite[Qwilr Quote],MATCH(E442&amp;"",tbl_Onsite[Job Number],0)),""),IF(H442="Production",IFERROR(IF(INDEX(tbl_Production[Current RMS No],MATCH(E442&amp;"",tbl_Production[Job Number],0))="",INDEX(tbl_Production[Qwilr Quote],MATCH(E442&amp;"",tbl_Production[Job Number],0)),INDEX(tbl_Production[Current RMS No],MATCH(E442&amp;"",tbl_Production[Job Number],0))),""),IF(H442="Consulting",IFERROR(INDEX(tbl_Consulting[Qwilr Quote],MATCH(E442&amp;"",tbl_Consulting[Job Number],0)),""),""))))</f>
        <v/>
      </c>
      <c r="AC442" s="25">
        <f>IF(AB442="","",IF(AND(LEFT(AB442,4)&lt;&gt;"http",IF(H442="Production",set_RMSBase,set_QwilrBase)=""),"",HYPERLINK(IF(LEFT(AB442,4)="http",AB442,IF(H442="Production",set_RMSBase,set_QwilrBase)&amp;AB442),"Open")))</f>
        <v/>
      </c>
      <c r="AD442" s="27">
        <f>IF(E442="","",IF(H442="Production",IFERROR(INDEX(tbl_Production[Total Expense],MATCH(E442&amp;"",tbl_Production[Job Number],0)),0),IF(H442="Consulting",IFERROR(INDEX(tbl_Consulting[Total Expense],MATCH(E442&amp;"",tbl_Consulting[Job Number],0)),0),0)))</f>
        <v/>
      </c>
      <c r="AE442" s="27">
        <f>IF(E442="","",Y442-N(AD442))</f>
        <v/>
      </c>
      <c r="AF442" s="29">
        <f>IFERROR(AE442/Y442,"")</f>
        <v/>
      </c>
      <c r="AG442" s="25">
        <f>IF(E442="","",IF(H442="Onsite",IFERROR(INDEX(tbl_Onsite[Notes],MATCH(E442&amp;"",tbl_Onsite[Job Number],0)),""),IF(H442="Production",IFERROR(INDEX(tbl_Production[Notes],MATCH(E442&amp;"",tbl_Production[Job Number],0)),""),IF(H442="Consulting",IFERROR(INDEX(tbl_Consulting[Notes],MATCH(E442&amp;"",tbl_Consulting[Job Number],0)),""),""))))</f>
        <v/>
      </c>
    </row>
    <row r="443" ht="15" customHeight="1">
      <c r="A443" s="22" t="n"/>
      <c r="B443" s="23">
        <f>IF(A443="","",EOMONTH(A443,0))</f>
        <v/>
      </c>
      <c r="C443" s="24" t="n"/>
      <c r="D443" s="24" t="n"/>
      <c r="E443" s="24" t="n"/>
      <c r="F443" s="25">
        <f>IF(E443="","",IF(COUNTIF(lst_Jobs,E443&amp;"")&gt;0,"OK","CHECK"))</f>
        <v/>
      </c>
      <c r="G443" s="24" t="n"/>
      <c r="H443" s="24" t="n"/>
      <c r="I443" s="24" t="n"/>
      <c r="J443" s="24" t="n"/>
      <c r="K443" s="24" t="n"/>
      <c r="L443" s="26" t="n"/>
      <c r="M443" s="27">
        <f>IF(L443="","",IF(K443="GST 10%",ROUND(L443*set_GSTRate,2),0))</f>
        <v/>
      </c>
      <c r="N443" s="27">
        <f>IF(L443="","",L443+M443)</f>
        <v/>
      </c>
      <c r="O443" s="24" t="n"/>
      <c r="P443" s="24" t="n"/>
      <c r="Q443" s="24" t="n"/>
      <c r="R443" s="22" t="n"/>
      <c r="S443" s="22" t="n"/>
      <c r="T443" s="24" t="n"/>
      <c r="U443" s="24" t="n"/>
      <c r="V443" s="25">
        <f>IF(COUNTA(A443,D443,C443,L443)=0,"",IF(A443="","No date - sits outside every month",IF(E443="","No job number",IF(F443="CHECK","Job number is not in the Xero job list",IF(I443="","No cost centre",IF(AND(P443="Y",C443=""),"Marked posted to Xero but has no invoice number",IF(AND(L443&lt;&gt;"",K443=""),"No tax code",IF(AND(L443&lt;&gt;"",O443=""),"No revenue GL code",""))))))))</f>
        <v/>
      </c>
      <c r="W443" s="25">
        <f>IF(E443="","",IFERROR(INDEX(lst_JobName,MATCH(E443&amp;"",lst_Jobs,0)),""))</f>
        <v/>
      </c>
      <c r="X443" s="28">
        <f>IF(E443="","",COUNTIFS(tbl_Finance[Job Number],E443&amp;"",tbl_Finance[Ex GST],"&lt;&gt;"))</f>
        <v/>
      </c>
      <c r="Y443" s="27">
        <f>IF(E443="","",SUMIFS(tbl_Finance[Ex GST],tbl_Finance[Job Number],E443&amp;""))</f>
        <v/>
      </c>
      <c r="Z443" s="27">
        <f>IF(E443="","",SUMIFS(tbl_Finance[Ex GST],tbl_Finance[Job Number],E443&amp;"",tbl_Finance[Xero Invoice No],"&lt;&gt;"))</f>
        <v/>
      </c>
      <c r="AA443" s="27">
        <f>IF(E443="","",Y443-Z443)</f>
        <v/>
      </c>
      <c r="AB443" s="25">
        <f>IF(E443="","",IF(H443="Onsite",IFERROR(INDEX(tbl_Onsite[Qwilr Quote],MATCH(E443&amp;"",tbl_Onsite[Job Number],0)),""),IF(H443="Production",IFERROR(IF(INDEX(tbl_Production[Current RMS No],MATCH(E443&amp;"",tbl_Production[Job Number],0))="",INDEX(tbl_Production[Qwilr Quote],MATCH(E443&amp;"",tbl_Production[Job Number],0)),INDEX(tbl_Production[Current RMS No],MATCH(E443&amp;"",tbl_Production[Job Number],0))),""),IF(H443="Consulting",IFERROR(INDEX(tbl_Consulting[Qwilr Quote],MATCH(E443&amp;"",tbl_Consulting[Job Number],0)),""),""))))</f>
        <v/>
      </c>
      <c r="AC443" s="25">
        <f>IF(AB443="","",IF(AND(LEFT(AB443,4)&lt;&gt;"http",IF(H443="Production",set_RMSBase,set_QwilrBase)=""),"",HYPERLINK(IF(LEFT(AB443,4)="http",AB443,IF(H443="Production",set_RMSBase,set_QwilrBase)&amp;AB443),"Open")))</f>
        <v/>
      </c>
      <c r="AD443" s="27">
        <f>IF(E443="","",IF(H443="Production",IFERROR(INDEX(tbl_Production[Total Expense],MATCH(E443&amp;"",tbl_Production[Job Number],0)),0),IF(H443="Consulting",IFERROR(INDEX(tbl_Consulting[Total Expense],MATCH(E443&amp;"",tbl_Consulting[Job Number],0)),0),0)))</f>
        <v/>
      </c>
      <c r="AE443" s="27">
        <f>IF(E443="","",Y443-N(AD443))</f>
        <v/>
      </c>
      <c r="AF443" s="29">
        <f>IFERROR(AE443/Y443,"")</f>
        <v/>
      </c>
      <c r="AG443" s="25">
        <f>IF(E443="","",IF(H443="Onsite",IFERROR(INDEX(tbl_Onsite[Notes],MATCH(E443&amp;"",tbl_Onsite[Job Number],0)),""),IF(H443="Production",IFERROR(INDEX(tbl_Production[Notes],MATCH(E443&amp;"",tbl_Production[Job Number],0)),""),IF(H443="Consulting",IFERROR(INDEX(tbl_Consulting[Notes],MATCH(E443&amp;"",tbl_Consulting[Job Number],0)),""),""))))</f>
        <v/>
      </c>
    </row>
    <row r="444" ht="15" customHeight="1">
      <c r="A444" s="22" t="n"/>
      <c r="B444" s="23">
        <f>IF(A444="","",EOMONTH(A444,0))</f>
        <v/>
      </c>
      <c r="C444" s="24" t="n"/>
      <c r="D444" s="24" t="n"/>
      <c r="E444" s="24" t="n"/>
      <c r="F444" s="25">
        <f>IF(E444="","",IF(COUNTIF(lst_Jobs,E444&amp;"")&gt;0,"OK","CHECK"))</f>
        <v/>
      </c>
      <c r="G444" s="24" t="n"/>
      <c r="H444" s="24" t="n"/>
      <c r="I444" s="24" t="n"/>
      <c r="J444" s="24" t="n"/>
      <c r="K444" s="24" t="n"/>
      <c r="L444" s="26" t="n"/>
      <c r="M444" s="27">
        <f>IF(L444="","",IF(K444="GST 10%",ROUND(L444*set_GSTRate,2),0))</f>
        <v/>
      </c>
      <c r="N444" s="27">
        <f>IF(L444="","",L444+M444)</f>
        <v/>
      </c>
      <c r="O444" s="24" t="n"/>
      <c r="P444" s="24" t="n"/>
      <c r="Q444" s="24" t="n"/>
      <c r="R444" s="22" t="n"/>
      <c r="S444" s="22" t="n"/>
      <c r="T444" s="24" t="n"/>
      <c r="U444" s="24" t="n"/>
      <c r="V444" s="25">
        <f>IF(COUNTA(A444,D444,C444,L444)=0,"",IF(A444="","No date - sits outside every month",IF(E444="","No job number",IF(F444="CHECK","Job number is not in the Xero job list",IF(I444="","No cost centre",IF(AND(P444="Y",C444=""),"Marked posted to Xero but has no invoice number",IF(AND(L444&lt;&gt;"",K444=""),"No tax code",IF(AND(L444&lt;&gt;"",O444=""),"No revenue GL code",""))))))))</f>
        <v/>
      </c>
      <c r="W444" s="25">
        <f>IF(E444="","",IFERROR(INDEX(lst_JobName,MATCH(E444&amp;"",lst_Jobs,0)),""))</f>
        <v/>
      </c>
      <c r="X444" s="28">
        <f>IF(E444="","",COUNTIFS(tbl_Finance[Job Number],E444&amp;"",tbl_Finance[Ex GST],"&lt;&gt;"))</f>
        <v/>
      </c>
      <c r="Y444" s="27">
        <f>IF(E444="","",SUMIFS(tbl_Finance[Ex GST],tbl_Finance[Job Number],E444&amp;""))</f>
        <v/>
      </c>
      <c r="Z444" s="27">
        <f>IF(E444="","",SUMIFS(tbl_Finance[Ex GST],tbl_Finance[Job Number],E444&amp;"",tbl_Finance[Xero Invoice No],"&lt;&gt;"))</f>
        <v/>
      </c>
      <c r="AA444" s="27">
        <f>IF(E444="","",Y444-Z444)</f>
        <v/>
      </c>
      <c r="AB444" s="25">
        <f>IF(E444="","",IF(H444="Onsite",IFERROR(INDEX(tbl_Onsite[Qwilr Quote],MATCH(E444&amp;"",tbl_Onsite[Job Number],0)),""),IF(H444="Production",IFERROR(IF(INDEX(tbl_Production[Current RMS No],MATCH(E444&amp;"",tbl_Production[Job Number],0))="",INDEX(tbl_Production[Qwilr Quote],MATCH(E444&amp;"",tbl_Production[Job Number],0)),INDEX(tbl_Production[Current RMS No],MATCH(E444&amp;"",tbl_Production[Job Number],0))),""),IF(H444="Consulting",IFERROR(INDEX(tbl_Consulting[Qwilr Quote],MATCH(E444&amp;"",tbl_Consulting[Job Number],0)),""),""))))</f>
        <v/>
      </c>
      <c r="AC444" s="25">
        <f>IF(AB444="","",IF(AND(LEFT(AB444,4)&lt;&gt;"http",IF(H444="Production",set_RMSBase,set_QwilrBase)=""),"",HYPERLINK(IF(LEFT(AB444,4)="http",AB444,IF(H444="Production",set_RMSBase,set_QwilrBase)&amp;AB444),"Open")))</f>
        <v/>
      </c>
      <c r="AD444" s="27">
        <f>IF(E444="","",IF(H444="Production",IFERROR(INDEX(tbl_Production[Total Expense],MATCH(E444&amp;"",tbl_Production[Job Number],0)),0),IF(H444="Consulting",IFERROR(INDEX(tbl_Consulting[Total Expense],MATCH(E444&amp;"",tbl_Consulting[Job Number],0)),0),0)))</f>
        <v/>
      </c>
      <c r="AE444" s="27">
        <f>IF(E444="","",Y444-N(AD444))</f>
        <v/>
      </c>
      <c r="AF444" s="29">
        <f>IFERROR(AE444/Y444,"")</f>
        <v/>
      </c>
      <c r="AG444" s="25">
        <f>IF(E444="","",IF(H444="Onsite",IFERROR(INDEX(tbl_Onsite[Notes],MATCH(E444&amp;"",tbl_Onsite[Job Number],0)),""),IF(H444="Production",IFERROR(INDEX(tbl_Production[Notes],MATCH(E444&amp;"",tbl_Production[Job Number],0)),""),IF(H444="Consulting",IFERROR(INDEX(tbl_Consulting[Notes],MATCH(E444&amp;"",tbl_Consulting[Job Number],0)),""),""))))</f>
        <v/>
      </c>
    </row>
    <row r="445" ht="15" customHeight="1">
      <c r="A445" s="22" t="n"/>
      <c r="B445" s="23">
        <f>IF(A445="","",EOMONTH(A445,0))</f>
        <v/>
      </c>
      <c r="C445" s="24" t="n"/>
      <c r="D445" s="24" t="n"/>
      <c r="E445" s="24" t="n"/>
      <c r="F445" s="25">
        <f>IF(E445="","",IF(COUNTIF(lst_Jobs,E445&amp;"")&gt;0,"OK","CHECK"))</f>
        <v/>
      </c>
      <c r="G445" s="24" t="n"/>
      <c r="H445" s="24" t="n"/>
      <c r="I445" s="24" t="n"/>
      <c r="J445" s="24" t="n"/>
      <c r="K445" s="24" t="n"/>
      <c r="L445" s="26" t="n"/>
      <c r="M445" s="27">
        <f>IF(L445="","",IF(K445="GST 10%",ROUND(L445*set_GSTRate,2),0))</f>
        <v/>
      </c>
      <c r="N445" s="27">
        <f>IF(L445="","",L445+M445)</f>
        <v/>
      </c>
      <c r="O445" s="24" t="n"/>
      <c r="P445" s="24" t="n"/>
      <c r="Q445" s="24" t="n"/>
      <c r="R445" s="22" t="n"/>
      <c r="S445" s="22" t="n"/>
      <c r="T445" s="24" t="n"/>
      <c r="U445" s="24" t="n"/>
      <c r="V445" s="25">
        <f>IF(COUNTA(A445,D445,C445,L445)=0,"",IF(A445="","No date - sits outside every month",IF(E445="","No job number",IF(F445="CHECK","Job number is not in the Xero job list",IF(I445="","No cost centre",IF(AND(P445="Y",C445=""),"Marked posted to Xero but has no invoice number",IF(AND(L445&lt;&gt;"",K445=""),"No tax code",IF(AND(L445&lt;&gt;"",O445=""),"No revenue GL code",""))))))))</f>
        <v/>
      </c>
      <c r="W445" s="25">
        <f>IF(E445="","",IFERROR(INDEX(lst_JobName,MATCH(E445&amp;"",lst_Jobs,0)),""))</f>
        <v/>
      </c>
      <c r="X445" s="28">
        <f>IF(E445="","",COUNTIFS(tbl_Finance[Job Number],E445&amp;"",tbl_Finance[Ex GST],"&lt;&gt;"))</f>
        <v/>
      </c>
      <c r="Y445" s="27">
        <f>IF(E445="","",SUMIFS(tbl_Finance[Ex GST],tbl_Finance[Job Number],E445&amp;""))</f>
        <v/>
      </c>
      <c r="Z445" s="27">
        <f>IF(E445="","",SUMIFS(tbl_Finance[Ex GST],tbl_Finance[Job Number],E445&amp;"",tbl_Finance[Xero Invoice No],"&lt;&gt;"))</f>
        <v/>
      </c>
      <c r="AA445" s="27">
        <f>IF(E445="","",Y445-Z445)</f>
        <v/>
      </c>
      <c r="AB445" s="25">
        <f>IF(E445="","",IF(H445="Onsite",IFERROR(INDEX(tbl_Onsite[Qwilr Quote],MATCH(E445&amp;"",tbl_Onsite[Job Number],0)),""),IF(H445="Production",IFERROR(IF(INDEX(tbl_Production[Current RMS No],MATCH(E445&amp;"",tbl_Production[Job Number],0))="",INDEX(tbl_Production[Qwilr Quote],MATCH(E445&amp;"",tbl_Production[Job Number],0)),INDEX(tbl_Production[Current RMS No],MATCH(E445&amp;"",tbl_Production[Job Number],0))),""),IF(H445="Consulting",IFERROR(INDEX(tbl_Consulting[Qwilr Quote],MATCH(E445&amp;"",tbl_Consulting[Job Number],0)),""),""))))</f>
        <v/>
      </c>
      <c r="AC445" s="25">
        <f>IF(AB445="","",IF(AND(LEFT(AB445,4)&lt;&gt;"http",IF(H445="Production",set_RMSBase,set_QwilrBase)=""),"",HYPERLINK(IF(LEFT(AB445,4)="http",AB445,IF(H445="Production",set_RMSBase,set_QwilrBase)&amp;AB445),"Open")))</f>
        <v/>
      </c>
      <c r="AD445" s="27">
        <f>IF(E445="","",IF(H445="Production",IFERROR(INDEX(tbl_Production[Total Expense],MATCH(E445&amp;"",tbl_Production[Job Number],0)),0),IF(H445="Consulting",IFERROR(INDEX(tbl_Consulting[Total Expense],MATCH(E445&amp;"",tbl_Consulting[Job Number],0)),0),0)))</f>
        <v/>
      </c>
      <c r="AE445" s="27">
        <f>IF(E445="","",Y445-N(AD445))</f>
        <v/>
      </c>
      <c r="AF445" s="29">
        <f>IFERROR(AE445/Y445,"")</f>
        <v/>
      </c>
      <c r="AG445" s="25">
        <f>IF(E445="","",IF(H445="Onsite",IFERROR(INDEX(tbl_Onsite[Notes],MATCH(E445&amp;"",tbl_Onsite[Job Number],0)),""),IF(H445="Production",IFERROR(INDEX(tbl_Production[Notes],MATCH(E445&amp;"",tbl_Production[Job Number],0)),""),IF(H445="Consulting",IFERROR(INDEX(tbl_Consulting[Notes],MATCH(E445&amp;"",tbl_Consulting[Job Number],0)),""),""))))</f>
        <v/>
      </c>
    </row>
    <row r="446" ht="15" customHeight="1">
      <c r="A446" s="22" t="n"/>
      <c r="B446" s="23">
        <f>IF(A446="","",EOMONTH(A446,0))</f>
        <v/>
      </c>
      <c r="C446" s="24" t="n"/>
      <c r="D446" s="24" t="n"/>
      <c r="E446" s="24" t="n"/>
      <c r="F446" s="25">
        <f>IF(E446="","",IF(COUNTIF(lst_Jobs,E446&amp;"")&gt;0,"OK","CHECK"))</f>
        <v/>
      </c>
      <c r="G446" s="24" t="n"/>
      <c r="H446" s="24" t="n"/>
      <c r="I446" s="24" t="n"/>
      <c r="J446" s="24" t="n"/>
      <c r="K446" s="24" t="n"/>
      <c r="L446" s="26" t="n"/>
      <c r="M446" s="27">
        <f>IF(L446="","",IF(K446="GST 10%",ROUND(L446*set_GSTRate,2),0))</f>
        <v/>
      </c>
      <c r="N446" s="27">
        <f>IF(L446="","",L446+M446)</f>
        <v/>
      </c>
      <c r="O446" s="24" t="n"/>
      <c r="P446" s="24" t="n"/>
      <c r="Q446" s="24" t="n"/>
      <c r="R446" s="22" t="n"/>
      <c r="S446" s="22" t="n"/>
      <c r="T446" s="24" t="n"/>
      <c r="U446" s="24" t="n"/>
      <c r="V446" s="25">
        <f>IF(COUNTA(A446,D446,C446,L446)=0,"",IF(A446="","No date - sits outside every month",IF(E446="","No job number",IF(F446="CHECK","Job number is not in the Xero job list",IF(I446="","No cost centre",IF(AND(P446="Y",C446=""),"Marked posted to Xero but has no invoice number",IF(AND(L446&lt;&gt;"",K446=""),"No tax code",IF(AND(L446&lt;&gt;"",O446=""),"No revenue GL code",""))))))))</f>
        <v/>
      </c>
      <c r="W446" s="25">
        <f>IF(E446="","",IFERROR(INDEX(lst_JobName,MATCH(E446&amp;"",lst_Jobs,0)),""))</f>
        <v/>
      </c>
      <c r="X446" s="28">
        <f>IF(E446="","",COUNTIFS(tbl_Finance[Job Number],E446&amp;"",tbl_Finance[Ex GST],"&lt;&gt;"))</f>
        <v/>
      </c>
      <c r="Y446" s="27">
        <f>IF(E446="","",SUMIFS(tbl_Finance[Ex GST],tbl_Finance[Job Number],E446&amp;""))</f>
        <v/>
      </c>
      <c r="Z446" s="27">
        <f>IF(E446="","",SUMIFS(tbl_Finance[Ex GST],tbl_Finance[Job Number],E446&amp;"",tbl_Finance[Xero Invoice No],"&lt;&gt;"))</f>
        <v/>
      </c>
      <c r="AA446" s="27">
        <f>IF(E446="","",Y446-Z446)</f>
        <v/>
      </c>
      <c r="AB446" s="25">
        <f>IF(E446="","",IF(H446="Onsite",IFERROR(INDEX(tbl_Onsite[Qwilr Quote],MATCH(E446&amp;"",tbl_Onsite[Job Number],0)),""),IF(H446="Production",IFERROR(IF(INDEX(tbl_Production[Current RMS No],MATCH(E446&amp;"",tbl_Production[Job Number],0))="",INDEX(tbl_Production[Qwilr Quote],MATCH(E446&amp;"",tbl_Production[Job Number],0)),INDEX(tbl_Production[Current RMS No],MATCH(E446&amp;"",tbl_Production[Job Number],0))),""),IF(H446="Consulting",IFERROR(INDEX(tbl_Consulting[Qwilr Quote],MATCH(E446&amp;"",tbl_Consulting[Job Number],0)),""),""))))</f>
        <v/>
      </c>
      <c r="AC446" s="25">
        <f>IF(AB446="","",IF(AND(LEFT(AB446,4)&lt;&gt;"http",IF(H446="Production",set_RMSBase,set_QwilrBase)=""),"",HYPERLINK(IF(LEFT(AB446,4)="http",AB446,IF(H446="Production",set_RMSBase,set_QwilrBase)&amp;AB446),"Open")))</f>
        <v/>
      </c>
      <c r="AD446" s="27">
        <f>IF(E446="","",IF(H446="Production",IFERROR(INDEX(tbl_Production[Total Expense],MATCH(E446&amp;"",tbl_Production[Job Number],0)),0),IF(H446="Consulting",IFERROR(INDEX(tbl_Consulting[Total Expense],MATCH(E446&amp;"",tbl_Consulting[Job Number],0)),0),0)))</f>
        <v/>
      </c>
      <c r="AE446" s="27">
        <f>IF(E446="","",Y446-N(AD446))</f>
        <v/>
      </c>
      <c r="AF446" s="29">
        <f>IFERROR(AE446/Y446,"")</f>
        <v/>
      </c>
      <c r="AG446" s="25">
        <f>IF(E446="","",IF(H446="Onsite",IFERROR(INDEX(tbl_Onsite[Notes],MATCH(E446&amp;"",tbl_Onsite[Job Number],0)),""),IF(H446="Production",IFERROR(INDEX(tbl_Production[Notes],MATCH(E446&amp;"",tbl_Production[Job Number],0)),""),IF(H446="Consulting",IFERROR(INDEX(tbl_Consulting[Notes],MATCH(E446&amp;"",tbl_Consulting[Job Number],0)),""),""))))</f>
        <v/>
      </c>
    </row>
    <row r="447" ht="15" customHeight="1">
      <c r="A447" s="22" t="n"/>
      <c r="B447" s="23">
        <f>IF(A447="","",EOMONTH(A447,0))</f>
        <v/>
      </c>
      <c r="C447" s="24" t="n"/>
      <c r="D447" s="24" t="n"/>
      <c r="E447" s="24" t="n"/>
      <c r="F447" s="25">
        <f>IF(E447="","",IF(COUNTIF(lst_Jobs,E447&amp;"")&gt;0,"OK","CHECK"))</f>
        <v/>
      </c>
      <c r="G447" s="24" t="n"/>
      <c r="H447" s="24" t="n"/>
      <c r="I447" s="24" t="n"/>
      <c r="J447" s="24" t="n"/>
      <c r="K447" s="24" t="n"/>
      <c r="L447" s="26" t="n"/>
      <c r="M447" s="27">
        <f>IF(L447="","",IF(K447="GST 10%",ROUND(L447*set_GSTRate,2),0))</f>
        <v/>
      </c>
      <c r="N447" s="27">
        <f>IF(L447="","",L447+M447)</f>
        <v/>
      </c>
      <c r="O447" s="24" t="n"/>
      <c r="P447" s="24" t="n"/>
      <c r="Q447" s="24" t="n"/>
      <c r="R447" s="22" t="n"/>
      <c r="S447" s="22" t="n"/>
      <c r="T447" s="24" t="n"/>
      <c r="U447" s="24" t="n"/>
      <c r="V447" s="25">
        <f>IF(COUNTA(A447,D447,C447,L447)=0,"",IF(A447="","No date - sits outside every month",IF(E447="","No job number",IF(F447="CHECK","Job number is not in the Xero job list",IF(I447="","No cost centre",IF(AND(P447="Y",C447=""),"Marked posted to Xero but has no invoice number",IF(AND(L447&lt;&gt;"",K447=""),"No tax code",IF(AND(L447&lt;&gt;"",O447=""),"No revenue GL code",""))))))))</f>
        <v/>
      </c>
      <c r="W447" s="25">
        <f>IF(E447="","",IFERROR(INDEX(lst_JobName,MATCH(E447&amp;"",lst_Jobs,0)),""))</f>
        <v/>
      </c>
      <c r="X447" s="28">
        <f>IF(E447="","",COUNTIFS(tbl_Finance[Job Number],E447&amp;"",tbl_Finance[Ex GST],"&lt;&gt;"))</f>
        <v/>
      </c>
      <c r="Y447" s="27">
        <f>IF(E447="","",SUMIFS(tbl_Finance[Ex GST],tbl_Finance[Job Number],E447&amp;""))</f>
        <v/>
      </c>
      <c r="Z447" s="27">
        <f>IF(E447="","",SUMIFS(tbl_Finance[Ex GST],tbl_Finance[Job Number],E447&amp;"",tbl_Finance[Xero Invoice No],"&lt;&gt;"))</f>
        <v/>
      </c>
      <c r="AA447" s="27">
        <f>IF(E447="","",Y447-Z447)</f>
        <v/>
      </c>
      <c r="AB447" s="25">
        <f>IF(E447="","",IF(H447="Onsite",IFERROR(INDEX(tbl_Onsite[Qwilr Quote],MATCH(E447&amp;"",tbl_Onsite[Job Number],0)),""),IF(H447="Production",IFERROR(IF(INDEX(tbl_Production[Current RMS No],MATCH(E447&amp;"",tbl_Production[Job Number],0))="",INDEX(tbl_Production[Qwilr Quote],MATCH(E447&amp;"",tbl_Production[Job Number],0)),INDEX(tbl_Production[Current RMS No],MATCH(E447&amp;"",tbl_Production[Job Number],0))),""),IF(H447="Consulting",IFERROR(INDEX(tbl_Consulting[Qwilr Quote],MATCH(E447&amp;"",tbl_Consulting[Job Number],0)),""),""))))</f>
        <v/>
      </c>
      <c r="AC447" s="25">
        <f>IF(AB447="","",IF(AND(LEFT(AB447,4)&lt;&gt;"http",IF(H447="Production",set_RMSBase,set_QwilrBase)=""),"",HYPERLINK(IF(LEFT(AB447,4)="http",AB447,IF(H447="Production",set_RMSBase,set_QwilrBase)&amp;AB447),"Open")))</f>
        <v/>
      </c>
      <c r="AD447" s="27">
        <f>IF(E447="","",IF(H447="Production",IFERROR(INDEX(tbl_Production[Total Expense],MATCH(E447&amp;"",tbl_Production[Job Number],0)),0),IF(H447="Consulting",IFERROR(INDEX(tbl_Consulting[Total Expense],MATCH(E447&amp;"",tbl_Consulting[Job Number],0)),0),0)))</f>
        <v/>
      </c>
      <c r="AE447" s="27">
        <f>IF(E447="","",Y447-N(AD447))</f>
        <v/>
      </c>
      <c r="AF447" s="29">
        <f>IFERROR(AE447/Y447,"")</f>
        <v/>
      </c>
      <c r="AG447" s="25">
        <f>IF(E447="","",IF(H447="Onsite",IFERROR(INDEX(tbl_Onsite[Notes],MATCH(E447&amp;"",tbl_Onsite[Job Number],0)),""),IF(H447="Production",IFERROR(INDEX(tbl_Production[Notes],MATCH(E447&amp;"",tbl_Production[Job Number],0)),""),IF(H447="Consulting",IFERROR(INDEX(tbl_Consulting[Notes],MATCH(E447&amp;"",tbl_Consulting[Job Number],0)),""),""))))</f>
        <v/>
      </c>
    </row>
    <row r="448" ht="15" customHeight="1">
      <c r="A448" s="22" t="n"/>
      <c r="B448" s="23">
        <f>IF(A448="","",EOMONTH(A448,0))</f>
        <v/>
      </c>
      <c r="C448" s="24" t="n"/>
      <c r="D448" s="24" t="n"/>
      <c r="E448" s="24" t="n"/>
      <c r="F448" s="25">
        <f>IF(E448="","",IF(COUNTIF(lst_Jobs,E448&amp;"")&gt;0,"OK","CHECK"))</f>
        <v/>
      </c>
      <c r="G448" s="24" t="n"/>
      <c r="H448" s="24" t="n"/>
      <c r="I448" s="24" t="n"/>
      <c r="J448" s="24" t="n"/>
      <c r="K448" s="24" t="n"/>
      <c r="L448" s="26" t="n"/>
      <c r="M448" s="27">
        <f>IF(L448="","",IF(K448="GST 10%",ROUND(L448*set_GSTRate,2),0))</f>
        <v/>
      </c>
      <c r="N448" s="27">
        <f>IF(L448="","",L448+M448)</f>
        <v/>
      </c>
      <c r="O448" s="24" t="n"/>
      <c r="P448" s="24" t="n"/>
      <c r="Q448" s="24" t="n"/>
      <c r="R448" s="22" t="n"/>
      <c r="S448" s="22" t="n"/>
      <c r="T448" s="24" t="n"/>
      <c r="U448" s="24" t="n"/>
      <c r="V448" s="25">
        <f>IF(COUNTA(A448,D448,C448,L448)=0,"",IF(A448="","No date - sits outside every month",IF(E448="","No job number",IF(F448="CHECK","Job number is not in the Xero job list",IF(I448="","No cost centre",IF(AND(P448="Y",C448=""),"Marked posted to Xero but has no invoice number",IF(AND(L448&lt;&gt;"",K448=""),"No tax code",IF(AND(L448&lt;&gt;"",O448=""),"No revenue GL code",""))))))))</f>
        <v/>
      </c>
      <c r="W448" s="25">
        <f>IF(E448="","",IFERROR(INDEX(lst_JobName,MATCH(E448&amp;"",lst_Jobs,0)),""))</f>
        <v/>
      </c>
      <c r="X448" s="28">
        <f>IF(E448="","",COUNTIFS(tbl_Finance[Job Number],E448&amp;"",tbl_Finance[Ex GST],"&lt;&gt;"))</f>
        <v/>
      </c>
      <c r="Y448" s="27">
        <f>IF(E448="","",SUMIFS(tbl_Finance[Ex GST],tbl_Finance[Job Number],E448&amp;""))</f>
        <v/>
      </c>
      <c r="Z448" s="27">
        <f>IF(E448="","",SUMIFS(tbl_Finance[Ex GST],tbl_Finance[Job Number],E448&amp;"",tbl_Finance[Xero Invoice No],"&lt;&gt;"))</f>
        <v/>
      </c>
      <c r="AA448" s="27">
        <f>IF(E448="","",Y448-Z448)</f>
        <v/>
      </c>
      <c r="AB448" s="25">
        <f>IF(E448="","",IF(H448="Onsite",IFERROR(INDEX(tbl_Onsite[Qwilr Quote],MATCH(E448&amp;"",tbl_Onsite[Job Number],0)),""),IF(H448="Production",IFERROR(IF(INDEX(tbl_Production[Current RMS No],MATCH(E448&amp;"",tbl_Production[Job Number],0))="",INDEX(tbl_Production[Qwilr Quote],MATCH(E448&amp;"",tbl_Production[Job Number],0)),INDEX(tbl_Production[Current RMS No],MATCH(E448&amp;"",tbl_Production[Job Number],0))),""),IF(H448="Consulting",IFERROR(INDEX(tbl_Consulting[Qwilr Quote],MATCH(E448&amp;"",tbl_Consulting[Job Number],0)),""),""))))</f>
        <v/>
      </c>
      <c r="AC448" s="25">
        <f>IF(AB448="","",IF(AND(LEFT(AB448,4)&lt;&gt;"http",IF(H448="Production",set_RMSBase,set_QwilrBase)=""),"",HYPERLINK(IF(LEFT(AB448,4)="http",AB448,IF(H448="Production",set_RMSBase,set_QwilrBase)&amp;AB448),"Open")))</f>
        <v/>
      </c>
      <c r="AD448" s="27">
        <f>IF(E448="","",IF(H448="Production",IFERROR(INDEX(tbl_Production[Total Expense],MATCH(E448&amp;"",tbl_Production[Job Number],0)),0),IF(H448="Consulting",IFERROR(INDEX(tbl_Consulting[Total Expense],MATCH(E448&amp;"",tbl_Consulting[Job Number],0)),0),0)))</f>
        <v/>
      </c>
      <c r="AE448" s="27">
        <f>IF(E448="","",Y448-N(AD448))</f>
        <v/>
      </c>
      <c r="AF448" s="29">
        <f>IFERROR(AE448/Y448,"")</f>
        <v/>
      </c>
      <c r="AG448" s="25">
        <f>IF(E448="","",IF(H448="Onsite",IFERROR(INDEX(tbl_Onsite[Notes],MATCH(E448&amp;"",tbl_Onsite[Job Number],0)),""),IF(H448="Production",IFERROR(INDEX(tbl_Production[Notes],MATCH(E448&amp;"",tbl_Production[Job Number],0)),""),IF(H448="Consulting",IFERROR(INDEX(tbl_Consulting[Notes],MATCH(E448&amp;"",tbl_Consulting[Job Number],0)),""),""))))</f>
        <v/>
      </c>
    </row>
    <row r="449" ht="15" customHeight="1">
      <c r="A449" s="22" t="n"/>
      <c r="B449" s="23">
        <f>IF(A449="","",EOMONTH(A449,0))</f>
        <v/>
      </c>
      <c r="C449" s="24" t="n"/>
      <c r="D449" s="24" t="n"/>
      <c r="E449" s="24" t="n"/>
      <c r="F449" s="25">
        <f>IF(E449="","",IF(COUNTIF(lst_Jobs,E449&amp;"")&gt;0,"OK","CHECK"))</f>
        <v/>
      </c>
      <c r="G449" s="24" t="n"/>
      <c r="H449" s="24" t="n"/>
      <c r="I449" s="24" t="n"/>
      <c r="J449" s="24" t="n"/>
      <c r="K449" s="24" t="n"/>
      <c r="L449" s="26" t="n"/>
      <c r="M449" s="27">
        <f>IF(L449="","",IF(K449="GST 10%",ROUND(L449*set_GSTRate,2),0))</f>
        <v/>
      </c>
      <c r="N449" s="27">
        <f>IF(L449="","",L449+M449)</f>
        <v/>
      </c>
      <c r="O449" s="24" t="n"/>
      <c r="P449" s="24" t="n"/>
      <c r="Q449" s="24" t="n"/>
      <c r="R449" s="22" t="n"/>
      <c r="S449" s="22" t="n"/>
      <c r="T449" s="24" t="n"/>
      <c r="U449" s="24" t="n"/>
      <c r="V449" s="25">
        <f>IF(COUNTA(A449,D449,C449,L449)=0,"",IF(A449="","No date - sits outside every month",IF(E449="","No job number",IF(F449="CHECK","Job number is not in the Xero job list",IF(I449="","No cost centre",IF(AND(P449="Y",C449=""),"Marked posted to Xero but has no invoice number",IF(AND(L449&lt;&gt;"",K449=""),"No tax code",IF(AND(L449&lt;&gt;"",O449=""),"No revenue GL code",""))))))))</f>
        <v/>
      </c>
      <c r="W449" s="25">
        <f>IF(E449="","",IFERROR(INDEX(lst_JobName,MATCH(E449&amp;"",lst_Jobs,0)),""))</f>
        <v/>
      </c>
      <c r="X449" s="28">
        <f>IF(E449="","",COUNTIFS(tbl_Finance[Job Number],E449&amp;"",tbl_Finance[Ex GST],"&lt;&gt;"))</f>
        <v/>
      </c>
      <c r="Y449" s="27">
        <f>IF(E449="","",SUMIFS(tbl_Finance[Ex GST],tbl_Finance[Job Number],E449&amp;""))</f>
        <v/>
      </c>
      <c r="Z449" s="27">
        <f>IF(E449="","",SUMIFS(tbl_Finance[Ex GST],tbl_Finance[Job Number],E449&amp;"",tbl_Finance[Xero Invoice No],"&lt;&gt;"))</f>
        <v/>
      </c>
      <c r="AA449" s="27">
        <f>IF(E449="","",Y449-Z449)</f>
        <v/>
      </c>
      <c r="AB449" s="25">
        <f>IF(E449="","",IF(H449="Onsite",IFERROR(INDEX(tbl_Onsite[Qwilr Quote],MATCH(E449&amp;"",tbl_Onsite[Job Number],0)),""),IF(H449="Production",IFERROR(IF(INDEX(tbl_Production[Current RMS No],MATCH(E449&amp;"",tbl_Production[Job Number],0))="",INDEX(tbl_Production[Qwilr Quote],MATCH(E449&amp;"",tbl_Production[Job Number],0)),INDEX(tbl_Production[Current RMS No],MATCH(E449&amp;"",tbl_Production[Job Number],0))),""),IF(H449="Consulting",IFERROR(INDEX(tbl_Consulting[Qwilr Quote],MATCH(E449&amp;"",tbl_Consulting[Job Number],0)),""),""))))</f>
        <v/>
      </c>
      <c r="AC449" s="25">
        <f>IF(AB449="","",IF(AND(LEFT(AB449,4)&lt;&gt;"http",IF(H449="Production",set_RMSBase,set_QwilrBase)=""),"",HYPERLINK(IF(LEFT(AB449,4)="http",AB449,IF(H449="Production",set_RMSBase,set_QwilrBase)&amp;AB449),"Open")))</f>
        <v/>
      </c>
      <c r="AD449" s="27">
        <f>IF(E449="","",IF(H449="Production",IFERROR(INDEX(tbl_Production[Total Expense],MATCH(E449&amp;"",tbl_Production[Job Number],0)),0),IF(H449="Consulting",IFERROR(INDEX(tbl_Consulting[Total Expense],MATCH(E449&amp;"",tbl_Consulting[Job Number],0)),0),0)))</f>
        <v/>
      </c>
      <c r="AE449" s="27">
        <f>IF(E449="","",Y449-N(AD449))</f>
        <v/>
      </c>
      <c r="AF449" s="29">
        <f>IFERROR(AE449/Y449,"")</f>
        <v/>
      </c>
      <c r="AG449" s="25">
        <f>IF(E449="","",IF(H449="Onsite",IFERROR(INDEX(tbl_Onsite[Notes],MATCH(E449&amp;"",tbl_Onsite[Job Number],0)),""),IF(H449="Production",IFERROR(INDEX(tbl_Production[Notes],MATCH(E449&amp;"",tbl_Production[Job Number],0)),""),IF(H449="Consulting",IFERROR(INDEX(tbl_Consulting[Notes],MATCH(E449&amp;"",tbl_Consulting[Job Number],0)),""),""))))</f>
        <v/>
      </c>
    </row>
    <row r="450" ht="15" customHeight="1">
      <c r="A450" s="22" t="n"/>
      <c r="B450" s="23">
        <f>IF(A450="","",EOMONTH(A450,0))</f>
        <v/>
      </c>
      <c r="C450" s="24" t="n"/>
      <c r="D450" s="24" t="n"/>
      <c r="E450" s="24" t="n"/>
      <c r="F450" s="25">
        <f>IF(E450="","",IF(COUNTIF(lst_Jobs,E450&amp;"")&gt;0,"OK","CHECK"))</f>
        <v/>
      </c>
      <c r="G450" s="24" t="n"/>
      <c r="H450" s="24" t="n"/>
      <c r="I450" s="24" t="n"/>
      <c r="J450" s="24" t="n"/>
      <c r="K450" s="24" t="n"/>
      <c r="L450" s="26" t="n"/>
      <c r="M450" s="27">
        <f>IF(L450="","",IF(K450="GST 10%",ROUND(L450*set_GSTRate,2),0))</f>
        <v/>
      </c>
      <c r="N450" s="27">
        <f>IF(L450="","",L450+M450)</f>
        <v/>
      </c>
      <c r="O450" s="24" t="n"/>
      <c r="P450" s="24" t="n"/>
      <c r="Q450" s="24" t="n"/>
      <c r="R450" s="22" t="n"/>
      <c r="S450" s="22" t="n"/>
      <c r="T450" s="24" t="n"/>
      <c r="U450" s="24" t="n"/>
      <c r="V450" s="25">
        <f>IF(COUNTA(A450,D450,C450,L450)=0,"",IF(A450="","No date - sits outside every month",IF(E450="","No job number",IF(F450="CHECK","Job number is not in the Xero job list",IF(I450="","No cost centre",IF(AND(P450="Y",C450=""),"Marked posted to Xero but has no invoice number",IF(AND(L450&lt;&gt;"",K450=""),"No tax code",IF(AND(L450&lt;&gt;"",O450=""),"No revenue GL code",""))))))))</f>
        <v/>
      </c>
      <c r="W450" s="25">
        <f>IF(E450="","",IFERROR(INDEX(lst_JobName,MATCH(E450&amp;"",lst_Jobs,0)),""))</f>
        <v/>
      </c>
      <c r="X450" s="28">
        <f>IF(E450="","",COUNTIFS(tbl_Finance[Job Number],E450&amp;"",tbl_Finance[Ex GST],"&lt;&gt;"))</f>
        <v/>
      </c>
      <c r="Y450" s="27">
        <f>IF(E450="","",SUMIFS(tbl_Finance[Ex GST],tbl_Finance[Job Number],E450&amp;""))</f>
        <v/>
      </c>
      <c r="Z450" s="27">
        <f>IF(E450="","",SUMIFS(tbl_Finance[Ex GST],tbl_Finance[Job Number],E450&amp;"",tbl_Finance[Xero Invoice No],"&lt;&gt;"))</f>
        <v/>
      </c>
      <c r="AA450" s="27">
        <f>IF(E450="","",Y450-Z450)</f>
        <v/>
      </c>
      <c r="AB450" s="25">
        <f>IF(E450="","",IF(H450="Onsite",IFERROR(INDEX(tbl_Onsite[Qwilr Quote],MATCH(E450&amp;"",tbl_Onsite[Job Number],0)),""),IF(H450="Production",IFERROR(IF(INDEX(tbl_Production[Current RMS No],MATCH(E450&amp;"",tbl_Production[Job Number],0))="",INDEX(tbl_Production[Qwilr Quote],MATCH(E450&amp;"",tbl_Production[Job Number],0)),INDEX(tbl_Production[Current RMS No],MATCH(E450&amp;"",tbl_Production[Job Number],0))),""),IF(H450="Consulting",IFERROR(INDEX(tbl_Consulting[Qwilr Quote],MATCH(E450&amp;"",tbl_Consulting[Job Number],0)),""),""))))</f>
        <v/>
      </c>
      <c r="AC450" s="25">
        <f>IF(AB450="","",IF(AND(LEFT(AB450,4)&lt;&gt;"http",IF(H450="Production",set_RMSBase,set_QwilrBase)=""),"",HYPERLINK(IF(LEFT(AB450,4)="http",AB450,IF(H450="Production",set_RMSBase,set_QwilrBase)&amp;AB450),"Open")))</f>
        <v/>
      </c>
      <c r="AD450" s="27">
        <f>IF(E450="","",IF(H450="Production",IFERROR(INDEX(tbl_Production[Total Expense],MATCH(E450&amp;"",tbl_Production[Job Number],0)),0),IF(H450="Consulting",IFERROR(INDEX(tbl_Consulting[Total Expense],MATCH(E450&amp;"",tbl_Consulting[Job Number],0)),0),0)))</f>
        <v/>
      </c>
      <c r="AE450" s="27">
        <f>IF(E450="","",Y450-N(AD450))</f>
        <v/>
      </c>
      <c r="AF450" s="29">
        <f>IFERROR(AE450/Y450,"")</f>
        <v/>
      </c>
      <c r="AG450" s="25">
        <f>IF(E450="","",IF(H450="Onsite",IFERROR(INDEX(tbl_Onsite[Notes],MATCH(E450&amp;"",tbl_Onsite[Job Number],0)),""),IF(H450="Production",IFERROR(INDEX(tbl_Production[Notes],MATCH(E450&amp;"",tbl_Production[Job Number],0)),""),IF(H450="Consulting",IFERROR(INDEX(tbl_Consulting[Notes],MATCH(E450&amp;"",tbl_Consulting[Job Number],0)),""),""))))</f>
        <v/>
      </c>
    </row>
    <row r="451" ht="15" customHeight="1">
      <c r="A451" s="22" t="n"/>
      <c r="B451" s="23">
        <f>IF(A451="","",EOMONTH(A451,0))</f>
        <v/>
      </c>
      <c r="C451" s="24" t="n"/>
      <c r="D451" s="24" t="n"/>
      <c r="E451" s="24" t="n"/>
      <c r="F451" s="25">
        <f>IF(E451="","",IF(COUNTIF(lst_Jobs,E451&amp;"")&gt;0,"OK","CHECK"))</f>
        <v/>
      </c>
      <c r="G451" s="24" t="n"/>
      <c r="H451" s="24" t="n"/>
      <c r="I451" s="24" t="n"/>
      <c r="J451" s="24" t="n"/>
      <c r="K451" s="24" t="n"/>
      <c r="L451" s="26" t="n"/>
      <c r="M451" s="27">
        <f>IF(L451="","",IF(K451="GST 10%",ROUND(L451*set_GSTRate,2),0))</f>
        <v/>
      </c>
      <c r="N451" s="27">
        <f>IF(L451="","",L451+M451)</f>
        <v/>
      </c>
      <c r="O451" s="24" t="n"/>
      <c r="P451" s="24" t="n"/>
      <c r="Q451" s="24" t="n"/>
      <c r="R451" s="22" t="n"/>
      <c r="S451" s="22" t="n"/>
      <c r="T451" s="24" t="n"/>
      <c r="U451" s="24" t="n"/>
      <c r="V451" s="25">
        <f>IF(COUNTA(A451,D451,C451,L451)=0,"",IF(A451="","No date - sits outside every month",IF(E451="","No job number",IF(F451="CHECK","Job number is not in the Xero job list",IF(I451="","No cost centre",IF(AND(P451="Y",C451=""),"Marked posted to Xero but has no invoice number",IF(AND(L451&lt;&gt;"",K451=""),"No tax code",IF(AND(L451&lt;&gt;"",O451=""),"No revenue GL code",""))))))))</f>
        <v/>
      </c>
      <c r="W451" s="25">
        <f>IF(E451="","",IFERROR(INDEX(lst_JobName,MATCH(E451&amp;"",lst_Jobs,0)),""))</f>
        <v/>
      </c>
      <c r="X451" s="28">
        <f>IF(E451="","",COUNTIFS(tbl_Finance[Job Number],E451&amp;"",tbl_Finance[Ex GST],"&lt;&gt;"))</f>
        <v/>
      </c>
      <c r="Y451" s="27">
        <f>IF(E451="","",SUMIFS(tbl_Finance[Ex GST],tbl_Finance[Job Number],E451&amp;""))</f>
        <v/>
      </c>
      <c r="Z451" s="27">
        <f>IF(E451="","",SUMIFS(tbl_Finance[Ex GST],tbl_Finance[Job Number],E451&amp;"",tbl_Finance[Xero Invoice No],"&lt;&gt;"))</f>
        <v/>
      </c>
      <c r="AA451" s="27">
        <f>IF(E451="","",Y451-Z451)</f>
        <v/>
      </c>
      <c r="AB451" s="25">
        <f>IF(E451="","",IF(H451="Onsite",IFERROR(INDEX(tbl_Onsite[Qwilr Quote],MATCH(E451&amp;"",tbl_Onsite[Job Number],0)),""),IF(H451="Production",IFERROR(IF(INDEX(tbl_Production[Current RMS No],MATCH(E451&amp;"",tbl_Production[Job Number],0))="",INDEX(tbl_Production[Qwilr Quote],MATCH(E451&amp;"",tbl_Production[Job Number],0)),INDEX(tbl_Production[Current RMS No],MATCH(E451&amp;"",tbl_Production[Job Number],0))),""),IF(H451="Consulting",IFERROR(INDEX(tbl_Consulting[Qwilr Quote],MATCH(E451&amp;"",tbl_Consulting[Job Number],0)),""),""))))</f>
        <v/>
      </c>
      <c r="AC451" s="25">
        <f>IF(AB451="","",IF(AND(LEFT(AB451,4)&lt;&gt;"http",IF(H451="Production",set_RMSBase,set_QwilrBase)=""),"",HYPERLINK(IF(LEFT(AB451,4)="http",AB451,IF(H451="Production",set_RMSBase,set_QwilrBase)&amp;AB451),"Open")))</f>
        <v/>
      </c>
      <c r="AD451" s="27">
        <f>IF(E451="","",IF(H451="Production",IFERROR(INDEX(tbl_Production[Total Expense],MATCH(E451&amp;"",tbl_Production[Job Number],0)),0),IF(H451="Consulting",IFERROR(INDEX(tbl_Consulting[Total Expense],MATCH(E451&amp;"",tbl_Consulting[Job Number],0)),0),0)))</f>
        <v/>
      </c>
      <c r="AE451" s="27">
        <f>IF(E451="","",Y451-N(AD451))</f>
        <v/>
      </c>
      <c r="AF451" s="29">
        <f>IFERROR(AE451/Y451,"")</f>
        <v/>
      </c>
      <c r="AG451" s="25">
        <f>IF(E451="","",IF(H451="Onsite",IFERROR(INDEX(tbl_Onsite[Notes],MATCH(E451&amp;"",tbl_Onsite[Job Number],0)),""),IF(H451="Production",IFERROR(INDEX(tbl_Production[Notes],MATCH(E451&amp;"",tbl_Production[Job Number],0)),""),IF(H451="Consulting",IFERROR(INDEX(tbl_Consulting[Notes],MATCH(E451&amp;"",tbl_Consulting[Job Number],0)),""),""))))</f>
        <v/>
      </c>
    </row>
    <row r="452" ht="15" customHeight="1">
      <c r="A452" s="22" t="n"/>
      <c r="B452" s="23">
        <f>IF(A452="","",EOMONTH(A452,0))</f>
        <v/>
      </c>
      <c r="C452" s="24" t="n"/>
      <c r="D452" s="24" t="n"/>
      <c r="E452" s="24" t="n"/>
      <c r="F452" s="25">
        <f>IF(E452="","",IF(COUNTIF(lst_Jobs,E452&amp;"")&gt;0,"OK","CHECK"))</f>
        <v/>
      </c>
      <c r="G452" s="24" t="n"/>
      <c r="H452" s="24" t="n"/>
      <c r="I452" s="24" t="n"/>
      <c r="J452" s="24" t="n"/>
      <c r="K452" s="24" t="n"/>
      <c r="L452" s="26" t="n"/>
      <c r="M452" s="27">
        <f>IF(L452="","",IF(K452="GST 10%",ROUND(L452*set_GSTRate,2),0))</f>
        <v/>
      </c>
      <c r="N452" s="27">
        <f>IF(L452="","",L452+M452)</f>
        <v/>
      </c>
      <c r="O452" s="24" t="n"/>
      <c r="P452" s="24" t="n"/>
      <c r="Q452" s="24" t="n"/>
      <c r="R452" s="22" t="n"/>
      <c r="S452" s="22" t="n"/>
      <c r="T452" s="24" t="n"/>
      <c r="U452" s="24" t="n"/>
      <c r="V452" s="25">
        <f>IF(COUNTA(A452,D452,C452,L452)=0,"",IF(A452="","No date - sits outside every month",IF(E452="","No job number",IF(F452="CHECK","Job number is not in the Xero job list",IF(I452="","No cost centre",IF(AND(P452="Y",C452=""),"Marked posted to Xero but has no invoice number",IF(AND(L452&lt;&gt;"",K452=""),"No tax code",IF(AND(L452&lt;&gt;"",O452=""),"No revenue GL code",""))))))))</f>
        <v/>
      </c>
      <c r="W452" s="25">
        <f>IF(E452="","",IFERROR(INDEX(lst_JobName,MATCH(E452&amp;"",lst_Jobs,0)),""))</f>
        <v/>
      </c>
      <c r="X452" s="28">
        <f>IF(E452="","",COUNTIFS(tbl_Finance[Job Number],E452&amp;"",tbl_Finance[Ex GST],"&lt;&gt;"))</f>
        <v/>
      </c>
      <c r="Y452" s="27">
        <f>IF(E452="","",SUMIFS(tbl_Finance[Ex GST],tbl_Finance[Job Number],E452&amp;""))</f>
        <v/>
      </c>
      <c r="Z452" s="27">
        <f>IF(E452="","",SUMIFS(tbl_Finance[Ex GST],tbl_Finance[Job Number],E452&amp;"",tbl_Finance[Xero Invoice No],"&lt;&gt;"))</f>
        <v/>
      </c>
      <c r="AA452" s="27">
        <f>IF(E452="","",Y452-Z452)</f>
        <v/>
      </c>
      <c r="AB452" s="25">
        <f>IF(E452="","",IF(H452="Onsite",IFERROR(INDEX(tbl_Onsite[Qwilr Quote],MATCH(E452&amp;"",tbl_Onsite[Job Number],0)),""),IF(H452="Production",IFERROR(IF(INDEX(tbl_Production[Current RMS No],MATCH(E452&amp;"",tbl_Production[Job Number],0))="",INDEX(tbl_Production[Qwilr Quote],MATCH(E452&amp;"",tbl_Production[Job Number],0)),INDEX(tbl_Production[Current RMS No],MATCH(E452&amp;"",tbl_Production[Job Number],0))),""),IF(H452="Consulting",IFERROR(INDEX(tbl_Consulting[Qwilr Quote],MATCH(E452&amp;"",tbl_Consulting[Job Number],0)),""),""))))</f>
        <v/>
      </c>
      <c r="AC452" s="25">
        <f>IF(AB452="","",IF(AND(LEFT(AB452,4)&lt;&gt;"http",IF(H452="Production",set_RMSBase,set_QwilrBase)=""),"",HYPERLINK(IF(LEFT(AB452,4)="http",AB452,IF(H452="Production",set_RMSBase,set_QwilrBase)&amp;AB452),"Open")))</f>
        <v/>
      </c>
      <c r="AD452" s="27">
        <f>IF(E452="","",IF(H452="Production",IFERROR(INDEX(tbl_Production[Total Expense],MATCH(E452&amp;"",tbl_Production[Job Number],0)),0),IF(H452="Consulting",IFERROR(INDEX(tbl_Consulting[Total Expense],MATCH(E452&amp;"",tbl_Consulting[Job Number],0)),0),0)))</f>
        <v/>
      </c>
      <c r="AE452" s="27">
        <f>IF(E452="","",Y452-N(AD452))</f>
        <v/>
      </c>
      <c r="AF452" s="29">
        <f>IFERROR(AE452/Y452,"")</f>
        <v/>
      </c>
      <c r="AG452" s="25">
        <f>IF(E452="","",IF(H452="Onsite",IFERROR(INDEX(tbl_Onsite[Notes],MATCH(E452&amp;"",tbl_Onsite[Job Number],0)),""),IF(H452="Production",IFERROR(INDEX(tbl_Production[Notes],MATCH(E452&amp;"",tbl_Production[Job Number],0)),""),IF(H452="Consulting",IFERROR(INDEX(tbl_Consulting[Notes],MATCH(E452&amp;"",tbl_Consulting[Job Number],0)),""),""))))</f>
        <v/>
      </c>
    </row>
    <row r="453" ht="15" customHeight="1">
      <c r="A453" s="22" t="n"/>
      <c r="B453" s="23">
        <f>IF(A453="","",EOMONTH(A453,0))</f>
        <v/>
      </c>
      <c r="C453" s="24" t="n"/>
      <c r="D453" s="24" t="n"/>
      <c r="E453" s="24" t="n"/>
      <c r="F453" s="25">
        <f>IF(E453="","",IF(COUNTIF(lst_Jobs,E453&amp;"")&gt;0,"OK","CHECK"))</f>
        <v/>
      </c>
      <c r="G453" s="24" t="n"/>
      <c r="H453" s="24" t="n"/>
      <c r="I453" s="24" t="n"/>
      <c r="J453" s="24" t="n"/>
      <c r="K453" s="24" t="n"/>
      <c r="L453" s="26" t="n"/>
      <c r="M453" s="27">
        <f>IF(L453="","",IF(K453="GST 10%",ROUND(L453*set_GSTRate,2),0))</f>
        <v/>
      </c>
      <c r="N453" s="27">
        <f>IF(L453="","",L453+M453)</f>
        <v/>
      </c>
      <c r="O453" s="24" t="n"/>
      <c r="P453" s="24" t="n"/>
      <c r="Q453" s="24" t="n"/>
      <c r="R453" s="22" t="n"/>
      <c r="S453" s="22" t="n"/>
      <c r="T453" s="24" t="n"/>
      <c r="U453" s="24" t="n"/>
      <c r="V453" s="25">
        <f>IF(COUNTA(A453,D453,C453,L453)=0,"",IF(A453="","No date - sits outside every month",IF(E453="","No job number",IF(F453="CHECK","Job number is not in the Xero job list",IF(I453="","No cost centre",IF(AND(P453="Y",C453=""),"Marked posted to Xero but has no invoice number",IF(AND(L453&lt;&gt;"",K453=""),"No tax code",IF(AND(L453&lt;&gt;"",O453=""),"No revenue GL code",""))))))))</f>
        <v/>
      </c>
      <c r="W453" s="25">
        <f>IF(E453="","",IFERROR(INDEX(lst_JobName,MATCH(E453&amp;"",lst_Jobs,0)),""))</f>
        <v/>
      </c>
      <c r="X453" s="28">
        <f>IF(E453="","",COUNTIFS(tbl_Finance[Job Number],E453&amp;"",tbl_Finance[Ex GST],"&lt;&gt;"))</f>
        <v/>
      </c>
      <c r="Y453" s="27">
        <f>IF(E453="","",SUMIFS(tbl_Finance[Ex GST],tbl_Finance[Job Number],E453&amp;""))</f>
        <v/>
      </c>
      <c r="Z453" s="27">
        <f>IF(E453="","",SUMIFS(tbl_Finance[Ex GST],tbl_Finance[Job Number],E453&amp;"",tbl_Finance[Xero Invoice No],"&lt;&gt;"))</f>
        <v/>
      </c>
      <c r="AA453" s="27">
        <f>IF(E453="","",Y453-Z453)</f>
        <v/>
      </c>
      <c r="AB453" s="25">
        <f>IF(E453="","",IF(H453="Onsite",IFERROR(INDEX(tbl_Onsite[Qwilr Quote],MATCH(E453&amp;"",tbl_Onsite[Job Number],0)),""),IF(H453="Production",IFERROR(IF(INDEX(tbl_Production[Current RMS No],MATCH(E453&amp;"",tbl_Production[Job Number],0))="",INDEX(tbl_Production[Qwilr Quote],MATCH(E453&amp;"",tbl_Production[Job Number],0)),INDEX(tbl_Production[Current RMS No],MATCH(E453&amp;"",tbl_Production[Job Number],0))),""),IF(H453="Consulting",IFERROR(INDEX(tbl_Consulting[Qwilr Quote],MATCH(E453&amp;"",tbl_Consulting[Job Number],0)),""),""))))</f>
        <v/>
      </c>
      <c r="AC453" s="25">
        <f>IF(AB453="","",IF(AND(LEFT(AB453,4)&lt;&gt;"http",IF(H453="Production",set_RMSBase,set_QwilrBase)=""),"",HYPERLINK(IF(LEFT(AB453,4)="http",AB453,IF(H453="Production",set_RMSBase,set_QwilrBase)&amp;AB453),"Open")))</f>
        <v/>
      </c>
      <c r="AD453" s="27">
        <f>IF(E453="","",IF(H453="Production",IFERROR(INDEX(tbl_Production[Total Expense],MATCH(E453&amp;"",tbl_Production[Job Number],0)),0),IF(H453="Consulting",IFERROR(INDEX(tbl_Consulting[Total Expense],MATCH(E453&amp;"",tbl_Consulting[Job Number],0)),0),0)))</f>
        <v/>
      </c>
      <c r="AE453" s="27">
        <f>IF(E453="","",Y453-N(AD453))</f>
        <v/>
      </c>
      <c r="AF453" s="29">
        <f>IFERROR(AE453/Y453,"")</f>
        <v/>
      </c>
      <c r="AG453" s="25">
        <f>IF(E453="","",IF(H453="Onsite",IFERROR(INDEX(tbl_Onsite[Notes],MATCH(E453&amp;"",tbl_Onsite[Job Number],0)),""),IF(H453="Production",IFERROR(INDEX(tbl_Production[Notes],MATCH(E453&amp;"",tbl_Production[Job Number],0)),""),IF(H453="Consulting",IFERROR(INDEX(tbl_Consulting[Notes],MATCH(E453&amp;"",tbl_Consulting[Job Number],0)),""),""))))</f>
        <v/>
      </c>
    </row>
    <row r="454" ht="15" customHeight="1">
      <c r="A454" s="22" t="n"/>
      <c r="B454" s="23">
        <f>IF(A454="","",EOMONTH(A454,0))</f>
        <v/>
      </c>
      <c r="C454" s="24" t="n"/>
      <c r="D454" s="24" t="n"/>
      <c r="E454" s="24" t="n"/>
      <c r="F454" s="25">
        <f>IF(E454="","",IF(COUNTIF(lst_Jobs,E454&amp;"")&gt;0,"OK","CHECK"))</f>
        <v/>
      </c>
      <c r="G454" s="24" t="n"/>
      <c r="H454" s="24" t="n"/>
      <c r="I454" s="24" t="n"/>
      <c r="J454" s="24" t="n"/>
      <c r="K454" s="24" t="n"/>
      <c r="L454" s="26" t="n"/>
      <c r="M454" s="27">
        <f>IF(L454="","",IF(K454="GST 10%",ROUND(L454*set_GSTRate,2),0))</f>
        <v/>
      </c>
      <c r="N454" s="27">
        <f>IF(L454="","",L454+M454)</f>
        <v/>
      </c>
      <c r="O454" s="24" t="n"/>
      <c r="P454" s="24" t="n"/>
      <c r="Q454" s="24" t="n"/>
      <c r="R454" s="22" t="n"/>
      <c r="S454" s="22" t="n"/>
      <c r="T454" s="24" t="n"/>
      <c r="U454" s="24" t="n"/>
      <c r="V454" s="25">
        <f>IF(COUNTA(A454,D454,C454,L454)=0,"",IF(A454="","No date - sits outside every month",IF(E454="","No job number",IF(F454="CHECK","Job number is not in the Xero job list",IF(I454="","No cost centre",IF(AND(P454="Y",C454=""),"Marked posted to Xero but has no invoice number",IF(AND(L454&lt;&gt;"",K454=""),"No tax code",IF(AND(L454&lt;&gt;"",O454=""),"No revenue GL code",""))))))))</f>
        <v/>
      </c>
      <c r="W454" s="25">
        <f>IF(E454="","",IFERROR(INDEX(lst_JobName,MATCH(E454&amp;"",lst_Jobs,0)),""))</f>
        <v/>
      </c>
      <c r="X454" s="28">
        <f>IF(E454="","",COUNTIFS(tbl_Finance[Job Number],E454&amp;"",tbl_Finance[Ex GST],"&lt;&gt;"))</f>
        <v/>
      </c>
      <c r="Y454" s="27">
        <f>IF(E454="","",SUMIFS(tbl_Finance[Ex GST],tbl_Finance[Job Number],E454&amp;""))</f>
        <v/>
      </c>
      <c r="Z454" s="27">
        <f>IF(E454="","",SUMIFS(tbl_Finance[Ex GST],tbl_Finance[Job Number],E454&amp;"",tbl_Finance[Xero Invoice No],"&lt;&gt;"))</f>
        <v/>
      </c>
      <c r="AA454" s="27">
        <f>IF(E454="","",Y454-Z454)</f>
        <v/>
      </c>
      <c r="AB454" s="25">
        <f>IF(E454="","",IF(H454="Onsite",IFERROR(INDEX(tbl_Onsite[Qwilr Quote],MATCH(E454&amp;"",tbl_Onsite[Job Number],0)),""),IF(H454="Production",IFERROR(IF(INDEX(tbl_Production[Current RMS No],MATCH(E454&amp;"",tbl_Production[Job Number],0))="",INDEX(tbl_Production[Qwilr Quote],MATCH(E454&amp;"",tbl_Production[Job Number],0)),INDEX(tbl_Production[Current RMS No],MATCH(E454&amp;"",tbl_Production[Job Number],0))),""),IF(H454="Consulting",IFERROR(INDEX(tbl_Consulting[Qwilr Quote],MATCH(E454&amp;"",tbl_Consulting[Job Number],0)),""),""))))</f>
        <v/>
      </c>
      <c r="AC454" s="25">
        <f>IF(AB454="","",IF(AND(LEFT(AB454,4)&lt;&gt;"http",IF(H454="Production",set_RMSBase,set_QwilrBase)=""),"",HYPERLINK(IF(LEFT(AB454,4)="http",AB454,IF(H454="Production",set_RMSBase,set_QwilrBase)&amp;AB454),"Open")))</f>
        <v/>
      </c>
      <c r="AD454" s="27">
        <f>IF(E454="","",IF(H454="Production",IFERROR(INDEX(tbl_Production[Total Expense],MATCH(E454&amp;"",tbl_Production[Job Number],0)),0),IF(H454="Consulting",IFERROR(INDEX(tbl_Consulting[Total Expense],MATCH(E454&amp;"",tbl_Consulting[Job Number],0)),0),0)))</f>
        <v/>
      </c>
      <c r="AE454" s="27">
        <f>IF(E454="","",Y454-N(AD454))</f>
        <v/>
      </c>
      <c r="AF454" s="29">
        <f>IFERROR(AE454/Y454,"")</f>
        <v/>
      </c>
      <c r="AG454" s="25">
        <f>IF(E454="","",IF(H454="Onsite",IFERROR(INDEX(tbl_Onsite[Notes],MATCH(E454&amp;"",tbl_Onsite[Job Number],0)),""),IF(H454="Production",IFERROR(INDEX(tbl_Production[Notes],MATCH(E454&amp;"",tbl_Production[Job Number],0)),""),IF(H454="Consulting",IFERROR(INDEX(tbl_Consulting[Notes],MATCH(E454&amp;"",tbl_Consulting[Job Number],0)),""),""))))</f>
        <v/>
      </c>
    </row>
    <row r="455" ht="15" customHeight="1">
      <c r="A455" s="22" t="n"/>
      <c r="B455" s="23">
        <f>IF(A455="","",EOMONTH(A455,0))</f>
        <v/>
      </c>
      <c r="C455" s="24" t="n"/>
      <c r="D455" s="24" t="n"/>
      <c r="E455" s="24" t="n"/>
      <c r="F455" s="25">
        <f>IF(E455="","",IF(COUNTIF(lst_Jobs,E455&amp;"")&gt;0,"OK","CHECK"))</f>
        <v/>
      </c>
      <c r="G455" s="24" t="n"/>
      <c r="H455" s="24" t="n"/>
      <c r="I455" s="24" t="n"/>
      <c r="J455" s="24" t="n"/>
      <c r="K455" s="24" t="n"/>
      <c r="L455" s="26" t="n"/>
      <c r="M455" s="27">
        <f>IF(L455="","",IF(K455="GST 10%",ROUND(L455*set_GSTRate,2),0))</f>
        <v/>
      </c>
      <c r="N455" s="27">
        <f>IF(L455="","",L455+M455)</f>
        <v/>
      </c>
      <c r="O455" s="24" t="n"/>
      <c r="P455" s="24" t="n"/>
      <c r="Q455" s="24" t="n"/>
      <c r="R455" s="22" t="n"/>
      <c r="S455" s="22" t="n"/>
      <c r="T455" s="24" t="n"/>
      <c r="U455" s="24" t="n"/>
      <c r="V455" s="25">
        <f>IF(COUNTA(A455,D455,C455,L455)=0,"",IF(A455="","No date - sits outside every month",IF(E455="","No job number",IF(F455="CHECK","Job number is not in the Xero job list",IF(I455="","No cost centre",IF(AND(P455="Y",C455=""),"Marked posted to Xero but has no invoice number",IF(AND(L455&lt;&gt;"",K455=""),"No tax code",IF(AND(L455&lt;&gt;"",O455=""),"No revenue GL code",""))))))))</f>
        <v/>
      </c>
      <c r="W455" s="25">
        <f>IF(E455="","",IFERROR(INDEX(lst_JobName,MATCH(E455&amp;"",lst_Jobs,0)),""))</f>
        <v/>
      </c>
      <c r="X455" s="28">
        <f>IF(E455="","",COUNTIFS(tbl_Finance[Job Number],E455&amp;"",tbl_Finance[Ex GST],"&lt;&gt;"))</f>
        <v/>
      </c>
      <c r="Y455" s="27">
        <f>IF(E455="","",SUMIFS(tbl_Finance[Ex GST],tbl_Finance[Job Number],E455&amp;""))</f>
        <v/>
      </c>
      <c r="Z455" s="27">
        <f>IF(E455="","",SUMIFS(tbl_Finance[Ex GST],tbl_Finance[Job Number],E455&amp;"",tbl_Finance[Xero Invoice No],"&lt;&gt;"))</f>
        <v/>
      </c>
      <c r="AA455" s="27">
        <f>IF(E455="","",Y455-Z455)</f>
        <v/>
      </c>
      <c r="AB455" s="25">
        <f>IF(E455="","",IF(H455="Onsite",IFERROR(INDEX(tbl_Onsite[Qwilr Quote],MATCH(E455&amp;"",tbl_Onsite[Job Number],0)),""),IF(H455="Production",IFERROR(IF(INDEX(tbl_Production[Current RMS No],MATCH(E455&amp;"",tbl_Production[Job Number],0))="",INDEX(tbl_Production[Qwilr Quote],MATCH(E455&amp;"",tbl_Production[Job Number],0)),INDEX(tbl_Production[Current RMS No],MATCH(E455&amp;"",tbl_Production[Job Number],0))),""),IF(H455="Consulting",IFERROR(INDEX(tbl_Consulting[Qwilr Quote],MATCH(E455&amp;"",tbl_Consulting[Job Number],0)),""),""))))</f>
        <v/>
      </c>
      <c r="AC455" s="25">
        <f>IF(AB455="","",IF(AND(LEFT(AB455,4)&lt;&gt;"http",IF(H455="Production",set_RMSBase,set_QwilrBase)=""),"",HYPERLINK(IF(LEFT(AB455,4)="http",AB455,IF(H455="Production",set_RMSBase,set_QwilrBase)&amp;AB455),"Open")))</f>
        <v/>
      </c>
      <c r="AD455" s="27">
        <f>IF(E455="","",IF(H455="Production",IFERROR(INDEX(tbl_Production[Total Expense],MATCH(E455&amp;"",tbl_Production[Job Number],0)),0),IF(H455="Consulting",IFERROR(INDEX(tbl_Consulting[Total Expense],MATCH(E455&amp;"",tbl_Consulting[Job Number],0)),0),0)))</f>
        <v/>
      </c>
      <c r="AE455" s="27">
        <f>IF(E455="","",Y455-N(AD455))</f>
        <v/>
      </c>
      <c r="AF455" s="29">
        <f>IFERROR(AE455/Y455,"")</f>
        <v/>
      </c>
      <c r="AG455" s="25">
        <f>IF(E455="","",IF(H455="Onsite",IFERROR(INDEX(tbl_Onsite[Notes],MATCH(E455&amp;"",tbl_Onsite[Job Number],0)),""),IF(H455="Production",IFERROR(INDEX(tbl_Production[Notes],MATCH(E455&amp;"",tbl_Production[Job Number],0)),""),IF(H455="Consulting",IFERROR(INDEX(tbl_Consulting[Notes],MATCH(E455&amp;"",tbl_Consulting[Job Number],0)),""),""))))</f>
        <v/>
      </c>
    </row>
    <row r="456" ht="15" customHeight="1">
      <c r="A456" s="22" t="n"/>
      <c r="B456" s="23">
        <f>IF(A456="","",EOMONTH(A456,0))</f>
        <v/>
      </c>
      <c r="C456" s="24" t="n"/>
      <c r="D456" s="24" t="n"/>
      <c r="E456" s="24" t="n"/>
      <c r="F456" s="25">
        <f>IF(E456="","",IF(COUNTIF(lst_Jobs,E456&amp;"")&gt;0,"OK","CHECK"))</f>
        <v/>
      </c>
      <c r="G456" s="24" t="n"/>
      <c r="H456" s="24" t="n"/>
      <c r="I456" s="24" t="n"/>
      <c r="J456" s="24" t="n"/>
      <c r="K456" s="24" t="n"/>
      <c r="L456" s="26" t="n"/>
      <c r="M456" s="27">
        <f>IF(L456="","",IF(K456="GST 10%",ROUND(L456*set_GSTRate,2),0))</f>
        <v/>
      </c>
      <c r="N456" s="27">
        <f>IF(L456="","",L456+M456)</f>
        <v/>
      </c>
      <c r="O456" s="24" t="n"/>
      <c r="P456" s="24" t="n"/>
      <c r="Q456" s="24" t="n"/>
      <c r="R456" s="22" t="n"/>
      <c r="S456" s="22" t="n"/>
      <c r="T456" s="24" t="n"/>
      <c r="U456" s="24" t="n"/>
      <c r="V456" s="25">
        <f>IF(COUNTA(A456,D456,C456,L456)=0,"",IF(A456="","No date - sits outside every month",IF(E456="","No job number",IF(F456="CHECK","Job number is not in the Xero job list",IF(I456="","No cost centre",IF(AND(P456="Y",C456=""),"Marked posted to Xero but has no invoice number",IF(AND(L456&lt;&gt;"",K456=""),"No tax code",IF(AND(L456&lt;&gt;"",O456=""),"No revenue GL code",""))))))))</f>
        <v/>
      </c>
      <c r="W456" s="25">
        <f>IF(E456="","",IFERROR(INDEX(lst_JobName,MATCH(E456&amp;"",lst_Jobs,0)),""))</f>
        <v/>
      </c>
      <c r="X456" s="28">
        <f>IF(E456="","",COUNTIFS(tbl_Finance[Job Number],E456&amp;"",tbl_Finance[Ex GST],"&lt;&gt;"))</f>
        <v/>
      </c>
      <c r="Y456" s="27">
        <f>IF(E456="","",SUMIFS(tbl_Finance[Ex GST],tbl_Finance[Job Number],E456&amp;""))</f>
        <v/>
      </c>
      <c r="Z456" s="27">
        <f>IF(E456="","",SUMIFS(tbl_Finance[Ex GST],tbl_Finance[Job Number],E456&amp;"",tbl_Finance[Xero Invoice No],"&lt;&gt;"))</f>
        <v/>
      </c>
      <c r="AA456" s="27">
        <f>IF(E456="","",Y456-Z456)</f>
        <v/>
      </c>
      <c r="AB456" s="25">
        <f>IF(E456="","",IF(H456="Onsite",IFERROR(INDEX(tbl_Onsite[Qwilr Quote],MATCH(E456&amp;"",tbl_Onsite[Job Number],0)),""),IF(H456="Production",IFERROR(IF(INDEX(tbl_Production[Current RMS No],MATCH(E456&amp;"",tbl_Production[Job Number],0))="",INDEX(tbl_Production[Qwilr Quote],MATCH(E456&amp;"",tbl_Production[Job Number],0)),INDEX(tbl_Production[Current RMS No],MATCH(E456&amp;"",tbl_Production[Job Number],0))),""),IF(H456="Consulting",IFERROR(INDEX(tbl_Consulting[Qwilr Quote],MATCH(E456&amp;"",tbl_Consulting[Job Number],0)),""),""))))</f>
        <v/>
      </c>
      <c r="AC456" s="25">
        <f>IF(AB456="","",IF(AND(LEFT(AB456,4)&lt;&gt;"http",IF(H456="Production",set_RMSBase,set_QwilrBase)=""),"",HYPERLINK(IF(LEFT(AB456,4)="http",AB456,IF(H456="Production",set_RMSBase,set_QwilrBase)&amp;AB456),"Open")))</f>
        <v/>
      </c>
      <c r="AD456" s="27">
        <f>IF(E456="","",IF(H456="Production",IFERROR(INDEX(tbl_Production[Total Expense],MATCH(E456&amp;"",tbl_Production[Job Number],0)),0),IF(H456="Consulting",IFERROR(INDEX(tbl_Consulting[Total Expense],MATCH(E456&amp;"",tbl_Consulting[Job Number],0)),0),0)))</f>
        <v/>
      </c>
      <c r="AE456" s="27">
        <f>IF(E456="","",Y456-N(AD456))</f>
        <v/>
      </c>
      <c r="AF456" s="29">
        <f>IFERROR(AE456/Y456,"")</f>
        <v/>
      </c>
      <c r="AG456" s="25">
        <f>IF(E456="","",IF(H456="Onsite",IFERROR(INDEX(tbl_Onsite[Notes],MATCH(E456&amp;"",tbl_Onsite[Job Number],0)),""),IF(H456="Production",IFERROR(INDEX(tbl_Production[Notes],MATCH(E456&amp;"",tbl_Production[Job Number],0)),""),IF(H456="Consulting",IFERROR(INDEX(tbl_Consulting[Notes],MATCH(E456&amp;"",tbl_Consulting[Job Number],0)),""),""))))</f>
        <v/>
      </c>
    </row>
    <row r="457" ht="15" customHeight="1">
      <c r="A457" s="22" t="n"/>
      <c r="B457" s="23">
        <f>IF(A457="","",EOMONTH(A457,0))</f>
        <v/>
      </c>
      <c r="C457" s="24" t="n"/>
      <c r="D457" s="24" t="n"/>
      <c r="E457" s="24" t="n"/>
      <c r="F457" s="25">
        <f>IF(E457="","",IF(COUNTIF(lst_Jobs,E457&amp;"")&gt;0,"OK","CHECK"))</f>
        <v/>
      </c>
      <c r="G457" s="24" t="n"/>
      <c r="H457" s="24" t="n"/>
      <c r="I457" s="24" t="n"/>
      <c r="J457" s="24" t="n"/>
      <c r="K457" s="24" t="n"/>
      <c r="L457" s="26" t="n"/>
      <c r="M457" s="27">
        <f>IF(L457="","",IF(K457="GST 10%",ROUND(L457*set_GSTRate,2),0))</f>
        <v/>
      </c>
      <c r="N457" s="27">
        <f>IF(L457="","",L457+M457)</f>
        <v/>
      </c>
      <c r="O457" s="24" t="n"/>
      <c r="P457" s="24" t="n"/>
      <c r="Q457" s="24" t="n"/>
      <c r="R457" s="22" t="n"/>
      <c r="S457" s="22" t="n"/>
      <c r="T457" s="24" t="n"/>
      <c r="U457" s="24" t="n"/>
      <c r="V457" s="25">
        <f>IF(COUNTA(A457,D457,C457,L457)=0,"",IF(A457="","No date - sits outside every month",IF(E457="","No job number",IF(F457="CHECK","Job number is not in the Xero job list",IF(I457="","No cost centre",IF(AND(P457="Y",C457=""),"Marked posted to Xero but has no invoice number",IF(AND(L457&lt;&gt;"",K457=""),"No tax code",IF(AND(L457&lt;&gt;"",O457=""),"No revenue GL code",""))))))))</f>
        <v/>
      </c>
      <c r="W457" s="25">
        <f>IF(E457="","",IFERROR(INDEX(lst_JobName,MATCH(E457&amp;"",lst_Jobs,0)),""))</f>
        <v/>
      </c>
      <c r="X457" s="28">
        <f>IF(E457="","",COUNTIFS(tbl_Finance[Job Number],E457&amp;"",tbl_Finance[Ex GST],"&lt;&gt;"))</f>
        <v/>
      </c>
      <c r="Y457" s="27">
        <f>IF(E457="","",SUMIFS(tbl_Finance[Ex GST],tbl_Finance[Job Number],E457&amp;""))</f>
        <v/>
      </c>
      <c r="Z457" s="27">
        <f>IF(E457="","",SUMIFS(tbl_Finance[Ex GST],tbl_Finance[Job Number],E457&amp;"",tbl_Finance[Xero Invoice No],"&lt;&gt;"))</f>
        <v/>
      </c>
      <c r="AA457" s="27">
        <f>IF(E457="","",Y457-Z457)</f>
        <v/>
      </c>
      <c r="AB457" s="25">
        <f>IF(E457="","",IF(H457="Onsite",IFERROR(INDEX(tbl_Onsite[Qwilr Quote],MATCH(E457&amp;"",tbl_Onsite[Job Number],0)),""),IF(H457="Production",IFERROR(IF(INDEX(tbl_Production[Current RMS No],MATCH(E457&amp;"",tbl_Production[Job Number],0))="",INDEX(tbl_Production[Qwilr Quote],MATCH(E457&amp;"",tbl_Production[Job Number],0)),INDEX(tbl_Production[Current RMS No],MATCH(E457&amp;"",tbl_Production[Job Number],0))),""),IF(H457="Consulting",IFERROR(INDEX(tbl_Consulting[Qwilr Quote],MATCH(E457&amp;"",tbl_Consulting[Job Number],0)),""),""))))</f>
        <v/>
      </c>
      <c r="AC457" s="25">
        <f>IF(AB457="","",IF(AND(LEFT(AB457,4)&lt;&gt;"http",IF(H457="Production",set_RMSBase,set_QwilrBase)=""),"",HYPERLINK(IF(LEFT(AB457,4)="http",AB457,IF(H457="Production",set_RMSBase,set_QwilrBase)&amp;AB457),"Open")))</f>
        <v/>
      </c>
      <c r="AD457" s="27">
        <f>IF(E457="","",IF(H457="Production",IFERROR(INDEX(tbl_Production[Total Expense],MATCH(E457&amp;"",tbl_Production[Job Number],0)),0),IF(H457="Consulting",IFERROR(INDEX(tbl_Consulting[Total Expense],MATCH(E457&amp;"",tbl_Consulting[Job Number],0)),0),0)))</f>
        <v/>
      </c>
      <c r="AE457" s="27">
        <f>IF(E457="","",Y457-N(AD457))</f>
        <v/>
      </c>
      <c r="AF457" s="29">
        <f>IFERROR(AE457/Y457,"")</f>
        <v/>
      </c>
      <c r="AG457" s="25">
        <f>IF(E457="","",IF(H457="Onsite",IFERROR(INDEX(tbl_Onsite[Notes],MATCH(E457&amp;"",tbl_Onsite[Job Number],0)),""),IF(H457="Production",IFERROR(INDEX(tbl_Production[Notes],MATCH(E457&amp;"",tbl_Production[Job Number],0)),""),IF(H457="Consulting",IFERROR(INDEX(tbl_Consulting[Notes],MATCH(E457&amp;"",tbl_Consulting[Job Number],0)),""),""))))</f>
        <v/>
      </c>
    </row>
    <row r="458" ht="15" customHeight="1">
      <c r="A458" s="22" t="n"/>
      <c r="B458" s="23">
        <f>IF(A458="","",EOMONTH(A458,0))</f>
        <v/>
      </c>
      <c r="C458" s="24" t="n"/>
      <c r="D458" s="24" t="n"/>
      <c r="E458" s="24" t="n"/>
      <c r="F458" s="25">
        <f>IF(E458="","",IF(COUNTIF(lst_Jobs,E458&amp;"")&gt;0,"OK","CHECK"))</f>
        <v/>
      </c>
      <c r="G458" s="24" t="n"/>
      <c r="H458" s="24" t="n"/>
      <c r="I458" s="24" t="n"/>
      <c r="J458" s="24" t="n"/>
      <c r="K458" s="24" t="n"/>
      <c r="L458" s="26" t="n"/>
      <c r="M458" s="27">
        <f>IF(L458="","",IF(K458="GST 10%",ROUND(L458*set_GSTRate,2),0))</f>
        <v/>
      </c>
      <c r="N458" s="27">
        <f>IF(L458="","",L458+M458)</f>
        <v/>
      </c>
      <c r="O458" s="24" t="n"/>
      <c r="P458" s="24" t="n"/>
      <c r="Q458" s="24" t="n"/>
      <c r="R458" s="22" t="n"/>
      <c r="S458" s="22" t="n"/>
      <c r="T458" s="24" t="n"/>
      <c r="U458" s="24" t="n"/>
      <c r="V458" s="25">
        <f>IF(COUNTA(A458,D458,C458,L458)=0,"",IF(A458="","No date - sits outside every month",IF(E458="","No job number",IF(F458="CHECK","Job number is not in the Xero job list",IF(I458="","No cost centre",IF(AND(P458="Y",C458=""),"Marked posted to Xero but has no invoice number",IF(AND(L458&lt;&gt;"",K458=""),"No tax code",IF(AND(L458&lt;&gt;"",O458=""),"No revenue GL code",""))))))))</f>
        <v/>
      </c>
      <c r="W458" s="25">
        <f>IF(E458="","",IFERROR(INDEX(lst_JobName,MATCH(E458&amp;"",lst_Jobs,0)),""))</f>
        <v/>
      </c>
      <c r="X458" s="28">
        <f>IF(E458="","",COUNTIFS(tbl_Finance[Job Number],E458&amp;"",tbl_Finance[Ex GST],"&lt;&gt;"))</f>
        <v/>
      </c>
      <c r="Y458" s="27">
        <f>IF(E458="","",SUMIFS(tbl_Finance[Ex GST],tbl_Finance[Job Number],E458&amp;""))</f>
        <v/>
      </c>
      <c r="Z458" s="27">
        <f>IF(E458="","",SUMIFS(tbl_Finance[Ex GST],tbl_Finance[Job Number],E458&amp;"",tbl_Finance[Xero Invoice No],"&lt;&gt;"))</f>
        <v/>
      </c>
      <c r="AA458" s="27">
        <f>IF(E458="","",Y458-Z458)</f>
        <v/>
      </c>
      <c r="AB458" s="25">
        <f>IF(E458="","",IF(H458="Onsite",IFERROR(INDEX(tbl_Onsite[Qwilr Quote],MATCH(E458&amp;"",tbl_Onsite[Job Number],0)),""),IF(H458="Production",IFERROR(IF(INDEX(tbl_Production[Current RMS No],MATCH(E458&amp;"",tbl_Production[Job Number],0))="",INDEX(tbl_Production[Qwilr Quote],MATCH(E458&amp;"",tbl_Production[Job Number],0)),INDEX(tbl_Production[Current RMS No],MATCH(E458&amp;"",tbl_Production[Job Number],0))),""),IF(H458="Consulting",IFERROR(INDEX(tbl_Consulting[Qwilr Quote],MATCH(E458&amp;"",tbl_Consulting[Job Number],0)),""),""))))</f>
        <v/>
      </c>
      <c r="AC458" s="25">
        <f>IF(AB458="","",IF(AND(LEFT(AB458,4)&lt;&gt;"http",IF(H458="Production",set_RMSBase,set_QwilrBase)=""),"",HYPERLINK(IF(LEFT(AB458,4)="http",AB458,IF(H458="Production",set_RMSBase,set_QwilrBase)&amp;AB458),"Open")))</f>
        <v/>
      </c>
      <c r="AD458" s="27">
        <f>IF(E458="","",IF(H458="Production",IFERROR(INDEX(tbl_Production[Total Expense],MATCH(E458&amp;"",tbl_Production[Job Number],0)),0),IF(H458="Consulting",IFERROR(INDEX(tbl_Consulting[Total Expense],MATCH(E458&amp;"",tbl_Consulting[Job Number],0)),0),0)))</f>
        <v/>
      </c>
      <c r="AE458" s="27">
        <f>IF(E458="","",Y458-N(AD458))</f>
        <v/>
      </c>
      <c r="AF458" s="29">
        <f>IFERROR(AE458/Y458,"")</f>
        <v/>
      </c>
      <c r="AG458" s="25">
        <f>IF(E458="","",IF(H458="Onsite",IFERROR(INDEX(tbl_Onsite[Notes],MATCH(E458&amp;"",tbl_Onsite[Job Number],0)),""),IF(H458="Production",IFERROR(INDEX(tbl_Production[Notes],MATCH(E458&amp;"",tbl_Production[Job Number],0)),""),IF(H458="Consulting",IFERROR(INDEX(tbl_Consulting[Notes],MATCH(E458&amp;"",tbl_Consulting[Job Number],0)),""),""))))</f>
        <v/>
      </c>
    </row>
    <row r="459" ht="15" customHeight="1">
      <c r="A459" s="22" t="n"/>
      <c r="B459" s="23">
        <f>IF(A459="","",EOMONTH(A459,0))</f>
        <v/>
      </c>
      <c r="C459" s="24" t="n"/>
      <c r="D459" s="24" t="n"/>
      <c r="E459" s="24" t="n"/>
      <c r="F459" s="25">
        <f>IF(E459="","",IF(COUNTIF(lst_Jobs,E459&amp;"")&gt;0,"OK","CHECK"))</f>
        <v/>
      </c>
      <c r="G459" s="24" t="n"/>
      <c r="H459" s="24" t="n"/>
      <c r="I459" s="24" t="n"/>
      <c r="J459" s="24" t="n"/>
      <c r="K459" s="24" t="n"/>
      <c r="L459" s="26" t="n"/>
      <c r="M459" s="27">
        <f>IF(L459="","",IF(K459="GST 10%",ROUND(L459*set_GSTRate,2),0))</f>
        <v/>
      </c>
      <c r="N459" s="27">
        <f>IF(L459="","",L459+M459)</f>
        <v/>
      </c>
      <c r="O459" s="24" t="n"/>
      <c r="P459" s="24" t="n"/>
      <c r="Q459" s="24" t="n"/>
      <c r="R459" s="22" t="n"/>
      <c r="S459" s="22" t="n"/>
      <c r="T459" s="24" t="n"/>
      <c r="U459" s="24" t="n"/>
      <c r="V459" s="25">
        <f>IF(COUNTA(A459,D459,C459,L459)=0,"",IF(A459="","No date - sits outside every month",IF(E459="","No job number",IF(F459="CHECK","Job number is not in the Xero job list",IF(I459="","No cost centre",IF(AND(P459="Y",C459=""),"Marked posted to Xero but has no invoice number",IF(AND(L459&lt;&gt;"",K459=""),"No tax code",IF(AND(L459&lt;&gt;"",O459=""),"No revenue GL code",""))))))))</f>
        <v/>
      </c>
      <c r="W459" s="25">
        <f>IF(E459="","",IFERROR(INDEX(lst_JobName,MATCH(E459&amp;"",lst_Jobs,0)),""))</f>
        <v/>
      </c>
      <c r="X459" s="28">
        <f>IF(E459="","",COUNTIFS(tbl_Finance[Job Number],E459&amp;"",tbl_Finance[Ex GST],"&lt;&gt;"))</f>
        <v/>
      </c>
      <c r="Y459" s="27">
        <f>IF(E459="","",SUMIFS(tbl_Finance[Ex GST],tbl_Finance[Job Number],E459&amp;""))</f>
        <v/>
      </c>
      <c r="Z459" s="27">
        <f>IF(E459="","",SUMIFS(tbl_Finance[Ex GST],tbl_Finance[Job Number],E459&amp;"",tbl_Finance[Xero Invoice No],"&lt;&gt;"))</f>
        <v/>
      </c>
      <c r="AA459" s="27">
        <f>IF(E459="","",Y459-Z459)</f>
        <v/>
      </c>
      <c r="AB459" s="25">
        <f>IF(E459="","",IF(H459="Onsite",IFERROR(INDEX(tbl_Onsite[Qwilr Quote],MATCH(E459&amp;"",tbl_Onsite[Job Number],0)),""),IF(H459="Production",IFERROR(IF(INDEX(tbl_Production[Current RMS No],MATCH(E459&amp;"",tbl_Production[Job Number],0))="",INDEX(tbl_Production[Qwilr Quote],MATCH(E459&amp;"",tbl_Production[Job Number],0)),INDEX(tbl_Production[Current RMS No],MATCH(E459&amp;"",tbl_Production[Job Number],0))),""),IF(H459="Consulting",IFERROR(INDEX(tbl_Consulting[Qwilr Quote],MATCH(E459&amp;"",tbl_Consulting[Job Number],0)),""),""))))</f>
        <v/>
      </c>
      <c r="AC459" s="25">
        <f>IF(AB459="","",IF(AND(LEFT(AB459,4)&lt;&gt;"http",IF(H459="Production",set_RMSBase,set_QwilrBase)=""),"",HYPERLINK(IF(LEFT(AB459,4)="http",AB459,IF(H459="Production",set_RMSBase,set_QwilrBase)&amp;AB459),"Open")))</f>
        <v/>
      </c>
      <c r="AD459" s="27">
        <f>IF(E459="","",IF(H459="Production",IFERROR(INDEX(tbl_Production[Total Expense],MATCH(E459&amp;"",tbl_Production[Job Number],0)),0),IF(H459="Consulting",IFERROR(INDEX(tbl_Consulting[Total Expense],MATCH(E459&amp;"",tbl_Consulting[Job Number],0)),0),0)))</f>
        <v/>
      </c>
      <c r="AE459" s="27">
        <f>IF(E459="","",Y459-N(AD459))</f>
        <v/>
      </c>
      <c r="AF459" s="29">
        <f>IFERROR(AE459/Y459,"")</f>
        <v/>
      </c>
      <c r="AG459" s="25">
        <f>IF(E459="","",IF(H459="Onsite",IFERROR(INDEX(tbl_Onsite[Notes],MATCH(E459&amp;"",tbl_Onsite[Job Number],0)),""),IF(H459="Production",IFERROR(INDEX(tbl_Production[Notes],MATCH(E459&amp;"",tbl_Production[Job Number],0)),""),IF(H459="Consulting",IFERROR(INDEX(tbl_Consulting[Notes],MATCH(E459&amp;"",tbl_Consulting[Job Number],0)),""),""))))</f>
        <v/>
      </c>
    </row>
    <row r="460" ht="15" customHeight="1">
      <c r="A460" s="22" t="n"/>
      <c r="B460" s="23">
        <f>IF(A460="","",EOMONTH(A460,0))</f>
        <v/>
      </c>
      <c r="C460" s="24" t="n"/>
      <c r="D460" s="24" t="n"/>
      <c r="E460" s="24" t="n"/>
      <c r="F460" s="25">
        <f>IF(E460="","",IF(COUNTIF(lst_Jobs,E460&amp;"")&gt;0,"OK","CHECK"))</f>
        <v/>
      </c>
      <c r="G460" s="24" t="n"/>
      <c r="H460" s="24" t="n"/>
      <c r="I460" s="24" t="n"/>
      <c r="J460" s="24" t="n"/>
      <c r="K460" s="24" t="n"/>
      <c r="L460" s="26" t="n"/>
      <c r="M460" s="27">
        <f>IF(L460="","",IF(K460="GST 10%",ROUND(L460*set_GSTRate,2),0))</f>
        <v/>
      </c>
      <c r="N460" s="27">
        <f>IF(L460="","",L460+M460)</f>
        <v/>
      </c>
      <c r="O460" s="24" t="n"/>
      <c r="P460" s="24" t="n"/>
      <c r="Q460" s="24" t="n"/>
      <c r="R460" s="22" t="n"/>
      <c r="S460" s="22" t="n"/>
      <c r="T460" s="24" t="n"/>
      <c r="U460" s="24" t="n"/>
      <c r="V460" s="25">
        <f>IF(COUNTA(A460,D460,C460,L460)=0,"",IF(A460="","No date - sits outside every month",IF(E460="","No job number",IF(F460="CHECK","Job number is not in the Xero job list",IF(I460="","No cost centre",IF(AND(P460="Y",C460=""),"Marked posted to Xero but has no invoice number",IF(AND(L460&lt;&gt;"",K460=""),"No tax code",IF(AND(L460&lt;&gt;"",O460=""),"No revenue GL code",""))))))))</f>
        <v/>
      </c>
      <c r="W460" s="25">
        <f>IF(E460="","",IFERROR(INDEX(lst_JobName,MATCH(E460&amp;"",lst_Jobs,0)),""))</f>
        <v/>
      </c>
      <c r="X460" s="28">
        <f>IF(E460="","",COUNTIFS(tbl_Finance[Job Number],E460&amp;"",tbl_Finance[Ex GST],"&lt;&gt;"))</f>
        <v/>
      </c>
      <c r="Y460" s="27">
        <f>IF(E460="","",SUMIFS(tbl_Finance[Ex GST],tbl_Finance[Job Number],E460&amp;""))</f>
        <v/>
      </c>
      <c r="Z460" s="27">
        <f>IF(E460="","",SUMIFS(tbl_Finance[Ex GST],tbl_Finance[Job Number],E460&amp;"",tbl_Finance[Xero Invoice No],"&lt;&gt;"))</f>
        <v/>
      </c>
      <c r="AA460" s="27">
        <f>IF(E460="","",Y460-Z460)</f>
        <v/>
      </c>
      <c r="AB460" s="25">
        <f>IF(E460="","",IF(H460="Onsite",IFERROR(INDEX(tbl_Onsite[Qwilr Quote],MATCH(E460&amp;"",tbl_Onsite[Job Number],0)),""),IF(H460="Production",IFERROR(IF(INDEX(tbl_Production[Current RMS No],MATCH(E460&amp;"",tbl_Production[Job Number],0))="",INDEX(tbl_Production[Qwilr Quote],MATCH(E460&amp;"",tbl_Production[Job Number],0)),INDEX(tbl_Production[Current RMS No],MATCH(E460&amp;"",tbl_Production[Job Number],0))),""),IF(H460="Consulting",IFERROR(INDEX(tbl_Consulting[Qwilr Quote],MATCH(E460&amp;"",tbl_Consulting[Job Number],0)),""),""))))</f>
        <v/>
      </c>
      <c r="AC460" s="25">
        <f>IF(AB460="","",IF(AND(LEFT(AB460,4)&lt;&gt;"http",IF(H460="Production",set_RMSBase,set_QwilrBase)=""),"",HYPERLINK(IF(LEFT(AB460,4)="http",AB460,IF(H460="Production",set_RMSBase,set_QwilrBase)&amp;AB460),"Open")))</f>
        <v/>
      </c>
      <c r="AD460" s="27">
        <f>IF(E460="","",IF(H460="Production",IFERROR(INDEX(tbl_Production[Total Expense],MATCH(E460&amp;"",tbl_Production[Job Number],0)),0),IF(H460="Consulting",IFERROR(INDEX(tbl_Consulting[Total Expense],MATCH(E460&amp;"",tbl_Consulting[Job Number],0)),0),0)))</f>
        <v/>
      </c>
      <c r="AE460" s="27">
        <f>IF(E460="","",Y460-N(AD460))</f>
        <v/>
      </c>
      <c r="AF460" s="29">
        <f>IFERROR(AE460/Y460,"")</f>
        <v/>
      </c>
      <c r="AG460" s="25">
        <f>IF(E460="","",IF(H460="Onsite",IFERROR(INDEX(tbl_Onsite[Notes],MATCH(E460&amp;"",tbl_Onsite[Job Number],0)),""),IF(H460="Production",IFERROR(INDEX(tbl_Production[Notes],MATCH(E460&amp;"",tbl_Production[Job Number],0)),""),IF(H460="Consulting",IFERROR(INDEX(tbl_Consulting[Notes],MATCH(E460&amp;"",tbl_Consulting[Job Number],0)),""),""))))</f>
        <v/>
      </c>
    </row>
    <row r="461" ht="15" customHeight="1">
      <c r="A461" s="22" t="n"/>
      <c r="B461" s="23">
        <f>IF(A461="","",EOMONTH(A461,0))</f>
        <v/>
      </c>
      <c r="C461" s="24" t="n"/>
      <c r="D461" s="24" t="n"/>
      <c r="E461" s="24" t="n"/>
      <c r="F461" s="25">
        <f>IF(E461="","",IF(COUNTIF(lst_Jobs,E461&amp;"")&gt;0,"OK","CHECK"))</f>
        <v/>
      </c>
      <c r="G461" s="24" t="n"/>
      <c r="H461" s="24" t="n"/>
      <c r="I461" s="24" t="n"/>
      <c r="J461" s="24" t="n"/>
      <c r="K461" s="24" t="n"/>
      <c r="L461" s="26" t="n"/>
      <c r="M461" s="27">
        <f>IF(L461="","",IF(K461="GST 10%",ROUND(L461*set_GSTRate,2),0))</f>
        <v/>
      </c>
      <c r="N461" s="27">
        <f>IF(L461="","",L461+M461)</f>
        <v/>
      </c>
      <c r="O461" s="24" t="n"/>
      <c r="P461" s="24" t="n"/>
      <c r="Q461" s="24" t="n"/>
      <c r="R461" s="22" t="n"/>
      <c r="S461" s="22" t="n"/>
      <c r="T461" s="24" t="n"/>
      <c r="U461" s="24" t="n"/>
      <c r="V461" s="25">
        <f>IF(COUNTA(A461,D461,C461,L461)=0,"",IF(A461="","No date - sits outside every month",IF(E461="","No job number",IF(F461="CHECK","Job number is not in the Xero job list",IF(I461="","No cost centre",IF(AND(P461="Y",C461=""),"Marked posted to Xero but has no invoice number",IF(AND(L461&lt;&gt;"",K461=""),"No tax code",IF(AND(L461&lt;&gt;"",O461=""),"No revenue GL code",""))))))))</f>
        <v/>
      </c>
      <c r="W461" s="25">
        <f>IF(E461="","",IFERROR(INDEX(lst_JobName,MATCH(E461&amp;"",lst_Jobs,0)),""))</f>
        <v/>
      </c>
      <c r="X461" s="28">
        <f>IF(E461="","",COUNTIFS(tbl_Finance[Job Number],E461&amp;"",tbl_Finance[Ex GST],"&lt;&gt;"))</f>
        <v/>
      </c>
      <c r="Y461" s="27">
        <f>IF(E461="","",SUMIFS(tbl_Finance[Ex GST],tbl_Finance[Job Number],E461&amp;""))</f>
        <v/>
      </c>
      <c r="Z461" s="27">
        <f>IF(E461="","",SUMIFS(tbl_Finance[Ex GST],tbl_Finance[Job Number],E461&amp;"",tbl_Finance[Xero Invoice No],"&lt;&gt;"))</f>
        <v/>
      </c>
      <c r="AA461" s="27">
        <f>IF(E461="","",Y461-Z461)</f>
        <v/>
      </c>
      <c r="AB461" s="25">
        <f>IF(E461="","",IF(H461="Onsite",IFERROR(INDEX(tbl_Onsite[Qwilr Quote],MATCH(E461&amp;"",tbl_Onsite[Job Number],0)),""),IF(H461="Production",IFERROR(IF(INDEX(tbl_Production[Current RMS No],MATCH(E461&amp;"",tbl_Production[Job Number],0))="",INDEX(tbl_Production[Qwilr Quote],MATCH(E461&amp;"",tbl_Production[Job Number],0)),INDEX(tbl_Production[Current RMS No],MATCH(E461&amp;"",tbl_Production[Job Number],0))),""),IF(H461="Consulting",IFERROR(INDEX(tbl_Consulting[Qwilr Quote],MATCH(E461&amp;"",tbl_Consulting[Job Number],0)),""),""))))</f>
        <v/>
      </c>
      <c r="AC461" s="25">
        <f>IF(AB461="","",IF(AND(LEFT(AB461,4)&lt;&gt;"http",IF(H461="Production",set_RMSBase,set_QwilrBase)=""),"",HYPERLINK(IF(LEFT(AB461,4)="http",AB461,IF(H461="Production",set_RMSBase,set_QwilrBase)&amp;AB461),"Open")))</f>
        <v/>
      </c>
      <c r="AD461" s="27">
        <f>IF(E461="","",IF(H461="Production",IFERROR(INDEX(tbl_Production[Total Expense],MATCH(E461&amp;"",tbl_Production[Job Number],0)),0),IF(H461="Consulting",IFERROR(INDEX(tbl_Consulting[Total Expense],MATCH(E461&amp;"",tbl_Consulting[Job Number],0)),0),0)))</f>
        <v/>
      </c>
      <c r="AE461" s="27">
        <f>IF(E461="","",Y461-N(AD461))</f>
        <v/>
      </c>
      <c r="AF461" s="29">
        <f>IFERROR(AE461/Y461,"")</f>
        <v/>
      </c>
      <c r="AG461" s="25">
        <f>IF(E461="","",IF(H461="Onsite",IFERROR(INDEX(tbl_Onsite[Notes],MATCH(E461&amp;"",tbl_Onsite[Job Number],0)),""),IF(H461="Production",IFERROR(INDEX(tbl_Production[Notes],MATCH(E461&amp;"",tbl_Production[Job Number],0)),""),IF(H461="Consulting",IFERROR(INDEX(tbl_Consulting[Notes],MATCH(E461&amp;"",tbl_Consulting[Job Number],0)),""),""))))</f>
        <v/>
      </c>
    </row>
    <row r="462" ht="15" customHeight="1">
      <c r="A462" s="22" t="n"/>
      <c r="B462" s="23">
        <f>IF(A462="","",EOMONTH(A462,0))</f>
        <v/>
      </c>
      <c r="C462" s="24" t="n"/>
      <c r="D462" s="24" t="n"/>
      <c r="E462" s="24" t="n"/>
      <c r="F462" s="25">
        <f>IF(E462="","",IF(COUNTIF(lst_Jobs,E462&amp;"")&gt;0,"OK","CHECK"))</f>
        <v/>
      </c>
      <c r="G462" s="24" t="n"/>
      <c r="H462" s="24" t="n"/>
      <c r="I462" s="24" t="n"/>
      <c r="J462" s="24" t="n"/>
      <c r="K462" s="24" t="n"/>
      <c r="L462" s="26" t="n"/>
      <c r="M462" s="27">
        <f>IF(L462="","",IF(K462="GST 10%",ROUND(L462*set_GSTRate,2),0))</f>
        <v/>
      </c>
      <c r="N462" s="27">
        <f>IF(L462="","",L462+M462)</f>
        <v/>
      </c>
      <c r="O462" s="24" t="n"/>
      <c r="P462" s="24" t="n"/>
      <c r="Q462" s="24" t="n"/>
      <c r="R462" s="22" t="n"/>
      <c r="S462" s="22" t="n"/>
      <c r="T462" s="24" t="n"/>
      <c r="U462" s="24" t="n"/>
      <c r="V462" s="25">
        <f>IF(COUNTA(A462,D462,C462,L462)=0,"",IF(A462="","No date - sits outside every month",IF(E462="","No job number",IF(F462="CHECK","Job number is not in the Xero job list",IF(I462="","No cost centre",IF(AND(P462="Y",C462=""),"Marked posted to Xero but has no invoice number",IF(AND(L462&lt;&gt;"",K462=""),"No tax code",IF(AND(L462&lt;&gt;"",O462=""),"No revenue GL code",""))))))))</f>
        <v/>
      </c>
      <c r="W462" s="25">
        <f>IF(E462="","",IFERROR(INDEX(lst_JobName,MATCH(E462&amp;"",lst_Jobs,0)),""))</f>
        <v/>
      </c>
      <c r="X462" s="28">
        <f>IF(E462="","",COUNTIFS(tbl_Finance[Job Number],E462&amp;"",tbl_Finance[Ex GST],"&lt;&gt;"))</f>
        <v/>
      </c>
      <c r="Y462" s="27">
        <f>IF(E462="","",SUMIFS(tbl_Finance[Ex GST],tbl_Finance[Job Number],E462&amp;""))</f>
        <v/>
      </c>
      <c r="Z462" s="27">
        <f>IF(E462="","",SUMIFS(tbl_Finance[Ex GST],tbl_Finance[Job Number],E462&amp;"",tbl_Finance[Xero Invoice No],"&lt;&gt;"))</f>
        <v/>
      </c>
      <c r="AA462" s="27">
        <f>IF(E462="","",Y462-Z462)</f>
        <v/>
      </c>
      <c r="AB462" s="25">
        <f>IF(E462="","",IF(H462="Onsite",IFERROR(INDEX(tbl_Onsite[Qwilr Quote],MATCH(E462&amp;"",tbl_Onsite[Job Number],0)),""),IF(H462="Production",IFERROR(IF(INDEX(tbl_Production[Current RMS No],MATCH(E462&amp;"",tbl_Production[Job Number],0))="",INDEX(tbl_Production[Qwilr Quote],MATCH(E462&amp;"",tbl_Production[Job Number],0)),INDEX(tbl_Production[Current RMS No],MATCH(E462&amp;"",tbl_Production[Job Number],0))),""),IF(H462="Consulting",IFERROR(INDEX(tbl_Consulting[Qwilr Quote],MATCH(E462&amp;"",tbl_Consulting[Job Number],0)),""),""))))</f>
        <v/>
      </c>
      <c r="AC462" s="25">
        <f>IF(AB462="","",IF(AND(LEFT(AB462,4)&lt;&gt;"http",IF(H462="Production",set_RMSBase,set_QwilrBase)=""),"",HYPERLINK(IF(LEFT(AB462,4)="http",AB462,IF(H462="Production",set_RMSBase,set_QwilrBase)&amp;AB462),"Open")))</f>
        <v/>
      </c>
      <c r="AD462" s="27">
        <f>IF(E462="","",IF(H462="Production",IFERROR(INDEX(tbl_Production[Total Expense],MATCH(E462&amp;"",tbl_Production[Job Number],0)),0),IF(H462="Consulting",IFERROR(INDEX(tbl_Consulting[Total Expense],MATCH(E462&amp;"",tbl_Consulting[Job Number],0)),0),0)))</f>
        <v/>
      </c>
      <c r="AE462" s="27">
        <f>IF(E462="","",Y462-N(AD462))</f>
        <v/>
      </c>
      <c r="AF462" s="29">
        <f>IFERROR(AE462/Y462,"")</f>
        <v/>
      </c>
      <c r="AG462" s="25">
        <f>IF(E462="","",IF(H462="Onsite",IFERROR(INDEX(tbl_Onsite[Notes],MATCH(E462&amp;"",tbl_Onsite[Job Number],0)),""),IF(H462="Production",IFERROR(INDEX(tbl_Production[Notes],MATCH(E462&amp;"",tbl_Production[Job Number],0)),""),IF(H462="Consulting",IFERROR(INDEX(tbl_Consulting[Notes],MATCH(E462&amp;"",tbl_Consulting[Job Number],0)),""),""))))</f>
        <v/>
      </c>
    </row>
    <row r="463" ht="15" customHeight="1">
      <c r="A463" s="22" t="n"/>
      <c r="B463" s="23">
        <f>IF(A463="","",EOMONTH(A463,0))</f>
        <v/>
      </c>
      <c r="C463" s="24" t="n"/>
      <c r="D463" s="24" t="n"/>
      <c r="E463" s="24" t="n"/>
      <c r="F463" s="25">
        <f>IF(E463="","",IF(COUNTIF(lst_Jobs,E463&amp;"")&gt;0,"OK","CHECK"))</f>
        <v/>
      </c>
      <c r="G463" s="24" t="n"/>
      <c r="H463" s="24" t="n"/>
      <c r="I463" s="24" t="n"/>
      <c r="J463" s="24" t="n"/>
      <c r="K463" s="24" t="n"/>
      <c r="L463" s="26" t="n"/>
      <c r="M463" s="27">
        <f>IF(L463="","",IF(K463="GST 10%",ROUND(L463*set_GSTRate,2),0))</f>
        <v/>
      </c>
      <c r="N463" s="27">
        <f>IF(L463="","",L463+M463)</f>
        <v/>
      </c>
      <c r="O463" s="24" t="n"/>
      <c r="P463" s="24" t="n"/>
      <c r="Q463" s="24" t="n"/>
      <c r="R463" s="22" t="n"/>
      <c r="S463" s="22" t="n"/>
      <c r="T463" s="24" t="n"/>
      <c r="U463" s="24" t="n"/>
      <c r="V463" s="25">
        <f>IF(COUNTA(A463,D463,C463,L463)=0,"",IF(A463="","No date - sits outside every month",IF(E463="","No job number",IF(F463="CHECK","Job number is not in the Xero job list",IF(I463="","No cost centre",IF(AND(P463="Y",C463=""),"Marked posted to Xero but has no invoice number",IF(AND(L463&lt;&gt;"",K463=""),"No tax code",IF(AND(L463&lt;&gt;"",O463=""),"No revenue GL code",""))))))))</f>
        <v/>
      </c>
      <c r="W463" s="25">
        <f>IF(E463="","",IFERROR(INDEX(lst_JobName,MATCH(E463&amp;"",lst_Jobs,0)),""))</f>
        <v/>
      </c>
      <c r="X463" s="28">
        <f>IF(E463="","",COUNTIFS(tbl_Finance[Job Number],E463&amp;"",tbl_Finance[Ex GST],"&lt;&gt;"))</f>
        <v/>
      </c>
      <c r="Y463" s="27">
        <f>IF(E463="","",SUMIFS(tbl_Finance[Ex GST],tbl_Finance[Job Number],E463&amp;""))</f>
        <v/>
      </c>
      <c r="Z463" s="27">
        <f>IF(E463="","",SUMIFS(tbl_Finance[Ex GST],tbl_Finance[Job Number],E463&amp;"",tbl_Finance[Xero Invoice No],"&lt;&gt;"))</f>
        <v/>
      </c>
      <c r="AA463" s="27">
        <f>IF(E463="","",Y463-Z463)</f>
        <v/>
      </c>
      <c r="AB463" s="25">
        <f>IF(E463="","",IF(H463="Onsite",IFERROR(INDEX(tbl_Onsite[Qwilr Quote],MATCH(E463&amp;"",tbl_Onsite[Job Number],0)),""),IF(H463="Production",IFERROR(IF(INDEX(tbl_Production[Current RMS No],MATCH(E463&amp;"",tbl_Production[Job Number],0))="",INDEX(tbl_Production[Qwilr Quote],MATCH(E463&amp;"",tbl_Production[Job Number],0)),INDEX(tbl_Production[Current RMS No],MATCH(E463&amp;"",tbl_Production[Job Number],0))),""),IF(H463="Consulting",IFERROR(INDEX(tbl_Consulting[Qwilr Quote],MATCH(E463&amp;"",tbl_Consulting[Job Number],0)),""),""))))</f>
        <v/>
      </c>
      <c r="AC463" s="25">
        <f>IF(AB463="","",IF(AND(LEFT(AB463,4)&lt;&gt;"http",IF(H463="Production",set_RMSBase,set_QwilrBase)=""),"",HYPERLINK(IF(LEFT(AB463,4)="http",AB463,IF(H463="Production",set_RMSBase,set_QwilrBase)&amp;AB463),"Open")))</f>
        <v/>
      </c>
      <c r="AD463" s="27">
        <f>IF(E463="","",IF(H463="Production",IFERROR(INDEX(tbl_Production[Total Expense],MATCH(E463&amp;"",tbl_Production[Job Number],0)),0),IF(H463="Consulting",IFERROR(INDEX(tbl_Consulting[Total Expense],MATCH(E463&amp;"",tbl_Consulting[Job Number],0)),0),0)))</f>
        <v/>
      </c>
      <c r="AE463" s="27">
        <f>IF(E463="","",Y463-N(AD463))</f>
        <v/>
      </c>
      <c r="AF463" s="29">
        <f>IFERROR(AE463/Y463,"")</f>
        <v/>
      </c>
      <c r="AG463" s="25">
        <f>IF(E463="","",IF(H463="Onsite",IFERROR(INDEX(tbl_Onsite[Notes],MATCH(E463&amp;"",tbl_Onsite[Job Number],0)),""),IF(H463="Production",IFERROR(INDEX(tbl_Production[Notes],MATCH(E463&amp;"",tbl_Production[Job Number],0)),""),IF(H463="Consulting",IFERROR(INDEX(tbl_Consulting[Notes],MATCH(E463&amp;"",tbl_Consulting[Job Number],0)),""),""))))</f>
        <v/>
      </c>
    </row>
    <row r="464" ht="15" customHeight="1">
      <c r="A464" s="22" t="n"/>
      <c r="B464" s="23">
        <f>IF(A464="","",EOMONTH(A464,0))</f>
        <v/>
      </c>
      <c r="C464" s="24" t="n"/>
      <c r="D464" s="24" t="n"/>
      <c r="E464" s="24" t="n"/>
      <c r="F464" s="25">
        <f>IF(E464="","",IF(COUNTIF(lst_Jobs,E464&amp;"")&gt;0,"OK","CHECK"))</f>
        <v/>
      </c>
      <c r="G464" s="24" t="n"/>
      <c r="H464" s="24" t="n"/>
      <c r="I464" s="24" t="n"/>
      <c r="J464" s="24" t="n"/>
      <c r="K464" s="24" t="n"/>
      <c r="L464" s="26" t="n"/>
      <c r="M464" s="27">
        <f>IF(L464="","",IF(K464="GST 10%",ROUND(L464*set_GSTRate,2),0))</f>
        <v/>
      </c>
      <c r="N464" s="27">
        <f>IF(L464="","",L464+M464)</f>
        <v/>
      </c>
      <c r="O464" s="24" t="n"/>
      <c r="P464" s="24" t="n"/>
      <c r="Q464" s="24" t="n"/>
      <c r="R464" s="22" t="n"/>
      <c r="S464" s="22" t="n"/>
      <c r="T464" s="24" t="n"/>
      <c r="U464" s="24" t="n"/>
      <c r="V464" s="25">
        <f>IF(COUNTA(A464,D464,C464,L464)=0,"",IF(A464="","No date - sits outside every month",IF(E464="","No job number",IF(F464="CHECK","Job number is not in the Xero job list",IF(I464="","No cost centre",IF(AND(P464="Y",C464=""),"Marked posted to Xero but has no invoice number",IF(AND(L464&lt;&gt;"",K464=""),"No tax code",IF(AND(L464&lt;&gt;"",O464=""),"No revenue GL code",""))))))))</f>
        <v/>
      </c>
      <c r="W464" s="25">
        <f>IF(E464="","",IFERROR(INDEX(lst_JobName,MATCH(E464&amp;"",lst_Jobs,0)),""))</f>
        <v/>
      </c>
      <c r="X464" s="28">
        <f>IF(E464="","",COUNTIFS(tbl_Finance[Job Number],E464&amp;"",tbl_Finance[Ex GST],"&lt;&gt;"))</f>
        <v/>
      </c>
      <c r="Y464" s="27">
        <f>IF(E464="","",SUMIFS(tbl_Finance[Ex GST],tbl_Finance[Job Number],E464&amp;""))</f>
        <v/>
      </c>
      <c r="Z464" s="27">
        <f>IF(E464="","",SUMIFS(tbl_Finance[Ex GST],tbl_Finance[Job Number],E464&amp;"",tbl_Finance[Xero Invoice No],"&lt;&gt;"))</f>
        <v/>
      </c>
      <c r="AA464" s="27">
        <f>IF(E464="","",Y464-Z464)</f>
        <v/>
      </c>
      <c r="AB464" s="25">
        <f>IF(E464="","",IF(H464="Onsite",IFERROR(INDEX(tbl_Onsite[Qwilr Quote],MATCH(E464&amp;"",tbl_Onsite[Job Number],0)),""),IF(H464="Production",IFERROR(IF(INDEX(tbl_Production[Current RMS No],MATCH(E464&amp;"",tbl_Production[Job Number],0))="",INDEX(tbl_Production[Qwilr Quote],MATCH(E464&amp;"",tbl_Production[Job Number],0)),INDEX(tbl_Production[Current RMS No],MATCH(E464&amp;"",tbl_Production[Job Number],0))),""),IF(H464="Consulting",IFERROR(INDEX(tbl_Consulting[Qwilr Quote],MATCH(E464&amp;"",tbl_Consulting[Job Number],0)),""),""))))</f>
        <v/>
      </c>
      <c r="AC464" s="25">
        <f>IF(AB464="","",IF(AND(LEFT(AB464,4)&lt;&gt;"http",IF(H464="Production",set_RMSBase,set_QwilrBase)=""),"",HYPERLINK(IF(LEFT(AB464,4)="http",AB464,IF(H464="Production",set_RMSBase,set_QwilrBase)&amp;AB464),"Open")))</f>
        <v/>
      </c>
      <c r="AD464" s="27">
        <f>IF(E464="","",IF(H464="Production",IFERROR(INDEX(tbl_Production[Total Expense],MATCH(E464&amp;"",tbl_Production[Job Number],0)),0),IF(H464="Consulting",IFERROR(INDEX(tbl_Consulting[Total Expense],MATCH(E464&amp;"",tbl_Consulting[Job Number],0)),0),0)))</f>
        <v/>
      </c>
      <c r="AE464" s="27">
        <f>IF(E464="","",Y464-N(AD464))</f>
        <v/>
      </c>
      <c r="AF464" s="29">
        <f>IFERROR(AE464/Y464,"")</f>
        <v/>
      </c>
      <c r="AG464" s="25">
        <f>IF(E464="","",IF(H464="Onsite",IFERROR(INDEX(tbl_Onsite[Notes],MATCH(E464&amp;"",tbl_Onsite[Job Number],0)),""),IF(H464="Production",IFERROR(INDEX(tbl_Production[Notes],MATCH(E464&amp;"",tbl_Production[Job Number],0)),""),IF(H464="Consulting",IFERROR(INDEX(tbl_Consulting[Notes],MATCH(E464&amp;"",tbl_Consulting[Job Number],0)),""),""))))</f>
        <v/>
      </c>
    </row>
    <row r="465" ht="15" customHeight="1">
      <c r="A465" s="22" t="n"/>
      <c r="B465" s="23">
        <f>IF(A465="","",EOMONTH(A465,0))</f>
        <v/>
      </c>
      <c r="C465" s="24" t="n"/>
      <c r="D465" s="24" t="n"/>
      <c r="E465" s="24" t="n"/>
      <c r="F465" s="25">
        <f>IF(E465="","",IF(COUNTIF(lst_Jobs,E465&amp;"")&gt;0,"OK","CHECK"))</f>
        <v/>
      </c>
      <c r="G465" s="24" t="n"/>
      <c r="H465" s="24" t="n"/>
      <c r="I465" s="24" t="n"/>
      <c r="J465" s="24" t="n"/>
      <c r="K465" s="24" t="n"/>
      <c r="L465" s="26" t="n"/>
      <c r="M465" s="27">
        <f>IF(L465="","",IF(K465="GST 10%",ROUND(L465*set_GSTRate,2),0))</f>
        <v/>
      </c>
      <c r="N465" s="27">
        <f>IF(L465="","",L465+M465)</f>
        <v/>
      </c>
      <c r="O465" s="24" t="n"/>
      <c r="P465" s="24" t="n"/>
      <c r="Q465" s="24" t="n"/>
      <c r="R465" s="22" t="n"/>
      <c r="S465" s="22" t="n"/>
      <c r="T465" s="24" t="n"/>
      <c r="U465" s="24" t="n"/>
      <c r="V465" s="25">
        <f>IF(COUNTA(A465,D465,C465,L465)=0,"",IF(A465="","No date - sits outside every month",IF(E465="","No job number",IF(F465="CHECK","Job number is not in the Xero job list",IF(I465="","No cost centre",IF(AND(P465="Y",C465=""),"Marked posted to Xero but has no invoice number",IF(AND(L465&lt;&gt;"",K465=""),"No tax code",IF(AND(L465&lt;&gt;"",O465=""),"No revenue GL code",""))))))))</f>
        <v/>
      </c>
      <c r="W465" s="25">
        <f>IF(E465="","",IFERROR(INDEX(lst_JobName,MATCH(E465&amp;"",lst_Jobs,0)),""))</f>
        <v/>
      </c>
      <c r="X465" s="28">
        <f>IF(E465="","",COUNTIFS(tbl_Finance[Job Number],E465&amp;"",tbl_Finance[Ex GST],"&lt;&gt;"))</f>
        <v/>
      </c>
      <c r="Y465" s="27">
        <f>IF(E465="","",SUMIFS(tbl_Finance[Ex GST],tbl_Finance[Job Number],E465&amp;""))</f>
        <v/>
      </c>
      <c r="Z465" s="27">
        <f>IF(E465="","",SUMIFS(tbl_Finance[Ex GST],tbl_Finance[Job Number],E465&amp;"",tbl_Finance[Xero Invoice No],"&lt;&gt;"))</f>
        <v/>
      </c>
      <c r="AA465" s="27">
        <f>IF(E465="","",Y465-Z465)</f>
        <v/>
      </c>
      <c r="AB465" s="25">
        <f>IF(E465="","",IF(H465="Onsite",IFERROR(INDEX(tbl_Onsite[Qwilr Quote],MATCH(E465&amp;"",tbl_Onsite[Job Number],0)),""),IF(H465="Production",IFERROR(IF(INDEX(tbl_Production[Current RMS No],MATCH(E465&amp;"",tbl_Production[Job Number],0))="",INDEX(tbl_Production[Qwilr Quote],MATCH(E465&amp;"",tbl_Production[Job Number],0)),INDEX(tbl_Production[Current RMS No],MATCH(E465&amp;"",tbl_Production[Job Number],0))),""),IF(H465="Consulting",IFERROR(INDEX(tbl_Consulting[Qwilr Quote],MATCH(E465&amp;"",tbl_Consulting[Job Number],0)),""),""))))</f>
        <v/>
      </c>
      <c r="AC465" s="25">
        <f>IF(AB465="","",IF(AND(LEFT(AB465,4)&lt;&gt;"http",IF(H465="Production",set_RMSBase,set_QwilrBase)=""),"",HYPERLINK(IF(LEFT(AB465,4)="http",AB465,IF(H465="Production",set_RMSBase,set_QwilrBase)&amp;AB465),"Open")))</f>
        <v/>
      </c>
      <c r="AD465" s="27">
        <f>IF(E465="","",IF(H465="Production",IFERROR(INDEX(tbl_Production[Total Expense],MATCH(E465&amp;"",tbl_Production[Job Number],0)),0),IF(H465="Consulting",IFERROR(INDEX(tbl_Consulting[Total Expense],MATCH(E465&amp;"",tbl_Consulting[Job Number],0)),0),0)))</f>
        <v/>
      </c>
      <c r="AE465" s="27">
        <f>IF(E465="","",Y465-N(AD465))</f>
        <v/>
      </c>
      <c r="AF465" s="29">
        <f>IFERROR(AE465/Y465,"")</f>
        <v/>
      </c>
      <c r="AG465" s="25">
        <f>IF(E465="","",IF(H465="Onsite",IFERROR(INDEX(tbl_Onsite[Notes],MATCH(E465&amp;"",tbl_Onsite[Job Number],0)),""),IF(H465="Production",IFERROR(INDEX(tbl_Production[Notes],MATCH(E465&amp;"",tbl_Production[Job Number],0)),""),IF(H465="Consulting",IFERROR(INDEX(tbl_Consulting[Notes],MATCH(E465&amp;"",tbl_Consulting[Job Number],0)),""),""))))</f>
        <v/>
      </c>
    </row>
    <row r="466" ht="15" customHeight="1">
      <c r="A466" s="22" t="n"/>
      <c r="B466" s="23">
        <f>IF(A466="","",EOMONTH(A466,0))</f>
        <v/>
      </c>
      <c r="C466" s="24" t="n"/>
      <c r="D466" s="24" t="n"/>
      <c r="E466" s="24" t="n"/>
      <c r="F466" s="25">
        <f>IF(E466="","",IF(COUNTIF(lst_Jobs,E466&amp;"")&gt;0,"OK","CHECK"))</f>
        <v/>
      </c>
      <c r="G466" s="24" t="n"/>
      <c r="H466" s="24" t="n"/>
      <c r="I466" s="24" t="n"/>
      <c r="J466" s="24" t="n"/>
      <c r="K466" s="24" t="n"/>
      <c r="L466" s="26" t="n"/>
      <c r="M466" s="27">
        <f>IF(L466="","",IF(K466="GST 10%",ROUND(L466*set_GSTRate,2),0))</f>
        <v/>
      </c>
      <c r="N466" s="27">
        <f>IF(L466="","",L466+M466)</f>
        <v/>
      </c>
      <c r="O466" s="24" t="n"/>
      <c r="P466" s="24" t="n"/>
      <c r="Q466" s="24" t="n"/>
      <c r="R466" s="22" t="n"/>
      <c r="S466" s="22" t="n"/>
      <c r="T466" s="24" t="n"/>
      <c r="U466" s="24" t="n"/>
      <c r="V466" s="25">
        <f>IF(COUNTA(A466,D466,C466,L466)=0,"",IF(A466="","No date - sits outside every month",IF(E466="","No job number",IF(F466="CHECK","Job number is not in the Xero job list",IF(I466="","No cost centre",IF(AND(P466="Y",C466=""),"Marked posted to Xero but has no invoice number",IF(AND(L466&lt;&gt;"",K466=""),"No tax code",IF(AND(L466&lt;&gt;"",O466=""),"No revenue GL code",""))))))))</f>
        <v/>
      </c>
      <c r="W466" s="25">
        <f>IF(E466="","",IFERROR(INDEX(lst_JobName,MATCH(E466&amp;"",lst_Jobs,0)),""))</f>
        <v/>
      </c>
      <c r="X466" s="28">
        <f>IF(E466="","",COUNTIFS(tbl_Finance[Job Number],E466&amp;"",tbl_Finance[Ex GST],"&lt;&gt;"))</f>
        <v/>
      </c>
      <c r="Y466" s="27">
        <f>IF(E466="","",SUMIFS(tbl_Finance[Ex GST],tbl_Finance[Job Number],E466&amp;""))</f>
        <v/>
      </c>
      <c r="Z466" s="27">
        <f>IF(E466="","",SUMIFS(tbl_Finance[Ex GST],tbl_Finance[Job Number],E466&amp;"",tbl_Finance[Xero Invoice No],"&lt;&gt;"))</f>
        <v/>
      </c>
      <c r="AA466" s="27">
        <f>IF(E466="","",Y466-Z466)</f>
        <v/>
      </c>
      <c r="AB466" s="25">
        <f>IF(E466="","",IF(H466="Onsite",IFERROR(INDEX(tbl_Onsite[Qwilr Quote],MATCH(E466&amp;"",tbl_Onsite[Job Number],0)),""),IF(H466="Production",IFERROR(IF(INDEX(tbl_Production[Current RMS No],MATCH(E466&amp;"",tbl_Production[Job Number],0))="",INDEX(tbl_Production[Qwilr Quote],MATCH(E466&amp;"",tbl_Production[Job Number],0)),INDEX(tbl_Production[Current RMS No],MATCH(E466&amp;"",tbl_Production[Job Number],0))),""),IF(H466="Consulting",IFERROR(INDEX(tbl_Consulting[Qwilr Quote],MATCH(E466&amp;"",tbl_Consulting[Job Number],0)),""),""))))</f>
        <v/>
      </c>
      <c r="AC466" s="25">
        <f>IF(AB466="","",IF(AND(LEFT(AB466,4)&lt;&gt;"http",IF(H466="Production",set_RMSBase,set_QwilrBase)=""),"",HYPERLINK(IF(LEFT(AB466,4)="http",AB466,IF(H466="Production",set_RMSBase,set_QwilrBase)&amp;AB466),"Open")))</f>
        <v/>
      </c>
      <c r="AD466" s="27">
        <f>IF(E466="","",IF(H466="Production",IFERROR(INDEX(tbl_Production[Total Expense],MATCH(E466&amp;"",tbl_Production[Job Number],0)),0),IF(H466="Consulting",IFERROR(INDEX(tbl_Consulting[Total Expense],MATCH(E466&amp;"",tbl_Consulting[Job Number],0)),0),0)))</f>
        <v/>
      </c>
      <c r="AE466" s="27">
        <f>IF(E466="","",Y466-N(AD466))</f>
        <v/>
      </c>
      <c r="AF466" s="29">
        <f>IFERROR(AE466/Y466,"")</f>
        <v/>
      </c>
      <c r="AG466" s="25">
        <f>IF(E466="","",IF(H466="Onsite",IFERROR(INDEX(tbl_Onsite[Notes],MATCH(E466&amp;"",tbl_Onsite[Job Number],0)),""),IF(H466="Production",IFERROR(INDEX(tbl_Production[Notes],MATCH(E466&amp;"",tbl_Production[Job Number],0)),""),IF(H466="Consulting",IFERROR(INDEX(tbl_Consulting[Notes],MATCH(E466&amp;"",tbl_Consulting[Job Number],0)),""),""))))</f>
        <v/>
      </c>
    </row>
    <row r="467" ht="15" customHeight="1">
      <c r="A467" s="22" t="n"/>
      <c r="B467" s="23">
        <f>IF(A467="","",EOMONTH(A467,0))</f>
        <v/>
      </c>
      <c r="C467" s="24" t="n"/>
      <c r="D467" s="24" t="n"/>
      <c r="E467" s="24" t="n"/>
      <c r="F467" s="25">
        <f>IF(E467="","",IF(COUNTIF(lst_Jobs,E467&amp;"")&gt;0,"OK","CHECK"))</f>
        <v/>
      </c>
      <c r="G467" s="24" t="n"/>
      <c r="H467" s="24" t="n"/>
      <c r="I467" s="24" t="n"/>
      <c r="J467" s="24" t="n"/>
      <c r="K467" s="24" t="n"/>
      <c r="L467" s="26" t="n"/>
      <c r="M467" s="27">
        <f>IF(L467="","",IF(K467="GST 10%",ROUND(L467*set_GSTRate,2),0))</f>
        <v/>
      </c>
      <c r="N467" s="27">
        <f>IF(L467="","",L467+M467)</f>
        <v/>
      </c>
      <c r="O467" s="24" t="n"/>
      <c r="P467" s="24" t="n"/>
      <c r="Q467" s="24" t="n"/>
      <c r="R467" s="22" t="n"/>
      <c r="S467" s="22" t="n"/>
      <c r="T467" s="24" t="n"/>
      <c r="U467" s="24" t="n"/>
      <c r="V467" s="25">
        <f>IF(COUNTA(A467,D467,C467,L467)=0,"",IF(A467="","No date - sits outside every month",IF(E467="","No job number",IF(F467="CHECK","Job number is not in the Xero job list",IF(I467="","No cost centre",IF(AND(P467="Y",C467=""),"Marked posted to Xero but has no invoice number",IF(AND(L467&lt;&gt;"",K467=""),"No tax code",IF(AND(L467&lt;&gt;"",O467=""),"No revenue GL code",""))))))))</f>
        <v/>
      </c>
      <c r="W467" s="25">
        <f>IF(E467="","",IFERROR(INDEX(lst_JobName,MATCH(E467&amp;"",lst_Jobs,0)),""))</f>
        <v/>
      </c>
      <c r="X467" s="28">
        <f>IF(E467="","",COUNTIFS(tbl_Finance[Job Number],E467&amp;"",tbl_Finance[Ex GST],"&lt;&gt;"))</f>
        <v/>
      </c>
      <c r="Y467" s="27">
        <f>IF(E467="","",SUMIFS(tbl_Finance[Ex GST],tbl_Finance[Job Number],E467&amp;""))</f>
        <v/>
      </c>
      <c r="Z467" s="27">
        <f>IF(E467="","",SUMIFS(tbl_Finance[Ex GST],tbl_Finance[Job Number],E467&amp;"",tbl_Finance[Xero Invoice No],"&lt;&gt;"))</f>
        <v/>
      </c>
      <c r="AA467" s="27">
        <f>IF(E467="","",Y467-Z467)</f>
        <v/>
      </c>
      <c r="AB467" s="25">
        <f>IF(E467="","",IF(H467="Onsite",IFERROR(INDEX(tbl_Onsite[Qwilr Quote],MATCH(E467&amp;"",tbl_Onsite[Job Number],0)),""),IF(H467="Production",IFERROR(IF(INDEX(tbl_Production[Current RMS No],MATCH(E467&amp;"",tbl_Production[Job Number],0))="",INDEX(tbl_Production[Qwilr Quote],MATCH(E467&amp;"",tbl_Production[Job Number],0)),INDEX(tbl_Production[Current RMS No],MATCH(E467&amp;"",tbl_Production[Job Number],0))),""),IF(H467="Consulting",IFERROR(INDEX(tbl_Consulting[Qwilr Quote],MATCH(E467&amp;"",tbl_Consulting[Job Number],0)),""),""))))</f>
        <v/>
      </c>
      <c r="AC467" s="25">
        <f>IF(AB467="","",IF(AND(LEFT(AB467,4)&lt;&gt;"http",IF(H467="Production",set_RMSBase,set_QwilrBase)=""),"",HYPERLINK(IF(LEFT(AB467,4)="http",AB467,IF(H467="Production",set_RMSBase,set_QwilrBase)&amp;AB467),"Open")))</f>
        <v/>
      </c>
      <c r="AD467" s="27">
        <f>IF(E467="","",IF(H467="Production",IFERROR(INDEX(tbl_Production[Total Expense],MATCH(E467&amp;"",tbl_Production[Job Number],0)),0),IF(H467="Consulting",IFERROR(INDEX(tbl_Consulting[Total Expense],MATCH(E467&amp;"",tbl_Consulting[Job Number],0)),0),0)))</f>
        <v/>
      </c>
      <c r="AE467" s="27">
        <f>IF(E467="","",Y467-N(AD467))</f>
        <v/>
      </c>
      <c r="AF467" s="29">
        <f>IFERROR(AE467/Y467,"")</f>
        <v/>
      </c>
      <c r="AG467" s="25">
        <f>IF(E467="","",IF(H467="Onsite",IFERROR(INDEX(tbl_Onsite[Notes],MATCH(E467&amp;"",tbl_Onsite[Job Number],0)),""),IF(H467="Production",IFERROR(INDEX(tbl_Production[Notes],MATCH(E467&amp;"",tbl_Production[Job Number],0)),""),IF(H467="Consulting",IFERROR(INDEX(tbl_Consulting[Notes],MATCH(E467&amp;"",tbl_Consulting[Job Number],0)),""),""))))</f>
        <v/>
      </c>
    </row>
    <row r="468" ht="15" customHeight="1">
      <c r="A468" s="22" t="n"/>
      <c r="B468" s="23">
        <f>IF(A468="","",EOMONTH(A468,0))</f>
        <v/>
      </c>
      <c r="C468" s="24" t="n"/>
      <c r="D468" s="24" t="n"/>
      <c r="E468" s="24" t="n"/>
      <c r="F468" s="25">
        <f>IF(E468="","",IF(COUNTIF(lst_Jobs,E468&amp;"")&gt;0,"OK","CHECK"))</f>
        <v/>
      </c>
      <c r="G468" s="24" t="n"/>
      <c r="H468" s="24" t="n"/>
      <c r="I468" s="24" t="n"/>
      <c r="J468" s="24" t="n"/>
      <c r="K468" s="24" t="n"/>
      <c r="L468" s="26" t="n"/>
      <c r="M468" s="27">
        <f>IF(L468="","",IF(K468="GST 10%",ROUND(L468*set_GSTRate,2),0))</f>
        <v/>
      </c>
      <c r="N468" s="27">
        <f>IF(L468="","",L468+M468)</f>
        <v/>
      </c>
      <c r="O468" s="24" t="n"/>
      <c r="P468" s="24" t="n"/>
      <c r="Q468" s="24" t="n"/>
      <c r="R468" s="22" t="n"/>
      <c r="S468" s="22" t="n"/>
      <c r="T468" s="24" t="n"/>
      <c r="U468" s="24" t="n"/>
      <c r="V468" s="25">
        <f>IF(COUNTA(A468,D468,C468,L468)=0,"",IF(A468="","No date - sits outside every month",IF(E468="","No job number",IF(F468="CHECK","Job number is not in the Xero job list",IF(I468="","No cost centre",IF(AND(P468="Y",C468=""),"Marked posted to Xero but has no invoice number",IF(AND(L468&lt;&gt;"",K468=""),"No tax code",IF(AND(L468&lt;&gt;"",O468=""),"No revenue GL code",""))))))))</f>
        <v/>
      </c>
      <c r="W468" s="25">
        <f>IF(E468="","",IFERROR(INDEX(lst_JobName,MATCH(E468&amp;"",lst_Jobs,0)),""))</f>
        <v/>
      </c>
      <c r="X468" s="28">
        <f>IF(E468="","",COUNTIFS(tbl_Finance[Job Number],E468&amp;"",tbl_Finance[Ex GST],"&lt;&gt;"))</f>
        <v/>
      </c>
      <c r="Y468" s="27">
        <f>IF(E468="","",SUMIFS(tbl_Finance[Ex GST],tbl_Finance[Job Number],E468&amp;""))</f>
        <v/>
      </c>
      <c r="Z468" s="27">
        <f>IF(E468="","",SUMIFS(tbl_Finance[Ex GST],tbl_Finance[Job Number],E468&amp;"",tbl_Finance[Xero Invoice No],"&lt;&gt;"))</f>
        <v/>
      </c>
      <c r="AA468" s="27">
        <f>IF(E468="","",Y468-Z468)</f>
        <v/>
      </c>
      <c r="AB468" s="25">
        <f>IF(E468="","",IF(H468="Onsite",IFERROR(INDEX(tbl_Onsite[Qwilr Quote],MATCH(E468&amp;"",tbl_Onsite[Job Number],0)),""),IF(H468="Production",IFERROR(IF(INDEX(tbl_Production[Current RMS No],MATCH(E468&amp;"",tbl_Production[Job Number],0))="",INDEX(tbl_Production[Qwilr Quote],MATCH(E468&amp;"",tbl_Production[Job Number],0)),INDEX(tbl_Production[Current RMS No],MATCH(E468&amp;"",tbl_Production[Job Number],0))),""),IF(H468="Consulting",IFERROR(INDEX(tbl_Consulting[Qwilr Quote],MATCH(E468&amp;"",tbl_Consulting[Job Number],0)),""),""))))</f>
        <v/>
      </c>
      <c r="AC468" s="25">
        <f>IF(AB468="","",IF(AND(LEFT(AB468,4)&lt;&gt;"http",IF(H468="Production",set_RMSBase,set_QwilrBase)=""),"",HYPERLINK(IF(LEFT(AB468,4)="http",AB468,IF(H468="Production",set_RMSBase,set_QwilrBase)&amp;AB468),"Open")))</f>
        <v/>
      </c>
      <c r="AD468" s="27">
        <f>IF(E468="","",IF(H468="Production",IFERROR(INDEX(tbl_Production[Total Expense],MATCH(E468&amp;"",tbl_Production[Job Number],0)),0),IF(H468="Consulting",IFERROR(INDEX(tbl_Consulting[Total Expense],MATCH(E468&amp;"",tbl_Consulting[Job Number],0)),0),0)))</f>
        <v/>
      </c>
      <c r="AE468" s="27">
        <f>IF(E468="","",Y468-N(AD468))</f>
        <v/>
      </c>
      <c r="AF468" s="29">
        <f>IFERROR(AE468/Y468,"")</f>
        <v/>
      </c>
      <c r="AG468" s="25">
        <f>IF(E468="","",IF(H468="Onsite",IFERROR(INDEX(tbl_Onsite[Notes],MATCH(E468&amp;"",tbl_Onsite[Job Number],0)),""),IF(H468="Production",IFERROR(INDEX(tbl_Production[Notes],MATCH(E468&amp;"",tbl_Production[Job Number],0)),""),IF(H468="Consulting",IFERROR(INDEX(tbl_Consulting[Notes],MATCH(E468&amp;"",tbl_Consulting[Job Number],0)),""),""))))</f>
        <v/>
      </c>
    </row>
    <row r="469" ht="15" customHeight="1">
      <c r="A469" s="22" t="n"/>
      <c r="B469" s="23">
        <f>IF(A469="","",EOMONTH(A469,0))</f>
        <v/>
      </c>
      <c r="C469" s="24" t="n"/>
      <c r="D469" s="24" t="n"/>
      <c r="E469" s="24" t="n"/>
      <c r="F469" s="25">
        <f>IF(E469="","",IF(COUNTIF(lst_Jobs,E469&amp;"")&gt;0,"OK","CHECK"))</f>
        <v/>
      </c>
      <c r="G469" s="24" t="n"/>
      <c r="H469" s="24" t="n"/>
      <c r="I469" s="24" t="n"/>
      <c r="J469" s="24" t="n"/>
      <c r="K469" s="24" t="n"/>
      <c r="L469" s="26" t="n"/>
      <c r="M469" s="27">
        <f>IF(L469="","",IF(K469="GST 10%",ROUND(L469*set_GSTRate,2),0))</f>
        <v/>
      </c>
      <c r="N469" s="27">
        <f>IF(L469="","",L469+M469)</f>
        <v/>
      </c>
      <c r="O469" s="24" t="n"/>
      <c r="P469" s="24" t="n"/>
      <c r="Q469" s="24" t="n"/>
      <c r="R469" s="22" t="n"/>
      <c r="S469" s="22" t="n"/>
      <c r="T469" s="24" t="n"/>
      <c r="U469" s="24" t="n"/>
      <c r="V469" s="25">
        <f>IF(COUNTA(A469,D469,C469,L469)=0,"",IF(A469="","No date - sits outside every month",IF(E469="","No job number",IF(F469="CHECK","Job number is not in the Xero job list",IF(I469="","No cost centre",IF(AND(P469="Y",C469=""),"Marked posted to Xero but has no invoice number",IF(AND(L469&lt;&gt;"",K469=""),"No tax code",IF(AND(L469&lt;&gt;"",O469=""),"No revenue GL code",""))))))))</f>
        <v/>
      </c>
      <c r="W469" s="25">
        <f>IF(E469="","",IFERROR(INDEX(lst_JobName,MATCH(E469&amp;"",lst_Jobs,0)),""))</f>
        <v/>
      </c>
      <c r="X469" s="28">
        <f>IF(E469="","",COUNTIFS(tbl_Finance[Job Number],E469&amp;"",tbl_Finance[Ex GST],"&lt;&gt;"))</f>
        <v/>
      </c>
      <c r="Y469" s="27">
        <f>IF(E469="","",SUMIFS(tbl_Finance[Ex GST],tbl_Finance[Job Number],E469&amp;""))</f>
        <v/>
      </c>
      <c r="Z469" s="27">
        <f>IF(E469="","",SUMIFS(tbl_Finance[Ex GST],tbl_Finance[Job Number],E469&amp;"",tbl_Finance[Xero Invoice No],"&lt;&gt;"))</f>
        <v/>
      </c>
      <c r="AA469" s="27">
        <f>IF(E469="","",Y469-Z469)</f>
        <v/>
      </c>
      <c r="AB469" s="25">
        <f>IF(E469="","",IF(H469="Onsite",IFERROR(INDEX(tbl_Onsite[Qwilr Quote],MATCH(E469&amp;"",tbl_Onsite[Job Number],0)),""),IF(H469="Production",IFERROR(IF(INDEX(tbl_Production[Current RMS No],MATCH(E469&amp;"",tbl_Production[Job Number],0))="",INDEX(tbl_Production[Qwilr Quote],MATCH(E469&amp;"",tbl_Production[Job Number],0)),INDEX(tbl_Production[Current RMS No],MATCH(E469&amp;"",tbl_Production[Job Number],0))),""),IF(H469="Consulting",IFERROR(INDEX(tbl_Consulting[Qwilr Quote],MATCH(E469&amp;"",tbl_Consulting[Job Number],0)),""),""))))</f>
        <v/>
      </c>
      <c r="AC469" s="25">
        <f>IF(AB469="","",IF(AND(LEFT(AB469,4)&lt;&gt;"http",IF(H469="Production",set_RMSBase,set_QwilrBase)=""),"",HYPERLINK(IF(LEFT(AB469,4)="http",AB469,IF(H469="Production",set_RMSBase,set_QwilrBase)&amp;AB469),"Open")))</f>
        <v/>
      </c>
      <c r="AD469" s="27">
        <f>IF(E469="","",IF(H469="Production",IFERROR(INDEX(tbl_Production[Total Expense],MATCH(E469&amp;"",tbl_Production[Job Number],0)),0),IF(H469="Consulting",IFERROR(INDEX(tbl_Consulting[Total Expense],MATCH(E469&amp;"",tbl_Consulting[Job Number],0)),0),0)))</f>
        <v/>
      </c>
      <c r="AE469" s="27">
        <f>IF(E469="","",Y469-N(AD469))</f>
        <v/>
      </c>
      <c r="AF469" s="29">
        <f>IFERROR(AE469/Y469,"")</f>
        <v/>
      </c>
      <c r="AG469" s="25">
        <f>IF(E469="","",IF(H469="Onsite",IFERROR(INDEX(tbl_Onsite[Notes],MATCH(E469&amp;"",tbl_Onsite[Job Number],0)),""),IF(H469="Production",IFERROR(INDEX(tbl_Production[Notes],MATCH(E469&amp;"",tbl_Production[Job Number],0)),""),IF(H469="Consulting",IFERROR(INDEX(tbl_Consulting[Notes],MATCH(E469&amp;"",tbl_Consulting[Job Number],0)),""),""))))</f>
        <v/>
      </c>
    </row>
    <row r="470" ht="15" customHeight="1">
      <c r="A470" s="22" t="n"/>
      <c r="B470" s="23">
        <f>IF(A470="","",EOMONTH(A470,0))</f>
        <v/>
      </c>
      <c r="C470" s="24" t="n"/>
      <c r="D470" s="24" t="n"/>
      <c r="E470" s="24" t="n"/>
      <c r="F470" s="25">
        <f>IF(E470="","",IF(COUNTIF(lst_Jobs,E470&amp;"")&gt;0,"OK","CHECK"))</f>
        <v/>
      </c>
      <c r="G470" s="24" t="n"/>
      <c r="H470" s="24" t="n"/>
      <c r="I470" s="24" t="n"/>
      <c r="J470" s="24" t="n"/>
      <c r="K470" s="24" t="n"/>
      <c r="L470" s="26" t="n"/>
      <c r="M470" s="27">
        <f>IF(L470="","",IF(K470="GST 10%",ROUND(L470*set_GSTRate,2),0))</f>
        <v/>
      </c>
      <c r="N470" s="27">
        <f>IF(L470="","",L470+M470)</f>
        <v/>
      </c>
      <c r="O470" s="24" t="n"/>
      <c r="P470" s="24" t="n"/>
      <c r="Q470" s="24" t="n"/>
      <c r="R470" s="22" t="n"/>
      <c r="S470" s="22" t="n"/>
      <c r="T470" s="24" t="n"/>
      <c r="U470" s="24" t="n"/>
      <c r="V470" s="25">
        <f>IF(COUNTA(A470,D470,C470,L470)=0,"",IF(A470="","No date - sits outside every month",IF(E470="","No job number",IF(F470="CHECK","Job number is not in the Xero job list",IF(I470="","No cost centre",IF(AND(P470="Y",C470=""),"Marked posted to Xero but has no invoice number",IF(AND(L470&lt;&gt;"",K470=""),"No tax code",IF(AND(L470&lt;&gt;"",O470=""),"No revenue GL code",""))))))))</f>
        <v/>
      </c>
      <c r="W470" s="25">
        <f>IF(E470="","",IFERROR(INDEX(lst_JobName,MATCH(E470&amp;"",lst_Jobs,0)),""))</f>
        <v/>
      </c>
      <c r="X470" s="28">
        <f>IF(E470="","",COUNTIFS(tbl_Finance[Job Number],E470&amp;"",tbl_Finance[Ex GST],"&lt;&gt;"))</f>
        <v/>
      </c>
      <c r="Y470" s="27">
        <f>IF(E470="","",SUMIFS(tbl_Finance[Ex GST],tbl_Finance[Job Number],E470&amp;""))</f>
        <v/>
      </c>
      <c r="Z470" s="27">
        <f>IF(E470="","",SUMIFS(tbl_Finance[Ex GST],tbl_Finance[Job Number],E470&amp;"",tbl_Finance[Xero Invoice No],"&lt;&gt;"))</f>
        <v/>
      </c>
      <c r="AA470" s="27">
        <f>IF(E470="","",Y470-Z470)</f>
        <v/>
      </c>
      <c r="AB470" s="25">
        <f>IF(E470="","",IF(H470="Onsite",IFERROR(INDEX(tbl_Onsite[Qwilr Quote],MATCH(E470&amp;"",tbl_Onsite[Job Number],0)),""),IF(H470="Production",IFERROR(IF(INDEX(tbl_Production[Current RMS No],MATCH(E470&amp;"",tbl_Production[Job Number],0))="",INDEX(tbl_Production[Qwilr Quote],MATCH(E470&amp;"",tbl_Production[Job Number],0)),INDEX(tbl_Production[Current RMS No],MATCH(E470&amp;"",tbl_Production[Job Number],0))),""),IF(H470="Consulting",IFERROR(INDEX(tbl_Consulting[Qwilr Quote],MATCH(E470&amp;"",tbl_Consulting[Job Number],0)),""),""))))</f>
        <v/>
      </c>
      <c r="AC470" s="25">
        <f>IF(AB470="","",IF(AND(LEFT(AB470,4)&lt;&gt;"http",IF(H470="Production",set_RMSBase,set_QwilrBase)=""),"",HYPERLINK(IF(LEFT(AB470,4)="http",AB470,IF(H470="Production",set_RMSBase,set_QwilrBase)&amp;AB470),"Open")))</f>
        <v/>
      </c>
      <c r="AD470" s="27">
        <f>IF(E470="","",IF(H470="Production",IFERROR(INDEX(tbl_Production[Total Expense],MATCH(E470&amp;"",tbl_Production[Job Number],0)),0),IF(H470="Consulting",IFERROR(INDEX(tbl_Consulting[Total Expense],MATCH(E470&amp;"",tbl_Consulting[Job Number],0)),0),0)))</f>
        <v/>
      </c>
      <c r="AE470" s="27">
        <f>IF(E470="","",Y470-N(AD470))</f>
        <v/>
      </c>
      <c r="AF470" s="29">
        <f>IFERROR(AE470/Y470,"")</f>
        <v/>
      </c>
      <c r="AG470" s="25">
        <f>IF(E470="","",IF(H470="Onsite",IFERROR(INDEX(tbl_Onsite[Notes],MATCH(E470&amp;"",tbl_Onsite[Job Number],0)),""),IF(H470="Production",IFERROR(INDEX(tbl_Production[Notes],MATCH(E470&amp;"",tbl_Production[Job Number],0)),""),IF(H470="Consulting",IFERROR(INDEX(tbl_Consulting[Notes],MATCH(E470&amp;"",tbl_Consulting[Job Number],0)),""),""))))</f>
        <v/>
      </c>
    </row>
    <row r="471" ht="15" customHeight="1">
      <c r="A471" s="22" t="n"/>
      <c r="B471" s="23">
        <f>IF(A471="","",EOMONTH(A471,0))</f>
        <v/>
      </c>
      <c r="C471" s="24" t="n"/>
      <c r="D471" s="24" t="n"/>
      <c r="E471" s="24" t="n"/>
      <c r="F471" s="25">
        <f>IF(E471="","",IF(COUNTIF(lst_Jobs,E471&amp;"")&gt;0,"OK","CHECK"))</f>
        <v/>
      </c>
      <c r="G471" s="24" t="n"/>
      <c r="H471" s="24" t="n"/>
      <c r="I471" s="24" t="n"/>
      <c r="J471" s="24" t="n"/>
      <c r="K471" s="24" t="n"/>
      <c r="L471" s="26" t="n"/>
      <c r="M471" s="27">
        <f>IF(L471="","",IF(K471="GST 10%",ROUND(L471*set_GSTRate,2),0))</f>
        <v/>
      </c>
      <c r="N471" s="27">
        <f>IF(L471="","",L471+M471)</f>
        <v/>
      </c>
      <c r="O471" s="24" t="n"/>
      <c r="P471" s="24" t="n"/>
      <c r="Q471" s="24" t="n"/>
      <c r="R471" s="22" t="n"/>
      <c r="S471" s="22" t="n"/>
      <c r="T471" s="24" t="n"/>
      <c r="U471" s="24" t="n"/>
      <c r="V471" s="25">
        <f>IF(COUNTA(A471,D471,C471,L471)=0,"",IF(A471="","No date - sits outside every month",IF(E471="","No job number",IF(F471="CHECK","Job number is not in the Xero job list",IF(I471="","No cost centre",IF(AND(P471="Y",C471=""),"Marked posted to Xero but has no invoice number",IF(AND(L471&lt;&gt;"",K471=""),"No tax code",IF(AND(L471&lt;&gt;"",O471=""),"No revenue GL code",""))))))))</f>
        <v/>
      </c>
      <c r="W471" s="25">
        <f>IF(E471="","",IFERROR(INDEX(lst_JobName,MATCH(E471&amp;"",lst_Jobs,0)),""))</f>
        <v/>
      </c>
      <c r="X471" s="28">
        <f>IF(E471="","",COUNTIFS(tbl_Finance[Job Number],E471&amp;"",tbl_Finance[Ex GST],"&lt;&gt;"))</f>
        <v/>
      </c>
      <c r="Y471" s="27">
        <f>IF(E471="","",SUMIFS(tbl_Finance[Ex GST],tbl_Finance[Job Number],E471&amp;""))</f>
        <v/>
      </c>
      <c r="Z471" s="27">
        <f>IF(E471="","",SUMIFS(tbl_Finance[Ex GST],tbl_Finance[Job Number],E471&amp;"",tbl_Finance[Xero Invoice No],"&lt;&gt;"))</f>
        <v/>
      </c>
      <c r="AA471" s="27">
        <f>IF(E471="","",Y471-Z471)</f>
        <v/>
      </c>
      <c r="AB471" s="25">
        <f>IF(E471="","",IF(H471="Onsite",IFERROR(INDEX(tbl_Onsite[Qwilr Quote],MATCH(E471&amp;"",tbl_Onsite[Job Number],0)),""),IF(H471="Production",IFERROR(IF(INDEX(tbl_Production[Current RMS No],MATCH(E471&amp;"",tbl_Production[Job Number],0))="",INDEX(tbl_Production[Qwilr Quote],MATCH(E471&amp;"",tbl_Production[Job Number],0)),INDEX(tbl_Production[Current RMS No],MATCH(E471&amp;"",tbl_Production[Job Number],0))),""),IF(H471="Consulting",IFERROR(INDEX(tbl_Consulting[Qwilr Quote],MATCH(E471&amp;"",tbl_Consulting[Job Number],0)),""),""))))</f>
        <v/>
      </c>
      <c r="AC471" s="25">
        <f>IF(AB471="","",IF(AND(LEFT(AB471,4)&lt;&gt;"http",IF(H471="Production",set_RMSBase,set_QwilrBase)=""),"",HYPERLINK(IF(LEFT(AB471,4)="http",AB471,IF(H471="Production",set_RMSBase,set_QwilrBase)&amp;AB471),"Open")))</f>
        <v/>
      </c>
      <c r="AD471" s="27">
        <f>IF(E471="","",IF(H471="Production",IFERROR(INDEX(tbl_Production[Total Expense],MATCH(E471&amp;"",tbl_Production[Job Number],0)),0),IF(H471="Consulting",IFERROR(INDEX(tbl_Consulting[Total Expense],MATCH(E471&amp;"",tbl_Consulting[Job Number],0)),0),0)))</f>
        <v/>
      </c>
      <c r="AE471" s="27">
        <f>IF(E471="","",Y471-N(AD471))</f>
        <v/>
      </c>
      <c r="AF471" s="29">
        <f>IFERROR(AE471/Y471,"")</f>
        <v/>
      </c>
      <c r="AG471" s="25">
        <f>IF(E471="","",IF(H471="Onsite",IFERROR(INDEX(tbl_Onsite[Notes],MATCH(E471&amp;"",tbl_Onsite[Job Number],0)),""),IF(H471="Production",IFERROR(INDEX(tbl_Production[Notes],MATCH(E471&amp;"",tbl_Production[Job Number],0)),""),IF(H471="Consulting",IFERROR(INDEX(tbl_Consulting[Notes],MATCH(E471&amp;"",tbl_Consulting[Job Number],0)),""),""))))</f>
        <v/>
      </c>
    </row>
    <row r="472" ht="15" customHeight="1">
      <c r="A472" s="22" t="n"/>
      <c r="B472" s="23">
        <f>IF(A472="","",EOMONTH(A472,0))</f>
        <v/>
      </c>
      <c r="C472" s="24" t="n"/>
      <c r="D472" s="24" t="n"/>
      <c r="E472" s="24" t="n"/>
      <c r="F472" s="25">
        <f>IF(E472="","",IF(COUNTIF(lst_Jobs,E472&amp;"")&gt;0,"OK","CHECK"))</f>
        <v/>
      </c>
      <c r="G472" s="24" t="n"/>
      <c r="H472" s="24" t="n"/>
      <c r="I472" s="24" t="n"/>
      <c r="J472" s="24" t="n"/>
      <c r="K472" s="24" t="n"/>
      <c r="L472" s="26" t="n"/>
      <c r="M472" s="27">
        <f>IF(L472="","",IF(K472="GST 10%",ROUND(L472*set_GSTRate,2),0))</f>
        <v/>
      </c>
      <c r="N472" s="27">
        <f>IF(L472="","",L472+M472)</f>
        <v/>
      </c>
      <c r="O472" s="24" t="n"/>
      <c r="P472" s="24" t="n"/>
      <c r="Q472" s="24" t="n"/>
      <c r="R472" s="22" t="n"/>
      <c r="S472" s="22" t="n"/>
      <c r="T472" s="24" t="n"/>
      <c r="U472" s="24" t="n"/>
      <c r="V472" s="25">
        <f>IF(COUNTA(A472,D472,C472,L472)=0,"",IF(A472="","No date - sits outside every month",IF(E472="","No job number",IF(F472="CHECK","Job number is not in the Xero job list",IF(I472="","No cost centre",IF(AND(P472="Y",C472=""),"Marked posted to Xero but has no invoice number",IF(AND(L472&lt;&gt;"",K472=""),"No tax code",IF(AND(L472&lt;&gt;"",O472=""),"No revenue GL code",""))))))))</f>
        <v/>
      </c>
      <c r="W472" s="25">
        <f>IF(E472="","",IFERROR(INDEX(lst_JobName,MATCH(E472&amp;"",lst_Jobs,0)),""))</f>
        <v/>
      </c>
      <c r="X472" s="28">
        <f>IF(E472="","",COUNTIFS(tbl_Finance[Job Number],E472&amp;"",tbl_Finance[Ex GST],"&lt;&gt;"))</f>
        <v/>
      </c>
      <c r="Y472" s="27">
        <f>IF(E472="","",SUMIFS(tbl_Finance[Ex GST],tbl_Finance[Job Number],E472&amp;""))</f>
        <v/>
      </c>
      <c r="Z472" s="27">
        <f>IF(E472="","",SUMIFS(tbl_Finance[Ex GST],tbl_Finance[Job Number],E472&amp;"",tbl_Finance[Xero Invoice No],"&lt;&gt;"))</f>
        <v/>
      </c>
      <c r="AA472" s="27">
        <f>IF(E472="","",Y472-Z472)</f>
        <v/>
      </c>
      <c r="AB472" s="25">
        <f>IF(E472="","",IF(H472="Onsite",IFERROR(INDEX(tbl_Onsite[Qwilr Quote],MATCH(E472&amp;"",tbl_Onsite[Job Number],0)),""),IF(H472="Production",IFERROR(IF(INDEX(tbl_Production[Current RMS No],MATCH(E472&amp;"",tbl_Production[Job Number],0))="",INDEX(tbl_Production[Qwilr Quote],MATCH(E472&amp;"",tbl_Production[Job Number],0)),INDEX(tbl_Production[Current RMS No],MATCH(E472&amp;"",tbl_Production[Job Number],0))),""),IF(H472="Consulting",IFERROR(INDEX(tbl_Consulting[Qwilr Quote],MATCH(E472&amp;"",tbl_Consulting[Job Number],0)),""),""))))</f>
        <v/>
      </c>
      <c r="AC472" s="25">
        <f>IF(AB472="","",IF(AND(LEFT(AB472,4)&lt;&gt;"http",IF(H472="Production",set_RMSBase,set_QwilrBase)=""),"",HYPERLINK(IF(LEFT(AB472,4)="http",AB472,IF(H472="Production",set_RMSBase,set_QwilrBase)&amp;AB472),"Open")))</f>
        <v/>
      </c>
      <c r="AD472" s="27">
        <f>IF(E472="","",IF(H472="Production",IFERROR(INDEX(tbl_Production[Total Expense],MATCH(E472&amp;"",tbl_Production[Job Number],0)),0),IF(H472="Consulting",IFERROR(INDEX(tbl_Consulting[Total Expense],MATCH(E472&amp;"",tbl_Consulting[Job Number],0)),0),0)))</f>
        <v/>
      </c>
      <c r="AE472" s="27">
        <f>IF(E472="","",Y472-N(AD472))</f>
        <v/>
      </c>
      <c r="AF472" s="29">
        <f>IFERROR(AE472/Y472,"")</f>
        <v/>
      </c>
      <c r="AG472" s="25">
        <f>IF(E472="","",IF(H472="Onsite",IFERROR(INDEX(tbl_Onsite[Notes],MATCH(E472&amp;"",tbl_Onsite[Job Number],0)),""),IF(H472="Production",IFERROR(INDEX(tbl_Production[Notes],MATCH(E472&amp;"",tbl_Production[Job Number],0)),""),IF(H472="Consulting",IFERROR(INDEX(tbl_Consulting[Notes],MATCH(E472&amp;"",tbl_Consulting[Job Number],0)),""),""))))</f>
        <v/>
      </c>
    </row>
    <row r="473" ht="15" customHeight="1">
      <c r="A473" s="22" t="n"/>
      <c r="B473" s="23">
        <f>IF(A473="","",EOMONTH(A473,0))</f>
        <v/>
      </c>
      <c r="C473" s="24" t="n"/>
      <c r="D473" s="24" t="n"/>
      <c r="E473" s="24" t="n"/>
      <c r="F473" s="25">
        <f>IF(E473="","",IF(COUNTIF(lst_Jobs,E473&amp;"")&gt;0,"OK","CHECK"))</f>
        <v/>
      </c>
      <c r="G473" s="24" t="n"/>
      <c r="H473" s="24" t="n"/>
      <c r="I473" s="24" t="n"/>
      <c r="J473" s="24" t="n"/>
      <c r="K473" s="24" t="n"/>
      <c r="L473" s="26" t="n"/>
      <c r="M473" s="27">
        <f>IF(L473="","",IF(K473="GST 10%",ROUND(L473*set_GSTRate,2),0))</f>
        <v/>
      </c>
      <c r="N473" s="27">
        <f>IF(L473="","",L473+M473)</f>
        <v/>
      </c>
      <c r="O473" s="24" t="n"/>
      <c r="P473" s="24" t="n"/>
      <c r="Q473" s="24" t="n"/>
      <c r="R473" s="22" t="n"/>
      <c r="S473" s="22" t="n"/>
      <c r="T473" s="24" t="n"/>
      <c r="U473" s="24" t="n"/>
      <c r="V473" s="25">
        <f>IF(COUNTA(A473,D473,C473,L473)=0,"",IF(A473="","No date - sits outside every month",IF(E473="","No job number",IF(F473="CHECK","Job number is not in the Xero job list",IF(I473="","No cost centre",IF(AND(P473="Y",C473=""),"Marked posted to Xero but has no invoice number",IF(AND(L473&lt;&gt;"",K473=""),"No tax code",IF(AND(L473&lt;&gt;"",O473=""),"No revenue GL code",""))))))))</f>
        <v/>
      </c>
      <c r="W473" s="25">
        <f>IF(E473="","",IFERROR(INDEX(lst_JobName,MATCH(E473&amp;"",lst_Jobs,0)),""))</f>
        <v/>
      </c>
      <c r="X473" s="28">
        <f>IF(E473="","",COUNTIFS(tbl_Finance[Job Number],E473&amp;"",tbl_Finance[Ex GST],"&lt;&gt;"))</f>
        <v/>
      </c>
      <c r="Y473" s="27">
        <f>IF(E473="","",SUMIFS(tbl_Finance[Ex GST],tbl_Finance[Job Number],E473&amp;""))</f>
        <v/>
      </c>
      <c r="Z473" s="27">
        <f>IF(E473="","",SUMIFS(tbl_Finance[Ex GST],tbl_Finance[Job Number],E473&amp;"",tbl_Finance[Xero Invoice No],"&lt;&gt;"))</f>
        <v/>
      </c>
      <c r="AA473" s="27">
        <f>IF(E473="","",Y473-Z473)</f>
        <v/>
      </c>
      <c r="AB473" s="25">
        <f>IF(E473="","",IF(H473="Onsite",IFERROR(INDEX(tbl_Onsite[Qwilr Quote],MATCH(E473&amp;"",tbl_Onsite[Job Number],0)),""),IF(H473="Production",IFERROR(IF(INDEX(tbl_Production[Current RMS No],MATCH(E473&amp;"",tbl_Production[Job Number],0))="",INDEX(tbl_Production[Qwilr Quote],MATCH(E473&amp;"",tbl_Production[Job Number],0)),INDEX(tbl_Production[Current RMS No],MATCH(E473&amp;"",tbl_Production[Job Number],0))),""),IF(H473="Consulting",IFERROR(INDEX(tbl_Consulting[Qwilr Quote],MATCH(E473&amp;"",tbl_Consulting[Job Number],0)),""),""))))</f>
        <v/>
      </c>
      <c r="AC473" s="25">
        <f>IF(AB473="","",IF(AND(LEFT(AB473,4)&lt;&gt;"http",IF(H473="Production",set_RMSBase,set_QwilrBase)=""),"",HYPERLINK(IF(LEFT(AB473,4)="http",AB473,IF(H473="Production",set_RMSBase,set_QwilrBase)&amp;AB473),"Open")))</f>
        <v/>
      </c>
      <c r="AD473" s="27">
        <f>IF(E473="","",IF(H473="Production",IFERROR(INDEX(tbl_Production[Total Expense],MATCH(E473&amp;"",tbl_Production[Job Number],0)),0),IF(H473="Consulting",IFERROR(INDEX(tbl_Consulting[Total Expense],MATCH(E473&amp;"",tbl_Consulting[Job Number],0)),0),0)))</f>
        <v/>
      </c>
      <c r="AE473" s="27">
        <f>IF(E473="","",Y473-N(AD473))</f>
        <v/>
      </c>
      <c r="AF473" s="29">
        <f>IFERROR(AE473/Y473,"")</f>
        <v/>
      </c>
      <c r="AG473" s="25">
        <f>IF(E473="","",IF(H473="Onsite",IFERROR(INDEX(tbl_Onsite[Notes],MATCH(E473&amp;"",tbl_Onsite[Job Number],0)),""),IF(H473="Production",IFERROR(INDEX(tbl_Production[Notes],MATCH(E473&amp;"",tbl_Production[Job Number],0)),""),IF(H473="Consulting",IFERROR(INDEX(tbl_Consulting[Notes],MATCH(E473&amp;"",tbl_Consulting[Job Number],0)),""),""))))</f>
        <v/>
      </c>
    </row>
    <row r="474" ht="15" customHeight="1">
      <c r="A474" s="22" t="n"/>
      <c r="B474" s="23">
        <f>IF(A474="","",EOMONTH(A474,0))</f>
        <v/>
      </c>
      <c r="C474" s="24" t="n"/>
      <c r="D474" s="24" t="n"/>
      <c r="E474" s="24" t="n"/>
      <c r="F474" s="25">
        <f>IF(E474="","",IF(COUNTIF(lst_Jobs,E474&amp;"")&gt;0,"OK","CHECK"))</f>
        <v/>
      </c>
      <c r="G474" s="24" t="n"/>
      <c r="H474" s="24" t="n"/>
      <c r="I474" s="24" t="n"/>
      <c r="J474" s="24" t="n"/>
      <c r="K474" s="24" t="n"/>
      <c r="L474" s="26" t="n"/>
      <c r="M474" s="27">
        <f>IF(L474="","",IF(K474="GST 10%",ROUND(L474*set_GSTRate,2),0))</f>
        <v/>
      </c>
      <c r="N474" s="27">
        <f>IF(L474="","",L474+M474)</f>
        <v/>
      </c>
      <c r="O474" s="24" t="n"/>
      <c r="P474" s="24" t="n"/>
      <c r="Q474" s="24" t="n"/>
      <c r="R474" s="22" t="n"/>
      <c r="S474" s="22" t="n"/>
      <c r="T474" s="24" t="n"/>
      <c r="U474" s="24" t="n"/>
      <c r="V474" s="25">
        <f>IF(COUNTA(A474,D474,C474,L474)=0,"",IF(A474="","No date - sits outside every month",IF(E474="","No job number",IF(F474="CHECK","Job number is not in the Xero job list",IF(I474="","No cost centre",IF(AND(P474="Y",C474=""),"Marked posted to Xero but has no invoice number",IF(AND(L474&lt;&gt;"",K474=""),"No tax code",IF(AND(L474&lt;&gt;"",O474=""),"No revenue GL code",""))))))))</f>
        <v/>
      </c>
      <c r="W474" s="25">
        <f>IF(E474="","",IFERROR(INDEX(lst_JobName,MATCH(E474&amp;"",lst_Jobs,0)),""))</f>
        <v/>
      </c>
      <c r="X474" s="28">
        <f>IF(E474="","",COUNTIFS(tbl_Finance[Job Number],E474&amp;"",tbl_Finance[Ex GST],"&lt;&gt;"))</f>
        <v/>
      </c>
      <c r="Y474" s="27">
        <f>IF(E474="","",SUMIFS(tbl_Finance[Ex GST],tbl_Finance[Job Number],E474&amp;""))</f>
        <v/>
      </c>
      <c r="Z474" s="27">
        <f>IF(E474="","",SUMIFS(tbl_Finance[Ex GST],tbl_Finance[Job Number],E474&amp;"",tbl_Finance[Xero Invoice No],"&lt;&gt;"))</f>
        <v/>
      </c>
      <c r="AA474" s="27">
        <f>IF(E474="","",Y474-Z474)</f>
        <v/>
      </c>
      <c r="AB474" s="25">
        <f>IF(E474="","",IF(H474="Onsite",IFERROR(INDEX(tbl_Onsite[Qwilr Quote],MATCH(E474&amp;"",tbl_Onsite[Job Number],0)),""),IF(H474="Production",IFERROR(IF(INDEX(tbl_Production[Current RMS No],MATCH(E474&amp;"",tbl_Production[Job Number],0))="",INDEX(tbl_Production[Qwilr Quote],MATCH(E474&amp;"",tbl_Production[Job Number],0)),INDEX(tbl_Production[Current RMS No],MATCH(E474&amp;"",tbl_Production[Job Number],0))),""),IF(H474="Consulting",IFERROR(INDEX(tbl_Consulting[Qwilr Quote],MATCH(E474&amp;"",tbl_Consulting[Job Number],0)),""),""))))</f>
        <v/>
      </c>
      <c r="AC474" s="25">
        <f>IF(AB474="","",IF(AND(LEFT(AB474,4)&lt;&gt;"http",IF(H474="Production",set_RMSBase,set_QwilrBase)=""),"",HYPERLINK(IF(LEFT(AB474,4)="http",AB474,IF(H474="Production",set_RMSBase,set_QwilrBase)&amp;AB474),"Open")))</f>
        <v/>
      </c>
      <c r="AD474" s="27">
        <f>IF(E474="","",IF(H474="Production",IFERROR(INDEX(tbl_Production[Total Expense],MATCH(E474&amp;"",tbl_Production[Job Number],0)),0),IF(H474="Consulting",IFERROR(INDEX(tbl_Consulting[Total Expense],MATCH(E474&amp;"",tbl_Consulting[Job Number],0)),0),0)))</f>
        <v/>
      </c>
      <c r="AE474" s="27">
        <f>IF(E474="","",Y474-N(AD474))</f>
        <v/>
      </c>
      <c r="AF474" s="29">
        <f>IFERROR(AE474/Y474,"")</f>
        <v/>
      </c>
      <c r="AG474" s="25">
        <f>IF(E474="","",IF(H474="Onsite",IFERROR(INDEX(tbl_Onsite[Notes],MATCH(E474&amp;"",tbl_Onsite[Job Number],0)),""),IF(H474="Production",IFERROR(INDEX(tbl_Production[Notes],MATCH(E474&amp;"",tbl_Production[Job Number],0)),""),IF(H474="Consulting",IFERROR(INDEX(tbl_Consulting[Notes],MATCH(E474&amp;"",tbl_Consulting[Job Number],0)),""),""))))</f>
        <v/>
      </c>
    </row>
    <row r="475" ht="15" customHeight="1">
      <c r="A475" s="22" t="n"/>
      <c r="B475" s="23">
        <f>IF(A475="","",EOMONTH(A475,0))</f>
        <v/>
      </c>
      <c r="C475" s="24" t="n"/>
      <c r="D475" s="24" t="n"/>
      <c r="E475" s="24" t="n"/>
      <c r="F475" s="25">
        <f>IF(E475="","",IF(COUNTIF(lst_Jobs,E475&amp;"")&gt;0,"OK","CHECK"))</f>
        <v/>
      </c>
      <c r="G475" s="24" t="n"/>
      <c r="H475" s="24" t="n"/>
      <c r="I475" s="24" t="n"/>
      <c r="J475" s="24" t="n"/>
      <c r="K475" s="24" t="n"/>
      <c r="L475" s="26" t="n"/>
      <c r="M475" s="27">
        <f>IF(L475="","",IF(K475="GST 10%",ROUND(L475*set_GSTRate,2),0))</f>
        <v/>
      </c>
      <c r="N475" s="27">
        <f>IF(L475="","",L475+M475)</f>
        <v/>
      </c>
      <c r="O475" s="24" t="n"/>
      <c r="P475" s="24" t="n"/>
      <c r="Q475" s="24" t="n"/>
      <c r="R475" s="22" t="n"/>
      <c r="S475" s="22" t="n"/>
      <c r="T475" s="24" t="n"/>
      <c r="U475" s="24" t="n"/>
      <c r="V475" s="25">
        <f>IF(COUNTA(A475,D475,C475,L475)=0,"",IF(A475="","No date - sits outside every month",IF(E475="","No job number",IF(F475="CHECK","Job number is not in the Xero job list",IF(I475="","No cost centre",IF(AND(P475="Y",C475=""),"Marked posted to Xero but has no invoice number",IF(AND(L475&lt;&gt;"",K475=""),"No tax code",IF(AND(L475&lt;&gt;"",O475=""),"No revenue GL code",""))))))))</f>
        <v/>
      </c>
      <c r="W475" s="25">
        <f>IF(E475="","",IFERROR(INDEX(lst_JobName,MATCH(E475&amp;"",lst_Jobs,0)),""))</f>
        <v/>
      </c>
      <c r="X475" s="28">
        <f>IF(E475="","",COUNTIFS(tbl_Finance[Job Number],E475&amp;"",tbl_Finance[Ex GST],"&lt;&gt;"))</f>
        <v/>
      </c>
      <c r="Y475" s="27">
        <f>IF(E475="","",SUMIFS(tbl_Finance[Ex GST],tbl_Finance[Job Number],E475&amp;""))</f>
        <v/>
      </c>
      <c r="Z475" s="27">
        <f>IF(E475="","",SUMIFS(tbl_Finance[Ex GST],tbl_Finance[Job Number],E475&amp;"",tbl_Finance[Xero Invoice No],"&lt;&gt;"))</f>
        <v/>
      </c>
      <c r="AA475" s="27">
        <f>IF(E475="","",Y475-Z475)</f>
        <v/>
      </c>
      <c r="AB475" s="25">
        <f>IF(E475="","",IF(H475="Onsite",IFERROR(INDEX(tbl_Onsite[Qwilr Quote],MATCH(E475&amp;"",tbl_Onsite[Job Number],0)),""),IF(H475="Production",IFERROR(IF(INDEX(tbl_Production[Current RMS No],MATCH(E475&amp;"",tbl_Production[Job Number],0))="",INDEX(tbl_Production[Qwilr Quote],MATCH(E475&amp;"",tbl_Production[Job Number],0)),INDEX(tbl_Production[Current RMS No],MATCH(E475&amp;"",tbl_Production[Job Number],0))),""),IF(H475="Consulting",IFERROR(INDEX(tbl_Consulting[Qwilr Quote],MATCH(E475&amp;"",tbl_Consulting[Job Number],0)),""),""))))</f>
        <v/>
      </c>
      <c r="AC475" s="25">
        <f>IF(AB475="","",IF(AND(LEFT(AB475,4)&lt;&gt;"http",IF(H475="Production",set_RMSBase,set_QwilrBase)=""),"",HYPERLINK(IF(LEFT(AB475,4)="http",AB475,IF(H475="Production",set_RMSBase,set_QwilrBase)&amp;AB475),"Open")))</f>
        <v/>
      </c>
      <c r="AD475" s="27">
        <f>IF(E475="","",IF(H475="Production",IFERROR(INDEX(tbl_Production[Total Expense],MATCH(E475&amp;"",tbl_Production[Job Number],0)),0),IF(H475="Consulting",IFERROR(INDEX(tbl_Consulting[Total Expense],MATCH(E475&amp;"",tbl_Consulting[Job Number],0)),0),0)))</f>
        <v/>
      </c>
      <c r="AE475" s="27">
        <f>IF(E475="","",Y475-N(AD475))</f>
        <v/>
      </c>
      <c r="AF475" s="29">
        <f>IFERROR(AE475/Y475,"")</f>
        <v/>
      </c>
      <c r="AG475" s="25">
        <f>IF(E475="","",IF(H475="Onsite",IFERROR(INDEX(tbl_Onsite[Notes],MATCH(E475&amp;"",tbl_Onsite[Job Number],0)),""),IF(H475="Production",IFERROR(INDEX(tbl_Production[Notes],MATCH(E475&amp;"",tbl_Production[Job Number],0)),""),IF(H475="Consulting",IFERROR(INDEX(tbl_Consulting[Notes],MATCH(E475&amp;"",tbl_Consulting[Job Number],0)),""),""))))</f>
        <v/>
      </c>
    </row>
    <row r="476" ht="15" customHeight="1">
      <c r="A476" s="22" t="n"/>
      <c r="B476" s="23">
        <f>IF(A476="","",EOMONTH(A476,0))</f>
        <v/>
      </c>
      <c r="C476" s="24" t="n"/>
      <c r="D476" s="24" t="n"/>
      <c r="E476" s="24" t="n"/>
      <c r="F476" s="25">
        <f>IF(E476="","",IF(COUNTIF(lst_Jobs,E476&amp;"")&gt;0,"OK","CHECK"))</f>
        <v/>
      </c>
      <c r="G476" s="24" t="n"/>
      <c r="H476" s="24" t="n"/>
      <c r="I476" s="24" t="n"/>
      <c r="J476" s="24" t="n"/>
      <c r="K476" s="24" t="n"/>
      <c r="L476" s="26" t="n"/>
      <c r="M476" s="27">
        <f>IF(L476="","",IF(K476="GST 10%",ROUND(L476*set_GSTRate,2),0))</f>
        <v/>
      </c>
      <c r="N476" s="27">
        <f>IF(L476="","",L476+M476)</f>
        <v/>
      </c>
      <c r="O476" s="24" t="n"/>
      <c r="P476" s="24" t="n"/>
      <c r="Q476" s="24" t="n"/>
      <c r="R476" s="22" t="n"/>
      <c r="S476" s="22" t="n"/>
      <c r="T476" s="24" t="n"/>
      <c r="U476" s="24" t="n"/>
      <c r="V476" s="25">
        <f>IF(COUNTA(A476,D476,C476,L476)=0,"",IF(A476="","No date - sits outside every month",IF(E476="","No job number",IF(F476="CHECK","Job number is not in the Xero job list",IF(I476="","No cost centre",IF(AND(P476="Y",C476=""),"Marked posted to Xero but has no invoice number",IF(AND(L476&lt;&gt;"",K476=""),"No tax code",IF(AND(L476&lt;&gt;"",O476=""),"No revenue GL code",""))))))))</f>
        <v/>
      </c>
      <c r="W476" s="25">
        <f>IF(E476="","",IFERROR(INDEX(lst_JobName,MATCH(E476&amp;"",lst_Jobs,0)),""))</f>
        <v/>
      </c>
      <c r="X476" s="28">
        <f>IF(E476="","",COUNTIFS(tbl_Finance[Job Number],E476&amp;"",tbl_Finance[Ex GST],"&lt;&gt;"))</f>
        <v/>
      </c>
      <c r="Y476" s="27">
        <f>IF(E476="","",SUMIFS(tbl_Finance[Ex GST],tbl_Finance[Job Number],E476&amp;""))</f>
        <v/>
      </c>
      <c r="Z476" s="27">
        <f>IF(E476="","",SUMIFS(tbl_Finance[Ex GST],tbl_Finance[Job Number],E476&amp;"",tbl_Finance[Xero Invoice No],"&lt;&gt;"))</f>
        <v/>
      </c>
      <c r="AA476" s="27">
        <f>IF(E476="","",Y476-Z476)</f>
        <v/>
      </c>
      <c r="AB476" s="25">
        <f>IF(E476="","",IF(H476="Onsite",IFERROR(INDEX(tbl_Onsite[Qwilr Quote],MATCH(E476&amp;"",tbl_Onsite[Job Number],0)),""),IF(H476="Production",IFERROR(IF(INDEX(tbl_Production[Current RMS No],MATCH(E476&amp;"",tbl_Production[Job Number],0))="",INDEX(tbl_Production[Qwilr Quote],MATCH(E476&amp;"",tbl_Production[Job Number],0)),INDEX(tbl_Production[Current RMS No],MATCH(E476&amp;"",tbl_Production[Job Number],0))),""),IF(H476="Consulting",IFERROR(INDEX(tbl_Consulting[Qwilr Quote],MATCH(E476&amp;"",tbl_Consulting[Job Number],0)),""),""))))</f>
        <v/>
      </c>
      <c r="AC476" s="25">
        <f>IF(AB476="","",IF(AND(LEFT(AB476,4)&lt;&gt;"http",IF(H476="Production",set_RMSBase,set_QwilrBase)=""),"",HYPERLINK(IF(LEFT(AB476,4)="http",AB476,IF(H476="Production",set_RMSBase,set_QwilrBase)&amp;AB476),"Open")))</f>
        <v/>
      </c>
      <c r="AD476" s="27">
        <f>IF(E476="","",IF(H476="Production",IFERROR(INDEX(tbl_Production[Total Expense],MATCH(E476&amp;"",tbl_Production[Job Number],0)),0),IF(H476="Consulting",IFERROR(INDEX(tbl_Consulting[Total Expense],MATCH(E476&amp;"",tbl_Consulting[Job Number],0)),0),0)))</f>
        <v/>
      </c>
      <c r="AE476" s="27">
        <f>IF(E476="","",Y476-N(AD476))</f>
        <v/>
      </c>
      <c r="AF476" s="29">
        <f>IFERROR(AE476/Y476,"")</f>
        <v/>
      </c>
      <c r="AG476" s="25">
        <f>IF(E476="","",IF(H476="Onsite",IFERROR(INDEX(tbl_Onsite[Notes],MATCH(E476&amp;"",tbl_Onsite[Job Number],0)),""),IF(H476="Production",IFERROR(INDEX(tbl_Production[Notes],MATCH(E476&amp;"",tbl_Production[Job Number],0)),""),IF(H476="Consulting",IFERROR(INDEX(tbl_Consulting[Notes],MATCH(E476&amp;"",tbl_Consulting[Job Number],0)),""),""))))</f>
        <v/>
      </c>
    </row>
    <row r="477" ht="15" customHeight="1">
      <c r="A477" s="22" t="n"/>
      <c r="B477" s="23">
        <f>IF(A477="","",EOMONTH(A477,0))</f>
        <v/>
      </c>
      <c r="C477" s="24" t="n"/>
      <c r="D477" s="24" t="n"/>
      <c r="E477" s="24" t="n"/>
      <c r="F477" s="25">
        <f>IF(E477="","",IF(COUNTIF(lst_Jobs,E477&amp;"")&gt;0,"OK","CHECK"))</f>
        <v/>
      </c>
      <c r="G477" s="24" t="n"/>
      <c r="H477" s="24" t="n"/>
      <c r="I477" s="24" t="n"/>
      <c r="J477" s="24" t="n"/>
      <c r="K477" s="24" t="n"/>
      <c r="L477" s="26" t="n"/>
      <c r="M477" s="27">
        <f>IF(L477="","",IF(K477="GST 10%",ROUND(L477*set_GSTRate,2),0))</f>
        <v/>
      </c>
      <c r="N477" s="27">
        <f>IF(L477="","",L477+M477)</f>
        <v/>
      </c>
      <c r="O477" s="24" t="n"/>
      <c r="P477" s="24" t="n"/>
      <c r="Q477" s="24" t="n"/>
      <c r="R477" s="22" t="n"/>
      <c r="S477" s="22" t="n"/>
      <c r="T477" s="24" t="n"/>
      <c r="U477" s="24" t="n"/>
      <c r="V477" s="25">
        <f>IF(COUNTA(A477,D477,C477,L477)=0,"",IF(A477="","No date - sits outside every month",IF(E477="","No job number",IF(F477="CHECK","Job number is not in the Xero job list",IF(I477="","No cost centre",IF(AND(P477="Y",C477=""),"Marked posted to Xero but has no invoice number",IF(AND(L477&lt;&gt;"",K477=""),"No tax code",IF(AND(L477&lt;&gt;"",O477=""),"No revenue GL code",""))))))))</f>
        <v/>
      </c>
      <c r="W477" s="25">
        <f>IF(E477="","",IFERROR(INDEX(lst_JobName,MATCH(E477&amp;"",lst_Jobs,0)),""))</f>
        <v/>
      </c>
      <c r="X477" s="28">
        <f>IF(E477="","",COUNTIFS(tbl_Finance[Job Number],E477&amp;"",tbl_Finance[Ex GST],"&lt;&gt;"))</f>
        <v/>
      </c>
      <c r="Y477" s="27">
        <f>IF(E477="","",SUMIFS(tbl_Finance[Ex GST],tbl_Finance[Job Number],E477&amp;""))</f>
        <v/>
      </c>
      <c r="Z477" s="27">
        <f>IF(E477="","",SUMIFS(tbl_Finance[Ex GST],tbl_Finance[Job Number],E477&amp;"",tbl_Finance[Xero Invoice No],"&lt;&gt;"))</f>
        <v/>
      </c>
      <c r="AA477" s="27">
        <f>IF(E477="","",Y477-Z477)</f>
        <v/>
      </c>
      <c r="AB477" s="25">
        <f>IF(E477="","",IF(H477="Onsite",IFERROR(INDEX(tbl_Onsite[Qwilr Quote],MATCH(E477&amp;"",tbl_Onsite[Job Number],0)),""),IF(H477="Production",IFERROR(IF(INDEX(tbl_Production[Current RMS No],MATCH(E477&amp;"",tbl_Production[Job Number],0))="",INDEX(tbl_Production[Qwilr Quote],MATCH(E477&amp;"",tbl_Production[Job Number],0)),INDEX(tbl_Production[Current RMS No],MATCH(E477&amp;"",tbl_Production[Job Number],0))),""),IF(H477="Consulting",IFERROR(INDEX(tbl_Consulting[Qwilr Quote],MATCH(E477&amp;"",tbl_Consulting[Job Number],0)),""),""))))</f>
        <v/>
      </c>
      <c r="AC477" s="25">
        <f>IF(AB477="","",IF(AND(LEFT(AB477,4)&lt;&gt;"http",IF(H477="Production",set_RMSBase,set_QwilrBase)=""),"",HYPERLINK(IF(LEFT(AB477,4)="http",AB477,IF(H477="Production",set_RMSBase,set_QwilrBase)&amp;AB477),"Open")))</f>
        <v/>
      </c>
      <c r="AD477" s="27">
        <f>IF(E477="","",IF(H477="Production",IFERROR(INDEX(tbl_Production[Total Expense],MATCH(E477&amp;"",tbl_Production[Job Number],0)),0),IF(H477="Consulting",IFERROR(INDEX(tbl_Consulting[Total Expense],MATCH(E477&amp;"",tbl_Consulting[Job Number],0)),0),0)))</f>
        <v/>
      </c>
      <c r="AE477" s="27">
        <f>IF(E477="","",Y477-N(AD477))</f>
        <v/>
      </c>
      <c r="AF477" s="29">
        <f>IFERROR(AE477/Y477,"")</f>
        <v/>
      </c>
      <c r="AG477" s="25">
        <f>IF(E477="","",IF(H477="Onsite",IFERROR(INDEX(tbl_Onsite[Notes],MATCH(E477&amp;"",tbl_Onsite[Job Number],0)),""),IF(H477="Production",IFERROR(INDEX(tbl_Production[Notes],MATCH(E477&amp;"",tbl_Production[Job Number],0)),""),IF(H477="Consulting",IFERROR(INDEX(tbl_Consulting[Notes],MATCH(E477&amp;"",tbl_Consulting[Job Number],0)),""),""))))</f>
        <v/>
      </c>
    </row>
    <row r="478" ht="15" customHeight="1">
      <c r="A478" s="22" t="n"/>
      <c r="B478" s="23">
        <f>IF(A478="","",EOMONTH(A478,0))</f>
        <v/>
      </c>
      <c r="C478" s="24" t="n"/>
      <c r="D478" s="24" t="n"/>
      <c r="E478" s="24" t="n"/>
      <c r="F478" s="25">
        <f>IF(E478="","",IF(COUNTIF(lst_Jobs,E478&amp;"")&gt;0,"OK","CHECK"))</f>
        <v/>
      </c>
      <c r="G478" s="24" t="n"/>
      <c r="H478" s="24" t="n"/>
      <c r="I478" s="24" t="n"/>
      <c r="J478" s="24" t="n"/>
      <c r="K478" s="24" t="n"/>
      <c r="L478" s="26" t="n"/>
      <c r="M478" s="27">
        <f>IF(L478="","",IF(K478="GST 10%",ROUND(L478*set_GSTRate,2),0))</f>
        <v/>
      </c>
      <c r="N478" s="27">
        <f>IF(L478="","",L478+M478)</f>
        <v/>
      </c>
      <c r="O478" s="24" t="n"/>
      <c r="P478" s="24" t="n"/>
      <c r="Q478" s="24" t="n"/>
      <c r="R478" s="22" t="n"/>
      <c r="S478" s="22" t="n"/>
      <c r="T478" s="24" t="n"/>
      <c r="U478" s="24" t="n"/>
      <c r="V478" s="25">
        <f>IF(COUNTA(A478,D478,C478,L478)=0,"",IF(A478="","No date - sits outside every month",IF(E478="","No job number",IF(F478="CHECK","Job number is not in the Xero job list",IF(I478="","No cost centre",IF(AND(P478="Y",C478=""),"Marked posted to Xero but has no invoice number",IF(AND(L478&lt;&gt;"",K478=""),"No tax code",IF(AND(L478&lt;&gt;"",O478=""),"No revenue GL code",""))))))))</f>
        <v/>
      </c>
      <c r="W478" s="25">
        <f>IF(E478="","",IFERROR(INDEX(lst_JobName,MATCH(E478&amp;"",lst_Jobs,0)),""))</f>
        <v/>
      </c>
      <c r="X478" s="28">
        <f>IF(E478="","",COUNTIFS(tbl_Finance[Job Number],E478&amp;"",tbl_Finance[Ex GST],"&lt;&gt;"))</f>
        <v/>
      </c>
      <c r="Y478" s="27">
        <f>IF(E478="","",SUMIFS(tbl_Finance[Ex GST],tbl_Finance[Job Number],E478&amp;""))</f>
        <v/>
      </c>
      <c r="Z478" s="27">
        <f>IF(E478="","",SUMIFS(tbl_Finance[Ex GST],tbl_Finance[Job Number],E478&amp;"",tbl_Finance[Xero Invoice No],"&lt;&gt;"))</f>
        <v/>
      </c>
      <c r="AA478" s="27">
        <f>IF(E478="","",Y478-Z478)</f>
        <v/>
      </c>
      <c r="AB478" s="25">
        <f>IF(E478="","",IF(H478="Onsite",IFERROR(INDEX(tbl_Onsite[Qwilr Quote],MATCH(E478&amp;"",tbl_Onsite[Job Number],0)),""),IF(H478="Production",IFERROR(IF(INDEX(tbl_Production[Current RMS No],MATCH(E478&amp;"",tbl_Production[Job Number],0))="",INDEX(tbl_Production[Qwilr Quote],MATCH(E478&amp;"",tbl_Production[Job Number],0)),INDEX(tbl_Production[Current RMS No],MATCH(E478&amp;"",tbl_Production[Job Number],0))),""),IF(H478="Consulting",IFERROR(INDEX(tbl_Consulting[Qwilr Quote],MATCH(E478&amp;"",tbl_Consulting[Job Number],0)),""),""))))</f>
        <v/>
      </c>
      <c r="AC478" s="25">
        <f>IF(AB478="","",IF(AND(LEFT(AB478,4)&lt;&gt;"http",IF(H478="Production",set_RMSBase,set_QwilrBase)=""),"",HYPERLINK(IF(LEFT(AB478,4)="http",AB478,IF(H478="Production",set_RMSBase,set_QwilrBase)&amp;AB478),"Open")))</f>
        <v/>
      </c>
      <c r="AD478" s="27">
        <f>IF(E478="","",IF(H478="Production",IFERROR(INDEX(tbl_Production[Total Expense],MATCH(E478&amp;"",tbl_Production[Job Number],0)),0),IF(H478="Consulting",IFERROR(INDEX(tbl_Consulting[Total Expense],MATCH(E478&amp;"",tbl_Consulting[Job Number],0)),0),0)))</f>
        <v/>
      </c>
      <c r="AE478" s="27">
        <f>IF(E478="","",Y478-N(AD478))</f>
        <v/>
      </c>
      <c r="AF478" s="29">
        <f>IFERROR(AE478/Y478,"")</f>
        <v/>
      </c>
      <c r="AG478" s="25">
        <f>IF(E478="","",IF(H478="Onsite",IFERROR(INDEX(tbl_Onsite[Notes],MATCH(E478&amp;"",tbl_Onsite[Job Number],0)),""),IF(H478="Production",IFERROR(INDEX(tbl_Production[Notes],MATCH(E478&amp;"",tbl_Production[Job Number],0)),""),IF(H478="Consulting",IFERROR(INDEX(tbl_Consulting[Notes],MATCH(E478&amp;"",tbl_Consulting[Job Number],0)),""),""))))</f>
        <v/>
      </c>
    </row>
    <row r="479" ht="15" customHeight="1">
      <c r="A479" s="22" t="n"/>
      <c r="B479" s="23">
        <f>IF(A479="","",EOMONTH(A479,0))</f>
        <v/>
      </c>
      <c r="C479" s="24" t="n"/>
      <c r="D479" s="24" t="n"/>
      <c r="E479" s="24" t="n"/>
      <c r="F479" s="25">
        <f>IF(E479="","",IF(COUNTIF(lst_Jobs,E479&amp;"")&gt;0,"OK","CHECK"))</f>
        <v/>
      </c>
      <c r="G479" s="24" t="n"/>
      <c r="H479" s="24" t="n"/>
      <c r="I479" s="24" t="n"/>
      <c r="J479" s="24" t="n"/>
      <c r="K479" s="24" t="n"/>
      <c r="L479" s="26" t="n"/>
      <c r="M479" s="27">
        <f>IF(L479="","",IF(K479="GST 10%",ROUND(L479*set_GSTRate,2),0))</f>
        <v/>
      </c>
      <c r="N479" s="27">
        <f>IF(L479="","",L479+M479)</f>
        <v/>
      </c>
      <c r="O479" s="24" t="n"/>
      <c r="P479" s="24" t="n"/>
      <c r="Q479" s="24" t="n"/>
      <c r="R479" s="22" t="n"/>
      <c r="S479" s="22" t="n"/>
      <c r="T479" s="24" t="n"/>
      <c r="U479" s="24" t="n"/>
      <c r="V479" s="25">
        <f>IF(COUNTA(A479,D479,C479,L479)=0,"",IF(A479="","No date - sits outside every month",IF(E479="","No job number",IF(F479="CHECK","Job number is not in the Xero job list",IF(I479="","No cost centre",IF(AND(P479="Y",C479=""),"Marked posted to Xero but has no invoice number",IF(AND(L479&lt;&gt;"",K479=""),"No tax code",IF(AND(L479&lt;&gt;"",O479=""),"No revenue GL code",""))))))))</f>
        <v/>
      </c>
      <c r="W479" s="25">
        <f>IF(E479="","",IFERROR(INDEX(lst_JobName,MATCH(E479&amp;"",lst_Jobs,0)),""))</f>
        <v/>
      </c>
      <c r="X479" s="28">
        <f>IF(E479="","",COUNTIFS(tbl_Finance[Job Number],E479&amp;"",tbl_Finance[Ex GST],"&lt;&gt;"))</f>
        <v/>
      </c>
      <c r="Y479" s="27">
        <f>IF(E479="","",SUMIFS(tbl_Finance[Ex GST],tbl_Finance[Job Number],E479&amp;""))</f>
        <v/>
      </c>
      <c r="Z479" s="27">
        <f>IF(E479="","",SUMIFS(tbl_Finance[Ex GST],tbl_Finance[Job Number],E479&amp;"",tbl_Finance[Xero Invoice No],"&lt;&gt;"))</f>
        <v/>
      </c>
      <c r="AA479" s="27">
        <f>IF(E479="","",Y479-Z479)</f>
        <v/>
      </c>
      <c r="AB479" s="25">
        <f>IF(E479="","",IF(H479="Onsite",IFERROR(INDEX(tbl_Onsite[Qwilr Quote],MATCH(E479&amp;"",tbl_Onsite[Job Number],0)),""),IF(H479="Production",IFERROR(IF(INDEX(tbl_Production[Current RMS No],MATCH(E479&amp;"",tbl_Production[Job Number],0))="",INDEX(tbl_Production[Qwilr Quote],MATCH(E479&amp;"",tbl_Production[Job Number],0)),INDEX(tbl_Production[Current RMS No],MATCH(E479&amp;"",tbl_Production[Job Number],0))),""),IF(H479="Consulting",IFERROR(INDEX(tbl_Consulting[Qwilr Quote],MATCH(E479&amp;"",tbl_Consulting[Job Number],0)),""),""))))</f>
        <v/>
      </c>
      <c r="AC479" s="25">
        <f>IF(AB479="","",IF(AND(LEFT(AB479,4)&lt;&gt;"http",IF(H479="Production",set_RMSBase,set_QwilrBase)=""),"",HYPERLINK(IF(LEFT(AB479,4)="http",AB479,IF(H479="Production",set_RMSBase,set_QwilrBase)&amp;AB479),"Open")))</f>
        <v/>
      </c>
      <c r="AD479" s="27">
        <f>IF(E479="","",IF(H479="Production",IFERROR(INDEX(tbl_Production[Total Expense],MATCH(E479&amp;"",tbl_Production[Job Number],0)),0),IF(H479="Consulting",IFERROR(INDEX(tbl_Consulting[Total Expense],MATCH(E479&amp;"",tbl_Consulting[Job Number],0)),0),0)))</f>
        <v/>
      </c>
      <c r="AE479" s="27">
        <f>IF(E479="","",Y479-N(AD479))</f>
        <v/>
      </c>
      <c r="AF479" s="29">
        <f>IFERROR(AE479/Y479,"")</f>
        <v/>
      </c>
      <c r="AG479" s="25">
        <f>IF(E479="","",IF(H479="Onsite",IFERROR(INDEX(tbl_Onsite[Notes],MATCH(E479&amp;"",tbl_Onsite[Job Number],0)),""),IF(H479="Production",IFERROR(INDEX(tbl_Production[Notes],MATCH(E479&amp;"",tbl_Production[Job Number],0)),""),IF(H479="Consulting",IFERROR(INDEX(tbl_Consulting[Notes],MATCH(E479&amp;"",tbl_Consulting[Job Number],0)),""),""))))</f>
        <v/>
      </c>
    </row>
    <row r="480" ht="15" customHeight="1">
      <c r="A480" s="22" t="n"/>
      <c r="B480" s="23">
        <f>IF(A480="","",EOMONTH(A480,0))</f>
        <v/>
      </c>
      <c r="C480" s="24" t="n"/>
      <c r="D480" s="24" t="n"/>
      <c r="E480" s="24" t="n"/>
      <c r="F480" s="25">
        <f>IF(E480="","",IF(COUNTIF(lst_Jobs,E480&amp;"")&gt;0,"OK","CHECK"))</f>
        <v/>
      </c>
      <c r="G480" s="24" t="n"/>
      <c r="H480" s="24" t="n"/>
      <c r="I480" s="24" t="n"/>
      <c r="J480" s="24" t="n"/>
      <c r="K480" s="24" t="n"/>
      <c r="L480" s="26" t="n"/>
      <c r="M480" s="27">
        <f>IF(L480="","",IF(K480="GST 10%",ROUND(L480*set_GSTRate,2),0))</f>
        <v/>
      </c>
      <c r="N480" s="27">
        <f>IF(L480="","",L480+M480)</f>
        <v/>
      </c>
      <c r="O480" s="24" t="n"/>
      <c r="P480" s="24" t="n"/>
      <c r="Q480" s="24" t="n"/>
      <c r="R480" s="22" t="n"/>
      <c r="S480" s="22" t="n"/>
      <c r="T480" s="24" t="n"/>
      <c r="U480" s="24" t="n"/>
      <c r="V480" s="25">
        <f>IF(COUNTA(A480,D480,C480,L480)=0,"",IF(A480="","No date - sits outside every month",IF(E480="","No job number",IF(F480="CHECK","Job number is not in the Xero job list",IF(I480="","No cost centre",IF(AND(P480="Y",C480=""),"Marked posted to Xero but has no invoice number",IF(AND(L480&lt;&gt;"",K480=""),"No tax code",IF(AND(L480&lt;&gt;"",O480=""),"No revenue GL code",""))))))))</f>
        <v/>
      </c>
      <c r="W480" s="25">
        <f>IF(E480="","",IFERROR(INDEX(lst_JobName,MATCH(E480&amp;"",lst_Jobs,0)),""))</f>
        <v/>
      </c>
      <c r="X480" s="28">
        <f>IF(E480="","",COUNTIFS(tbl_Finance[Job Number],E480&amp;"",tbl_Finance[Ex GST],"&lt;&gt;"))</f>
        <v/>
      </c>
      <c r="Y480" s="27">
        <f>IF(E480="","",SUMIFS(tbl_Finance[Ex GST],tbl_Finance[Job Number],E480&amp;""))</f>
        <v/>
      </c>
      <c r="Z480" s="27">
        <f>IF(E480="","",SUMIFS(tbl_Finance[Ex GST],tbl_Finance[Job Number],E480&amp;"",tbl_Finance[Xero Invoice No],"&lt;&gt;"))</f>
        <v/>
      </c>
      <c r="AA480" s="27">
        <f>IF(E480="","",Y480-Z480)</f>
        <v/>
      </c>
      <c r="AB480" s="25">
        <f>IF(E480="","",IF(H480="Onsite",IFERROR(INDEX(tbl_Onsite[Qwilr Quote],MATCH(E480&amp;"",tbl_Onsite[Job Number],0)),""),IF(H480="Production",IFERROR(IF(INDEX(tbl_Production[Current RMS No],MATCH(E480&amp;"",tbl_Production[Job Number],0))="",INDEX(tbl_Production[Qwilr Quote],MATCH(E480&amp;"",tbl_Production[Job Number],0)),INDEX(tbl_Production[Current RMS No],MATCH(E480&amp;"",tbl_Production[Job Number],0))),""),IF(H480="Consulting",IFERROR(INDEX(tbl_Consulting[Qwilr Quote],MATCH(E480&amp;"",tbl_Consulting[Job Number],0)),""),""))))</f>
        <v/>
      </c>
      <c r="AC480" s="25">
        <f>IF(AB480="","",IF(AND(LEFT(AB480,4)&lt;&gt;"http",IF(H480="Production",set_RMSBase,set_QwilrBase)=""),"",HYPERLINK(IF(LEFT(AB480,4)="http",AB480,IF(H480="Production",set_RMSBase,set_QwilrBase)&amp;AB480),"Open")))</f>
        <v/>
      </c>
      <c r="AD480" s="27">
        <f>IF(E480="","",IF(H480="Production",IFERROR(INDEX(tbl_Production[Total Expense],MATCH(E480&amp;"",tbl_Production[Job Number],0)),0),IF(H480="Consulting",IFERROR(INDEX(tbl_Consulting[Total Expense],MATCH(E480&amp;"",tbl_Consulting[Job Number],0)),0),0)))</f>
        <v/>
      </c>
      <c r="AE480" s="27">
        <f>IF(E480="","",Y480-N(AD480))</f>
        <v/>
      </c>
      <c r="AF480" s="29">
        <f>IFERROR(AE480/Y480,"")</f>
        <v/>
      </c>
      <c r="AG480" s="25">
        <f>IF(E480="","",IF(H480="Onsite",IFERROR(INDEX(tbl_Onsite[Notes],MATCH(E480&amp;"",tbl_Onsite[Job Number],0)),""),IF(H480="Production",IFERROR(INDEX(tbl_Production[Notes],MATCH(E480&amp;"",tbl_Production[Job Number],0)),""),IF(H480="Consulting",IFERROR(INDEX(tbl_Consulting[Notes],MATCH(E480&amp;"",tbl_Consulting[Job Number],0)),""),""))))</f>
        <v/>
      </c>
    </row>
    <row r="481" ht="15" customHeight="1">
      <c r="A481" s="22" t="n"/>
      <c r="B481" s="23">
        <f>IF(A481="","",EOMONTH(A481,0))</f>
        <v/>
      </c>
      <c r="C481" s="24" t="n"/>
      <c r="D481" s="24" t="n"/>
      <c r="E481" s="24" t="n"/>
      <c r="F481" s="25">
        <f>IF(E481="","",IF(COUNTIF(lst_Jobs,E481&amp;"")&gt;0,"OK","CHECK"))</f>
        <v/>
      </c>
      <c r="G481" s="24" t="n"/>
      <c r="H481" s="24" t="n"/>
      <c r="I481" s="24" t="n"/>
      <c r="J481" s="24" t="n"/>
      <c r="K481" s="24" t="n"/>
      <c r="L481" s="26" t="n"/>
      <c r="M481" s="27">
        <f>IF(L481="","",IF(K481="GST 10%",ROUND(L481*set_GSTRate,2),0))</f>
        <v/>
      </c>
      <c r="N481" s="27">
        <f>IF(L481="","",L481+M481)</f>
        <v/>
      </c>
      <c r="O481" s="24" t="n"/>
      <c r="P481" s="24" t="n"/>
      <c r="Q481" s="24" t="n"/>
      <c r="R481" s="22" t="n"/>
      <c r="S481" s="22" t="n"/>
      <c r="T481" s="24" t="n"/>
      <c r="U481" s="24" t="n"/>
      <c r="V481" s="25">
        <f>IF(COUNTA(A481,D481,C481,L481)=0,"",IF(A481="","No date - sits outside every month",IF(E481="","No job number",IF(F481="CHECK","Job number is not in the Xero job list",IF(I481="","No cost centre",IF(AND(P481="Y",C481=""),"Marked posted to Xero but has no invoice number",IF(AND(L481&lt;&gt;"",K481=""),"No tax code",IF(AND(L481&lt;&gt;"",O481=""),"No revenue GL code",""))))))))</f>
        <v/>
      </c>
      <c r="W481" s="25">
        <f>IF(E481="","",IFERROR(INDEX(lst_JobName,MATCH(E481&amp;"",lst_Jobs,0)),""))</f>
        <v/>
      </c>
      <c r="X481" s="28">
        <f>IF(E481="","",COUNTIFS(tbl_Finance[Job Number],E481&amp;"",tbl_Finance[Ex GST],"&lt;&gt;"))</f>
        <v/>
      </c>
      <c r="Y481" s="27">
        <f>IF(E481="","",SUMIFS(tbl_Finance[Ex GST],tbl_Finance[Job Number],E481&amp;""))</f>
        <v/>
      </c>
      <c r="Z481" s="27">
        <f>IF(E481="","",SUMIFS(tbl_Finance[Ex GST],tbl_Finance[Job Number],E481&amp;"",tbl_Finance[Xero Invoice No],"&lt;&gt;"))</f>
        <v/>
      </c>
      <c r="AA481" s="27">
        <f>IF(E481="","",Y481-Z481)</f>
        <v/>
      </c>
      <c r="AB481" s="25">
        <f>IF(E481="","",IF(H481="Onsite",IFERROR(INDEX(tbl_Onsite[Qwilr Quote],MATCH(E481&amp;"",tbl_Onsite[Job Number],0)),""),IF(H481="Production",IFERROR(IF(INDEX(tbl_Production[Current RMS No],MATCH(E481&amp;"",tbl_Production[Job Number],0))="",INDEX(tbl_Production[Qwilr Quote],MATCH(E481&amp;"",tbl_Production[Job Number],0)),INDEX(tbl_Production[Current RMS No],MATCH(E481&amp;"",tbl_Production[Job Number],0))),""),IF(H481="Consulting",IFERROR(INDEX(tbl_Consulting[Qwilr Quote],MATCH(E481&amp;"",tbl_Consulting[Job Number],0)),""),""))))</f>
        <v/>
      </c>
      <c r="AC481" s="25">
        <f>IF(AB481="","",IF(AND(LEFT(AB481,4)&lt;&gt;"http",IF(H481="Production",set_RMSBase,set_QwilrBase)=""),"",HYPERLINK(IF(LEFT(AB481,4)="http",AB481,IF(H481="Production",set_RMSBase,set_QwilrBase)&amp;AB481),"Open")))</f>
        <v/>
      </c>
      <c r="AD481" s="27">
        <f>IF(E481="","",IF(H481="Production",IFERROR(INDEX(tbl_Production[Total Expense],MATCH(E481&amp;"",tbl_Production[Job Number],0)),0),IF(H481="Consulting",IFERROR(INDEX(tbl_Consulting[Total Expense],MATCH(E481&amp;"",tbl_Consulting[Job Number],0)),0),0)))</f>
        <v/>
      </c>
      <c r="AE481" s="27">
        <f>IF(E481="","",Y481-N(AD481))</f>
        <v/>
      </c>
      <c r="AF481" s="29">
        <f>IFERROR(AE481/Y481,"")</f>
        <v/>
      </c>
      <c r="AG481" s="25">
        <f>IF(E481="","",IF(H481="Onsite",IFERROR(INDEX(tbl_Onsite[Notes],MATCH(E481&amp;"",tbl_Onsite[Job Number],0)),""),IF(H481="Production",IFERROR(INDEX(tbl_Production[Notes],MATCH(E481&amp;"",tbl_Production[Job Number],0)),""),IF(H481="Consulting",IFERROR(INDEX(tbl_Consulting[Notes],MATCH(E481&amp;"",tbl_Consulting[Job Number],0)),""),""))))</f>
        <v/>
      </c>
    </row>
    <row r="482" ht="15" customHeight="1">
      <c r="A482" s="22" t="n"/>
      <c r="B482" s="23">
        <f>IF(A482="","",EOMONTH(A482,0))</f>
        <v/>
      </c>
      <c r="C482" s="24" t="n"/>
      <c r="D482" s="24" t="n"/>
      <c r="E482" s="24" t="n"/>
      <c r="F482" s="25">
        <f>IF(E482="","",IF(COUNTIF(lst_Jobs,E482&amp;"")&gt;0,"OK","CHECK"))</f>
        <v/>
      </c>
      <c r="G482" s="24" t="n"/>
      <c r="H482" s="24" t="n"/>
      <c r="I482" s="24" t="n"/>
      <c r="J482" s="24" t="n"/>
      <c r="K482" s="24" t="n"/>
      <c r="L482" s="26" t="n"/>
      <c r="M482" s="27">
        <f>IF(L482="","",IF(K482="GST 10%",ROUND(L482*set_GSTRate,2),0))</f>
        <v/>
      </c>
      <c r="N482" s="27">
        <f>IF(L482="","",L482+M482)</f>
        <v/>
      </c>
      <c r="O482" s="24" t="n"/>
      <c r="P482" s="24" t="n"/>
      <c r="Q482" s="24" t="n"/>
      <c r="R482" s="22" t="n"/>
      <c r="S482" s="22" t="n"/>
      <c r="T482" s="24" t="n"/>
      <c r="U482" s="24" t="n"/>
      <c r="V482" s="25">
        <f>IF(COUNTA(A482,D482,C482,L482)=0,"",IF(A482="","No date - sits outside every month",IF(E482="","No job number",IF(F482="CHECK","Job number is not in the Xero job list",IF(I482="","No cost centre",IF(AND(P482="Y",C482=""),"Marked posted to Xero but has no invoice number",IF(AND(L482&lt;&gt;"",K482=""),"No tax code",IF(AND(L482&lt;&gt;"",O482=""),"No revenue GL code",""))))))))</f>
        <v/>
      </c>
      <c r="W482" s="25">
        <f>IF(E482="","",IFERROR(INDEX(lst_JobName,MATCH(E482&amp;"",lst_Jobs,0)),""))</f>
        <v/>
      </c>
      <c r="X482" s="28">
        <f>IF(E482="","",COUNTIFS(tbl_Finance[Job Number],E482&amp;"",tbl_Finance[Ex GST],"&lt;&gt;"))</f>
        <v/>
      </c>
      <c r="Y482" s="27">
        <f>IF(E482="","",SUMIFS(tbl_Finance[Ex GST],tbl_Finance[Job Number],E482&amp;""))</f>
        <v/>
      </c>
      <c r="Z482" s="27">
        <f>IF(E482="","",SUMIFS(tbl_Finance[Ex GST],tbl_Finance[Job Number],E482&amp;"",tbl_Finance[Xero Invoice No],"&lt;&gt;"))</f>
        <v/>
      </c>
      <c r="AA482" s="27">
        <f>IF(E482="","",Y482-Z482)</f>
        <v/>
      </c>
      <c r="AB482" s="25">
        <f>IF(E482="","",IF(H482="Onsite",IFERROR(INDEX(tbl_Onsite[Qwilr Quote],MATCH(E482&amp;"",tbl_Onsite[Job Number],0)),""),IF(H482="Production",IFERROR(IF(INDEX(tbl_Production[Current RMS No],MATCH(E482&amp;"",tbl_Production[Job Number],0))="",INDEX(tbl_Production[Qwilr Quote],MATCH(E482&amp;"",tbl_Production[Job Number],0)),INDEX(tbl_Production[Current RMS No],MATCH(E482&amp;"",tbl_Production[Job Number],0))),""),IF(H482="Consulting",IFERROR(INDEX(tbl_Consulting[Qwilr Quote],MATCH(E482&amp;"",tbl_Consulting[Job Number],0)),""),""))))</f>
        <v/>
      </c>
      <c r="AC482" s="25">
        <f>IF(AB482="","",IF(AND(LEFT(AB482,4)&lt;&gt;"http",IF(H482="Production",set_RMSBase,set_QwilrBase)=""),"",HYPERLINK(IF(LEFT(AB482,4)="http",AB482,IF(H482="Production",set_RMSBase,set_QwilrBase)&amp;AB482),"Open")))</f>
        <v/>
      </c>
      <c r="AD482" s="27">
        <f>IF(E482="","",IF(H482="Production",IFERROR(INDEX(tbl_Production[Total Expense],MATCH(E482&amp;"",tbl_Production[Job Number],0)),0),IF(H482="Consulting",IFERROR(INDEX(tbl_Consulting[Total Expense],MATCH(E482&amp;"",tbl_Consulting[Job Number],0)),0),0)))</f>
        <v/>
      </c>
      <c r="AE482" s="27">
        <f>IF(E482="","",Y482-N(AD482))</f>
        <v/>
      </c>
      <c r="AF482" s="29">
        <f>IFERROR(AE482/Y482,"")</f>
        <v/>
      </c>
      <c r="AG482" s="25">
        <f>IF(E482="","",IF(H482="Onsite",IFERROR(INDEX(tbl_Onsite[Notes],MATCH(E482&amp;"",tbl_Onsite[Job Number],0)),""),IF(H482="Production",IFERROR(INDEX(tbl_Production[Notes],MATCH(E482&amp;"",tbl_Production[Job Number],0)),""),IF(H482="Consulting",IFERROR(INDEX(tbl_Consulting[Notes],MATCH(E482&amp;"",tbl_Consulting[Job Number],0)),""),""))))</f>
        <v/>
      </c>
    </row>
    <row r="483" ht="15" customHeight="1">
      <c r="A483" s="22" t="n"/>
      <c r="B483" s="23">
        <f>IF(A483="","",EOMONTH(A483,0))</f>
        <v/>
      </c>
      <c r="C483" s="24" t="n"/>
      <c r="D483" s="24" t="n"/>
      <c r="E483" s="24" t="n"/>
      <c r="F483" s="25">
        <f>IF(E483="","",IF(COUNTIF(lst_Jobs,E483&amp;"")&gt;0,"OK","CHECK"))</f>
        <v/>
      </c>
      <c r="G483" s="24" t="n"/>
      <c r="H483" s="24" t="n"/>
      <c r="I483" s="24" t="n"/>
      <c r="J483" s="24" t="n"/>
      <c r="K483" s="24" t="n"/>
      <c r="L483" s="26" t="n"/>
      <c r="M483" s="27">
        <f>IF(L483="","",IF(K483="GST 10%",ROUND(L483*set_GSTRate,2),0))</f>
        <v/>
      </c>
      <c r="N483" s="27">
        <f>IF(L483="","",L483+M483)</f>
        <v/>
      </c>
      <c r="O483" s="24" t="n"/>
      <c r="P483" s="24" t="n"/>
      <c r="Q483" s="24" t="n"/>
      <c r="R483" s="22" t="n"/>
      <c r="S483" s="22" t="n"/>
      <c r="T483" s="24" t="n"/>
      <c r="U483" s="24" t="n"/>
      <c r="V483" s="25">
        <f>IF(COUNTA(A483,D483,C483,L483)=0,"",IF(A483="","No date - sits outside every month",IF(E483="","No job number",IF(F483="CHECK","Job number is not in the Xero job list",IF(I483="","No cost centre",IF(AND(P483="Y",C483=""),"Marked posted to Xero but has no invoice number",IF(AND(L483&lt;&gt;"",K483=""),"No tax code",IF(AND(L483&lt;&gt;"",O483=""),"No revenue GL code",""))))))))</f>
        <v/>
      </c>
      <c r="W483" s="25">
        <f>IF(E483="","",IFERROR(INDEX(lst_JobName,MATCH(E483&amp;"",lst_Jobs,0)),""))</f>
        <v/>
      </c>
      <c r="X483" s="28">
        <f>IF(E483="","",COUNTIFS(tbl_Finance[Job Number],E483&amp;"",tbl_Finance[Ex GST],"&lt;&gt;"))</f>
        <v/>
      </c>
      <c r="Y483" s="27">
        <f>IF(E483="","",SUMIFS(tbl_Finance[Ex GST],tbl_Finance[Job Number],E483&amp;""))</f>
        <v/>
      </c>
      <c r="Z483" s="27">
        <f>IF(E483="","",SUMIFS(tbl_Finance[Ex GST],tbl_Finance[Job Number],E483&amp;"",tbl_Finance[Xero Invoice No],"&lt;&gt;"))</f>
        <v/>
      </c>
      <c r="AA483" s="27">
        <f>IF(E483="","",Y483-Z483)</f>
        <v/>
      </c>
      <c r="AB483" s="25">
        <f>IF(E483="","",IF(H483="Onsite",IFERROR(INDEX(tbl_Onsite[Qwilr Quote],MATCH(E483&amp;"",tbl_Onsite[Job Number],0)),""),IF(H483="Production",IFERROR(IF(INDEX(tbl_Production[Current RMS No],MATCH(E483&amp;"",tbl_Production[Job Number],0))="",INDEX(tbl_Production[Qwilr Quote],MATCH(E483&amp;"",tbl_Production[Job Number],0)),INDEX(tbl_Production[Current RMS No],MATCH(E483&amp;"",tbl_Production[Job Number],0))),""),IF(H483="Consulting",IFERROR(INDEX(tbl_Consulting[Qwilr Quote],MATCH(E483&amp;"",tbl_Consulting[Job Number],0)),""),""))))</f>
        <v/>
      </c>
      <c r="AC483" s="25">
        <f>IF(AB483="","",IF(AND(LEFT(AB483,4)&lt;&gt;"http",IF(H483="Production",set_RMSBase,set_QwilrBase)=""),"",HYPERLINK(IF(LEFT(AB483,4)="http",AB483,IF(H483="Production",set_RMSBase,set_QwilrBase)&amp;AB483),"Open")))</f>
        <v/>
      </c>
      <c r="AD483" s="27">
        <f>IF(E483="","",IF(H483="Production",IFERROR(INDEX(tbl_Production[Total Expense],MATCH(E483&amp;"",tbl_Production[Job Number],0)),0),IF(H483="Consulting",IFERROR(INDEX(tbl_Consulting[Total Expense],MATCH(E483&amp;"",tbl_Consulting[Job Number],0)),0),0)))</f>
        <v/>
      </c>
      <c r="AE483" s="27">
        <f>IF(E483="","",Y483-N(AD483))</f>
        <v/>
      </c>
      <c r="AF483" s="29">
        <f>IFERROR(AE483/Y483,"")</f>
        <v/>
      </c>
      <c r="AG483" s="25">
        <f>IF(E483="","",IF(H483="Onsite",IFERROR(INDEX(tbl_Onsite[Notes],MATCH(E483&amp;"",tbl_Onsite[Job Number],0)),""),IF(H483="Production",IFERROR(INDEX(tbl_Production[Notes],MATCH(E483&amp;"",tbl_Production[Job Number],0)),""),IF(H483="Consulting",IFERROR(INDEX(tbl_Consulting[Notes],MATCH(E483&amp;"",tbl_Consulting[Job Number],0)),""),""))))</f>
        <v/>
      </c>
    </row>
    <row r="484" ht="15" customHeight="1">
      <c r="A484" s="22" t="n"/>
      <c r="B484" s="23">
        <f>IF(A484="","",EOMONTH(A484,0))</f>
        <v/>
      </c>
      <c r="C484" s="24" t="n"/>
      <c r="D484" s="24" t="n"/>
      <c r="E484" s="24" t="n"/>
      <c r="F484" s="25">
        <f>IF(E484="","",IF(COUNTIF(lst_Jobs,E484&amp;"")&gt;0,"OK","CHECK"))</f>
        <v/>
      </c>
      <c r="G484" s="24" t="n"/>
      <c r="H484" s="24" t="n"/>
      <c r="I484" s="24" t="n"/>
      <c r="J484" s="24" t="n"/>
      <c r="K484" s="24" t="n"/>
      <c r="L484" s="26" t="n"/>
      <c r="M484" s="27">
        <f>IF(L484="","",IF(K484="GST 10%",ROUND(L484*set_GSTRate,2),0))</f>
        <v/>
      </c>
      <c r="N484" s="27">
        <f>IF(L484="","",L484+M484)</f>
        <v/>
      </c>
      <c r="O484" s="24" t="n"/>
      <c r="P484" s="24" t="n"/>
      <c r="Q484" s="24" t="n"/>
      <c r="R484" s="22" t="n"/>
      <c r="S484" s="22" t="n"/>
      <c r="T484" s="24" t="n"/>
      <c r="U484" s="24" t="n"/>
      <c r="V484" s="25">
        <f>IF(COUNTA(A484,D484,C484,L484)=0,"",IF(A484="","No date - sits outside every month",IF(E484="","No job number",IF(F484="CHECK","Job number is not in the Xero job list",IF(I484="","No cost centre",IF(AND(P484="Y",C484=""),"Marked posted to Xero but has no invoice number",IF(AND(L484&lt;&gt;"",K484=""),"No tax code",IF(AND(L484&lt;&gt;"",O484=""),"No revenue GL code",""))))))))</f>
        <v/>
      </c>
      <c r="W484" s="25">
        <f>IF(E484="","",IFERROR(INDEX(lst_JobName,MATCH(E484&amp;"",lst_Jobs,0)),""))</f>
        <v/>
      </c>
      <c r="X484" s="28">
        <f>IF(E484="","",COUNTIFS(tbl_Finance[Job Number],E484&amp;"",tbl_Finance[Ex GST],"&lt;&gt;"))</f>
        <v/>
      </c>
      <c r="Y484" s="27">
        <f>IF(E484="","",SUMIFS(tbl_Finance[Ex GST],tbl_Finance[Job Number],E484&amp;""))</f>
        <v/>
      </c>
      <c r="Z484" s="27">
        <f>IF(E484="","",SUMIFS(tbl_Finance[Ex GST],tbl_Finance[Job Number],E484&amp;"",tbl_Finance[Xero Invoice No],"&lt;&gt;"))</f>
        <v/>
      </c>
      <c r="AA484" s="27">
        <f>IF(E484="","",Y484-Z484)</f>
        <v/>
      </c>
      <c r="AB484" s="25">
        <f>IF(E484="","",IF(H484="Onsite",IFERROR(INDEX(tbl_Onsite[Qwilr Quote],MATCH(E484&amp;"",tbl_Onsite[Job Number],0)),""),IF(H484="Production",IFERROR(IF(INDEX(tbl_Production[Current RMS No],MATCH(E484&amp;"",tbl_Production[Job Number],0))="",INDEX(tbl_Production[Qwilr Quote],MATCH(E484&amp;"",tbl_Production[Job Number],0)),INDEX(tbl_Production[Current RMS No],MATCH(E484&amp;"",tbl_Production[Job Number],0))),""),IF(H484="Consulting",IFERROR(INDEX(tbl_Consulting[Qwilr Quote],MATCH(E484&amp;"",tbl_Consulting[Job Number],0)),""),""))))</f>
        <v/>
      </c>
      <c r="AC484" s="25">
        <f>IF(AB484="","",IF(AND(LEFT(AB484,4)&lt;&gt;"http",IF(H484="Production",set_RMSBase,set_QwilrBase)=""),"",HYPERLINK(IF(LEFT(AB484,4)="http",AB484,IF(H484="Production",set_RMSBase,set_QwilrBase)&amp;AB484),"Open")))</f>
        <v/>
      </c>
      <c r="AD484" s="27">
        <f>IF(E484="","",IF(H484="Production",IFERROR(INDEX(tbl_Production[Total Expense],MATCH(E484&amp;"",tbl_Production[Job Number],0)),0),IF(H484="Consulting",IFERROR(INDEX(tbl_Consulting[Total Expense],MATCH(E484&amp;"",tbl_Consulting[Job Number],0)),0),0)))</f>
        <v/>
      </c>
      <c r="AE484" s="27">
        <f>IF(E484="","",Y484-N(AD484))</f>
        <v/>
      </c>
      <c r="AF484" s="29">
        <f>IFERROR(AE484/Y484,"")</f>
        <v/>
      </c>
      <c r="AG484" s="25">
        <f>IF(E484="","",IF(H484="Onsite",IFERROR(INDEX(tbl_Onsite[Notes],MATCH(E484&amp;"",tbl_Onsite[Job Number],0)),""),IF(H484="Production",IFERROR(INDEX(tbl_Production[Notes],MATCH(E484&amp;"",tbl_Production[Job Number],0)),""),IF(H484="Consulting",IFERROR(INDEX(tbl_Consulting[Notes],MATCH(E484&amp;"",tbl_Consulting[Job Number],0)),""),""))))</f>
        <v/>
      </c>
    </row>
    <row r="485" ht="15" customHeight="1">
      <c r="A485" s="22" t="n"/>
      <c r="B485" s="23">
        <f>IF(A485="","",EOMONTH(A485,0))</f>
        <v/>
      </c>
      <c r="C485" s="24" t="n"/>
      <c r="D485" s="24" t="n"/>
      <c r="E485" s="24" t="n"/>
      <c r="F485" s="25">
        <f>IF(E485="","",IF(COUNTIF(lst_Jobs,E485&amp;"")&gt;0,"OK","CHECK"))</f>
        <v/>
      </c>
      <c r="G485" s="24" t="n"/>
      <c r="H485" s="24" t="n"/>
      <c r="I485" s="24" t="n"/>
      <c r="J485" s="24" t="n"/>
      <c r="K485" s="24" t="n"/>
      <c r="L485" s="26" t="n"/>
      <c r="M485" s="27">
        <f>IF(L485="","",IF(K485="GST 10%",ROUND(L485*set_GSTRate,2),0))</f>
        <v/>
      </c>
      <c r="N485" s="27">
        <f>IF(L485="","",L485+M485)</f>
        <v/>
      </c>
      <c r="O485" s="24" t="n"/>
      <c r="P485" s="24" t="n"/>
      <c r="Q485" s="24" t="n"/>
      <c r="R485" s="22" t="n"/>
      <c r="S485" s="22" t="n"/>
      <c r="T485" s="24" t="n"/>
      <c r="U485" s="24" t="n"/>
      <c r="V485" s="25">
        <f>IF(COUNTA(A485,D485,C485,L485)=0,"",IF(A485="","No date - sits outside every month",IF(E485="","No job number",IF(F485="CHECK","Job number is not in the Xero job list",IF(I485="","No cost centre",IF(AND(P485="Y",C485=""),"Marked posted to Xero but has no invoice number",IF(AND(L485&lt;&gt;"",K485=""),"No tax code",IF(AND(L485&lt;&gt;"",O485=""),"No revenue GL code",""))))))))</f>
        <v/>
      </c>
      <c r="W485" s="25">
        <f>IF(E485="","",IFERROR(INDEX(lst_JobName,MATCH(E485&amp;"",lst_Jobs,0)),""))</f>
        <v/>
      </c>
      <c r="X485" s="28">
        <f>IF(E485="","",COUNTIFS(tbl_Finance[Job Number],E485&amp;"",tbl_Finance[Ex GST],"&lt;&gt;"))</f>
        <v/>
      </c>
      <c r="Y485" s="27">
        <f>IF(E485="","",SUMIFS(tbl_Finance[Ex GST],tbl_Finance[Job Number],E485&amp;""))</f>
        <v/>
      </c>
      <c r="Z485" s="27">
        <f>IF(E485="","",SUMIFS(tbl_Finance[Ex GST],tbl_Finance[Job Number],E485&amp;"",tbl_Finance[Xero Invoice No],"&lt;&gt;"))</f>
        <v/>
      </c>
      <c r="AA485" s="27">
        <f>IF(E485="","",Y485-Z485)</f>
        <v/>
      </c>
      <c r="AB485" s="25">
        <f>IF(E485="","",IF(H485="Onsite",IFERROR(INDEX(tbl_Onsite[Qwilr Quote],MATCH(E485&amp;"",tbl_Onsite[Job Number],0)),""),IF(H485="Production",IFERROR(IF(INDEX(tbl_Production[Current RMS No],MATCH(E485&amp;"",tbl_Production[Job Number],0))="",INDEX(tbl_Production[Qwilr Quote],MATCH(E485&amp;"",tbl_Production[Job Number],0)),INDEX(tbl_Production[Current RMS No],MATCH(E485&amp;"",tbl_Production[Job Number],0))),""),IF(H485="Consulting",IFERROR(INDEX(tbl_Consulting[Qwilr Quote],MATCH(E485&amp;"",tbl_Consulting[Job Number],0)),""),""))))</f>
        <v/>
      </c>
      <c r="AC485" s="25">
        <f>IF(AB485="","",IF(AND(LEFT(AB485,4)&lt;&gt;"http",IF(H485="Production",set_RMSBase,set_QwilrBase)=""),"",HYPERLINK(IF(LEFT(AB485,4)="http",AB485,IF(H485="Production",set_RMSBase,set_QwilrBase)&amp;AB485),"Open")))</f>
        <v/>
      </c>
      <c r="AD485" s="27">
        <f>IF(E485="","",IF(H485="Production",IFERROR(INDEX(tbl_Production[Total Expense],MATCH(E485&amp;"",tbl_Production[Job Number],0)),0),IF(H485="Consulting",IFERROR(INDEX(tbl_Consulting[Total Expense],MATCH(E485&amp;"",tbl_Consulting[Job Number],0)),0),0)))</f>
        <v/>
      </c>
      <c r="AE485" s="27">
        <f>IF(E485="","",Y485-N(AD485))</f>
        <v/>
      </c>
      <c r="AF485" s="29">
        <f>IFERROR(AE485/Y485,"")</f>
        <v/>
      </c>
      <c r="AG485" s="25">
        <f>IF(E485="","",IF(H485="Onsite",IFERROR(INDEX(tbl_Onsite[Notes],MATCH(E485&amp;"",tbl_Onsite[Job Number],0)),""),IF(H485="Production",IFERROR(INDEX(tbl_Production[Notes],MATCH(E485&amp;"",tbl_Production[Job Number],0)),""),IF(H485="Consulting",IFERROR(INDEX(tbl_Consulting[Notes],MATCH(E485&amp;"",tbl_Consulting[Job Number],0)),""),""))))</f>
        <v/>
      </c>
    </row>
    <row r="486" ht="15" customHeight="1">
      <c r="A486" s="22" t="n"/>
      <c r="B486" s="23">
        <f>IF(A486="","",EOMONTH(A486,0))</f>
        <v/>
      </c>
      <c r="C486" s="24" t="n"/>
      <c r="D486" s="24" t="n"/>
      <c r="E486" s="24" t="n"/>
      <c r="F486" s="25">
        <f>IF(E486="","",IF(COUNTIF(lst_Jobs,E486&amp;"")&gt;0,"OK","CHECK"))</f>
        <v/>
      </c>
      <c r="G486" s="24" t="n"/>
      <c r="H486" s="24" t="n"/>
      <c r="I486" s="24" t="n"/>
      <c r="J486" s="24" t="n"/>
      <c r="K486" s="24" t="n"/>
      <c r="L486" s="26" t="n"/>
      <c r="M486" s="27">
        <f>IF(L486="","",IF(K486="GST 10%",ROUND(L486*set_GSTRate,2),0))</f>
        <v/>
      </c>
      <c r="N486" s="27">
        <f>IF(L486="","",L486+M486)</f>
        <v/>
      </c>
      <c r="O486" s="24" t="n"/>
      <c r="P486" s="24" t="n"/>
      <c r="Q486" s="24" t="n"/>
      <c r="R486" s="22" t="n"/>
      <c r="S486" s="22" t="n"/>
      <c r="T486" s="24" t="n"/>
      <c r="U486" s="24" t="n"/>
      <c r="V486" s="25">
        <f>IF(COUNTA(A486,D486,C486,L486)=0,"",IF(A486="","No date - sits outside every month",IF(E486="","No job number",IF(F486="CHECK","Job number is not in the Xero job list",IF(I486="","No cost centre",IF(AND(P486="Y",C486=""),"Marked posted to Xero but has no invoice number",IF(AND(L486&lt;&gt;"",K486=""),"No tax code",IF(AND(L486&lt;&gt;"",O486=""),"No revenue GL code",""))))))))</f>
        <v/>
      </c>
      <c r="W486" s="25">
        <f>IF(E486="","",IFERROR(INDEX(lst_JobName,MATCH(E486&amp;"",lst_Jobs,0)),""))</f>
        <v/>
      </c>
      <c r="X486" s="28">
        <f>IF(E486="","",COUNTIFS(tbl_Finance[Job Number],E486&amp;"",tbl_Finance[Ex GST],"&lt;&gt;"))</f>
        <v/>
      </c>
      <c r="Y486" s="27">
        <f>IF(E486="","",SUMIFS(tbl_Finance[Ex GST],tbl_Finance[Job Number],E486&amp;""))</f>
        <v/>
      </c>
      <c r="Z486" s="27">
        <f>IF(E486="","",SUMIFS(tbl_Finance[Ex GST],tbl_Finance[Job Number],E486&amp;"",tbl_Finance[Xero Invoice No],"&lt;&gt;"))</f>
        <v/>
      </c>
      <c r="AA486" s="27">
        <f>IF(E486="","",Y486-Z486)</f>
        <v/>
      </c>
      <c r="AB486" s="25">
        <f>IF(E486="","",IF(H486="Onsite",IFERROR(INDEX(tbl_Onsite[Qwilr Quote],MATCH(E486&amp;"",tbl_Onsite[Job Number],0)),""),IF(H486="Production",IFERROR(IF(INDEX(tbl_Production[Current RMS No],MATCH(E486&amp;"",tbl_Production[Job Number],0))="",INDEX(tbl_Production[Qwilr Quote],MATCH(E486&amp;"",tbl_Production[Job Number],0)),INDEX(tbl_Production[Current RMS No],MATCH(E486&amp;"",tbl_Production[Job Number],0))),""),IF(H486="Consulting",IFERROR(INDEX(tbl_Consulting[Qwilr Quote],MATCH(E486&amp;"",tbl_Consulting[Job Number],0)),""),""))))</f>
        <v/>
      </c>
      <c r="AC486" s="25">
        <f>IF(AB486="","",IF(AND(LEFT(AB486,4)&lt;&gt;"http",IF(H486="Production",set_RMSBase,set_QwilrBase)=""),"",HYPERLINK(IF(LEFT(AB486,4)="http",AB486,IF(H486="Production",set_RMSBase,set_QwilrBase)&amp;AB486),"Open")))</f>
        <v/>
      </c>
      <c r="AD486" s="27">
        <f>IF(E486="","",IF(H486="Production",IFERROR(INDEX(tbl_Production[Total Expense],MATCH(E486&amp;"",tbl_Production[Job Number],0)),0),IF(H486="Consulting",IFERROR(INDEX(tbl_Consulting[Total Expense],MATCH(E486&amp;"",tbl_Consulting[Job Number],0)),0),0)))</f>
        <v/>
      </c>
      <c r="AE486" s="27">
        <f>IF(E486="","",Y486-N(AD486))</f>
        <v/>
      </c>
      <c r="AF486" s="29">
        <f>IFERROR(AE486/Y486,"")</f>
        <v/>
      </c>
      <c r="AG486" s="25">
        <f>IF(E486="","",IF(H486="Onsite",IFERROR(INDEX(tbl_Onsite[Notes],MATCH(E486&amp;"",tbl_Onsite[Job Number],0)),""),IF(H486="Production",IFERROR(INDEX(tbl_Production[Notes],MATCH(E486&amp;"",tbl_Production[Job Number],0)),""),IF(H486="Consulting",IFERROR(INDEX(tbl_Consulting[Notes],MATCH(E486&amp;"",tbl_Consulting[Job Number],0)),""),""))))</f>
        <v/>
      </c>
    </row>
    <row r="487" ht="15" customHeight="1">
      <c r="A487" s="22" t="n"/>
      <c r="B487" s="23">
        <f>IF(A487="","",EOMONTH(A487,0))</f>
        <v/>
      </c>
      <c r="C487" s="24" t="n"/>
      <c r="D487" s="24" t="n"/>
      <c r="E487" s="24" t="n"/>
      <c r="F487" s="25">
        <f>IF(E487="","",IF(COUNTIF(lst_Jobs,E487&amp;"")&gt;0,"OK","CHECK"))</f>
        <v/>
      </c>
      <c r="G487" s="24" t="n"/>
      <c r="H487" s="24" t="n"/>
      <c r="I487" s="24" t="n"/>
      <c r="J487" s="24" t="n"/>
      <c r="K487" s="24" t="n"/>
      <c r="L487" s="26" t="n"/>
      <c r="M487" s="27">
        <f>IF(L487="","",IF(K487="GST 10%",ROUND(L487*set_GSTRate,2),0))</f>
        <v/>
      </c>
      <c r="N487" s="27">
        <f>IF(L487="","",L487+M487)</f>
        <v/>
      </c>
      <c r="O487" s="24" t="n"/>
      <c r="P487" s="24" t="n"/>
      <c r="Q487" s="24" t="n"/>
      <c r="R487" s="22" t="n"/>
      <c r="S487" s="22" t="n"/>
      <c r="T487" s="24" t="n"/>
      <c r="U487" s="24" t="n"/>
      <c r="V487" s="25">
        <f>IF(COUNTA(A487,D487,C487,L487)=0,"",IF(A487="","No date - sits outside every month",IF(E487="","No job number",IF(F487="CHECK","Job number is not in the Xero job list",IF(I487="","No cost centre",IF(AND(P487="Y",C487=""),"Marked posted to Xero but has no invoice number",IF(AND(L487&lt;&gt;"",K487=""),"No tax code",IF(AND(L487&lt;&gt;"",O487=""),"No revenue GL code",""))))))))</f>
        <v/>
      </c>
      <c r="W487" s="25">
        <f>IF(E487="","",IFERROR(INDEX(lst_JobName,MATCH(E487&amp;"",lst_Jobs,0)),""))</f>
        <v/>
      </c>
      <c r="X487" s="28">
        <f>IF(E487="","",COUNTIFS(tbl_Finance[Job Number],E487&amp;"",tbl_Finance[Ex GST],"&lt;&gt;"))</f>
        <v/>
      </c>
      <c r="Y487" s="27">
        <f>IF(E487="","",SUMIFS(tbl_Finance[Ex GST],tbl_Finance[Job Number],E487&amp;""))</f>
        <v/>
      </c>
      <c r="Z487" s="27">
        <f>IF(E487="","",SUMIFS(tbl_Finance[Ex GST],tbl_Finance[Job Number],E487&amp;"",tbl_Finance[Xero Invoice No],"&lt;&gt;"))</f>
        <v/>
      </c>
      <c r="AA487" s="27">
        <f>IF(E487="","",Y487-Z487)</f>
        <v/>
      </c>
      <c r="AB487" s="25">
        <f>IF(E487="","",IF(H487="Onsite",IFERROR(INDEX(tbl_Onsite[Qwilr Quote],MATCH(E487&amp;"",tbl_Onsite[Job Number],0)),""),IF(H487="Production",IFERROR(IF(INDEX(tbl_Production[Current RMS No],MATCH(E487&amp;"",tbl_Production[Job Number],0))="",INDEX(tbl_Production[Qwilr Quote],MATCH(E487&amp;"",tbl_Production[Job Number],0)),INDEX(tbl_Production[Current RMS No],MATCH(E487&amp;"",tbl_Production[Job Number],0))),""),IF(H487="Consulting",IFERROR(INDEX(tbl_Consulting[Qwilr Quote],MATCH(E487&amp;"",tbl_Consulting[Job Number],0)),""),""))))</f>
        <v/>
      </c>
      <c r="AC487" s="25">
        <f>IF(AB487="","",IF(AND(LEFT(AB487,4)&lt;&gt;"http",IF(H487="Production",set_RMSBase,set_QwilrBase)=""),"",HYPERLINK(IF(LEFT(AB487,4)="http",AB487,IF(H487="Production",set_RMSBase,set_QwilrBase)&amp;AB487),"Open")))</f>
        <v/>
      </c>
      <c r="AD487" s="27">
        <f>IF(E487="","",IF(H487="Production",IFERROR(INDEX(tbl_Production[Total Expense],MATCH(E487&amp;"",tbl_Production[Job Number],0)),0),IF(H487="Consulting",IFERROR(INDEX(tbl_Consulting[Total Expense],MATCH(E487&amp;"",tbl_Consulting[Job Number],0)),0),0)))</f>
        <v/>
      </c>
      <c r="AE487" s="27">
        <f>IF(E487="","",Y487-N(AD487))</f>
        <v/>
      </c>
      <c r="AF487" s="29">
        <f>IFERROR(AE487/Y487,"")</f>
        <v/>
      </c>
      <c r="AG487" s="25">
        <f>IF(E487="","",IF(H487="Onsite",IFERROR(INDEX(tbl_Onsite[Notes],MATCH(E487&amp;"",tbl_Onsite[Job Number],0)),""),IF(H487="Production",IFERROR(INDEX(tbl_Production[Notes],MATCH(E487&amp;"",tbl_Production[Job Number],0)),""),IF(H487="Consulting",IFERROR(INDEX(tbl_Consulting[Notes],MATCH(E487&amp;"",tbl_Consulting[Job Number],0)),""),""))))</f>
        <v/>
      </c>
    </row>
    <row r="488" ht="15" customHeight="1">
      <c r="A488" s="22" t="n"/>
      <c r="B488" s="23">
        <f>IF(A488="","",EOMONTH(A488,0))</f>
        <v/>
      </c>
      <c r="C488" s="24" t="n"/>
      <c r="D488" s="24" t="n"/>
      <c r="E488" s="24" t="n"/>
      <c r="F488" s="25">
        <f>IF(E488="","",IF(COUNTIF(lst_Jobs,E488&amp;"")&gt;0,"OK","CHECK"))</f>
        <v/>
      </c>
      <c r="G488" s="24" t="n"/>
      <c r="H488" s="24" t="n"/>
      <c r="I488" s="24" t="n"/>
      <c r="J488" s="24" t="n"/>
      <c r="K488" s="24" t="n"/>
      <c r="L488" s="26" t="n"/>
      <c r="M488" s="27">
        <f>IF(L488="","",IF(K488="GST 10%",ROUND(L488*set_GSTRate,2),0))</f>
        <v/>
      </c>
      <c r="N488" s="27">
        <f>IF(L488="","",L488+M488)</f>
        <v/>
      </c>
      <c r="O488" s="24" t="n"/>
      <c r="P488" s="24" t="n"/>
      <c r="Q488" s="24" t="n"/>
      <c r="R488" s="22" t="n"/>
      <c r="S488" s="22" t="n"/>
      <c r="T488" s="24" t="n"/>
      <c r="U488" s="24" t="n"/>
      <c r="V488" s="25">
        <f>IF(COUNTA(A488,D488,C488,L488)=0,"",IF(A488="","No date - sits outside every month",IF(E488="","No job number",IF(F488="CHECK","Job number is not in the Xero job list",IF(I488="","No cost centre",IF(AND(P488="Y",C488=""),"Marked posted to Xero but has no invoice number",IF(AND(L488&lt;&gt;"",K488=""),"No tax code",IF(AND(L488&lt;&gt;"",O488=""),"No revenue GL code",""))))))))</f>
        <v/>
      </c>
      <c r="W488" s="25">
        <f>IF(E488="","",IFERROR(INDEX(lst_JobName,MATCH(E488&amp;"",lst_Jobs,0)),""))</f>
        <v/>
      </c>
      <c r="X488" s="28">
        <f>IF(E488="","",COUNTIFS(tbl_Finance[Job Number],E488&amp;"",tbl_Finance[Ex GST],"&lt;&gt;"))</f>
        <v/>
      </c>
      <c r="Y488" s="27">
        <f>IF(E488="","",SUMIFS(tbl_Finance[Ex GST],tbl_Finance[Job Number],E488&amp;""))</f>
        <v/>
      </c>
      <c r="Z488" s="27">
        <f>IF(E488="","",SUMIFS(tbl_Finance[Ex GST],tbl_Finance[Job Number],E488&amp;"",tbl_Finance[Xero Invoice No],"&lt;&gt;"))</f>
        <v/>
      </c>
      <c r="AA488" s="27">
        <f>IF(E488="","",Y488-Z488)</f>
        <v/>
      </c>
      <c r="AB488" s="25">
        <f>IF(E488="","",IF(H488="Onsite",IFERROR(INDEX(tbl_Onsite[Qwilr Quote],MATCH(E488&amp;"",tbl_Onsite[Job Number],0)),""),IF(H488="Production",IFERROR(IF(INDEX(tbl_Production[Current RMS No],MATCH(E488&amp;"",tbl_Production[Job Number],0))="",INDEX(tbl_Production[Qwilr Quote],MATCH(E488&amp;"",tbl_Production[Job Number],0)),INDEX(tbl_Production[Current RMS No],MATCH(E488&amp;"",tbl_Production[Job Number],0))),""),IF(H488="Consulting",IFERROR(INDEX(tbl_Consulting[Qwilr Quote],MATCH(E488&amp;"",tbl_Consulting[Job Number],0)),""),""))))</f>
        <v/>
      </c>
      <c r="AC488" s="25">
        <f>IF(AB488="","",IF(AND(LEFT(AB488,4)&lt;&gt;"http",IF(H488="Production",set_RMSBase,set_QwilrBase)=""),"",HYPERLINK(IF(LEFT(AB488,4)="http",AB488,IF(H488="Production",set_RMSBase,set_QwilrBase)&amp;AB488),"Open")))</f>
        <v/>
      </c>
      <c r="AD488" s="27">
        <f>IF(E488="","",IF(H488="Production",IFERROR(INDEX(tbl_Production[Total Expense],MATCH(E488&amp;"",tbl_Production[Job Number],0)),0),IF(H488="Consulting",IFERROR(INDEX(tbl_Consulting[Total Expense],MATCH(E488&amp;"",tbl_Consulting[Job Number],0)),0),0)))</f>
        <v/>
      </c>
      <c r="AE488" s="27">
        <f>IF(E488="","",Y488-N(AD488))</f>
        <v/>
      </c>
      <c r="AF488" s="29">
        <f>IFERROR(AE488/Y488,"")</f>
        <v/>
      </c>
      <c r="AG488" s="25">
        <f>IF(E488="","",IF(H488="Onsite",IFERROR(INDEX(tbl_Onsite[Notes],MATCH(E488&amp;"",tbl_Onsite[Job Number],0)),""),IF(H488="Production",IFERROR(INDEX(tbl_Production[Notes],MATCH(E488&amp;"",tbl_Production[Job Number],0)),""),IF(H488="Consulting",IFERROR(INDEX(tbl_Consulting[Notes],MATCH(E488&amp;"",tbl_Consulting[Job Number],0)),""),""))))</f>
        <v/>
      </c>
    </row>
    <row r="489" ht="15" customHeight="1">
      <c r="A489" s="22" t="n"/>
      <c r="B489" s="23">
        <f>IF(A489="","",EOMONTH(A489,0))</f>
        <v/>
      </c>
      <c r="C489" s="24" t="n"/>
      <c r="D489" s="24" t="n"/>
      <c r="E489" s="24" t="n"/>
      <c r="F489" s="25">
        <f>IF(E489="","",IF(COUNTIF(lst_Jobs,E489&amp;"")&gt;0,"OK","CHECK"))</f>
        <v/>
      </c>
      <c r="G489" s="24" t="n"/>
      <c r="H489" s="24" t="n"/>
      <c r="I489" s="24" t="n"/>
      <c r="J489" s="24" t="n"/>
      <c r="K489" s="24" t="n"/>
      <c r="L489" s="26" t="n"/>
      <c r="M489" s="27">
        <f>IF(L489="","",IF(K489="GST 10%",ROUND(L489*set_GSTRate,2),0))</f>
        <v/>
      </c>
      <c r="N489" s="27">
        <f>IF(L489="","",L489+M489)</f>
        <v/>
      </c>
      <c r="O489" s="24" t="n"/>
      <c r="P489" s="24" t="n"/>
      <c r="Q489" s="24" t="n"/>
      <c r="R489" s="22" t="n"/>
      <c r="S489" s="22" t="n"/>
      <c r="T489" s="24" t="n"/>
      <c r="U489" s="24" t="n"/>
      <c r="V489" s="25">
        <f>IF(COUNTA(A489,D489,C489,L489)=0,"",IF(A489="","No date - sits outside every month",IF(E489="","No job number",IF(F489="CHECK","Job number is not in the Xero job list",IF(I489="","No cost centre",IF(AND(P489="Y",C489=""),"Marked posted to Xero but has no invoice number",IF(AND(L489&lt;&gt;"",K489=""),"No tax code",IF(AND(L489&lt;&gt;"",O489=""),"No revenue GL code",""))))))))</f>
        <v/>
      </c>
      <c r="W489" s="25">
        <f>IF(E489="","",IFERROR(INDEX(lst_JobName,MATCH(E489&amp;"",lst_Jobs,0)),""))</f>
        <v/>
      </c>
      <c r="X489" s="28">
        <f>IF(E489="","",COUNTIFS(tbl_Finance[Job Number],E489&amp;"",tbl_Finance[Ex GST],"&lt;&gt;"))</f>
        <v/>
      </c>
      <c r="Y489" s="27">
        <f>IF(E489="","",SUMIFS(tbl_Finance[Ex GST],tbl_Finance[Job Number],E489&amp;""))</f>
        <v/>
      </c>
      <c r="Z489" s="27">
        <f>IF(E489="","",SUMIFS(tbl_Finance[Ex GST],tbl_Finance[Job Number],E489&amp;"",tbl_Finance[Xero Invoice No],"&lt;&gt;"))</f>
        <v/>
      </c>
      <c r="AA489" s="27">
        <f>IF(E489="","",Y489-Z489)</f>
        <v/>
      </c>
      <c r="AB489" s="25">
        <f>IF(E489="","",IF(H489="Onsite",IFERROR(INDEX(tbl_Onsite[Qwilr Quote],MATCH(E489&amp;"",tbl_Onsite[Job Number],0)),""),IF(H489="Production",IFERROR(IF(INDEX(tbl_Production[Current RMS No],MATCH(E489&amp;"",tbl_Production[Job Number],0))="",INDEX(tbl_Production[Qwilr Quote],MATCH(E489&amp;"",tbl_Production[Job Number],0)),INDEX(tbl_Production[Current RMS No],MATCH(E489&amp;"",tbl_Production[Job Number],0))),""),IF(H489="Consulting",IFERROR(INDEX(tbl_Consulting[Qwilr Quote],MATCH(E489&amp;"",tbl_Consulting[Job Number],0)),""),""))))</f>
        <v/>
      </c>
      <c r="AC489" s="25">
        <f>IF(AB489="","",IF(AND(LEFT(AB489,4)&lt;&gt;"http",IF(H489="Production",set_RMSBase,set_QwilrBase)=""),"",HYPERLINK(IF(LEFT(AB489,4)="http",AB489,IF(H489="Production",set_RMSBase,set_QwilrBase)&amp;AB489),"Open")))</f>
        <v/>
      </c>
      <c r="AD489" s="27">
        <f>IF(E489="","",IF(H489="Production",IFERROR(INDEX(tbl_Production[Total Expense],MATCH(E489&amp;"",tbl_Production[Job Number],0)),0),IF(H489="Consulting",IFERROR(INDEX(tbl_Consulting[Total Expense],MATCH(E489&amp;"",tbl_Consulting[Job Number],0)),0),0)))</f>
        <v/>
      </c>
      <c r="AE489" s="27">
        <f>IF(E489="","",Y489-N(AD489))</f>
        <v/>
      </c>
      <c r="AF489" s="29">
        <f>IFERROR(AE489/Y489,"")</f>
        <v/>
      </c>
      <c r="AG489" s="25">
        <f>IF(E489="","",IF(H489="Onsite",IFERROR(INDEX(tbl_Onsite[Notes],MATCH(E489&amp;"",tbl_Onsite[Job Number],0)),""),IF(H489="Production",IFERROR(INDEX(tbl_Production[Notes],MATCH(E489&amp;"",tbl_Production[Job Number],0)),""),IF(H489="Consulting",IFERROR(INDEX(tbl_Consulting[Notes],MATCH(E489&amp;"",tbl_Consulting[Job Number],0)),""),""))))</f>
        <v/>
      </c>
    </row>
    <row r="490" ht="15" customHeight="1">
      <c r="A490" s="22" t="n"/>
      <c r="B490" s="23">
        <f>IF(A490="","",EOMONTH(A490,0))</f>
        <v/>
      </c>
      <c r="C490" s="24" t="n"/>
      <c r="D490" s="24" t="n"/>
      <c r="E490" s="24" t="n"/>
      <c r="F490" s="25">
        <f>IF(E490="","",IF(COUNTIF(lst_Jobs,E490&amp;"")&gt;0,"OK","CHECK"))</f>
        <v/>
      </c>
      <c r="G490" s="24" t="n"/>
      <c r="H490" s="24" t="n"/>
      <c r="I490" s="24" t="n"/>
      <c r="J490" s="24" t="n"/>
      <c r="K490" s="24" t="n"/>
      <c r="L490" s="26" t="n"/>
      <c r="M490" s="27">
        <f>IF(L490="","",IF(K490="GST 10%",ROUND(L490*set_GSTRate,2),0))</f>
        <v/>
      </c>
      <c r="N490" s="27">
        <f>IF(L490="","",L490+M490)</f>
        <v/>
      </c>
      <c r="O490" s="24" t="n"/>
      <c r="P490" s="24" t="n"/>
      <c r="Q490" s="24" t="n"/>
      <c r="R490" s="22" t="n"/>
      <c r="S490" s="22" t="n"/>
      <c r="T490" s="24" t="n"/>
      <c r="U490" s="24" t="n"/>
      <c r="V490" s="25">
        <f>IF(COUNTA(A490,D490,C490,L490)=0,"",IF(A490="","No date - sits outside every month",IF(E490="","No job number",IF(F490="CHECK","Job number is not in the Xero job list",IF(I490="","No cost centre",IF(AND(P490="Y",C490=""),"Marked posted to Xero but has no invoice number",IF(AND(L490&lt;&gt;"",K490=""),"No tax code",IF(AND(L490&lt;&gt;"",O490=""),"No revenue GL code",""))))))))</f>
        <v/>
      </c>
      <c r="W490" s="25">
        <f>IF(E490="","",IFERROR(INDEX(lst_JobName,MATCH(E490&amp;"",lst_Jobs,0)),""))</f>
        <v/>
      </c>
      <c r="X490" s="28">
        <f>IF(E490="","",COUNTIFS(tbl_Finance[Job Number],E490&amp;"",tbl_Finance[Ex GST],"&lt;&gt;"))</f>
        <v/>
      </c>
      <c r="Y490" s="27">
        <f>IF(E490="","",SUMIFS(tbl_Finance[Ex GST],tbl_Finance[Job Number],E490&amp;""))</f>
        <v/>
      </c>
      <c r="Z490" s="27">
        <f>IF(E490="","",SUMIFS(tbl_Finance[Ex GST],tbl_Finance[Job Number],E490&amp;"",tbl_Finance[Xero Invoice No],"&lt;&gt;"))</f>
        <v/>
      </c>
      <c r="AA490" s="27">
        <f>IF(E490="","",Y490-Z490)</f>
        <v/>
      </c>
      <c r="AB490" s="25">
        <f>IF(E490="","",IF(H490="Onsite",IFERROR(INDEX(tbl_Onsite[Qwilr Quote],MATCH(E490&amp;"",tbl_Onsite[Job Number],0)),""),IF(H490="Production",IFERROR(IF(INDEX(tbl_Production[Current RMS No],MATCH(E490&amp;"",tbl_Production[Job Number],0))="",INDEX(tbl_Production[Qwilr Quote],MATCH(E490&amp;"",tbl_Production[Job Number],0)),INDEX(tbl_Production[Current RMS No],MATCH(E490&amp;"",tbl_Production[Job Number],0))),""),IF(H490="Consulting",IFERROR(INDEX(tbl_Consulting[Qwilr Quote],MATCH(E490&amp;"",tbl_Consulting[Job Number],0)),""),""))))</f>
        <v/>
      </c>
      <c r="AC490" s="25">
        <f>IF(AB490="","",IF(AND(LEFT(AB490,4)&lt;&gt;"http",IF(H490="Production",set_RMSBase,set_QwilrBase)=""),"",HYPERLINK(IF(LEFT(AB490,4)="http",AB490,IF(H490="Production",set_RMSBase,set_QwilrBase)&amp;AB490),"Open")))</f>
        <v/>
      </c>
      <c r="AD490" s="27">
        <f>IF(E490="","",IF(H490="Production",IFERROR(INDEX(tbl_Production[Total Expense],MATCH(E490&amp;"",tbl_Production[Job Number],0)),0),IF(H490="Consulting",IFERROR(INDEX(tbl_Consulting[Total Expense],MATCH(E490&amp;"",tbl_Consulting[Job Number],0)),0),0)))</f>
        <v/>
      </c>
      <c r="AE490" s="27">
        <f>IF(E490="","",Y490-N(AD490))</f>
        <v/>
      </c>
      <c r="AF490" s="29">
        <f>IFERROR(AE490/Y490,"")</f>
        <v/>
      </c>
      <c r="AG490" s="25">
        <f>IF(E490="","",IF(H490="Onsite",IFERROR(INDEX(tbl_Onsite[Notes],MATCH(E490&amp;"",tbl_Onsite[Job Number],0)),""),IF(H490="Production",IFERROR(INDEX(tbl_Production[Notes],MATCH(E490&amp;"",tbl_Production[Job Number],0)),""),IF(H490="Consulting",IFERROR(INDEX(tbl_Consulting[Notes],MATCH(E490&amp;"",tbl_Consulting[Job Number],0)),""),""))))</f>
        <v/>
      </c>
    </row>
    <row r="491" ht="15" customHeight="1">
      <c r="A491" s="22" t="n"/>
      <c r="B491" s="23">
        <f>IF(A491="","",EOMONTH(A491,0))</f>
        <v/>
      </c>
      <c r="C491" s="24" t="n"/>
      <c r="D491" s="24" t="n"/>
      <c r="E491" s="24" t="n"/>
      <c r="F491" s="25">
        <f>IF(E491="","",IF(COUNTIF(lst_Jobs,E491&amp;"")&gt;0,"OK","CHECK"))</f>
        <v/>
      </c>
      <c r="G491" s="24" t="n"/>
      <c r="H491" s="24" t="n"/>
      <c r="I491" s="24" t="n"/>
      <c r="J491" s="24" t="n"/>
      <c r="K491" s="24" t="n"/>
      <c r="L491" s="26" t="n"/>
      <c r="M491" s="27">
        <f>IF(L491="","",IF(K491="GST 10%",ROUND(L491*set_GSTRate,2),0))</f>
        <v/>
      </c>
      <c r="N491" s="27">
        <f>IF(L491="","",L491+M491)</f>
        <v/>
      </c>
      <c r="O491" s="24" t="n"/>
      <c r="P491" s="24" t="n"/>
      <c r="Q491" s="24" t="n"/>
      <c r="R491" s="22" t="n"/>
      <c r="S491" s="22" t="n"/>
      <c r="T491" s="24" t="n"/>
      <c r="U491" s="24" t="n"/>
      <c r="V491" s="25">
        <f>IF(COUNTA(A491,D491,C491,L491)=0,"",IF(A491="","No date - sits outside every month",IF(E491="","No job number",IF(F491="CHECK","Job number is not in the Xero job list",IF(I491="","No cost centre",IF(AND(P491="Y",C491=""),"Marked posted to Xero but has no invoice number",IF(AND(L491&lt;&gt;"",K491=""),"No tax code",IF(AND(L491&lt;&gt;"",O491=""),"No revenue GL code",""))))))))</f>
        <v/>
      </c>
      <c r="W491" s="25">
        <f>IF(E491="","",IFERROR(INDEX(lst_JobName,MATCH(E491&amp;"",lst_Jobs,0)),""))</f>
        <v/>
      </c>
      <c r="X491" s="28">
        <f>IF(E491="","",COUNTIFS(tbl_Finance[Job Number],E491&amp;"",tbl_Finance[Ex GST],"&lt;&gt;"))</f>
        <v/>
      </c>
      <c r="Y491" s="27">
        <f>IF(E491="","",SUMIFS(tbl_Finance[Ex GST],tbl_Finance[Job Number],E491&amp;""))</f>
        <v/>
      </c>
      <c r="Z491" s="27">
        <f>IF(E491="","",SUMIFS(tbl_Finance[Ex GST],tbl_Finance[Job Number],E491&amp;"",tbl_Finance[Xero Invoice No],"&lt;&gt;"))</f>
        <v/>
      </c>
      <c r="AA491" s="27">
        <f>IF(E491="","",Y491-Z491)</f>
        <v/>
      </c>
      <c r="AB491" s="25">
        <f>IF(E491="","",IF(H491="Onsite",IFERROR(INDEX(tbl_Onsite[Qwilr Quote],MATCH(E491&amp;"",tbl_Onsite[Job Number],0)),""),IF(H491="Production",IFERROR(IF(INDEX(tbl_Production[Current RMS No],MATCH(E491&amp;"",tbl_Production[Job Number],0))="",INDEX(tbl_Production[Qwilr Quote],MATCH(E491&amp;"",tbl_Production[Job Number],0)),INDEX(tbl_Production[Current RMS No],MATCH(E491&amp;"",tbl_Production[Job Number],0))),""),IF(H491="Consulting",IFERROR(INDEX(tbl_Consulting[Qwilr Quote],MATCH(E491&amp;"",tbl_Consulting[Job Number],0)),""),""))))</f>
        <v/>
      </c>
      <c r="AC491" s="25">
        <f>IF(AB491="","",IF(AND(LEFT(AB491,4)&lt;&gt;"http",IF(H491="Production",set_RMSBase,set_QwilrBase)=""),"",HYPERLINK(IF(LEFT(AB491,4)="http",AB491,IF(H491="Production",set_RMSBase,set_QwilrBase)&amp;AB491),"Open")))</f>
        <v/>
      </c>
      <c r="AD491" s="27">
        <f>IF(E491="","",IF(H491="Production",IFERROR(INDEX(tbl_Production[Total Expense],MATCH(E491&amp;"",tbl_Production[Job Number],0)),0),IF(H491="Consulting",IFERROR(INDEX(tbl_Consulting[Total Expense],MATCH(E491&amp;"",tbl_Consulting[Job Number],0)),0),0)))</f>
        <v/>
      </c>
      <c r="AE491" s="27">
        <f>IF(E491="","",Y491-N(AD491))</f>
        <v/>
      </c>
      <c r="AF491" s="29">
        <f>IFERROR(AE491/Y491,"")</f>
        <v/>
      </c>
      <c r="AG491" s="25">
        <f>IF(E491="","",IF(H491="Onsite",IFERROR(INDEX(tbl_Onsite[Notes],MATCH(E491&amp;"",tbl_Onsite[Job Number],0)),""),IF(H491="Production",IFERROR(INDEX(tbl_Production[Notes],MATCH(E491&amp;"",tbl_Production[Job Number],0)),""),IF(H491="Consulting",IFERROR(INDEX(tbl_Consulting[Notes],MATCH(E491&amp;"",tbl_Consulting[Job Number],0)),""),""))))</f>
        <v/>
      </c>
    </row>
    <row r="492" ht="15" customHeight="1">
      <c r="A492" s="22" t="n"/>
      <c r="B492" s="23">
        <f>IF(A492="","",EOMONTH(A492,0))</f>
        <v/>
      </c>
      <c r="C492" s="24" t="n"/>
      <c r="D492" s="24" t="n"/>
      <c r="E492" s="24" t="n"/>
      <c r="F492" s="25">
        <f>IF(E492="","",IF(COUNTIF(lst_Jobs,E492&amp;"")&gt;0,"OK","CHECK"))</f>
        <v/>
      </c>
      <c r="G492" s="24" t="n"/>
      <c r="H492" s="24" t="n"/>
      <c r="I492" s="24" t="n"/>
      <c r="J492" s="24" t="n"/>
      <c r="K492" s="24" t="n"/>
      <c r="L492" s="26" t="n"/>
      <c r="M492" s="27">
        <f>IF(L492="","",IF(K492="GST 10%",ROUND(L492*set_GSTRate,2),0))</f>
        <v/>
      </c>
      <c r="N492" s="27">
        <f>IF(L492="","",L492+M492)</f>
        <v/>
      </c>
      <c r="O492" s="24" t="n"/>
      <c r="P492" s="24" t="n"/>
      <c r="Q492" s="24" t="n"/>
      <c r="R492" s="22" t="n"/>
      <c r="S492" s="22" t="n"/>
      <c r="T492" s="24" t="n"/>
      <c r="U492" s="24" t="n"/>
      <c r="V492" s="25">
        <f>IF(COUNTA(A492,D492,C492,L492)=0,"",IF(A492="","No date - sits outside every month",IF(E492="","No job number",IF(F492="CHECK","Job number is not in the Xero job list",IF(I492="","No cost centre",IF(AND(P492="Y",C492=""),"Marked posted to Xero but has no invoice number",IF(AND(L492&lt;&gt;"",K492=""),"No tax code",IF(AND(L492&lt;&gt;"",O492=""),"No revenue GL code",""))))))))</f>
        <v/>
      </c>
      <c r="W492" s="25">
        <f>IF(E492="","",IFERROR(INDEX(lst_JobName,MATCH(E492&amp;"",lst_Jobs,0)),""))</f>
        <v/>
      </c>
      <c r="X492" s="28">
        <f>IF(E492="","",COUNTIFS(tbl_Finance[Job Number],E492&amp;"",tbl_Finance[Ex GST],"&lt;&gt;"))</f>
        <v/>
      </c>
      <c r="Y492" s="27">
        <f>IF(E492="","",SUMIFS(tbl_Finance[Ex GST],tbl_Finance[Job Number],E492&amp;""))</f>
        <v/>
      </c>
      <c r="Z492" s="27">
        <f>IF(E492="","",SUMIFS(tbl_Finance[Ex GST],tbl_Finance[Job Number],E492&amp;"",tbl_Finance[Xero Invoice No],"&lt;&gt;"))</f>
        <v/>
      </c>
      <c r="AA492" s="27">
        <f>IF(E492="","",Y492-Z492)</f>
        <v/>
      </c>
      <c r="AB492" s="25">
        <f>IF(E492="","",IF(H492="Onsite",IFERROR(INDEX(tbl_Onsite[Qwilr Quote],MATCH(E492&amp;"",tbl_Onsite[Job Number],0)),""),IF(H492="Production",IFERROR(IF(INDEX(tbl_Production[Current RMS No],MATCH(E492&amp;"",tbl_Production[Job Number],0))="",INDEX(tbl_Production[Qwilr Quote],MATCH(E492&amp;"",tbl_Production[Job Number],0)),INDEX(tbl_Production[Current RMS No],MATCH(E492&amp;"",tbl_Production[Job Number],0))),""),IF(H492="Consulting",IFERROR(INDEX(tbl_Consulting[Qwilr Quote],MATCH(E492&amp;"",tbl_Consulting[Job Number],0)),""),""))))</f>
        <v/>
      </c>
      <c r="AC492" s="25">
        <f>IF(AB492="","",IF(AND(LEFT(AB492,4)&lt;&gt;"http",IF(H492="Production",set_RMSBase,set_QwilrBase)=""),"",HYPERLINK(IF(LEFT(AB492,4)="http",AB492,IF(H492="Production",set_RMSBase,set_QwilrBase)&amp;AB492),"Open")))</f>
        <v/>
      </c>
      <c r="AD492" s="27">
        <f>IF(E492="","",IF(H492="Production",IFERROR(INDEX(tbl_Production[Total Expense],MATCH(E492&amp;"",tbl_Production[Job Number],0)),0),IF(H492="Consulting",IFERROR(INDEX(tbl_Consulting[Total Expense],MATCH(E492&amp;"",tbl_Consulting[Job Number],0)),0),0)))</f>
        <v/>
      </c>
      <c r="AE492" s="27">
        <f>IF(E492="","",Y492-N(AD492))</f>
        <v/>
      </c>
      <c r="AF492" s="29">
        <f>IFERROR(AE492/Y492,"")</f>
        <v/>
      </c>
      <c r="AG492" s="25">
        <f>IF(E492="","",IF(H492="Onsite",IFERROR(INDEX(tbl_Onsite[Notes],MATCH(E492&amp;"",tbl_Onsite[Job Number],0)),""),IF(H492="Production",IFERROR(INDEX(tbl_Production[Notes],MATCH(E492&amp;"",tbl_Production[Job Number],0)),""),IF(H492="Consulting",IFERROR(INDEX(tbl_Consulting[Notes],MATCH(E492&amp;"",tbl_Consulting[Job Number],0)),""),""))))</f>
        <v/>
      </c>
    </row>
    <row r="493" ht="15" customHeight="1">
      <c r="A493" s="22" t="n"/>
      <c r="B493" s="23">
        <f>IF(A493="","",EOMONTH(A493,0))</f>
        <v/>
      </c>
      <c r="C493" s="24" t="n"/>
      <c r="D493" s="24" t="n"/>
      <c r="E493" s="24" t="n"/>
      <c r="F493" s="25">
        <f>IF(E493="","",IF(COUNTIF(lst_Jobs,E493&amp;"")&gt;0,"OK","CHECK"))</f>
        <v/>
      </c>
      <c r="G493" s="24" t="n"/>
      <c r="H493" s="24" t="n"/>
      <c r="I493" s="24" t="n"/>
      <c r="J493" s="24" t="n"/>
      <c r="K493" s="24" t="n"/>
      <c r="L493" s="26" t="n"/>
      <c r="M493" s="27">
        <f>IF(L493="","",IF(K493="GST 10%",ROUND(L493*set_GSTRate,2),0))</f>
        <v/>
      </c>
      <c r="N493" s="27">
        <f>IF(L493="","",L493+M493)</f>
        <v/>
      </c>
      <c r="O493" s="24" t="n"/>
      <c r="P493" s="24" t="n"/>
      <c r="Q493" s="24" t="n"/>
      <c r="R493" s="22" t="n"/>
      <c r="S493" s="22" t="n"/>
      <c r="T493" s="24" t="n"/>
      <c r="U493" s="24" t="n"/>
      <c r="V493" s="25">
        <f>IF(COUNTA(A493,D493,C493,L493)=0,"",IF(A493="","No date - sits outside every month",IF(E493="","No job number",IF(F493="CHECK","Job number is not in the Xero job list",IF(I493="","No cost centre",IF(AND(P493="Y",C493=""),"Marked posted to Xero but has no invoice number",IF(AND(L493&lt;&gt;"",K493=""),"No tax code",IF(AND(L493&lt;&gt;"",O493=""),"No revenue GL code",""))))))))</f>
        <v/>
      </c>
      <c r="W493" s="25">
        <f>IF(E493="","",IFERROR(INDEX(lst_JobName,MATCH(E493&amp;"",lst_Jobs,0)),""))</f>
        <v/>
      </c>
      <c r="X493" s="28">
        <f>IF(E493="","",COUNTIFS(tbl_Finance[Job Number],E493&amp;"",tbl_Finance[Ex GST],"&lt;&gt;"))</f>
        <v/>
      </c>
      <c r="Y493" s="27">
        <f>IF(E493="","",SUMIFS(tbl_Finance[Ex GST],tbl_Finance[Job Number],E493&amp;""))</f>
        <v/>
      </c>
      <c r="Z493" s="27">
        <f>IF(E493="","",SUMIFS(tbl_Finance[Ex GST],tbl_Finance[Job Number],E493&amp;"",tbl_Finance[Xero Invoice No],"&lt;&gt;"))</f>
        <v/>
      </c>
      <c r="AA493" s="27">
        <f>IF(E493="","",Y493-Z493)</f>
        <v/>
      </c>
      <c r="AB493" s="25">
        <f>IF(E493="","",IF(H493="Onsite",IFERROR(INDEX(tbl_Onsite[Qwilr Quote],MATCH(E493&amp;"",tbl_Onsite[Job Number],0)),""),IF(H493="Production",IFERROR(IF(INDEX(tbl_Production[Current RMS No],MATCH(E493&amp;"",tbl_Production[Job Number],0))="",INDEX(tbl_Production[Qwilr Quote],MATCH(E493&amp;"",tbl_Production[Job Number],0)),INDEX(tbl_Production[Current RMS No],MATCH(E493&amp;"",tbl_Production[Job Number],0))),""),IF(H493="Consulting",IFERROR(INDEX(tbl_Consulting[Qwilr Quote],MATCH(E493&amp;"",tbl_Consulting[Job Number],0)),""),""))))</f>
        <v/>
      </c>
      <c r="AC493" s="25">
        <f>IF(AB493="","",IF(AND(LEFT(AB493,4)&lt;&gt;"http",IF(H493="Production",set_RMSBase,set_QwilrBase)=""),"",HYPERLINK(IF(LEFT(AB493,4)="http",AB493,IF(H493="Production",set_RMSBase,set_QwilrBase)&amp;AB493),"Open")))</f>
        <v/>
      </c>
      <c r="AD493" s="27">
        <f>IF(E493="","",IF(H493="Production",IFERROR(INDEX(tbl_Production[Total Expense],MATCH(E493&amp;"",tbl_Production[Job Number],0)),0),IF(H493="Consulting",IFERROR(INDEX(tbl_Consulting[Total Expense],MATCH(E493&amp;"",tbl_Consulting[Job Number],0)),0),0)))</f>
        <v/>
      </c>
      <c r="AE493" s="27">
        <f>IF(E493="","",Y493-N(AD493))</f>
        <v/>
      </c>
      <c r="AF493" s="29">
        <f>IFERROR(AE493/Y493,"")</f>
        <v/>
      </c>
      <c r="AG493" s="25">
        <f>IF(E493="","",IF(H493="Onsite",IFERROR(INDEX(tbl_Onsite[Notes],MATCH(E493&amp;"",tbl_Onsite[Job Number],0)),""),IF(H493="Production",IFERROR(INDEX(tbl_Production[Notes],MATCH(E493&amp;"",tbl_Production[Job Number],0)),""),IF(H493="Consulting",IFERROR(INDEX(tbl_Consulting[Notes],MATCH(E493&amp;"",tbl_Consulting[Job Number],0)),""),""))))</f>
        <v/>
      </c>
    </row>
    <row r="494" ht="15" customHeight="1">
      <c r="A494" s="22" t="n"/>
      <c r="B494" s="23">
        <f>IF(A494="","",EOMONTH(A494,0))</f>
        <v/>
      </c>
      <c r="C494" s="24" t="n"/>
      <c r="D494" s="24" t="n"/>
      <c r="E494" s="24" t="n"/>
      <c r="F494" s="25">
        <f>IF(E494="","",IF(COUNTIF(lst_Jobs,E494&amp;"")&gt;0,"OK","CHECK"))</f>
        <v/>
      </c>
      <c r="G494" s="24" t="n"/>
      <c r="H494" s="24" t="n"/>
      <c r="I494" s="24" t="n"/>
      <c r="J494" s="24" t="n"/>
      <c r="K494" s="24" t="n"/>
      <c r="L494" s="26" t="n"/>
      <c r="M494" s="27">
        <f>IF(L494="","",IF(K494="GST 10%",ROUND(L494*set_GSTRate,2),0))</f>
        <v/>
      </c>
      <c r="N494" s="27">
        <f>IF(L494="","",L494+M494)</f>
        <v/>
      </c>
      <c r="O494" s="24" t="n"/>
      <c r="P494" s="24" t="n"/>
      <c r="Q494" s="24" t="n"/>
      <c r="R494" s="22" t="n"/>
      <c r="S494" s="22" t="n"/>
      <c r="T494" s="24" t="n"/>
      <c r="U494" s="24" t="n"/>
      <c r="V494" s="25">
        <f>IF(COUNTA(A494,D494,C494,L494)=0,"",IF(A494="","No date - sits outside every month",IF(E494="","No job number",IF(F494="CHECK","Job number is not in the Xero job list",IF(I494="","No cost centre",IF(AND(P494="Y",C494=""),"Marked posted to Xero but has no invoice number",IF(AND(L494&lt;&gt;"",K494=""),"No tax code",IF(AND(L494&lt;&gt;"",O494=""),"No revenue GL code",""))))))))</f>
        <v/>
      </c>
      <c r="W494" s="25">
        <f>IF(E494="","",IFERROR(INDEX(lst_JobName,MATCH(E494&amp;"",lst_Jobs,0)),""))</f>
        <v/>
      </c>
      <c r="X494" s="28">
        <f>IF(E494="","",COUNTIFS(tbl_Finance[Job Number],E494&amp;"",tbl_Finance[Ex GST],"&lt;&gt;"))</f>
        <v/>
      </c>
      <c r="Y494" s="27">
        <f>IF(E494="","",SUMIFS(tbl_Finance[Ex GST],tbl_Finance[Job Number],E494&amp;""))</f>
        <v/>
      </c>
      <c r="Z494" s="27">
        <f>IF(E494="","",SUMIFS(tbl_Finance[Ex GST],tbl_Finance[Job Number],E494&amp;"",tbl_Finance[Xero Invoice No],"&lt;&gt;"))</f>
        <v/>
      </c>
      <c r="AA494" s="27">
        <f>IF(E494="","",Y494-Z494)</f>
        <v/>
      </c>
      <c r="AB494" s="25">
        <f>IF(E494="","",IF(H494="Onsite",IFERROR(INDEX(tbl_Onsite[Qwilr Quote],MATCH(E494&amp;"",tbl_Onsite[Job Number],0)),""),IF(H494="Production",IFERROR(IF(INDEX(tbl_Production[Current RMS No],MATCH(E494&amp;"",tbl_Production[Job Number],0))="",INDEX(tbl_Production[Qwilr Quote],MATCH(E494&amp;"",tbl_Production[Job Number],0)),INDEX(tbl_Production[Current RMS No],MATCH(E494&amp;"",tbl_Production[Job Number],0))),""),IF(H494="Consulting",IFERROR(INDEX(tbl_Consulting[Qwilr Quote],MATCH(E494&amp;"",tbl_Consulting[Job Number],0)),""),""))))</f>
        <v/>
      </c>
      <c r="AC494" s="25">
        <f>IF(AB494="","",IF(AND(LEFT(AB494,4)&lt;&gt;"http",IF(H494="Production",set_RMSBase,set_QwilrBase)=""),"",HYPERLINK(IF(LEFT(AB494,4)="http",AB494,IF(H494="Production",set_RMSBase,set_QwilrBase)&amp;AB494),"Open")))</f>
        <v/>
      </c>
      <c r="AD494" s="27">
        <f>IF(E494="","",IF(H494="Production",IFERROR(INDEX(tbl_Production[Total Expense],MATCH(E494&amp;"",tbl_Production[Job Number],0)),0),IF(H494="Consulting",IFERROR(INDEX(tbl_Consulting[Total Expense],MATCH(E494&amp;"",tbl_Consulting[Job Number],0)),0),0)))</f>
        <v/>
      </c>
      <c r="AE494" s="27">
        <f>IF(E494="","",Y494-N(AD494))</f>
        <v/>
      </c>
      <c r="AF494" s="29">
        <f>IFERROR(AE494/Y494,"")</f>
        <v/>
      </c>
      <c r="AG494" s="25">
        <f>IF(E494="","",IF(H494="Onsite",IFERROR(INDEX(tbl_Onsite[Notes],MATCH(E494&amp;"",tbl_Onsite[Job Number],0)),""),IF(H494="Production",IFERROR(INDEX(tbl_Production[Notes],MATCH(E494&amp;"",tbl_Production[Job Number],0)),""),IF(H494="Consulting",IFERROR(INDEX(tbl_Consulting[Notes],MATCH(E494&amp;"",tbl_Consulting[Job Number],0)),""),""))))</f>
        <v/>
      </c>
    </row>
    <row r="495" ht="15" customHeight="1">
      <c r="A495" s="22" t="n"/>
      <c r="B495" s="23">
        <f>IF(A495="","",EOMONTH(A495,0))</f>
        <v/>
      </c>
      <c r="C495" s="24" t="n"/>
      <c r="D495" s="24" t="n"/>
      <c r="E495" s="24" t="n"/>
      <c r="F495" s="25">
        <f>IF(E495="","",IF(COUNTIF(lst_Jobs,E495&amp;"")&gt;0,"OK","CHECK"))</f>
        <v/>
      </c>
      <c r="G495" s="24" t="n"/>
      <c r="H495" s="24" t="n"/>
      <c r="I495" s="24" t="n"/>
      <c r="J495" s="24" t="n"/>
      <c r="K495" s="24" t="n"/>
      <c r="L495" s="26" t="n"/>
      <c r="M495" s="27">
        <f>IF(L495="","",IF(K495="GST 10%",ROUND(L495*set_GSTRate,2),0))</f>
        <v/>
      </c>
      <c r="N495" s="27">
        <f>IF(L495="","",L495+M495)</f>
        <v/>
      </c>
      <c r="O495" s="24" t="n"/>
      <c r="P495" s="24" t="n"/>
      <c r="Q495" s="24" t="n"/>
      <c r="R495" s="22" t="n"/>
      <c r="S495" s="22" t="n"/>
      <c r="T495" s="24" t="n"/>
      <c r="U495" s="24" t="n"/>
      <c r="V495" s="25">
        <f>IF(COUNTA(A495,D495,C495,L495)=0,"",IF(A495="","No date - sits outside every month",IF(E495="","No job number",IF(F495="CHECK","Job number is not in the Xero job list",IF(I495="","No cost centre",IF(AND(P495="Y",C495=""),"Marked posted to Xero but has no invoice number",IF(AND(L495&lt;&gt;"",K495=""),"No tax code",IF(AND(L495&lt;&gt;"",O495=""),"No revenue GL code",""))))))))</f>
        <v/>
      </c>
      <c r="W495" s="25">
        <f>IF(E495="","",IFERROR(INDEX(lst_JobName,MATCH(E495&amp;"",lst_Jobs,0)),""))</f>
        <v/>
      </c>
      <c r="X495" s="28">
        <f>IF(E495="","",COUNTIFS(tbl_Finance[Job Number],E495&amp;"",tbl_Finance[Ex GST],"&lt;&gt;"))</f>
        <v/>
      </c>
      <c r="Y495" s="27">
        <f>IF(E495="","",SUMIFS(tbl_Finance[Ex GST],tbl_Finance[Job Number],E495&amp;""))</f>
        <v/>
      </c>
      <c r="Z495" s="27">
        <f>IF(E495="","",SUMIFS(tbl_Finance[Ex GST],tbl_Finance[Job Number],E495&amp;"",tbl_Finance[Xero Invoice No],"&lt;&gt;"))</f>
        <v/>
      </c>
      <c r="AA495" s="27">
        <f>IF(E495="","",Y495-Z495)</f>
        <v/>
      </c>
      <c r="AB495" s="25">
        <f>IF(E495="","",IF(H495="Onsite",IFERROR(INDEX(tbl_Onsite[Qwilr Quote],MATCH(E495&amp;"",tbl_Onsite[Job Number],0)),""),IF(H495="Production",IFERROR(IF(INDEX(tbl_Production[Current RMS No],MATCH(E495&amp;"",tbl_Production[Job Number],0))="",INDEX(tbl_Production[Qwilr Quote],MATCH(E495&amp;"",tbl_Production[Job Number],0)),INDEX(tbl_Production[Current RMS No],MATCH(E495&amp;"",tbl_Production[Job Number],0))),""),IF(H495="Consulting",IFERROR(INDEX(tbl_Consulting[Qwilr Quote],MATCH(E495&amp;"",tbl_Consulting[Job Number],0)),""),""))))</f>
        <v/>
      </c>
      <c r="AC495" s="25">
        <f>IF(AB495="","",IF(AND(LEFT(AB495,4)&lt;&gt;"http",IF(H495="Production",set_RMSBase,set_QwilrBase)=""),"",HYPERLINK(IF(LEFT(AB495,4)="http",AB495,IF(H495="Production",set_RMSBase,set_QwilrBase)&amp;AB495),"Open")))</f>
        <v/>
      </c>
      <c r="AD495" s="27">
        <f>IF(E495="","",IF(H495="Production",IFERROR(INDEX(tbl_Production[Total Expense],MATCH(E495&amp;"",tbl_Production[Job Number],0)),0),IF(H495="Consulting",IFERROR(INDEX(tbl_Consulting[Total Expense],MATCH(E495&amp;"",tbl_Consulting[Job Number],0)),0),0)))</f>
        <v/>
      </c>
      <c r="AE495" s="27">
        <f>IF(E495="","",Y495-N(AD495))</f>
        <v/>
      </c>
      <c r="AF495" s="29">
        <f>IFERROR(AE495/Y495,"")</f>
        <v/>
      </c>
      <c r="AG495" s="25">
        <f>IF(E495="","",IF(H495="Onsite",IFERROR(INDEX(tbl_Onsite[Notes],MATCH(E495&amp;"",tbl_Onsite[Job Number],0)),""),IF(H495="Production",IFERROR(INDEX(tbl_Production[Notes],MATCH(E495&amp;"",tbl_Production[Job Number],0)),""),IF(H495="Consulting",IFERROR(INDEX(tbl_Consulting[Notes],MATCH(E495&amp;"",tbl_Consulting[Job Number],0)),""),""))))</f>
        <v/>
      </c>
    </row>
    <row r="496" ht="15" customHeight="1">
      <c r="A496" s="22" t="n"/>
      <c r="B496" s="23">
        <f>IF(A496="","",EOMONTH(A496,0))</f>
        <v/>
      </c>
      <c r="C496" s="24" t="n"/>
      <c r="D496" s="24" t="n"/>
      <c r="E496" s="24" t="n"/>
      <c r="F496" s="25">
        <f>IF(E496="","",IF(COUNTIF(lst_Jobs,E496&amp;"")&gt;0,"OK","CHECK"))</f>
        <v/>
      </c>
      <c r="G496" s="24" t="n"/>
      <c r="H496" s="24" t="n"/>
      <c r="I496" s="24" t="n"/>
      <c r="J496" s="24" t="n"/>
      <c r="K496" s="24" t="n"/>
      <c r="L496" s="26" t="n"/>
      <c r="M496" s="27">
        <f>IF(L496="","",IF(K496="GST 10%",ROUND(L496*set_GSTRate,2),0))</f>
        <v/>
      </c>
      <c r="N496" s="27">
        <f>IF(L496="","",L496+M496)</f>
        <v/>
      </c>
      <c r="O496" s="24" t="n"/>
      <c r="P496" s="24" t="n"/>
      <c r="Q496" s="24" t="n"/>
      <c r="R496" s="22" t="n"/>
      <c r="S496" s="22" t="n"/>
      <c r="T496" s="24" t="n"/>
      <c r="U496" s="24" t="n"/>
      <c r="V496" s="25">
        <f>IF(COUNTA(A496,D496,C496,L496)=0,"",IF(A496="","No date - sits outside every month",IF(E496="","No job number",IF(F496="CHECK","Job number is not in the Xero job list",IF(I496="","No cost centre",IF(AND(P496="Y",C496=""),"Marked posted to Xero but has no invoice number",IF(AND(L496&lt;&gt;"",K496=""),"No tax code",IF(AND(L496&lt;&gt;"",O496=""),"No revenue GL code",""))))))))</f>
        <v/>
      </c>
      <c r="W496" s="25">
        <f>IF(E496="","",IFERROR(INDEX(lst_JobName,MATCH(E496&amp;"",lst_Jobs,0)),""))</f>
        <v/>
      </c>
      <c r="X496" s="28">
        <f>IF(E496="","",COUNTIFS(tbl_Finance[Job Number],E496&amp;"",tbl_Finance[Ex GST],"&lt;&gt;"))</f>
        <v/>
      </c>
      <c r="Y496" s="27">
        <f>IF(E496="","",SUMIFS(tbl_Finance[Ex GST],tbl_Finance[Job Number],E496&amp;""))</f>
        <v/>
      </c>
      <c r="Z496" s="27">
        <f>IF(E496="","",SUMIFS(tbl_Finance[Ex GST],tbl_Finance[Job Number],E496&amp;"",tbl_Finance[Xero Invoice No],"&lt;&gt;"))</f>
        <v/>
      </c>
      <c r="AA496" s="27">
        <f>IF(E496="","",Y496-Z496)</f>
        <v/>
      </c>
      <c r="AB496" s="25">
        <f>IF(E496="","",IF(H496="Onsite",IFERROR(INDEX(tbl_Onsite[Qwilr Quote],MATCH(E496&amp;"",tbl_Onsite[Job Number],0)),""),IF(H496="Production",IFERROR(IF(INDEX(tbl_Production[Current RMS No],MATCH(E496&amp;"",tbl_Production[Job Number],0))="",INDEX(tbl_Production[Qwilr Quote],MATCH(E496&amp;"",tbl_Production[Job Number],0)),INDEX(tbl_Production[Current RMS No],MATCH(E496&amp;"",tbl_Production[Job Number],0))),""),IF(H496="Consulting",IFERROR(INDEX(tbl_Consulting[Qwilr Quote],MATCH(E496&amp;"",tbl_Consulting[Job Number],0)),""),""))))</f>
        <v/>
      </c>
      <c r="AC496" s="25">
        <f>IF(AB496="","",IF(AND(LEFT(AB496,4)&lt;&gt;"http",IF(H496="Production",set_RMSBase,set_QwilrBase)=""),"",HYPERLINK(IF(LEFT(AB496,4)="http",AB496,IF(H496="Production",set_RMSBase,set_QwilrBase)&amp;AB496),"Open")))</f>
        <v/>
      </c>
      <c r="AD496" s="27">
        <f>IF(E496="","",IF(H496="Production",IFERROR(INDEX(tbl_Production[Total Expense],MATCH(E496&amp;"",tbl_Production[Job Number],0)),0),IF(H496="Consulting",IFERROR(INDEX(tbl_Consulting[Total Expense],MATCH(E496&amp;"",tbl_Consulting[Job Number],0)),0),0)))</f>
        <v/>
      </c>
      <c r="AE496" s="27">
        <f>IF(E496="","",Y496-N(AD496))</f>
        <v/>
      </c>
      <c r="AF496" s="29">
        <f>IFERROR(AE496/Y496,"")</f>
        <v/>
      </c>
      <c r="AG496" s="25">
        <f>IF(E496="","",IF(H496="Onsite",IFERROR(INDEX(tbl_Onsite[Notes],MATCH(E496&amp;"",tbl_Onsite[Job Number],0)),""),IF(H496="Production",IFERROR(INDEX(tbl_Production[Notes],MATCH(E496&amp;"",tbl_Production[Job Number],0)),""),IF(H496="Consulting",IFERROR(INDEX(tbl_Consulting[Notes],MATCH(E496&amp;"",tbl_Consulting[Job Number],0)),""),""))))</f>
        <v/>
      </c>
    </row>
    <row r="497" ht="15" customHeight="1">
      <c r="A497" s="22" t="n"/>
      <c r="B497" s="23">
        <f>IF(A497="","",EOMONTH(A497,0))</f>
        <v/>
      </c>
      <c r="C497" s="24" t="n"/>
      <c r="D497" s="24" t="n"/>
      <c r="E497" s="24" t="n"/>
      <c r="F497" s="25">
        <f>IF(E497="","",IF(COUNTIF(lst_Jobs,E497&amp;"")&gt;0,"OK","CHECK"))</f>
        <v/>
      </c>
      <c r="G497" s="24" t="n"/>
      <c r="H497" s="24" t="n"/>
      <c r="I497" s="24" t="n"/>
      <c r="J497" s="24" t="n"/>
      <c r="K497" s="24" t="n"/>
      <c r="L497" s="26" t="n"/>
      <c r="M497" s="27">
        <f>IF(L497="","",IF(K497="GST 10%",ROUND(L497*set_GSTRate,2),0))</f>
        <v/>
      </c>
      <c r="N497" s="27">
        <f>IF(L497="","",L497+M497)</f>
        <v/>
      </c>
      <c r="O497" s="24" t="n"/>
      <c r="P497" s="24" t="n"/>
      <c r="Q497" s="24" t="n"/>
      <c r="R497" s="22" t="n"/>
      <c r="S497" s="22" t="n"/>
      <c r="T497" s="24" t="n"/>
      <c r="U497" s="24" t="n"/>
      <c r="V497" s="25">
        <f>IF(COUNTA(A497,D497,C497,L497)=0,"",IF(A497="","No date - sits outside every month",IF(E497="","No job number",IF(F497="CHECK","Job number is not in the Xero job list",IF(I497="","No cost centre",IF(AND(P497="Y",C497=""),"Marked posted to Xero but has no invoice number",IF(AND(L497&lt;&gt;"",K497=""),"No tax code",IF(AND(L497&lt;&gt;"",O497=""),"No revenue GL code",""))))))))</f>
        <v/>
      </c>
      <c r="W497" s="25">
        <f>IF(E497="","",IFERROR(INDEX(lst_JobName,MATCH(E497&amp;"",lst_Jobs,0)),""))</f>
        <v/>
      </c>
      <c r="X497" s="28">
        <f>IF(E497="","",COUNTIFS(tbl_Finance[Job Number],E497&amp;"",tbl_Finance[Ex GST],"&lt;&gt;"))</f>
        <v/>
      </c>
      <c r="Y497" s="27">
        <f>IF(E497="","",SUMIFS(tbl_Finance[Ex GST],tbl_Finance[Job Number],E497&amp;""))</f>
        <v/>
      </c>
      <c r="Z497" s="27">
        <f>IF(E497="","",SUMIFS(tbl_Finance[Ex GST],tbl_Finance[Job Number],E497&amp;"",tbl_Finance[Xero Invoice No],"&lt;&gt;"))</f>
        <v/>
      </c>
      <c r="AA497" s="27">
        <f>IF(E497="","",Y497-Z497)</f>
        <v/>
      </c>
      <c r="AB497" s="25">
        <f>IF(E497="","",IF(H497="Onsite",IFERROR(INDEX(tbl_Onsite[Qwilr Quote],MATCH(E497&amp;"",tbl_Onsite[Job Number],0)),""),IF(H497="Production",IFERROR(IF(INDEX(tbl_Production[Current RMS No],MATCH(E497&amp;"",tbl_Production[Job Number],0))="",INDEX(tbl_Production[Qwilr Quote],MATCH(E497&amp;"",tbl_Production[Job Number],0)),INDEX(tbl_Production[Current RMS No],MATCH(E497&amp;"",tbl_Production[Job Number],0))),""),IF(H497="Consulting",IFERROR(INDEX(tbl_Consulting[Qwilr Quote],MATCH(E497&amp;"",tbl_Consulting[Job Number],0)),""),""))))</f>
        <v/>
      </c>
      <c r="AC497" s="25">
        <f>IF(AB497="","",IF(AND(LEFT(AB497,4)&lt;&gt;"http",IF(H497="Production",set_RMSBase,set_QwilrBase)=""),"",HYPERLINK(IF(LEFT(AB497,4)="http",AB497,IF(H497="Production",set_RMSBase,set_QwilrBase)&amp;AB497),"Open")))</f>
        <v/>
      </c>
      <c r="AD497" s="27">
        <f>IF(E497="","",IF(H497="Production",IFERROR(INDEX(tbl_Production[Total Expense],MATCH(E497&amp;"",tbl_Production[Job Number],0)),0),IF(H497="Consulting",IFERROR(INDEX(tbl_Consulting[Total Expense],MATCH(E497&amp;"",tbl_Consulting[Job Number],0)),0),0)))</f>
        <v/>
      </c>
      <c r="AE497" s="27">
        <f>IF(E497="","",Y497-N(AD497))</f>
        <v/>
      </c>
      <c r="AF497" s="29">
        <f>IFERROR(AE497/Y497,"")</f>
        <v/>
      </c>
      <c r="AG497" s="25">
        <f>IF(E497="","",IF(H497="Onsite",IFERROR(INDEX(tbl_Onsite[Notes],MATCH(E497&amp;"",tbl_Onsite[Job Number],0)),""),IF(H497="Production",IFERROR(INDEX(tbl_Production[Notes],MATCH(E497&amp;"",tbl_Production[Job Number],0)),""),IF(H497="Consulting",IFERROR(INDEX(tbl_Consulting[Notes],MATCH(E497&amp;"",tbl_Consulting[Job Number],0)),""),""))))</f>
        <v/>
      </c>
    </row>
    <row r="498" ht="15" customHeight="1">
      <c r="A498" s="22" t="n"/>
      <c r="B498" s="23">
        <f>IF(A498="","",EOMONTH(A498,0))</f>
        <v/>
      </c>
      <c r="C498" s="24" t="n"/>
      <c r="D498" s="24" t="n"/>
      <c r="E498" s="24" t="n"/>
      <c r="F498" s="25">
        <f>IF(E498="","",IF(COUNTIF(lst_Jobs,E498&amp;"")&gt;0,"OK","CHECK"))</f>
        <v/>
      </c>
      <c r="G498" s="24" t="n"/>
      <c r="H498" s="24" t="n"/>
      <c r="I498" s="24" t="n"/>
      <c r="J498" s="24" t="n"/>
      <c r="K498" s="24" t="n"/>
      <c r="L498" s="26" t="n"/>
      <c r="M498" s="27">
        <f>IF(L498="","",IF(K498="GST 10%",ROUND(L498*set_GSTRate,2),0))</f>
        <v/>
      </c>
      <c r="N498" s="27">
        <f>IF(L498="","",L498+M498)</f>
        <v/>
      </c>
      <c r="O498" s="24" t="n"/>
      <c r="P498" s="24" t="n"/>
      <c r="Q498" s="24" t="n"/>
      <c r="R498" s="22" t="n"/>
      <c r="S498" s="22" t="n"/>
      <c r="T498" s="24" t="n"/>
      <c r="U498" s="24" t="n"/>
      <c r="V498" s="25">
        <f>IF(COUNTA(A498,D498,C498,L498)=0,"",IF(A498="","No date - sits outside every month",IF(E498="","No job number",IF(F498="CHECK","Job number is not in the Xero job list",IF(I498="","No cost centre",IF(AND(P498="Y",C498=""),"Marked posted to Xero but has no invoice number",IF(AND(L498&lt;&gt;"",K498=""),"No tax code",IF(AND(L498&lt;&gt;"",O498=""),"No revenue GL code",""))))))))</f>
        <v/>
      </c>
      <c r="W498" s="25">
        <f>IF(E498="","",IFERROR(INDEX(lst_JobName,MATCH(E498&amp;"",lst_Jobs,0)),""))</f>
        <v/>
      </c>
      <c r="X498" s="28">
        <f>IF(E498="","",COUNTIFS(tbl_Finance[Job Number],E498&amp;"",tbl_Finance[Ex GST],"&lt;&gt;"))</f>
        <v/>
      </c>
      <c r="Y498" s="27">
        <f>IF(E498="","",SUMIFS(tbl_Finance[Ex GST],tbl_Finance[Job Number],E498&amp;""))</f>
        <v/>
      </c>
      <c r="Z498" s="27">
        <f>IF(E498="","",SUMIFS(tbl_Finance[Ex GST],tbl_Finance[Job Number],E498&amp;"",tbl_Finance[Xero Invoice No],"&lt;&gt;"))</f>
        <v/>
      </c>
      <c r="AA498" s="27">
        <f>IF(E498="","",Y498-Z498)</f>
        <v/>
      </c>
      <c r="AB498" s="25">
        <f>IF(E498="","",IF(H498="Onsite",IFERROR(INDEX(tbl_Onsite[Qwilr Quote],MATCH(E498&amp;"",tbl_Onsite[Job Number],0)),""),IF(H498="Production",IFERROR(IF(INDEX(tbl_Production[Current RMS No],MATCH(E498&amp;"",tbl_Production[Job Number],0))="",INDEX(tbl_Production[Qwilr Quote],MATCH(E498&amp;"",tbl_Production[Job Number],0)),INDEX(tbl_Production[Current RMS No],MATCH(E498&amp;"",tbl_Production[Job Number],0))),""),IF(H498="Consulting",IFERROR(INDEX(tbl_Consulting[Qwilr Quote],MATCH(E498&amp;"",tbl_Consulting[Job Number],0)),""),""))))</f>
        <v/>
      </c>
      <c r="AC498" s="25">
        <f>IF(AB498="","",IF(AND(LEFT(AB498,4)&lt;&gt;"http",IF(H498="Production",set_RMSBase,set_QwilrBase)=""),"",HYPERLINK(IF(LEFT(AB498,4)="http",AB498,IF(H498="Production",set_RMSBase,set_QwilrBase)&amp;AB498),"Open")))</f>
        <v/>
      </c>
      <c r="AD498" s="27">
        <f>IF(E498="","",IF(H498="Production",IFERROR(INDEX(tbl_Production[Total Expense],MATCH(E498&amp;"",tbl_Production[Job Number],0)),0),IF(H498="Consulting",IFERROR(INDEX(tbl_Consulting[Total Expense],MATCH(E498&amp;"",tbl_Consulting[Job Number],0)),0),0)))</f>
        <v/>
      </c>
      <c r="AE498" s="27">
        <f>IF(E498="","",Y498-N(AD498))</f>
        <v/>
      </c>
      <c r="AF498" s="29">
        <f>IFERROR(AE498/Y498,"")</f>
        <v/>
      </c>
      <c r="AG498" s="25">
        <f>IF(E498="","",IF(H498="Onsite",IFERROR(INDEX(tbl_Onsite[Notes],MATCH(E498&amp;"",tbl_Onsite[Job Number],0)),""),IF(H498="Production",IFERROR(INDEX(tbl_Production[Notes],MATCH(E498&amp;"",tbl_Production[Job Number],0)),""),IF(H498="Consulting",IFERROR(INDEX(tbl_Consulting[Notes],MATCH(E498&amp;"",tbl_Consulting[Job Number],0)),""),""))))</f>
        <v/>
      </c>
    </row>
    <row r="499" ht="15" customHeight="1">
      <c r="A499" s="22" t="n"/>
      <c r="B499" s="23">
        <f>IF(A499="","",EOMONTH(A499,0))</f>
        <v/>
      </c>
      <c r="C499" s="24" t="n"/>
      <c r="D499" s="24" t="n"/>
      <c r="E499" s="24" t="n"/>
      <c r="F499" s="25">
        <f>IF(E499="","",IF(COUNTIF(lst_Jobs,E499&amp;"")&gt;0,"OK","CHECK"))</f>
        <v/>
      </c>
      <c r="G499" s="24" t="n"/>
      <c r="H499" s="24" t="n"/>
      <c r="I499" s="24" t="n"/>
      <c r="J499" s="24" t="n"/>
      <c r="K499" s="24" t="n"/>
      <c r="L499" s="26" t="n"/>
      <c r="M499" s="27">
        <f>IF(L499="","",IF(K499="GST 10%",ROUND(L499*set_GSTRate,2),0))</f>
        <v/>
      </c>
      <c r="N499" s="27">
        <f>IF(L499="","",L499+M499)</f>
        <v/>
      </c>
      <c r="O499" s="24" t="n"/>
      <c r="P499" s="24" t="n"/>
      <c r="Q499" s="24" t="n"/>
      <c r="R499" s="22" t="n"/>
      <c r="S499" s="22" t="n"/>
      <c r="T499" s="24" t="n"/>
      <c r="U499" s="24" t="n"/>
      <c r="V499" s="25">
        <f>IF(COUNTA(A499,D499,C499,L499)=0,"",IF(A499="","No date - sits outside every month",IF(E499="","No job number",IF(F499="CHECK","Job number is not in the Xero job list",IF(I499="","No cost centre",IF(AND(P499="Y",C499=""),"Marked posted to Xero but has no invoice number",IF(AND(L499&lt;&gt;"",K499=""),"No tax code",IF(AND(L499&lt;&gt;"",O499=""),"No revenue GL code",""))))))))</f>
        <v/>
      </c>
      <c r="W499" s="25">
        <f>IF(E499="","",IFERROR(INDEX(lst_JobName,MATCH(E499&amp;"",lst_Jobs,0)),""))</f>
        <v/>
      </c>
      <c r="X499" s="28">
        <f>IF(E499="","",COUNTIFS(tbl_Finance[Job Number],E499&amp;"",tbl_Finance[Ex GST],"&lt;&gt;"))</f>
        <v/>
      </c>
      <c r="Y499" s="27">
        <f>IF(E499="","",SUMIFS(tbl_Finance[Ex GST],tbl_Finance[Job Number],E499&amp;""))</f>
        <v/>
      </c>
      <c r="Z499" s="27">
        <f>IF(E499="","",SUMIFS(tbl_Finance[Ex GST],tbl_Finance[Job Number],E499&amp;"",tbl_Finance[Xero Invoice No],"&lt;&gt;"))</f>
        <v/>
      </c>
      <c r="AA499" s="27">
        <f>IF(E499="","",Y499-Z499)</f>
        <v/>
      </c>
      <c r="AB499" s="25">
        <f>IF(E499="","",IF(H499="Onsite",IFERROR(INDEX(tbl_Onsite[Qwilr Quote],MATCH(E499&amp;"",tbl_Onsite[Job Number],0)),""),IF(H499="Production",IFERROR(IF(INDEX(tbl_Production[Current RMS No],MATCH(E499&amp;"",tbl_Production[Job Number],0))="",INDEX(tbl_Production[Qwilr Quote],MATCH(E499&amp;"",tbl_Production[Job Number],0)),INDEX(tbl_Production[Current RMS No],MATCH(E499&amp;"",tbl_Production[Job Number],0))),""),IF(H499="Consulting",IFERROR(INDEX(tbl_Consulting[Qwilr Quote],MATCH(E499&amp;"",tbl_Consulting[Job Number],0)),""),""))))</f>
        <v/>
      </c>
      <c r="AC499" s="25">
        <f>IF(AB499="","",IF(AND(LEFT(AB499,4)&lt;&gt;"http",IF(H499="Production",set_RMSBase,set_QwilrBase)=""),"",HYPERLINK(IF(LEFT(AB499,4)="http",AB499,IF(H499="Production",set_RMSBase,set_QwilrBase)&amp;AB499),"Open")))</f>
        <v/>
      </c>
      <c r="AD499" s="27">
        <f>IF(E499="","",IF(H499="Production",IFERROR(INDEX(tbl_Production[Total Expense],MATCH(E499&amp;"",tbl_Production[Job Number],0)),0),IF(H499="Consulting",IFERROR(INDEX(tbl_Consulting[Total Expense],MATCH(E499&amp;"",tbl_Consulting[Job Number],0)),0),0)))</f>
        <v/>
      </c>
      <c r="AE499" s="27">
        <f>IF(E499="","",Y499-N(AD499))</f>
        <v/>
      </c>
      <c r="AF499" s="29">
        <f>IFERROR(AE499/Y499,"")</f>
        <v/>
      </c>
      <c r="AG499" s="25">
        <f>IF(E499="","",IF(H499="Onsite",IFERROR(INDEX(tbl_Onsite[Notes],MATCH(E499&amp;"",tbl_Onsite[Job Number],0)),""),IF(H499="Production",IFERROR(INDEX(tbl_Production[Notes],MATCH(E499&amp;"",tbl_Production[Job Number],0)),""),IF(H499="Consulting",IFERROR(INDEX(tbl_Consulting[Notes],MATCH(E499&amp;"",tbl_Consulting[Job Number],0)),""),""))))</f>
        <v/>
      </c>
    </row>
    <row r="500" ht="15" customHeight="1">
      <c r="A500" s="22" t="n"/>
      <c r="B500" s="23">
        <f>IF(A500="","",EOMONTH(A500,0))</f>
        <v/>
      </c>
      <c r="C500" s="24" t="n"/>
      <c r="D500" s="24" t="n"/>
      <c r="E500" s="24" t="n"/>
      <c r="F500" s="25">
        <f>IF(E500="","",IF(COUNTIF(lst_Jobs,E500&amp;"")&gt;0,"OK","CHECK"))</f>
        <v/>
      </c>
      <c r="G500" s="24" t="n"/>
      <c r="H500" s="24" t="n"/>
      <c r="I500" s="24" t="n"/>
      <c r="J500" s="24" t="n"/>
      <c r="K500" s="24" t="n"/>
      <c r="L500" s="26" t="n"/>
      <c r="M500" s="27">
        <f>IF(L500="","",IF(K500="GST 10%",ROUND(L500*set_GSTRate,2),0))</f>
        <v/>
      </c>
      <c r="N500" s="27">
        <f>IF(L500="","",L500+M500)</f>
        <v/>
      </c>
      <c r="O500" s="24" t="n"/>
      <c r="P500" s="24" t="n"/>
      <c r="Q500" s="24" t="n"/>
      <c r="R500" s="22" t="n"/>
      <c r="S500" s="22" t="n"/>
      <c r="T500" s="24" t="n"/>
      <c r="U500" s="24" t="n"/>
      <c r="V500" s="25">
        <f>IF(COUNTA(A500,D500,C500,L500)=0,"",IF(A500="","No date - sits outside every month",IF(E500="","No job number",IF(F500="CHECK","Job number is not in the Xero job list",IF(I500="","No cost centre",IF(AND(P500="Y",C500=""),"Marked posted to Xero but has no invoice number",IF(AND(L500&lt;&gt;"",K500=""),"No tax code",IF(AND(L500&lt;&gt;"",O500=""),"No revenue GL code",""))))))))</f>
        <v/>
      </c>
      <c r="W500" s="25">
        <f>IF(E500="","",IFERROR(INDEX(lst_JobName,MATCH(E500&amp;"",lst_Jobs,0)),""))</f>
        <v/>
      </c>
      <c r="X500" s="28">
        <f>IF(E500="","",COUNTIFS(tbl_Finance[Job Number],E500&amp;"",tbl_Finance[Ex GST],"&lt;&gt;"))</f>
        <v/>
      </c>
      <c r="Y500" s="27">
        <f>IF(E500="","",SUMIFS(tbl_Finance[Ex GST],tbl_Finance[Job Number],E500&amp;""))</f>
        <v/>
      </c>
      <c r="Z500" s="27">
        <f>IF(E500="","",SUMIFS(tbl_Finance[Ex GST],tbl_Finance[Job Number],E500&amp;"",tbl_Finance[Xero Invoice No],"&lt;&gt;"))</f>
        <v/>
      </c>
      <c r="AA500" s="27">
        <f>IF(E500="","",Y500-Z500)</f>
        <v/>
      </c>
      <c r="AB500" s="25">
        <f>IF(E500="","",IF(H500="Onsite",IFERROR(INDEX(tbl_Onsite[Qwilr Quote],MATCH(E500&amp;"",tbl_Onsite[Job Number],0)),""),IF(H500="Production",IFERROR(IF(INDEX(tbl_Production[Current RMS No],MATCH(E500&amp;"",tbl_Production[Job Number],0))="",INDEX(tbl_Production[Qwilr Quote],MATCH(E500&amp;"",tbl_Production[Job Number],0)),INDEX(tbl_Production[Current RMS No],MATCH(E500&amp;"",tbl_Production[Job Number],0))),""),IF(H500="Consulting",IFERROR(INDEX(tbl_Consulting[Qwilr Quote],MATCH(E500&amp;"",tbl_Consulting[Job Number],0)),""),""))))</f>
        <v/>
      </c>
      <c r="AC500" s="25">
        <f>IF(AB500="","",IF(AND(LEFT(AB500,4)&lt;&gt;"http",IF(H500="Production",set_RMSBase,set_QwilrBase)=""),"",HYPERLINK(IF(LEFT(AB500,4)="http",AB500,IF(H500="Production",set_RMSBase,set_QwilrBase)&amp;AB500),"Open")))</f>
        <v/>
      </c>
      <c r="AD500" s="27">
        <f>IF(E500="","",IF(H500="Production",IFERROR(INDEX(tbl_Production[Total Expense],MATCH(E500&amp;"",tbl_Production[Job Number],0)),0),IF(H500="Consulting",IFERROR(INDEX(tbl_Consulting[Total Expense],MATCH(E500&amp;"",tbl_Consulting[Job Number],0)),0),0)))</f>
        <v/>
      </c>
      <c r="AE500" s="27">
        <f>IF(E500="","",Y500-N(AD500))</f>
        <v/>
      </c>
      <c r="AF500" s="29">
        <f>IFERROR(AE500/Y500,"")</f>
        <v/>
      </c>
      <c r="AG500" s="25">
        <f>IF(E500="","",IF(H500="Onsite",IFERROR(INDEX(tbl_Onsite[Notes],MATCH(E500&amp;"",tbl_Onsite[Job Number],0)),""),IF(H500="Production",IFERROR(INDEX(tbl_Production[Notes],MATCH(E500&amp;"",tbl_Production[Job Number],0)),""),IF(H500="Consulting",IFERROR(INDEX(tbl_Consulting[Notes],MATCH(E500&amp;"",tbl_Consulting[Job Number],0)),""),""))))</f>
        <v/>
      </c>
    </row>
    <row r="501" ht="15" customHeight="1">
      <c r="A501" s="22" t="n"/>
      <c r="B501" s="23">
        <f>IF(A501="","",EOMONTH(A501,0))</f>
        <v/>
      </c>
      <c r="C501" s="24" t="n"/>
      <c r="D501" s="24" t="n"/>
      <c r="E501" s="24" t="n"/>
      <c r="F501" s="25">
        <f>IF(E501="","",IF(COUNTIF(lst_Jobs,E501&amp;"")&gt;0,"OK","CHECK"))</f>
        <v/>
      </c>
      <c r="G501" s="24" t="n"/>
      <c r="H501" s="24" t="n"/>
      <c r="I501" s="24" t="n"/>
      <c r="J501" s="24" t="n"/>
      <c r="K501" s="24" t="n"/>
      <c r="L501" s="26" t="n"/>
      <c r="M501" s="27">
        <f>IF(L501="","",IF(K501="GST 10%",ROUND(L501*set_GSTRate,2),0))</f>
        <v/>
      </c>
      <c r="N501" s="27">
        <f>IF(L501="","",L501+M501)</f>
        <v/>
      </c>
      <c r="O501" s="24" t="n"/>
      <c r="P501" s="24" t="n"/>
      <c r="Q501" s="24" t="n"/>
      <c r="R501" s="22" t="n"/>
      <c r="S501" s="22" t="n"/>
      <c r="T501" s="24" t="n"/>
      <c r="U501" s="24" t="n"/>
      <c r="V501" s="25">
        <f>IF(COUNTA(A501,D501,C501,L501)=0,"",IF(A501="","No date - sits outside every month",IF(E501="","No job number",IF(F501="CHECK","Job number is not in the Xero job list",IF(I501="","No cost centre",IF(AND(P501="Y",C501=""),"Marked posted to Xero but has no invoice number",IF(AND(L501&lt;&gt;"",K501=""),"No tax code",IF(AND(L501&lt;&gt;"",O501=""),"No revenue GL code",""))))))))</f>
        <v/>
      </c>
      <c r="W501" s="25">
        <f>IF(E501="","",IFERROR(INDEX(lst_JobName,MATCH(E501&amp;"",lst_Jobs,0)),""))</f>
        <v/>
      </c>
      <c r="X501" s="28">
        <f>IF(E501="","",COUNTIFS(tbl_Finance[Job Number],E501&amp;"",tbl_Finance[Ex GST],"&lt;&gt;"))</f>
        <v/>
      </c>
      <c r="Y501" s="27">
        <f>IF(E501="","",SUMIFS(tbl_Finance[Ex GST],tbl_Finance[Job Number],E501&amp;""))</f>
        <v/>
      </c>
      <c r="Z501" s="27">
        <f>IF(E501="","",SUMIFS(tbl_Finance[Ex GST],tbl_Finance[Job Number],E501&amp;"",tbl_Finance[Xero Invoice No],"&lt;&gt;"))</f>
        <v/>
      </c>
      <c r="AA501" s="27">
        <f>IF(E501="","",Y501-Z501)</f>
        <v/>
      </c>
      <c r="AB501" s="25">
        <f>IF(E501="","",IF(H501="Onsite",IFERROR(INDEX(tbl_Onsite[Qwilr Quote],MATCH(E501&amp;"",tbl_Onsite[Job Number],0)),""),IF(H501="Production",IFERROR(IF(INDEX(tbl_Production[Current RMS No],MATCH(E501&amp;"",tbl_Production[Job Number],0))="",INDEX(tbl_Production[Qwilr Quote],MATCH(E501&amp;"",tbl_Production[Job Number],0)),INDEX(tbl_Production[Current RMS No],MATCH(E501&amp;"",tbl_Production[Job Number],0))),""),IF(H501="Consulting",IFERROR(INDEX(tbl_Consulting[Qwilr Quote],MATCH(E501&amp;"",tbl_Consulting[Job Number],0)),""),""))))</f>
        <v/>
      </c>
      <c r="AC501" s="25">
        <f>IF(AB501="","",IF(AND(LEFT(AB501,4)&lt;&gt;"http",IF(H501="Production",set_RMSBase,set_QwilrBase)=""),"",HYPERLINK(IF(LEFT(AB501,4)="http",AB501,IF(H501="Production",set_RMSBase,set_QwilrBase)&amp;AB501),"Open")))</f>
        <v/>
      </c>
      <c r="AD501" s="27">
        <f>IF(E501="","",IF(H501="Production",IFERROR(INDEX(tbl_Production[Total Expense],MATCH(E501&amp;"",tbl_Production[Job Number],0)),0),IF(H501="Consulting",IFERROR(INDEX(tbl_Consulting[Total Expense],MATCH(E501&amp;"",tbl_Consulting[Job Number],0)),0),0)))</f>
        <v/>
      </c>
      <c r="AE501" s="27">
        <f>IF(E501="","",Y501-N(AD501))</f>
        <v/>
      </c>
      <c r="AF501" s="29">
        <f>IFERROR(AE501/Y501,"")</f>
        <v/>
      </c>
      <c r="AG501" s="25">
        <f>IF(E501="","",IF(H501="Onsite",IFERROR(INDEX(tbl_Onsite[Notes],MATCH(E501&amp;"",tbl_Onsite[Job Number],0)),""),IF(H501="Production",IFERROR(INDEX(tbl_Production[Notes],MATCH(E501&amp;"",tbl_Production[Job Number],0)),""),IF(H501="Consulting",IFERROR(INDEX(tbl_Consulting[Notes],MATCH(E501&amp;"",tbl_Consulting[Job Number],0)),""),""))))</f>
        <v/>
      </c>
    </row>
    <row r="502" ht="15" customHeight="1">
      <c r="A502" s="22" t="n"/>
      <c r="B502" s="23">
        <f>IF(A502="","",EOMONTH(A502,0))</f>
        <v/>
      </c>
      <c r="C502" s="24" t="n"/>
      <c r="D502" s="24" t="n"/>
      <c r="E502" s="24" t="n"/>
      <c r="F502" s="25">
        <f>IF(E502="","",IF(COUNTIF(lst_Jobs,E502&amp;"")&gt;0,"OK","CHECK"))</f>
        <v/>
      </c>
      <c r="G502" s="24" t="n"/>
      <c r="H502" s="24" t="n"/>
      <c r="I502" s="24" t="n"/>
      <c r="J502" s="24" t="n"/>
      <c r="K502" s="24" t="n"/>
      <c r="L502" s="26" t="n"/>
      <c r="M502" s="27">
        <f>IF(L502="","",IF(K502="GST 10%",ROUND(L502*set_GSTRate,2),0))</f>
        <v/>
      </c>
      <c r="N502" s="27">
        <f>IF(L502="","",L502+M502)</f>
        <v/>
      </c>
      <c r="O502" s="24" t="n"/>
      <c r="P502" s="24" t="n"/>
      <c r="Q502" s="24" t="n"/>
      <c r="R502" s="22" t="n"/>
      <c r="S502" s="22" t="n"/>
      <c r="T502" s="24" t="n"/>
      <c r="U502" s="24" t="n"/>
      <c r="V502" s="25">
        <f>IF(COUNTA(A502,D502,C502,L502)=0,"",IF(A502="","No date - sits outside every month",IF(E502="","No job number",IF(F502="CHECK","Job number is not in the Xero job list",IF(I502="","No cost centre",IF(AND(P502="Y",C502=""),"Marked posted to Xero but has no invoice number",IF(AND(L502&lt;&gt;"",K502=""),"No tax code",IF(AND(L502&lt;&gt;"",O502=""),"No revenue GL code",""))))))))</f>
        <v/>
      </c>
      <c r="W502" s="25">
        <f>IF(E502="","",IFERROR(INDEX(lst_JobName,MATCH(E502&amp;"",lst_Jobs,0)),""))</f>
        <v/>
      </c>
      <c r="X502" s="28">
        <f>IF(E502="","",COUNTIFS(tbl_Finance[Job Number],E502&amp;"",tbl_Finance[Ex GST],"&lt;&gt;"))</f>
        <v/>
      </c>
      <c r="Y502" s="27">
        <f>IF(E502="","",SUMIFS(tbl_Finance[Ex GST],tbl_Finance[Job Number],E502&amp;""))</f>
        <v/>
      </c>
      <c r="Z502" s="27">
        <f>IF(E502="","",SUMIFS(tbl_Finance[Ex GST],tbl_Finance[Job Number],E502&amp;"",tbl_Finance[Xero Invoice No],"&lt;&gt;"))</f>
        <v/>
      </c>
      <c r="AA502" s="27">
        <f>IF(E502="","",Y502-Z502)</f>
        <v/>
      </c>
      <c r="AB502" s="25">
        <f>IF(E502="","",IF(H502="Onsite",IFERROR(INDEX(tbl_Onsite[Qwilr Quote],MATCH(E502&amp;"",tbl_Onsite[Job Number],0)),""),IF(H502="Production",IFERROR(IF(INDEX(tbl_Production[Current RMS No],MATCH(E502&amp;"",tbl_Production[Job Number],0))="",INDEX(tbl_Production[Qwilr Quote],MATCH(E502&amp;"",tbl_Production[Job Number],0)),INDEX(tbl_Production[Current RMS No],MATCH(E502&amp;"",tbl_Production[Job Number],0))),""),IF(H502="Consulting",IFERROR(INDEX(tbl_Consulting[Qwilr Quote],MATCH(E502&amp;"",tbl_Consulting[Job Number],0)),""),""))))</f>
        <v/>
      </c>
      <c r="AC502" s="25">
        <f>IF(AB502="","",IF(AND(LEFT(AB502,4)&lt;&gt;"http",IF(H502="Production",set_RMSBase,set_QwilrBase)=""),"",HYPERLINK(IF(LEFT(AB502,4)="http",AB502,IF(H502="Production",set_RMSBase,set_QwilrBase)&amp;AB502),"Open")))</f>
        <v/>
      </c>
      <c r="AD502" s="27">
        <f>IF(E502="","",IF(H502="Production",IFERROR(INDEX(tbl_Production[Total Expense],MATCH(E502&amp;"",tbl_Production[Job Number],0)),0),IF(H502="Consulting",IFERROR(INDEX(tbl_Consulting[Total Expense],MATCH(E502&amp;"",tbl_Consulting[Job Number],0)),0),0)))</f>
        <v/>
      </c>
      <c r="AE502" s="27">
        <f>IF(E502="","",Y502-N(AD502))</f>
        <v/>
      </c>
      <c r="AF502" s="29">
        <f>IFERROR(AE502/Y502,"")</f>
        <v/>
      </c>
      <c r="AG502" s="25">
        <f>IF(E502="","",IF(H502="Onsite",IFERROR(INDEX(tbl_Onsite[Notes],MATCH(E502&amp;"",tbl_Onsite[Job Number],0)),""),IF(H502="Production",IFERROR(INDEX(tbl_Production[Notes],MATCH(E502&amp;"",tbl_Production[Job Number],0)),""),IF(H502="Consulting",IFERROR(INDEX(tbl_Consulting[Notes],MATCH(E502&amp;"",tbl_Consulting[Job Number],0)),""),""))))</f>
        <v/>
      </c>
    </row>
    <row r="503" ht="15" customHeight="1">
      <c r="A503" s="22" t="n"/>
      <c r="B503" s="23">
        <f>IF(A503="","",EOMONTH(A503,0))</f>
        <v/>
      </c>
      <c r="C503" s="24" t="n"/>
      <c r="D503" s="24" t="n"/>
      <c r="E503" s="24" t="n"/>
      <c r="F503" s="25">
        <f>IF(E503="","",IF(COUNTIF(lst_Jobs,E503&amp;"")&gt;0,"OK","CHECK"))</f>
        <v/>
      </c>
      <c r="G503" s="24" t="n"/>
      <c r="H503" s="24" t="n"/>
      <c r="I503" s="24" t="n"/>
      <c r="J503" s="24" t="n"/>
      <c r="K503" s="24" t="n"/>
      <c r="L503" s="26" t="n"/>
      <c r="M503" s="27">
        <f>IF(L503="","",IF(K503="GST 10%",ROUND(L503*set_GSTRate,2),0))</f>
        <v/>
      </c>
      <c r="N503" s="27">
        <f>IF(L503="","",L503+M503)</f>
        <v/>
      </c>
      <c r="O503" s="24" t="n"/>
      <c r="P503" s="24" t="n"/>
      <c r="Q503" s="24" t="n"/>
      <c r="R503" s="22" t="n"/>
      <c r="S503" s="22" t="n"/>
      <c r="T503" s="24" t="n"/>
      <c r="U503" s="24" t="n"/>
      <c r="V503" s="25">
        <f>IF(COUNTA(A503,D503,C503,L503)=0,"",IF(A503="","No date - sits outside every month",IF(E503="","No job number",IF(F503="CHECK","Job number is not in the Xero job list",IF(I503="","No cost centre",IF(AND(P503="Y",C503=""),"Marked posted to Xero but has no invoice number",IF(AND(L503&lt;&gt;"",K503=""),"No tax code",IF(AND(L503&lt;&gt;"",O503=""),"No revenue GL code",""))))))))</f>
        <v/>
      </c>
      <c r="W503" s="25">
        <f>IF(E503="","",IFERROR(INDEX(lst_JobName,MATCH(E503&amp;"",lst_Jobs,0)),""))</f>
        <v/>
      </c>
      <c r="X503" s="28">
        <f>IF(E503="","",COUNTIFS(tbl_Finance[Job Number],E503&amp;"",tbl_Finance[Ex GST],"&lt;&gt;"))</f>
        <v/>
      </c>
      <c r="Y503" s="27">
        <f>IF(E503="","",SUMIFS(tbl_Finance[Ex GST],tbl_Finance[Job Number],E503&amp;""))</f>
        <v/>
      </c>
      <c r="Z503" s="27">
        <f>IF(E503="","",SUMIFS(tbl_Finance[Ex GST],tbl_Finance[Job Number],E503&amp;"",tbl_Finance[Xero Invoice No],"&lt;&gt;"))</f>
        <v/>
      </c>
      <c r="AA503" s="27">
        <f>IF(E503="","",Y503-Z503)</f>
        <v/>
      </c>
      <c r="AB503" s="25">
        <f>IF(E503="","",IF(H503="Onsite",IFERROR(INDEX(tbl_Onsite[Qwilr Quote],MATCH(E503&amp;"",tbl_Onsite[Job Number],0)),""),IF(H503="Production",IFERROR(IF(INDEX(tbl_Production[Current RMS No],MATCH(E503&amp;"",tbl_Production[Job Number],0))="",INDEX(tbl_Production[Qwilr Quote],MATCH(E503&amp;"",tbl_Production[Job Number],0)),INDEX(tbl_Production[Current RMS No],MATCH(E503&amp;"",tbl_Production[Job Number],0))),""),IF(H503="Consulting",IFERROR(INDEX(tbl_Consulting[Qwilr Quote],MATCH(E503&amp;"",tbl_Consulting[Job Number],0)),""),""))))</f>
        <v/>
      </c>
      <c r="AC503" s="25">
        <f>IF(AB503="","",IF(AND(LEFT(AB503,4)&lt;&gt;"http",IF(H503="Production",set_RMSBase,set_QwilrBase)=""),"",HYPERLINK(IF(LEFT(AB503,4)="http",AB503,IF(H503="Production",set_RMSBase,set_QwilrBase)&amp;AB503),"Open")))</f>
        <v/>
      </c>
      <c r="AD503" s="27">
        <f>IF(E503="","",IF(H503="Production",IFERROR(INDEX(tbl_Production[Total Expense],MATCH(E503&amp;"",tbl_Production[Job Number],0)),0),IF(H503="Consulting",IFERROR(INDEX(tbl_Consulting[Total Expense],MATCH(E503&amp;"",tbl_Consulting[Job Number],0)),0),0)))</f>
        <v/>
      </c>
      <c r="AE503" s="27">
        <f>IF(E503="","",Y503-N(AD503))</f>
        <v/>
      </c>
      <c r="AF503" s="29">
        <f>IFERROR(AE503/Y503,"")</f>
        <v/>
      </c>
      <c r="AG503" s="25">
        <f>IF(E503="","",IF(H503="Onsite",IFERROR(INDEX(tbl_Onsite[Notes],MATCH(E503&amp;"",tbl_Onsite[Job Number],0)),""),IF(H503="Production",IFERROR(INDEX(tbl_Production[Notes],MATCH(E503&amp;"",tbl_Production[Job Number],0)),""),IF(H503="Consulting",IFERROR(INDEX(tbl_Consulting[Notes],MATCH(E503&amp;"",tbl_Consulting[Job Number],0)),""),""))))</f>
        <v/>
      </c>
    </row>
    <row r="504" ht="15" customHeight="1">
      <c r="A504" s="22" t="n"/>
      <c r="B504" s="23">
        <f>IF(A504="","",EOMONTH(A504,0))</f>
        <v/>
      </c>
      <c r="C504" s="24" t="n"/>
      <c r="D504" s="24" t="n"/>
      <c r="E504" s="24" t="n"/>
      <c r="F504" s="25">
        <f>IF(E504="","",IF(COUNTIF(lst_Jobs,E504&amp;"")&gt;0,"OK","CHECK"))</f>
        <v/>
      </c>
      <c r="G504" s="24" t="n"/>
      <c r="H504" s="24" t="n"/>
      <c r="I504" s="24" t="n"/>
      <c r="J504" s="24" t="n"/>
      <c r="K504" s="24" t="n"/>
      <c r="L504" s="26" t="n"/>
      <c r="M504" s="27">
        <f>IF(L504="","",IF(K504="GST 10%",ROUND(L504*set_GSTRate,2),0))</f>
        <v/>
      </c>
      <c r="N504" s="27">
        <f>IF(L504="","",L504+M504)</f>
        <v/>
      </c>
      <c r="O504" s="24" t="n"/>
      <c r="P504" s="24" t="n"/>
      <c r="Q504" s="24" t="n"/>
      <c r="R504" s="22" t="n"/>
      <c r="S504" s="22" t="n"/>
      <c r="T504" s="24" t="n"/>
      <c r="U504" s="24" t="n"/>
      <c r="V504" s="25">
        <f>IF(COUNTA(A504,D504,C504,L504)=0,"",IF(A504="","No date - sits outside every month",IF(E504="","No job number",IF(F504="CHECK","Job number is not in the Xero job list",IF(I504="","No cost centre",IF(AND(P504="Y",C504=""),"Marked posted to Xero but has no invoice number",IF(AND(L504&lt;&gt;"",K504=""),"No tax code",IF(AND(L504&lt;&gt;"",O504=""),"No revenue GL code",""))))))))</f>
        <v/>
      </c>
      <c r="W504" s="25">
        <f>IF(E504="","",IFERROR(INDEX(lst_JobName,MATCH(E504&amp;"",lst_Jobs,0)),""))</f>
        <v/>
      </c>
      <c r="X504" s="28">
        <f>IF(E504="","",COUNTIFS(tbl_Finance[Job Number],E504&amp;"",tbl_Finance[Ex GST],"&lt;&gt;"))</f>
        <v/>
      </c>
      <c r="Y504" s="27">
        <f>IF(E504="","",SUMIFS(tbl_Finance[Ex GST],tbl_Finance[Job Number],E504&amp;""))</f>
        <v/>
      </c>
      <c r="Z504" s="27">
        <f>IF(E504="","",SUMIFS(tbl_Finance[Ex GST],tbl_Finance[Job Number],E504&amp;"",tbl_Finance[Xero Invoice No],"&lt;&gt;"))</f>
        <v/>
      </c>
      <c r="AA504" s="27">
        <f>IF(E504="","",Y504-Z504)</f>
        <v/>
      </c>
      <c r="AB504" s="25">
        <f>IF(E504="","",IF(H504="Onsite",IFERROR(INDEX(tbl_Onsite[Qwilr Quote],MATCH(E504&amp;"",tbl_Onsite[Job Number],0)),""),IF(H504="Production",IFERROR(IF(INDEX(tbl_Production[Current RMS No],MATCH(E504&amp;"",tbl_Production[Job Number],0))="",INDEX(tbl_Production[Qwilr Quote],MATCH(E504&amp;"",tbl_Production[Job Number],0)),INDEX(tbl_Production[Current RMS No],MATCH(E504&amp;"",tbl_Production[Job Number],0))),""),IF(H504="Consulting",IFERROR(INDEX(tbl_Consulting[Qwilr Quote],MATCH(E504&amp;"",tbl_Consulting[Job Number],0)),""),""))))</f>
        <v/>
      </c>
      <c r="AC504" s="25">
        <f>IF(AB504="","",IF(AND(LEFT(AB504,4)&lt;&gt;"http",IF(H504="Production",set_RMSBase,set_QwilrBase)=""),"",HYPERLINK(IF(LEFT(AB504,4)="http",AB504,IF(H504="Production",set_RMSBase,set_QwilrBase)&amp;AB504),"Open")))</f>
        <v/>
      </c>
      <c r="AD504" s="27">
        <f>IF(E504="","",IF(H504="Production",IFERROR(INDEX(tbl_Production[Total Expense],MATCH(E504&amp;"",tbl_Production[Job Number],0)),0),IF(H504="Consulting",IFERROR(INDEX(tbl_Consulting[Total Expense],MATCH(E504&amp;"",tbl_Consulting[Job Number],0)),0),0)))</f>
        <v/>
      </c>
      <c r="AE504" s="27">
        <f>IF(E504="","",Y504-N(AD504))</f>
        <v/>
      </c>
      <c r="AF504" s="29">
        <f>IFERROR(AE504/Y504,"")</f>
        <v/>
      </c>
      <c r="AG504" s="25">
        <f>IF(E504="","",IF(H504="Onsite",IFERROR(INDEX(tbl_Onsite[Notes],MATCH(E504&amp;"",tbl_Onsite[Job Number],0)),""),IF(H504="Production",IFERROR(INDEX(tbl_Production[Notes],MATCH(E504&amp;"",tbl_Production[Job Number],0)),""),IF(H504="Consulting",IFERROR(INDEX(tbl_Consulting[Notes],MATCH(E504&amp;"",tbl_Consulting[Job Number],0)),""),""))))</f>
        <v/>
      </c>
    </row>
    <row r="505" ht="15" customHeight="1">
      <c r="A505" s="22" t="n"/>
      <c r="B505" s="23">
        <f>IF(A505="","",EOMONTH(A505,0))</f>
        <v/>
      </c>
      <c r="C505" s="24" t="n"/>
      <c r="D505" s="24" t="n"/>
      <c r="E505" s="24" t="n"/>
      <c r="F505" s="25">
        <f>IF(E505="","",IF(COUNTIF(lst_Jobs,E505&amp;"")&gt;0,"OK","CHECK"))</f>
        <v/>
      </c>
      <c r="G505" s="24" t="n"/>
      <c r="H505" s="24" t="n"/>
      <c r="I505" s="24" t="n"/>
      <c r="J505" s="24" t="n"/>
      <c r="K505" s="24" t="n"/>
      <c r="L505" s="26" t="n"/>
      <c r="M505" s="27">
        <f>IF(L505="","",IF(K505="GST 10%",ROUND(L505*set_GSTRate,2),0))</f>
        <v/>
      </c>
      <c r="N505" s="27">
        <f>IF(L505="","",L505+M505)</f>
        <v/>
      </c>
      <c r="O505" s="24" t="n"/>
      <c r="P505" s="24" t="n"/>
      <c r="Q505" s="24" t="n"/>
      <c r="R505" s="22" t="n"/>
      <c r="S505" s="22" t="n"/>
      <c r="T505" s="24" t="n"/>
      <c r="U505" s="24" t="n"/>
      <c r="V505" s="25">
        <f>IF(COUNTA(A505,D505,C505,L505)=0,"",IF(A505="","No date - sits outside every month",IF(E505="","No job number",IF(F505="CHECK","Job number is not in the Xero job list",IF(I505="","No cost centre",IF(AND(P505="Y",C505=""),"Marked posted to Xero but has no invoice number",IF(AND(L505&lt;&gt;"",K505=""),"No tax code",IF(AND(L505&lt;&gt;"",O505=""),"No revenue GL code",""))))))))</f>
        <v/>
      </c>
      <c r="W505" s="25">
        <f>IF(E505="","",IFERROR(INDEX(lst_JobName,MATCH(E505&amp;"",lst_Jobs,0)),""))</f>
        <v/>
      </c>
      <c r="X505" s="28">
        <f>IF(E505="","",COUNTIFS(tbl_Finance[Job Number],E505&amp;"",tbl_Finance[Ex GST],"&lt;&gt;"))</f>
        <v/>
      </c>
      <c r="Y505" s="27">
        <f>IF(E505="","",SUMIFS(tbl_Finance[Ex GST],tbl_Finance[Job Number],E505&amp;""))</f>
        <v/>
      </c>
      <c r="Z505" s="27">
        <f>IF(E505="","",SUMIFS(tbl_Finance[Ex GST],tbl_Finance[Job Number],E505&amp;"",tbl_Finance[Xero Invoice No],"&lt;&gt;"))</f>
        <v/>
      </c>
      <c r="AA505" s="27">
        <f>IF(E505="","",Y505-Z505)</f>
        <v/>
      </c>
      <c r="AB505" s="25">
        <f>IF(E505="","",IF(H505="Onsite",IFERROR(INDEX(tbl_Onsite[Qwilr Quote],MATCH(E505&amp;"",tbl_Onsite[Job Number],0)),""),IF(H505="Production",IFERROR(IF(INDEX(tbl_Production[Current RMS No],MATCH(E505&amp;"",tbl_Production[Job Number],0))="",INDEX(tbl_Production[Qwilr Quote],MATCH(E505&amp;"",tbl_Production[Job Number],0)),INDEX(tbl_Production[Current RMS No],MATCH(E505&amp;"",tbl_Production[Job Number],0))),""),IF(H505="Consulting",IFERROR(INDEX(tbl_Consulting[Qwilr Quote],MATCH(E505&amp;"",tbl_Consulting[Job Number],0)),""),""))))</f>
        <v/>
      </c>
      <c r="AC505" s="25">
        <f>IF(AB505="","",IF(AND(LEFT(AB505,4)&lt;&gt;"http",IF(H505="Production",set_RMSBase,set_QwilrBase)=""),"",HYPERLINK(IF(LEFT(AB505,4)="http",AB505,IF(H505="Production",set_RMSBase,set_QwilrBase)&amp;AB505),"Open")))</f>
        <v/>
      </c>
      <c r="AD505" s="27">
        <f>IF(E505="","",IF(H505="Production",IFERROR(INDEX(tbl_Production[Total Expense],MATCH(E505&amp;"",tbl_Production[Job Number],0)),0),IF(H505="Consulting",IFERROR(INDEX(tbl_Consulting[Total Expense],MATCH(E505&amp;"",tbl_Consulting[Job Number],0)),0),0)))</f>
        <v/>
      </c>
      <c r="AE505" s="27">
        <f>IF(E505="","",Y505-N(AD505))</f>
        <v/>
      </c>
      <c r="AF505" s="29">
        <f>IFERROR(AE505/Y505,"")</f>
        <v/>
      </c>
      <c r="AG505" s="25">
        <f>IF(E505="","",IF(H505="Onsite",IFERROR(INDEX(tbl_Onsite[Notes],MATCH(E505&amp;"",tbl_Onsite[Job Number],0)),""),IF(H505="Production",IFERROR(INDEX(tbl_Production[Notes],MATCH(E505&amp;"",tbl_Production[Job Number],0)),""),IF(H505="Consulting",IFERROR(INDEX(tbl_Consulting[Notes],MATCH(E505&amp;"",tbl_Consulting[Job Number],0)),""),""))))</f>
        <v/>
      </c>
    </row>
    <row r="506" ht="15" customHeight="1">
      <c r="A506" s="22" t="n"/>
      <c r="B506" s="23">
        <f>IF(A506="","",EOMONTH(A506,0))</f>
        <v/>
      </c>
      <c r="C506" s="24" t="n"/>
      <c r="D506" s="24" t="n"/>
      <c r="E506" s="24" t="n"/>
      <c r="F506" s="25">
        <f>IF(E506="","",IF(COUNTIF(lst_Jobs,E506&amp;"")&gt;0,"OK","CHECK"))</f>
        <v/>
      </c>
      <c r="G506" s="24" t="n"/>
      <c r="H506" s="24" t="n"/>
      <c r="I506" s="24" t="n"/>
      <c r="J506" s="24" t="n"/>
      <c r="K506" s="24" t="n"/>
      <c r="L506" s="26" t="n"/>
      <c r="M506" s="27">
        <f>IF(L506="","",IF(K506="GST 10%",ROUND(L506*set_GSTRate,2),0))</f>
        <v/>
      </c>
      <c r="N506" s="27">
        <f>IF(L506="","",L506+M506)</f>
        <v/>
      </c>
      <c r="O506" s="24" t="n"/>
      <c r="P506" s="24" t="n"/>
      <c r="Q506" s="24" t="n"/>
      <c r="R506" s="22" t="n"/>
      <c r="S506" s="22" t="n"/>
      <c r="T506" s="24" t="n"/>
      <c r="U506" s="24" t="n"/>
      <c r="V506" s="25">
        <f>IF(COUNTA(A506,D506,C506,L506)=0,"",IF(A506="","No date - sits outside every month",IF(E506="","No job number",IF(F506="CHECK","Job number is not in the Xero job list",IF(I506="","No cost centre",IF(AND(P506="Y",C506=""),"Marked posted to Xero but has no invoice number",IF(AND(L506&lt;&gt;"",K506=""),"No tax code",IF(AND(L506&lt;&gt;"",O506=""),"No revenue GL code",""))))))))</f>
        <v/>
      </c>
      <c r="W506" s="25">
        <f>IF(E506="","",IFERROR(INDEX(lst_JobName,MATCH(E506&amp;"",lst_Jobs,0)),""))</f>
        <v/>
      </c>
      <c r="X506" s="28">
        <f>IF(E506="","",COUNTIFS(tbl_Finance[Job Number],E506&amp;"",tbl_Finance[Ex GST],"&lt;&gt;"))</f>
        <v/>
      </c>
      <c r="Y506" s="27">
        <f>IF(E506="","",SUMIFS(tbl_Finance[Ex GST],tbl_Finance[Job Number],E506&amp;""))</f>
        <v/>
      </c>
      <c r="Z506" s="27">
        <f>IF(E506="","",SUMIFS(tbl_Finance[Ex GST],tbl_Finance[Job Number],E506&amp;"",tbl_Finance[Xero Invoice No],"&lt;&gt;"))</f>
        <v/>
      </c>
      <c r="AA506" s="27">
        <f>IF(E506="","",Y506-Z506)</f>
        <v/>
      </c>
      <c r="AB506" s="25">
        <f>IF(E506="","",IF(H506="Onsite",IFERROR(INDEX(tbl_Onsite[Qwilr Quote],MATCH(E506&amp;"",tbl_Onsite[Job Number],0)),""),IF(H506="Production",IFERROR(IF(INDEX(tbl_Production[Current RMS No],MATCH(E506&amp;"",tbl_Production[Job Number],0))="",INDEX(tbl_Production[Qwilr Quote],MATCH(E506&amp;"",tbl_Production[Job Number],0)),INDEX(tbl_Production[Current RMS No],MATCH(E506&amp;"",tbl_Production[Job Number],0))),""),IF(H506="Consulting",IFERROR(INDEX(tbl_Consulting[Qwilr Quote],MATCH(E506&amp;"",tbl_Consulting[Job Number],0)),""),""))))</f>
        <v/>
      </c>
      <c r="AC506" s="25">
        <f>IF(AB506="","",IF(AND(LEFT(AB506,4)&lt;&gt;"http",IF(H506="Production",set_RMSBase,set_QwilrBase)=""),"",HYPERLINK(IF(LEFT(AB506,4)="http",AB506,IF(H506="Production",set_RMSBase,set_QwilrBase)&amp;AB506),"Open")))</f>
        <v/>
      </c>
      <c r="AD506" s="27">
        <f>IF(E506="","",IF(H506="Production",IFERROR(INDEX(tbl_Production[Total Expense],MATCH(E506&amp;"",tbl_Production[Job Number],0)),0),IF(H506="Consulting",IFERROR(INDEX(tbl_Consulting[Total Expense],MATCH(E506&amp;"",tbl_Consulting[Job Number],0)),0),0)))</f>
        <v/>
      </c>
      <c r="AE506" s="27">
        <f>IF(E506="","",Y506-N(AD506))</f>
        <v/>
      </c>
      <c r="AF506" s="29">
        <f>IFERROR(AE506/Y506,"")</f>
        <v/>
      </c>
      <c r="AG506" s="25">
        <f>IF(E506="","",IF(H506="Onsite",IFERROR(INDEX(tbl_Onsite[Notes],MATCH(E506&amp;"",tbl_Onsite[Job Number],0)),""),IF(H506="Production",IFERROR(INDEX(tbl_Production[Notes],MATCH(E506&amp;"",tbl_Production[Job Number],0)),""),IF(H506="Consulting",IFERROR(INDEX(tbl_Consulting[Notes],MATCH(E506&amp;"",tbl_Consulting[Job Number],0)),""),""))))</f>
        <v/>
      </c>
    </row>
    <row r="507" ht="15" customHeight="1">
      <c r="A507" s="22" t="n"/>
      <c r="B507" s="23">
        <f>IF(A507="","",EOMONTH(A507,0))</f>
        <v/>
      </c>
      <c r="C507" s="24" t="n"/>
      <c r="D507" s="24" t="n"/>
      <c r="E507" s="24" t="n"/>
      <c r="F507" s="25">
        <f>IF(E507="","",IF(COUNTIF(lst_Jobs,E507&amp;"")&gt;0,"OK","CHECK"))</f>
        <v/>
      </c>
      <c r="G507" s="24" t="n"/>
      <c r="H507" s="24" t="n"/>
      <c r="I507" s="24" t="n"/>
      <c r="J507" s="24" t="n"/>
      <c r="K507" s="24" t="n"/>
      <c r="L507" s="26" t="n"/>
      <c r="M507" s="27">
        <f>IF(L507="","",IF(K507="GST 10%",ROUND(L507*set_GSTRate,2),0))</f>
        <v/>
      </c>
      <c r="N507" s="27">
        <f>IF(L507="","",L507+M507)</f>
        <v/>
      </c>
      <c r="O507" s="24" t="n"/>
      <c r="P507" s="24" t="n"/>
      <c r="Q507" s="24" t="n"/>
      <c r="R507" s="22" t="n"/>
      <c r="S507" s="22" t="n"/>
      <c r="T507" s="24" t="n"/>
      <c r="U507" s="24" t="n"/>
      <c r="V507" s="25">
        <f>IF(COUNTA(A507,D507,C507,L507)=0,"",IF(A507="","No date - sits outside every month",IF(E507="","No job number",IF(F507="CHECK","Job number is not in the Xero job list",IF(I507="","No cost centre",IF(AND(P507="Y",C507=""),"Marked posted to Xero but has no invoice number",IF(AND(L507&lt;&gt;"",K507=""),"No tax code",IF(AND(L507&lt;&gt;"",O507=""),"No revenue GL code",""))))))))</f>
        <v/>
      </c>
      <c r="W507" s="25">
        <f>IF(E507="","",IFERROR(INDEX(lst_JobName,MATCH(E507&amp;"",lst_Jobs,0)),""))</f>
        <v/>
      </c>
      <c r="X507" s="28">
        <f>IF(E507="","",COUNTIFS(tbl_Finance[Job Number],E507&amp;"",tbl_Finance[Ex GST],"&lt;&gt;"))</f>
        <v/>
      </c>
      <c r="Y507" s="27">
        <f>IF(E507="","",SUMIFS(tbl_Finance[Ex GST],tbl_Finance[Job Number],E507&amp;""))</f>
        <v/>
      </c>
      <c r="Z507" s="27">
        <f>IF(E507="","",SUMIFS(tbl_Finance[Ex GST],tbl_Finance[Job Number],E507&amp;"",tbl_Finance[Xero Invoice No],"&lt;&gt;"))</f>
        <v/>
      </c>
      <c r="AA507" s="27">
        <f>IF(E507="","",Y507-Z507)</f>
        <v/>
      </c>
      <c r="AB507" s="25">
        <f>IF(E507="","",IF(H507="Onsite",IFERROR(INDEX(tbl_Onsite[Qwilr Quote],MATCH(E507&amp;"",tbl_Onsite[Job Number],0)),""),IF(H507="Production",IFERROR(IF(INDEX(tbl_Production[Current RMS No],MATCH(E507&amp;"",tbl_Production[Job Number],0))="",INDEX(tbl_Production[Qwilr Quote],MATCH(E507&amp;"",tbl_Production[Job Number],0)),INDEX(tbl_Production[Current RMS No],MATCH(E507&amp;"",tbl_Production[Job Number],0))),""),IF(H507="Consulting",IFERROR(INDEX(tbl_Consulting[Qwilr Quote],MATCH(E507&amp;"",tbl_Consulting[Job Number],0)),""),""))))</f>
        <v/>
      </c>
      <c r="AC507" s="25">
        <f>IF(AB507="","",IF(AND(LEFT(AB507,4)&lt;&gt;"http",IF(H507="Production",set_RMSBase,set_QwilrBase)=""),"",HYPERLINK(IF(LEFT(AB507,4)="http",AB507,IF(H507="Production",set_RMSBase,set_QwilrBase)&amp;AB507),"Open")))</f>
        <v/>
      </c>
      <c r="AD507" s="27">
        <f>IF(E507="","",IF(H507="Production",IFERROR(INDEX(tbl_Production[Total Expense],MATCH(E507&amp;"",tbl_Production[Job Number],0)),0),IF(H507="Consulting",IFERROR(INDEX(tbl_Consulting[Total Expense],MATCH(E507&amp;"",tbl_Consulting[Job Number],0)),0),0)))</f>
        <v/>
      </c>
      <c r="AE507" s="27">
        <f>IF(E507="","",Y507-N(AD507))</f>
        <v/>
      </c>
      <c r="AF507" s="29">
        <f>IFERROR(AE507/Y507,"")</f>
        <v/>
      </c>
      <c r="AG507" s="25">
        <f>IF(E507="","",IF(H507="Onsite",IFERROR(INDEX(tbl_Onsite[Notes],MATCH(E507&amp;"",tbl_Onsite[Job Number],0)),""),IF(H507="Production",IFERROR(INDEX(tbl_Production[Notes],MATCH(E507&amp;"",tbl_Production[Job Number],0)),""),IF(H507="Consulting",IFERROR(INDEX(tbl_Consulting[Notes],MATCH(E507&amp;"",tbl_Consulting[Job Number],0)),""),""))))</f>
        <v/>
      </c>
    </row>
    <row r="508" ht="15" customHeight="1">
      <c r="A508" s="22" t="n"/>
      <c r="B508" s="23">
        <f>IF(A508="","",EOMONTH(A508,0))</f>
        <v/>
      </c>
      <c r="C508" s="24" t="n"/>
      <c r="D508" s="24" t="n"/>
      <c r="E508" s="24" t="n"/>
      <c r="F508" s="25">
        <f>IF(E508="","",IF(COUNTIF(lst_Jobs,E508&amp;"")&gt;0,"OK","CHECK"))</f>
        <v/>
      </c>
      <c r="G508" s="24" t="n"/>
      <c r="H508" s="24" t="n"/>
      <c r="I508" s="24" t="n"/>
      <c r="J508" s="24" t="n"/>
      <c r="K508" s="24" t="n"/>
      <c r="L508" s="26" t="n"/>
      <c r="M508" s="27">
        <f>IF(L508="","",IF(K508="GST 10%",ROUND(L508*set_GSTRate,2),0))</f>
        <v/>
      </c>
      <c r="N508" s="27">
        <f>IF(L508="","",L508+M508)</f>
        <v/>
      </c>
      <c r="O508" s="24" t="n"/>
      <c r="P508" s="24" t="n"/>
      <c r="Q508" s="24" t="n"/>
      <c r="R508" s="22" t="n"/>
      <c r="S508" s="22" t="n"/>
      <c r="T508" s="24" t="n"/>
      <c r="U508" s="24" t="n"/>
      <c r="V508" s="25">
        <f>IF(COUNTA(A508,D508,C508,L508)=0,"",IF(A508="","No date - sits outside every month",IF(E508="","No job number",IF(F508="CHECK","Job number is not in the Xero job list",IF(I508="","No cost centre",IF(AND(P508="Y",C508=""),"Marked posted to Xero but has no invoice number",IF(AND(L508&lt;&gt;"",K508=""),"No tax code",IF(AND(L508&lt;&gt;"",O508=""),"No revenue GL code",""))))))))</f>
        <v/>
      </c>
      <c r="W508" s="25">
        <f>IF(E508="","",IFERROR(INDEX(lst_JobName,MATCH(E508&amp;"",lst_Jobs,0)),""))</f>
        <v/>
      </c>
      <c r="X508" s="28">
        <f>IF(E508="","",COUNTIFS(tbl_Finance[Job Number],E508&amp;"",tbl_Finance[Ex GST],"&lt;&gt;"))</f>
        <v/>
      </c>
      <c r="Y508" s="27">
        <f>IF(E508="","",SUMIFS(tbl_Finance[Ex GST],tbl_Finance[Job Number],E508&amp;""))</f>
        <v/>
      </c>
      <c r="Z508" s="27">
        <f>IF(E508="","",SUMIFS(tbl_Finance[Ex GST],tbl_Finance[Job Number],E508&amp;"",tbl_Finance[Xero Invoice No],"&lt;&gt;"))</f>
        <v/>
      </c>
      <c r="AA508" s="27">
        <f>IF(E508="","",Y508-Z508)</f>
        <v/>
      </c>
      <c r="AB508" s="25">
        <f>IF(E508="","",IF(H508="Onsite",IFERROR(INDEX(tbl_Onsite[Qwilr Quote],MATCH(E508&amp;"",tbl_Onsite[Job Number],0)),""),IF(H508="Production",IFERROR(IF(INDEX(tbl_Production[Current RMS No],MATCH(E508&amp;"",tbl_Production[Job Number],0))="",INDEX(tbl_Production[Qwilr Quote],MATCH(E508&amp;"",tbl_Production[Job Number],0)),INDEX(tbl_Production[Current RMS No],MATCH(E508&amp;"",tbl_Production[Job Number],0))),""),IF(H508="Consulting",IFERROR(INDEX(tbl_Consulting[Qwilr Quote],MATCH(E508&amp;"",tbl_Consulting[Job Number],0)),""),""))))</f>
        <v/>
      </c>
      <c r="AC508" s="25">
        <f>IF(AB508="","",IF(AND(LEFT(AB508,4)&lt;&gt;"http",IF(H508="Production",set_RMSBase,set_QwilrBase)=""),"",HYPERLINK(IF(LEFT(AB508,4)="http",AB508,IF(H508="Production",set_RMSBase,set_QwilrBase)&amp;AB508),"Open")))</f>
        <v/>
      </c>
      <c r="AD508" s="27">
        <f>IF(E508="","",IF(H508="Production",IFERROR(INDEX(tbl_Production[Total Expense],MATCH(E508&amp;"",tbl_Production[Job Number],0)),0),IF(H508="Consulting",IFERROR(INDEX(tbl_Consulting[Total Expense],MATCH(E508&amp;"",tbl_Consulting[Job Number],0)),0),0)))</f>
        <v/>
      </c>
      <c r="AE508" s="27">
        <f>IF(E508="","",Y508-N(AD508))</f>
        <v/>
      </c>
      <c r="AF508" s="29">
        <f>IFERROR(AE508/Y508,"")</f>
        <v/>
      </c>
      <c r="AG508" s="25">
        <f>IF(E508="","",IF(H508="Onsite",IFERROR(INDEX(tbl_Onsite[Notes],MATCH(E508&amp;"",tbl_Onsite[Job Number],0)),""),IF(H508="Production",IFERROR(INDEX(tbl_Production[Notes],MATCH(E508&amp;"",tbl_Production[Job Number],0)),""),IF(H508="Consulting",IFERROR(INDEX(tbl_Consulting[Notes],MATCH(E508&amp;"",tbl_Consulting[Job Number],0)),""),""))))</f>
        <v/>
      </c>
    </row>
    <row r="509" ht="15" customHeight="1">
      <c r="A509" s="22" t="n"/>
      <c r="B509" s="23">
        <f>IF(A509="","",EOMONTH(A509,0))</f>
        <v/>
      </c>
      <c r="C509" s="24" t="n"/>
      <c r="D509" s="24" t="n"/>
      <c r="E509" s="24" t="n"/>
      <c r="F509" s="25">
        <f>IF(E509="","",IF(COUNTIF(lst_Jobs,E509&amp;"")&gt;0,"OK","CHECK"))</f>
        <v/>
      </c>
      <c r="G509" s="24" t="n"/>
      <c r="H509" s="24" t="n"/>
      <c r="I509" s="24" t="n"/>
      <c r="J509" s="24" t="n"/>
      <c r="K509" s="24" t="n"/>
      <c r="L509" s="26" t="n"/>
      <c r="M509" s="27">
        <f>IF(L509="","",IF(K509="GST 10%",ROUND(L509*set_GSTRate,2),0))</f>
        <v/>
      </c>
      <c r="N509" s="27">
        <f>IF(L509="","",L509+M509)</f>
        <v/>
      </c>
      <c r="O509" s="24" t="n"/>
      <c r="P509" s="24" t="n"/>
      <c r="Q509" s="24" t="n"/>
      <c r="R509" s="22" t="n"/>
      <c r="S509" s="22" t="n"/>
      <c r="T509" s="24" t="n"/>
      <c r="U509" s="24" t="n"/>
      <c r="V509" s="25">
        <f>IF(COUNTA(A509,D509,C509,L509)=0,"",IF(A509="","No date - sits outside every month",IF(E509="","No job number",IF(F509="CHECK","Job number is not in the Xero job list",IF(I509="","No cost centre",IF(AND(P509="Y",C509=""),"Marked posted to Xero but has no invoice number",IF(AND(L509&lt;&gt;"",K509=""),"No tax code",IF(AND(L509&lt;&gt;"",O509=""),"No revenue GL code",""))))))))</f>
        <v/>
      </c>
      <c r="W509" s="25">
        <f>IF(E509="","",IFERROR(INDEX(lst_JobName,MATCH(E509&amp;"",lst_Jobs,0)),""))</f>
        <v/>
      </c>
      <c r="X509" s="28">
        <f>IF(E509="","",COUNTIFS(tbl_Finance[Job Number],E509&amp;"",tbl_Finance[Ex GST],"&lt;&gt;"))</f>
        <v/>
      </c>
      <c r="Y509" s="27">
        <f>IF(E509="","",SUMIFS(tbl_Finance[Ex GST],tbl_Finance[Job Number],E509&amp;""))</f>
        <v/>
      </c>
      <c r="Z509" s="27">
        <f>IF(E509="","",SUMIFS(tbl_Finance[Ex GST],tbl_Finance[Job Number],E509&amp;"",tbl_Finance[Xero Invoice No],"&lt;&gt;"))</f>
        <v/>
      </c>
      <c r="AA509" s="27">
        <f>IF(E509="","",Y509-Z509)</f>
        <v/>
      </c>
      <c r="AB509" s="25">
        <f>IF(E509="","",IF(H509="Onsite",IFERROR(INDEX(tbl_Onsite[Qwilr Quote],MATCH(E509&amp;"",tbl_Onsite[Job Number],0)),""),IF(H509="Production",IFERROR(IF(INDEX(tbl_Production[Current RMS No],MATCH(E509&amp;"",tbl_Production[Job Number],0))="",INDEX(tbl_Production[Qwilr Quote],MATCH(E509&amp;"",tbl_Production[Job Number],0)),INDEX(tbl_Production[Current RMS No],MATCH(E509&amp;"",tbl_Production[Job Number],0))),""),IF(H509="Consulting",IFERROR(INDEX(tbl_Consulting[Qwilr Quote],MATCH(E509&amp;"",tbl_Consulting[Job Number],0)),""),""))))</f>
        <v/>
      </c>
      <c r="AC509" s="25">
        <f>IF(AB509="","",IF(AND(LEFT(AB509,4)&lt;&gt;"http",IF(H509="Production",set_RMSBase,set_QwilrBase)=""),"",HYPERLINK(IF(LEFT(AB509,4)="http",AB509,IF(H509="Production",set_RMSBase,set_QwilrBase)&amp;AB509),"Open")))</f>
        <v/>
      </c>
      <c r="AD509" s="27">
        <f>IF(E509="","",IF(H509="Production",IFERROR(INDEX(tbl_Production[Total Expense],MATCH(E509&amp;"",tbl_Production[Job Number],0)),0),IF(H509="Consulting",IFERROR(INDEX(tbl_Consulting[Total Expense],MATCH(E509&amp;"",tbl_Consulting[Job Number],0)),0),0)))</f>
        <v/>
      </c>
      <c r="AE509" s="27">
        <f>IF(E509="","",Y509-N(AD509))</f>
        <v/>
      </c>
      <c r="AF509" s="29">
        <f>IFERROR(AE509/Y509,"")</f>
        <v/>
      </c>
      <c r="AG509" s="25">
        <f>IF(E509="","",IF(H509="Onsite",IFERROR(INDEX(tbl_Onsite[Notes],MATCH(E509&amp;"",tbl_Onsite[Job Number],0)),""),IF(H509="Production",IFERROR(INDEX(tbl_Production[Notes],MATCH(E509&amp;"",tbl_Production[Job Number],0)),""),IF(H509="Consulting",IFERROR(INDEX(tbl_Consulting[Notes],MATCH(E509&amp;"",tbl_Consulting[Job Number],0)),""),""))))</f>
        <v/>
      </c>
    </row>
    <row r="510" ht="15" customHeight="1">
      <c r="A510" s="22" t="n"/>
      <c r="B510" s="23">
        <f>IF(A510="","",EOMONTH(A510,0))</f>
        <v/>
      </c>
      <c r="C510" s="24" t="n"/>
      <c r="D510" s="24" t="n"/>
      <c r="E510" s="24" t="n"/>
      <c r="F510" s="25">
        <f>IF(E510="","",IF(COUNTIF(lst_Jobs,E510&amp;"")&gt;0,"OK","CHECK"))</f>
        <v/>
      </c>
      <c r="G510" s="24" t="n"/>
      <c r="H510" s="24" t="n"/>
      <c r="I510" s="24" t="n"/>
      <c r="J510" s="24" t="n"/>
      <c r="K510" s="24" t="n"/>
      <c r="L510" s="26" t="n"/>
      <c r="M510" s="27">
        <f>IF(L510="","",IF(K510="GST 10%",ROUND(L510*set_GSTRate,2),0))</f>
        <v/>
      </c>
      <c r="N510" s="27">
        <f>IF(L510="","",L510+M510)</f>
        <v/>
      </c>
      <c r="O510" s="24" t="n"/>
      <c r="P510" s="24" t="n"/>
      <c r="Q510" s="24" t="n"/>
      <c r="R510" s="22" t="n"/>
      <c r="S510" s="22" t="n"/>
      <c r="T510" s="24" t="n"/>
      <c r="U510" s="24" t="n"/>
      <c r="V510" s="25">
        <f>IF(COUNTA(A510,D510,C510,L510)=0,"",IF(A510="","No date - sits outside every month",IF(E510="","No job number",IF(F510="CHECK","Job number is not in the Xero job list",IF(I510="","No cost centre",IF(AND(P510="Y",C510=""),"Marked posted to Xero but has no invoice number",IF(AND(L510&lt;&gt;"",K510=""),"No tax code",IF(AND(L510&lt;&gt;"",O510=""),"No revenue GL code",""))))))))</f>
        <v/>
      </c>
      <c r="W510" s="25">
        <f>IF(E510="","",IFERROR(INDEX(lst_JobName,MATCH(E510&amp;"",lst_Jobs,0)),""))</f>
        <v/>
      </c>
      <c r="X510" s="28">
        <f>IF(E510="","",COUNTIFS(tbl_Finance[Job Number],E510&amp;"",tbl_Finance[Ex GST],"&lt;&gt;"))</f>
        <v/>
      </c>
      <c r="Y510" s="27">
        <f>IF(E510="","",SUMIFS(tbl_Finance[Ex GST],tbl_Finance[Job Number],E510&amp;""))</f>
        <v/>
      </c>
      <c r="Z510" s="27">
        <f>IF(E510="","",SUMIFS(tbl_Finance[Ex GST],tbl_Finance[Job Number],E510&amp;"",tbl_Finance[Xero Invoice No],"&lt;&gt;"))</f>
        <v/>
      </c>
      <c r="AA510" s="27">
        <f>IF(E510="","",Y510-Z510)</f>
        <v/>
      </c>
      <c r="AB510" s="25">
        <f>IF(E510="","",IF(H510="Onsite",IFERROR(INDEX(tbl_Onsite[Qwilr Quote],MATCH(E510&amp;"",tbl_Onsite[Job Number],0)),""),IF(H510="Production",IFERROR(IF(INDEX(tbl_Production[Current RMS No],MATCH(E510&amp;"",tbl_Production[Job Number],0))="",INDEX(tbl_Production[Qwilr Quote],MATCH(E510&amp;"",tbl_Production[Job Number],0)),INDEX(tbl_Production[Current RMS No],MATCH(E510&amp;"",tbl_Production[Job Number],0))),""),IF(H510="Consulting",IFERROR(INDEX(tbl_Consulting[Qwilr Quote],MATCH(E510&amp;"",tbl_Consulting[Job Number],0)),""),""))))</f>
        <v/>
      </c>
      <c r="AC510" s="25">
        <f>IF(AB510="","",IF(AND(LEFT(AB510,4)&lt;&gt;"http",IF(H510="Production",set_RMSBase,set_QwilrBase)=""),"",HYPERLINK(IF(LEFT(AB510,4)="http",AB510,IF(H510="Production",set_RMSBase,set_QwilrBase)&amp;AB510),"Open")))</f>
        <v/>
      </c>
      <c r="AD510" s="27">
        <f>IF(E510="","",IF(H510="Production",IFERROR(INDEX(tbl_Production[Total Expense],MATCH(E510&amp;"",tbl_Production[Job Number],0)),0),IF(H510="Consulting",IFERROR(INDEX(tbl_Consulting[Total Expense],MATCH(E510&amp;"",tbl_Consulting[Job Number],0)),0),0)))</f>
        <v/>
      </c>
      <c r="AE510" s="27">
        <f>IF(E510="","",Y510-N(AD510))</f>
        <v/>
      </c>
      <c r="AF510" s="29">
        <f>IFERROR(AE510/Y510,"")</f>
        <v/>
      </c>
      <c r="AG510" s="25">
        <f>IF(E510="","",IF(H510="Onsite",IFERROR(INDEX(tbl_Onsite[Notes],MATCH(E510&amp;"",tbl_Onsite[Job Number],0)),""),IF(H510="Production",IFERROR(INDEX(tbl_Production[Notes],MATCH(E510&amp;"",tbl_Production[Job Number],0)),""),IF(H510="Consulting",IFERROR(INDEX(tbl_Consulting[Notes],MATCH(E510&amp;"",tbl_Consulting[Job Number],0)),""),""))))</f>
        <v/>
      </c>
    </row>
    <row r="511" ht="15" customHeight="1">
      <c r="A511" s="22" t="n"/>
      <c r="B511" s="23">
        <f>IF(A511="","",EOMONTH(A511,0))</f>
        <v/>
      </c>
      <c r="C511" s="24" t="n"/>
      <c r="D511" s="24" t="n"/>
      <c r="E511" s="24" t="n"/>
      <c r="F511" s="25">
        <f>IF(E511="","",IF(COUNTIF(lst_Jobs,E511&amp;"")&gt;0,"OK","CHECK"))</f>
        <v/>
      </c>
      <c r="G511" s="24" t="n"/>
      <c r="H511" s="24" t="n"/>
      <c r="I511" s="24" t="n"/>
      <c r="J511" s="24" t="n"/>
      <c r="K511" s="24" t="n"/>
      <c r="L511" s="26" t="n"/>
      <c r="M511" s="27">
        <f>IF(L511="","",IF(K511="GST 10%",ROUND(L511*set_GSTRate,2),0))</f>
        <v/>
      </c>
      <c r="N511" s="27">
        <f>IF(L511="","",L511+M511)</f>
        <v/>
      </c>
      <c r="O511" s="24" t="n"/>
      <c r="P511" s="24" t="n"/>
      <c r="Q511" s="24" t="n"/>
      <c r="R511" s="22" t="n"/>
      <c r="S511" s="22" t="n"/>
      <c r="T511" s="24" t="n"/>
      <c r="U511" s="24" t="n"/>
      <c r="V511" s="25">
        <f>IF(COUNTA(A511,D511,C511,L511)=0,"",IF(A511="","No date - sits outside every month",IF(E511="","No job number",IF(F511="CHECK","Job number is not in the Xero job list",IF(I511="","No cost centre",IF(AND(P511="Y",C511=""),"Marked posted to Xero but has no invoice number",IF(AND(L511&lt;&gt;"",K511=""),"No tax code",IF(AND(L511&lt;&gt;"",O511=""),"No revenue GL code",""))))))))</f>
        <v/>
      </c>
      <c r="W511" s="25">
        <f>IF(E511="","",IFERROR(INDEX(lst_JobName,MATCH(E511&amp;"",lst_Jobs,0)),""))</f>
        <v/>
      </c>
      <c r="X511" s="28">
        <f>IF(E511="","",COUNTIFS(tbl_Finance[Job Number],E511&amp;"",tbl_Finance[Ex GST],"&lt;&gt;"))</f>
        <v/>
      </c>
      <c r="Y511" s="27">
        <f>IF(E511="","",SUMIFS(tbl_Finance[Ex GST],tbl_Finance[Job Number],E511&amp;""))</f>
        <v/>
      </c>
      <c r="Z511" s="27">
        <f>IF(E511="","",SUMIFS(tbl_Finance[Ex GST],tbl_Finance[Job Number],E511&amp;"",tbl_Finance[Xero Invoice No],"&lt;&gt;"))</f>
        <v/>
      </c>
      <c r="AA511" s="27">
        <f>IF(E511="","",Y511-Z511)</f>
        <v/>
      </c>
      <c r="AB511" s="25">
        <f>IF(E511="","",IF(H511="Onsite",IFERROR(INDEX(tbl_Onsite[Qwilr Quote],MATCH(E511&amp;"",tbl_Onsite[Job Number],0)),""),IF(H511="Production",IFERROR(IF(INDEX(tbl_Production[Current RMS No],MATCH(E511&amp;"",tbl_Production[Job Number],0))="",INDEX(tbl_Production[Qwilr Quote],MATCH(E511&amp;"",tbl_Production[Job Number],0)),INDEX(tbl_Production[Current RMS No],MATCH(E511&amp;"",tbl_Production[Job Number],0))),""),IF(H511="Consulting",IFERROR(INDEX(tbl_Consulting[Qwilr Quote],MATCH(E511&amp;"",tbl_Consulting[Job Number],0)),""),""))))</f>
        <v/>
      </c>
      <c r="AC511" s="25">
        <f>IF(AB511="","",IF(AND(LEFT(AB511,4)&lt;&gt;"http",IF(H511="Production",set_RMSBase,set_QwilrBase)=""),"",HYPERLINK(IF(LEFT(AB511,4)="http",AB511,IF(H511="Production",set_RMSBase,set_QwilrBase)&amp;AB511),"Open")))</f>
        <v/>
      </c>
      <c r="AD511" s="27">
        <f>IF(E511="","",IF(H511="Production",IFERROR(INDEX(tbl_Production[Total Expense],MATCH(E511&amp;"",tbl_Production[Job Number],0)),0),IF(H511="Consulting",IFERROR(INDEX(tbl_Consulting[Total Expense],MATCH(E511&amp;"",tbl_Consulting[Job Number],0)),0),0)))</f>
        <v/>
      </c>
      <c r="AE511" s="27">
        <f>IF(E511="","",Y511-N(AD511))</f>
        <v/>
      </c>
      <c r="AF511" s="29">
        <f>IFERROR(AE511/Y511,"")</f>
        <v/>
      </c>
      <c r="AG511" s="25">
        <f>IF(E511="","",IF(H511="Onsite",IFERROR(INDEX(tbl_Onsite[Notes],MATCH(E511&amp;"",tbl_Onsite[Job Number],0)),""),IF(H511="Production",IFERROR(INDEX(tbl_Production[Notes],MATCH(E511&amp;"",tbl_Production[Job Number],0)),""),IF(H511="Consulting",IFERROR(INDEX(tbl_Consulting[Notes],MATCH(E511&amp;"",tbl_Consulting[Job Number],0)),""),""))))</f>
        <v/>
      </c>
    </row>
    <row r="512" ht="15" customHeight="1">
      <c r="A512" s="22" t="n"/>
      <c r="B512" s="23">
        <f>IF(A512="","",EOMONTH(A512,0))</f>
        <v/>
      </c>
      <c r="C512" s="24" t="n"/>
      <c r="D512" s="24" t="n"/>
      <c r="E512" s="24" t="n"/>
      <c r="F512" s="25">
        <f>IF(E512="","",IF(COUNTIF(lst_Jobs,E512&amp;"")&gt;0,"OK","CHECK"))</f>
        <v/>
      </c>
      <c r="G512" s="24" t="n"/>
      <c r="H512" s="24" t="n"/>
      <c r="I512" s="24" t="n"/>
      <c r="J512" s="24" t="n"/>
      <c r="K512" s="24" t="n"/>
      <c r="L512" s="26" t="n"/>
      <c r="M512" s="27">
        <f>IF(L512="","",IF(K512="GST 10%",ROUND(L512*set_GSTRate,2),0))</f>
        <v/>
      </c>
      <c r="N512" s="27">
        <f>IF(L512="","",L512+M512)</f>
        <v/>
      </c>
      <c r="O512" s="24" t="n"/>
      <c r="P512" s="24" t="n"/>
      <c r="Q512" s="24" t="n"/>
      <c r="R512" s="22" t="n"/>
      <c r="S512" s="22" t="n"/>
      <c r="T512" s="24" t="n"/>
      <c r="U512" s="24" t="n"/>
      <c r="V512" s="25">
        <f>IF(COUNTA(A512,D512,C512,L512)=0,"",IF(A512="","No date - sits outside every month",IF(E512="","No job number",IF(F512="CHECK","Job number is not in the Xero job list",IF(I512="","No cost centre",IF(AND(P512="Y",C512=""),"Marked posted to Xero but has no invoice number",IF(AND(L512&lt;&gt;"",K512=""),"No tax code",IF(AND(L512&lt;&gt;"",O512=""),"No revenue GL code",""))))))))</f>
        <v/>
      </c>
      <c r="W512" s="25">
        <f>IF(E512="","",IFERROR(INDEX(lst_JobName,MATCH(E512&amp;"",lst_Jobs,0)),""))</f>
        <v/>
      </c>
      <c r="X512" s="28">
        <f>IF(E512="","",COUNTIFS(tbl_Finance[Job Number],E512&amp;"",tbl_Finance[Ex GST],"&lt;&gt;"))</f>
        <v/>
      </c>
      <c r="Y512" s="27">
        <f>IF(E512="","",SUMIFS(tbl_Finance[Ex GST],tbl_Finance[Job Number],E512&amp;""))</f>
        <v/>
      </c>
      <c r="Z512" s="27">
        <f>IF(E512="","",SUMIFS(tbl_Finance[Ex GST],tbl_Finance[Job Number],E512&amp;"",tbl_Finance[Xero Invoice No],"&lt;&gt;"))</f>
        <v/>
      </c>
      <c r="AA512" s="27">
        <f>IF(E512="","",Y512-Z512)</f>
        <v/>
      </c>
      <c r="AB512" s="25">
        <f>IF(E512="","",IF(H512="Onsite",IFERROR(INDEX(tbl_Onsite[Qwilr Quote],MATCH(E512&amp;"",tbl_Onsite[Job Number],0)),""),IF(H512="Production",IFERROR(IF(INDEX(tbl_Production[Current RMS No],MATCH(E512&amp;"",tbl_Production[Job Number],0))="",INDEX(tbl_Production[Qwilr Quote],MATCH(E512&amp;"",tbl_Production[Job Number],0)),INDEX(tbl_Production[Current RMS No],MATCH(E512&amp;"",tbl_Production[Job Number],0))),""),IF(H512="Consulting",IFERROR(INDEX(tbl_Consulting[Qwilr Quote],MATCH(E512&amp;"",tbl_Consulting[Job Number],0)),""),""))))</f>
        <v/>
      </c>
      <c r="AC512" s="25">
        <f>IF(AB512="","",IF(AND(LEFT(AB512,4)&lt;&gt;"http",IF(H512="Production",set_RMSBase,set_QwilrBase)=""),"",HYPERLINK(IF(LEFT(AB512,4)="http",AB512,IF(H512="Production",set_RMSBase,set_QwilrBase)&amp;AB512),"Open")))</f>
        <v/>
      </c>
      <c r="AD512" s="27">
        <f>IF(E512="","",IF(H512="Production",IFERROR(INDEX(tbl_Production[Total Expense],MATCH(E512&amp;"",tbl_Production[Job Number],0)),0),IF(H512="Consulting",IFERROR(INDEX(tbl_Consulting[Total Expense],MATCH(E512&amp;"",tbl_Consulting[Job Number],0)),0),0)))</f>
        <v/>
      </c>
      <c r="AE512" s="27">
        <f>IF(E512="","",Y512-N(AD512))</f>
        <v/>
      </c>
      <c r="AF512" s="29">
        <f>IFERROR(AE512/Y512,"")</f>
        <v/>
      </c>
      <c r="AG512" s="25">
        <f>IF(E512="","",IF(H512="Onsite",IFERROR(INDEX(tbl_Onsite[Notes],MATCH(E512&amp;"",tbl_Onsite[Job Number],0)),""),IF(H512="Production",IFERROR(INDEX(tbl_Production[Notes],MATCH(E512&amp;"",tbl_Production[Job Number],0)),""),IF(H512="Consulting",IFERROR(INDEX(tbl_Consulting[Notes],MATCH(E512&amp;"",tbl_Consulting[Job Number],0)),""),""))))</f>
        <v/>
      </c>
    </row>
    <row r="513" ht="15" customHeight="1">
      <c r="A513" s="22" t="n"/>
      <c r="B513" s="23">
        <f>IF(A513="","",EOMONTH(A513,0))</f>
        <v/>
      </c>
      <c r="C513" s="24" t="n"/>
      <c r="D513" s="24" t="n"/>
      <c r="E513" s="24" t="n"/>
      <c r="F513" s="25">
        <f>IF(E513="","",IF(COUNTIF(lst_Jobs,E513&amp;"")&gt;0,"OK","CHECK"))</f>
        <v/>
      </c>
      <c r="G513" s="24" t="n"/>
      <c r="H513" s="24" t="n"/>
      <c r="I513" s="24" t="n"/>
      <c r="J513" s="24" t="n"/>
      <c r="K513" s="24" t="n"/>
      <c r="L513" s="26" t="n"/>
      <c r="M513" s="27">
        <f>IF(L513="","",IF(K513="GST 10%",ROUND(L513*set_GSTRate,2),0))</f>
        <v/>
      </c>
      <c r="N513" s="27">
        <f>IF(L513="","",L513+M513)</f>
        <v/>
      </c>
      <c r="O513" s="24" t="n"/>
      <c r="P513" s="24" t="n"/>
      <c r="Q513" s="24" t="n"/>
      <c r="R513" s="22" t="n"/>
      <c r="S513" s="22" t="n"/>
      <c r="T513" s="24" t="n"/>
      <c r="U513" s="24" t="n"/>
      <c r="V513" s="25">
        <f>IF(COUNTA(A513,D513,C513,L513)=0,"",IF(A513="","No date - sits outside every month",IF(E513="","No job number",IF(F513="CHECK","Job number is not in the Xero job list",IF(I513="","No cost centre",IF(AND(P513="Y",C513=""),"Marked posted to Xero but has no invoice number",IF(AND(L513&lt;&gt;"",K513=""),"No tax code",IF(AND(L513&lt;&gt;"",O513=""),"No revenue GL code",""))))))))</f>
        <v/>
      </c>
      <c r="W513" s="25">
        <f>IF(E513="","",IFERROR(INDEX(lst_JobName,MATCH(E513&amp;"",lst_Jobs,0)),""))</f>
        <v/>
      </c>
      <c r="X513" s="28">
        <f>IF(E513="","",COUNTIFS(tbl_Finance[Job Number],E513&amp;"",tbl_Finance[Ex GST],"&lt;&gt;"))</f>
        <v/>
      </c>
      <c r="Y513" s="27">
        <f>IF(E513="","",SUMIFS(tbl_Finance[Ex GST],tbl_Finance[Job Number],E513&amp;""))</f>
        <v/>
      </c>
      <c r="Z513" s="27">
        <f>IF(E513="","",SUMIFS(tbl_Finance[Ex GST],tbl_Finance[Job Number],E513&amp;"",tbl_Finance[Xero Invoice No],"&lt;&gt;"))</f>
        <v/>
      </c>
      <c r="AA513" s="27">
        <f>IF(E513="","",Y513-Z513)</f>
        <v/>
      </c>
      <c r="AB513" s="25">
        <f>IF(E513="","",IF(H513="Onsite",IFERROR(INDEX(tbl_Onsite[Qwilr Quote],MATCH(E513&amp;"",tbl_Onsite[Job Number],0)),""),IF(H513="Production",IFERROR(IF(INDEX(tbl_Production[Current RMS No],MATCH(E513&amp;"",tbl_Production[Job Number],0))="",INDEX(tbl_Production[Qwilr Quote],MATCH(E513&amp;"",tbl_Production[Job Number],0)),INDEX(tbl_Production[Current RMS No],MATCH(E513&amp;"",tbl_Production[Job Number],0))),""),IF(H513="Consulting",IFERROR(INDEX(tbl_Consulting[Qwilr Quote],MATCH(E513&amp;"",tbl_Consulting[Job Number],0)),""),""))))</f>
        <v/>
      </c>
      <c r="AC513" s="25">
        <f>IF(AB513="","",IF(AND(LEFT(AB513,4)&lt;&gt;"http",IF(H513="Production",set_RMSBase,set_QwilrBase)=""),"",HYPERLINK(IF(LEFT(AB513,4)="http",AB513,IF(H513="Production",set_RMSBase,set_QwilrBase)&amp;AB513),"Open")))</f>
        <v/>
      </c>
      <c r="AD513" s="27">
        <f>IF(E513="","",IF(H513="Production",IFERROR(INDEX(tbl_Production[Total Expense],MATCH(E513&amp;"",tbl_Production[Job Number],0)),0),IF(H513="Consulting",IFERROR(INDEX(tbl_Consulting[Total Expense],MATCH(E513&amp;"",tbl_Consulting[Job Number],0)),0),0)))</f>
        <v/>
      </c>
      <c r="AE513" s="27">
        <f>IF(E513="","",Y513-N(AD513))</f>
        <v/>
      </c>
      <c r="AF513" s="29">
        <f>IFERROR(AE513/Y513,"")</f>
        <v/>
      </c>
      <c r="AG513" s="25">
        <f>IF(E513="","",IF(H513="Onsite",IFERROR(INDEX(tbl_Onsite[Notes],MATCH(E513&amp;"",tbl_Onsite[Job Number],0)),""),IF(H513="Production",IFERROR(INDEX(tbl_Production[Notes],MATCH(E513&amp;"",tbl_Production[Job Number],0)),""),IF(H513="Consulting",IFERROR(INDEX(tbl_Consulting[Notes],MATCH(E513&amp;"",tbl_Consulting[Job Number],0)),""),""))))</f>
        <v/>
      </c>
    </row>
    <row r="514" ht="15" customHeight="1">
      <c r="A514" s="22" t="n"/>
      <c r="B514" s="23">
        <f>IF(A514="","",EOMONTH(A514,0))</f>
        <v/>
      </c>
      <c r="C514" s="24" t="n"/>
      <c r="D514" s="24" t="n"/>
      <c r="E514" s="24" t="n"/>
      <c r="F514" s="25">
        <f>IF(E514="","",IF(COUNTIF(lst_Jobs,E514&amp;"")&gt;0,"OK","CHECK"))</f>
        <v/>
      </c>
      <c r="G514" s="24" t="n"/>
      <c r="H514" s="24" t="n"/>
      <c r="I514" s="24" t="n"/>
      <c r="J514" s="24" t="n"/>
      <c r="K514" s="24" t="n"/>
      <c r="L514" s="26" t="n"/>
      <c r="M514" s="27">
        <f>IF(L514="","",IF(K514="GST 10%",ROUND(L514*set_GSTRate,2),0))</f>
        <v/>
      </c>
      <c r="N514" s="27">
        <f>IF(L514="","",L514+M514)</f>
        <v/>
      </c>
      <c r="O514" s="24" t="n"/>
      <c r="P514" s="24" t="n"/>
      <c r="Q514" s="24" t="n"/>
      <c r="R514" s="22" t="n"/>
      <c r="S514" s="22" t="n"/>
      <c r="T514" s="24" t="n"/>
      <c r="U514" s="24" t="n"/>
      <c r="V514" s="25">
        <f>IF(COUNTA(A514,D514,C514,L514)=0,"",IF(A514="","No date - sits outside every month",IF(E514="","No job number",IF(F514="CHECK","Job number is not in the Xero job list",IF(I514="","No cost centre",IF(AND(P514="Y",C514=""),"Marked posted to Xero but has no invoice number",IF(AND(L514&lt;&gt;"",K514=""),"No tax code",IF(AND(L514&lt;&gt;"",O514=""),"No revenue GL code",""))))))))</f>
        <v/>
      </c>
      <c r="W514" s="25">
        <f>IF(E514="","",IFERROR(INDEX(lst_JobName,MATCH(E514&amp;"",lst_Jobs,0)),""))</f>
        <v/>
      </c>
      <c r="X514" s="28">
        <f>IF(E514="","",COUNTIFS(tbl_Finance[Job Number],E514&amp;"",tbl_Finance[Ex GST],"&lt;&gt;"))</f>
        <v/>
      </c>
      <c r="Y514" s="27">
        <f>IF(E514="","",SUMIFS(tbl_Finance[Ex GST],tbl_Finance[Job Number],E514&amp;""))</f>
        <v/>
      </c>
      <c r="Z514" s="27">
        <f>IF(E514="","",SUMIFS(tbl_Finance[Ex GST],tbl_Finance[Job Number],E514&amp;"",tbl_Finance[Xero Invoice No],"&lt;&gt;"))</f>
        <v/>
      </c>
      <c r="AA514" s="27">
        <f>IF(E514="","",Y514-Z514)</f>
        <v/>
      </c>
      <c r="AB514" s="25">
        <f>IF(E514="","",IF(H514="Onsite",IFERROR(INDEX(tbl_Onsite[Qwilr Quote],MATCH(E514&amp;"",tbl_Onsite[Job Number],0)),""),IF(H514="Production",IFERROR(IF(INDEX(tbl_Production[Current RMS No],MATCH(E514&amp;"",tbl_Production[Job Number],0))="",INDEX(tbl_Production[Qwilr Quote],MATCH(E514&amp;"",tbl_Production[Job Number],0)),INDEX(tbl_Production[Current RMS No],MATCH(E514&amp;"",tbl_Production[Job Number],0))),""),IF(H514="Consulting",IFERROR(INDEX(tbl_Consulting[Qwilr Quote],MATCH(E514&amp;"",tbl_Consulting[Job Number],0)),""),""))))</f>
        <v/>
      </c>
      <c r="AC514" s="25">
        <f>IF(AB514="","",IF(AND(LEFT(AB514,4)&lt;&gt;"http",IF(H514="Production",set_RMSBase,set_QwilrBase)=""),"",HYPERLINK(IF(LEFT(AB514,4)="http",AB514,IF(H514="Production",set_RMSBase,set_QwilrBase)&amp;AB514),"Open")))</f>
        <v/>
      </c>
      <c r="AD514" s="27">
        <f>IF(E514="","",IF(H514="Production",IFERROR(INDEX(tbl_Production[Total Expense],MATCH(E514&amp;"",tbl_Production[Job Number],0)),0),IF(H514="Consulting",IFERROR(INDEX(tbl_Consulting[Total Expense],MATCH(E514&amp;"",tbl_Consulting[Job Number],0)),0),0)))</f>
        <v/>
      </c>
      <c r="AE514" s="27">
        <f>IF(E514="","",Y514-N(AD514))</f>
        <v/>
      </c>
      <c r="AF514" s="29">
        <f>IFERROR(AE514/Y514,"")</f>
        <v/>
      </c>
      <c r="AG514" s="25">
        <f>IF(E514="","",IF(H514="Onsite",IFERROR(INDEX(tbl_Onsite[Notes],MATCH(E514&amp;"",tbl_Onsite[Job Number],0)),""),IF(H514="Production",IFERROR(INDEX(tbl_Production[Notes],MATCH(E514&amp;"",tbl_Production[Job Number],0)),""),IF(H514="Consulting",IFERROR(INDEX(tbl_Consulting[Notes],MATCH(E514&amp;"",tbl_Consulting[Job Number],0)),""),""))))</f>
        <v/>
      </c>
    </row>
    <row r="515" ht="15" customHeight="1">
      <c r="A515" s="22" t="n"/>
      <c r="B515" s="23">
        <f>IF(A515="","",EOMONTH(A515,0))</f>
        <v/>
      </c>
      <c r="C515" s="24" t="n"/>
      <c r="D515" s="24" t="n"/>
      <c r="E515" s="24" t="n"/>
      <c r="F515" s="25">
        <f>IF(E515="","",IF(COUNTIF(lst_Jobs,E515&amp;"")&gt;0,"OK","CHECK"))</f>
        <v/>
      </c>
      <c r="G515" s="24" t="n"/>
      <c r="H515" s="24" t="n"/>
      <c r="I515" s="24" t="n"/>
      <c r="J515" s="24" t="n"/>
      <c r="K515" s="24" t="n"/>
      <c r="L515" s="26" t="n"/>
      <c r="M515" s="27">
        <f>IF(L515="","",IF(K515="GST 10%",ROUND(L515*set_GSTRate,2),0))</f>
        <v/>
      </c>
      <c r="N515" s="27">
        <f>IF(L515="","",L515+M515)</f>
        <v/>
      </c>
      <c r="O515" s="24" t="n"/>
      <c r="P515" s="24" t="n"/>
      <c r="Q515" s="24" t="n"/>
      <c r="R515" s="22" t="n"/>
      <c r="S515" s="22" t="n"/>
      <c r="T515" s="24" t="n"/>
      <c r="U515" s="24" t="n"/>
      <c r="V515" s="25">
        <f>IF(COUNTA(A515,D515,C515,L515)=0,"",IF(A515="","No date - sits outside every month",IF(E515="","No job number",IF(F515="CHECK","Job number is not in the Xero job list",IF(I515="","No cost centre",IF(AND(P515="Y",C515=""),"Marked posted to Xero but has no invoice number",IF(AND(L515&lt;&gt;"",K515=""),"No tax code",IF(AND(L515&lt;&gt;"",O515=""),"No revenue GL code",""))))))))</f>
        <v/>
      </c>
      <c r="W515" s="25">
        <f>IF(E515="","",IFERROR(INDEX(lst_JobName,MATCH(E515&amp;"",lst_Jobs,0)),""))</f>
        <v/>
      </c>
      <c r="X515" s="28">
        <f>IF(E515="","",COUNTIFS(tbl_Finance[Job Number],E515&amp;"",tbl_Finance[Ex GST],"&lt;&gt;"))</f>
        <v/>
      </c>
      <c r="Y515" s="27">
        <f>IF(E515="","",SUMIFS(tbl_Finance[Ex GST],tbl_Finance[Job Number],E515&amp;""))</f>
        <v/>
      </c>
      <c r="Z515" s="27">
        <f>IF(E515="","",SUMIFS(tbl_Finance[Ex GST],tbl_Finance[Job Number],E515&amp;"",tbl_Finance[Xero Invoice No],"&lt;&gt;"))</f>
        <v/>
      </c>
      <c r="AA515" s="27">
        <f>IF(E515="","",Y515-Z515)</f>
        <v/>
      </c>
      <c r="AB515" s="25">
        <f>IF(E515="","",IF(H515="Onsite",IFERROR(INDEX(tbl_Onsite[Qwilr Quote],MATCH(E515&amp;"",tbl_Onsite[Job Number],0)),""),IF(H515="Production",IFERROR(IF(INDEX(tbl_Production[Current RMS No],MATCH(E515&amp;"",tbl_Production[Job Number],0))="",INDEX(tbl_Production[Qwilr Quote],MATCH(E515&amp;"",tbl_Production[Job Number],0)),INDEX(tbl_Production[Current RMS No],MATCH(E515&amp;"",tbl_Production[Job Number],0))),""),IF(H515="Consulting",IFERROR(INDEX(tbl_Consulting[Qwilr Quote],MATCH(E515&amp;"",tbl_Consulting[Job Number],0)),""),""))))</f>
        <v/>
      </c>
      <c r="AC515" s="25">
        <f>IF(AB515="","",IF(AND(LEFT(AB515,4)&lt;&gt;"http",IF(H515="Production",set_RMSBase,set_QwilrBase)=""),"",HYPERLINK(IF(LEFT(AB515,4)="http",AB515,IF(H515="Production",set_RMSBase,set_QwilrBase)&amp;AB515),"Open")))</f>
        <v/>
      </c>
      <c r="AD515" s="27">
        <f>IF(E515="","",IF(H515="Production",IFERROR(INDEX(tbl_Production[Total Expense],MATCH(E515&amp;"",tbl_Production[Job Number],0)),0),IF(H515="Consulting",IFERROR(INDEX(tbl_Consulting[Total Expense],MATCH(E515&amp;"",tbl_Consulting[Job Number],0)),0),0)))</f>
        <v/>
      </c>
      <c r="AE515" s="27">
        <f>IF(E515="","",Y515-N(AD515))</f>
        <v/>
      </c>
      <c r="AF515" s="29">
        <f>IFERROR(AE515/Y515,"")</f>
        <v/>
      </c>
      <c r="AG515" s="25">
        <f>IF(E515="","",IF(H515="Onsite",IFERROR(INDEX(tbl_Onsite[Notes],MATCH(E515&amp;"",tbl_Onsite[Job Number],0)),""),IF(H515="Production",IFERROR(INDEX(tbl_Production[Notes],MATCH(E515&amp;"",tbl_Production[Job Number],0)),""),IF(H515="Consulting",IFERROR(INDEX(tbl_Consulting[Notes],MATCH(E515&amp;"",tbl_Consulting[Job Number],0)),""),""))))</f>
        <v/>
      </c>
    </row>
    <row r="516" ht="15" customHeight="1">
      <c r="A516" s="22" t="n"/>
      <c r="B516" s="23">
        <f>IF(A516="","",EOMONTH(A516,0))</f>
        <v/>
      </c>
      <c r="C516" s="24" t="n"/>
      <c r="D516" s="24" t="n"/>
      <c r="E516" s="24" t="n"/>
      <c r="F516" s="25">
        <f>IF(E516="","",IF(COUNTIF(lst_Jobs,E516&amp;"")&gt;0,"OK","CHECK"))</f>
        <v/>
      </c>
      <c r="G516" s="24" t="n"/>
      <c r="H516" s="24" t="n"/>
      <c r="I516" s="24" t="n"/>
      <c r="J516" s="24" t="n"/>
      <c r="K516" s="24" t="n"/>
      <c r="L516" s="26" t="n"/>
      <c r="M516" s="27">
        <f>IF(L516="","",IF(K516="GST 10%",ROUND(L516*set_GSTRate,2),0))</f>
        <v/>
      </c>
      <c r="N516" s="27">
        <f>IF(L516="","",L516+M516)</f>
        <v/>
      </c>
      <c r="O516" s="24" t="n"/>
      <c r="P516" s="24" t="n"/>
      <c r="Q516" s="24" t="n"/>
      <c r="R516" s="22" t="n"/>
      <c r="S516" s="22" t="n"/>
      <c r="T516" s="24" t="n"/>
      <c r="U516" s="24" t="n"/>
      <c r="V516" s="25">
        <f>IF(COUNTA(A516,D516,C516,L516)=0,"",IF(A516="","No date - sits outside every month",IF(E516="","No job number",IF(F516="CHECK","Job number is not in the Xero job list",IF(I516="","No cost centre",IF(AND(P516="Y",C516=""),"Marked posted to Xero but has no invoice number",IF(AND(L516&lt;&gt;"",K516=""),"No tax code",IF(AND(L516&lt;&gt;"",O516=""),"No revenue GL code",""))))))))</f>
        <v/>
      </c>
      <c r="W516" s="25">
        <f>IF(E516="","",IFERROR(INDEX(lst_JobName,MATCH(E516&amp;"",lst_Jobs,0)),""))</f>
        <v/>
      </c>
      <c r="X516" s="28">
        <f>IF(E516="","",COUNTIFS(tbl_Finance[Job Number],E516&amp;"",tbl_Finance[Ex GST],"&lt;&gt;"))</f>
        <v/>
      </c>
      <c r="Y516" s="27">
        <f>IF(E516="","",SUMIFS(tbl_Finance[Ex GST],tbl_Finance[Job Number],E516&amp;""))</f>
        <v/>
      </c>
      <c r="Z516" s="27">
        <f>IF(E516="","",SUMIFS(tbl_Finance[Ex GST],tbl_Finance[Job Number],E516&amp;"",tbl_Finance[Xero Invoice No],"&lt;&gt;"))</f>
        <v/>
      </c>
      <c r="AA516" s="27">
        <f>IF(E516="","",Y516-Z516)</f>
        <v/>
      </c>
      <c r="AB516" s="25">
        <f>IF(E516="","",IF(H516="Onsite",IFERROR(INDEX(tbl_Onsite[Qwilr Quote],MATCH(E516&amp;"",tbl_Onsite[Job Number],0)),""),IF(H516="Production",IFERROR(IF(INDEX(tbl_Production[Current RMS No],MATCH(E516&amp;"",tbl_Production[Job Number],0))="",INDEX(tbl_Production[Qwilr Quote],MATCH(E516&amp;"",tbl_Production[Job Number],0)),INDEX(tbl_Production[Current RMS No],MATCH(E516&amp;"",tbl_Production[Job Number],0))),""),IF(H516="Consulting",IFERROR(INDEX(tbl_Consulting[Qwilr Quote],MATCH(E516&amp;"",tbl_Consulting[Job Number],0)),""),""))))</f>
        <v/>
      </c>
      <c r="AC516" s="25">
        <f>IF(AB516="","",IF(AND(LEFT(AB516,4)&lt;&gt;"http",IF(H516="Production",set_RMSBase,set_QwilrBase)=""),"",HYPERLINK(IF(LEFT(AB516,4)="http",AB516,IF(H516="Production",set_RMSBase,set_QwilrBase)&amp;AB516),"Open")))</f>
        <v/>
      </c>
      <c r="AD516" s="27">
        <f>IF(E516="","",IF(H516="Production",IFERROR(INDEX(tbl_Production[Total Expense],MATCH(E516&amp;"",tbl_Production[Job Number],0)),0),IF(H516="Consulting",IFERROR(INDEX(tbl_Consulting[Total Expense],MATCH(E516&amp;"",tbl_Consulting[Job Number],0)),0),0)))</f>
        <v/>
      </c>
      <c r="AE516" s="27">
        <f>IF(E516="","",Y516-N(AD516))</f>
        <v/>
      </c>
      <c r="AF516" s="29">
        <f>IFERROR(AE516/Y516,"")</f>
        <v/>
      </c>
      <c r="AG516" s="25">
        <f>IF(E516="","",IF(H516="Onsite",IFERROR(INDEX(tbl_Onsite[Notes],MATCH(E516&amp;"",tbl_Onsite[Job Number],0)),""),IF(H516="Production",IFERROR(INDEX(tbl_Production[Notes],MATCH(E516&amp;"",tbl_Production[Job Number],0)),""),IF(H516="Consulting",IFERROR(INDEX(tbl_Consulting[Notes],MATCH(E516&amp;"",tbl_Consulting[Job Number],0)),""),""))))</f>
        <v/>
      </c>
    </row>
    <row r="517" ht="15" customHeight="1">
      <c r="A517" s="22" t="n"/>
      <c r="B517" s="23">
        <f>IF(A517="","",EOMONTH(A517,0))</f>
        <v/>
      </c>
      <c r="C517" s="24" t="n"/>
      <c r="D517" s="24" t="n"/>
      <c r="E517" s="24" t="n"/>
      <c r="F517" s="25">
        <f>IF(E517="","",IF(COUNTIF(lst_Jobs,E517&amp;"")&gt;0,"OK","CHECK"))</f>
        <v/>
      </c>
      <c r="G517" s="24" t="n"/>
      <c r="H517" s="24" t="n"/>
      <c r="I517" s="24" t="n"/>
      <c r="J517" s="24" t="n"/>
      <c r="K517" s="24" t="n"/>
      <c r="L517" s="26" t="n"/>
      <c r="M517" s="27">
        <f>IF(L517="","",IF(K517="GST 10%",ROUND(L517*set_GSTRate,2),0))</f>
        <v/>
      </c>
      <c r="N517" s="27">
        <f>IF(L517="","",L517+M517)</f>
        <v/>
      </c>
      <c r="O517" s="24" t="n"/>
      <c r="P517" s="24" t="n"/>
      <c r="Q517" s="24" t="n"/>
      <c r="R517" s="22" t="n"/>
      <c r="S517" s="22" t="n"/>
      <c r="T517" s="24" t="n"/>
      <c r="U517" s="24" t="n"/>
      <c r="V517" s="25">
        <f>IF(COUNTA(A517,D517,C517,L517)=0,"",IF(A517="","No date - sits outside every month",IF(E517="","No job number",IF(F517="CHECK","Job number is not in the Xero job list",IF(I517="","No cost centre",IF(AND(P517="Y",C517=""),"Marked posted to Xero but has no invoice number",IF(AND(L517&lt;&gt;"",K517=""),"No tax code",IF(AND(L517&lt;&gt;"",O517=""),"No revenue GL code",""))))))))</f>
        <v/>
      </c>
      <c r="W517" s="25">
        <f>IF(E517="","",IFERROR(INDEX(lst_JobName,MATCH(E517&amp;"",lst_Jobs,0)),""))</f>
        <v/>
      </c>
      <c r="X517" s="28">
        <f>IF(E517="","",COUNTIFS(tbl_Finance[Job Number],E517&amp;"",tbl_Finance[Ex GST],"&lt;&gt;"))</f>
        <v/>
      </c>
      <c r="Y517" s="27">
        <f>IF(E517="","",SUMIFS(tbl_Finance[Ex GST],tbl_Finance[Job Number],E517&amp;""))</f>
        <v/>
      </c>
      <c r="Z517" s="27">
        <f>IF(E517="","",SUMIFS(tbl_Finance[Ex GST],tbl_Finance[Job Number],E517&amp;"",tbl_Finance[Xero Invoice No],"&lt;&gt;"))</f>
        <v/>
      </c>
      <c r="AA517" s="27">
        <f>IF(E517="","",Y517-Z517)</f>
        <v/>
      </c>
      <c r="AB517" s="25">
        <f>IF(E517="","",IF(H517="Onsite",IFERROR(INDEX(tbl_Onsite[Qwilr Quote],MATCH(E517&amp;"",tbl_Onsite[Job Number],0)),""),IF(H517="Production",IFERROR(IF(INDEX(tbl_Production[Current RMS No],MATCH(E517&amp;"",tbl_Production[Job Number],0))="",INDEX(tbl_Production[Qwilr Quote],MATCH(E517&amp;"",tbl_Production[Job Number],0)),INDEX(tbl_Production[Current RMS No],MATCH(E517&amp;"",tbl_Production[Job Number],0))),""),IF(H517="Consulting",IFERROR(INDEX(tbl_Consulting[Qwilr Quote],MATCH(E517&amp;"",tbl_Consulting[Job Number],0)),""),""))))</f>
        <v/>
      </c>
      <c r="AC517" s="25">
        <f>IF(AB517="","",IF(AND(LEFT(AB517,4)&lt;&gt;"http",IF(H517="Production",set_RMSBase,set_QwilrBase)=""),"",HYPERLINK(IF(LEFT(AB517,4)="http",AB517,IF(H517="Production",set_RMSBase,set_QwilrBase)&amp;AB517),"Open")))</f>
        <v/>
      </c>
      <c r="AD517" s="27">
        <f>IF(E517="","",IF(H517="Production",IFERROR(INDEX(tbl_Production[Total Expense],MATCH(E517&amp;"",tbl_Production[Job Number],0)),0),IF(H517="Consulting",IFERROR(INDEX(tbl_Consulting[Total Expense],MATCH(E517&amp;"",tbl_Consulting[Job Number],0)),0),0)))</f>
        <v/>
      </c>
      <c r="AE517" s="27">
        <f>IF(E517="","",Y517-N(AD517))</f>
        <v/>
      </c>
      <c r="AF517" s="29">
        <f>IFERROR(AE517/Y517,"")</f>
        <v/>
      </c>
      <c r="AG517" s="25">
        <f>IF(E517="","",IF(H517="Onsite",IFERROR(INDEX(tbl_Onsite[Notes],MATCH(E517&amp;"",tbl_Onsite[Job Number],0)),""),IF(H517="Production",IFERROR(INDEX(tbl_Production[Notes],MATCH(E517&amp;"",tbl_Production[Job Number],0)),""),IF(H517="Consulting",IFERROR(INDEX(tbl_Consulting[Notes],MATCH(E517&amp;"",tbl_Consulting[Job Number],0)),""),""))))</f>
        <v/>
      </c>
    </row>
    <row r="518" ht="15" customHeight="1">
      <c r="A518" s="22" t="n"/>
      <c r="B518" s="23">
        <f>IF(A518="","",EOMONTH(A518,0))</f>
        <v/>
      </c>
      <c r="C518" s="24" t="n"/>
      <c r="D518" s="24" t="n"/>
      <c r="E518" s="24" t="n"/>
      <c r="F518" s="25">
        <f>IF(E518="","",IF(COUNTIF(lst_Jobs,E518&amp;"")&gt;0,"OK","CHECK"))</f>
        <v/>
      </c>
      <c r="G518" s="24" t="n"/>
      <c r="H518" s="24" t="n"/>
      <c r="I518" s="24" t="n"/>
      <c r="J518" s="24" t="n"/>
      <c r="K518" s="24" t="n"/>
      <c r="L518" s="26" t="n"/>
      <c r="M518" s="27">
        <f>IF(L518="","",IF(K518="GST 10%",ROUND(L518*set_GSTRate,2),0))</f>
        <v/>
      </c>
      <c r="N518" s="27">
        <f>IF(L518="","",L518+M518)</f>
        <v/>
      </c>
      <c r="O518" s="24" t="n"/>
      <c r="P518" s="24" t="n"/>
      <c r="Q518" s="24" t="n"/>
      <c r="R518" s="22" t="n"/>
      <c r="S518" s="22" t="n"/>
      <c r="T518" s="24" t="n"/>
      <c r="U518" s="24" t="n"/>
      <c r="V518" s="25">
        <f>IF(COUNTA(A518,D518,C518,L518)=0,"",IF(A518="","No date - sits outside every month",IF(E518="","No job number",IF(F518="CHECK","Job number is not in the Xero job list",IF(I518="","No cost centre",IF(AND(P518="Y",C518=""),"Marked posted to Xero but has no invoice number",IF(AND(L518&lt;&gt;"",K518=""),"No tax code",IF(AND(L518&lt;&gt;"",O518=""),"No revenue GL code",""))))))))</f>
        <v/>
      </c>
      <c r="W518" s="25">
        <f>IF(E518="","",IFERROR(INDEX(lst_JobName,MATCH(E518&amp;"",lst_Jobs,0)),""))</f>
        <v/>
      </c>
      <c r="X518" s="28">
        <f>IF(E518="","",COUNTIFS(tbl_Finance[Job Number],E518&amp;"",tbl_Finance[Ex GST],"&lt;&gt;"))</f>
        <v/>
      </c>
      <c r="Y518" s="27">
        <f>IF(E518="","",SUMIFS(tbl_Finance[Ex GST],tbl_Finance[Job Number],E518&amp;""))</f>
        <v/>
      </c>
      <c r="Z518" s="27">
        <f>IF(E518="","",SUMIFS(tbl_Finance[Ex GST],tbl_Finance[Job Number],E518&amp;"",tbl_Finance[Xero Invoice No],"&lt;&gt;"))</f>
        <v/>
      </c>
      <c r="AA518" s="27">
        <f>IF(E518="","",Y518-Z518)</f>
        <v/>
      </c>
      <c r="AB518" s="25">
        <f>IF(E518="","",IF(H518="Onsite",IFERROR(INDEX(tbl_Onsite[Qwilr Quote],MATCH(E518&amp;"",tbl_Onsite[Job Number],0)),""),IF(H518="Production",IFERROR(IF(INDEX(tbl_Production[Current RMS No],MATCH(E518&amp;"",tbl_Production[Job Number],0))="",INDEX(tbl_Production[Qwilr Quote],MATCH(E518&amp;"",tbl_Production[Job Number],0)),INDEX(tbl_Production[Current RMS No],MATCH(E518&amp;"",tbl_Production[Job Number],0))),""),IF(H518="Consulting",IFERROR(INDEX(tbl_Consulting[Qwilr Quote],MATCH(E518&amp;"",tbl_Consulting[Job Number],0)),""),""))))</f>
        <v/>
      </c>
      <c r="AC518" s="25">
        <f>IF(AB518="","",IF(AND(LEFT(AB518,4)&lt;&gt;"http",IF(H518="Production",set_RMSBase,set_QwilrBase)=""),"",HYPERLINK(IF(LEFT(AB518,4)="http",AB518,IF(H518="Production",set_RMSBase,set_QwilrBase)&amp;AB518),"Open")))</f>
        <v/>
      </c>
      <c r="AD518" s="27">
        <f>IF(E518="","",IF(H518="Production",IFERROR(INDEX(tbl_Production[Total Expense],MATCH(E518&amp;"",tbl_Production[Job Number],0)),0),IF(H518="Consulting",IFERROR(INDEX(tbl_Consulting[Total Expense],MATCH(E518&amp;"",tbl_Consulting[Job Number],0)),0),0)))</f>
        <v/>
      </c>
      <c r="AE518" s="27">
        <f>IF(E518="","",Y518-N(AD518))</f>
        <v/>
      </c>
      <c r="AF518" s="29">
        <f>IFERROR(AE518/Y518,"")</f>
        <v/>
      </c>
      <c r="AG518" s="25">
        <f>IF(E518="","",IF(H518="Onsite",IFERROR(INDEX(tbl_Onsite[Notes],MATCH(E518&amp;"",tbl_Onsite[Job Number],0)),""),IF(H518="Production",IFERROR(INDEX(tbl_Production[Notes],MATCH(E518&amp;"",tbl_Production[Job Number],0)),""),IF(H518="Consulting",IFERROR(INDEX(tbl_Consulting[Notes],MATCH(E518&amp;"",tbl_Consulting[Job Number],0)),""),""))))</f>
        <v/>
      </c>
    </row>
    <row r="519" ht="15" customHeight="1">
      <c r="A519" s="22" t="n"/>
      <c r="B519" s="23">
        <f>IF(A519="","",EOMONTH(A519,0))</f>
        <v/>
      </c>
      <c r="C519" s="24" t="n"/>
      <c r="D519" s="24" t="n"/>
      <c r="E519" s="24" t="n"/>
      <c r="F519" s="25">
        <f>IF(E519="","",IF(COUNTIF(lst_Jobs,E519&amp;"")&gt;0,"OK","CHECK"))</f>
        <v/>
      </c>
      <c r="G519" s="24" t="n"/>
      <c r="H519" s="24" t="n"/>
      <c r="I519" s="24" t="n"/>
      <c r="J519" s="24" t="n"/>
      <c r="K519" s="24" t="n"/>
      <c r="L519" s="26" t="n"/>
      <c r="M519" s="27">
        <f>IF(L519="","",IF(K519="GST 10%",ROUND(L519*set_GSTRate,2),0))</f>
        <v/>
      </c>
      <c r="N519" s="27">
        <f>IF(L519="","",L519+M519)</f>
        <v/>
      </c>
      <c r="O519" s="24" t="n"/>
      <c r="P519" s="24" t="n"/>
      <c r="Q519" s="24" t="n"/>
      <c r="R519" s="22" t="n"/>
      <c r="S519" s="22" t="n"/>
      <c r="T519" s="24" t="n"/>
      <c r="U519" s="24" t="n"/>
      <c r="V519" s="25">
        <f>IF(COUNTA(A519,D519,C519,L519)=0,"",IF(A519="","No date - sits outside every month",IF(E519="","No job number",IF(F519="CHECK","Job number is not in the Xero job list",IF(I519="","No cost centre",IF(AND(P519="Y",C519=""),"Marked posted to Xero but has no invoice number",IF(AND(L519&lt;&gt;"",K519=""),"No tax code",IF(AND(L519&lt;&gt;"",O519=""),"No revenue GL code",""))))))))</f>
        <v/>
      </c>
      <c r="W519" s="25">
        <f>IF(E519="","",IFERROR(INDEX(lst_JobName,MATCH(E519&amp;"",lst_Jobs,0)),""))</f>
        <v/>
      </c>
      <c r="X519" s="28">
        <f>IF(E519="","",COUNTIFS(tbl_Finance[Job Number],E519&amp;"",tbl_Finance[Ex GST],"&lt;&gt;"))</f>
        <v/>
      </c>
      <c r="Y519" s="27">
        <f>IF(E519="","",SUMIFS(tbl_Finance[Ex GST],tbl_Finance[Job Number],E519&amp;""))</f>
        <v/>
      </c>
      <c r="Z519" s="27">
        <f>IF(E519="","",SUMIFS(tbl_Finance[Ex GST],tbl_Finance[Job Number],E519&amp;"",tbl_Finance[Xero Invoice No],"&lt;&gt;"))</f>
        <v/>
      </c>
      <c r="AA519" s="27">
        <f>IF(E519="","",Y519-Z519)</f>
        <v/>
      </c>
      <c r="AB519" s="25">
        <f>IF(E519="","",IF(H519="Onsite",IFERROR(INDEX(tbl_Onsite[Qwilr Quote],MATCH(E519&amp;"",tbl_Onsite[Job Number],0)),""),IF(H519="Production",IFERROR(IF(INDEX(tbl_Production[Current RMS No],MATCH(E519&amp;"",tbl_Production[Job Number],0))="",INDEX(tbl_Production[Qwilr Quote],MATCH(E519&amp;"",tbl_Production[Job Number],0)),INDEX(tbl_Production[Current RMS No],MATCH(E519&amp;"",tbl_Production[Job Number],0))),""),IF(H519="Consulting",IFERROR(INDEX(tbl_Consulting[Qwilr Quote],MATCH(E519&amp;"",tbl_Consulting[Job Number],0)),""),""))))</f>
        <v/>
      </c>
      <c r="AC519" s="25">
        <f>IF(AB519="","",IF(AND(LEFT(AB519,4)&lt;&gt;"http",IF(H519="Production",set_RMSBase,set_QwilrBase)=""),"",HYPERLINK(IF(LEFT(AB519,4)="http",AB519,IF(H519="Production",set_RMSBase,set_QwilrBase)&amp;AB519),"Open")))</f>
        <v/>
      </c>
      <c r="AD519" s="27">
        <f>IF(E519="","",IF(H519="Production",IFERROR(INDEX(tbl_Production[Total Expense],MATCH(E519&amp;"",tbl_Production[Job Number],0)),0),IF(H519="Consulting",IFERROR(INDEX(tbl_Consulting[Total Expense],MATCH(E519&amp;"",tbl_Consulting[Job Number],0)),0),0)))</f>
        <v/>
      </c>
      <c r="AE519" s="27">
        <f>IF(E519="","",Y519-N(AD519))</f>
        <v/>
      </c>
      <c r="AF519" s="29">
        <f>IFERROR(AE519/Y519,"")</f>
        <v/>
      </c>
      <c r="AG519" s="25">
        <f>IF(E519="","",IF(H519="Onsite",IFERROR(INDEX(tbl_Onsite[Notes],MATCH(E519&amp;"",tbl_Onsite[Job Number],0)),""),IF(H519="Production",IFERROR(INDEX(tbl_Production[Notes],MATCH(E519&amp;"",tbl_Production[Job Number],0)),""),IF(H519="Consulting",IFERROR(INDEX(tbl_Consulting[Notes],MATCH(E519&amp;"",tbl_Consulting[Job Number],0)),""),""))))</f>
        <v/>
      </c>
    </row>
    <row r="520" ht="15" customHeight="1">
      <c r="A520" s="22" t="n"/>
      <c r="B520" s="23">
        <f>IF(A520="","",EOMONTH(A520,0))</f>
        <v/>
      </c>
      <c r="C520" s="24" t="n"/>
      <c r="D520" s="24" t="n"/>
      <c r="E520" s="24" t="n"/>
      <c r="F520" s="25">
        <f>IF(E520="","",IF(COUNTIF(lst_Jobs,E520&amp;"")&gt;0,"OK","CHECK"))</f>
        <v/>
      </c>
      <c r="G520" s="24" t="n"/>
      <c r="H520" s="24" t="n"/>
      <c r="I520" s="24" t="n"/>
      <c r="J520" s="24" t="n"/>
      <c r="K520" s="24" t="n"/>
      <c r="L520" s="26" t="n"/>
      <c r="M520" s="27">
        <f>IF(L520="","",IF(K520="GST 10%",ROUND(L520*set_GSTRate,2),0))</f>
        <v/>
      </c>
      <c r="N520" s="27">
        <f>IF(L520="","",L520+M520)</f>
        <v/>
      </c>
      <c r="O520" s="24" t="n"/>
      <c r="P520" s="24" t="n"/>
      <c r="Q520" s="24" t="n"/>
      <c r="R520" s="22" t="n"/>
      <c r="S520" s="22" t="n"/>
      <c r="T520" s="24" t="n"/>
      <c r="U520" s="24" t="n"/>
      <c r="V520" s="25">
        <f>IF(COUNTA(A520,D520,C520,L520)=0,"",IF(A520="","No date - sits outside every month",IF(E520="","No job number",IF(F520="CHECK","Job number is not in the Xero job list",IF(I520="","No cost centre",IF(AND(P520="Y",C520=""),"Marked posted to Xero but has no invoice number",IF(AND(L520&lt;&gt;"",K520=""),"No tax code",IF(AND(L520&lt;&gt;"",O520=""),"No revenue GL code",""))))))))</f>
        <v/>
      </c>
      <c r="W520" s="25">
        <f>IF(E520="","",IFERROR(INDEX(lst_JobName,MATCH(E520&amp;"",lst_Jobs,0)),""))</f>
        <v/>
      </c>
      <c r="X520" s="28">
        <f>IF(E520="","",COUNTIFS(tbl_Finance[Job Number],E520&amp;"",tbl_Finance[Ex GST],"&lt;&gt;"))</f>
        <v/>
      </c>
      <c r="Y520" s="27">
        <f>IF(E520="","",SUMIFS(tbl_Finance[Ex GST],tbl_Finance[Job Number],E520&amp;""))</f>
        <v/>
      </c>
      <c r="Z520" s="27">
        <f>IF(E520="","",SUMIFS(tbl_Finance[Ex GST],tbl_Finance[Job Number],E520&amp;"",tbl_Finance[Xero Invoice No],"&lt;&gt;"))</f>
        <v/>
      </c>
      <c r="AA520" s="27">
        <f>IF(E520="","",Y520-Z520)</f>
        <v/>
      </c>
      <c r="AB520" s="25">
        <f>IF(E520="","",IF(H520="Onsite",IFERROR(INDEX(tbl_Onsite[Qwilr Quote],MATCH(E520&amp;"",tbl_Onsite[Job Number],0)),""),IF(H520="Production",IFERROR(IF(INDEX(tbl_Production[Current RMS No],MATCH(E520&amp;"",tbl_Production[Job Number],0))="",INDEX(tbl_Production[Qwilr Quote],MATCH(E520&amp;"",tbl_Production[Job Number],0)),INDEX(tbl_Production[Current RMS No],MATCH(E520&amp;"",tbl_Production[Job Number],0))),""),IF(H520="Consulting",IFERROR(INDEX(tbl_Consulting[Qwilr Quote],MATCH(E520&amp;"",tbl_Consulting[Job Number],0)),""),""))))</f>
        <v/>
      </c>
      <c r="AC520" s="25">
        <f>IF(AB520="","",IF(AND(LEFT(AB520,4)&lt;&gt;"http",IF(H520="Production",set_RMSBase,set_QwilrBase)=""),"",HYPERLINK(IF(LEFT(AB520,4)="http",AB520,IF(H520="Production",set_RMSBase,set_QwilrBase)&amp;AB520),"Open")))</f>
        <v/>
      </c>
      <c r="AD520" s="27">
        <f>IF(E520="","",IF(H520="Production",IFERROR(INDEX(tbl_Production[Total Expense],MATCH(E520&amp;"",tbl_Production[Job Number],0)),0),IF(H520="Consulting",IFERROR(INDEX(tbl_Consulting[Total Expense],MATCH(E520&amp;"",tbl_Consulting[Job Number],0)),0),0)))</f>
        <v/>
      </c>
      <c r="AE520" s="27">
        <f>IF(E520="","",Y520-N(AD520))</f>
        <v/>
      </c>
      <c r="AF520" s="29">
        <f>IFERROR(AE520/Y520,"")</f>
        <v/>
      </c>
      <c r="AG520" s="25">
        <f>IF(E520="","",IF(H520="Onsite",IFERROR(INDEX(tbl_Onsite[Notes],MATCH(E520&amp;"",tbl_Onsite[Job Number],0)),""),IF(H520="Production",IFERROR(INDEX(tbl_Production[Notes],MATCH(E520&amp;"",tbl_Production[Job Number],0)),""),IF(H520="Consulting",IFERROR(INDEX(tbl_Consulting[Notes],MATCH(E520&amp;"",tbl_Consulting[Job Number],0)),""),""))))</f>
        <v/>
      </c>
    </row>
    <row r="521" ht="15" customHeight="1">
      <c r="A521" s="22" t="n"/>
      <c r="B521" s="23">
        <f>IF(A521="","",EOMONTH(A521,0))</f>
        <v/>
      </c>
      <c r="C521" s="24" t="n"/>
      <c r="D521" s="24" t="n"/>
      <c r="E521" s="24" t="n"/>
      <c r="F521" s="25">
        <f>IF(E521="","",IF(COUNTIF(lst_Jobs,E521&amp;"")&gt;0,"OK","CHECK"))</f>
        <v/>
      </c>
      <c r="G521" s="24" t="n"/>
      <c r="H521" s="24" t="n"/>
      <c r="I521" s="24" t="n"/>
      <c r="J521" s="24" t="n"/>
      <c r="K521" s="24" t="n"/>
      <c r="L521" s="26" t="n"/>
      <c r="M521" s="27">
        <f>IF(L521="","",IF(K521="GST 10%",ROUND(L521*set_GSTRate,2),0))</f>
        <v/>
      </c>
      <c r="N521" s="27">
        <f>IF(L521="","",L521+M521)</f>
        <v/>
      </c>
      <c r="O521" s="24" t="n"/>
      <c r="P521" s="24" t="n"/>
      <c r="Q521" s="24" t="n"/>
      <c r="R521" s="22" t="n"/>
      <c r="S521" s="22" t="n"/>
      <c r="T521" s="24" t="n"/>
      <c r="U521" s="24" t="n"/>
      <c r="V521" s="25">
        <f>IF(COUNTA(A521,D521,C521,L521)=0,"",IF(A521="","No date - sits outside every month",IF(E521="","No job number",IF(F521="CHECK","Job number is not in the Xero job list",IF(I521="","No cost centre",IF(AND(P521="Y",C521=""),"Marked posted to Xero but has no invoice number",IF(AND(L521&lt;&gt;"",K521=""),"No tax code",IF(AND(L521&lt;&gt;"",O521=""),"No revenue GL code",""))))))))</f>
        <v/>
      </c>
      <c r="W521" s="25">
        <f>IF(E521="","",IFERROR(INDEX(lst_JobName,MATCH(E521&amp;"",lst_Jobs,0)),""))</f>
        <v/>
      </c>
      <c r="X521" s="28">
        <f>IF(E521="","",COUNTIFS(tbl_Finance[Job Number],E521&amp;"",tbl_Finance[Ex GST],"&lt;&gt;"))</f>
        <v/>
      </c>
      <c r="Y521" s="27">
        <f>IF(E521="","",SUMIFS(tbl_Finance[Ex GST],tbl_Finance[Job Number],E521&amp;""))</f>
        <v/>
      </c>
      <c r="Z521" s="27">
        <f>IF(E521="","",SUMIFS(tbl_Finance[Ex GST],tbl_Finance[Job Number],E521&amp;"",tbl_Finance[Xero Invoice No],"&lt;&gt;"))</f>
        <v/>
      </c>
      <c r="AA521" s="27">
        <f>IF(E521="","",Y521-Z521)</f>
        <v/>
      </c>
      <c r="AB521" s="25">
        <f>IF(E521="","",IF(H521="Onsite",IFERROR(INDEX(tbl_Onsite[Qwilr Quote],MATCH(E521&amp;"",tbl_Onsite[Job Number],0)),""),IF(H521="Production",IFERROR(IF(INDEX(tbl_Production[Current RMS No],MATCH(E521&amp;"",tbl_Production[Job Number],0))="",INDEX(tbl_Production[Qwilr Quote],MATCH(E521&amp;"",tbl_Production[Job Number],0)),INDEX(tbl_Production[Current RMS No],MATCH(E521&amp;"",tbl_Production[Job Number],0))),""),IF(H521="Consulting",IFERROR(INDEX(tbl_Consulting[Qwilr Quote],MATCH(E521&amp;"",tbl_Consulting[Job Number],0)),""),""))))</f>
        <v/>
      </c>
      <c r="AC521" s="25">
        <f>IF(AB521="","",IF(AND(LEFT(AB521,4)&lt;&gt;"http",IF(H521="Production",set_RMSBase,set_QwilrBase)=""),"",HYPERLINK(IF(LEFT(AB521,4)="http",AB521,IF(H521="Production",set_RMSBase,set_QwilrBase)&amp;AB521),"Open")))</f>
        <v/>
      </c>
      <c r="AD521" s="27">
        <f>IF(E521="","",IF(H521="Production",IFERROR(INDEX(tbl_Production[Total Expense],MATCH(E521&amp;"",tbl_Production[Job Number],0)),0),IF(H521="Consulting",IFERROR(INDEX(tbl_Consulting[Total Expense],MATCH(E521&amp;"",tbl_Consulting[Job Number],0)),0),0)))</f>
        <v/>
      </c>
      <c r="AE521" s="27">
        <f>IF(E521="","",Y521-N(AD521))</f>
        <v/>
      </c>
      <c r="AF521" s="29">
        <f>IFERROR(AE521/Y521,"")</f>
        <v/>
      </c>
      <c r="AG521" s="25">
        <f>IF(E521="","",IF(H521="Onsite",IFERROR(INDEX(tbl_Onsite[Notes],MATCH(E521&amp;"",tbl_Onsite[Job Number],0)),""),IF(H521="Production",IFERROR(INDEX(tbl_Production[Notes],MATCH(E521&amp;"",tbl_Production[Job Number],0)),""),IF(H521="Consulting",IFERROR(INDEX(tbl_Consulting[Notes],MATCH(E521&amp;"",tbl_Consulting[Job Number],0)),""),""))))</f>
        <v/>
      </c>
    </row>
    <row r="522" ht="15" customHeight="1">
      <c r="A522" s="22" t="n"/>
      <c r="B522" s="23">
        <f>IF(A522="","",EOMONTH(A522,0))</f>
        <v/>
      </c>
      <c r="C522" s="24" t="n"/>
      <c r="D522" s="24" t="n"/>
      <c r="E522" s="24" t="n"/>
      <c r="F522" s="25">
        <f>IF(E522="","",IF(COUNTIF(lst_Jobs,E522&amp;"")&gt;0,"OK","CHECK"))</f>
        <v/>
      </c>
      <c r="G522" s="24" t="n"/>
      <c r="H522" s="24" t="n"/>
      <c r="I522" s="24" t="n"/>
      <c r="J522" s="24" t="n"/>
      <c r="K522" s="24" t="n"/>
      <c r="L522" s="26" t="n"/>
      <c r="M522" s="27">
        <f>IF(L522="","",IF(K522="GST 10%",ROUND(L522*set_GSTRate,2),0))</f>
        <v/>
      </c>
      <c r="N522" s="27">
        <f>IF(L522="","",L522+M522)</f>
        <v/>
      </c>
      <c r="O522" s="24" t="n"/>
      <c r="P522" s="24" t="n"/>
      <c r="Q522" s="24" t="n"/>
      <c r="R522" s="22" t="n"/>
      <c r="S522" s="22" t="n"/>
      <c r="T522" s="24" t="n"/>
      <c r="U522" s="24" t="n"/>
      <c r="V522" s="25">
        <f>IF(COUNTA(A522,D522,C522,L522)=0,"",IF(A522="","No date - sits outside every month",IF(E522="","No job number",IF(F522="CHECK","Job number is not in the Xero job list",IF(I522="","No cost centre",IF(AND(P522="Y",C522=""),"Marked posted to Xero but has no invoice number",IF(AND(L522&lt;&gt;"",K522=""),"No tax code",IF(AND(L522&lt;&gt;"",O522=""),"No revenue GL code",""))))))))</f>
        <v/>
      </c>
      <c r="W522" s="25">
        <f>IF(E522="","",IFERROR(INDEX(lst_JobName,MATCH(E522&amp;"",lst_Jobs,0)),""))</f>
        <v/>
      </c>
      <c r="X522" s="28">
        <f>IF(E522="","",COUNTIFS(tbl_Finance[Job Number],E522&amp;"",tbl_Finance[Ex GST],"&lt;&gt;"))</f>
        <v/>
      </c>
      <c r="Y522" s="27">
        <f>IF(E522="","",SUMIFS(tbl_Finance[Ex GST],tbl_Finance[Job Number],E522&amp;""))</f>
        <v/>
      </c>
      <c r="Z522" s="27">
        <f>IF(E522="","",SUMIFS(tbl_Finance[Ex GST],tbl_Finance[Job Number],E522&amp;"",tbl_Finance[Xero Invoice No],"&lt;&gt;"))</f>
        <v/>
      </c>
      <c r="AA522" s="27">
        <f>IF(E522="","",Y522-Z522)</f>
        <v/>
      </c>
      <c r="AB522" s="25">
        <f>IF(E522="","",IF(H522="Onsite",IFERROR(INDEX(tbl_Onsite[Qwilr Quote],MATCH(E522&amp;"",tbl_Onsite[Job Number],0)),""),IF(H522="Production",IFERROR(IF(INDEX(tbl_Production[Current RMS No],MATCH(E522&amp;"",tbl_Production[Job Number],0))="",INDEX(tbl_Production[Qwilr Quote],MATCH(E522&amp;"",tbl_Production[Job Number],0)),INDEX(tbl_Production[Current RMS No],MATCH(E522&amp;"",tbl_Production[Job Number],0))),""),IF(H522="Consulting",IFERROR(INDEX(tbl_Consulting[Qwilr Quote],MATCH(E522&amp;"",tbl_Consulting[Job Number],0)),""),""))))</f>
        <v/>
      </c>
      <c r="AC522" s="25">
        <f>IF(AB522="","",IF(AND(LEFT(AB522,4)&lt;&gt;"http",IF(H522="Production",set_RMSBase,set_QwilrBase)=""),"",HYPERLINK(IF(LEFT(AB522,4)="http",AB522,IF(H522="Production",set_RMSBase,set_QwilrBase)&amp;AB522),"Open")))</f>
        <v/>
      </c>
      <c r="AD522" s="27">
        <f>IF(E522="","",IF(H522="Production",IFERROR(INDEX(tbl_Production[Total Expense],MATCH(E522&amp;"",tbl_Production[Job Number],0)),0),IF(H522="Consulting",IFERROR(INDEX(tbl_Consulting[Total Expense],MATCH(E522&amp;"",tbl_Consulting[Job Number],0)),0),0)))</f>
        <v/>
      </c>
      <c r="AE522" s="27">
        <f>IF(E522="","",Y522-N(AD522))</f>
        <v/>
      </c>
      <c r="AF522" s="29">
        <f>IFERROR(AE522/Y522,"")</f>
        <v/>
      </c>
      <c r="AG522" s="25">
        <f>IF(E522="","",IF(H522="Onsite",IFERROR(INDEX(tbl_Onsite[Notes],MATCH(E522&amp;"",tbl_Onsite[Job Number],0)),""),IF(H522="Production",IFERROR(INDEX(tbl_Production[Notes],MATCH(E522&amp;"",tbl_Production[Job Number],0)),""),IF(H522="Consulting",IFERROR(INDEX(tbl_Consulting[Notes],MATCH(E522&amp;"",tbl_Consulting[Job Number],0)),""),""))))</f>
        <v/>
      </c>
    </row>
    <row r="523" ht="15" customHeight="1">
      <c r="A523" s="22" t="n"/>
      <c r="B523" s="23">
        <f>IF(A523="","",EOMONTH(A523,0))</f>
        <v/>
      </c>
      <c r="C523" s="24" t="n"/>
      <c r="D523" s="24" t="n"/>
      <c r="E523" s="24" t="n"/>
      <c r="F523" s="25">
        <f>IF(E523="","",IF(COUNTIF(lst_Jobs,E523&amp;"")&gt;0,"OK","CHECK"))</f>
        <v/>
      </c>
      <c r="G523" s="24" t="n"/>
      <c r="H523" s="24" t="n"/>
      <c r="I523" s="24" t="n"/>
      <c r="J523" s="24" t="n"/>
      <c r="K523" s="24" t="n"/>
      <c r="L523" s="26" t="n"/>
      <c r="M523" s="27">
        <f>IF(L523="","",IF(K523="GST 10%",ROUND(L523*set_GSTRate,2),0))</f>
        <v/>
      </c>
      <c r="N523" s="27">
        <f>IF(L523="","",L523+M523)</f>
        <v/>
      </c>
      <c r="O523" s="24" t="n"/>
      <c r="P523" s="24" t="n"/>
      <c r="Q523" s="24" t="n"/>
      <c r="R523" s="22" t="n"/>
      <c r="S523" s="22" t="n"/>
      <c r="T523" s="24" t="n"/>
      <c r="U523" s="24" t="n"/>
      <c r="V523" s="25">
        <f>IF(COUNTA(A523,D523,C523,L523)=0,"",IF(A523="","No date - sits outside every month",IF(E523="","No job number",IF(F523="CHECK","Job number is not in the Xero job list",IF(I523="","No cost centre",IF(AND(P523="Y",C523=""),"Marked posted to Xero but has no invoice number",IF(AND(L523&lt;&gt;"",K523=""),"No tax code",IF(AND(L523&lt;&gt;"",O523=""),"No revenue GL code",""))))))))</f>
        <v/>
      </c>
      <c r="W523" s="25">
        <f>IF(E523="","",IFERROR(INDEX(lst_JobName,MATCH(E523&amp;"",lst_Jobs,0)),""))</f>
        <v/>
      </c>
      <c r="X523" s="28">
        <f>IF(E523="","",COUNTIFS(tbl_Finance[Job Number],E523&amp;"",tbl_Finance[Ex GST],"&lt;&gt;"))</f>
        <v/>
      </c>
      <c r="Y523" s="27">
        <f>IF(E523="","",SUMIFS(tbl_Finance[Ex GST],tbl_Finance[Job Number],E523&amp;""))</f>
        <v/>
      </c>
      <c r="Z523" s="27">
        <f>IF(E523="","",SUMIFS(tbl_Finance[Ex GST],tbl_Finance[Job Number],E523&amp;"",tbl_Finance[Xero Invoice No],"&lt;&gt;"))</f>
        <v/>
      </c>
      <c r="AA523" s="27">
        <f>IF(E523="","",Y523-Z523)</f>
        <v/>
      </c>
      <c r="AB523" s="25">
        <f>IF(E523="","",IF(H523="Onsite",IFERROR(INDEX(tbl_Onsite[Qwilr Quote],MATCH(E523&amp;"",tbl_Onsite[Job Number],0)),""),IF(H523="Production",IFERROR(IF(INDEX(tbl_Production[Current RMS No],MATCH(E523&amp;"",tbl_Production[Job Number],0))="",INDEX(tbl_Production[Qwilr Quote],MATCH(E523&amp;"",tbl_Production[Job Number],0)),INDEX(tbl_Production[Current RMS No],MATCH(E523&amp;"",tbl_Production[Job Number],0))),""),IF(H523="Consulting",IFERROR(INDEX(tbl_Consulting[Qwilr Quote],MATCH(E523&amp;"",tbl_Consulting[Job Number],0)),""),""))))</f>
        <v/>
      </c>
      <c r="AC523" s="25">
        <f>IF(AB523="","",IF(AND(LEFT(AB523,4)&lt;&gt;"http",IF(H523="Production",set_RMSBase,set_QwilrBase)=""),"",HYPERLINK(IF(LEFT(AB523,4)="http",AB523,IF(H523="Production",set_RMSBase,set_QwilrBase)&amp;AB523),"Open")))</f>
        <v/>
      </c>
      <c r="AD523" s="27">
        <f>IF(E523="","",IF(H523="Production",IFERROR(INDEX(tbl_Production[Total Expense],MATCH(E523&amp;"",tbl_Production[Job Number],0)),0),IF(H523="Consulting",IFERROR(INDEX(tbl_Consulting[Total Expense],MATCH(E523&amp;"",tbl_Consulting[Job Number],0)),0),0)))</f>
        <v/>
      </c>
      <c r="AE523" s="27">
        <f>IF(E523="","",Y523-N(AD523))</f>
        <v/>
      </c>
      <c r="AF523" s="29">
        <f>IFERROR(AE523/Y523,"")</f>
        <v/>
      </c>
      <c r="AG523" s="25">
        <f>IF(E523="","",IF(H523="Onsite",IFERROR(INDEX(tbl_Onsite[Notes],MATCH(E523&amp;"",tbl_Onsite[Job Number],0)),""),IF(H523="Production",IFERROR(INDEX(tbl_Production[Notes],MATCH(E523&amp;"",tbl_Production[Job Number],0)),""),IF(H523="Consulting",IFERROR(INDEX(tbl_Consulting[Notes],MATCH(E523&amp;"",tbl_Consulting[Job Number],0)),""),""))))</f>
        <v/>
      </c>
    </row>
    <row r="524" ht="15" customHeight="1">
      <c r="A524" s="22" t="n"/>
      <c r="B524" s="23">
        <f>IF(A524="","",EOMONTH(A524,0))</f>
        <v/>
      </c>
      <c r="C524" s="24" t="n"/>
      <c r="D524" s="24" t="n"/>
      <c r="E524" s="24" t="n"/>
      <c r="F524" s="25">
        <f>IF(E524="","",IF(COUNTIF(lst_Jobs,E524&amp;"")&gt;0,"OK","CHECK"))</f>
        <v/>
      </c>
      <c r="G524" s="24" t="n"/>
      <c r="H524" s="24" t="n"/>
      <c r="I524" s="24" t="n"/>
      <c r="J524" s="24" t="n"/>
      <c r="K524" s="24" t="n"/>
      <c r="L524" s="26" t="n"/>
      <c r="M524" s="27">
        <f>IF(L524="","",IF(K524="GST 10%",ROUND(L524*set_GSTRate,2),0))</f>
        <v/>
      </c>
      <c r="N524" s="27">
        <f>IF(L524="","",L524+M524)</f>
        <v/>
      </c>
      <c r="O524" s="24" t="n"/>
      <c r="P524" s="24" t="n"/>
      <c r="Q524" s="24" t="n"/>
      <c r="R524" s="22" t="n"/>
      <c r="S524" s="22" t="n"/>
      <c r="T524" s="24" t="n"/>
      <c r="U524" s="24" t="n"/>
      <c r="V524" s="25">
        <f>IF(COUNTA(A524,D524,C524,L524)=0,"",IF(A524="","No date - sits outside every month",IF(E524="","No job number",IF(F524="CHECK","Job number is not in the Xero job list",IF(I524="","No cost centre",IF(AND(P524="Y",C524=""),"Marked posted to Xero but has no invoice number",IF(AND(L524&lt;&gt;"",K524=""),"No tax code",IF(AND(L524&lt;&gt;"",O524=""),"No revenue GL code",""))))))))</f>
        <v/>
      </c>
      <c r="W524" s="25">
        <f>IF(E524="","",IFERROR(INDEX(lst_JobName,MATCH(E524&amp;"",lst_Jobs,0)),""))</f>
        <v/>
      </c>
      <c r="X524" s="28">
        <f>IF(E524="","",COUNTIFS(tbl_Finance[Job Number],E524&amp;"",tbl_Finance[Ex GST],"&lt;&gt;"))</f>
        <v/>
      </c>
      <c r="Y524" s="27">
        <f>IF(E524="","",SUMIFS(tbl_Finance[Ex GST],tbl_Finance[Job Number],E524&amp;""))</f>
        <v/>
      </c>
      <c r="Z524" s="27">
        <f>IF(E524="","",SUMIFS(tbl_Finance[Ex GST],tbl_Finance[Job Number],E524&amp;"",tbl_Finance[Xero Invoice No],"&lt;&gt;"))</f>
        <v/>
      </c>
      <c r="AA524" s="27">
        <f>IF(E524="","",Y524-Z524)</f>
        <v/>
      </c>
      <c r="AB524" s="25">
        <f>IF(E524="","",IF(H524="Onsite",IFERROR(INDEX(tbl_Onsite[Qwilr Quote],MATCH(E524&amp;"",tbl_Onsite[Job Number],0)),""),IF(H524="Production",IFERROR(IF(INDEX(tbl_Production[Current RMS No],MATCH(E524&amp;"",tbl_Production[Job Number],0))="",INDEX(tbl_Production[Qwilr Quote],MATCH(E524&amp;"",tbl_Production[Job Number],0)),INDEX(tbl_Production[Current RMS No],MATCH(E524&amp;"",tbl_Production[Job Number],0))),""),IF(H524="Consulting",IFERROR(INDEX(tbl_Consulting[Qwilr Quote],MATCH(E524&amp;"",tbl_Consulting[Job Number],0)),""),""))))</f>
        <v/>
      </c>
      <c r="AC524" s="25">
        <f>IF(AB524="","",IF(AND(LEFT(AB524,4)&lt;&gt;"http",IF(H524="Production",set_RMSBase,set_QwilrBase)=""),"",HYPERLINK(IF(LEFT(AB524,4)="http",AB524,IF(H524="Production",set_RMSBase,set_QwilrBase)&amp;AB524),"Open")))</f>
        <v/>
      </c>
      <c r="AD524" s="27">
        <f>IF(E524="","",IF(H524="Production",IFERROR(INDEX(tbl_Production[Total Expense],MATCH(E524&amp;"",tbl_Production[Job Number],0)),0),IF(H524="Consulting",IFERROR(INDEX(tbl_Consulting[Total Expense],MATCH(E524&amp;"",tbl_Consulting[Job Number],0)),0),0)))</f>
        <v/>
      </c>
      <c r="AE524" s="27">
        <f>IF(E524="","",Y524-N(AD524))</f>
        <v/>
      </c>
      <c r="AF524" s="29">
        <f>IFERROR(AE524/Y524,"")</f>
        <v/>
      </c>
      <c r="AG524" s="25">
        <f>IF(E524="","",IF(H524="Onsite",IFERROR(INDEX(tbl_Onsite[Notes],MATCH(E524&amp;"",tbl_Onsite[Job Number],0)),""),IF(H524="Production",IFERROR(INDEX(tbl_Production[Notes],MATCH(E524&amp;"",tbl_Production[Job Number],0)),""),IF(H524="Consulting",IFERROR(INDEX(tbl_Consulting[Notes],MATCH(E524&amp;"",tbl_Consulting[Job Number],0)),""),""))))</f>
        <v/>
      </c>
    </row>
    <row r="525" ht="15" customHeight="1">
      <c r="A525" s="22" t="n"/>
      <c r="B525" s="23">
        <f>IF(A525="","",EOMONTH(A525,0))</f>
        <v/>
      </c>
      <c r="C525" s="24" t="n"/>
      <c r="D525" s="24" t="n"/>
      <c r="E525" s="24" t="n"/>
      <c r="F525" s="25">
        <f>IF(E525="","",IF(COUNTIF(lst_Jobs,E525&amp;"")&gt;0,"OK","CHECK"))</f>
        <v/>
      </c>
      <c r="G525" s="24" t="n"/>
      <c r="H525" s="24" t="n"/>
      <c r="I525" s="24" t="n"/>
      <c r="J525" s="24" t="n"/>
      <c r="K525" s="24" t="n"/>
      <c r="L525" s="26" t="n"/>
      <c r="M525" s="27">
        <f>IF(L525="","",IF(K525="GST 10%",ROUND(L525*set_GSTRate,2),0))</f>
        <v/>
      </c>
      <c r="N525" s="27">
        <f>IF(L525="","",L525+M525)</f>
        <v/>
      </c>
      <c r="O525" s="24" t="n"/>
      <c r="P525" s="24" t="n"/>
      <c r="Q525" s="24" t="n"/>
      <c r="R525" s="22" t="n"/>
      <c r="S525" s="22" t="n"/>
      <c r="T525" s="24" t="n"/>
      <c r="U525" s="24" t="n"/>
      <c r="V525" s="25">
        <f>IF(COUNTA(A525,D525,C525,L525)=0,"",IF(A525="","No date - sits outside every month",IF(E525="","No job number",IF(F525="CHECK","Job number is not in the Xero job list",IF(I525="","No cost centre",IF(AND(P525="Y",C525=""),"Marked posted to Xero but has no invoice number",IF(AND(L525&lt;&gt;"",K525=""),"No tax code",IF(AND(L525&lt;&gt;"",O525=""),"No revenue GL code",""))))))))</f>
        <v/>
      </c>
      <c r="W525" s="25">
        <f>IF(E525="","",IFERROR(INDEX(lst_JobName,MATCH(E525&amp;"",lst_Jobs,0)),""))</f>
        <v/>
      </c>
      <c r="X525" s="28">
        <f>IF(E525="","",COUNTIFS(tbl_Finance[Job Number],E525&amp;"",tbl_Finance[Ex GST],"&lt;&gt;"))</f>
        <v/>
      </c>
      <c r="Y525" s="27">
        <f>IF(E525="","",SUMIFS(tbl_Finance[Ex GST],tbl_Finance[Job Number],E525&amp;""))</f>
        <v/>
      </c>
      <c r="Z525" s="27">
        <f>IF(E525="","",SUMIFS(tbl_Finance[Ex GST],tbl_Finance[Job Number],E525&amp;"",tbl_Finance[Xero Invoice No],"&lt;&gt;"))</f>
        <v/>
      </c>
      <c r="AA525" s="27">
        <f>IF(E525="","",Y525-Z525)</f>
        <v/>
      </c>
      <c r="AB525" s="25">
        <f>IF(E525="","",IF(H525="Onsite",IFERROR(INDEX(tbl_Onsite[Qwilr Quote],MATCH(E525&amp;"",tbl_Onsite[Job Number],0)),""),IF(H525="Production",IFERROR(IF(INDEX(tbl_Production[Current RMS No],MATCH(E525&amp;"",tbl_Production[Job Number],0))="",INDEX(tbl_Production[Qwilr Quote],MATCH(E525&amp;"",tbl_Production[Job Number],0)),INDEX(tbl_Production[Current RMS No],MATCH(E525&amp;"",tbl_Production[Job Number],0))),""),IF(H525="Consulting",IFERROR(INDEX(tbl_Consulting[Qwilr Quote],MATCH(E525&amp;"",tbl_Consulting[Job Number],0)),""),""))))</f>
        <v/>
      </c>
      <c r="AC525" s="25">
        <f>IF(AB525="","",IF(AND(LEFT(AB525,4)&lt;&gt;"http",IF(H525="Production",set_RMSBase,set_QwilrBase)=""),"",HYPERLINK(IF(LEFT(AB525,4)="http",AB525,IF(H525="Production",set_RMSBase,set_QwilrBase)&amp;AB525),"Open")))</f>
        <v/>
      </c>
      <c r="AD525" s="27">
        <f>IF(E525="","",IF(H525="Production",IFERROR(INDEX(tbl_Production[Total Expense],MATCH(E525&amp;"",tbl_Production[Job Number],0)),0),IF(H525="Consulting",IFERROR(INDEX(tbl_Consulting[Total Expense],MATCH(E525&amp;"",tbl_Consulting[Job Number],0)),0),0)))</f>
        <v/>
      </c>
      <c r="AE525" s="27">
        <f>IF(E525="","",Y525-N(AD525))</f>
        <v/>
      </c>
      <c r="AF525" s="29">
        <f>IFERROR(AE525/Y525,"")</f>
        <v/>
      </c>
      <c r="AG525" s="25">
        <f>IF(E525="","",IF(H525="Onsite",IFERROR(INDEX(tbl_Onsite[Notes],MATCH(E525&amp;"",tbl_Onsite[Job Number],0)),""),IF(H525="Production",IFERROR(INDEX(tbl_Production[Notes],MATCH(E525&amp;"",tbl_Production[Job Number],0)),""),IF(H525="Consulting",IFERROR(INDEX(tbl_Consulting[Notes],MATCH(E525&amp;"",tbl_Consulting[Job Number],0)),""),""))))</f>
        <v/>
      </c>
    </row>
    <row r="526" ht="15" customHeight="1">
      <c r="A526" s="22" t="n"/>
      <c r="B526" s="23">
        <f>IF(A526="","",EOMONTH(A526,0))</f>
        <v/>
      </c>
      <c r="C526" s="24" t="n"/>
      <c r="D526" s="24" t="n"/>
      <c r="E526" s="24" t="n"/>
      <c r="F526" s="25">
        <f>IF(E526="","",IF(COUNTIF(lst_Jobs,E526&amp;"")&gt;0,"OK","CHECK"))</f>
        <v/>
      </c>
      <c r="G526" s="24" t="n"/>
      <c r="H526" s="24" t="n"/>
      <c r="I526" s="24" t="n"/>
      <c r="J526" s="24" t="n"/>
      <c r="K526" s="24" t="n"/>
      <c r="L526" s="26" t="n"/>
      <c r="M526" s="27">
        <f>IF(L526="","",IF(K526="GST 10%",ROUND(L526*set_GSTRate,2),0))</f>
        <v/>
      </c>
      <c r="N526" s="27">
        <f>IF(L526="","",L526+M526)</f>
        <v/>
      </c>
      <c r="O526" s="24" t="n"/>
      <c r="P526" s="24" t="n"/>
      <c r="Q526" s="24" t="n"/>
      <c r="R526" s="22" t="n"/>
      <c r="S526" s="22" t="n"/>
      <c r="T526" s="24" t="n"/>
      <c r="U526" s="24" t="n"/>
      <c r="V526" s="25">
        <f>IF(COUNTA(A526,D526,C526,L526)=0,"",IF(A526="","No date - sits outside every month",IF(E526="","No job number",IF(F526="CHECK","Job number is not in the Xero job list",IF(I526="","No cost centre",IF(AND(P526="Y",C526=""),"Marked posted to Xero but has no invoice number",IF(AND(L526&lt;&gt;"",K526=""),"No tax code",IF(AND(L526&lt;&gt;"",O526=""),"No revenue GL code",""))))))))</f>
        <v/>
      </c>
      <c r="W526" s="25">
        <f>IF(E526="","",IFERROR(INDEX(lst_JobName,MATCH(E526&amp;"",lst_Jobs,0)),""))</f>
        <v/>
      </c>
      <c r="X526" s="28">
        <f>IF(E526="","",COUNTIFS(tbl_Finance[Job Number],E526&amp;"",tbl_Finance[Ex GST],"&lt;&gt;"))</f>
        <v/>
      </c>
      <c r="Y526" s="27">
        <f>IF(E526="","",SUMIFS(tbl_Finance[Ex GST],tbl_Finance[Job Number],E526&amp;""))</f>
        <v/>
      </c>
      <c r="Z526" s="27">
        <f>IF(E526="","",SUMIFS(tbl_Finance[Ex GST],tbl_Finance[Job Number],E526&amp;"",tbl_Finance[Xero Invoice No],"&lt;&gt;"))</f>
        <v/>
      </c>
      <c r="AA526" s="27">
        <f>IF(E526="","",Y526-Z526)</f>
        <v/>
      </c>
      <c r="AB526" s="25">
        <f>IF(E526="","",IF(H526="Onsite",IFERROR(INDEX(tbl_Onsite[Qwilr Quote],MATCH(E526&amp;"",tbl_Onsite[Job Number],0)),""),IF(H526="Production",IFERROR(IF(INDEX(tbl_Production[Current RMS No],MATCH(E526&amp;"",tbl_Production[Job Number],0))="",INDEX(tbl_Production[Qwilr Quote],MATCH(E526&amp;"",tbl_Production[Job Number],0)),INDEX(tbl_Production[Current RMS No],MATCH(E526&amp;"",tbl_Production[Job Number],0))),""),IF(H526="Consulting",IFERROR(INDEX(tbl_Consulting[Qwilr Quote],MATCH(E526&amp;"",tbl_Consulting[Job Number],0)),""),""))))</f>
        <v/>
      </c>
      <c r="AC526" s="25">
        <f>IF(AB526="","",IF(AND(LEFT(AB526,4)&lt;&gt;"http",IF(H526="Production",set_RMSBase,set_QwilrBase)=""),"",HYPERLINK(IF(LEFT(AB526,4)="http",AB526,IF(H526="Production",set_RMSBase,set_QwilrBase)&amp;AB526),"Open")))</f>
        <v/>
      </c>
      <c r="AD526" s="27">
        <f>IF(E526="","",IF(H526="Production",IFERROR(INDEX(tbl_Production[Total Expense],MATCH(E526&amp;"",tbl_Production[Job Number],0)),0),IF(H526="Consulting",IFERROR(INDEX(tbl_Consulting[Total Expense],MATCH(E526&amp;"",tbl_Consulting[Job Number],0)),0),0)))</f>
        <v/>
      </c>
      <c r="AE526" s="27">
        <f>IF(E526="","",Y526-N(AD526))</f>
        <v/>
      </c>
      <c r="AF526" s="29">
        <f>IFERROR(AE526/Y526,"")</f>
        <v/>
      </c>
      <c r="AG526" s="25">
        <f>IF(E526="","",IF(H526="Onsite",IFERROR(INDEX(tbl_Onsite[Notes],MATCH(E526&amp;"",tbl_Onsite[Job Number],0)),""),IF(H526="Production",IFERROR(INDEX(tbl_Production[Notes],MATCH(E526&amp;"",tbl_Production[Job Number],0)),""),IF(H526="Consulting",IFERROR(INDEX(tbl_Consulting[Notes],MATCH(E526&amp;"",tbl_Consulting[Job Number],0)),""),""))))</f>
        <v/>
      </c>
    </row>
    <row r="527" ht="15" customHeight="1">
      <c r="A527" s="22" t="n"/>
      <c r="B527" s="23">
        <f>IF(A527="","",EOMONTH(A527,0))</f>
        <v/>
      </c>
      <c r="C527" s="24" t="n"/>
      <c r="D527" s="24" t="n"/>
      <c r="E527" s="24" t="n"/>
      <c r="F527" s="25">
        <f>IF(E527="","",IF(COUNTIF(lst_Jobs,E527&amp;"")&gt;0,"OK","CHECK"))</f>
        <v/>
      </c>
      <c r="G527" s="24" t="n"/>
      <c r="H527" s="24" t="n"/>
      <c r="I527" s="24" t="n"/>
      <c r="J527" s="24" t="n"/>
      <c r="K527" s="24" t="n"/>
      <c r="L527" s="26" t="n"/>
      <c r="M527" s="27">
        <f>IF(L527="","",IF(K527="GST 10%",ROUND(L527*set_GSTRate,2),0))</f>
        <v/>
      </c>
      <c r="N527" s="27">
        <f>IF(L527="","",L527+M527)</f>
        <v/>
      </c>
      <c r="O527" s="24" t="n"/>
      <c r="P527" s="24" t="n"/>
      <c r="Q527" s="24" t="n"/>
      <c r="R527" s="22" t="n"/>
      <c r="S527" s="22" t="n"/>
      <c r="T527" s="24" t="n"/>
      <c r="U527" s="24" t="n"/>
      <c r="V527" s="25">
        <f>IF(COUNTA(A527,D527,C527,L527)=0,"",IF(A527="","No date - sits outside every month",IF(E527="","No job number",IF(F527="CHECK","Job number is not in the Xero job list",IF(I527="","No cost centre",IF(AND(P527="Y",C527=""),"Marked posted to Xero but has no invoice number",IF(AND(L527&lt;&gt;"",K527=""),"No tax code",IF(AND(L527&lt;&gt;"",O527=""),"No revenue GL code",""))))))))</f>
        <v/>
      </c>
      <c r="W527" s="25">
        <f>IF(E527="","",IFERROR(INDEX(lst_JobName,MATCH(E527&amp;"",lst_Jobs,0)),""))</f>
        <v/>
      </c>
      <c r="X527" s="28">
        <f>IF(E527="","",COUNTIFS(tbl_Finance[Job Number],E527&amp;"",tbl_Finance[Ex GST],"&lt;&gt;"))</f>
        <v/>
      </c>
      <c r="Y527" s="27">
        <f>IF(E527="","",SUMIFS(tbl_Finance[Ex GST],tbl_Finance[Job Number],E527&amp;""))</f>
        <v/>
      </c>
      <c r="Z527" s="27">
        <f>IF(E527="","",SUMIFS(tbl_Finance[Ex GST],tbl_Finance[Job Number],E527&amp;"",tbl_Finance[Xero Invoice No],"&lt;&gt;"))</f>
        <v/>
      </c>
      <c r="AA527" s="27">
        <f>IF(E527="","",Y527-Z527)</f>
        <v/>
      </c>
      <c r="AB527" s="25">
        <f>IF(E527="","",IF(H527="Onsite",IFERROR(INDEX(tbl_Onsite[Qwilr Quote],MATCH(E527&amp;"",tbl_Onsite[Job Number],0)),""),IF(H527="Production",IFERROR(IF(INDEX(tbl_Production[Current RMS No],MATCH(E527&amp;"",tbl_Production[Job Number],0))="",INDEX(tbl_Production[Qwilr Quote],MATCH(E527&amp;"",tbl_Production[Job Number],0)),INDEX(tbl_Production[Current RMS No],MATCH(E527&amp;"",tbl_Production[Job Number],0))),""),IF(H527="Consulting",IFERROR(INDEX(tbl_Consulting[Qwilr Quote],MATCH(E527&amp;"",tbl_Consulting[Job Number],0)),""),""))))</f>
        <v/>
      </c>
      <c r="AC527" s="25">
        <f>IF(AB527="","",IF(AND(LEFT(AB527,4)&lt;&gt;"http",IF(H527="Production",set_RMSBase,set_QwilrBase)=""),"",HYPERLINK(IF(LEFT(AB527,4)="http",AB527,IF(H527="Production",set_RMSBase,set_QwilrBase)&amp;AB527),"Open")))</f>
        <v/>
      </c>
      <c r="AD527" s="27">
        <f>IF(E527="","",IF(H527="Production",IFERROR(INDEX(tbl_Production[Total Expense],MATCH(E527&amp;"",tbl_Production[Job Number],0)),0),IF(H527="Consulting",IFERROR(INDEX(tbl_Consulting[Total Expense],MATCH(E527&amp;"",tbl_Consulting[Job Number],0)),0),0)))</f>
        <v/>
      </c>
      <c r="AE527" s="27">
        <f>IF(E527="","",Y527-N(AD527))</f>
        <v/>
      </c>
      <c r="AF527" s="29">
        <f>IFERROR(AE527/Y527,"")</f>
        <v/>
      </c>
      <c r="AG527" s="25">
        <f>IF(E527="","",IF(H527="Onsite",IFERROR(INDEX(tbl_Onsite[Notes],MATCH(E527&amp;"",tbl_Onsite[Job Number],0)),""),IF(H527="Production",IFERROR(INDEX(tbl_Production[Notes],MATCH(E527&amp;"",tbl_Production[Job Number],0)),""),IF(H527="Consulting",IFERROR(INDEX(tbl_Consulting[Notes],MATCH(E527&amp;"",tbl_Consulting[Job Number],0)),""),""))))</f>
        <v/>
      </c>
    </row>
    <row r="528" ht="15" customHeight="1">
      <c r="A528" s="22" t="n"/>
      <c r="B528" s="23">
        <f>IF(A528="","",EOMONTH(A528,0))</f>
        <v/>
      </c>
      <c r="C528" s="24" t="n"/>
      <c r="D528" s="24" t="n"/>
      <c r="E528" s="24" t="n"/>
      <c r="F528" s="25">
        <f>IF(E528="","",IF(COUNTIF(lst_Jobs,E528&amp;"")&gt;0,"OK","CHECK"))</f>
        <v/>
      </c>
      <c r="G528" s="24" t="n"/>
      <c r="H528" s="24" t="n"/>
      <c r="I528" s="24" t="n"/>
      <c r="J528" s="24" t="n"/>
      <c r="K528" s="24" t="n"/>
      <c r="L528" s="26" t="n"/>
      <c r="M528" s="27">
        <f>IF(L528="","",IF(K528="GST 10%",ROUND(L528*set_GSTRate,2),0))</f>
        <v/>
      </c>
      <c r="N528" s="27">
        <f>IF(L528="","",L528+M528)</f>
        <v/>
      </c>
      <c r="O528" s="24" t="n"/>
      <c r="P528" s="24" t="n"/>
      <c r="Q528" s="24" t="n"/>
      <c r="R528" s="22" t="n"/>
      <c r="S528" s="22" t="n"/>
      <c r="T528" s="24" t="n"/>
      <c r="U528" s="24" t="n"/>
      <c r="V528" s="25">
        <f>IF(COUNTA(A528,D528,C528,L528)=0,"",IF(A528="","No date - sits outside every month",IF(E528="","No job number",IF(F528="CHECK","Job number is not in the Xero job list",IF(I528="","No cost centre",IF(AND(P528="Y",C528=""),"Marked posted to Xero but has no invoice number",IF(AND(L528&lt;&gt;"",K528=""),"No tax code",IF(AND(L528&lt;&gt;"",O528=""),"No revenue GL code",""))))))))</f>
        <v/>
      </c>
      <c r="W528" s="25">
        <f>IF(E528="","",IFERROR(INDEX(lst_JobName,MATCH(E528&amp;"",lst_Jobs,0)),""))</f>
        <v/>
      </c>
      <c r="X528" s="28">
        <f>IF(E528="","",COUNTIFS(tbl_Finance[Job Number],E528&amp;"",tbl_Finance[Ex GST],"&lt;&gt;"))</f>
        <v/>
      </c>
      <c r="Y528" s="27">
        <f>IF(E528="","",SUMIFS(tbl_Finance[Ex GST],tbl_Finance[Job Number],E528&amp;""))</f>
        <v/>
      </c>
      <c r="Z528" s="27">
        <f>IF(E528="","",SUMIFS(tbl_Finance[Ex GST],tbl_Finance[Job Number],E528&amp;"",tbl_Finance[Xero Invoice No],"&lt;&gt;"))</f>
        <v/>
      </c>
      <c r="AA528" s="27">
        <f>IF(E528="","",Y528-Z528)</f>
        <v/>
      </c>
      <c r="AB528" s="25">
        <f>IF(E528="","",IF(H528="Onsite",IFERROR(INDEX(tbl_Onsite[Qwilr Quote],MATCH(E528&amp;"",tbl_Onsite[Job Number],0)),""),IF(H528="Production",IFERROR(IF(INDEX(tbl_Production[Current RMS No],MATCH(E528&amp;"",tbl_Production[Job Number],0))="",INDEX(tbl_Production[Qwilr Quote],MATCH(E528&amp;"",tbl_Production[Job Number],0)),INDEX(tbl_Production[Current RMS No],MATCH(E528&amp;"",tbl_Production[Job Number],0))),""),IF(H528="Consulting",IFERROR(INDEX(tbl_Consulting[Qwilr Quote],MATCH(E528&amp;"",tbl_Consulting[Job Number],0)),""),""))))</f>
        <v/>
      </c>
      <c r="AC528" s="25">
        <f>IF(AB528="","",IF(AND(LEFT(AB528,4)&lt;&gt;"http",IF(H528="Production",set_RMSBase,set_QwilrBase)=""),"",HYPERLINK(IF(LEFT(AB528,4)="http",AB528,IF(H528="Production",set_RMSBase,set_QwilrBase)&amp;AB528),"Open")))</f>
        <v/>
      </c>
      <c r="AD528" s="27">
        <f>IF(E528="","",IF(H528="Production",IFERROR(INDEX(tbl_Production[Total Expense],MATCH(E528&amp;"",tbl_Production[Job Number],0)),0),IF(H528="Consulting",IFERROR(INDEX(tbl_Consulting[Total Expense],MATCH(E528&amp;"",tbl_Consulting[Job Number],0)),0),0)))</f>
        <v/>
      </c>
      <c r="AE528" s="27">
        <f>IF(E528="","",Y528-N(AD528))</f>
        <v/>
      </c>
      <c r="AF528" s="29">
        <f>IFERROR(AE528/Y528,"")</f>
        <v/>
      </c>
      <c r="AG528" s="25">
        <f>IF(E528="","",IF(H528="Onsite",IFERROR(INDEX(tbl_Onsite[Notes],MATCH(E528&amp;"",tbl_Onsite[Job Number],0)),""),IF(H528="Production",IFERROR(INDEX(tbl_Production[Notes],MATCH(E528&amp;"",tbl_Production[Job Number],0)),""),IF(H528="Consulting",IFERROR(INDEX(tbl_Consulting[Notes],MATCH(E528&amp;"",tbl_Consulting[Job Number],0)),""),""))))</f>
        <v/>
      </c>
    </row>
    <row r="529" ht="15" customHeight="1">
      <c r="A529" s="22" t="n"/>
      <c r="B529" s="23">
        <f>IF(A529="","",EOMONTH(A529,0))</f>
        <v/>
      </c>
      <c r="C529" s="24" t="n"/>
      <c r="D529" s="24" t="n"/>
      <c r="E529" s="24" t="n"/>
      <c r="F529" s="25">
        <f>IF(E529="","",IF(COUNTIF(lst_Jobs,E529&amp;"")&gt;0,"OK","CHECK"))</f>
        <v/>
      </c>
      <c r="G529" s="24" t="n"/>
      <c r="H529" s="24" t="n"/>
      <c r="I529" s="24" t="n"/>
      <c r="J529" s="24" t="n"/>
      <c r="K529" s="24" t="n"/>
      <c r="L529" s="26" t="n"/>
      <c r="M529" s="27">
        <f>IF(L529="","",IF(K529="GST 10%",ROUND(L529*set_GSTRate,2),0))</f>
        <v/>
      </c>
      <c r="N529" s="27">
        <f>IF(L529="","",L529+M529)</f>
        <v/>
      </c>
      <c r="O529" s="24" t="n"/>
      <c r="P529" s="24" t="n"/>
      <c r="Q529" s="24" t="n"/>
      <c r="R529" s="22" t="n"/>
      <c r="S529" s="22" t="n"/>
      <c r="T529" s="24" t="n"/>
      <c r="U529" s="24" t="n"/>
      <c r="V529" s="25">
        <f>IF(COUNTA(A529,D529,C529,L529)=0,"",IF(A529="","No date - sits outside every month",IF(E529="","No job number",IF(F529="CHECK","Job number is not in the Xero job list",IF(I529="","No cost centre",IF(AND(P529="Y",C529=""),"Marked posted to Xero but has no invoice number",IF(AND(L529&lt;&gt;"",K529=""),"No tax code",IF(AND(L529&lt;&gt;"",O529=""),"No revenue GL code",""))))))))</f>
        <v/>
      </c>
      <c r="W529" s="25">
        <f>IF(E529="","",IFERROR(INDEX(lst_JobName,MATCH(E529&amp;"",lst_Jobs,0)),""))</f>
        <v/>
      </c>
      <c r="X529" s="28">
        <f>IF(E529="","",COUNTIFS(tbl_Finance[Job Number],E529&amp;"",tbl_Finance[Ex GST],"&lt;&gt;"))</f>
        <v/>
      </c>
      <c r="Y529" s="27">
        <f>IF(E529="","",SUMIFS(tbl_Finance[Ex GST],tbl_Finance[Job Number],E529&amp;""))</f>
        <v/>
      </c>
      <c r="Z529" s="27">
        <f>IF(E529="","",SUMIFS(tbl_Finance[Ex GST],tbl_Finance[Job Number],E529&amp;"",tbl_Finance[Xero Invoice No],"&lt;&gt;"))</f>
        <v/>
      </c>
      <c r="AA529" s="27">
        <f>IF(E529="","",Y529-Z529)</f>
        <v/>
      </c>
      <c r="AB529" s="25">
        <f>IF(E529="","",IF(H529="Onsite",IFERROR(INDEX(tbl_Onsite[Qwilr Quote],MATCH(E529&amp;"",tbl_Onsite[Job Number],0)),""),IF(H529="Production",IFERROR(IF(INDEX(tbl_Production[Current RMS No],MATCH(E529&amp;"",tbl_Production[Job Number],0))="",INDEX(tbl_Production[Qwilr Quote],MATCH(E529&amp;"",tbl_Production[Job Number],0)),INDEX(tbl_Production[Current RMS No],MATCH(E529&amp;"",tbl_Production[Job Number],0))),""),IF(H529="Consulting",IFERROR(INDEX(tbl_Consulting[Qwilr Quote],MATCH(E529&amp;"",tbl_Consulting[Job Number],0)),""),""))))</f>
        <v/>
      </c>
      <c r="AC529" s="25">
        <f>IF(AB529="","",IF(AND(LEFT(AB529,4)&lt;&gt;"http",IF(H529="Production",set_RMSBase,set_QwilrBase)=""),"",HYPERLINK(IF(LEFT(AB529,4)="http",AB529,IF(H529="Production",set_RMSBase,set_QwilrBase)&amp;AB529),"Open")))</f>
        <v/>
      </c>
      <c r="AD529" s="27">
        <f>IF(E529="","",IF(H529="Production",IFERROR(INDEX(tbl_Production[Total Expense],MATCH(E529&amp;"",tbl_Production[Job Number],0)),0),IF(H529="Consulting",IFERROR(INDEX(tbl_Consulting[Total Expense],MATCH(E529&amp;"",tbl_Consulting[Job Number],0)),0),0)))</f>
        <v/>
      </c>
      <c r="AE529" s="27">
        <f>IF(E529="","",Y529-N(AD529))</f>
        <v/>
      </c>
      <c r="AF529" s="29">
        <f>IFERROR(AE529/Y529,"")</f>
        <v/>
      </c>
      <c r="AG529" s="25">
        <f>IF(E529="","",IF(H529="Onsite",IFERROR(INDEX(tbl_Onsite[Notes],MATCH(E529&amp;"",tbl_Onsite[Job Number],0)),""),IF(H529="Production",IFERROR(INDEX(tbl_Production[Notes],MATCH(E529&amp;"",tbl_Production[Job Number],0)),""),IF(H529="Consulting",IFERROR(INDEX(tbl_Consulting[Notes],MATCH(E529&amp;"",tbl_Consulting[Job Number],0)),""),""))))</f>
        <v/>
      </c>
    </row>
    <row r="530" ht="15" customHeight="1">
      <c r="A530" s="22" t="n"/>
      <c r="B530" s="23">
        <f>IF(A530="","",EOMONTH(A530,0))</f>
        <v/>
      </c>
      <c r="C530" s="24" t="n"/>
      <c r="D530" s="24" t="n"/>
      <c r="E530" s="24" t="n"/>
      <c r="F530" s="25">
        <f>IF(E530="","",IF(COUNTIF(lst_Jobs,E530&amp;"")&gt;0,"OK","CHECK"))</f>
        <v/>
      </c>
      <c r="G530" s="24" t="n"/>
      <c r="H530" s="24" t="n"/>
      <c r="I530" s="24" t="n"/>
      <c r="J530" s="24" t="n"/>
      <c r="K530" s="24" t="n"/>
      <c r="L530" s="26" t="n"/>
      <c r="M530" s="27">
        <f>IF(L530="","",IF(K530="GST 10%",ROUND(L530*set_GSTRate,2),0))</f>
        <v/>
      </c>
      <c r="N530" s="27">
        <f>IF(L530="","",L530+M530)</f>
        <v/>
      </c>
      <c r="O530" s="24" t="n"/>
      <c r="P530" s="24" t="n"/>
      <c r="Q530" s="24" t="n"/>
      <c r="R530" s="22" t="n"/>
      <c r="S530" s="22" t="n"/>
      <c r="T530" s="24" t="n"/>
      <c r="U530" s="24" t="n"/>
      <c r="V530" s="25">
        <f>IF(COUNTA(A530,D530,C530,L530)=0,"",IF(A530="","No date - sits outside every month",IF(E530="","No job number",IF(F530="CHECK","Job number is not in the Xero job list",IF(I530="","No cost centre",IF(AND(P530="Y",C530=""),"Marked posted to Xero but has no invoice number",IF(AND(L530&lt;&gt;"",K530=""),"No tax code",IF(AND(L530&lt;&gt;"",O530=""),"No revenue GL code",""))))))))</f>
        <v/>
      </c>
      <c r="W530" s="25">
        <f>IF(E530="","",IFERROR(INDEX(lst_JobName,MATCH(E530&amp;"",lst_Jobs,0)),""))</f>
        <v/>
      </c>
      <c r="X530" s="28">
        <f>IF(E530="","",COUNTIFS(tbl_Finance[Job Number],E530&amp;"",tbl_Finance[Ex GST],"&lt;&gt;"))</f>
        <v/>
      </c>
      <c r="Y530" s="27">
        <f>IF(E530="","",SUMIFS(tbl_Finance[Ex GST],tbl_Finance[Job Number],E530&amp;""))</f>
        <v/>
      </c>
      <c r="Z530" s="27">
        <f>IF(E530="","",SUMIFS(tbl_Finance[Ex GST],tbl_Finance[Job Number],E530&amp;"",tbl_Finance[Xero Invoice No],"&lt;&gt;"))</f>
        <v/>
      </c>
      <c r="AA530" s="27">
        <f>IF(E530="","",Y530-Z530)</f>
        <v/>
      </c>
      <c r="AB530" s="25">
        <f>IF(E530="","",IF(H530="Onsite",IFERROR(INDEX(tbl_Onsite[Qwilr Quote],MATCH(E530&amp;"",tbl_Onsite[Job Number],0)),""),IF(H530="Production",IFERROR(IF(INDEX(tbl_Production[Current RMS No],MATCH(E530&amp;"",tbl_Production[Job Number],0))="",INDEX(tbl_Production[Qwilr Quote],MATCH(E530&amp;"",tbl_Production[Job Number],0)),INDEX(tbl_Production[Current RMS No],MATCH(E530&amp;"",tbl_Production[Job Number],0))),""),IF(H530="Consulting",IFERROR(INDEX(tbl_Consulting[Qwilr Quote],MATCH(E530&amp;"",tbl_Consulting[Job Number],0)),""),""))))</f>
        <v/>
      </c>
      <c r="AC530" s="25">
        <f>IF(AB530="","",IF(AND(LEFT(AB530,4)&lt;&gt;"http",IF(H530="Production",set_RMSBase,set_QwilrBase)=""),"",HYPERLINK(IF(LEFT(AB530,4)="http",AB530,IF(H530="Production",set_RMSBase,set_QwilrBase)&amp;AB530),"Open")))</f>
        <v/>
      </c>
      <c r="AD530" s="27">
        <f>IF(E530="","",IF(H530="Production",IFERROR(INDEX(tbl_Production[Total Expense],MATCH(E530&amp;"",tbl_Production[Job Number],0)),0),IF(H530="Consulting",IFERROR(INDEX(tbl_Consulting[Total Expense],MATCH(E530&amp;"",tbl_Consulting[Job Number],0)),0),0)))</f>
        <v/>
      </c>
      <c r="AE530" s="27">
        <f>IF(E530="","",Y530-N(AD530))</f>
        <v/>
      </c>
      <c r="AF530" s="29">
        <f>IFERROR(AE530/Y530,"")</f>
        <v/>
      </c>
      <c r="AG530" s="25">
        <f>IF(E530="","",IF(H530="Onsite",IFERROR(INDEX(tbl_Onsite[Notes],MATCH(E530&amp;"",tbl_Onsite[Job Number],0)),""),IF(H530="Production",IFERROR(INDEX(tbl_Production[Notes],MATCH(E530&amp;"",tbl_Production[Job Number],0)),""),IF(H530="Consulting",IFERROR(INDEX(tbl_Consulting[Notes],MATCH(E530&amp;"",tbl_Consulting[Job Number],0)),""),""))))</f>
        <v/>
      </c>
    </row>
    <row r="531" ht="15" customHeight="1">
      <c r="A531" s="22" t="n"/>
      <c r="B531" s="23">
        <f>IF(A531="","",EOMONTH(A531,0))</f>
        <v/>
      </c>
      <c r="C531" s="24" t="n"/>
      <c r="D531" s="24" t="n"/>
      <c r="E531" s="24" t="n"/>
      <c r="F531" s="25">
        <f>IF(E531="","",IF(COUNTIF(lst_Jobs,E531&amp;"")&gt;0,"OK","CHECK"))</f>
        <v/>
      </c>
      <c r="G531" s="24" t="n"/>
      <c r="H531" s="24" t="n"/>
      <c r="I531" s="24" t="n"/>
      <c r="J531" s="24" t="n"/>
      <c r="K531" s="24" t="n"/>
      <c r="L531" s="26" t="n"/>
      <c r="M531" s="27">
        <f>IF(L531="","",IF(K531="GST 10%",ROUND(L531*set_GSTRate,2),0))</f>
        <v/>
      </c>
      <c r="N531" s="27">
        <f>IF(L531="","",L531+M531)</f>
        <v/>
      </c>
      <c r="O531" s="24" t="n"/>
      <c r="P531" s="24" t="n"/>
      <c r="Q531" s="24" t="n"/>
      <c r="R531" s="22" t="n"/>
      <c r="S531" s="22" t="n"/>
      <c r="T531" s="24" t="n"/>
      <c r="U531" s="24" t="n"/>
      <c r="V531" s="25">
        <f>IF(COUNTA(A531,D531,C531,L531)=0,"",IF(A531="","No date - sits outside every month",IF(E531="","No job number",IF(F531="CHECK","Job number is not in the Xero job list",IF(I531="","No cost centre",IF(AND(P531="Y",C531=""),"Marked posted to Xero but has no invoice number",IF(AND(L531&lt;&gt;"",K531=""),"No tax code",IF(AND(L531&lt;&gt;"",O531=""),"No revenue GL code",""))))))))</f>
        <v/>
      </c>
      <c r="W531" s="25">
        <f>IF(E531="","",IFERROR(INDEX(lst_JobName,MATCH(E531&amp;"",lst_Jobs,0)),""))</f>
        <v/>
      </c>
      <c r="X531" s="28">
        <f>IF(E531="","",COUNTIFS(tbl_Finance[Job Number],E531&amp;"",tbl_Finance[Ex GST],"&lt;&gt;"))</f>
        <v/>
      </c>
      <c r="Y531" s="27">
        <f>IF(E531="","",SUMIFS(tbl_Finance[Ex GST],tbl_Finance[Job Number],E531&amp;""))</f>
        <v/>
      </c>
      <c r="Z531" s="27">
        <f>IF(E531="","",SUMIFS(tbl_Finance[Ex GST],tbl_Finance[Job Number],E531&amp;"",tbl_Finance[Xero Invoice No],"&lt;&gt;"))</f>
        <v/>
      </c>
      <c r="AA531" s="27">
        <f>IF(E531="","",Y531-Z531)</f>
        <v/>
      </c>
      <c r="AB531" s="25">
        <f>IF(E531="","",IF(H531="Onsite",IFERROR(INDEX(tbl_Onsite[Qwilr Quote],MATCH(E531&amp;"",tbl_Onsite[Job Number],0)),""),IF(H531="Production",IFERROR(IF(INDEX(tbl_Production[Current RMS No],MATCH(E531&amp;"",tbl_Production[Job Number],0))="",INDEX(tbl_Production[Qwilr Quote],MATCH(E531&amp;"",tbl_Production[Job Number],0)),INDEX(tbl_Production[Current RMS No],MATCH(E531&amp;"",tbl_Production[Job Number],0))),""),IF(H531="Consulting",IFERROR(INDEX(tbl_Consulting[Qwilr Quote],MATCH(E531&amp;"",tbl_Consulting[Job Number],0)),""),""))))</f>
        <v/>
      </c>
      <c r="AC531" s="25">
        <f>IF(AB531="","",IF(AND(LEFT(AB531,4)&lt;&gt;"http",IF(H531="Production",set_RMSBase,set_QwilrBase)=""),"",HYPERLINK(IF(LEFT(AB531,4)="http",AB531,IF(H531="Production",set_RMSBase,set_QwilrBase)&amp;AB531),"Open")))</f>
        <v/>
      </c>
      <c r="AD531" s="27">
        <f>IF(E531="","",IF(H531="Production",IFERROR(INDEX(tbl_Production[Total Expense],MATCH(E531&amp;"",tbl_Production[Job Number],0)),0),IF(H531="Consulting",IFERROR(INDEX(tbl_Consulting[Total Expense],MATCH(E531&amp;"",tbl_Consulting[Job Number],0)),0),0)))</f>
        <v/>
      </c>
      <c r="AE531" s="27">
        <f>IF(E531="","",Y531-N(AD531))</f>
        <v/>
      </c>
      <c r="AF531" s="29">
        <f>IFERROR(AE531/Y531,"")</f>
        <v/>
      </c>
      <c r="AG531" s="25">
        <f>IF(E531="","",IF(H531="Onsite",IFERROR(INDEX(tbl_Onsite[Notes],MATCH(E531&amp;"",tbl_Onsite[Job Number],0)),""),IF(H531="Production",IFERROR(INDEX(tbl_Production[Notes],MATCH(E531&amp;"",tbl_Production[Job Number],0)),""),IF(H531="Consulting",IFERROR(INDEX(tbl_Consulting[Notes],MATCH(E531&amp;"",tbl_Consulting[Job Number],0)),""),""))))</f>
        <v/>
      </c>
    </row>
    <row r="532" ht="15" customHeight="1">
      <c r="A532" s="22" t="n"/>
      <c r="B532" s="23">
        <f>IF(A532="","",EOMONTH(A532,0))</f>
        <v/>
      </c>
      <c r="C532" s="24" t="n"/>
      <c r="D532" s="24" t="n"/>
      <c r="E532" s="24" t="n"/>
      <c r="F532" s="25">
        <f>IF(E532="","",IF(COUNTIF(lst_Jobs,E532&amp;"")&gt;0,"OK","CHECK"))</f>
        <v/>
      </c>
      <c r="G532" s="24" t="n"/>
      <c r="H532" s="24" t="n"/>
      <c r="I532" s="24" t="n"/>
      <c r="J532" s="24" t="n"/>
      <c r="K532" s="24" t="n"/>
      <c r="L532" s="26" t="n"/>
      <c r="M532" s="27">
        <f>IF(L532="","",IF(K532="GST 10%",ROUND(L532*set_GSTRate,2),0))</f>
        <v/>
      </c>
      <c r="N532" s="27">
        <f>IF(L532="","",L532+M532)</f>
        <v/>
      </c>
      <c r="O532" s="24" t="n"/>
      <c r="P532" s="24" t="n"/>
      <c r="Q532" s="24" t="n"/>
      <c r="R532" s="22" t="n"/>
      <c r="S532" s="22" t="n"/>
      <c r="T532" s="24" t="n"/>
      <c r="U532" s="24" t="n"/>
      <c r="V532" s="25">
        <f>IF(COUNTA(A532,D532,C532,L532)=0,"",IF(A532="","No date - sits outside every month",IF(E532="","No job number",IF(F532="CHECK","Job number is not in the Xero job list",IF(I532="","No cost centre",IF(AND(P532="Y",C532=""),"Marked posted to Xero but has no invoice number",IF(AND(L532&lt;&gt;"",K532=""),"No tax code",IF(AND(L532&lt;&gt;"",O532=""),"No revenue GL code",""))))))))</f>
        <v/>
      </c>
      <c r="W532" s="25">
        <f>IF(E532="","",IFERROR(INDEX(lst_JobName,MATCH(E532&amp;"",lst_Jobs,0)),""))</f>
        <v/>
      </c>
      <c r="X532" s="28">
        <f>IF(E532="","",COUNTIFS(tbl_Finance[Job Number],E532&amp;"",tbl_Finance[Ex GST],"&lt;&gt;"))</f>
        <v/>
      </c>
      <c r="Y532" s="27">
        <f>IF(E532="","",SUMIFS(tbl_Finance[Ex GST],tbl_Finance[Job Number],E532&amp;""))</f>
        <v/>
      </c>
      <c r="Z532" s="27">
        <f>IF(E532="","",SUMIFS(tbl_Finance[Ex GST],tbl_Finance[Job Number],E532&amp;"",tbl_Finance[Xero Invoice No],"&lt;&gt;"))</f>
        <v/>
      </c>
      <c r="AA532" s="27">
        <f>IF(E532="","",Y532-Z532)</f>
        <v/>
      </c>
      <c r="AB532" s="25">
        <f>IF(E532="","",IF(H532="Onsite",IFERROR(INDEX(tbl_Onsite[Qwilr Quote],MATCH(E532&amp;"",tbl_Onsite[Job Number],0)),""),IF(H532="Production",IFERROR(IF(INDEX(tbl_Production[Current RMS No],MATCH(E532&amp;"",tbl_Production[Job Number],0))="",INDEX(tbl_Production[Qwilr Quote],MATCH(E532&amp;"",tbl_Production[Job Number],0)),INDEX(tbl_Production[Current RMS No],MATCH(E532&amp;"",tbl_Production[Job Number],0))),""),IF(H532="Consulting",IFERROR(INDEX(tbl_Consulting[Qwilr Quote],MATCH(E532&amp;"",tbl_Consulting[Job Number],0)),""),""))))</f>
        <v/>
      </c>
      <c r="AC532" s="25">
        <f>IF(AB532="","",IF(AND(LEFT(AB532,4)&lt;&gt;"http",IF(H532="Production",set_RMSBase,set_QwilrBase)=""),"",HYPERLINK(IF(LEFT(AB532,4)="http",AB532,IF(H532="Production",set_RMSBase,set_QwilrBase)&amp;AB532),"Open")))</f>
        <v/>
      </c>
      <c r="AD532" s="27">
        <f>IF(E532="","",IF(H532="Production",IFERROR(INDEX(tbl_Production[Total Expense],MATCH(E532&amp;"",tbl_Production[Job Number],0)),0),IF(H532="Consulting",IFERROR(INDEX(tbl_Consulting[Total Expense],MATCH(E532&amp;"",tbl_Consulting[Job Number],0)),0),0)))</f>
        <v/>
      </c>
      <c r="AE532" s="27">
        <f>IF(E532="","",Y532-N(AD532))</f>
        <v/>
      </c>
      <c r="AF532" s="29">
        <f>IFERROR(AE532/Y532,"")</f>
        <v/>
      </c>
      <c r="AG532" s="25">
        <f>IF(E532="","",IF(H532="Onsite",IFERROR(INDEX(tbl_Onsite[Notes],MATCH(E532&amp;"",tbl_Onsite[Job Number],0)),""),IF(H532="Production",IFERROR(INDEX(tbl_Production[Notes],MATCH(E532&amp;"",tbl_Production[Job Number],0)),""),IF(H532="Consulting",IFERROR(INDEX(tbl_Consulting[Notes],MATCH(E532&amp;"",tbl_Consulting[Job Number],0)),""),""))))</f>
        <v/>
      </c>
    </row>
    <row r="533" ht="15" customHeight="1">
      <c r="A533" s="22" t="n"/>
      <c r="B533" s="23">
        <f>IF(A533="","",EOMONTH(A533,0))</f>
        <v/>
      </c>
      <c r="C533" s="24" t="n"/>
      <c r="D533" s="24" t="n"/>
      <c r="E533" s="24" t="n"/>
      <c r="F533" s="25">
        <f>IF(E533="","",IF(COUNTIF(lst_Jobs,E533&amp;"")&gt;0,"OK","CHECK"))</f>
        <v/>
      </c>
      <c r="G533" s="24" t="n"/>
      <c r="H533" s="24" t="n"/>
      <c r="I533" s="24" t="n"/>
      <c r="J533" s="24" t="n"/>
      <c r="K533" s="24" t="n"/>
      <c r="L533" s="26" t="n"/>
      <c r="M533" s="27">
        <f>IF(L533="","",IF(K533="GST 10%",ROUND(L533*set_GSTRate,2),0))</f>
        <v/>
      </c>
      <c r="N533" s="27">
        <f>IF(L533="","",L533+M533)</f>
        <v/>
      </c>
      <c r="O533" s="24" t="n"/>
      <c r="P533" s="24" t="n"/>
      <c r="Q533" s="24" t="n"/>
      <c r="R533" s="22" t="n"/>
      <c r="S533" s="22" t="n"/>
      <c r="T533" s="24" t="n"/>
      <c r="U533" s="24" t="n"/>
      <c r="V533" s="25">
        <f>IF(COUNTA(A533,D533,C533,L533)=0,"",IF(A533="","No date - sits outside every month",IF(E533="","No job number",IF(F533="CHECK","Job number is not in the Xero job list",IF(I533="","No cost centre",IF(AND(P533="Y",C533=""),"Marked posted to Xero but has no invoice number",IF(AND(L533&lt;&gt;"",K533=""),"No tax code",IF(AND(L533&lt;&gt;"",O533=""),"No revenue GL code",""))))))))</f>
        <v/>
      </c>
      <c r="W533" s="25">
        <f>IF(E533="","",IFERROR(INDEX(lst_JobName,MATCH(E533&amp;"",lst_Jobs,0)),""))</f>
        <v/>
      </c>
      <c r="X533" s="28">
        <f>IF(E533="","",COUNTIFS(tbl_Finance[Job Number],E533&amp;"",tbl_Finance[Ex GST],"&lt;&gt;"))</f>
        <v/>
      </c>
      <c r="Y533" s="27">
        <f>IF(E533="","",SUMIFS(tbl_Finance[Ex GST],tbl_Finance[Job Number],E533&amp;""))</f>
        <v/>
      </c>
      <c r="Z533" s="27">
        <f>IF(E533="","",SUMIFS(tbl_Finance[Ex GST],tbl_Finance[Job Number],E533&amp;"",tbl_Finance[Xero Invoice No],"&lt;&gt;"))</f>
        <v/>
      </c>
      <c r="AA533" s="27">
        <f>IF(E533="","",Y533-Z533)</f>
        <v/>
      </c>
      <c r="AB533" s="25">
        <f>IF(E533="","",IF(H533="Onsite",IFERROR(INDEX(tbl_Onsite[Qwilr Quote],MATCH(E533&amp;"",tbl_Onsite[Job Number],0)),""),IF(H533="Production",IFERROR(IF(INDEX(tbl_Production[Current RMS No],MATCH(E533&amp;"",tbl_Production[Job Number],0))="",INDEX(tbl_Production[Qwilr Quote],MATCH(E533&amp;"",tbl_Production[Job Number],0)),INDEX(tbl_Production[Current RMS No],MATCH(E533&amp;"",tbl_Production[Job Number],0))),""),IF(H533="Consulting",IFERROR(INDEX(tbl_Consulting[Qwilr Quote],MATCH(E533&amp;"",tbl_Consulting[Job Number],0)),""),""))))</f>
        <v/>
      </c>
      <c r="AC533" s="25">
        <f>IF(AB533="","",IF(AND(LEFT(AB533,4)&lt;&gt;"http",IF(H533="Production",set_RMSBase,set_QwilrBase)=""),"",HYPERLINK(IF(LEFT(AB533,4)="http",AB533,IF(H533="Production",set_RMSBase,set_QwilrBase)&amp;AB533),"Open")))</f>
        <v/>
      </c>
      <c r="AD533" s="27">
        <f>IF(E533="","",IF(H533="Production",IFERROR(INDEX(tbl_Production[Total Expense],MATCH(E533&amp;"",tbl_Production[Job Number],0)),0),IF(H533="Consulting",IFERROR(INDEX(tbl_Consulting[Total Expense],MATCH(E533&amp;"",tbl_Consulting[Job Number],0)),0),0)))</f>
        <v/>
      </c>
      <c r="AE533" s="27">
        <f>IF(E533="","",Y533-N(AD533))</f>
        <v/>
      </c>
      <c r="AF533" s="29">
        <f>IFERROR(AE533/Y533,"")</f>
        <v/>
      </c>
      <c r="AG533" s="25">
        <f>IF(E533="","",IF(H533="Onsite",IFERROR(INDEX(tbl_Onsite[Notes],MATCH(E533&amp;"",tbl_Onsite[Job Number],0)),""),IF(H533="Production",IFERROR(INDEX(tbl_Production[Notes],MATCH(E533&amp;"",tbl_Production[Job Number],0)),""),IF(H533="Consulting",IFERROR(INDEX(tbl_Consulting[Notes],MATCH(E533&amp;"",tbl_Consulting[Job Number],0)),""),""))))</f>
        <v/>
      </c>
    </row>
    <row r="534" ht="15" customHeight="1">
      <c r="A534" s="22" t="n"/>
      <c r="B534" s="23">
        <f>IF(A534="","",EOMONTH(A534,0))</f>
        <v/>
      </c>
      <c r="C534" s="24" t="n"/>
      <c r="D534" s="24" t="n"/>
      <c r="E534" s="24" t="n"/>
      <c r="F534" s="25">
        <f>IF(E534="","",IF(COUNTIF(lst_Jobs,E534&amp;"")&gt;0,"OK","CHECK"))</f>
        <v/>
      </c>
      <c r="G534" s="24" t="n"/>
      <c r="H534" s="24" t="n"/>
      <c r="I534" s="24" t="n"/>
      <c r="J534" s="24" t="n"/>
      <c r="K534" s="24" t="n"/>
      <c r="L534" s="26" t="n"/>
      <c r="M534" s="27">
        <f>IF(L534="","",IF(K534="GST 10%",ROUND(L534*set_GSTRate,2),0))</f>
        <v/>
      </c>
      <c r="N534" s="27">
        <f>IF(L534="","",L534+M534)</f>
        <v/>
      </c>
      <c r="O534" s="24" t="n"/>
      <c r="P534" s="24" t="n"/>
      <c r="Q534" s="24" t="n"/>
      <c r="R534" s="22" t="n"/>
      <c r="S534" s="22" t="n"/>
      <c r="T534" s="24" t="n"/>
      <c r="U534" s="24" t="n"/>
      <c r="V534" s="25">
        <f>IF(COUNTA(A534,D534,C534,L534)=0,"",IF(A534="","No date - sits outside every month",IF(E534="","No job number",IF(F534="CHECK","Job number is not in the Xero job list",IF(I534="","No cost centre",IF(AND(P534="Y",C534=""),"Marked posted to Xero but has no invoice number",IF(AND(L534&lt;&gt;"",K534=""),"No tax code",IF(AND(L534&lt;&gt;"",O534=""),"No revenue GL code",""))))))))</f>
        <v/>
      </c>
      <c r="W534" s="25">
        <f>IF(E534="","",IFERROR(INDEX(lst_JobName,MATCH(E534&amp;"",lst_Jobs,0)),""))</f>
        <v/>
      </c>
      <c r="X534" s="28">
        <f>IF(E534="","",COUNTIFS(tbl_Finance[Job Number],E534&amp;"",tbl_Finance[Ex GST],"&lt;&gt;"))</f>
        <v/>
      </c>
      <c r="Y534" s="27">
        <f>IF(E534="","",SUMIFS(tbl_Finance[Ex GST],tbl_Finance[Job Number],E534&amp;""))</f>
        <v/>
      </c>
      <c r="Z534" s="27">
        <f>IF(E534="","",SUMIFS(tbl_Finance[Ex GST],tbl_Finance[Job Number],E534&amp;"",tbl_Finance[Xero Invoice No],"&lt;&gt;"))</f>
        <v/>
      </c>
      <c r="AA534" s="27">
        <f>IF(E534="","",Y534-Z534)</f>
        <v/>
      </c>
      <c r="AB534" s="25">
        <f>IF(E534="","",IF(H534="Onsite",IFERROR(INDEX(tbl_Onsite[Qwilr Quote],MATCH(E534&amp;"",tbl_Onsite[Job Number],0)),""),IF(H534="Production",IFERROR(IF(INDEX(tbl_Production[Current RMS No],MATCH(E534&amp;"",tbl_Production[Job Number],0))="",INDEX(tbl_Production[Qwilr Quote],MATCH(E534&amp;"",tbl_Production[Job Number],0)),INDEX(tbl_Production[Current RMS No],MATCH(E534&amp;"",tbl_Production[Job Number],0))),""),IF(H534="Consulting",IFERROR(INDEX(tbl_Consulting[Qwilr Quote],MATCH(E534&amp;"",tbl_Consulting[Job Number],0)),""),""))))</f>
        <v/>
      </c>
      <c r="AC534" s="25">
        <f>IF(AB534="","",IF(AND(LEFT(AB534,4)&lt;&gt;"http",IF(H534="Production",set_RMSBase,set_QwilrBase)=""),"",HYPERLINK(IF(LEFT(AB534,4)="http",AB534,IF(H534="Production",set_RMSBase,set_QwilrBase)&amp;AB534),"Open")))</f>
        <v/>
      </c>
      <c r="AD534" s="27">
        <f>IF(E534="","",IF(H534="Production",IFERROR(INDEX(tbl_Production[Total Expense],MATCH(E534&amp;"",tbl_Production[Job Number],0)),0),IF(H534="Consulting",IFERROR(INDEX(tbl_Consulting[Total Expense],MATCH(E534&amp;"",tbl_Consulting[Job Number],0)),0),0)))</f>
        <v/>
      </c>
      <c r="AE534" s="27">
        <f>IF(E534="","",Y534-N(AD534))</f>
        <v/>
      </c>
      <c r="AF534" s="29">
        <f>IFERROR(AE534/Y534,"")</f>
        <v/>
      </c>
      <c r="AG534" s="25">
        <f>IF(E534="","",IF(H534="Onsite",IFERROR(INDEX(tbl_Onsite[Notes],MATCH(E534&amp;"",tbl_Onsite[Job Number],0)),""),IF(H534="Production",IFERROR(INDEX(tbl_Production[Notes],MATCH(E534&amp;"",tbl_Production[Job Number],0)),""),IF(H534="Consulting",IFERROR(INDEX(tbl_Consulting[Notes],MATCH(E534&amp;"",tbl_Consulting[Job Number],0)),""),""))))</f>
        <v/>
      </c>
    </row>
    <row r="535" ht="15" customHeight="1">
      <c r="A535" s="22" t="n"/>
      <c r="B535" s="23">
        <f>IF(A535="","",EOMONTH(A535,0))</f>
        <v/>
      </c>
      <c r="C535" s="24" t="n"/>
      <c r="D535" s="24" t="n"/>
      <c r="E535" s="24" t="n"/>
      <c r="F535" s="25">
        <f>IF(E535="","",IF(COUNTIF(lst_Jobs,E535&amp;"")&gt;0,"OK","CHECK"))</f>
        <v/>
      </c>
      <c r="G535" s="24" t="n"/>
      <c r="H535" s="24" t="n"/>
      <c r="I535" s="24" t="n"/>
      <c r="J535" s="24" t="n"/>
      <c r="K535" s="24" t="n"/>
      <c r="L535" s="26" t="n"/>
      <c r="M535" s="27">
        <f>IF(L535="","",IF(K535="GST 10%",ROUND(L535*set_GSTRate,2),0))</f>
        <v/>
      </c>
      <c r="N535" s="27">
        <f>IF(L535="","",L535+M535)</f>
        <v/>
      </c>
      <c r="O535" s="24" t="n"/>
      <c r="P535" s="24" t="n"/>
      <c r="Q535" s="24" t="n"/>
      <c r="R535" s="22" t="n"/>
      <c r="S535" s="22" t="n"/>
      <c r="T535" s="24" t="n"/>
      <c r="U535" s="24" t="n"/>
      <c r="V535" s="25">
        <f>IF(COUNTA(A535,D535,C535,L535)=0,"",IF(A535="","No date - sits outside every month",IF(E535="","No job number",IF(F535="CHECK","Job number is not in the Xero job list",IF(I535="","No cost centre",IF(AND(P535="Y",C535=""),"Marked posted to Xero but has no invoice number",IF(AND(L535&lt;&gt;"",K535=""),"No tax code",IF(AND(L535&lt;&gt;"",O535=""),"No revenue GL code",""))))))))</f>
        <v/>
      </c>
      <c r="W535" s="25">
        <f>IF(E535="","",IFERROR(INDEX(lst_JobName,MATCH(E535&amp;"",lst_Jobs,0)),""))</f>
        <v/>
      </c>
      <c r="X535" s="28">
        <f>IF(E535="","",COUNTIFS(tbl_Finance[Job Number],E535&amp;"",tbl_Finance[Ex GST],"&lt;&gt;"))</f>
        <v/>
      </c>
      <c r="Y535" s="27">
        <f>IF(E535="","",SUMIFS(tbl_Finance[Ex GST],tbl_Finance[Job Number],E535&amp;""))</f>
        <v/>
      </c>
      <c r="Z535" s="27">
        <f>IF(E535="","",SUMIFS(tbl_Finance[Ex GST],tbl_Finance[Job Number],E535&amp;"",tbl_Finance[Xero Invoice No],"&lt;&gt;"))</f>
        <v/>
      </c>
      <c r="AA535" s="27">
        <f>IF(E535="","",Y535-Z535)</f>
        <v/>
      </c>
      <c r="AB535" s="25">
        <f>IF(E535="","",IF(H535="Onsite",IFERROR(INDEX(tbl_Onsite[Qwilr Quote],MATCH(E535&amp;"",tbl_Onsite[Job Number],0)),""),IF(H535="Production",IFERROR(IF(INDEX(tbl_Production[Current RMS No],MATCH(E535&amp;"",tbl_Production[Job Number],0))="",INDEX(tbl_Production[Qwilr Quote],MATCH(E535&amp;"",tbl_Production[Job Number],0)),INDEX(tbl_Production[Current RMS No],MATCH(E535&amp;"",tbl_Production[Job Number],0))),""),IF(H535="Consulting",IFERROR(INDEX(tbl_Consulting[Qwilr Quote],MATCH(E535&amp;"",tbl_Consulting[Job Number],0)),""),""))))</f>
        <v/>
      </c>
      <c r="AC535" s="25">
        <f>IF(AB535="","",IF(AND(LEFT(AB535,4)&lt;&gt;"http",IF(H535="Production",set_RMSBase,set_QwilrBase)=""),"",HYPERLINK(IF(LEFT(AB535,4)="http",AB535,IF(H535="Production",set_RMSBase,set_QwilrBase)&amp;AB535),"Open")))</f>
        <v/>
      </c>
      <c r="AD535" s="27">
        <f>IF(E535="","",IF(H535="Production",IFERROR(INDEX(tbl_Production[Total Expense],MATCH(E535&amp;"",tbl_Production[Job Number],0)),0),IF(H535="Consulting",IFERROR(INDEX(tbl_Consulting[Total Expense],MATCH(E535&amp;"",tbl_Consulting[Job Number],0)),0),0)))</f>
        <v/>
      </c>
      <c r="AE535" s="27">
        <f>IF(E535="","",Y535-N(AD535))</f>
        <v/>
      </c>
      <c r="AF535" s="29">
        <f>IFERROR(AE535/Y535,"")</f>
        <v/>
      </c>
      <c r="AG535" s="25">
        <f>IF(E535="","",IF(H535="Onsite",IFERROR(INDEX(tbl_Onsite[Notes],MATCH(E535&amp;"",tbl_Onsite[Job Number],0)),""),IF(H535="Production",IFERROR(INDEX(tbl_Production[Notes],MATCH(E535&amp;"",tbl_Production[Job Number],0)),""),IF(H535="Consulting",IFERROR(INDEX(tbl_Consulting[Notes],MATCH(E535&amp;"",tbl_Consulting[Job Number],0)),""),""))))</f>
        <v/>
      </c>
    </row>
    <row r="536" ht="15" customHeight="1">
      <c r="A536" s="22" t="n"/>
      <c r="B536" s="23">
        <f>IF(A536="","",EOMONTH(A536,0))</f>
        <v/>
      </c>
      <c r="C536" s="24" t="n"/>
      <c r="D536" s="24" t="n"/>
      <c r="E536" s="24" t="n"/>
      <c r="F536" s="25">
        <f>IF(E536="","",IF(COUNTIF(lst_Jobs,E536&amp;"")&gt;0,"OK","CHECK"))</f>
        <v/>
      </c>
      <c r="G536" s="24" t="n"/>
      <c r="H536" s="24" t="n"/>
      <c r="I536" s="24" t="n"/>
      <c r="J536" s="24" t="n"/>
      <c r="K536" s="24" t="n"/>
      <c r="L536" s="26" t="n"/>
      <c r="M536" s="27">
        <f>IF(L536="","",IF(K536="GST 10%",ROUND(L536*set_GSTRate,2),0))</f>
        <v/>
      </c>
      <c r="N536" s="27">
        <f>IF(L536="","",L536+M536)</f>
        <v/>
      </c>
      <c r="O536" s="24" t="n"/>
      <c r="P536" s="24" t="n"/>
      <c r="Q536" s="24" t="n"/>
      <c r="R536" s="22" t="n"/>
      <c r="S536" s="22" t="n"/>
      <c r="T536" s="24" t="n"/>
      <c r="U536" s="24" t="n"/>
      <c r="V536" s="25">
        <f>IF(COUNTA(A536,D536,C536,L536)=0,"",IF(A536="","No date - sits outside every month",IF(E536="","No job number",IF(F536="CHECK","Job number is not in the Xero job list",IF(I536="","No cost centre",IF(AND(P536="Y",C536=""),"Marked posted to Xero but has no invoice number",IF(AND(L536&lt;&gt;"",K536=""),"No tax code",IF(AND(L536&lt;&gt;"",O536=""),"No revenue GL code",""))))))))</f>
        <v/>
      </c>
      <c r="W536" s="25">
        <f>IF(E536="","",IFERROR(INDEX(lst_JobName,MATCH(E536&amp;"",lst_Jobs,0)),""))</f>
        <v/>
      </c>
      <c r="X536" s="28">
        <f>IF(E536="","",COUNTIFS(tbl_Finance[Job Number],E536&amp;"",tbl_Finance[Ex GST],"&lt;&gt;"))</f>
        <v/>
      </c>
      <c r="Y536" s="27">
        <f>IF(E536="","",SUMIFS(tbl_Finance[Ex GST],tbl_Finance[Job Number],E536&amp;""))</f>
        <v/>
      </c>
      <c r="Z536" s="27">
        <f>IF(E536="","",SUMIFS(tbl_Finance[Ex GST],tbl_Finance[Job Number],E536&amp;"",tbl_Finance[Xero Invoice No],"&lt;&gt;"))</f>
        <v/>
      </c>
      <c r="AA536" s="27">
        <f>IF(E536="","",Y536-Z536)</f>
        <v/>
      </c>
      <c r="AB536" s="25">
        <f>IF(E536="","",IF(H536="Onsite",IFERROR(INDEX(tbl_Onsite[Qwilr Quote],MATCH(E536&amp;"",tbl_Onsite[Job Number],0)),""),IF(H536="Production",IFERROR(IF(INDEX(tbl_Production[Current RMS No],MATCH(E536&amp;"",tbl_Production[Job Number],0))="",INDEX(tbl_Production[Qwilr Quote],MATCH(E536&amp;"",tbl_Production[Job Number],0)),INDEX(tbl_Production[Current RMS No],MATCH(E536&amp;"",tbl_Production[Job Number],0))),""),IF(H536="Consulting",IFERROR(INDEX(tbl_Consulting[Qwilr Quote],MATCH(E536&amp;"",tbl_Consulting[Job Number],0)),""),""))))</f>
        <v/>
      </c>
      <c r="AC536" s="25">
        <f>IF(AB536="","",IF(AND(LEFT(AB536,4)&lt;&gt;"http",IF(H536="Production",set_RMSBase,set_QwilrBase)=""),"",HYPERLINK(IF(LEFT(AB536,4)="http",AB536,IF(H536="Production",set_RMSBase,set_QwilrBase)&amp;AB536),"Open")))</f>
        <v/>
      </c>
      <c r="AD536" s="27">
        <f>IF(E536="","",IF(H536="Production",IFERROR(INDEX(tbl_Production[Total Expense],MATCH(E536&amp;"",tbl_Production[Job Number],0)),0),IF(H536="Consulting",IFERROR(INDEX(tbl_Consulting[Total Expense],MATCH(E536&amp;"",tbl_Consulting[Job Number],0)),0),0)))</f>
        <v/>
      </c>
      <c r="AE536" s="27">
        <f>IF(E536="","",Y536-N(AD536))</f>
        <v/>
      </c>
      <c r="AF536" s="29">
        <f>IFERROR(AE536/Y536,"")</f>
        <v/>
      </c>
      <c r="AG536" s="25">
        <f>IF(E536="","",IF(H536="Onsite",IFERROR(INDEX(tbl_Onsite[Notes],MATCH(E536&amp;"",tbl_Onsite[Job Number],0)),""),IF(H536="Production",IFERROR(INDEX(tbl_Production[Notes],MATCH(E536&amp;"",tbl_Production[Job Number],0)),""),IF(H536="Consulting",IFERROR(INDEX(tbl_Consulting[Notes],MATCH(E536&amp;"",tbl_Consulting[Job Number],0)),""),""))))</f>
        <v/>
      </c>
    </row>
    <row r="537" ht="15" customHeight="1">
      <c r="A537" s="22" t="n"/>
      <c r="B537" s="23">
        <f>IF(A537="","",EOMONTH(A537,0))</f>
        <v/>
      </c>
      <c r="C537" s="24" t="n"/>
      <c r="D537" s="24" t="n"/>
      <c r="E537" s="24" t="n"/>
      <c r="F537" s="25">
        <f>IF(E537="","",IF(COUNTIF(lst_Jobs,E537&amp;"")&gt;0,"OK","CHECK"))</f>
        <v/>
      </c>
      <c r="G537" s="24" t="n"/>
      <c r="H537" s="24" t="n"/>
      <c r="I537" s="24" t="n"/>
      <c r="J537" s="24" t="n"/>
      <c r="K537" s="24" t="n"/>
      <c r="L537" s="26" t="n"/>
      <c r="M537" s="27">
        <f>IF(L537="","",IF(K537="GST 10%",ROUND(L537*set_GSTRate,2),0))</f>
        <v/>
      </c>
      <c r="N537" s="27">
        <f>IF(L537="","",L537+M537)</f>
        <v/>
      </c>
      <c r="O537" s="24" t="n"/>
      <c r="P537" s="24" t="n"/>
      <c r="Q537" s="24" t="n"/>
      <c r="R537" s="22" t="n"/>
      <c r="S537" s="22" t="n"/>
      <c r="T537" s="24" t="n"/>
      <c r="U537" s="24" t="n"/>
      <c r="V537" s="25">
        <f>IF(COUNTA(A537,D537,C537,L537)=0,"",IF(A537="","No date - sits outside every month",IF(E537="","No job number",IF(F537="CHECK","Job number is not in the Xero job list",IF(I537="","No cost centre",IF(AND(P537="Y",C537=""),"Marked posted to Xero but has no invoice number",IF(AND(L537&lt;&gt;"",K537=""),"No tax code",IF(AND(L537&lt;&gt;"",O537=""),"No revenue GL code",""))))))))</f>
        <v/>
      </c>
      <c r="W537" s="25">
        <f>IF(E537="","",IFERROR(INDEX(lst_JobName,MATCH(E537&amp;"",lst_Jobs,0)),""))</f>
        <v/>
      </c>
      <c r="X537" s="28">
        <f>IF(E537="","",COUNTIFS(tbl_Finance[Job Number],E537&amp;"",tbl_Finance[Ex GST],"&lt;&gt;"))</f>
        <v/>
      </c>
      <c r="Y537" s="27">
        <f>IF(E537="","",SUMIFS(tbl_Finance[Ex GST],tbl_Finance[Job Number],E537&amp;""))</f>
        <v/>
      </c>
      <c r="Z537" s="27">
        <f>IF(E537="","",SUMIFS(tbl_Finance[Ex GST],tbl_Finance[Job Number],E537&amp;"",tbl_Finance[Xero Invoice No],"&lt;&gt;"))</f>
        <v/>
      </c>
      <c r="AA537" s="27">
        <f>IF(E537="","",Y537-Z537)</f>
        <v/>
      </c>
      <c r="AB537" s="25">
        <f>IF(E537="","",IF(H537="Onsite",IFERROR(INDEX(tbl_Onsite[Qwilr Quote],MATCH(E537&amp;"",tbl_Onsite[Job Number],0)),""),IF(H537="Production",IFERROR(IF(INDEX(tbl_Production[Current RMS No],MATCH(E537&amp;"",tbl_Production[Job Number],0))="",INDEX(tbl_Production[Qwilr Quote],MATCH(E537&amp;"",tbl_Production[Job Number],0)),INDEX(tbl_Production[Current RMS No],MATCH(E537&amp;"",tbl_Production[Job Number],0))),""),IF(H537="Consulting",IFERROR(INDEX(tbl_Consulting[Qwilr Quote],MATCH(E537&amp;"",tbl_Consulting[Job Number],0)),""),""))))</f>
        <v/>
      </c>
      <c r="AC537" s="25">
        <f>IF(AB537="","",IF(AND(LEFT(AB537,4)&lt;&gt;"http",IF(H537="Production",set_RMSBase,set_QwilrBase)=""),"",HYPERLINK(IF(LEFT(AB537,4)="http",AB537,IF(H537="Production",set_RMSBase,set_QwilrBase)&amp;AB537),"Open")))</f>
        <v/>
      </c>
      <c r="AD537" s="27">
        <f>IF(E537="","",IF(H537="Production",IFERROR(INDEX(tbl_Production[Total Expense],MATCH(E537&amp;"",tbl_Production[Job Number],0)),0),IF(H537="Consulting",IFERROR(INDEX(tbl_Consulting[Total Expense],MATCH(E537&amp;"",tbl_Consulting[Job Number],0)),0),0)))</f>
        <v/>
      </c>
      <c r="AE537" s="27">
        <f>IF(E537="","",Y537-N(AD537))</f>
        <v/>
      </c>
      <c r="AF537" s="29">
        <f>IFERROR(AE537/Y537,"")</f>
        <v/>
      </c>
      <c r="AG537" s="25">
        <f>IF(E537="","",IF(H537="Onsite",IFERROR(INDEX(tbl_Onsite[Notes],MATCH(E537&amp;"",tbl_Onsite[Job Number],0)),""),IF(H537="Production",IFERROR(INDEX(tbl_Production[Notes],MATCH(E537&amp;"",tbl_Production[Job Number],0)),""),IF(H537="Consulting",IFERROR(INDEX(tbl_Consulting[Notes],MATCH(E537&amp;"",tbl_Consulting[Job Number],0)),""),""))))</f>
        <v/>
      </c>
    </row>
    <row r="538" ht="15" customHeight="1">
      <c r="A538" s="22" t="n"/>
      <c r="B538" s="23">
        <f>IF(A538="","",EOMONTH(A538,0))</f>
        <v/>
      </c>
      <c r="C538" s="24" t="n"/>
      <c r="D538" s="24" t="n"/>
      <c r="E538" s="24" t="n"/>
      <c r="F538" s="25">
        <f>IF(E538="","",IF(COUNTIF(lst_Jobs,E538&amp;"")&gt;0,"OK","CHECK"))</f>
        <v/>
      </c>
      <c r="G538" s="24" t="n"/>
      <c r="H538" s="24" t="n"/>
      <c r="I538" s="24" t="n"/>
      <c r="J538" s="24" t="n"/>
      <c r="K538" s="24" t="n"/>
      <c r="L538" s="26" t="n"/>
      <c r="M538" s="27">
        <f>IF(L538="","",IF(K538="GST 10%",ROUND(L538*set_GSTRate,2),0))</f>
        <v/>
      </c>
      <c r="N538" s="27">
        <f>IF(L538="","",L538+M538)</f>
        <v/>
      </c>
      <c r="O538" s="24" t="n"/>
      <c r="P538" s="24" t="n"/>
      <c r="Q538" s="24" t="n"/>
      <c r="R538" s="22" t="n"/>
      <c r="S538" s="22" t="n"/>
      <c r="T538" s="24" t="n"/>
      <c r="U538" s="24" t="n"/>
      <c r="V538" s="25">
        <f>IF(COUNTA(A538,D538,C538,L538)=0,"",IF(A538="","No date - sits outside every month",IF(E538="","No job number",IF(F538="CHECK","Job number is not in the Xero job list",IF(I538="","No cost centre",IF(AND(P538="Y",C538=""),"Marked posted to Xero but has no invoice number",IF(AND(L538&lt;&gt;"",K538=""),"No tax code",IF(AND(L538&lt;&gt;"",O538=""),"No revenue GL code",""))))))))</f>
        <v/>
      </c>
      <c r="W538" s="25">
        <f>IF(E538="","",IFERROR(INDEX(lst_JobName,MATCH(E538&amp;"",lst_Jobs,0)),""))</f>
        <v/>
      </c>
      <c r="X538" s="28">
        <f>IF(E538="","",COUNTIFS(tbl_Finance[Job Number],E538&amp;"",tbl_Finance[Ex GST],"&lt;&gt;"))</f>
        <v/>
      </c>
      <c r="Y538" s="27">
        <f>IF(E538="","",SUMIFS(tbl_Finance[Ex GST],tbl_Finance[Job Number],E538&amp;""))</f>
        <v/>
      </c>
      <c r="Z538" s="27">
        <f>IF(E538="","",SUMIFS(tbl_Finance[Ex GST],tbl_Finance[Job Number],E538&amp;"",tbl_Finance[Xero Invoice No],"&lt;&gt;"))</f>
        <v/>
      </c>
      <c r="AA538" s="27">
        <f>IF(E538="","",Y538-Z538)</f>
        <v/>
      </c>
      <c r="AB538" s="25">
        <f>IF(E538="","",IF(H538="Onsite",IFERROR(INDEX(tbl_Onsite[Qwilr Quote],MATCH(E538&amp;"",tbl_Onsite[Job Number],0)),""),IF(H538="Production",IFERROR(IF(INDEX(tbl_Production[Current RMS No],MATCH(E538&amp;"",tbl_Production[Job Number],0))="",INDEX(tbl_Production[Qwilr Quote],MATCH(E538&amp;"",tbl_Production[Job Number],0)),INDEX(tbl_Production[Current RMS No],MATCH(E538&amp;"",tbl_Production[Job Number],0))),""),IF(H538="Consulting",IFERROR(INDEX(tbl_Consulting[Qwilr Quote],MATCH(E538&amp;"",tbl_Consulting[Job Number],0)),""),""))))</f>
        <v/>
      </c>
      <c r="AC538" s="25">
        <f>IF(AB538="","",IF(AND(LEFT(AB538,4)&lt;&gt;"http",IF(H538="Production",set_RMSBase,set_QwilrBase)=""),"",HYPERLINK(IF(LEFT(AB538,4)="http",AB538,IF(H538="Production",set_RMSBase,set_QwilrBase)&amp;AB538),"Open")))</f>
        <v/>
      </c>
      <c r="AD538" s="27">
        <f>IF(E538="","",IF(H538="Production",IFERROR(INDEX(tbl_Production[Total Expense],MATCH(E538&amp;"",tbl_Production[Job Number],0)),0),IF(H538="Consulting",IFERROR(INDEX(tbl_Consulting[Total Expense],MATCH(E538&amp;"",tbl_Consulting[Job Number],0)),0),0)))</f>
        <v/>
      </c>
      <c r="AE538" s="27">
        <f>IF(E538="","",Y538-N(AD538))</f>
        <v/>
      </c>
      <c r="AF538" s="29">
        <f>IFERROR(AE538/Y538,"")</f>
        <v/>
      </c>
      <c r="AG538" s="25">
        <f>IF(E538="","",IF(H538="Onsite",IFERROR(INDEX(tbl_Onsite[Notes],MATCH(E538&amp;"",tbl_Onsite[Job Number],0)),""),IF(H538="Production",IFERROR(INDEX(tbl_Production[Notes],MATCH(E538&amp;"",tbl_Production[Job Number],0)),""),IF(H538="Consulting",IFERROR(INDEX(tbl_Consulting[Notes],MATCH(E538&amp;"",tbl_Consulting[Job Number],0)),""),""))))</f>
        <v/>
      </c>
    </row>
    <row r="539" ht="15" customHeight="1">
      <c r="A539" s="22" t="n"/>
      <c r="B539" s="23">
        <f>IF(A539="","",EOMONTH(A539,0))</f>
        <v/>
      </c>
      <c r="C539" s="24" t="n"/>
      <c r="D539" s="24" t="n"/>
      <c r="E539" s="24" t="n"/>
      <c r="F539" s="25">
        <f>IF(E539="","",IF(COUNTIF(lst_Jobs,E539&amp;"")&gt;0,"OK","CHECK"))</f>
        <v/>
      </c>
      <c r="G539" s="24" t="n"/>
      <c r="H539" s="24" t="n"/>
      <c r="I539" s="24" t="n"/>
      <c r="J539" s="24" t="n"/>
      <c r="K539" s="24" t="n"/>
      <c r="L539" s="26" t="n"/>
      <c r="M539" s="27">
        <f>IF(L539="","",IF(K539="GST 10%",ROUND(L539*set_GSTRate,2),0))</f>
        <v/>
      </c>
      <c r="N539" s="27">
        <f>IF(L539="","",L539+M539)</f>
        <v/>
      </c>
      <c r="O539" s="24" t="n"/>
      <c r="P539" s="24" t="n"/>
      <c r="Q539" s="24" t="n"/>
      <c r="R539" s="22" t="n"/>
      <c r="S539" s="22" t="n"/>
      <c r="T539" s="24" t="n"/>
      <c r="U539" s="24" t="n"/>
      <c r="V539" s="25">
        <f>IF(COUNTA(A539,D539,C539,L539)=0,"",IF(A539="","No date - sits outside every month",IF(E539="","No job number",IF(F539="CHECK","Job number is not in the Xero job list",IF(I539="","No cost centre",IF(AND(P539="Y",C539=""),"Marked posted to Xero but has no invoice number",IF(AND(L539&lt;&gt;"",K539=""),"No tax code",IF(AND(L539&lt;&gt;"",O539=""),"No revenue GL code",""))))))))</f>
        <v/>
      </c>
      <c r="W539" s="25">
        <f>IF(E539="","",IFERROR(INDEX(lst_JobName,MATCH(E539&amp;"",lst_Jobs,0)),""))</f>
        <v/>
      </c>
      <c r="X539" s="28">
        <f>IF(E539="","",COUNTIFS(tbl_Finance[Job Number],E539&amp;"",tbl_Finance[Ex GST],"&lt;&gt;"))</f>
        <v/>
      </c>
      <c r="Y539" s="27">
        <f>IF(E539="","",SUMIFS(tbl_Finance[Ex GST],tbl_Finance[Job Number],E539&amp;""))</f>
        <v/>
      </c>
      <c r="Z539" s="27">
        <f>IF(E539="","",SUMIFS(tbl_Finance[Ex GST],tbl_Finance[Job Number],E539&amp;"",tbl_Finance[Xero Invoice No],"&lt;&gt;"))</f>
        <v/>
      </c>
      <c r="AA539" s="27">
        <f>IF(E539="","",Y539-Z539)</f>
        <v/>
      </c>
      <c r="AB539" s="25">
        <f>IF(E539="","",IF(H539="Onsite",IFERROR(INDEX(tbl_Onsite[Qwilr Quote],MATCH(E539&amp;"",tbl_Onsite[Job Number],0)),""),IF(H539="Production",IFERROR(IF(INDEX(tbl_Production[Current RMS No],MATCH(E539&amp;"",tbl_Production[Job Number],0))="",INDEX(tbl_Production[Qwilr Quote],MATCH(E539&amp;"",tbl_Production[Job Number],0)),INDEX(tbl_Production[Current RMS No],MATCH(E539&amp;"",tbl_Production[Job Number],0))),""),IF(H539="Consulting",IFERROR(INDEX(tbl_Consulting[Qwilr Quote],MATCH(E539&amp;"",tbl_Consulting[Job Number],0)),""),""))))</f>
        <v/>
      </c>
      <c r="AC539" s="25">
        <f>IF(AB539="","",IF(AND(LEFT(AB539,4)&lt;&gt;"http",IF(H539="Production",set_RMSBase,set_QwilrBase)=""),"",HYPERLINK(IF(LEFT(AB539,4)="http",AB539,IF(H539="Production",set_RMSBase,set_QwilrBase)&amp;AB539),"Open")))</f>
        <v/>
      </c>
      <c r="AD539" s="27">
        <f>IF(E539="","",IF(H539="Production",IFERROR(INDEX(tbl_Production[Total Expense],MATCH(E539&amp;"",tbl_Production[Job Number],0)),0),IF(H539="Consulting",IFERROR(INDEX(tbl_Consulting[Total Expense],MATCH(E539&amp;"",tbl_Consulting[Job Number],0)),0),0)))</f>
        <v/>
      </c>
      <c r="AE539" s="27">
        <f>IF(E539="","",Y539-N(AD539))</f>
        <v/>
      </c>
      <c r="AF539" s="29">
        <f>IFERROR(AE539/Y539,"")</f>
        <v/>
      </c>
      <c r="AG539" s="25">
        <f>IF(E539="","",IF(H539="Onsite",IFERROR(INDEX(tbl_Onsite[Notes],MATCH(E539&amp;"",tbl_Onsite[Job Number],0)),""),IF(H539="Production",IFERROR(INDEX(tbl_Production[Notes],MATCH(E539&amp;"",tbl_Production[Job Number],0)),""),IF(H539="Consulting",IFERROR(INDEX(tbl_Consulting[Notes],MATCH(E539&amp;"",tbl_Consulting[Job Number],0)),""),""))))</f>
        <v/>
      </c>
    </row>
    <row r="540" ht="15" customHeight="1">
      <c r="A540" s="22" t="n"/>
      <c r="B540" s="23">
        <f>IF(A540="","",EOMONTH(A540,0))</f>
        <v/>
      </c>
      <c r="C540" s="24" t="n"/>
      <c r="D540" s="24" t="n"/>
      <c r="E540" s="24" t="n"/>
      <c r="F540" s="25">
        <f>IF(E540="","",IF(COUNTIF(lst_Jobs,E540&amp;"")&gt;0,"OK","CHECK"))</f>
        <v/>
      </c>
      <c r="G540" s="24" t="n"/>
      <c r="H540" s="24" t="n"/>
      <c r="I540" s="24" t="n"/>
      <c r="J540" s="24" t="n"/>
      <c r="K540" s="24" t="n"/>
      <c r="L540" s="26" t="n"/>
      <c r="M540" s="27">
        <f>IF(L540="","",IF(K540="GST 10%",ROUND(L540*set_GSTRate,2),0))</f>
        <v/>
      </c>
      <c r="N540" s="27">
        <f>IF(L540="","",L540+M540)</f>
        <v/>
      </c>
      <c r="O540" s="24" t="n"/>
      <c r="P540" s="24" t="n"/>
      <c r="Q540" s="24" t="n"/>
      <c r="R540" s="22" t="n"/>
      <c r="S540" s="22" t="n"/>
      <c r="T540" s="24" t="n"/>
      <c r="U540" s="24" t="n"/>
      <c r="V540" s="25">
        <f>IF(COUNTA(A540,D540,C540,L540)=0,"",IF(A540="","No date - sits outside every month",IF(E540="","No job number",IF(F540="CHECK","Job number is not in the Xero job list",IF(I540="","No cost centre",IF(AND(P540="Y",C540=""),"Marked posted to Xero but has no invoice number",IF(AND(L540&lt;&gt;"",K540=""),"No tax code",IF(AND(L540&lt;&gt;"",O540=""),"No revenue GL code",""))))))))</f>
        <v/>
      </c>
      <c r="W540" s="25">
        <f>IF(E540="","",IFERROR(INDEX(lst_JobName,MATCH(E540&amp;"",lst_Jobs,0)),""))</f>
        <v/>
      </c>
      <c r="X540" s="28">
        <f>IF(E540="","",COUNTIFS(tbl_Finance[Job Number],E540&amp;"",tbl_Finance[Ex GST],"&lt;&gt;"))</f>
        <v/>
      </c>
      <c r="Y540" s="27">
        <f>IF(E540="","",SUMIFS(tbl_Finance[Ex GST],tbl_Finance[Job Number],E540&amp;""))</f>
        <v/>
      </c>
      <c r="Z540" s="27">
        <f>IF(E540="","",SUMIFS(tbl_Finance[Ex GST],tbl_Finance[Job Number],E540&amp;"",tbl_Finance[Xero Invoice No],"&lt;&gt;"))</f>
        <v/>
      </c>
      <c r="AA540" s="27">
        <f>IF(E540="","",Y540-Z540)</f>
        <v/>
      </c>
      <c r="AB540" s="25">
        <f>IF(E540="","",IF(H540="Onsite",IFERROR(INDEX(tbl_Onsite[Qwilr Quote],MATCH(E540&amp;"",tbl_Onsite[Job Number],0)),""),IF(H540="Production",IFERROR(IF(INDEX(tbl_Production[Current RMS No],MATCH(E540&amp;"",tbl_Production[Job Number],0))="",INDEX(tbl_Production[Qwilr Quote],MATCH(E540&amp;"",tbl_Production[Job Number],0)),INDEX(tbl_Production[Current RMS No],MATCH(E540&amp;"",tbl_Production[Job Number],0))),""),IF(H540="Consulting",IFERROR(INDEX(tbl_Consulting[Qwilr Quote],MATCH(E540&amp;"",tbl_Consulting[Job Number],0)),""),""))))</f>
        <v/>
      </c>
      <c r="AC540" s="25">
        <f>IF(AB540="","",IF(AND(LEFT(AB540,4)&lt;&gt;"http",IF(H540="Production",set_RMSBase,set_QwilrBase)=""),"",HYPERLINK(IF(LEFT(AB540,4)="http",AB540,IF(H540="Production",set_RMSBase,set_QwilrBase)&amp;AB540),"Open")))</f>
        <v/>
      </c>
      <c r="AD540" s="27">
        <f>IF(E540="","",IF(H540="Production",IFERROR(INDEX(tbl_Production[Total Expense],MATCH(E540&amp;"",tbl_Production[Job Number],0)),0),IF(H540="Consulting",IFERROR(INDEX(tbl_Consulting[Total Expense],MATCH(E540&amp;"",tbl_Consulting[Job Number],0)),0),0)))</f>
        <v/>
      </c>
      <c r="AE540" s="27">
        <f>IF(E540="","",Y540-N(AD540))</f>
        <v/>
      </c>
      <c r="AF540" s="29">
        <f>IFERROR(AE540/Y540,"")</f>
        <v/>
      </c>
      <c r="AG540" s="25">
        <f>IF(E540="","",IF(H540="Onsite",IFERROR(INDEX(tbl_Onsite[Notes],MATCH(E540&amp;"",tbl_Onsite[Job Number],0)),""),IF(H540="Production",IFERROR(INDEX(tbl_Production[Notes],MATCH(E540&amp;"",tbl_Production[Job Number],0)),""),IF(H540="Consulting",IFERROR(INDEX(tbl_Consulting[Notes],MATCH(E540&amp;"",tbl_Consulting[Job Number],0)),""),""))))</f>
        <v/>
      </c>
    </row>
    <row r="541" ht="15" customHeight="1">
      <c r="A541" s="22" t="n"/>
      <c r="B541" s="23">
        <f>IF(A541="","",EOMONTH(A541,0))</f>
        <v/>
      </c>
      <c r="C541" s="24" t="n"/>
      <c r="D541" s="24" t="n"/>
      <c r="E541" s="24" t="n"/>
      <c r="F541" s="25">
        <f>IF(E541="","",IF(COUNTIF(lst_Jobs,E541&amp;"")&gt;0,"OK","CHECK"))</f>
        <v/>
      </c>
      <c r="G541" s="24" t="n"/>
      <c r="H541" s="24" t="n"/>
      <c r="I541" s="24" t="n"/>
      <c r="J541" s="24" t="n"/>
      <c r="K541" s="24" t="n"/>
      <c r="L541" s="26" t="n"/>
      <c r="M541" s="27">
        <f>IF(L541="","",IF(K541="GST 10%",ROUND(L541*set_GSTRate,2),0))</f>
        <v/>
      </c>
      <c r="N541" s="27">
        <f>IF(L541="","",L541+M541)</f>
        <v/>
      </c>
      <c r="O541" s="24" t="n"/>
      <c r="P541" s="24" t="n"/>
      <c r="Q541" s="24" t="n"/>
      <c r="R541" s="22" t="n"/>
      <c r="S541" s="22" t="n"/>
      <c r="T541" s="24" t="n"/>
      <c r="U541" s="24" t="n"/>
      <c r="V541" s="25">
        <f>IF(COUNTA(A541,D541,C541,L541)=0,"",IF(A541="","No date - sits outside every month",IF(E541="","No job number",IF(F541="CHECK","Job number is not in the Xero job list",IF(I541="","No cost centre",IF(AND(P541="Y",C541=""),"Marked posted to Xero but has no invoice number",IF(AND(L541&lt;&gt;"",K541=""),"No tax code",IF(AND(L541&lt;&gt;"",O541=""),"No revenue GL code",""))))))))</f>
        <v/>
      </c>
      <c r="W541" s="25">
        <f>IF(E541="","",IFERROR(INDEX(lst_JobName,MATCH(E541&amp;"",lst_Jobs,0)),""))</f>
        <v/>
      </c>
      <c r="X541" s="28">
        <f>IF(E541="","",COUNTIFS(tbl_Finance[Job Number],E541&amp;"",tbl_Finance[Ex GST],"&lt;&gt;"))</f>
        <v/>
      </c>
      <c r="Y541" s="27">
        <f>IF(E541="","",SUMIFS(tbl_Finance[Ex GST],tbl_Finance[Job Number],E541&amp;""))</f>
        <v/>
      </c>
      <c r="Z541" s="27">
        <f>IF(E541="","",SUMIFS(tbl_Finance[Ex GST],tbl_Finance[Job Number],E541&amp;"",tbl_Finance[Xero Invoice No],"&lt;&gt;"))</f>
        <v/>
      </c>
      <c r="AA541" s="27">
        <f>IF(E541="","",Y541-Z541)</f>
        <v/>
      </c>
      <c r="AB541" s="25">
        <f>IF(E541="","",IF(H541="Onsite",IFERROR(INDEX(tbl_Onsite[Qwilr Quote],MATCH(E541&amp;"",tbl_Onsite[Job Number],0)),""),IF(H541="Production",IFERROR(IF(INDEX(tbl_Production[Current RMS No],MATCH(E541&amp;"",tbl_Production[Job Number],0))="",INDEX(tbl_Production[Qwilr Quote],MATCH(E541&amp;"",tbl_Production[Job Number],0)),INDEX(tbl_Production[Current RMS No],MATCH(E541&amp;"",tbl_Production[Job Number],0))),""),IF(H541="Consulting",IFERROR(INDEX(tbl_Consulting[Qwilr Quote],MATCH(E541&amp;"",tbl_Consulting[Job Number],0)),""),""))))</f>
        <v/>
      </c>
      <c r="AC541" s="25">
        <f>IF(AB541="","",IF(AND(LEFT(AB541,4)&lt;&gt;"http",IF(H541="Production",set_RMSBase,set_QwilrBase)=""),"",HYPERLINK(IF(LEFT(AB541,4)="http",AB541,IF(H541="Production",set_RMSBase,set_QwilrBase)&amp;AB541),"Open")))</f>
        <v/>
      </c>
      <c r="AD541" s="27">
        <f>IF(E541="","",IF(H541="Production",IFERROR(INDEX(tbl_Production[Total Expense],MATCH(E541&amp;"",tbl_Production[Job Number],0)),0),IF(H541="Consulting",IFERROR(INDEX(tbl_Consulting[Total Expense],MATCH(E541&amp;"",tbl_Consulting[Job Number],0)),0),0)))</f>
        <v/>
      </c>
      <c r="AE541" s="27">
        <f>IF(E541="","",Y541-N(AD541))</f>
        <v/>
      </c>
      <c r="AF541" s="29">
        <f>IFERROR(AE541/Y541,"")</f>
        <v/>
      </c>
      <c r="AG541" s="25">
        <f>IF(E541="","",IF(H541="Onsite",IFERROR(INDEX(tbl_Onsite[Notes],MATCH(E541&amp;"",tbl_Onsite[Job Number],0)),""),IF(H541="Production",IFERROR(INDEX(tbl_Production[Notes],MATCH(E541&amp;"",tbl_Production[Job Number],0)),""),IF(H541="Consulting",IFERROR(INDEX(tbl_Consulting[Notes],MATCH(E541&amp;"",tbl_Consulting[Job Number],0)),""),""))))</f>
        <v/>
      </c>
    </row>
    <row r="542" ht="15" customHeight="1">
      <c r="A542" s="22" t="n"/>
      <c r="B542" s="23">
        <f>IF(A542="","",EOMONTH(A542,0))</f>
        <v/>
      </c>
      <c r="C542" s="24" t="n"/>
      <c r="D542" s="24" t="n"/>
      <c r="E542" s="24" t="n"/>
      <c r="F542" s="25">
        <f>IF(E542="","",IF(COUNTIF(lst_Jobs,E542&amp;"")&gt;0,"OK","CHECK"))</f>
        <v/>
      </c>
      <c r="G542" s="24" t="n"/>
      <c r="H542" s="24" t="n"/>
      <c r="I542" s="24" t="n"/>
      <c r="J542" s="24" t="n"/>
      <c r="K542" s="24" t="n"/>
      <c r="L542" s="26" t="n"/>
      <c r="M542" s="27">
        <f>IF(L542="","",IF(K542="GST 10%",ROUND(L542*set_GSTRate,2),0))</f>
        <v/>
      </c>
      <c r="N542" s="27">
        <f>IF(L542="","",L542+M542)</f>
        <v/>
      </c>
      <c r="O542" s="24" t="n"/>
      <c r="P542" s="24" t="n"/>
      <c r="Q542" s="24" t="n"/>
      <c r="R542" s="22" t="n"/>
      <c r="S542" s="22" t="n"/>
      <c r="T542" s="24" t="n"/>
      <c r="U542" s="24" t="n"/>
      <c r="V542" s="25">
        <f>IF(COUNTA(A542,D542,C542,L542)=0,"",IF(A542="","No date - sits outside every month",IF(E542="","No job number",IF(F542="CHECK","Job number is not in the Xero job list",IF(I542="","No cost centre",IF(AND(P542="Y",C542=""),"Marked posted to Xero but has no invoice number",IF(AND(L542&lt;&gt;"",K542=""),"No tax code",IF(AND(L542&lt;&gt;"",O542=""),"No revenue GL code",""))))))))</f>
        <v/>
      </c>
      <c r="W542" s="25">
        <f>IF(E542="","",IFERROR(INDEX(lst_JobName,MATCH(E542&amp;"",lst_Jobs,0)),""))</f>
        <v/>
      </c>
      <c r="X542" s="28">
        <f>IF(E542="","",COUNTIFS(tbl_Finance[Job Number],E542&amp;"",tbl_Finance[Ex GST],"&lt;&gt;"))</f>
        <v/>
      </c>
      <c r="Y542" s="27">
        <f>IF(E542="","",SUMIFS(tbl_Finance[Ex GST],tbl_Finance[Job Number],E542&amp;""))</f>
        <v/>
      </c>
      <c r="Z542" s="27">
        <f>IF(E542="","",SUMIFS(tbl_Finance[Ex GST],tbl_Finance[Job Number],E542&amp;"",tbl_Finance[Xero Invoice No],"&lt;&gt;"))</f>
        <v/>
      </c>
      <c r="AA542" s="27">
        <f>IF(E542="","",Y542-Z542)</f>
        <v/>
      </c>
      <c r="AB542" s="25">
        <f>IF(E542="","",IF(H542="Onsite",IFERROR(INDEX(tbl_Onsite[Qwilr Quote],MATCH(E542&amp;"",tbl_Onsite[Job Number],0)),""),IF(H542="Production",IFERROR(IF(INDEX(tbl_Production[Current RMS No],MATCH(E542&amp;"",tbl_Production[Job Number],0))="",INDEX(tbl_Production[Qwilr Quote],MATCH(E542&amp;"",tbl_Production[Job Number],0)),INDEX(tbl_Production[Current RMS No],MATCH(E542&amp;"",tbl_Production[Job Number],0))),""),IF(H542="Consulting",IFERROR(INDEX(tbl_Consulting[Qwilr Quote],MATCH(E542&amp;"",tbl_Consulting[Job Number],0)),""),""))))</f>
        <v/>
      </c>
      <c r="AC542" s="25">
        <f>IF(AB542="","",IF(AND(LEFT(AB542,4)&lt;&gt;"http",IF(H542="Production",set_RMSBase,set_QwilrBase)=""),"",HYPERLINK(IF(LEFT(AB542,4)="http",AB542,IF(H542="Production",set_RMSBase,set_QwilrBase)&amp;AB542),"Open")))</f>
        <v/>
      </c>
      <c r="AD542" s="27">
        <f>IF(E542="","",IF(H542="Production",IFERROR(INDEX(tbl_Production[Total Expense],MATCH(E542&amp;"",tbl_Production[Job Number],0)),0),IF(H542="Consulting",IFERROR(INDEX(tbl_Consulting[Total Expense],MATCH(E542&amp;"",tbl_Consulting[Job Number],0)),0),0)))</f>
        <v/>
      </c>
      <c r="AE542" s="27">
        <f>IF(E542="","",Y542-N(AD542))</f>
        <v/>
      </c>
      <c r="AF542" s="29">
        <f>IFERROR(AE542/Y542,"")</f>
        <v/>
      </c>
      <c r="AG542" s="25">
        <f>IF(E542="","",IF(H542="Onsite",IFERROR(INDEX(tbl_Onsite[Notes],MATCH(E542&amp;"",tbl_Onsite[Job Number],0)),""),IF(H542="Production",IFERROR(INDEX(tbl_Production[Notes],MATCH(E542&amp;"",tbl_Production[Job Number],0)),""),IF(H542="Consulting",IFERROR(INDEX(tbl_Consulting[Notes],MATCH(E542&amp;"",tbl_Consulting[Job Number],0)),""),""))))</f>
        <v/>
      </c>
    </row>
    <row r="543" ht="15" customHeight="1">
      <c r="A543" s="22" t="n"/>
      <c r="B543" s="23">
        <f>IF(A543="","",EOMONTH(A543,0))</f>
        <v/>
      </c>
      <c r="C543" s="24" t="n"/>
      <c r="D543" s="24" t="n"/>
      <c r="E543" s="24" t="n"/>
      <c r="F543" s="25">
        <f>IF(E543="","",IF(COUNTIF(lst_Jobs,E543&amp;"")&gt;0,"OK","CHECK"))</f>
        <v/>
      </c>
      <c r="G543" s="24" t="n"/>
      <c r="H543" s="24" t="n"/>
      <c r="I543" s="24" t="n"/>
      <c r="J543" s="24" t="n"/>
      <c r="K543" s="24" t="n"/>
      <c r="L543" s="26" t="n"/>
      <c r="M543" s="27">
        <f>IF(L543="","",IF(K543="GST 10%",ROUND(L543*set_GSTRate,2),0))</f>
        <v/>
      </c>
      <c r="N543" s="27">
        <f>IF(L543="","",L543+M543)</f>
        <v/>
      </c>
      <c r="O543" s="24" t="n"/>
      <c r="P543" s="24" t="n"/>
      <c r="Q543" s="24" t="n"/>
      <c r="R543" s="22" t="n"/>
      <c r="S543" s="22" t="n"/>
      <c r="T543" s="24" t="n"/>
      <c r="U543" s="24" t="n"/>
      <c r="V543" s="25">
        <f>IF(COUNTA(A543,D543,C543,L543)=0,"",IF(A543="","No date - sits outside every month",IF(E543="","No job number",IF(F543="CHECK","Job number is not in the Xero job list",IF(I543="","No cost centre",IF(AND(P543="Y",C543=""),"Marked posted to Xero but has no invoice number",IF(AND(L543&lt;&gt;"",K543=""),"No tax code",IF(AND(L543&lt;&gt;"",O543=""),"No revenue GL code",""))))))))</f>
        <v/>
      </c>
      <c r="W543" s="25">
        <f>IF(E543="","",IFERROR(INDEX(lst_JobName,MATCH(E543&amp;"",lst_Jobs,0)),""))</f>
        <v/>
      </c>
      <c r="X543" s="28">
        <f>IF(E543="","",COUNTIFS(tbl_Finance[Job Number],E543&amp;"",tbl_Finance[Ex GST],"&lt;&gt;"))</f>
        <v/>
      </c>
      <c r="Y543" s="27">
        <f>IF(E543="","",SUMIFS(tbl_Finance[Ex GST],tbl_Finance[Job Number],E543&amp;""))</f>
        <v/>
      </c>
      <c r="Z543" s="27">
        <f>IF(E543="","",SUMIFS(tbl_Finance[Ex GST],tbl_Finance[Job Number],E543&amp;"",tbl_Finance[Xero Invoice No],"&lt;&gt;"))</f>
        <v/>
      </c>
      <c r="AA543" s="27">
        <f>IF(E543="","",Y543-Z543)</f>
        <v/>
      </c>
      <c r="AB543" s="25">
        <f>IF(E543="","",IF(H543="Onsite",IFERROR(INDEX(tbl_Onsite[Qwilr Quote],MATCH(E543&amp;"",tbl_Onsite[Job Number],0)),""),IF(H543="Production",IFERROR(IF(INDEX(tbl_Production[Current RMS No],MATCH(E543&amp;"",tbl_Production[Job Number],0))="",INDEX(tbl_Production[Qwilr Quote],MATCH(E543&amp;"",tbl_Production[Job Number],0)),INDEX(tbl_Production[Current RMS No],MATCH(E543&amp;"",tbl_Production[Job Number],0))),""),IF(H543="Consulting",IFERROR(INDEX(tbl_Consulting[Qwilr Quote],MATCH(E543&amp;"",tbl_Consulting[Job Number],0)),""),""))))</f>
        <v/>
      </c>
      <c r="AC543" s="25">
        <f>IF(AB543="","",IF(AND(LEFT(AB543,4)&lt;&gt;"http",IF(H543="Production",set_RMSBase,set_QwilrBase)=""),"",HYPERLINK(IF(LEFT(AB543,4)="http",AB543,IF(H543="Production",set_RMSBase,set_QwilrBase)&amp;AB543),"Open")))</f>
        <v/>
      </c>
      <c r="AD543" s="27">
        <f>IF(E543="","",IF(H543="Production",IFERROR(INDEX(tbl_Production[Total Expense],MATCH(E543&amp;"",tbl_Production[Job Number],0)),0),IF(H543="Consulting",IFERROR(INDEX(tbl_Consulting[Total Expense],MATCH(E543&amp;"",tbl_Consulting[Job Number],0)),0),0)))</f>
        <v/>
      </c>
      <c r="AE543" s="27">
        <f>IF(E543="","",Y543-N(AD543))</f>
        <v/>
      </c>
      <c r="AF543" s="29">
        <f>IFERROR(AE543/Y543,"")</f>
        <v/>
      </c>
      <c r="AG543" s="25">
        <f>IF(E543="","",IF(H543="Onsite",IFERROR(INDEX(tbl_Onsite[Notes],MATCH(E543&amp;"",tbl_Onsite[Job Number],0)),""),IF(H543="Production",IFERROR(INDEX(tbl_Production[Notes],MATCH(E543&amp;"",tbl_Production[Job Number],0)),""),IF(H543="Consulting",IFERROR(INDEX(tbl_Consulting[Notes],MATCH(E543&amp;"",tbl_Consulting[Job Number],0)),""),""))))</f>
        <v/>
      </c>
    </row>
    <row r="544" ht="15" customHeight="1">
      <c r="A544" s="22" t="n"/>
      <c r="B544" s="23">
        <f>IF(A544="","",EOMONTH(A544,0))</f>
        <v/>
      </c>
      <c r="C544" s="24" t="n"/>
      <c r="D544" s="24" t="n"/>
      <c r="E544" s="24" t="n"/>
      <c r="F544" s="25">
        <f>IF(E544="","",IF(COUNTIF(lst_Jobs,E544&amp;"")&gt;0,"OK","CHECK"))</f>
        <v/>
      </c>
      <c r="G544" s="24" t="n"/>
      <c r="H544" s="24" t="n"/>
      <c r="I544" s="24" t="n"/>
      <c r="J544" s="24" t="n"/>
      <c r="K544" s="24" t="n"/>
      <c r="L544" s="26" t="n"/>
      <c r="M544" s="27">
        <f>IF(L544="","",IF(K544="GST 10%",ROUND(L544*set_GSTRate,2),0))</f>
        <v/>
      </c>
      <c r="N544" s="27">
        <f>IF(L544="","",L544+M544)</f>
        <v/>
      </c>
      <c r="O544" s="24" t="n"/>
      <c r="P544" s="24" t="n"/>
      <c r="Q544" s="24" t="n"/>
      <c r="R544" s="22" t="n"/>
      <c r="S544" s="22" t="n"/>
      <c r="T544" s="24" t="n"/>
      <c r="U544" s="24" t="n"/>
      <c r="V544" s="25">
        <f>IF(COUNTA(A544,D544,C544,L544)=0,"",IF(A544="","No date - sits outside every month",IF(E544="","No job number",IF(F544="CHECK","Job number is not in the Xero job list",IF(I544="","No cost centre",IF(AND(P544="Y",C544=""),"Marked posted to Xero but has no invoice number",IF(AND(L544&lt;&gt;"",K544=""),"No tax code",IF(AND(L544&lt;&gt;"",O544=""),"No revenue GL code",""))))))))</f>
        <v/>
      </c>
      <c r="W544" s="25">
        <f>IF(E544="","",IFERROR(INDEX(lst_JobName,MATCH(E544&amp;"",lst_Jobs,0)),""))</f>
        <v/>
      </c>
      <c r="X544" s="28">
        <f>IF(E544="","",COUNTIFS(tbl_Finance[Job Number],E544&amp;"",tbl_Finance[Ex GST],"&lt;&gt;"))</f>
        <v/>
      </c>
      <c r="Y544" s="27">
        <f>IF(E544="","",SUMIFS(tbl_Finance[Ex GST],tbl_Finance[Job Number],E544&amp;""))</f>
        <v/>
      </c>
      <c r="Z544" s="27">
        <f>IF(E544="","",SUMIFS(tbl_Finance[Ex GST],tbl_Finance[Job Number],E544&amp;"",tbl_Finance[Xero Invoice No],"&lt;&gt;"))</f>
        <v/>
      </c>
      <c r="AA544" s="27">
        <f>IF(E544="","",Y544-Z544)</f>
        <v/>
      </c>
      <c r="AB544" s="25">
        <f>IF(E544="","",IF(H544="Onsite",IFERROR(INDEX(tbl_Onsite[Qwilr Quote],MATCH(E544&amp;"",tbl_Onsite[Job Number],0)),""),IF(H544="Production",IFERROR(IF(INDEX(tbl_Production[Current RMS No],MATCH(E544&amp;"",tbl_Production[Job Number],0))="",INDEX(tbl_Production[Qwilr Quote],MATCH(E544&amp;"",tbl_Production[Job Number],0)),INDEX(tbl_Production[Current RMS No],MATCH(E544&amp;"",tbl_Production[Job Number],0))),""),IF(H544="Consulting",IFERROR(INDEX(tbl_Consulting[Qwilr Quote],MATCH(E544&amp;"",tbl_Consulting[Job Number],0)),""),""))))</f>
        <v/>
      </c>
      <c r="AC544" s="25">
        <f>IF(AB544="","",IF(AND(LEFT(AB544,4)&lt;&gt;"http",IF(H544="Production",set_RMSBase,set_QwilrBase)=""),"",HYPERLINK(IF(LEFT(AB544,4)="http",AB544,IF(H544="Production",set_RMSBase,set_QwilrBase)&amp;AB544),"Open")))</f>
        <v/>
      </c>
      <c r="AD544" s="27">
        <f>IF(E544="","",IF(H544="Production",IFERROR(INDEX(tbl_Production[Total Expense],MATCH(E544&amp;"",tbl_Production[Job Number],0)),0),IF(H544="Consulting",IFERROR(INDEX(tbl_Consulting[Total Expense],MATCH(E544&amp;"",tbl_Consulting[Job Number],0)),0),0)))</f>
        <v/>
      </c>
      <c r="AE544" s="27">
        <f>IF(E544="","",Y544-N(AD544))</f>
        <v/>
      </c>
      <c r="AF544" s="29">
        <f>IFERROR(AE544/Y544,"")</f>
        <v/>
      </c>
      <c r="AG544" s="25">
        <f>IF(E544="","",IF(H544="Onsite",IFERROR(INDEX(tbl_Onsite[Notes],MATCH(E544&amp;"",tbl_Onsite[Job Number],0)),""),IF(H544="Production",IFERROR(INDEX(tbl_Production[Notes],MATCH(E544&amp;"",tbl_Production[Job Number],0)),""),IF(H544="Consulting",IFERROR(INDEX(tbl_Consulting[Notes],MATCH(E544&amp;"",tbl_Consulting[Job Number],0)),""),""))))</f>
        <v/>
      </c>
    </row>
    <row r="545" ht="15" customHeight="1">
      <c r="A545" s="22" t="n"/>
      <c r="B545" s="23">
        <f>IF(A545="","",EOMONTH(A545,0))</f>
        <v/>
      </c>
      <c r="C545" s="24" t="n"/>
      <c r="D545" s="24" t="n"/>
      <c r="E545" s="24" t="n"/>
      <c r="F545" s="25">
        <f>IF(E545="","",IF(COUNTIF(lst_Jobs,E545&amp;"")&gt;0,"OK","CHECK"))</f>
        <v/>
      </c>
      <c r="G545" s="24" t="n"/>
      <c r="H545" s="24" t="n"/>
      <c r="I545" s="24" t="n"/>
      <c r="J545" s="24" t="n"/>
      <c r="K545" s="24" t="n"/>
      <c r="L545" s="26" t="n"/>
      <c r="M545" s="27">
        <f>IF(L545="","",IF(K545="GST 10%",ROUND(L545*set_GSTRate,2),0))</f>
        <v/>
      </c>
      <c r="N545" s="27">
        <f>IF(L545="","",L545+M545)</f>
        <v/>
      </c>
      <c r="O545" s="24" t="n"/>
      <c r="P545" s="24" t="n"/>
      <c r="Q545" s="24" t="n"/>
      <c r="R545" s="22" t="n"/>
      <c r="S545" s="22" t="n"/>
      <c r="T545" s="24" t="n"/>
      <c r="U545" s="24" t="n"/>
      <c r="V545" s="25">
        <f>IF(COUNTA(A545,D545,C545,L545)=0,"",IF(A545="","No date - sits outside every month",IF(E545="","No job number",IF(F545="CHECK","Job number is not in the Xero job list",IF(I545="","No cost centre",IF(AND(P545="Y",C545=""),"Marked posted to Xero but has no invoice number",IF(AND(L545&lt;&gt;"",K545=""),"No tax code",IF(AND(L545&lt;&gt;"",O545=""),"No revenue GL code",""))))))))</f>
        <v/>
      </c>
      <c r="W545" s="25">
        <f>IF(E545="","",IFERROR(INDEX(lst_JobName,MATCH(E545&amp;"",lst_Jobs,0)),""))</f>
        <v/>
      </c>
      <c r="X545" s="28">
        <f>IF(E545="","",COUNTIFS(tbl_Finance[Job Number],E545&amp;"",tbl_Finance[Ex GST],"&lt;&gt;"))</f>
        <v/>
      </c>
      <c r="Y545" s="27">
        <f>IF(E545="","",SUMIFS(tbl_Finance[Ex GST],tbl_Finance[Job Number],E545&amp;""))</f>
        <v/>
      </c>
      <c r="Z545" s="27">
        <f>IF(E545="","",SUMIFS(tbl_Finance[Ex GST],tbl_Finance[Job Number],E545&amp;"",tbl_Finance[Xero Invoice No],"&lt;&gt;"))</f>
        <v/>
      </c>
      <c r="AA545" s="27">
        <f>IF(E545="","",Y545-Z545)</f>
        <v/>
      </c>
      <c r="AB545" s="25">
        <f>IF(E545="","",IF(H545="Onsite",IFERROR(INDEX(tbl_Onsite[Qwilr Quote],MATCH(E545&amp;"",tbl_Onsite[Job Number],0)),""),IF(H545="Production",IFERROR(IF(INDEX(tbl_Production[Current RMS No],MATCH(E545&amp;"",tbl_Production[Job Number],0))="",INDEX(tbl_Production[Qwilr Quote],MATCH(E545&amp;"",tbl_Production[Job Number],0)),INDEX(tbl_Production[Current RMS No],MATCH(E545&amp;"",tbl_Production[Job Number],0))),""),IF(H545="Consulting",IFERROR(INDEX(tbl_Consulting[Qwilr Quote],MATCH(E545&amp;"",tbl_Consulting[Job Number],0)),""),""))))</f>
        <v/>
      </c>
      <c r="AC545" s="25">
        <f>IF(AB545="","",IF(AND(LEFT(AB545,4)&lt;&gt;"http",IF(H545="Production",set_RMSBase,set_QwilrBase)=""),"",HYPERLINK(IF(LEFT(AB545,4)="http",AB545,IF(H545="Production",set_RMSBase,set_QwilrBase)&amp;AB545),"Open")))</f>
        <v/>
      </c>
      <c r="AD545" s="27">
        <f>IF(E545="","",IF(H545="Production",IFERROR(INDEX(tbl_Production[Total Expense],MATCH(E545&amp;"",tbl_Production[Job Number],0)),0),IF(H545="Consulting",IFERROR(INDEX(tbl_Consulting[Total Expense],MATCH(E545&amp;"",tbl_Consulting[Job Number],0)),0),0)))</f>
        <v/>
      </c>
      <c r="AE545" s="27">
        <f>IF(E545="","",Y545-N(AD545))</f>
        <v/>
      </c>
      <c r="AF545" s="29">
        <f>IFERROR(AE545/Y545,"")</f>
        <v/>
      </c>
      <c r="AG545" s="25">
        <f>IF(E545="","",IF(H545="Onsite",IFERROR(INDEX(tbl_Onsite[Notes],MATCH(E545&amp;"",tbl_Onsite[Job Number],0)),""),IF(H545="Production",IFERROR(INDEX(tbl_Production[Notes],MATCH(E545&amp;"",tbl_Production[Job Number],0)),""),IF(H545="Consulting",IFERROR(INDEX(tbl_Consulting[Notes],MATCH(E545&amp;"",tbl_Consulting[Job Number],0)),""),""))))</f>
        <v/>
      </c>
    </row>
    <row r="546" ht="15" customHeight="1">
      <c r="A546" s="22" t="n"/>
      <c r="B546" s="23">
        <f>IF(A546="","",EOMONTH(A546,0))</f>
        <v/>
      </c>
      <c r="C546" s="24" t="n"/>
      <c r="D546" s="24" t="n"/>
      <c r="E546" s="24" t="n"/>
      <c r="F546" s="25">
        <f>IF(E546="","",IF(COUNTIF(lst_Jobs,E546&amp;"")&gt;0,"OK","CHECK"))</f>
        <v/>
      </c>
      <c r="G546" s="24" t="n"/>
      <c r="H546" s="24" t="n"/>
      <c r="I546" s="24" t="n"/>
      <c r="J546" s="24" t="n"/>
      <c r="K546" s="24" t="n"/>
      <c r="L546" s="26" t="n"/>
      <c r="M546" s="27">
        <f>IF(L546="","",IF(K546="GST 10%",ROUND(L546*set_GSTRate,2),0))</f>
        <v/>
      </c>
      <c r="N546" s="27">
        <f>IF(L546="","",L546+M546)</f>
        <v/>
      </c>
      <c r="O546" s="24" t="n"/>
      <c r="P546" s="24" t="n"/>
      <c r="Q546" s="24" t="n"/>
      <c r="R546" s="22" t="n"/>
      <c r="S546" s="22" t="n"/>
      <c r="T546" s="24" t="n"/>
      <c r="U546" s="24" t="n"/>
      <c r="V546" s="25">
        <f>IF(COUNTA(A546,D546,C546,L546)=0,"",IF(A546="","No date - sits outside every month",IF(E546="","No job number",IF(F546="CHECK","Job number is not in the Xero job list",IF(I546="","No cost centre",IF(AND(P546="Y",C546=""),"Marked posted to Xero but has no invoice number",IF(AND(L546&lt;&gt;"",K546=""),"No tax code",IF(AND(L546&lt;&gt;"",O546=""),"No revenue GL code",""))))))))</f>
        <v/>
      </c>
      <c r="W546" s="25">
        <f>IF(E546="","",IFERROR(INDEX(lst_JobName,MATCH(E546&amp;"",lst_Jobs,0)),""))</f>
        <v/>
      </c>
      <c r="X546" s="28">
        <f>IF(E546="","",COUNTIFS(tbl_Finance[Job Number],E546&amp;"",tbl_Finance[Ex GST],"&lt;&gt;"))</f>
        <v/>
      </c>
      <c r="Y546" s="27">
        <f>IF(E546="","",SUMIFS(tbl_Finance[Ex GST],tbl_Finance[Job Number],E546&amp;""))</f>
        <v/>
      </c>
      <c r="Z546" s="27">
        <f>IF(E546="","",SUMIFS(tbl_Finance[Ex GST],tbl_Finance[Job Number],E546&amp;"",tbl_Finance[Xero Invoice No],"&lt;&gt;"))</f>
        <v/>
      </c>
      <c r="AA546" s="27">
        <f>IF(E546="","",Y546-Z546)</f>
        <v/>
      </c>
      <c r="AB546" s="25">
        <f>IF(E546="","",IF(H546="Onsite",IFERROR(INDEX(tbl_Onsite[Qwilr Quote],MATCH(E546&amp;"",tbl_Onsite[Job Number],0)),""),IF(H546="Production",IFERROR(IF(INDEX(tbl_Production[Current RMS No],MATCH(E546&amp;"",tbl_Production[Job Number],0))="",INDEX(tbl_Production[Qwilr Quote],MATCH(E546&amp;"",tbl_Production[Job Number],0)),INDEX(tbl_Production[Current RMS No],MATCH(E546&amp;"",tbl_Production[Job Number],0))),""),IF(H546="Consulting",IFERROR(INDEX(tbl_Consulting[Qwilr Quote],MATCH(E546&amp;"",tbl_Consulting[Job Number],0)),""),""))))</f>
        <v/>
      </c>
      <c r="AC546" s="25">
        <f>IF(AB546="","",IF(AND(LEFT(AB546,4)&lt;&gt;"http",IF(H546="Production",set_RMSBase,set_QwilrBase)=""),"",HYPERLINK(IF(LEFT(AB546,4)="http",AB546,IF(H546="Production",set_RMSBase,set_QwilrBase)&amp;AB546),"Open")))</f>
        <v/>
      </c>
      <c r="AD546" s="27">
        <f>IF(E546="","",IF(H546="Production",IFERROR(INDEX(tbl_Production[Total Expense],MATCH(E546&amp;"",tbl_Production[Job Number],0)),0),IF(H546="Consulting",IFERROR(INDEX(tbl_Consulting[Total Expense],MATCH(E546&amp;"",tbl_Consulting[Job Number],0)),0),0)))</f>
        <v/>
      </c>
      <c r="AE546" s="27">
        <f>IF(E546="","",Y546-N(AD546))</f>
        <v/>
      </c>
      <c r="AF546" s="29">
        <f>IFERROR(AE546/Y546,"")</f>
        <v/>
      </c>
      <c r="AG546" s="25">
        <f>IF(E546="","",IF(H546="Onsite",IFERROR(INDEX(tbl_Onsite[Notes],MATCH(E546&amp;"",tbl_Onsite[Job Number],0)),""),IF(H546="Production",IFERROR(INDEX(tbl_Production[Notes],MATCH(E546&amp;"",tbl_Production[Job Number],0)),""),IF(H546="Consulting",IFERROR(INDEX(tbl_Consulting[Notes],MATCH(E546&amp;"",tbl_Consulting[Job Number],0)),""),""))))</f>
        <v/>
      </c>
    </row>
    <row r="547" ht="15" customHeight="1">
      <c r="A547" s="22" t="n"/>
      <c r="B547" s="23">
        <f>IF(A547="","",EOMONTH(A547,0))</f>
        <v/>
      </c>
      <c r="C547" s="24" t="n"/>
      <c r="D547" s="24" t="n"/>
      <c r="E547" s="24" t="n"/>
      <c r="F547" s="25">
        <f>IF(E547="","",IF(COUNTIF(lst_Jobs,E547&amp;"")&gt;0,"OK","CHECK"))</f>
        <v/>
      </c>
      <c r="G547" s="24" t="n"/>
      <c r="H547" s="24" t="n"/>
      <c r="I547" s="24" t="n"/>
      <c r="J547" s="24" t="n"/>
      <c r="K547" s="24" t="n"/>
      <c r="L547" s="26" t="n"/>
      <c r="M547" s="27">
        <f>IF(L547="","",IF(K547="GST 10%",ROUND(L547*set_GSTRate,2),0))</f>
        <v/>
      </c>
      <c r="N547" s="27">
        <f>IF(L547="","",L547+M547)</f>
        <v/>
      </c>
      <c r="O547" s="24" t="n"/>
      <c r="P547" s="24" t="n"/>
      <c r="Q547" s="24" t="n"/>
      <c r="R547" s="22" t="n"/>
      <c r="S547" s="22" t="n"/>
      <c r="T547" s="24" t="n"/>
      <c r="U547" s="24" t="n"/>
      <c r="V547" s="25">
        <f>IF(COUNTA(A547,D547,C547,L547)=0,"",IF(A547="","No date - sits outside every month",IF(E547="","No job number",IF(F547="CHECK","Job number is not in the Xero job list",IF(I547="","No cost centre",IF(AND(P547="Y",C547=""),"Marked posted to Xero but has no invoice number",IF(AND(L547&lt;&gt;"",K547=""),"No tax code",IF(AND(L547&lt;&gt;"",O547=""),"No revenue GL code",""))))))))</f>
        <v/>
      </c>
      <c r="W547" s="25">
        <f>IF(E547="","",IFERROR(INDEX(lst_JobName,MATCH(E547&amp;"",lst_Jobs,0)),""))</f>
        <v/>
      </c>
      <c r="X547" s="28">
        <f>IF(E547="","",COUNTIFS(tbl_Finance[Job Number],E547&amp;"",tbl_Finance[Ex GST],"&lt;&gt;"))</f>
        <v/>
      </c>
      <c r="Y547" s="27">
        <f>IF(E547="","",SUMIFS(tbl_Finance[Ex GST],tbl_Finance[Job Number],E547&amp;""))</f>
        <v/>
      </c>
      <c r="Z547" s="27">
        <f>IF(E547="","",SUMIFS(tbl_Finance[Ex GST],tbl_Finance[Job Number],E547&amp;"",tbl_Finance[Xero Invoice No],"&lt;&gt;"))</f>
        <v/>
      </c>
      <c r="AA547" s="27">
        <f>IF(E547="","",Y547-Z547)</f>
        <v/>
      </c>
      <c r="AB547" s="25">
        <f>IF(E547="","",IF(H547="Onsite",IFERROR(INDEX(tbl_Onsite[Qwilr Quote],MATCH(E547&amp;"",tbl_Onsite[Job Number],0)),""),IF(H547="Production",IFERROR(IF(INDEX(tbl_Production[Current RMS No],MATCH(E547&amp;"",tbl_Production[Job Number],0))="",INDEX(tbl_Production[Qwilr Quote],MATCH(E547&amp;"",tbl_Production[Job Number],0)),INDEX(tbl_Production[Current RMS No],MATCH(E547&amp;"",tbl_Production[Job Number],0))),""),IF(H547="Consulting",IFERROR(INDEX(tbl_Consulting[Qwilr Quote],MATCH(E547&amp;"",tbl_Consulting[Job Number],0)),""),""))))</f>
        <v/>
      </c>
      <c r="AC547" s="25">
        <f>IF(AB547="","",IF(AND(LEFT(AB547,4)&lt;&gt;"http",IF(H547="Production",set_RMSBase,set_QwilrBase)=""),"",HYPERLINK(IF(LEFT(AB547,4)="http",AB547,IF(H547="Production",set_RMSBase,set_QwilrBase)&amp;AB547),"Open")))</f>
        <v/>
      </c>
      <c r="AD547" s="27">
        <f>IF(E547="","",IF(H547="Production",IFERROR(INDEX(tbl_Production[Total Expense],MATCH(E547&amp;"",tbl_Production[Job Number],0)),0),IF(H547="Consulting",IFERROR(INDEX(tbl_Consulting[Total Expense],MATCH(E547&amp;"",tbl_Consulting[Job Number],0)),0),0)))</f>
        <v/>
      </c>
      <c r="AE547" s="27">
        <f>IF(E547="","",Y547-N(AD547))</f>
        <v/>
      </c>
      <c r="AF547" s="29">
        <f>IFERROR(AE547/Y547,"")</f>
        <v/>
      </c>
      <c r="AG547" s="25">
        <f>IF(E547="","",IF(H547="Onsite",IFERROR(INDEX(tbl_Onsite[Notes],MATCH(E547&amp;"",tbl_Onsite[Job Number],0)),""),IF(H547="Production",IFERROR(INDEX(tbl_Production[Notes],MATCH(E547&amp;"",tbl_Production[Job Number],0)),""),IF(H547="Consulting",IFERROR(INDEX(tbl_Consulting[Notes],MATCH(E547&amp;"",tbl_Consulting[Job Number],0)),""),""))))</f>
        <v/>
      </c>
    </row>
    <row r="548" ht="15" customHeight="1">
      <c r="A548" s="22" t="n"/>
      <c r="B548" s="23">
        <f>IF(A548="","",EOMONTH(A548,0))</f>
        <v/>
      </c>
      <c r="C548" s="24" t="n"/>
      <c r="D548" s="24" t="n"/>
      <c r="E548" s="24" t="n"/>
      <c r="F548" s="25">
        <f>IF(E548="","",IF(COUNTIF(lst_Jobs,E548&amp;"")&gt;0,"OK","CHECK"))</f>
        <v/>
      </c>
      <c r="G548" s="24" t="n"/>
      <c r="H548" s="24" t="n"/>
      <c r="I548" s="24" t="n"/>
      <c r="J548" s="24" t="n"/>
      <c r="K548" s="24" t="n"/>
      <c r="L548" s="26" t="n"/>
      <c r="M548" s="27">
        <f>IF(L548="","",IF(K548="GST 10%",ROUND(L548*set_GSTRate,2),0))</f>
        <v/>
      </c>
      <c r="N548" s="27">
        <f>IF(L548="","",L548+M548)</f>
        <v/>
      </c>
      <c r="O548" s="24" t="n"/>
      <c r="P548" s="24" t="n"/>
      <c r="Q548" s="24" t="n"/>
      <c r="R548" s="22" t="n"/>
      <c r="S548" s="22" t="n"/>
      <c r="T548" s="24" t="n"/>
      <c r="U548" s="24" t="n"/>
      <c r="V548" s="25">
        <f>IF(COUNTA(A548,D548,C548,L548)=0,"",IF(A548="","No date - sits outside every month",IF(E548="","No job number",IF(F548="CHECK","Job number is not in the Xero job list",IF(I548="","No cost centre",IF(AND(P548="Y",C548=""),"Marked posted to Xero but has no invoice number",IF(AND(L548&lt;&gt;"",K548=""),"No tax code",IF(AND(L548&lt;&gt;"",O548=""),"No revenue GL code",""))))))))</f>
        <v/>
      </c>
      <c r="W548" s="25">
        <f>IF(E548="","",IFERROR(INDEX(lst_JobName,MATCH(E548&amp;"",lst_Jobs,0)),""))</f>
        <v/>
      </c>
      <c r="X548" s="28">
        <f>IF(E548="","",COUNTIFS(tbl_Finance[Job Number],E548&amp;"",tbl_Finance[Ex GST],"&lt;&gt;"))</f>
        <v/>
      </c>
      <c r="Y548" s="27">
        <f>IF(E548="","",SUMIFS(tbl_Finance[Ex GST],tbl_Finance[Job Number],E548&amp;""))</f>
        <v/>
      </c>
      <c r="Z548" s="27">
        <f>IF(E548="","",SUMIFS(tbl_Finance[Ex GST],tbl_Finance[Job Number],E548&amp;"",tbl_Finance[Xero Invoice No],"&lt;&gt;"))</f>
        <v/>
      </c>
      <c r="AA548" s="27">
        <f>IF(E548="","",Y548-Z548)</f>
        <v/>
      </c>
      <c r="AB548" s="25">
        <f>IF(E548="","",IF(H548="Onsite",IFERROR(INDEX(tbl_Onsite[Qwilr Quote],MATCH(E548&amp;"",tbl_Onsite[Job Number],0)),""),IF(H548="Production",IFERROR(IF(INDEX(tbl_Production[Current RMS No],MATCH(E548&amp;"",tbl_Production[Job Number],0))="",INDEX(tbl_Production[Qwilr Quote],MATCH(E548&amp;"",tbl_Production[Job Number],0)),INDEX(tbl_Production[Current RMS No],MATCH(E548&amp;"",tbl_Production[Job Number],0))),""),IF(H548="Consulting",IFERROR(INDEX(tbl_Consulting[Qwilr Quote],MATCH(E548&amp;"",tbl_Consulting[Job Number],0)),""),""))))</f>
        <v/>
      </c>
      <c r="AC548" s="25">
        <f>IF(AB548="","",IF(AND(LEFT(AB548,4)&lt;&gt;"http",IF(H548="Production",set_RMSBase,set_QwilrBase)=""),"",HYPERLINK(IF(LEFT(AB548,4)="http",AB548,IF(H548="Production",set_RMSBase,set_QwilrBase)&amp;AB548),"Open")))</f>
        <v/>
      </c>
      <c r="AD548" s="27">
        <f>IF(E548="","",IF(H548="Production",IFERROR(INDEX(tbl_Production[Total Expense],MATCH(E548&amp;"",tbl_Production[Job Number],0)),0),IF(H548="Consulting",IFERROR(INDEX(tbl_Consulting[Total Expense],MATCH(E548&amp;"",tbl_Consulting[Job Number],0)),0),0)))</f>
        <v/>
      </c>
      <c r="AE548" s="27">
        <f>IF(E548="","",Y548-N(AD548))</f>
        <v/>
      </c>
      <c r="AF548" s="29">
        <f>IFERROR(AE548/Y548,"")</f>
        <v/>
      </c>
      <c r="AG548" s="25">
        <f>IF(E548="","",IF(H548="Onsite",IFERROR(INDEX(tbl_Onsite[Notes],MATCH(E548&amp;"",tbl_Onsite[Job Number],0)),""),IF(H548="Production",IFERROR(INDEX(tbl_Production[Notes],MATCH(E548&amp;"",tbl_Production[Job Number],0)),""),IF(H548="Consulting",IFERROR(INDEX(tbl_Consulting[Notes],MATCH(E548&amp;"",tbl_Consulting[Job Number],0)),""),""))))</f>
        <v/>
      </c>
    </row>
    <row r="549" ht="15" customHeight="1">
      <c r="A549" s="22" t="n"/>
      <c r="B549" s="23">
        <f>IF(A549="","",EOMONTH(A549,0))</f>
        <v/>
      </c>
      <c r="C549" s="24" t="n"/>
      <c r="D549" s="24" t="n"/>
      <c r="E549" s="24" t="n"/>
      <c r="F549" s="25">
        <f>IF(E549="","",IF(COUNTIF(lst_Jobs,E549&amp;"")&gt;0,"OK","CHECK"))</f>
        <v/>
      </c>
      <c r="G549" s="24" t="n"/>
      <c r="H549" s="24" t="n"/>
      <c r="I549" s="24" t="n"/>
      <c r="J549" s="24" t="n"/>
      <c r="K549" s="24" t="n"/>
      <c r="L549" s="26" t="n"/>
      <c r="M549" s="27">
        <f>IF(L549="","",IF(K549="GST 10%",ROUND(L549*set_GSTRate,2),0))</f>
        <v/>
      </c>
      <c r="N549" s="27">
        <f>IF(L549="","",L549+M549)</f>
        <v/>
      </c>
      <c r="O549" s="24" t="n"/>
      <c r="P549" s="24" t="n"/>
      <c r="Q549" s="24" t="n"/>
      <c r="R549" s="22" t="n"/>
      <c r="S549" s="22" t="n"/>
      <c r="T549" s="24" t="n"/>
      <c r="U549" s="24" t="n"/>
      <c r="V549" s="25">
        <f>IF(COUNTA(A549,D549,C549,L549)=0,"",IF(A549="","No date - sits outside every month",IF(E549="","No job number",IF(F549="CHECK","Job number is not in the Xero job list",IF(I549="","No cost centre",IF(AND(P549="Y",C549=""),"Marked posted to Xero but has no invoice number",IF(AND(L549&lt;&gt;"",K549=""),"No tax code",IF(AND(L549&lt;&gt;"",O549=""),"No revenue GL code",""))))))))</f>
        <v/>
      </c>
      <c r="W549" s="25">
        <f>IF(E549="","",IFERROR(INDEX(lst_JobName,MATCH(E549&amp;"",lst_Jobs,0)),""))</f>
        <v/>
      </c>
      <c r="X549" s="28">
        <f>IF(E549="","",COUNTIFS(tbl_Finance[Job Number],E549&amp;"",tbl_Finance[Ex GST],"&lt;&gt;"))</f>
        <v/>
      </c>
      <c r="Y549" s="27">
        <f>IF(E549="","",SUMIFS(tbl_Finance[Ex GST],tbl_Finance[Job Number],E549&amp;""))</f>
        <v/>
      </c>
      <c r="Z549" s="27">
        <f>IF(E549="","",SUMIFS(tbl_Finance[Ex GST],tbl_Finance[Job Number],E549&amp;"",tbl_Finance[Xero Invoice No],"&lt;&gt;"))</f>
        <v/>
      </c>
      <c r="AA549" s="27">
        <f>IF(E549="","",Y549-Z549)</f>
        <v/>
      </c>
      <c r="AB549" s="25">
        <f>IF(E549="","",IF(H549="Onsite",IFERROR(INDEX(tbl_Onsite[Qwilr Quote],MATCH(E549&amp;"",tbl_Onsite[Job Number],0)),""),IF(H549="Production",IFERROR(IF(INDEX(tbl_Production[Current RMS No],MATCH(E549&amp;"",tbl_Production[Job Number],0))="",INDEX(tbl_Production[Qwilr Quote],MATCH(E549&amp;"",tbl_Production[Job Number],0)),INDEX(tbl_Production[Current RMS No],MATCH(E549&amp;"",tbl_Production[Job Number],0))),""),IF(H549="Consulting",IFERROR(INDEX(tbl_Consulting[Qwilr Quote],MATCH(E549&amp;"",tbl_Consulting[Job Number],0)),""),""))))</f>
        <v/>
      </c>
      <c r="AC549" s="25">
        <f>IF(AB549="","",IF(AND(LEFT(AB549,4)&lt;&gt;"http",IF(H549="Production",set_RMSBase,set_QwilrBase)=""),"",HYPERLINK(IF(LEFT(AB549,4)="http",AB549,IF(H549="Production",set_RMSBase,set_QwilrBase)&amp;AB549),"Open")))</f>
        <v/>
      </c>
      <c r="AD549" s="27">
        <f>IF(E549="","",IF(H549="Production",IFERROR(INDEX(tbl_Production[Total Expense],MATCH(E549&amp;"",tbl_Production[Job Number],0)),0),IF(H549="Consulting",IFERROR(INDEX(tbl_Consulting[Total Expense],MATCH(E549&amp;"",tbl_Consulting[Job Number],0)),0),0)))</f>
        <v/>
      </c>
      <c r="AE549" s="27">
        <f>IF(E549="","",Y549-N(AD549))</f>
        <v/>
      </c>
      <c r="AF549" s="29">
        <f>IFERROR(AE549/Y549,"")</f>
        <v/>
      </c>
      <c r="AG549" s="25">
        <f>IF(E549="","",IF(H549="Onsite",IFERROR(INDEX(tbl_Onsite[Notes],MATCH(E549&amp;"",tbl_Onsite[Job Number],0)),""),IF(H549="Production",IFERROR(INDEX(tbl_Production[Notes],MATCH(E549&amp;"",tbl_Production[Job Number],0)),""),IF(H549="Consulting",IFERROR(INDEX(tbl_Consulting[Notes],MATCH(E549&amp;"",tbl_Consulting[Job Number],0)),""),""))))</f>
        <v/>
      </c>
    </row>
    <row r="550" ht="15" customHeight="1">
      <c r="A550" s="22" t="n"/>
      <c r="B550" s="23">
        <f>IF(A550="","",EOMONTH(A550,0))</f>
        <v/>
      </c>
      <c r="C550" s="24" t="n"/>
      <c r="D550" s="24" t="n"/>
      <c r="E550" s="24" t="n"/>
      <c r="F550" s="25">
        <f>IF(E550="","",IF(COUNTIF(lst_Jobs,E550&amp;"")&gt;0,"OK","CHECK"))</f>
        <v/>
      </c>
      <c r="G550" s="24" t="n"/>
      <c r="H550" s="24" t="n"/>
      <c r="I550" s="24" t="n"/>
      <c r="J550" s="24" t="n"/>
      <c r="K550" s="24" t="n"/>
      <c r="L550" s="26" t="n"/>
      <c r="M550" s="27">
        <f>IF(L550="","",IF(K550="GST 10%",ROUND(L550*set_GSTRate,2),0))</f>
        <v/>
      </c>
      <c r="N550" s="27">
        <f>IF(L550="","",L550+M550)</f>
        <v/>
      </c>
      <c r="O550" s="24" t="n"/>
      <c r="P550" s="24" t="n"/>
      <c r="Q550" s="24" t="n"/>
      <c r="R550" s="22" t="n"/>
      <c r="S550" s="22" t="n"/>
      <c r="T550" s="24" t="n"/>
      <c r="U550" s="24" t="n"/>
      <c r="V550" s="25">
        <f>IF(COUNTA(A550,D550,C550,L550)=0,"",IF(A550="","No date - sits outside every month",IF(E550="","No job number",IF(F550="CHECK","Job number is not in the Xero job list",IF(I550="","No cost centre",IF(AND(P550="Y",C550=""),"Marked posted to Xero but has no invoice number",IF(AND(L550&lt;&gt;"",K550=""),"No tax code",IF(AND(L550&lt;&gt;"",O550=""),"No revenue GL code",""))))))))</f>
        <v/>
      </c>
      <c r="W550" s="25">
        <f>IF(E550="","",IFERROR(INDEX(lst_JobName,MATCH(E550&amp;"",lst_Jobs,0)),""))</f>
        <v/>
      </c>
      <c r="X550" s="28">
        <f>IF(E550="","",COUNTIFS(tbl_Finance[Job Number],E550&amp;"",tbl_Finance[Ex GST],"&lt;&gt;"))</f>
        <v/>
      </c>
      <c r="Y550" s="27">
        <f>IF(E550="","",SUMIFS(tbl_Finance[Ex GST],tbl_Finance[Job Number],E550&amp;""))</f>
        <v/>
      </c>
      <c r="Z550" s="27">
        <f>IF(E550="","",SUMIFS(tbl_Finance[Ex GST],tbl_Finance[Job Number],E550&amp;"",tbl_Finance[Xero Invoice No],"&lt;&gt;"))</f>
        <v/>
      </c>
      <c r="AA550" s="27">
        <f>IF(E550="","",Y550-Z550)</f>
        <v/>
      </c>
      <c r="AB550" s="25">
        <f>IF(E550="","",IF(H550="Onsite",IFERROR(INDEX(tbl_Onsite[Qwilr Quote],MATCH(E550&amp;"",tbl_Onsite[Job Number],0)),""),IF(H550="Production",IFERROR(IF(INDEX(tbl_Production[Current RMS No],MATCH(E550&amp;"",tbl_Production[Job Number],0))="",INDEX(tbl_Production[Qwilr Quote],MATCH(E550&amp;"",tbl_Production[Job Number],0)),INDEX(tbl_Production[Current RMS No],MATCH(E550&amp;"",tbl_Production[Job Number],0))),""),IF(H550="Consulting",IFERROR(INDEX(tbl_Consulting[Qwilr Quote],MATCH(E550&amp;"",tbl_Consulting[Job Number],0)),""),""))))</f>
        <v/>
      </c>
      <c r="AC550" s="25">
        <f>IF(AB550="","",IF(AND(LEFT(AB550,4)&lt;&gt;"http",IF(H550="Production",set_RMSBase,set_QwilrBase)=""),"",HYPERLINK(IF(LEFT(AB550,4)="http",AB550,IF(H550="Production",set_RMSBase,set_QwilrBase)&amp;AB550),"Open")))</f>
        <v/>
      </c>
      <c r="AD550" s="27">
        <f>IF(E550="","",IF(H550="Production",IFERROR(INDEX(tbl_Production[Total Expense],MATCH(E550&amp;"",tbl_Production[Job Number],0)),0),IF(H550="Consulting",IFERROR(INDEX(tbl_Consulting[Total Expense],MATCH(E550&amp;"",tbl_Consulting[Job Number],0)),0),0)))</f>
        <v/>
      </c>
      <c r="AE550" s="27">
        <f>IF(E550="","",Y550-N(AD550))</f>
        <v/>
      </c>
      <c r="AF550" s="29">
        <f>IFERROR(AE550/Y550,"")</f>
        <v/>
      </c>
      <c r="AG550" s="25">
        <f>IF(E550="","",IF(H550="Onsite",IFERROR(INDEX(tbl_Onsite[Notes],MATCH(E550&amp;"",tbl_Onsite[Job Number],0)),""),IF(H550="Production",IFERROR(INDEX(tbl_Production[Notes],MATCH(E550&amp;"",tbl_Production[Job Number],0)),""),IF(H550="Consulting",IFERROR(INDEX(tbl_Consulting[Notes],MATCH(E550&amp;"",tbl_Consulting[Job Number],0)),""),""))))</f>
        <v/>
      </c>
    </row>
    <row r="551" ht="15" customHeight="1">
      <c r="A551" s="22" t="n"/>
      <c r="B551" s="23">
        <f>IF(A551="","",EOMONTH(A551,0))</f>
        <v/>
      </c>
      <c r="C551" s="24" t="n"/>
      <c r="D551" s="24" t="n"/>
      <c r="E551" s="24" t="n"/>
      <c r="F551" s="25">
        <f>IF(E551="","",IF(COUNTIF(lst_Jobs,E551&amp;"")&gt;0,"OK","CHECK"))</f>
        <v/>
      </c>
      <c r="G551" s="24" t="n"/>
      <c r="H551" s="24" t="n"/>
      <c r="I551" s="24" t="n"/>
      <c r="J551" s="24" t="n"/>
      <c r="K551" s="24" t="n"/>
      <c r="L551" s="26" t="n"/>
      <c r="M551" s="27">
        <f>IF(L551="","",IF(K551="GST 10%",ROUND(L551*set_GSTRate,2),0))</f>
        <v/>
      </c>
      <c r="N551" s="27">
        <f>IF(L551="","",L551+M551)</f>
        <v/>
      </c>
      <c r="O551" s="24" t="n"/>
      <c r="P551" s="24" t="n"/>
      <c r="Q551" s="24" t="n"/>
      <c r="R551" s="22" t="n"/>
      <c r="S551" s="22" t="n"/>
      <c r="T551" s="24" t="n"/>
      <c r="U551" s="24" t="n"/>
      <c r="V551" s="25">
        <f>IF(COUNTA(A551,D551,C551,L551)=0,"",IF(A551="","No date - sits outside every month",IF(E551="","No job number",IF(F551="CHECK","Job number is not in the Xero job list",IF(I551="","No cost centre",IF(AND(P551="Y",C551=""),"Marked posted to Xero but has no invoice number",IF(AND(L551&lt;&gt;"",K551=""),"No tax code",IF(AND(L551&lt;&gt;"",O551=""),"No revenue GL code",""))))))))</f>
        <v/>
      </c>
      <c r="W551" s="25">
        <f>IF(E551="","",IFERROR(INDEX(lst_JobName,MATCH(E551&amp;"",lst_Jobs,0)),""))</f>
        <v/>
      </c>
      <c r="X551" s="28">
        <f>IF(E551="","",COUNTIFS(tbl_Finance[Job Number],E551&amp;"",tbl_Finance[Ex GST],"&lt;&gt;"))</f>
        <v/>
      </c>
      <c r="Y551" s="27">
        <f>IF(E551="","",SUMIFS(tbl_Finance[Ex GST],tbl_Finance[Job Number],E551&amp;""))</f>
        <v/>
      </c>
      <c r="Z551" s="27">
        <f>IF(E551="","",SUMIFS(tbl_Finance[Ex GST],tbl_Finance[Job Number],E551&amp;"",tbl_Finance[Xero Invoice No],"&lt;&gt;"))</f>
        <v/>
      </c>
      <c r="AA551" s="27">
        <f>IF(E551="","",Y551-Z551)</f>
        <v/>
      </c>
      <c r="AB551" s="25">
        <f>IF(E551="","",IF(H551="Onsite",IFERROR(INDEX(tbl_Onsite[Qwilr Quote],MATCH(E551&amp;"",tbl_Onsite[Job Number],0)),""),IF(H551="Production",IFERROR(IF(INDEX(tbl_Production[Current RMS No],MATCH(E551&amp;"",tbl_Production[Job Number],0))="",INDEX(tbl_Production[Qwilr Quote],MATCH(E551&amp;"",tbl_Production[Job Number],0)),INDEX(tbl_Production[Current RMS No],MATCH(E551&amp;"",tbl_Production[Job Number],0))),""),IF(H551="Consulting",IFERROR(INDEX(tbl_Consulting[Qwilr Quote],MATCH(E551&amp;"",tbl_Consulting[Job Number],0)),""),""))))</f>
        <v/>
      </c>
      <c r="AC551" s="25">
        <f>IF(AB551="","",IF(AND(LEFT(AB551,4)&lt;&gt;"http",IF(H551="Production",set_RMSBase,set_QwilrBase)=""),"",HYPERLINK(IF(LEFT(AB551,4)="http",AB551,IF(H551="Production",set_RMSBase,set_QwilrBase)&amp;AB551),"Open")))</f>
        <v/>
      </c>
      <c r="AD551" s="27">
        <f>IF(E551="","",IF(H551="Production",IFERROR(INDEX(tbl_Production[Total Expense],MATCH(E551&amp;"",tbl_Production[Job Number],0)),0),IF(H551="Consulting",IFERROR(INDEX(tbl_Consulting[Total Expense],MATCH(E551&amp;"",tbl_Consulting[Job Number],0)),0),0)))</f>
        <v/>
      </c>
      <c r="AE551" s="27">
        <f>IF(E551="","",Y551-N(AD551))</f>
        <v/>
      </c>
      <c r="AF551" s="29">
        <f>IFERROR(AE551/Y551,"")</f>
        <v/>
      </c>
      <c r="AG551" s="25">
        <f>IF(E551="","",IF(H551="Onsite",IFERROR(INDEX(tbl_Onsite[Notes],MATCH(E551&amp;"",tbl_Onsite[Job Number],0)),""),IF(H551="Production",IFERROR(INDEX(tbl_Production[Notes],MATCH(E551&amp;"",tbl_Production[Job Number],0)),""),IF(H551="Consulting",IFERROR(INDEX(tbl_Consulting[Notes],MATCH(E551&amp;"",tbl_Consulting[Job Number],0)),""),""))))</f>
        <v/>
      </c>
    </row>
    <row r="552" ht="15" customHeight="1">
      <c r="A552" s="22" t="n"/>
      <c r="B552" s="23">
        <f>IF(A552="","",EOMONTH(A552,0))</f>
        <v/>
      </c>
      <c r="C552" s="24" t="n"/>
      <c r="D552" s="24" t="n"/>
      <c r="E552" s="24" t="n"/>
      <c r="F552" s="25">
        <f>IF(E552="","",IF(COUNTIF(lst_Jobs,E552&amp;"")&gt;0,"OK","CHECK"))</f>
        <v/>
      </c>
      <c r="G552" s="24" t="n"/>
      <c r="H552" s="24" t="n"/>
      <c r="I552" s="24" t="n"/>
      <c r="J552" s="24" t="n"/>
      <c r="K552" s="24" t="n"/>
      <c r="L552" s="26" t="n"/>
      <c r="M552" s="27">
        <f>IF(L552="","",IF(K552="GST 10%",ROUND(L552*set_GSTRate,2),0))</f>
        <v/>
      </c>
      <c r="N552" s="27">
        <f>IF(L552="","",L552+M552)</f>
        <v/>
      </c>
      <c r="O552" s="24" t="n"/>
      <c r="P552" s="24" t="n"/>
      <c r="Q552" s="24" t="n"/>
      <c r="R552" s="22" t="n"/>
      <c r="S552" s="22" t="n"/>
      <c r="T552" s="24" t="n"/>
      <c r="U552" s="24" t="n"/>
      <c r="V552" s="25">
        <f>IF(COUNTA(A552,D552,C552,L552)=0,"",IF(A552="","No date - sits outside every month",IF(E552="","No job number",IF(F552="CHECK","Job number is not in the Xero job list",IF(I552="","No cost centre",IF(AND(P552="Y",C552=""),"Marked posted to Xero but has no invoice number",IF(AND(L552&lt;&gt;"",K552=""),"No tax code",IF(AND(L552&lt;&gt;"",O552=""),"No revenue GL code",""))))))))</f>
        <v/>
      </c>
      <c r="W552" s="25">
        <f>IF(E552="","",IFERROR(INDEX(lst_JobName,MATCH(E552&amp;"",lst_Jobs,0)),""))</f>
        <v/>
      </c>
      <c r="X552" s="28">
        <f>IF(E552="","",COUNTIFS(tbl_Finance[Job Number],E552&amp;"",tbl_Finance[Ex GST],"&lt;&gt;"))</f>
        <v/>
      </c>
      <c r="Y552" s="27">
        <f>IF(E552="","",SUMIFS(tbl_Finance[Ex GST],tbl_Finance[Job Number],E552&amp;""))</f>
        <v/>
      </c>
      <c r="Z552" s="27">
        <f>IF(E552="","",SUMIFS(tbl_Finance[Ex GST],tbl_Finance[Job Number],E552&amp;"",tbl_Finance[Xero Invoice No],"&lt;&gt;"))</f>
        <v/>
      </c>
      <c r="AA552" s="27">
        <f>IF(E552="","",Y552-Z552)</f>
        <v/>
      </c>
      <c r="AB552" s="25">
        <f>IF(E552="","",IF(H552="Onsite",IFERROR(INDEX(tbl_Onsite[Qwilr Quote],MATCH(E552&amp;"",tbl_Onsite[Job Number],0)),""),IF(H552="Production",IFERROR(IF(INDEX(tbl_Production[Current RMS No],MATCH(E552&amp;"",tbl_Production[Job Number],0))="",INDEX(tbl_Production[Qwilr Quote],MATCH(E552&amp;"",tbl_Production[Job Number],0)),INDEX(tbl_Production[Current RMS No],MATCH(E552&amp;"",tbl_Production[Job Number],0))),""),IF(H552="Consulting",IFERROR(INDEX(tbl_Consulting[Qwilr Quote],MATCH(E552&amp;"",tbl_Consulting[Job Number],0)),""),""))))</f>
        <v/>
      </c>
      <c r="AC552" s="25">
        <f>IF(AB552="","",IF(AND(LEFT(AB552,4)&lt;&gt;"http",IF(H552="Production",set_RMSBase,set_QwilrBase)=""),"",HYPERLINK(IF(LEFT(AB552,4)="http",AB552,IF(H552="Production",set_RMSBase,set_QwilrBase)&amp;AB552),"Open")))</f>
        <v/>
      </c>
      <c r="AD552" s="27">
        <f>IF(E552="","",IF(H552="Production",IFERROR(INDEX(tbl_Production[Total Expense],MATCH(E552&amp;"",tbl_Production[Job Number],0)),0),IF(H552="Consulting",IFERROR(INDEX(tbl_Consulting[Total Expense],MATCH(E552&amp;"",tbl_Consulting[Job Number],0)),0),0)))</f>
        <v/>
      </c>
      <c r="AE552" s="27">
        <f>IF(E552="","",Y552-N(AD552))</f>
        <v/>
      </c>
      <c r="AF552" s="29">
        <f>IFERROR(AE552/Y552,"")</f>
        <v/>
      </c>
      <c r="AG552" s="25">
        <f>IF(E552="","",IF(H552="Onsite",IFERROR(INDEX(tbl_Onsite[Notes],MATCH(E552&amp;"",tbl_Onsite[Job Number],0)),""),IF(H552="Production",IFERROR(INDEX(tbl_Production[Notes],MATCH(E552&amp;"",tbl_Production[Job Number],0)),""),IF(H552="Consulting",IFERROR(INDEX(tbl_Consulting[Notes],MATCH(E552&amp;"",tbl_Consulting[Job Number],0)),""),""))))</f>
        <v/>
      </c>
    </row>
    <row r="553" ht="15" customHeight="1">
      <c r="A553" s="22" t="n"/>
      <c r="B553" s="23">
        <f>IF(A553="","",EOMONTH(A553,0))</f>
        <v/>
      </c>
      <c r="C553" s="24" t="n"/>
      <c r="D553" s="24" t="n"/>
      <c r="E553" s="24" t="n"/>
      <c r="F553" s="25">
        <f>IF(E553="","",IF(COUNTIF(lst_Jobs,E553&amp;"")&gt;0,"OK","CHECK"))</f>
        <v/>
      </c>
      <c r="G553" s="24" t="n"/>
      <c r="H553" s="24" t="n"/>
      <c r="I553" s="24" t="n"/>
      <c r="J553" s="24" t="n"/>
      <c r="K553" s="24" t="n"/>
      <c r="L553" s="26" t="n"/>
      <c r="M553" s="27">
        <f>IF(L553="","",IF(K553="GST 10%",ROUND(L553*set_GSTRate,2),0))</f>
        <v/>
      </c>
      <c r="N553" s="27">
        <f>IF(L553="","",L553+M553)</f>
        <v/>
      </c>
      <c r="O553" s="24" t="n"/>
      <c r="P553" s="24" t="n"/>
      <c r="Q553" s="24" t="n"/>
      <c r="R553" s="22" t="n"/>
      <c r="S553" s="22" t="n"/>
      <c r="T553" s="24" t="n"/>
      <c r="U553" s="24" t="n"/>
      <c r="V553" s="25">
        <f>IF(COUNTA(A553,D553,C553,L553)=0,"",IF(A553="","No date - sits outside every month",IF(E553="","No job number",IF(F553="CHECK","Job number is not in the Xero job list",IF(I553="","No cost centre",IF(AND(P553="Y",C553=""),"Marked posted to Xero but has no invoice number",IF(AND(L553&lt;&gt;"",K553=""),"No tax code",IF(AND(L553&lt;&gt;"",O553=""),"No revenue GL code",""))))))))</f>
        <v/>
      </c>
      <c r="W553" s="25">
        <f>IF(E553="","",IFERROR(INDEX(lst_JobName,MATCH(E553&amp;"",lst_Jobs,0)),""))</f>
        <v/>
      </c>
      <c r="X553" s="28">
        <f>IF(E553="","",COUNTIFS(tbl_Finance[Job Number],E553&amp;"",tbl_Finance[Ex GST],"&lt;&gt;"))</f>
        <v/>
      </c>
      <c r="Y553" s="27">
        <f>IF(E553="","",SUMIFS(tbl_Finance[Ex GST],tbl_Finance[Job Number],E553&amp;""))</f>
        <v/>
      </c>
      <c r="Z553" s="27">
        <f>IF(E553="","",SUMIFS(tbl_Finance[Ex GST],tbl_Finance[Job Number],E553&amp;"",tbl_Finance[Xero Invoice No],"&lt;&gt;"))</f>
        <v/>
      </c>
      <c r="AA553" s="27">
        <f>IF(E553="","",Y553-Z553)</f>
        <v/>
      </c>
      <c r="AB553" s="25">
        <f>IF(E553="","",IF(H553="Onsite",IFERROR(INDEX(tbl_Onsite[Qwilr Quote],MATCH(E553&amp;"",tbl_Onsite[Job Number],0)),""),IF(H553="Production",IFERROR(IF(INDEX(tbl_Production[Current RMS No],MATCH(E553&amp;"",tbl_Production[Job Number],0))="",INDEX(tbl_Production[Qwilr Quote],MATCH(E553&amp;"",tbl_Production[Job Number],0)),INDEX(tbl_Production[Current RMS No],MATCH(E553&amp;"",tbl_Production[Job Number],0))),""),IF(H553="Consulting",IFERROR(INDEX(tbl_Consulting[Qwilr Quote],MATCH(E553&amp;"",tbl_Consulting[Job Number],0)),""),""))))</f>
        <v/>
      </c>
      <c r="AC553" s="25">
        <f>IF(AB553="","",IF(AND(LEFT(AB553,4)&lt;&gt;"http",IF(H553="Production",set_RMSBase,set_QwilrBase)=""),"",HYPERLINK(IF(LEFT(AB553,4)="http",AB553,IF(H553="Production",set_RMSBase,set_QwilrBase)&amp;AB553),"Open")))</f>
        <v/>
      </c>
      <c r="AD553" s="27">
        <f>IF(E553="","",IF(H553="Production",IFERROR(INDEX(tbl_Production[Total Expense],MATCH(E553&amp;"",tbl_Production[Job Number],0)),0),IF(H553="Consulting",IFERROR(INDEX(tbl_Consulting[Total Expense],MATCH(E553&amp;"",tbl_Consulting[Job Number],0)),0),0)))</f>
        <v/>
      </c>
      <c r="AE553" s="27">
        <f>IF(E553="","",Y553-N(AD553))</f>
        <v/>
      </c>
      <c r="AF553" s="29">
        <f>IFERROR(AE553/Y553,"")</f>
        <v/>
      </c>
      <c r="AG553" s="25">
        <f>IF(E553="","",IF(H553="Onsite",IFERROR(INDEX(tbl_Onsite[Notes],MATCH(E553&amp;"",tbl_Onsite[Job Number],0)),""),IF(H553="Production",IFERROR(INDEX(tbl_Production[Notes],MATCH(E553&amp;"",tbl_Production[Job Number],0)),""),IF(H553="Consulting",IFERROR(INDEX(tbl_Consulting[Notes],MATCH(E553&amp;"",tbl_Consulting[Job Number],0)),""),""))))</f>
        <v/>
      </c>
    </row>
    <row r="554" ht="15" customHeight="1">
      <c r="A554" s="22" t="n"/>
      <c r="B554" s="23">
        <f>IF(A554="","",EOMONTH(A554,0))</f>
        <v/>
      </c>
      <c r="C554" s="24" t="n"/>
      <c r="D554" s="24" t="n"/>
      <c r="E554" s="24" t="n"/>
      <c r="F554" s="25">
        <f>IF(E554="","",IF(COUNTIF(lst_Jobs,E554&amp;"")&gt;0,"OK","CHECK"))</f>
        <v/>
      </c>
      <c r="G554" s="24" t="n"/>
      <c r="H554" s="24" t="n"/>
      <c r="I554" s="24" t="n"/>
      <c r="J554" s="24" t="n"/>
      <c r="K554" s="24" t="n"/>
      <c r="L554" s="26" t="n"/>
      <c r="M554" s="27">
        <f>IF(L554="","",IF(K554="GST 10%",ROUND(L554*set_GSTRate,2),0))</f>
        <v/>
      </c>
      <c r="N554" s="27">
        <f>IF(L554="","",L554+M554)</f>
        <v/>
      </c>
      <c r="O554" s="24" t="n"/>
      <c r="P554" s="24" t="n"/>
      <c r="Q554" s="24" t="n"/>
      <c r="R554" s="22" t="n"/>
      <c r="S554" s="22" t="n"/>
      <c r="T554" s="24" t="n"/>
      <c r="U554" s="24" t="n"/>
      <c r="V554" s="25">
        <f>IF(COUNTA(A554,D554,C554,L554)=0,"",IF(A554="","No date - sits outside every month",IF(E554="","No job number",IF(F554="CHECK","Job number is not in the Xero job list",IF(I554="","No cost centre",IF(AND(P554="Y",C554=""),"Marked posted to Xero but has no invoice number",IF(AND(L554&lt;&gt;"",K554=""),"No tax code",IF(AND(L554&lt;&gt;"",O554=""),"No revenue GL code",""))))))))</f>
        <v/>
      </c>
      <c r="W554" s="25">
        <f>IF(E554="","",IFERROR(INDEX(lst_JobName,MATCH(E554&amp;"",lst_Jobs,0)),""))</f>
        <v/>
      </c>
      <c r="X554" s="28">
        <f>IF(E554="","",COUNTIFS(tbl_Finance[Job Number],E554&amp;"",tbl_Finance[Ex GST],"&lt;&gt;"))</f>
        <v/>
      </c>
      <c r="Y554" s="27">
        <f>IF(E554="","",SUMIFS(tbl_Finance[Ex GST],tbl_Finance[Job Number],E554&amp;""))</f>
        <v/>
      </c>
      <c r="Z554" s="27">
        <f>IF(E554="","",SUMIFS(tbl_Finance[Ex GST],tbl_Finance[Job Number],E554&amp;"",tbl_Finance[Xero Invoice No],"&lt;&gt;"))</f>
        <v/>
      </c>
      <c r="AA554" s="27">
        <f>IF(E554="","",Y554-Z554)</f>
        <v/>
      </c>
      <c r="AB554" s="25">
        <f>IF(E554="","",IF(H554="Onsite",IFERROR(INDEX(tbl_Onsite[Qwilr Quote],MATCH(E554&amp;"",tbl_Onsite[Job Number],0)),""),IF(H554="Production",IFERROR(IF(INDEX(tbl_Production[Current RMS No],MATCH(E554&amp;"",tbl_Production[Job Number],0))="",INDEX(tbl_Production[Qwilr Quote],MATCH(E554&amp;"",tbl_Production[Job Number],0)),INDEX(tbl_Production[Current RMS No],MATCH(E554&amp;"",tbl_Production[Job Number],0))),""),IF(H554="Consulting",IFERROR(INDEX(tbl_Consulting[Qwilr Quote],MATCH(E554&amp;"",tbl_Consulting[Job Number],0)),""),""))))</f>
        <v/>
      </c>
      <c r="AC554" s="25">
        <f>IF(AB554="","",IF(AND(LEFT(AB554,4)&lt;&gt;"http",IF(H554="Production",set_RMSBase,set_QwilrBase)=""),"",HYPERLINK(IF(LEFT(AB554,4)="http",AB554,IF(H554="Production",set_RMSBase,set_QwilrBase)&amp;AB554),"Open")))</f>
        <v/>
      </c>
      <c r="AD554" s="27">
        <f>IF(E554="","",IF(H554="Production",IFERROR(INDEX(tbl_Production[Total Expense],MATCH(E554&amp;"",tbl_Production[Job Number],0)),0),IF(H554="Consulting",IFERROR(INDEX(tbl_Consulting[Total Expense],MATCH(E554&amp;"",tbl_Consulting[Job Number],0)),0),0)))</f>
        <v/>
      </c>
      <c r="AE554" s="27">
        <f>IF(E554="","",Y554-N(AD554))</f>
        <v/>
      </c>
      <c r="AF554" s="29">
        <f>IFERROR(AE554/Y554,"")</f>
        <v/>
      </c>
      <c r="AG554" s="25">
        <f>IF(E554="","",IF(H554="Onsite",IFERROR(INDEX(tbl_Onsite[Notes],MATCH(E554&amp;"",tbl_Onsite[Job Number],0)),""),IF(H554="Production",IFERROR(INDEX(tbl_Production[Notes],MATCH(E554&amp;"",tbl_Production[Job Number],0)),""),IF(H554="Consulting",IFERROR(INDEX(tbl_Consulting[Notes],MATCH(E554&amp;"",tbl_Consulting[Job Number],0)),""),""))))</f>
        <v/>
      </c>
    </row>
    <row r="555" ht="15" customHeight="1">
      <c r="A555" s="22" t="n"/>
      <c r="B555" s="23">
        <f>IF(A555="","",EOMONTH(A555,0))</f>
        <v/>
      </c>
      <c r="C555" s="24" t="n"/>
      <c r="D555" s="24" t="n"/>
      <c r="E555" s="24" t="n"/>
      <c r="F555" s="25">
        <f>IF(E555="","",IF(COUNTIF(lst_Jobs,E555&amp;"")&gt;0,"OK","CHECK"))</f>
        <v/>
      </c>
      <c r="G555" s="24" t="n"/>
      <c r="H555" s="24" t="n"/>
      <c r="I555" s="24" t="n"/>
      <c r="J555" s="24" t="n"/>
      <c r="K555" s="24" t="n"/>
      <c r="L555" s="26" t="n"/>
      <c r="M555" s="27">
        <f>IF(L555="","",IF(K555="GST 10%",ROUND(L555*set_GSTRate,2),0))</f>
        <v/>
      </c>
      <c r="N555" s="27">
        <f>IF(L555="","",L555+M555)</f>
        <v/>
      </c>
      <c r="O555" s="24" t="n"/>
      <c r="P555" s="24" t="n"/>
      <c r="Q555" s="24" t="n"/>
      <c r="R555" s="22" t="n"/>
      <c r="S555" s="22" t="n"/>
      <c r="T555" s="24" t="n"/>
      <c r="U555" s="24" t="n"/>
      <c r="V555" s="25">
        <f>IF(COUNTA(A555,D555,C555,L555)=0,"",IF(A555="","No date - sits outside every month",IF(E555="","No job number",IF(F555="CHECK","Job number is not in the Xero job list",IF(I555="","No cost centre",IF(AND(P555="Y",C555=""),"Marked posted to Xero but has no invoice number",IF(AND(L555&lt;&gt;"",K555=""),"No tax code",IF(AND(L555&lt;&gt;"",O555=""),"No revenue GL code",""))))))))</f>
        <v/>
      </c>
      <c r="W555" s="25">
        <f>IF(E555="","",IFERROR(INDEX(lst_JobName,MATCH(E555&amp;"",lst_Jobs,0)),""))</f>
        <v/>
      </c>
      <c r="X555" s="28">
        <f>IF(E555="","",COUNTIFS(tbl_Finance[Job Number],E555&amp;"",tbl_Finance[Ex GST],"&lt;&gt;"))</f>
        <v/>
      </c>
      <c r="Y555" s="27">
        <f>IF(E555="","",SUMIFS(tbl_Finance[Ex GST],tbl_Finance[Job Number],E555&amp;""))</f>
        <v/>
      </c>
      <c r="Z555" s="27">
        <f>IF(E555="","",SUMIFS(tbl_Finance[Ex GST],tbl_Finance[Job Number],E555&amp;"",tbl_Finance[Xero Invoice No],"&lt;&gt;"))</f>
        <v/>
      </c>
      <c r="AA555" s="27">
        <f>IF(E555="","",Y555-Z555)</f>
        <v/>
      </c>
      <c r="AB555" s="25">
        <f>IF(E555="","",IF(H555="Onsite",IFERROR(INDEX(tbl_Onsite[Qwilr Quote],MATCH(E555&amp;"",tbl_Onsite[Job Number],0)),""),IF(H555="Production",IFERROR(IF(INDEX(tbl_Production[Current RMS No],MATCH(E555&amp;"",tbl_Production[Job Number],0))="",INDEX(tbl_Production[Qwilr Quote],MATCH(E555&amp;"",tbl_Production[Job Number],0)),INDEX(tbl_Production[Current RMS No],MATCH(E555&amp;"",tbl_Production[Job Number],0))),""),IF(H555="Consulting",IFERROR(INDEX(tbl_Consulting[Qwilr Quote],MATCH(E555&amp;"",tbl_Consulting[Job Number],0)),""),""))))</f>
        <v/>
      </c>
      <c r="AC555" s="25">
        <f>IF(AB555="","",IF(AND(LEFT(AB555,4)&lt;&gt;"http",IF(H555="Production",set_RMSBase,set_QwilrBase)=""),"",HYPERLINK(IF(LEFT(AB555,4)="http",AB555,IF(H555="Production",set_RMSBase,set_QwilrBase)&amp;AB555),"Open")))</f>
        <v/>
      </c>
      <c r="AD555" s="27">
        <f>IF(E555="","",IF(H555="Production",IFERROR(INDEX(tbl_Production[Total Expense],MATCH(E555&amp;"",tbl_Production[Job Number],0)),0),IF(H555="Consulting",IFERROR(INDEX(tbl_Consulting[Total Expense],MATCH(E555&amp;"",tbl_Consulting[Job Number],0)),0),0)))</f>
        <v/>
      </c>
      <c r="AE555" s="27">
        <f>IF(E555="","",Y555-N(AD555))</f>
        <v/>
      </c>
      <c r="AF555" s="29">
        <f>IFERROR(AE555/Y555,"")</f>
        <v/>
      </c>
      <c r="AG555" s="25">
        <f>IF(E555="","",IF(H555="Onsite",IFERROR(INDEX(tbl_Onsite[Notes],MATCH(E555&amp;"",tbl_Onsite[Job Number],0)),""),IF(H555="Production",IFERROR(INDEX(tbl_Production[Notes],MATCH(E555&amp;"",tbl_Production[Job Number],0)),""),IF(H555="Consulting",IFERROR(INDEX(tbl_Consulting[Notes],MATCH(E555&amp;"",tbl_Consulting[Job Number],0)),""),""))))</f>
        <v/>
      </c>
    </row>
    <row r="556" ht="15" customHeight="1">
      <c r="A556" s="22" t="n"/>
      <c r="B556" s="23">
        <f>IF(A556="","",EOMONTH(A556,0))</f>
        <v/>
      </c>
      <c r="C556" s="24" t="n"/>
      <c r="D556" s="24" t="n"/>
      <c r="E556" s="24" t="n"/>
      <c r="F556" s="25">
        <f>IF(E556="","",IF(COUNTIF(lst_Jobs,E556&amp;"")&gt;0,"OK","CHECK"))</f>
        <v/>
      </c>
      <c r="G556" s="24" t="n"/>
      <c r="H556" s="24" t="n"/>
      <c r="I556" s="24" t="n"/>
      <c r="J556" s="24" t="n"/>
      <c r="K556" s="24" t="n"/>
      <c r="L556" s="26" t="n"/>
      <c r="M556" s="27">
        <f>IF(L556="","",IF(K556="GST 10%",ROUND(L556*set_GSTRate,2),0))</f>
        <v/>
      </c>
      <c r="N556" s="27">
        <f>IF(L556="","",L556+M556)</f>
        <v/>
      </c>
      <c r="O556" s="24" t="n"/>
      <c r="P556" s="24" t="n"/>
      <c r="Q556" s="24" t="n"/>
      <c r="R556" s="22" t="n"/>
      <c r="S556" s="22" t="n"/>
      <c r="T556" s="24" t="n"/>
      <c r="U556" s="24" t="n"/>
      <c r="V556" s="25">
        <f>IF(COUNTA(A556,D556,C556,L556)=0,"",IF(A556="","No date - sits outside every month",IF(E556="","No job number",IF(F556="CHECK","Job number is not in the Xero job list",IF(I556="","No cost centre",IF(AND(P556="Y",C556=""),"Marked posted to Xero but has no invoice number",IF(AND(L556&lt;&gt;"",K556=""),"No tax code",IF(AND(L556&lt;&gt;"",O556=""),"No revenue GL code",""))))))))</f>
        <v/>
      </c>
      <c r="W556" s="25">
        <f>IF(E556="","",IFERROR(INDEX(lst_JobName,MATCH(E556&amp;"",lst_Jobs,0)),""))</f>
        <v/>
      </c>
      <c r="X556" s="28">
        <f>IF(E556="","",COUNTIFS(tbl_Finance[Job Number],E556&amp;"",tbl_Finance[Ex GST],"&lt;&gt;"))</f>
        <v/>
      </c>
      <c r="Y556" s="27">
        <f>IF(E556="","",SUMIFS(tbl_Finance[Ex GST],tbl_Finance[Job Number],E556&amp;""))</f>
        <v/>
      </c>
      <c r="Z556" s="27">
        <f>IF(E556="","",SUMIFS(tbl_Finance[Ex GST],tbl_Finance[Job Number],E556&amp;"",tbl_Finance[Xero Invoice No],"&lt;&gt;"))</f>
        <v/>
      </c>
      <c r="AA556" s="27">
        <f>IF(E556="","",Y556-Z556)</f>
        <v/>
      </c>
      <c r="AB556" s="25">
        <f>IF(E556="","",IF(H556="Onsite",IFERROR(INDEX(tbl_Onsite[Qwilr Quote],MATCH(E556&amp;"",tbl_Onsite[Job Number],0)),""),IF(H556="Production",IFERROR(IF(INDEX(tbl_Production[Current RMS No],MATCH(E556&amp;"",tbl_Production[Job Number],0))="",INDEX(tbl_Production[Qwilr Quote],MATCH(E556&amp;"",tbl_Production[Job Number],0)),INDEX(tbl_Production[Current RMS No],MATCH(E556&amp;"",tbl_Production[Job Number],0))),""),IF(H556="Consulting",IFERROR(INDEX(tbl_Consulting[Qwilr Quote],MATCH(E556&amp;"",tbl_Consulting[Job Number],0)),""),""))))</f>
        <v/>
      </c>
      <c r="AC556" s="25">
        <f>IF(AB556="","",IF(AND(LEFT(AB556,4)&lt;&gt;"http",IF(H556="Production",set_RMSBase,set_QwilrBase)=""),"",HYPERLINK(IF(LEFT(AB556,4)="http",AB556,IF(H556="Production",set_RMSBase,set_QwilrBase)&amp;AB556),"Open")))</f>
        <v/>
      </c>
      <c r="AD556" s="27">
        <f>IF(E556="","",IF(H556="Production",IFERROR(INDEX(tbl_Production[Total Expense],MATCH(E556&amp;"",tbl_Production[Job Number],0)),0),IF(H556="Consulting",IFERROR(INDEX(tbl_Consulting[Total Expense],MATCH(E556&amp;"",tbl_Consulting[Job Number],0)),0),0)))</f>
        <v/>
      </c>
      <c r="AE556" s="27">
        <f>IF(E556="","",Y556-N(AD556))</f>
        <v/>
      </c>
      <c r="AF556" s="29">
        <f>IFERROR(AE556/Y556,"")</f>
        <v/>
      </c>
      <c r="AG556" s="25">
        <f>IF(E556="","",IF(H556="Onsite",IFERROR(INDEX(tbl_Onsite[Notes],MATCH(E556&amp;"",tbl_Onsite[Job Number],0)),""),IF(H556="Production",IFERROR(INDEX(tbl_Production[Notes],MATCH(E556&amp;"",tbl_Production[Job Number],0)),""),IF(H556="Consulting",IFERROR(INDEX(tbl_Consulting[Notes],MATCH(E556&amp;"",tbl_Consulting[Job Number],0)),""),""))))</f>
        <v/>
      </c>
    </row>
    <row r="557" ht="15" customHeight="1">
      <c r="A557" s="22" t="n"/>
      <c r="B557" s="23">
        <f>IF(A557="","",EOMONTH(A557,0))</f>
        <v/>
      </c>
      <c r="C557" s="24" t="n"/>
      <c r="D557" s="24" t="n"/>
      <c r="E557" s="24" t="n"/>
      <c r="F557" s="25">
        <f>IF(E557="","",IF(COUNTIF(lst_Jobs,E557&amp;"")&gt;0,"OK","CHECK"))</f>
        <v/>
      </c>
      <c r="G557" s="24" t="n"/>
      <c r="H557" s="24" t="n"/>
      <c r="I557" s="24" t="n"/>
      <c r="J557" s="24" t="n"/>
      <c r="K557" s="24" t="n"/>
      <c r="L557" s="26" t="n"/>
      <c r="M557" s="27">
        <f>IF(L557="","",IF(K557="GST 10%",ROUND(L557*set_GSTRate,2),0))</f>
        <v/>
      </c>
      <c r="N557" s="27">
        <f>IF(L557="","",L557+M557)</f>
        <v/>
      </c>
      <c r="O557" s="24" t="n"/>
      <c r="P557" s="24" t="n"/>
      <c r="Q557" s="24" t="n"/>
      <c r="R557" s="22" t="n"/>
      <c r="S557" s="22" t="n"/>
      <c r="T557" s="24" t="n"/>
      <c r="U557" s="24" t="n"/>
      <c r="V557" s="25">
        <f>IF(COUNTA(A557,D557,C557,L557)=0,"",IF(A557="","No date - sits outside every month",IF(E557="","No job number",IF(F557="CHECK","Job number is not in the Xero job list",IF(I557="","No cost centre",IF(AND(P557="Y",C557=""),"Marked posted to Xero but has no invoice number",IF(AND(L557&lt;&gt;"",K557=""),"No tax code",IF(AND(L557&lt;&gt;"",O557=""),"No revenue GL code",""))))))))</f>
        <v/>
      </c>
      <c r="W557" s="25">
        <f>IF(E557="","",IFERROR(INDEX(lst_JobName,MATCH(E557&amp;"",lst_Jobs,0)),""))</f>
        <v/>
      </c>
      <c r="X557" s="28">
        <f>IF(E557="","",COUNTIFS(tbl_Finance[Job Number],E557&amp;"",tbl_Finance[Ex GST],"&lt;&gt;"))</f>
        <v/>
      </c>
      <c r="Y557" s="27">
        <f>IF(E557="","",SUMIFS(tbl_Finance[Ex GST],tbl_Finance[Job Number],E557&amp;""))</f>
        <v/>
      </c>
      <c r="Z557" s="27">
        <f>IF(E557="","",SUMIFS(tbl_Finance[Ex GST],tbl_Finance[Job Number],E557&amp;"",tbl_Finance[Xero Invoice No],"&lt;&gt;"))</f>
        <v/>
      </c>
      <c r="AA557" s="27">
        <f>IF(E557="","",Y557-Z557)</f>
        <v/>
      </c>
      <c r="AB557" s="25">
        <f>IF(E557="","",IF(H557="Onsite",IFERROR(INDEX(tbl_Onsite[Qwilr Quote],MATCH(E557&amp;"",tbl_Onsite[Job Number],0)),""),IF(H557="Production",IFERROR(IF(INDEX(tbl_Production[Current RMS No],MATCH(E557&amp;"",tbl_Production[Job Number],0))="",INDEX(tbl_Production[Qwilr Quote],MATCH(E557&amp;"",tbl_Production[Job Number],0)),INDEX(tbl_Production[Current RMS No],MATCH(E557&amp;"",tbl_Production[Job Number],0))),""),IF(H557="Consulting",IFERROR(INDEX(tbl_Consulting[Qwilr Quote],MATCH(E557&amp;"",tbl_Consulting[Job Number],0)),""),""))))</f>
        <v/>
      </c>
      <c r="AC557" s="25">
        <f>IF(AB557="","",IF(AND(LEFT(AB557,4)&lt;&gt;"http",IF(H557="Production",set_RMSBase,set_QwilrBase)=""),"",HYPERLINK(IF(LEFT(AB557,4)="http",AB557,IF(H557="Production",set_RMSBase,set_QwilrBase)&amp;AB557),"Open")))</f>
        <v/>
      </c>
      <c r="AD557" s="27">
        <f>IF(E557="","",IF(H557="Production",IFERROR(INDEX(tbl_Production[Total Expense],MATCH(E557&amp;"",tbl_Production[Job Number],0)),0),IF(H557="Consulting",IFERROR(INDEX(tbl_Consulting[Total Expense],MATCH(E557&amp;"",tbl_Consulting[Job Number],0)),0),0)))</f>
        <v/>
      </c>
      <c r="AE557" s="27">
        <f>IF(E557="","",Y557-N(AD557))</f>
        <v/>
      </c>
      <c r="AF557" s="29">
        <f>IFERROR(AE557/Y557,"")</f>
        <v/>
      </c>
      <c r="AG557" s="25">
        <f>IF(E557="","",IF(H557="Onsite",IFERROR(INDEX(tbl_Onsite[Notes],MATCH(E557&amp;"",tbl_Onsite[Job Number],0)),""),IF(H557="Production",IFERROR(INDEX(tbl_Production[Notes],MATCH(E557&amp;"",tbl_Production[Job Number],0)),""),IF(H557="Consulting",IFERROR(INDEX(tbl_Consulting[Notes],MATCH(E557&amp;"",tbl_Consulting[Job Number],0)),""),""))))</f>
        <v/>
      </c>
    </row>
    <row r="558" ht="15" customHeight="1">
      <c r="A558" s="22" t="n"/>
      <c r="B558" s="23">
        <f>IF(A558="","",EOMONTH(A558,0))</f>
        <v/>
      </c>
      <c r="C558" s="24" t="n"/>
      <c r="D558" s="24" t="n"/>
      <c r="E558" s="24" t="n"/>
      <c r="F558" s="25">
        <f>IF(E558="","",IF(COUNTIF(lst_Jobs,E558&amp;"")&gt;0,"OK","CHECK"))</f>
        <v/>
      </c>
      <c r="G558" s="24" t="n"/>
      <c r="H558" s="24" t="n"/>
      <c r="I558" s="24" t="n"/>
      <c r="J558" s="24" t="n"/>
      <c r="K558" s="24" t="n"/>
      <c r="L558" s="26" t="n"/>
      <c r="M558" s="27">
        <f>IF(L558="","",IF(K558="GST 10%",ROUND(L558*set_GSTRate,2),0))</f>
        <v/>
      </c>
      <c r="N558" s="27">
        <f>IF(L558="","",L558+M558)</f>
        <v/>
      </c>
      <c r="O558" s="24" t="n"/>
      <c r="P558" s="24" t="n"/>
      <c r="Q558" s="24" t="n"/>
      <c r="R558" s="22" t="n"/>
      <c r="S558" s="22" t="n"/>
      <c r="T558" s="24" t="n"/>
      <c r="U558" s="24" t="n"/>
      <c r="V558" s="25">
        <f>IF(COUNTA(A558,D558,C558,L558)=0,"",IF(A558="","No date - sits outside every month",IF(E558="","No job number",IF(F558="CHECK","Job number is not in the Xero job list",IF(I558="","No cost centre",IF(AND(P558="Y",C558=""),"Marked posted to Xero but has no invoice number",IF(AND(L558&lt;&gt;"",K558=""),"No tax code",IF(AND(L558&lt;&gt;"",O558=""),"No revenue GL code",""))))))))</f>
        <v/>
      </c>
      <c r="W558" s="25">
        <f>IF(E558="","",IFERROR(INDEX(lst_JobName,MATCH(E558&amp;"",lst_Jobs,0)),""))</f>
        <v/>
      </c>
      <c r="X558" s="28">
        <f>IF(E558="","",COUNTIFS(tbl_Finance[Job Number],E558&amp;"",tbl_Finance[Ex GST],"&lt;&gt;"))</f>
        <v/>
      </c>
      <c r="Y558" s="27">
        <f>IF(E558="","",SUMIFS(tbl_Finance[Ex GST],tbl_Finance[Job Number],E558&amp;""))</f>
        <v/>
      </c>
      <c r="Z558" s="27">
        <f>IF(E558="","",SUMIFS(tbl_Finance[Ex GST],tbl_Finance[Job Number],E558&amp;"",tbl_Finance[Xero Invoice No],"&lt;&gt;"))</f>
        <v/>
      </c>
      <c r="AA558" s="27">
        <f>IF(E558="","",Y558-Z558)</f>
        <v/>
      </c>
      <c r="AB558" s="25">
        <f>IF(E558="","",IF(H558="Onsite",IFERROR(INDEX(tbl_Onsite[Qwilr Quote],MATCH(E558&amp;"",tbl_Onsite[Job Number],0)),""),IF(H558="Production",IFERROR(IF(INDEX(tbl_Production[Current RMS No],MATCH(E558&amp;"",tbl_Production[Job Number],0))="",INDEX(tbl_Production[Qwilr Quote],MATCH(E558&amp;"",tbl_Production[Job Number],0)),INDEX(tbl_Production[Current RMS No],MATCH(E558&amp;"",tbl_Production[Job Number],0))),""),IF(H558="Consulting",IFERROR(INDEX(tbl_Consulting[Qwilr Quote],MATCH(E558&amp;"",tbl_Consulting[Job Number],0)),""),""))))</f>
        <v/>
      </c>
      <c r="AC558" s="25">
        <f>IF(AB558="","",IF(AND(LEFT(AB558,4)&lt;&gt;"http",IF(H558="Production",set_RMSBase,set_QwilrBase)=""),"",HYPERLINK(IF(LEFT(AB558,4)="http",AB558,IF(H558="Production",set_RMSBase,set_QwilrBase)&amp;AB558),"Open")))</f>
        <v/>
      </c>
      <c r="AD558" s="27">
        <f>IF(E558="","",IF(H558="Production",IFERROR(INDEX(tbl_Production[Total Expense],MATCH(E558&amp;"",tbl_Production[Job Number],0)),0),IF(H558="Consulting",IFERROR(INDEX(tbl_Consulting[Total Expense],MATCH(E558&amp;"",tbl_Consulting[Job Number],0)),0),0)))</f>
        <v/>
      </c>
      <c r="AE558" s="27">
        <f>IF(E558="","",Y558-N(AD558))</f>
        <v/>
      </c>
      <c r="AF558" s="29">
        <f>IFERROR(AE558/Y558,"")</f>
        <v/>
      </c>
      <c r="AG558" s="25">
        <f>IF(E558="","",IF(H558="Onsite",IFERROR(INDEX(tbl_Onsite[Notes],MATCH(E558&amp;"",tbl_Onsite[Job Number],0)),""),IF(H558="Production",IFERROR(INDEX(tbl_Production[Notes],MATCH(E558&amp;"",tbl_Production[Job Number],0)),""),IF(H558="Consulting",IFERROR(INDEX(tbl_Consulting[Notes],MATCH(E558&amp;"",tbl_Consulting[Job Number],0)),""),""))))</f>
        <v/>
      </c>
    </row>
    <row r="559" ht="15" customHeight="1">
      <c r="A559" s="22" t="n"/>
      <c r="B559" s="23">
        <f>IF(A559="","",EOMONTH(A559,0))</f>
        <v/>
      </c>
      <c r="C559" s="24" t="n"/>
      <c r="D559" s="24" t="n"/>
      <c r="E559" s="24" t="n"/>
      <c r="F559" s="25">
        <f>IF(E559="","",IF(COUNTIF(lst_Jobs,E559&amp;"")&gt;0,"OK","CHECK"))</f>
        <v/>
      </c>
      <c r="G559" s="24" t="n"/>
      <c r="H559" s="24" t="n"/>
      <c r="I559" s="24" t="n"/>
      <c r="J559" s="24" t="n"/>
      <c r="K559" s="24" t="n"/>
      <c r="L559" s="26" t="n"/>
      <c r="M559" s="27">
        <f>IF(L559="","",IF(K559="GST 10%",ROUND(L559*set_GSTRate,2),0))</f>
        <v/>
      </c>
      <c r="N559" s="27">
        <f>IF(L559="","",L559+M559)</f>
        <v/>
      </c>
      <c r="O559" s="24" t="n"/>
      <c r="P559" s="24" t="n"/>
      <c r="Q559" s="24" t="n"/>
      <c r="R559" s="22" t="n"/>
      <c r="S559" s="22" t="n"/>
      <c r="T559" s="24" t="n"/>
      <c r="U559" s="24" t="n"/>
      <c r="V559" s="25">
        <f>IF(COUNTA(A559,D559,C559,L559)=0,"",IF(A559="","No date - sits outside every month",IF(E559="","No job number",IF(F559="CHECK","Job number is not in the Xero job list",IF(I559="","No cost centre",IF(AND(P559="Y",C559=""),"Marked posted to Xero but has no invoice number",IF(AND(L559&lt;&gt;"",K559=""),"No tax code",IF(AND(L559&lt;&gt;"",O559=""),"No revenue GL code",""))))))))</f>
        <v/>
      </c>
      <c r="W559" s="25">
        <f>IF(E559="","",IFERROR(INDEX(lst_JobName,MATCH(E559&amp;"",lst_Jobs,0)),""))</f>
        <v/>
      </c>
      <c r="X559" s="28">
        <f>IF(E559="","",COUNTIFS(tbl_Finance[Job Number],E559&amp;"",tbl_Finance[Ex GST],"&lt;&gt;"))</f>
        <v/>
      </c>
      <c r="Y559" s="27">
        <f>IF(E559="","",SUMIFS(tbl_Finance[Ex GST],tbl_Finance[Job Number],E559&amp;""))</f>
        <v/>
      </c>
      <c r="Z559" s="27">
        <f>IF(E559="","",SUMIFS(tbl_Finance[Ex GST],tbl_Finance[Job Number],E559&amp;"",tbl_Finance[Xero Invoice No],"&lt;&gt;"))</f>
        <v/>
      </c>
      <c r="AA559" s="27">
        <f>IF(E559="","",Y559-Z559)</f>
        <v/>
      </c>
      <c r="AB559" s="25">
        <f>IF(E559="","",IF(H559="Onsite",IFERROR(INDEX(tbl_Onsite[Qwilr Quote],MATCH(E559&amp;"",tbl_Onsite[Job Number],0)),""),IF(H559="Production",IFERROR(IF(INDEX(tbl_Production[Current RMS No],MATCH(E559&amp;"",tbl_Production[Job Number],0))="",INDEX(tbl_Production[Qwilr Quote],MATCH(E559&amp;"",tbl_Production[Job Number],0)),INDEX(tbl_Production[Current RMS No],MATCH(E559&amp;"",tbl_Production[Job Number],0))),""),IF(H559="Consulting",IFERROR(INDEX(tbl_Consulting[Qwilr Quote],MATCH(E559&amp;"",tbl_Consulting[Job Number],0)),""),""))))</f>
        <v/>
      </c>
      <c r="AC559" s="25">
        <f>IF(AB559="","",IF(AND(LEFT(AB559,4)&lt;&gt;"http",IF(H559="Production",set_RMSBase,set_QwilrBase)=""),"",HYPERLINK(IF(LEFT(AB559,4)="http",AB559,IF(H559="Production",set_RMSBase,set_QwilrBase)&amp;AB559),"Open")))</f>
        <v/>
      </c>
      <c r="AD559" s="27">
        <f>IF(E559="","",IF(H559="Production",IFERROR(INDEX(tbl_Production[Total Expense],MATCH(E559&amp;"",tbl_Production[Job Number],0)),0),IF(H559="Consulting",IFERROR(INDEX(tbl_Consulting[Total Expense],MATCH(E559&amp;"",tbl_Consulting[Job Number],0)),0),0)))</f>
        <v/>
      </c>
      <c r="AE559" s="27">
        <f>IF(E559="","",Y559-N(AD559))</f>
        <v/>
      </c>
      <c r="AF559" s="29">
        <f>IFERROR(AE559/Y559,"")</f>
        <v/>
      </c>
      <c r="AG559" s="25">
        <f>IF(E559="","",IF(H559="Onsite",IFERROR(INDEX(tbl_Onsite[Notes],MATCH(E559&amp;"",tbl_Onsite[Job Number],0)),""),IF(H559="Production",IFERROR(INDEX(tbl_Production[Notes],MATCH(E559&amp;"",tbl_Production[Job Number],0)),""),IF(H559="Consulting",IFERROR(INDEX(tbl_Consulting[Notes],MATCH(E559&amp;"",tbl_Consulting[Job Number],0)),""),""))))</f>
        <v/>
      </c>
    </row>
    <row r="560" ht="15" customHeight="1">
      <c r="A560" s="22" t="n"/>
      <c r="B560" s="23">
        <f>IF(A560="","",EOMONTH(A560,0))</f>
        <v/>
      </c>
      <c r="C560" s="24" t="n"/>
      <c r="D560" s="24" t="n"/>
      <c r="E560" s="24" t="n"/>
      <c r="F560" s="25">
        <f>IF(E560="","",IF(COUNTIF(lst_Jobs,E560&amp;"")&gt;0,"OK","CHECK"))</f>
        <v/>
      </c>
      <c r="G560" s="24" t="n"/>
      <c r="H560" s="24" t="n"/>
      <c r="I560" s="24" t="n"/>
      <c r="J560" s="24" t="n"/>
      <c r="K560" s="24" t="n"/>
      <c r="L560" s="26" t="n"/>
      <c r="M560" s="27">
        <f>IF(L560="","",IF(K560="GST 10%",ROUND(L560*set_GSTRate,2),0))</f>
        <v/>
      </c>
      <c r="N560" s="27">
        <f>IF(L560="","",L560+M560)</f>
        <v/>
      </c>
      <c r="O560" s="24" t="n"/>
      <c r="P560" s="24" t="n"/>
      <c r="Q560" s="24" t="n"/>
      <c r="R560" s="22" t="n"/>
      <c r="S560" s="22" t="n"/>
      <c r="T560" s="24" t="n"/>
      <c r="U560" s="24" t="n"/>
      <c r="V560" s="25">
        <f>IF(COUNTA(A560,D560,C560,L560)=0,"",IF(A560="","No date - sits outside every month",IF(E560="","No job number",IF(F560="CHECK","Job number is not in the Xero job list",IF(I560="","No cost centre",IF(AND(P560="Y",C560=""),"Marked posted to Xero but has no invoice number",IF(AND(L560&lt;&gt;"",K560=""),"No tax code",IF(AND(L560&lt;&gt;"",O560=""),"No revenue GL code",""))))))))</f>
        <v/>
      </c>
      <c r="W560" s="25">
        <f>IF(E560="","",IFERROR(INDEX(lst_JobName,MATCH(E560&amp;"",lst_Jobs,0)),""))</f>
        <v/>
      </c>
      <c r="X560" s="28">
        <f>IF(E560="","",COUNTIFS(tbl_Finance[Job Number],E560&amp;"",tbl_Finance[Ex GST],"&lt;&gt;"))</f>
        <v/>
      </c>
      <c r="Y560" s="27">
        <f>IF(E560="","",SUMIFS(tbl_Finance[Ex GST],tbl_Finance[Job Number],E560&amp;""))</f>
        <v/>
      </c>
      <c r="Z560" s="27">
        <f>IF(E560="","",SUMIFS(tbl_Finance[Ex GST],tbl_Finance[Job Number],E560&amp;"",tbl_Finance[Xero Invoice No],"&lt;&gt;"))</f>
        <v/>
      </c>
      <c r="AA560" s="27">
        <f>IF(E560="","",Y560-Z560)</f>
        <v/>
      </c>
      <c r="AB560" s="25">
        <f>IF(E560="","",IF(H560="Onsite",IFERROR(INDEX(tbl_Onsite[Qwilr Quote],MATCH(E560&amp;"",tbl_Onsite[Job Number],0)),""),IF(H560="Production",IFERROR(IF(INDEX(tbl_Production[Current RMS No],MATCH(E560&amp;"",tbl_Production[Job Number],0))="",INDEX(tbl_Production[Qwilr Quote],MATCH(E560&amp;"",tbl_Production[Job Number],0)),INDEX(tbl_Production[Current RMS No],MATCH(E560&amp;"",tbl_Production[Job Number],0))),""),IF(H560="Consulting",IFERROR(INDEX(tbl_Consulting[Qwilr Quote],MATCH(E560&amp;"",tbl_Consulting[Job Number],0)),""),""))))</f>
        <v/>
      </c>
      <c r="AC560" s="25">
        <f>IF(AB560="","",IF(AND(LEFT(AB560,4)&lt;&gt;"http",IF(H560="Production",set_RMSBase,set_QwilrBase)=""),"",HYPERLINK(IF(LEFT(AB560,4)="http",AB560,IF(H560="Production",set_RMSBase,set_QwilrBase)&amp;AB560),"Open")))</f>
        <v/>
      </c>
      <c r="AD560" s="27">
        <f>IF(E560="","",IF(H560="Production",IFERROR(INDEX(tbl_Production[Total Expense],MATCH(E560&amp;"",tbl_Production[Job Number],0)),0),IF(H560="Consulting",IFERROR(INDEX(tbl_Consulting[Total Expense],MATCH(E560&amp;"",tbl_Consulting[Job Number],0)),0),0)))</f>
        <v/>
      </c>
      <c r="AE560" s="27">
        <f>IF(E560="","",Y560-N(AD560))</f>
        <v/>
      </c>
      <c r="AF560" s="29">
        <f>IFERROR(AE560/Y560,"")</f>
        <v/>
      </c>
      <c r="AG560" s="25">
        <f>IF(E560="","",IF(H560="Onsite",IFERROR(INDEX(tbl_Onsite[Notes],MATCH(E560&amp;"",tbl_Onsite[Job Number],0)),""),IF(H560="Production",IFERROR(INDEX(tbl_Production[Notes],MATCH(E560&amp;"",tbl_Production[Job Number],0)),""),IF(H560="Consulting",IFERROR(INDEX(tbl_Consulting[Notes],MATCH(E560&amp;"",tbl_Consulting[Job Number],0)),""),""))))</f>
        <v/>
      </c>
    </row>
    <row r="561" ht="15" customHeight="1">
      <c r="A561" s="22" t="n"/>
      <c r="B561" s="23">
        <f>IF(A561="","",EOMONTH(A561,0))</f>
        <v/>
      </c>
      <c r="C561" s="24" t="n"/>
      <c r="D561" s="24" t="n"/>
      <c r="E561" s="24" t="n"/>
      <c r="F561" s="25">
        <f>IF(E561="","",IF(COUNTIF(lst_Jobs,E561&amp;"")&gt;0,"OK","CHECK"))</f>
        <v/>
      </c>
      <c r="G561" s="24" t="n"/>
      <c r="H561" s="24" t="n"/>
      <c r="I561" s="24" t="n"/>
      <c r="J561" s="24" t="n"/>
      <c r="K561" s="24" t="n"/>
      <c r="L561" s="26" t="n"/>
      <c r="M561" s="27">
        <f>IF(L561="","",IF(K561="GST 10%",ROUND(L561*set_GSTRate,2),0))</f>
        <v/>
      </c>
      <c r="N561" s="27">
        <f>IF(L561="","",L561+M561)</f>
        <v/>
      </c>
      <c r="O561" s="24" t="n"/>
      <c r="P561" s="24" t="n"/>
      <c r="Q561" s="24" t="n"/>
      <c r="R561" s="22" t="n"/>
      <c r="S561" s="22" t="n"/>
      <c r="T561" s="24" t="n"/>
      <c r="U561" s="24" t="n"/>
      <c r="V561" s="25">
        <f>IF(COUNTA(A561,D561,C561,L561)=0,"",IF(A561="","No date - sits outside every month",IF(E561="","No job number",IF(F561="CHECK","Job number is not in the Xero job list",IF(I561="","No cost centre",IF(AND(P561="Y",C561=""),"Marked posted to Xero but has no invoice number",IF(AND(L561&lt;&gt;"",K561=""),"No tax code",IF(AND(L561&lt;&gt;"",O561=""),"No revenue GL code",""))))))))</f>
        <v/>
      </c>
      <c r="W561" s="25">
        <f>IF(E561="","",IFERROR(INDEX(lst_JobName,MATCH(E561&amp;"",lst_Jobs,0)),""))</f>
        <v/>
      </c>
      <c r="X561" s="28">
        <f>IF(E561="","",COUNTIFS(tbl_Finance[Job Number],E561&amp;"",tbl_Finance[Ex GST],"&lt;&gt;"))</f>
        <v/>
      </c>
      <c r="Y561" s="27">
        <f>IF(E561="","",SUMIFS(tbl_Finance[Ex GST],tbl_Finance[Job Number],E561&amp;""))</f>
        <v/>
      </c>
      <c r="Z561" s="27">
        <f>IF(E561="","",SUMIFS(tbl_Finance[Ex GST],tbl_Finance[Job Number],E561&amp;"",tbl_Finance[Xero Invoice No],"&lt;&gt;"))</f>
        <v/>
      </c>
      <c r="AA561" s="27">
        <f>IF(E561="","",Y561-Z561)</f>
        <v/>
      </c>
      <c r="AB561" s="25">
        <f>IF(E561="","",IF(H561="Onsite",IFERROR(INDEX(tbl_Onsite[Qwilr Quote],MATCH(E561&amp;"",tbl_Onsite[Job Number],0)),""),IF(H561="Production",IFERROR(IF(INDEX(tbl_Production[Current RMS No],MATCH(E561&amp;"",tbl_Production[Job Number],0))="",INDEX(tbl_Production[Qwilr Quote],MATCH(E561&amp;"",tbl_Production[Job Number],0)),INDEX(tbl_Production[Current RMS No],MATCH(E561&amp;"",tbl_Production[Job Number],0))),""),IF(H561="Consulting",IFERROR(INDEX(tbl_Consulting[Qwilr Quote],MATCH(E561&amp;"",tbl_Consulting[Job Number],0)),""),""))))</f>
        <v/>
      </c>
      <c r="AC561" s="25">
        <f>IF(AB561="","",IF(AND(LEFT(AB561,4)&lt;&gt;"http",IF(H561="Production",set_RMSBase,set_QwilrBase)=""),"",HYPERLINK(IF(LEFT(AB561,4)="http",AB561,IF(H561="Production",set_RMSBase,set_QwilrBase)&amp;AB561),"Open")))</f>
        <v/>
      </c>
      <c r="AD561" s="27">
        <f>IF(E561="","",IF(H561="Production",IFERROR(INDEX(tbl_Production[Total Expense],MATCH(E561&amp;"",tbl_Production[Job Number],0)),0),IF(H561="Consulting",IFERROR(INDEX(tbl_Consulting[Total Expense],MATCH(E561&amp;"",tbl_Consulting[Job Number],0)),0),0)))</f>
        <v/>
      </c>
      <c r="AE561" s="27">
        <f>IF(E561="","",Y561-N(AD561))</f>
        <v/>
      </c>
      <c r="AF561" s="29">
        <f>IFERROR(AE561/Y561,"")</f>
        <v/>
      </c>
      <c r="AG561" s="25">
        <f>IF(E561="","",IF(H561="Onsite",IFERROR(INDEX(tbl_Onsite[Notes],MATCH(E561&amp;"",tbl_Onsite[Job Number],0)),""),IF(H561="Production",IFERROR(INDEX(tbl_Production[Notes],MATCH(E561&amp;"",tbl_Production[Job Number],0)),""),IF(H561="Consulting",IFERROR(INDEX(tbl_Consulting[Notes],MATCH(E561&amp;"",tbl_Consulting[Job Number],0)),""),""))))</f>
        <v/>
      </c>
    </row>
    <row r="562" ht="15" customHeight="1">
      <c r="A562" s="22" t="n"/>
      <c r="B562" s="23">
        <f>IF(A562="","",EOMONTH(A562,0))</f>
        <v/>
      </c>
      <c r="C562" s="24" t="n"/>
      <c r="D562" s="24" t="n"/>
      <c r="E562" s="24" t="n"/>
      <c r="F562" s="25">
        <f>IF(E562="","",IF(COUNTIF(lst_Jobs,E562&amp;"")&gt;0,"OK","CHECK"))</f>
        <v/>
      </c>
      <c r="G562" s="24" t="n"/>
      <c r="H562" s="24" t="n"/>
      <c r="I562" s="24" t="n"/>
      <c r="J562" s="24" t="n"/>
      <c r="K562" s="24" t="n"/>
      <c r="L562" s="26" t="n"/>
      <c r="M562" s="27">
        <f>IF(L562="","",IF(K562="GST 10%",ROUND(L562*set_GSTRate,2),0))</f>
        <v/>
      </c>
      <c r="N562" s="27">
        <f>IF(L562="","",L562+M562)</f>
        <v/>
      </c>
      <c r="O562" s="24" t="n"/>
      <c r="P562" s="24" t="n"/>
      <c r="Q562" s="24" t="n"/>
      <c r="R562" s="22" t="n"/>
      <c r="S562" s="22" t="n"/>
      <c r="T562" s="24" t="n"/>
      <c r="U562" s="24" t="n"/>
      <c r="V562" s="25">
        <f>IF(COUNTA(A562,D562,C562,L562)=0,"",IF(A562="","No date - sits outside every month",IF(E562="","No job number",IF(F562="CHECK","Job number is not in the Xero job list",IF(I562="","No cost centre",IF(AND(P562="Y",C562=""),"Marked posted to Xero but has no invoice number",IF(AND(L562&lt;&gt;"",K562=""),"No tax code",IF(AND(L562&lt;&gt;"",O562=""),"No revenue GL code",""))))))))</f>
        <v/>
      </c>
      <c r="W562" s="25">
        <f>IF(E562="","",IFERROR(INDEX(lst_JobName,MATCH(E562&amp;"",lst_Jobs,0)),""))</f>
        <v/>
      </c>
      <c r="X562" s="28">
        <f>IF(E562="","",COUNTIFS(tbl_Finance[Job Number],E562&amp;"",tbl_Finance[Ex GST],"&lt;&gt;"))</f>
        <v/>
      </c>
      <c r="Y562" s="27">
        <f>IF(E562="","",SUMIFS(tbl_Finance[Ex GST],tbl_Finance[Job Number],E562&amp;""))</f>
        <v/>
      </c>
      <c r="Z562" s="27">
        <f>IF(E562="","",SUMIFS(tbl_Finance[Ex GST],tbl_Finance[Job Number],E562&amp;"",tbl_Finance[Xero Invoice No],"&lt;&gt;"))</f>
        <v/>
      </c>
      <c r="AA562" s="27">
        <f>IF(E562="","",Y562-Z562)</f>
        <v/>
      </c>
      <c r="AB562" s="25">
        <f>IF(E562="","",IF(H562="Onsite",IFERROR(INDEX(tbl_Onsite[Qwilr Quote],MATCH(E562&amp;"",tbl_Onsite[Job Number],0)),""),IF(H562="Production",IFERROR(IF(INDEX(tbl_Production[Current RMS No],MATCH(E562&amp;"",tbl_Production[Job Number],0))="",INDEX(tbl_Production[Qwilr Quote],MATCH(E562&amp;"",tbl_Production[Job Number],0)),INDEX(tbl_Production[Current RMS No],MATCH(E562&amp;"",tbl_Production[Job Number],0))),""),IF(H562="Consulting",IFERROR(INDEX(tbl_Consulting[Qwilr Quote],MATCH(E562&amp;"",tbl_Consulting[Job Number],0)),""),""))))</f>
        <v/>
      </c>
      <c r="AC562" s="25">
        <f>IF(AB562="","",IF(AND(LEFT(AB562,4)&lt;&gt;"http",IF(H562="Production",set_RMSBase,set_QwilrBase)=""),"",HYPERLINK(IF(LEFT(AB562,4)="http",AB562,IF(H562="Production",set_RMSBase,set_QwilrBase)&amp;AB562),"Open")))</f>
        <v/>
      </c>
      <c r="AD562" s="27">
        <f>IF(E562="","",IF(H562="Production",IFERROR(INDEX(tbl_Production[Total Expense],MATCH(E562&amp;"",tbl_Production[Job Number],0)),0),IF(H562="Consulting",IFERROR(INDEX(tbl_Consulting[Total Expense],MATCH(E562&amp;"",tbl_Consulting[Job Number],0)),0),0)))</f>
        <v/>
      </c>
      <c r="AE562" s="27">
        <f>IF(E562="","",Y562-N(AD562))</f>
        <v/>
      </c>
      <c r="AF562" s="29">
        <f>IFERROR(AE562/Y562,"")</f>
        <v/>
      </c>
      <c r="AG562" s="25">
        <f>IF(E562="","",IF(H562="Onsite",IFERROR(INDEX(tbl_Onsite[Notes],MATCH(E562&amp;"",tbl_Onsite[Job Number],0)),""),IF(H562="Production",IFERROR(INDEX(tbl_Production[Notes],MATCH(E562&amp;"",tbl_Production[Job Number],0)),""),IF(H562="Consulting",IFERROR(INDEX(tbl_Consulting[Notes],MATCH(E562&amp;"",tbl_Consulting[Job Number],0)),""),""))))</f>
        <v/>
      </c>
    </row>
    <row r="563" ht="15" customHeight="1">
      <c r="A563" s="22" t="n"/>
      <c r="B563" s="23">
        <f>IF(A563="","",EOMONTH(A563,0))</f>
        <v/>
      </c>
      <c r="C563" s="24" t="n"/>
      <c r="D563" s="24" t="n"/>
      <c r="E563" s="24" t="n"/>
      <c r="F563" s="25">
        <f>IF(E563="","",IF(COUNTIF(lst_Jobs,E563&amp;"")&gt;0,"OK","CHECK"))</f>
        <v/>
      </c>
      <c r="G563" s="24" t="n"/>
      <c r="H563" s="24" t="n"/>
      <c r="I563" s="24" t="n"/>
      <c r="J563" s="24" t="n"/>
      <c r="K563" s="24" t="n"/>
      <c r="L563" s="26" t="n"/>
      <c r="M563" s="27">
        <f>IF(L563="","",IF(K563="GST 10%",ROUND(L563*set_GSTRate,2),0))</f>
        <v/>
      </c>
      <c r="N563" s="27">
        <f>IF(L563="","",L563+M563)</f>
        <v/>
      </c>
      <c r="O563" s="24" t="n"/>
      <c r="P563" s="24" t="n"/>
      <c r="Q563" s="24" t="n"/>
      <c r="R563" s="22" t="n"/>
      <c r="S563" s="22" t="n"/>
      <c r="T563" s="24" t="n"/>
      <c r="U563" s="24" t="n"/>
      <c r="V563" s="25">
        <f>IF(COUNTA(A563,D563,C563,L563)=0,"",IF(A563="","No date - sits outside every month",IF(E563="","No job number",IF(F563="CHECK","Job number is not in the Xero job list",IF(I563="","No cost centre",IF(AND(P563="Y",C563=""),"Marked posted to Xero but has no invoice number",IF(AND(L563&lt;&gt;"",K563=""),"No tax code",IF(AND(L563&lt;&gt;"",O563=""),"No revenue GL code",""))))))))</f>
        <v/>
      </c>
      <c r="W563" s="25">
        <f>IF(E563="","",IFERROR(INDEX(lst_JobName,MATCH(E563&amp;"",lst_Jobs,0)),""))</f>
        <v/>
      </c>
      <c r="X563" s="28">
        <f>IF(E563="","",COUNTIFS(tbl_Finance[Job Number],E563&amp;"",tbl_Finance[Ex GST],"&lt;&gt;"))</f>
        <v/>
      </c>
      <c r="Y563" s="27">
        <f>IF(E563="","",SUMIFS(tbl_Finance[Ex GST],tbl_Finance[Job Number],E563&amp;""))</f>
        <v/>
      </c>
      <c r="Z563" s="27">
        <f>IF(E563="","",SUMIFS(tbl_Finance[Ex GST],tbl_Finance[Job Number],E563&amp;"",tbl_Finance[Xero Invoice No],"&lt;&gt;"))</f>
        <v/>
      </c>
      <c r="AA563" s="27">
        <f>IF(E563="","",Y563-Z563)</f>
        <v/>
      </c>
      <c r="AB563" s="25">
        <f>IF(E563="","",IF(H563="Onsite",IFERROR(INDEX(tbl_Onsite[Qwilr Quote],MATCH(E563&amp;"",tbl_Onsite[Job Number],0)),""),IF(H563="Production",IFERROR(IF(INDEX(tbl_Production[Current RMS No],MATCH(E563&amp;"",tbl_Production[Job Number],0))="",INDEX(tbl_Production[Qwilr Quote],MATCH(E563&amp;"",tbl_Production[Job Number],0)),INDEX(tbl_Production[Current RMS No],MATCH(E563&amp;"",tbl_Production[Job Number],0))),""),IF(H563="Consulting",IFERROR(INDEX(tbl_Consulting[Qwilr Quote],MATCH(E563&amp;"",tbl_Consulting[Job Number],0)),""),""))))</f>
        <v/>
      </c>
      <c r="AC563" s="25">
        <f>IF(AB563="","",IF(AND(LEFT(AB563,4)&lt;&gt;"http",IF(H563="Production",set_RMSBase,set_QwilrBase)=""),"",HYPERLINK(IF(LEFT(AB563,4)="http",AB563,IF(H563="Production",set_RMSBase,set_QwilrBase)&amp;AB563),"Open")))</f>
        <v/>
      </c>
      <c r="AD563" s="27">
        <f>IF(E563="","",IF(H563="Production",IFERROR(INDEX(tbl_Production[Total Expense],MATCH(E563&amp;"",tbl_Production[Job Number],0)),0),IF(H563="Consulting",IFERROR(INDEX(tbl_Consulting[Total Expense],MATCH(E563&amp;"",tbl_Consulting[Job Number],0)),0),0)))</f>
        <v/>
      </c>
      <c r="AE563" s="27">
        <f>IF(E563="","",Y563-N(AD563))</f>
        <v/>
      </c>
      <c r="AF563" s="29">
        <f>IFERROR(AE563/Y563,"")</f>
        <v/>
      </c>
      <c r="AG563" s="25">
        <f>IF(E563="","",IF(H563="Onsite",IFERROR(INDEX(tbl_Onsite[Notes],MATCH(E563&amp;"",tbl_Onsite[Job Number],0)),""),IF(H563="Production",IFERROR(INDEX(tbl_Production[Notes],MATCH(E563&amp;"",tbl_Production[Job Number],0)),""),IF(H563="Consulting",IFERROR(INDEX(tbl_Consulting[Notes],MATCH(E563&amp;"",tbl_Consulting[Job Number],0)),""),""))))</f>
        <v/>
      </c>
    </row>
    <row r="564" ht="15" customHeight="1">
      <c r="A564" s="22" t="n"/>
      <c r="B564" s="23">
        <f>IF(A564="","",EOMONTH(A564,0))</f>
        <v/>
      </c>
      <c r="C564" s="24" t="n"/>
      <c r="D564" s="24" t="n"/>
      <c r="E564" s="24" t="n"/>
      <c r="F564" s="25">
        <f>IF(E564="","",IF(COUNTIF(lst_Jobs,E564&amp;"")&gt;0,"OK","CHECK"))</f>
        <v/>
      </c>
      <c r="G564" s="24" t="n"/>
      <c r="H564" s="24" t="n"/>
      <c r="I564" s="24" t="n"/>
      <c r="J564" s="24" t="n"/>
      <c r="K564" s="24" t="n"/>
      <c r="L564" s="26" t="n"/>
      <c r="M564" s="27">
        <f>IF(L564="","",IF(K564="GST 10%",ROUND(L564*set_GSTRate,2),0))</f>
        <v/>
      </c>
      <c r="N564" s="27">
        <f>IF(L564="","",L564+M564)</f>
        <v/>
      </c>
      <c r="O564" s="24" t="n"/>
      <c r="P564" s="24" t="n"/>
      <c r="Q564" s="24" t="n"/>
      <c r="R564" s="22" t="n"/>
      <c r="S564" s="22" t="n"/>
      <c r="T564" s="24" t="n"/>
      <c r="U564" s="24" t="n"/>
      <c r="V564" s="25">
        <f>IF(COUNTA(A564,D564,C564,L564)=0,"",IF(A564="","No date - sits outside every month",IF(E564="","No job number",IF(F564="CHECK","Job number is not in the Xero job list",IF(I564="","No cost centre",IF(AND(P564="Y",C564=""),"Marked posted to Xero but has no invoice number",IF(AND(L564&lt;&gt;"",K564=""),"No tax code",IF(AND(L564&lt;&gt;"",O564=""),"No revenue GL code",""))))))))</f>
        <v/>
      </c>
      <c r="W564" s="25">
        <f>IF(E564="","",IFERROR(INDEX(lst_JobName,MATCH(E564&amp;"",lst_Jobs,0)),""))</f>
        <v/>
      </c>
      <c r="X564" s="28">
        <f>IF(E564="","",COUNTIFS(tbl_Finance[Job Number],E564&amp;"",tbl_Finance[Ex GST],"&lt;&gt;"))</f>
        <v/>
      </c>
      <c r="Y564" s="27">
        <f>IF(E564="","",SUMIFS(tbl_Finance[Ex GST],tbl_Finance[Job Number],E564&amp;""))</f>
        <v/>
      </c>
      <c r="Z564" s="27">
        <f>IF(E564="","",SUMIFS(tbl_Finance[Ex GST],tbl_Finance[Job Number],E564&amp;"",tbl_Finance[Xero Invoice No],"&lt;&gt;"))</f>
        <v/>
      </c>
      <c r="AA564" s="27">
        <f>IF(E564="","",Y564-Z564)</f>
        <v/>
      </c>
      <c r="AB564" s="25">
        <f>IF(E564="","",IF(H564="Onsite",IFERROR(INDEX(tbl_Onsite[Qwilr Quote],MATCH(E564&amp;"",tbl_Onsite[Job Number],0)),""),IF(H564="Production",IFERROR(IF(INDEX(tbl_Production[Current RMS No],MATCH(E564&amp;"",tbl_Production[Job Number],0))="",INDEX(tbl_Production[Qwilr Quote],MATCH(E564&amp;"",tbl_Production[Job Number],0)),INDEX(tbl_Production[Current RMS No],MATCH(E564&amp;"",tbl_Production[Job Number],0))),""),IF(H564="Consulting",IFERROR(INDEX(tbl_Consulting[Qwilr Quote],MATCH(E564&amp;"",tbl_Consulting[Job Number],0)),""),""))))</f>
        <v/>
      </c>
      <c r="AC564" s="25">
        <f>IF(AB564="","",IF(AND(LEFT(AB564,4)&lt;&gt;"http",IF(H564="Production",set_RMSBase,set_QwilrBase)=""),"",HYPERLINK(IF(LEFT(AB564,4)="http",AB564,IF(H564="Production",set_RMSBase,set_QwilrBase)&amp;AB564),"Open")))</f>
        <v/>
      </c>
      <c r="AD564" s="27">
        <f>IF(E564="","",IF(H564="Production",IFERROR(INDEX(tbl_Production[Total Expense],MATCH(E564&amp;"",tbl_Production[Job Number],0)),0),IF(H564="Consulting",IFERROR(INDEX(tbl_Consulting[Total Expense],MATCH(E564&amp;"",tbl_Consulting[Job Number],0)),0),0)))</f>
        <v/>
      </c>
      <c r="AE564" s="27">
        <f>IF(E564="","",Y564-N(AD564))</f>
        <v/>
      </c>
      <c r="AF564" s="29">
        <f>IFERROR(AE564/Y564,"")</f>
        <v/>
      </c>
      <c r="AG564" s="25">
        <f>IF(E564="","",IF(H564="Onsite",IFERROR(INDEX(tbl_Onsite[Notes],MATCH(E564&amp;"",tbl_Onsite[Job Number],0)),""),IF(H564="Production",IFERROR(INDEX(tbl_Production[Notes],MATCH(E564&amp;"",tbl_Production[Job Number],0)),""),IF(H564="Consulting",IFERROR(INDEX(tbl_Consulting[Notes],MATCH(E564&amp;"",tbl_Consulting[Job Number],0)),""),""))))</f>
        <v/>
      </c>
    </row>
    <row r="565" ht="15" customHeight="1">
      <c r="A565" s="22" t="n"/>
      <c r="B565" s="23">
        <f>IF(A565="","",EOMONTH(A565,0))</f>
        <v/>
      </c>
      <c r="C565" s="24" t="n"/>
      <c r="D565" s="24" t="n"/>
      <c r="E565" s="24" t="n"/>
      <c r="F565" s="25">
        <f>IF(E565="","",IF(COUNTIF(lst_Jobs,E565&amp;"")&gt;0,"OK","CHECK"))</f>
        <v/>
      </c>
      <c r="G565" s="24" t="n"/>
      <c r="H565" s="24" t="n"/>
      <c r="I565" s="24" t="n"/>
      <c r="J565" s="24" t="n"/>
      <c r="K565" s="24" t="n"/>
      <c r="L565" s="26" t="n"/>
      <c r="M565" s="27">
        <f>IF(L565="","",IF(K565="GST 10%",ROUND(L565*set_GSTRate,2),0))</f>
        <v/>
      </c>
      <c r="N565" s="27">
        <f>IF(L565="","",L565+M565)</f>
        <v/>
      </c>
      <c r="O565" s="24" t="n"/>
      <c r="P565" s="24" t="n"/>
      <c r="Q565" s="24" t="n"/>
      <c r="R565" s="22" t="n"/>
      <c r="S565" s="22" t="n"/>
      <c r="T565" s="24" t="n"/>
      <c r="U565" s="24" t="n"/>
      <c r="V565" s="25">
        <f>IF(COUNTA(A565,D565,C565,L565)=0,"",IF(A565="","No date - sits outside every month",IF(E565="","No job number",IF(F565="CHECK","Job number is not in the Xero job list",IF(I565="","No cost centre",IF(AND(P565="Y",C565=""),"Marked posted to Xero but has no invoice number",IF(AND(L565&lt;&gt;"",K565=""),"No tax code",IF(AND(L565&lt;&gt;"",O565=""),"No revenue GL code",""))))))))</f>
        <v/>
      </c>
      <c r="W565" s="25">
        <f>IF(E565="","",IFERROR(INDEX(lst_JobName,MATCH(E565&amp;"",lst_Jobs,0)),""))</f>
        <v/>
      </c>
      <c r="X565" s="28">
        <f>IF(E565="","",COUNTIFS(tbl_Finance[Job Number],E565&amp;"",tbl_Finance[Ex GST],"&lt;&gt;"))</f>
        <v/>
      </c>
      <c r="Y565" s="27">
        <f>IF(E565="","",SUMIFS(tbl_Finance[Ex GST],tbl_Finance[Job Number],E565&amp;""))</f>
        <v/>
      </c>
      <c r="Z565" s="27">
        <f>IF(E565="","",SUMIFS(tbl_Finance[Ex GST],tbl_Finance[Job Number],E565&amp;"",tbl_Finance[Xero Invoice No],"&lt;&gt;"))</f>
        <v/>
      </c>
      <c r="AA565" s="27">
        <f>IF(E565="","",Y565-Z565)</f>
        <v/>
      </c>
      <c r="AB565" s="25">
        <f>IF(E565="","",IF(H565="Onsite",IFERROR(INDEX(tbl_Onsite[Qwilr Quote],MATCH(E565&amp;"",tbl_Onsite[Job Number],0)),""),IF(H565="Production",IFERROR(IF(INDEX(tbl_Production[Current RMS No],MATCH(E565&amp;"",tbl_Production[Job Number],0))="",INDEX(tbl_Production[Qwilr Quote],MATCH(E565&amp;"",tbl_Production[Job Number],0)),INDEX(tbl_Production[Current RMS No],MATCH(E565&amp;"",tbl_Production[Job Number],0))),""),IF(H565="Consulting",IFERROR(INDEX(tbl_Consulting[Qwilr Quote],MATCH(E565&amp;"",tbl_Consulting[Job Number],0)),""),""))))</f>
        <v/>
      </c>
      <c r="AC565" s="25">
        <f>IF(AB565="","",IF(AND(LEFT(AB565,4)&lt;&gt;"http",IF(H565="Production",set_RMSBase,set_QwilrBase)=""),"",HYPERLINK(IF(LEFT(AB565,4)="http",AB565,IF(H565="Production",set_RMSBase,set_QwilrBase)&amp;AB565),"Open")))</f>
        <v/>
      </c>
      <c r="AD565" s="27">
        <f>IF(E565="","",IF(H565="Production",IFERROR(INDEX(tbl_Production[Total Expense],MATCH(E565&amp;"",tbl_Production[Job Number],0)),0),IF(H565="Consulting",IFERROR(INDEX(tbl_Consulting[Total Expense],MATCH(E565&amp;"",tbl_Consulting[Job Number],0)),0),0)))</f>
        <v/>
      </c>
      <c r="AE565" s="27">
        <f>IF(E565="","",Y565-N(AD565))</f>
        <v/>
      </c>
      <c r="AF565" s="29">
        <f>IFERROR(AE565/Y565,"")</f>
        <v/>
      </c>
      <c r="AG565" s="25">
        <f>IF(E565="","",IF(H565="Onsite",IFERROR(INDEX(tbl_Onsite[Notes],MATCH(E565&amp;"",tbl_Onsite[Job Number],0)),""),IF(H565="Production",IFERROR(INDEX(tbl_Production[Notes],MATCH(E565&amp;"",tbl_Production[Job Number],0)),""),IF(H565="Consulting",IFERROR(INDEX(tbl_Consulting[Notes],MATCH(E565&amp;"",tbl_Consulting[Job Number],0)),""),""))))</f>
        <v/>
      </c>
    </row>
    <row r="566" ht="15" customHeight="1">
      <c r="A566" s="22" t="n"/>
      <c r="B566" s="23">
        <f>IF(A566="","",EOMONTH(A566,0))</f>
        <v/>
      </c>
      <c r="C566" s="24" t="n"/>
      <c r="D566" s="24" t="n"/>
      <c r="E566" s="24" t="n"/>
      <c r="F566" s="25">
        <f>IF(E566="","",IF(COUNTIF(lst_Jobs,E566&amp;"")&gt;0,"OK","CHECK"))</f>
        <v/>
      </c>
      <c r="G566" s="24" t="n"/>
      <c r="H566" s="24" t="n"/>
      <c r="I566" s="24" t="n"/>
      <c r="J566" s="24" t="n"/>
      <c r="K566" s="24" t="n"/>
      <c r="L566" s="26" t="n"/>
      <c r="M566" s="27">
        <f>IF(L566="","",IF(K566="GST 10%",ROUND(L566*set_GSTRate,2),0))</f>
        <v/>
      </c>
      <c r="N566" s="27">
        <f>IF(L566="","",L566+M566)</f>
        <v/>
      </c>
      <c r="O566" s="24" t="n"/>
      <c r="P566" s="24" t="n"/>
      <c r="Q566" s="24" t="n"/>
      <c r="R566" s="22" t="n"/>
      <c r="S566" s="22" t="n"/>
      <c r="T566" s="24" t="n"/>
      <c r="U566" s="24" t="n"/>
      <c r="V566" s="25">
        <f>IF(COUNTA(A566,D566,C566,L566)=0,"",IF(A566="","No date - sits outside every month",IF(E566="","No job number",IF(F566="CHECK","Job number is not in the Xero job list",IF(I566="","No cost centre",IF(AND(P566="Y",C566=""),"Marked posted to Xero but has no invoice number",IF(AND(L566&lt;&gt;"",K566=""),"No tax code",IF(AND(L566&lt;&gt;"",O566=""),"No revenue GL code",""))))))))</f>
        <v/>
      </c>
      <c r="W566" s="25">
        <f>IF(E566="","",IFERROR(INDEX(lst_JobName,MATCH(E566&amp;"",lst_Jobs,0)),""))</f>
        <v/>
      </c>
      <c r="X566" s="28">
        <f>IF(E566="","",COUNTIFS(tbl_Finance[Job Number],E566&amp;"",tbl_Finance[Ex GST],"&lt;&gt;"))</f>
        <v/>
      </c>
      <c r="Y566" s="27">
        <f>IF(E566="","",SUMIFS(tbl_Finance[Ex GST],tbl_Finance[Job Number],E566&amp;""))</f>
        <v/>
      </c>
      <c r="Z566" s="27">
        <f>IF(E566="","",SUMIFS(tbl_Finance[Ex GST],tbl_Finance[Job Number],E566&amp;"",tbl_Finance[Xero Invoice No],"&lt;&gt;"))</f>
        <v/>
      </c>
      <c r="AA566" s="27">
        <f>IF(E566="","",Y566-Z566)</f>
        <v/>
      </c>
      <c r="AB566" s="25">
        <f>IF(E566="","",IF(H566="Onsite",IFERROR(INDEX(tbl_Onsite[Qwilr Quote],MATCH(E566&amp;"",tbl_Onsite[Job Number],0)),""),IF(H566="Production",IFERROR(IF(INDEX(tbl_Production[Current RMS No],MATCH(E566&amp;"",tbl_Production[Job Number],0))="",INDEX(tbl_Production[Qwilr Quote],MATCH(E566&amp;"",tbl_Production[Job Number],0)),INDEX(tbl_Production[Current RMS No],MATCH(E566&amp;"",tbl_Production[Job Number],0))),""),IF(H566="Consulting",IFERROR(INDEX(tbl_Consulting[Qwilr Quote],MATCH(E566&amp;"",tbl_Consulting[Job Number],0)),""),""))))</f>
        <v/>
      </c>
      <c r="AC566" s="25">
        <f>IF(AB566="","",IF(AND(LEFT(AB566,4)&lt;&gt;"http",IF(H566="Production",set_RMSBase,set_QwilrBase)=""),"",HYPERLINK(IF(LEFT(AB566,4)="http",AB566,IF(H566="Production",set_RMSBase,set_QwilrBase)&amp;AB566),"Open")))</f>
        <v/>
      </c>
      <c r="AD566" s="27">
        <f>IF(E566="","",IF(H566="Production",IFERROR(INDEX(tbl_Production[Total Expense],MATCH(E566&amp;"",tbl_Production[Job Number],0)),0),IF(H566="Consulting",IFERROR(INDEX(tbl_Consulting[Total Expense],MATCH(E566&amp;"",tbl_Consulting[Job Number],0)),0),0)))</f>
        <v/>
      </c>
      <c r="AE566" s="27">
        <f>IF(E566="","",Y566-N(AD566))</f>
        <v/>
      </c>
      <c r="AF566" s="29">
        <f>IFERROR(AE566/Y566,"")</f>
        <v/>
      </c>
      <c r="AG566" s="25">
        <f>IF(E566="","",IF(H566="Onsite",IFERROR(INDEX(tbl_Onsite[Notes],MATCH(E566&amp;"",tbl_Onsite[Job Number],0)),""),IF(H566="Production",IFERROR(INDEX(tbl_Production[Notes],MATCH(E566&amp;"",tbl_Production[Job Number],0)),""),IF(H566="Consulting",IFERROR(INDEX(tbl_Consulting[Notes],MATCH(E566&amp;"",tbl_Consulting[Job Number],0)),""),""))))</f>
        <v/>
      </c>
    </row>
    <row r="567" ht="15" customHeight="1">
      <c r="A567" s="22" t="n"/>
      <c r="B567" s="23">
        <f>IF(A567="","",EOMONTH(A567,0))</f>
        <v/>
      </c>
      <c r="C567" s="24" t="n"/>
      <c r="D567" s="24" t="n"/>
      <c r="E567" s="24" t="n"/>
      <c r="F567" s="25">
        <f>IF(E567="","",IF(COUNTIF(lst_Jobs,E567&amp;"")&gt;0,"OK","CHECK"))</f>
        <v/>
      </c>
      <c r="G567" s="24" t="n"/>
      <c r="H567" s="24" t="n"/>
      <c r="I567" s="24" t="n"/>
      <c r="J567" s="24" t="n"/>
      <c r="K567" s="24" t="n"/>
      <c r="L567" s="26" t="n"/>
      <c r="M567" s="27">
        <f>IF(L567="","",IF(K567="GST 10%",ROUND(L567*set_GSTRate,2),0))</f>
        <v/>
      </c>
      <c r="N567" s="27">
        <f>IF(L567="","",L567+M567)</f>
        <v/>
      </c>
      <c r="O567" s="24" t="n"/>
      <c r="P567" s="24" t="n"/>
      <c r="Q567" s="24" t="n"/>
      <c r="R567" s="22" t="n"/>
      <c r="S567" s="22" t="n"/>
      <c r="T567" s="24" t="n"/>
      <c r="U567" s="24" t="n"/>
      <c r="V567" s="25">
        <f>IF(COUNTA(A567,D567,C567,L567)=0,"",IF(A567="","No date - sits outside every month",IF(E567="","No job number",IF(F567="CHECK","Job number is not in the Xero job list",IF(I567="","No cost centre",IF(AND(P567="Y",C567=""),"Marked posted to Xero but has no invoice number",IF(AND(L567&lt;&gt;"",K567=""),"No tax code",IF(AND(L567&lt;&gt;"",O567=""),"No revenue GL code",""))))))))</f>
        <v/>
      </c>
      <c r="W567" s="25">
        <f>IF(E567="","",IFERROR(INDEX(lst_JobName,MATCH(E567&amp;"",lst_Jobs,0)),""))</f>
        <v/>
      </c>
      <c r="X567" s="28">
        <f>IF(E567="","",COUNTIFS(tbl_Finance[Job Number],E567&amp;"",tbl_Finance[Ex GST],"&lt;&gt;"))</f>
        <v/>
      </c>
      <c r="Y567" s="27">
        <f>IF(E567="","",SUMIFS(tbl_Finance[Ex GST],tbl_Finance[Job Number],E567&amp;""))</f>
        <v/>
      </c>
      <c r="Z567" s="27">
        <f>IF(E567="","",SUMIFS(tbl_Finance[Ex GST],tbl_Finance[Job Number],E567&amp;"",tbl_Finance[Xero Invoice No],"&lt;&gt;"))</f>
        <v/>
      </c>
      <c r="AA567" s="27">
        <f>IF(E567="","",Y567-Z567)</f>
        <v/>
      </c>
      <c r="AB567" s="25">
        <f>IF(E567="","",IF(H567="Onsite",IFERROR(INDEX(tbl_Onsite[Qwilr Quote],MATCH(E567&amp;"",tbl_Onsite[Job Number],0)),""),IF(H567="Production",IFERROR(IF(INDEX(tbl_Production[Current RMS No],MATCH(E567&amp;"",tbl_Production[Job Number],0))="",INDEX(tbl_Production[Qwilr Quote],MATCH(E567&amp;"",tbl_Production[Job Number],0)),INDEX(tbl_Production[Current RMS No],MATCH(E567&amp;"",tbl_Production[Job Number],0))),""),IF(H567="Consulting",IFERROR(INDEX(tbl_Consulting[Qwilr Quote],MATCH(E567&amp;"",tbl_Consulting[Job Number],0)),""),""))))</f>
        <v/>
      </c>
      <c r="AC567" s="25">
        <f>IF(AB567="","",IF(AND(LEFT(AB567,4)&lt;&gt;"http",IF(H567="Production",set_RMSBase,set_QwilrBase)=""),"",HYPERLINK(IF(LEFT(AB567,4)="http",AB567,IF(H567="Production",set_RMSBase,set_QwilrBase)&amp;AB567),"Open")))</f>
        <v/>
      </c>
      <c r="AD567" s="27">
        <f>IF(E567="","",IF(H567="Production",IFERROR(INDEX(tbl_Production[Total Expense],MATCH(E567&amp;"",tbl_Production[Job Number],0)),0),IF(H567="Consulting",IFERROR(INDEX(tbl_Consulting[Total Expense],MATCH(E567&amp;"",tbl_Consulting[Job Number],0)),0),0)))</f>
        <v/>
      </c>
      <c r="AE567" s="27">
        <f>IF(E567="","",Y567-N(AD567))</f>
        <v/>
      </c>
      <c r="AF567" s="29">
        <f>IFERROR(AE567/Y567,"")</f>
        <v/>
      </c>
      <c r="AG567" s="25">
        <f>IF(E567="","",IF(H567="Onsite",IFERROR(INDEX(tbl_Onsite[Notes],MATCH(E567&amp;"",tbl_Onsite[Job Number],0)),""),IF(H567="Production",IFERROR(INDEX(tbl_Production[Notes],MATCH(E567&amp;"",tbl_Production[Job Number],0)),""),IF(H567="Consulting",IFERROR(INDEX(tbl_Consulting[Notes],MATCH(E567&amp;"",tbl_Consulting[Job Number],0)),""),""))))</f>
        <v/>
      </c>
    </row>
    <row r="568" ht="15" customHeight="1">
      <c r="A568" s="22" t="n"/>
      <c r="B568" s="23">
        <f>IF(A568="","",EOMONTH(A568,0))</f>
        <v/>
      </c>
      <c r="C568" s="24" t="n"/>
      <c r="D568" s="24" t="n"/>
      <c r="E568" s="24" t="n"/>
      <c r="F568" s="25">
        <f>IF(E568="","",IF(COUNTIF(lst_Jobs,E568&amp;"")&gt;0,"OK","CHECK"))</f>
        <v/>
      </c>
      <c r="G568" s="24" t="n"/>
      <c r="H568" s="24" t="n"/>
      <c r="I568" s="24" t="n"/>
      <c r="J568" s="24" t="n"/>
      <c r="K568" s="24" t="n"/>
      <c r="L568" s="26" t="n"/>
      <c r="M568" s="27">
        <f>IF(L568="","",IF(K568="GST 10%",ROUND(L568*set_GSTRate,2),0))</f>
        <v/>
      </c>
      <c r="N568" s="27">
        <f>IF(L568="","",L568+M568)</f>
        <v/>
      </c>
      <c r="O568" s="24" t="n"/>
      <c r="P568" s="24" t="n"/>
      <c r="Q568" s="24" t="n"/>
      <c r="R568" s="22" t="n"/>
      <c r="S568" s="22" t="n"/>
      <c r="T568" s="24" t="n"/>
      <c r="U568" s="24" t="n"/>
      <c r="V568" s="25">
        <f>IF(COUNTA(A568,D568,C568,L568)=0,"",IF(A568="","No date - sits outside every month",IF(E568="","No job number",IF(F568="CHECK","Job number is not in the Xero job list",IF(I568="","No cost centre",IF(AND(P568="Y",C568=""),"Marked posted to Xero but has no invoice number",IF(AND(L568&lt;&gt;"",K568=""),"No tax code",IF(AND(L568&lt;&gt;"",O568=""),"No revenue GL code",""))))))))</f>
        <v/>
      </c>
      <c r="W568" s="25">
        <f>IF(E568="","",IFERROR(INDEX(lst_JobName,MATCH(E568&amp;"",lst_Jobs,0)),""))</f>
        <v/>
      </c>
      <c r="X568" s="28">
        <f>IF(E568="","",COUNTIFS(tbl_Finance[Job Number],E568&amp;"",tbl_Finance[Ex GST],"&lt;&gt;"))</f>
        <v/>
      </c>
      <c r="Y568" s="27">
        <f>IF(E568="","",SUMIFS(tbl_Finance[Ex GST],tbl_Finance[Job Number],E568&amp;""))</f>
        <v/>
      </c>
      <c r="Z568" s="27">
        <f>IF(E568="","",SUMIFS(tbl_Finance[Ex GST],tbl_Finance[Job Number],E568&amp;"",tbl_Finance[Xero Invoice No],"&lt;&gt;"))</f>
        <v/>
      </c>
      <c r="AA568" s="27">
        <f>IF(E568="","",Y568-Z568)</f>
        <v/>
      </c>
      <c r="AB568" s="25">
        <f>IF(E568="","",IF(H568="Onsite",IFERROR(INDEX(tbl_Onsite[Qwilr Quote],MATCH(E568&amp;"",tbl_Onsite[Job Number],0)),""),IF(H568="Production",IFERROR(IF(INDEX(tbl_Production[Current RMS No],MATCH(E568&amp;"",tbl_Production[Job Number],0))="",INDEX(tbl_Production[Qwilr Quote],MATCH(E568&amp;"",tbl_Production[Job Number],0)),INDEX(tbl_Production[Current RMS No],MATCH(E568&amp;"",tbl_Production[Job Number],0))),""),IF(H568="Consulting",IFERROR(INDEX(tbl_Consulting[Qwilr Quote],MATCH(E568&amp;"",tbl_Consulting[Job Number],0)),""),""))))</f>
        <v/>
      </c>
      <c r="AC568" s="25">
        <f>IF(AB568="","",IF(AND(LEFT(AB568,4)&lt;&gt;"http",IF(H568="Production",set_RMSBase,set_QwilrBase)=""),"",HYPERLINK(IF(LEFT(AB568,4)="http",AB568,IF(H568="Production",set_RMSBase,set_QwilrBase)&amp;AB568),"Open")))</f>
        <v/>
      </c>
      <c r="AD568" s="27">
        <f>IF(E568="","",IF(H568="Production",IFERROR(INDEX(tbl_Production[Total Expense],MATCH(E568&amp;"",tbl_Production[Job Number],0)),0),IF(H568="Consulting",IFERROR(INDEX(tbl_Consulting[Total Expense],MATCH(E568&amp;"",tbl_Consulting[Job Number],0)),0),0)))</f>
        <v/>
      </c>
      <c r="AE568" s="27">
        <f>IF(E568="","",Y568-N(AD568))</f>
        <v/>
      </c>
      <c r="AF568" s="29">
        <f>IFERROR(AE568/Y568,"")</f>
        <v/>
      </c>
      <c r="AG568" s="25">
        <f>IF(E568="","",IF(H568="Onsite",IFERROR(INDEX(tbl_Onsite[Notes],MATCH(E568&amp;"",tbl_Onsite[Job Number],0)),""),IF(H568="Production",IFERROR(INDEX(tbl_Production[Notes],MATCH(E568&amp;"",tbl_Production[Job Number],0)),""),IF(H568="Consulting",IFERROR(INDEX(tbl_Consulting[Notes],MATCH(E568&amp;"",tbl_Consulting[Job Number],0)),""),""))))</f>
        <v/>
      </c>
    </row>
    <row r="569" ht="15" customHeight="1">
      <c r="A569" s="22" t="n"/>
      <c r="B569" s="23">
        <f>IF(A569="","",EOMONTH(A569,0))</f>
        <v/>
      </c>
      <c r="C569" s="24" t="n"/>
      <c r="D569" s="24" t="n"/>
      <c r="E569" s="24" t="n"/>
      <c r="F569" s="25">
        <f>IF(E569="","",IF(COUNTIF(lst_Jobs,E569&amp;"")&gt;0,"OK","CHECK"))</f>
        <v/>
      </c>
      <c r="G569" s="24" t="n"/>
      <c r="H569" s="24" t="n"/>
      <c r="I569" s="24" t="n"/>
      <c r="J569" s="24" t="n"/>
      <c r="K569" s="24" t="n"/>
      <c r="L569" s="26" t="n"/>
      <c r="M569" s="27">
        <f>IF(L569="","",IF(K569="GST 10%",ROUND(L569*set_GSTRate,2),0))</f>
        <v/>
      </c>
      <c r="N569" s="27">
        <f>IF(L569="","",L569+M569)</f>
        <v/>
      </c>
      <c r="O569" s="24" t="n"/>
      <c r="P569" s="24" t="n"/>
      <c r="Q569" s="24" t="n"/>
      <c r="R569" s="22" t="n"/>
      <c r="S569" s="22" t="n"/>
      <c r="T569" s="24" t="n"/>
      <c r="U569" s="24" t="n"/>
      <c r="V569" s="25">
        <f>IF(COUNTA(A569,D569,C569,L569)=0,"",IF(A569="","No date - sits outside every month",IF(E569="","No job number",IF(F569="CHECK","Job number is not in the Xero job list",IF(I569="","No cost centre",IF(AND(P569="Y",C569=""),"Marked posted to Xero but has no invoice number",IF(AND(L569&lt;&gt;"",K569=""),"No tax code",IF(AND(L569&lt;&gt;"",O569=""),"No revenue GL code",""))))))))</f>
        <v/>
      </c>
      <c r="W569" s="25">
        <f>IF(E569="","",IFERROR(INDEX(lst_JobName,MATCH(E569&amp;"",lst_Jobs,0)),""))</f>
        <v/>
      </c>
      <c r="X569" s="28">
        <f>IF(E569="","",COUNTIFS(tbl_Finance[Job Number],E569&amp;"",tbl_Finance[Ex GST],"&lt;&gt;"))</f>
        <v/>
      </c>
      <c r="Y569" s="27">
        <f>IF(E569="","",SUMIFS(tbl_Finance[Ex GST],tbl_Finance[Job Number],E569&amp;""))</f>
        <v/>
      </c>
      <c r="Z569" s="27">
        <f>IF(E569="","",SUMIFS(tbl_Finance[Ex GST],tbl_Finance[Job Number],E569&amp;"",tbl_Finance[Xero Invoice No],"&lt;&gt;"))</f>
        <v/>
      </c>
      <c r="AA569" s="27">
        <f>IF(E569="","",Y569-Z569)</f>
        <v/>
      </c>
      <c r="AB569" s="25">
        <f>IF(E569="","",IF(H569="Onsite",IFERROR(INDEX(tbl_Onsite[Qwilr Quote],MATCH(E569&amp;"",tbl_Onsite[Job Number],0)),""),IF(H569="Production",IFERROR(IF(INDEX(tbl_Production[Current RMS No],MATCH(E569&amp;"",tbl_Production[Job Number],0))="",INDEX(tbl_Production[Qwilr Quote],MATCH(E569&amp;"",tbl_Production[Job Number],0)),INDEX(tbl_Production[Current RMS No],MATCH(E569&amp;"",tbl_Production[Job Number],0))),""),IF(H569="Consulting",IFERROR(INDEX(tbl_Consulting[Qwilr Quote],MATCH(E569&amp;"",tbl_Consulting[Job Number],0)),""),""))))</f>
        <v/>
      </c>
      <c r="AC569" s="25">
        <f>IF(AB569="","",IF(AND(LEFT(AB569,4)&lt;&gt;"http",IF(H569="Production",set_RMSBase,set_QwilrBase)=""),"",HYPERLINK(IF(LEFT(AB569,4)="http",AB569,IF(H569="Production",set_RMSBase,set_QwilrBase)&amp;AB569),"Open")))</f>
        <v/>
      </c>
      <c r="AD569" s="27">
        <f>IF(E569="","",IF(H569="Production",IFERROR(INDEX(tbl_Production[Total Expense],MATCH(E569&amp;"",tbl_Production[Job Number],0)),0),IF(H569="Consulting",IFERROR(INDEX(tbl_Consulting[Total Expense],MATCH(E569&amp;"",tbl_Consulting[Job Number],0)),0),0)))</f>
        <v/>
      </c>
      <c r="AE569" s="27">
        <f>IF(E569="","",Y569-N(AD569))</f>
        <v/>
      </c>
      <c r="AF569" s="29">
        <f>IFERROR(AE569/Y569,"")</f>
        <v/>
      </c>
      <c r="AG569" s="25">
        <f>IF(E569="","",IF(H569="Onsite",IFERROR(INDEX(tbl_Onsite[Notes],MATCH(E569&amp;"",tbl_Onsite[Job Number],0)),""),IF(H569="Production",IFERROR(INDEX(tbl_Production[Notes],MATCH(E569&amp;"",tbl_Production[Job Number],0)),""),IF(H569="Consulting",IFERROR(INDEX(tbl_Consulting[Notes],MATCH(E569&amp;"",tbl_Consulting[Job Number],0)),""),""))))</f>
        <v/>
      </c>
    </row>
    <row r="570" ht="15" customHeight="1">
      <c r="A570" s="22" t="n"/>
      <c r="B570" s="23">
        <f>IF(A570="","",EOMONTH(A570,0))</f>
        <v/>
      </c>
      <c r="C570" s="24" t="n"/>
      <c r="D570" s="24" t="n"/>
      <c r="E570" s="24" t="n"/>
      <c r="F570" s="25">
        <f>IF(E570="","",IF(COUNTIF(lst_Jobs,E570&amp;"")&gt;0,"OK","CHECK"))</f>
        <v/>
      </c>
      <c r="G570" s="24" t="n"/>
      <c r="H570" s="24" t="n"/>
      <c r="I570" s="24" t="n"/>
      <c r="J570" s="24" t="n"/>
      <c r="K570" s="24" t="n"/>
      <c r="L570" s="26" t="n"/>
      <c r="M570" s="27">
        <f>IF(L570="","",IF(K570="GST 10%",ROUND(L570*set_GSTRate,2),0))</f>
        <v/>
      </c>
      <c r="N570" s="27">
        <f>IF(L570="","",L570+M570)</f>
        <v/>
      </c>
      <c r="O570" s="24" t="n"/>
      <c r="P570" s="24" t="n"/>
      <c r="Q570" s="24" t="n"/>
      <c r="R570" s="22" t="n"/>
      <c r="S570" s="22" t="n"/>
      <c r="T570" s="24" t="n"/>
      <c r="U570" s="24" t="n"/>
      <c r="V570" s="25">
        <f>IF(COUNTA(A570,D570,C570,L570)=0,"",IF(A570="","No date - sits outside every month",IF(E570="","No job number",IF(F570="CHECK","Job number is not in the Xero job list",IF(I570="","No cost centre",IF(AND(P570="Y",C570=""),"Marked posted to Xero but has no invoice number",IF(AND(L570&lt;&gt;"",K570=""),"No tax code",IF(AND(L570&lt;&gt;"",O570=""),"No revenue GL code",""))))))))</f>
        <v/>
      </c>
      <c r="W570" s="25">
        <f>IF(E570="","",IFERROR(INDEX(lst_JobName,MATCH(E570&amp;"",lst_Jobs,0)),""))</f>
        <v/>
      </c>
      <c r="X570" s="28">
        <f>IF(E570="","",COUNTIFS(tbl_Finance[Job Number],E570&amp;"",tbl_Finance[Ex GST],"&lt;&gt;"))</f>
        <v/>
      </c>
      <c r="Y570" s="27">
        <f>IF(E570="","",SUMIFS(tbl_Finance[Ex GST],tbl_Finance[Job Number],E570&amp;""))</f>
        <v/>
      </c>
      <c r="Z570" s="27">
        <f>IF(E570="","",SUMIFS(tbl_Finance[Ex GST],tbl_Finance[Job Number],E570&amp;"",tbl_Finance[Xero Invoice No],"&lt;&gt;"))</f>
        <v/>
      </c>
      <c r="AA570" s="27">
        <f>IF(E570="","",Y570-Z570)</f>
        <v/>
      </c>
      <c r="AB570" s="25">
        <f>IF(E570="","",IF(H570="Onsite",IFERROR(INDEX(tbl_Onsite[Qwilr Quote],MATCH(E570&amp;"",tbl_Onsite[Job Number],0)),""),IF(H570="Production",IFERROR(IF(INDEX(tbl_Production[Current RMS No],MATCH(E570&amp;"",tbl_Production[Job Number],0))="",INDEX(tbl_Production[Qwilr Quote],MATCH(E570&amp;"",tbl_Production[Job Number],0)),INDEX(tbl_Production[Current RMS No],MATCH(E570&amp;"",tbl_Production[Job Number],0))),""),IF(H570="Consulting",IFERROR(INDEX(tbl_Consulting[Qwilr Quote],MATCH(E570&amp;"",tbl_Consulting[Job Number],0)),""),""))))</f>
        <v/>
      </c>
      <c r="AC570" s="25">
        <f>IF(AB570="","",IF(AND(LEFT(AB570,4)&lt;&gt;"http",IF(H570="Production",set_RMSBase,set_QwilrBase)=""),"",HYPERLINK(IF(LEFT(AB570,4)="http",AB570,IF(H570="Production",set_RMSBase,set_QwilrBase)&amp;AB570),"Open")))</f>
        <v/>
      </c>
      <c r="AD570" s="27">
        <f>IF(E570="","",IF(H570="Production",IFERROR(INDEX(tbl_Production[Total Expense],MATCH(E570&amp;"",tbl_Production[Job Number],0)),0),IF(H570="Consulting",IFERROR(INDEX(tbl_Consulting[Total Expense],MATCH(E570&amp;"",tbl_Consulting[Job Number],0)),0),0)))</f>
        <v/>
      </c>
      <c r="AE570" s="27">
        <f>IF(E570="","",Y570-N(AD570))</f>
        <v/>
      </c>
      <c r="AF570" s="29">
        <f>IFERROR(AE570/Y570,"")</f>
        <v/>
      </c>
      <c r="AG570" s="25">
        <f>IF(E570="","",IF(H570="Onsite",IFERROR(INDEX(tbl_Onsite[Notes],MATCH(E570&amp;"",tbl_Onsite[Job Number],0)),""),IF(H570="Production",IFERROR(INDEX(tbl_Production[Notes],MATCH(E570&amp;"",tbl_Production[Job Number],0)),""),IF(H570="Consulting",IFERROR(INDEX(tbl_Consulting[Notes],MATCH(E570&amp;"",tbl_Consulting[Job Number],0)),""),""))))</f>
        <v/>
      </c>
    </row>
    <row r="571" ht="15" customHeight="1">
      <c r="A571" s="22" t="n"/>
      <c r="B571" s="23">
        <f>IF(A571="","",EOMONTH(A571,0))</f>
        <v/>
      </c>
      <c r="C571" s="24" t="n"/>
      <c r="D571" s="24" t="n"/>
      <c r="E571" s="24" t="n"/>
      <c r="F571" s="25">
        <f>IF(E571="","",IF(COUNTIF(lst_Jobs,E571&amp;"")&gt;0,"OK","CHECK"))</f>
        <v/>
      </c>
      <c r="G571" s="24" t="n"/>
      <c r="H571" s="24" t="n"/>
      <c r="I571" s="24" t="n"/>
      <c r="J571" s="24" t="n"/>
      <c r="K571" s="24" t="n"/>
      <c r="L571" s="26" t="n"/>
      <c r="M571" s="27">
        <f>IF(L571="","",IF(K571="GST 10%",ROUND(L571*set_GSTRate,2),0))</f>
        <v/>
      </c>
      <c r="N571" s="27">
        <f>IF(L571="","",L571+M571)</f>
        <v/>
      </c>
      <c r="O571" s="24" t="n"/>
      <c r="P571" s="24" t="n"/>
      <c r="Q571" s="24" t="n"/>
      <c r="R571" s="22" t="n"/>
      <c r="S571" s="22" t="n"/>
      <c r="T571" s="24" t="n"/>
      <c r="U571" s="24" t="n"/>
      <c r="V571" s="25">
        <f>IF(COUNTA(A571,D571,C571,L571)=0,"",IF(A571="","No date - sits outside every month",IF(E571="","No job number",IF(F571="CHECK","Job number is not in the Xero job list",IF(I571="","No cost centre",IF(AND(P571="Y",C571=""),"Marked posted to Xero but has no invoice number",IF(AND(L571&lt;&gt;"",K571=""),"No tax code",IF(AND(L571&lt;&gt;"",O571=""),"No revenue GL code",""))))))))</f>
        <v/>
      </c>
      <c r="W571" s="25">
        <f>IF(E571="","",IFERROR(INDEX(lst_JobName,MATCH(E571&amp;"",lst_Jobs,0)),""))</f>
        <v/>
      </c>
      <c r="X571" s="28">
        <f>IF(E571="","",COUNTIFS(tbl_Finance[Job Number],E571&amp;"",tbl_Finance[Ex GST],"&lt;&gt;"))</f>
        <v/>
      </c>
      <c r="Y571" s="27">
        <f>IF(E571="","",SUMIFS(tbl_Finance[Ex GST],tbl_Finance[Job Number],E571&amp;""))</f>
        <v/>
      </c>
      <c r="Z571" s="27">
        <f>IF(E571="","",SUMIFS(tbl_Finance[Ex GST],tbl_Finance[Job Number],E571&amp;"",tbl_Finance[Xero Invoice No],"&lt;&gt;"))</f>
        <v/>
      </c>
      <c r="AA571" s="27">
        <f>IF(E571="","",Y571-Z571)</f>
        <v/>
      </c>
      <c r="AB571" s="25">
        <f>IF(E571="","",IF(H571="Onsite",IFERROR(INDEX(tbl_Onsite[Qwilr Quote],MATCH(E571&amp;"",tbl_Onsite[Job Number],0)),""),IF(H571="Production",IFERROR(IF(INDEX(tbl_Production[Current RMS No],MATCH(E571&amp;"",tbl_Production[Job Number],0))="",INDEX(tbl_Production[Qwilr Quote],MATCH(E571&amp;"",tbl_Production[Job Number],0)),INDEX(tbl_Production[Current RMS No],MATCH(E571&amp;"",tbl_Production[Job Number],0))),""),IF(H571="Consulting",IFERROR(INDEX(tbl_Consulting[Qwilr Quote],MATCH(E571&amp;"",tbl_Consulting[Job Number],0)),""),""))))</f>
        <v/>
      </c>
      <c r="AC571" s="25">
        <f>IF(AB571="","",IF(AND(LEFT(AB571,4)&lt;&gt;"http",IF(H571="Production",set_RMSBase,set_QwilrBase)=""),"",HYPERLINK(IF(LEFT(AB571,4)="http",AB571,IF(H571="Production",set_RMSBase,set_QwilrBase)&amp;AB571),"Open")))</f>
        <v/>
      </c>
      <c r="AD571" s="27">
        <f>IF(E571="","",IF(H571="Production",IFERROR(INDEX(tbl_Production[Total Expense],MATCH(E571&amp;"",tbl_Production[Job Number],0)),0),IF(H571="Consulting",IFERROR(INDEX(tbl_Consulting[Total Expense],MATCH(E571&amp;"",tbl_Consulting[Job Number],0)),0),0)))</f>
        <v/>
      </c>
      <c r="AE571" s="27">
        <f>IF(E571="","",Y571-N(AD571))</f>
        <v/>
      </c>
      <c r="AF571" s="29">
        <f>IFERROR(AE571/Y571,"")</f>
        <v/>
      </c>
      <c r="AG571" s="25">
        <f>IF(E571="","",IF(H571="Onsite",IFERROR(INDEX(tbl_Onsite[Notes],MATCH(E571&amp;"",tbl_Onsite[Job Number],0)),""),IF(H571="Production",IFERROR(INDEX(tbl_Production[Notes],MATCH(E571&amp;"",tbl_Production[Job Number],0)),""),IF(H571="Consulting",IFERROR(INDEX(tbl_Consulting[Notes],MATCH(E571&amp;"",tbl_Consulting[Job Number],0)),""),""))))</f>
        <v/>
      </c>
    </row>
    <row r="572" ht="15" customHeight="1">
      <c r="A572" s="22" t="n"/>
      <c r="B572" s="23">
        <f>IF(A572="","",EOMONTH(A572,0))</f>
        <v/>
      </c>
      <c r="C572" s="24" t="n"/>
      <c r="D572" s="24" t="n"/>
      <c r="E572" s="24" t="n"/>
      <c r="F572" s="25">
        <f>IF(E572="","",IF(COUNTIF(lst_Jobs,E572&amp;"")&gt;0,"OK","CHECK"))</f>
        <v/>
      </c>
      <c r="G572" s="24" t="n"/>
      <c r="H572" s="24" t="n"/>
      <c r="I572" s="24" t="n"/>
      <c r="J572" s="24" t="n"/>
      <c r="K572" s="24" t="n"/>
      <c r="L572" s="26" t="n"/>
      <c r="M572" s="27">
        <f>IF(L572="","",IF(K572="GST 10%",ROUND(L572*set_GSTRate,2),0))</f>
        <v/>
      </c>
      <c r="N572" s="27">
        <f>IF(L572="","",L572+M572)</f>
        <v/>
      </c>
      <c r="O572" s="24" t="n"/>
      <c r="P572" s="24" t="n"/>
      <c r="Q572" s="24" t="n"/>
      <c r="R572" s="22" t="n"/>
      <c r="S572" s="22" t="n"/>
      <c r="T572" s="24" t="n"/>
      <c r="U572" s="24" t="n"/>
      <c r="V572" s="25">
        <f>IF(COUNTA(A572,D572,C572,L572)=0,"",IF(A572="","No date - sits outside every month",IF(E572="","No job number",IF(F572="CHECK","Job number is not in the Xero job list",IF(I572="","No cost centre",IF(AND(P572="Y",C572=""),"Marked posted to Xero but has no invoice number",IF(AND(L572&lt;&gt;"",K572=""),"No tax code",IF(AND(L572&lt;&gt;"",O572=""),"No revenue GL code",""))))))))</f>
        <v/>
      </c>
      <c r="W572" s="25">
        <f>IF(E572="","",IFERROR(INDEX(lst_JobName,MATCH(E572&amp;"",lst_Jobs,0)),""))</f>
        <v/>
      </c>
      <c r="X572" s="28">
        <f>IF(E572="","",COUNTIFS(tbl_Finance[Job Number],E572&amp;"",tbl_Finance[Ex GST],"&lt;&gt;"))</f>
        <v/>
      </c>
      <c r="Y572" s="27">
        <f>IF(E572="","",SUMIFS(tbl_Finance[Ex GST],tbl_Finance[Job Number],E572&amp;""))</f>
        <v/>
      </c>
      <c r="Z572" s="27">
        <f>IF(E572="","",SUMIFS(tbl_Finance[Ex GST],tbl_Finance[Job Number],E572&amp;"",tbl_Finance[Xero Invoice No],"&lt;&gt;"))</f>
        <v/>
      </c>
      <c r="AA572" s="27">
        <f>IF(E572="","",Y572-Z572)</f>
        <v/>
      </c>
      <c r="AB572" s="25">
        <f>IF(E572="","",IF(H572="Onsite",IFERROR(INDEX(tbl_Onsite[Qwilr Quote],MATCH(E572&amp;"",tbl_Onsite[Job Number],0)),""),IF(H572="Production",IFERROR(IF(INDEX(tbl_Production[Current RMS No],MATCH(E572&amp;"",tbl_Production[Job Number],0))="",INDEX(tbl_Production[Qwilr Quote],MATCH(E572&amp;"",tbl_Production[Job Number],0)),INDEX(tbl_Production[Current RMS No],MATCH(E572&amp;"",tbl_Production[Job Number],0))),""),IF(H572="Consulting",IFERROR(INDEX(tbl_Consulting[Qwilr Quote],MATCH(E572&amp;"",tbl_Consulting[Job Number],0)),""),""))))</f>
        <v/>
      </c>
      <c r="AC572" s="25">
        <f>IF(AB572="","",IF(AND(LEFT(AB572,4)&lt;&gt;"http",IF(H572="Production",set_RMSBase,set_QwilrBase)=""),"",HYPERLINK(IF(LEFT(AB572,4)="http",AB572,IF(H572="Production",set_RMSBase,set_QwilrBase)&amp;AB572),"Open")))</f>
        <v/>
      </c>
      <c r="AD572" s="27">
        <f>IF(E572="","",IF(H572="Production",IFERROR(INDEX(tbl_Production[Total Expense],MATCH(E572&amp;"",tbl_Production[Job Number],0)),0),IF(H572="Consulting",IFERROR(INDEX(tbl_Consulting[Total Expense],MATCH(E572&amp;"",tbl_Consulting[Job Number],0)),0),0)))</f>
        <v/>
      </c>
      <c r="AE572" s="27">
        <f>IF(E572="","",Y572-N(AD572))</f>
        <v/>
      </c>
      <c r="AF572" s="29">
        <f>IFERROR(AE572/Y572,"")</f>
        <v/>
      </c>
      <c r="AG572" s="25">
        <f>IF(E572="","",IF(H572="Onsite",IFERROR(INDEX(tbl_Onsite[Notes],MATCH(E572&amp;"",tbl_Onsite[Job Number],0)),""),IF(H572="Production",IFERROR(INDEX(tbl_Production[Notes],MATCH(E572&amp;"",tbl_Production[Job Number],0)),""),IF(H572="Consulting",IFERROR(INDEX(tbl_Consulting[Notes],MATCH(E572&amp;"",tbl_Consulting[Job Number],0)),""),""))))</f>
        <v/>
      </c>
    </row>
    <row r="573" ht="15" customHeight="1">
      <c r="A573" s="22" t="n"/>
      <c r="B573" s="23">
        <f>IF(A573="","",EOMONTH(A573,0))</f>
        <v/>
      </c>
      <c r="C573" s="24" t="n"/>
      <c r="D573" s="24" t="n"/>
      <c r="E573" s="24" t="n"/>
      <c r="F573" s="25">
        <f>IF(E573="","",IF(COUNTIF(lst_Jobs,E573&amp;"")&gt;0,"OK","CHECK"))</f>
        <v/>
      </c>
      <c r="G573" s="24" t="n"/>
      <c r="H573" s="24" t="n"/>
      <c r="I573" s="24" t="n"/>
      <c r="J573" s="24" t="n"/>
      <c r="K573" s="24" t="n"/>
      <c r="L573" s="26" t="n"/>
      <c r="M573" s="27">
        <f>IF(L573="","",IF(K573="GST 10%",ROUND(L573*set_GSTRate,2),0))</f>
        <v/>
      </c>
      <c r="N573" s="27">
        <f>IF(L573="","",L573+M573)</f>
        <v/>
      </c>
      <c r="O573" s="24" t="n"/>
      <c r="P573" s="24" t="n"/>
      <c r="Q573" s="24" t="n"/>
      <c r="R573" s="22" t="n"/>
      <c r="S573" s="22" t="n"/>
      <c r="T573" s="24" t="n"/>
      <c r="U573" s="24" t="n"/>
      <c r="V573" s="25">
        <f>IF(COUNTA(A573,D573,C573,L573)=0,"",IF(A573="","No date - sits outside every month",IF(E573="","No job number",IF(F573="CHECK","Job number is not in the Xero job list",IF(I573="","No cost centre",IF(AND(P573="Y",C573=""),"Marked posted to Xero but has no invoice number",IF(AND(L573&lt;&gt;"",K573=""),"No tax code",IF(AND(L573&lt;&gt;"",O573=""),"No revenue GL code",""))))))))</f>
        <v/>
      </c>
      <c r="W573" s="25">
        <f>IF(E573="","",IFERROR(INDEX(lst_JobName,MATCH(E573&amp;"",lst_Jobs,0)),""))</f>
        <v/>
      </c>
      <c r="X573" s="28">
        <f>IF(E573="","",COUNTIFS(tbl_Finance[Job Number],E573&amp;"",tbl_Finance[Ex GST],"&lt;&gt;"))</f>
        <v/>
      </c>
      <c r="Y573" s="27">
        <f>IF(E573="","",SUMIFS(tbl_Finance[Ex GST],tbl_Finance[Job Number],E573&amp;""))</f>
        <v/>
      </c>
      <c r="Z573" s="27">
        <f>IF(E573="","",SUMIFS(tbl_Finance[Ex GST],tbl_Finance[Job Number],E573&amp;"",tbl_Finance[Xero Invoice No],"&lt;&gt;"))</f>
        <v/>
      </c>
      <c r="AA573" s="27">
        <f>IF(E573="","",Y573-Z573)</f>
        <v/>
      </c>
      <c r="AB573" s="25">
        <f>IF(E573="","",IF(H573="Onsite",IFERROR(INDEX(tbl_Onsite[Qwilr Quote],MATCH(E573&amp;"",tbl_Onsite[Job Number],0)),""),IF(H573="Production",IFERROR(IF(INDEX(tbl_Production[Current RMS No],MATCH(E573&amp;"",tbl_Production[Job Number],0))="",INDEX(tbl_Production[Qwilr Quote],MATCH(E573&amp;"",tbl_Production[Job Number],0)),INDEX(tbl_Production[Current RMS No],MATCH(E573&amp;"",tbl_Production[Job Number],0))),""),IF(H573="Consulting",IFERROR(INDEX(tbl_Consulting[Qwilr Quote],MATCH(E573&amp;"",tbl_Consulting[Job Number],0)),""),""))))</f>
        <v/>
      </c>
      <c r="AC573" s="25">
        <f>IF(AB573="","",IF(AND(LEFT(AB573,4)&lt;&gt;"http",IF(H573="Production",set_RMSBase,set_QwilrBase)=""),"",HYPERLINK(IF(LEFT(AB573,4)="http",AB573,IF(H573="Production",set_RMSBase,set_QwilrBase)&amp;AB573),"Open")))</f>
        <v/>
      </c>
      <c r="AD573" s="27">
        <f>IF(E573="","",IF(H573="Production",IFERROR(INDEX(tbl_Production[Total Expense],MATCH(E573&amp;"",tbl_Production[Job Number],0)),0),IF(H573="Consulting",IFERROR(INDEX(tbl_Consulting[Total Expense],MATCH(E573&amp;"",tbl_Consulting[Job Number],0)),0),0)))</f>
        <v/>
      </c>
      <c r="AE573" s="27">
        <f>IF(E573="","",Y573-N(AD573))</f>
        <v/>
      </c>
      <c r="AF573" s="29">
        <f>IFERROR(AE573/Y573,"")</f>
        <v/>
      </c>
      <c r="AG573" s="25">
        <f>IF(E573="","",IF(H573="Onsite",IFERROR(INDEX(tbl_Onsite[Notes],MATCH(E573&amp;"",tbl_Onsite[Job Number],0)),""),IF(H573="Production",IFERROR(INDEX(tbl_Production[Notes],MATCH(E573&amp;"",tbl_Production[Job Number],0)),""),IF(H573="Consulting",IFERROR(INDEX(tbl_Consulting[Notes],MATCH(E573&amp;"",tbl_Consulting[Job Number],0)),""),""))))</f>
        <v/>
      </c>
    </row>
    <row r="574" ht="15" customHeight="1">
      <c r="A574" s="22" t="n"/>
      <c r="B574" s="23">
        <f>IF(A574="","",EOMONTH(A574,0))</f>
        <v/>
      </c>
      <c r="C574" s="24" t="n"/>
      <c r="D574" s="24" t="n"/>
      <c r="E574" s="24" t="n"/>
      <c r="F574" s="25">
        <f>IF(E574="","",IF(COUNTIF(lst_Jobs,E574&amp;"")&gt;0,"OK","CHECK"))</f>
        <v/>
      </c>
      <c r="G574" s="24" t="n"/>
      <c r="H574" s="24" t="n"/>
      <c r="I574" s="24" t="n"/>
      <c r="J574" s="24" t="n"/>
      <c r="K574" s="24" t="n"/>
      <c r="L574" s="26" t="n"/>
      <c r="M574" s="27">
        <f>IF(L574="","",IF(K574="GST 10%",ROUND(L574*set_GSTRate,2),0))</f>
        <v/>
      </c>
      <c r="N574" s="27">
        <f>IF(L574="","",L574+M574)</f>
        <v/>
      </c>
      <c r="O574" s="24" t="n"/>
      <c r="P574" s="24" t="n"/>
      <c r="Q574" s="24" t="n"/>
      <c r="R574" s="22" t="n"/>
      <c r="S574" s="22" t="n"/>
      <c r="T574" s="24" t="n"/>
      <c r="U574" s="24" t="n"/>
      <c r="V574" s="25">
        <f>IF(COUNTA(A574,D574,C574,L574)=0,"",IF(A574="","No date - sits outside every month",IF(E574="","No job number",IF(F574="CHECK","Job number is not in the Xero job list",IF(I574="","No cost centre",IF(AND(P574="Y",C574=""),"Marked posted to Xero but has no invoice number",IF(AND(L574&lt;&gt;"",K574=""),"No tax code",IF(AND(L574&lt;&gt;"",O574=""),"No revenue GL code",""))))))))</f>
        <v/>
      </c>
      <c r="W574" s="25">
        <f>IF(E574="","",IFERROR(INDEX(lst_JobName,MATCH(E574&amp;"",lst_Jobs,0)),""))</f>
        <v/>
      </c>
      <c r="X574" s="28">
        <f>IF(E574="","",COUNTIFS(tbl_Finance[Job Number],E574&amp;"",tbl_Finance[Ex GST],"&lt;&gt;"))</f>
        <v/>
      </c>
      <c r="Y574" s="27">
        <f>IF(E574="","",SUMIFS(tbl_Finance[Ex GST],tbl_Finance[Job Number],E574&amp;""))</f>
        <v/>
      </c>
      <c r="Z574" s="27">
        <f>IF(E574="","",SUMIFS(tbl_Finance[Ex GST],tbl_Finance[Job Number],E574&amp;"",tbl_Finance[Xero Invoice No],"&lt;&gt;"))</f>
        <v/>
      </c>
      <c r="AA574" s="27">
        <f>IF(E574="","",Y574-Z574)</f>
        <v/>
      </c>
      <c r="AB574" s="25">
        <f>IF(E574="","",IF(H574="Onsite",IFERROR(INDEX(tbl_Onsite[Qwilr Quote],MATCH(E574&amp;"",tbl_Onsite[Job Number],0)),""),IF(H574="Production",IFERROR(IF(INDEX(tbl_Production[Current RMS No],MATCH(E574&amp;"",tbl_Production[Job Number],0))="",INDEX(tbl_Production[Qwilr Quote],MATCH(E574&amp;"",tbl_Production[Job Number],0)),INDEX(tbl_Production[Current RMS No],MATCH(E574&amp;"",tbl_Production[Job Number],0))),""),IF(H574="Consulting",IFERROR(INDEX(tbl_Consulting[Qwilr Quote],MATCH(E574&amp;"",tbl_Consulting[Job Number],0)),""),""))))</f>
        <v/>
      </c>
      <c r="AC574" s="25">
        <f>IF(AB574="","",IF(AND(LEFT(AB574,4)&lt;&gt;"http",IF(H574="Production",set_RMSBase,set_QwilrBase)=""),"",HYPERLINK(IF(LEFT(AB574,4)="http",AB574,IF(H574="Production",set_RMSBase,set_QwilrBase)&amp;AB574),"Open")))</f>
        <v/>
      </c>
      <c r="AD574" s="27">
        <f>IF(E574="","",IF(H574="Production",IFERROR(INDEX(tbl_Production[Total Expense],MATCH(E574&amp;"",tbl_Production[Job Number],0)),0),IF(H574="Consulting",IFERROR(INDEX(tbl_Consulting[Total Expense],MATCH(E574&amp;"",tbl_Consulting[Job Number],0)),0),0)))</f>
        <v/>
      </c>
      <c r="AE574" s="27">
        <f>IF(E574="","",Y574-N(AD574))</f>
        <v/>
      </c>
      <c r="AF574" s="29">
        <f>IFERROR(AE574/Y574,"")</f>
        <v/>
      </c>
      <c r="AG574" s="25">
        <f>IF(E574="","",IF(H574="Onsite",IFERROR(INDEX(tbl_Onsite[Notes],MATCH(E574&amp;"",tbl_Onsite[Job Number],0)),""),IF(H574="Production",IFERROR(INDEX(tbl_Production[Notes],MATCH(E574&amp;"",tbl_Production[Job Number],0)),""),IF(H574="Consulting",IFERROR(INDEX(tbl_Consulting[Notes],MATCH(E574&amp;"",tbl_Consulting[Job Number],0)),""),""))))</f>
        <v/>
      </c>
    </row>
    <row r="575" ht="15" customHeight="1">
      <c r="A575" s="22" t="n"/>
      <c r="B575" s="23">
        <f>IF(A575="","",EOMONTH(A575,0))</f>
        <v/>
      </c>
      <c r="C575" s="24" t="n"/>
      <c r="D575" s="24" t="n"/>
      <c r="E575" s="24" t="n"/>
      <c r="F575" s="25">
        <f>IF(E575="","",IF(COUNTIF(lst_Jobs,E575&amp;"")&gt;0,"OK","CHECK"))</f>
        <v/>
      </c>
      <c r="G575" s="24" t="n"/>
      <c r="H575" s="24" t="n"/>
      <c r="I575" s="24" t="n"/>
      <c r="J575" s="24" t="n"/>
      <c r="K575" s="24" t="n"/>
      <c r="L575" s="26" t="n"/>
      <c r="M575" s="27">
        <f>IF(L575="","",IF(K575="GST 10%",ROUND(L575*set_GSTRate,2),0))</f>
        <v/>
      </c>
      <c r="N575" s="27">
        <f>IF(L575="","",L575+M575)</f>
        <v/>
      </c>
      <c r="O575" s="24" t="n"/>
      <c r="P575" s="24" t="n"/>
      <c r="Q575" s="24" t="n"/>
      <c r="R575" s="22" t="n"/>
      <c r="S575" s="22" t="n"/>
      <c r="T575" s="24" t="n"/>
      <c r="U575" s="24" t="n"/>
      <c r="V575" s="25">
        <f>IF(COUNTA(A575,D575,C575,L575)=0,"",IF(A575="","No date - sits outside every month",IF(E575="","No job number",IF(F575="CHECK","Job number is not in the Xero job list",IF(I575="","No cost centre",IF(AND(P575="Y",C575=""),"Marked posted to Xero but has no invoice number",IF(AND(L575&lt;&gt;"",K575=""),"No tax code",IF(AND(L575&lt;&gt;"",O575=""),"No revenue GL code",""))))))))</f>
        <v/>
      </c>
      <c r="W575" s="25">
        <f>IF(E575="","",IFERROR(INDEX(lst_JobName,MATCH(E575&amp;"",lst_Jobs,0)),""))</f>
        <v/>
      </c>
      <c r="X575" s="28">
        <f>IF(E575="","",COUNTIFS(tbl_Finance[Job Number],E575&amp;"",tbl_Finance[Ex GST],"&lt;&gt;"))</f>
        <v/>
      </c>
      <c r="Y575" s="27">
        <f>IF(E575="","",SUMIFS(tbl_Finance[Ex GST],tbl_Finance[Job Number],E575&amp;""))</f>
        <v/>
      </c>
      <c r="Z575" s="27">
        <f>IF(E575="","",SUMIFS(tbl_Finance[Ex GST],tbl_Finance[Job Number],E575&amp;"",tbl_Finance[Xero Invoice No],"&lt;&gt;"))</f>
        <v/>
      </c>
      <c r="AA575" s="27">
        <f>IF(E575="","",Y575-Z575)</f>
        <v/>
      </c>
      <c r="AB575" s="25">
        <f>IF(E575="","",IF(H575="Onsite",IFERROR(INDEX(tbl_Onsite[Qwilr Quote],MATCH(E575&amp;"",tbl_Onsite[Job Number],0)),""),IF(H575="Production",IFERROR(IF(INDEX(tbl_Production[Current RMS No],MATCH(E575&amp;"",tbl_Production[Job Number],0))="",INDEX(tbl_Production[Qwilr Quote],MATCH(E575&amp;"",tbl_Production[Job Number],0)),INDEX(tbl_Production[Current RMS No],MATCH(E575&amp;"",tbl_Production[Job Number],0))),""),IF(H575="Consulting",IFERROR(INDEX(tbl_Consulting[Qwilr Quote],MATCH(E575&amp;"",tbl_Consulting[Job Number],0)),""),""))))</f>
        <v/>
      </c>
      <c r="AC575" s="25">
        <f>IF(AB575="","",IF(AND(LEFT(AB575,4)&lt;&gt;"http",IF(H575="Production",set_RMSBase,set_QwilrBase)=""),"",HYPERLINK(IF(LEFT(AB575,4)="http",AB575,IF(H575="Production",set_RMSBase,set_QwilrBase)&amp;AB575),"Open")))</f>
        <v/>
      </c>
      <c r="AD575" s="27">
        <f>IF(E575="","",IF(H575="Production",IFERROR(INDEX(tbl_Production[Total Expense],MATCH(E575&amp;"",tbl_Production[Job Number],0)),0),IF(H575="Consulting",IFERROR(INDEX(tbl_Consulting[Total Expense],MATCH(E575&amp;"",tbl_Consulting[Job Number],0)),0),0)))</f>
        <v/>
      </c>
      <c r="AE575" s="27">
        <f>IF(E575="","",Y575-N(AD575))</f>
        <v/>
      </c>
      <c r="AF575" s="29">
        <f>IFERROR(AE575/Y575,"")</f>
        <v/>
      </c>
      <c r="AG575" s="25">
        <f>IF(E575="","",IF(H575="Onsite",IFERROR(INDEX(tbl_Onsite[Notes],MATCH(E575&amp;"",tbl_Onsite[Job Number],0)),""),IF(H575="Production",IFERROR(INDEX(tbl_Production[Notes],MATCH(E575&amp;"",tbl_Production[Job Number],0)),""),IF(H575="Consulting",IFERROR(INDEX(tbl_Consulting[Notes],MATCH(E575&amp;"",tbl_Consulting[Job Number],0)),""),""))))</f>
        <v/>
      </c>
    </row>
    <row r="576" ht="15" customHeight="1">
      <c r="A576" s="22" t="n"/>
      <c r="B576" s="23">
        <f>IF(A576="","",EOMONTH(A576,0))</f>
        <v/>
      </c>
      <c r="C576" s="24" t="n"/>
      <c r="D576" s="24" t="n"/>
      <c r="E576" s="24" t="n"/>
      <c r="F576" s="25">
        <f>IF(E576="","",IF(COUNTIF(lst_Jobs,E576&amp;"")&gt;0,"OK","CHECK"))</f>
        <v/>
      </c>
      <c r="G576" s="24" t="n"/>
      <c r="H576" s="24" t="n"/>
      <c r="I576" s="24" t="n"/>
      <c r="J576" s="24" t="n"/>
      <c r="K576" s="24" t="n"/>
      <c r="L576" s="26" t="n"/>
      <c r="M576" s="27">
        <f>IF(L576="","",IF(K576="GST 10%",ROUND(L576*set_GSTRate,2),0))</f>
        <v/>
      </c>
      <c r="N576" s="27">
        <f>IF(L576="","",L576+M576)</f>
        <v/>
      </c>
      <c r="O576" s="24" t="n"/>
      <c r="P576" s="24" t="n"/>
      <c r="Q576" s="24" t="n"/>
      <c r="R576" s="22" t="n"/>
      <c r="S576" s="22" t="n"/>
      <c r="T576" s="24" t="n"/>
      <c r="U576" s="24" t="n"/>
      <c r="V576" s="25">
        <f>IF(COUNTA(A576,D576,C576,L576)=0,"",IF(A576="","No date - sits outside every month",IF(E576="","No job number",IF(F576="CHECK","Job number is not in the Xero job list",IF(I576="","No cost centre",IF(AND(P576="Y",C576=""),"Marked posted to Xero but has no invoice number",IF(AND(L576&lt;&gt;"",K576=""),"No tax code",IF(AND(L576&lt;&gt;"",O576=""),"No revenue GL code",""))))))))</f>
        <v/>
      </c>
      <c r="W576" s="25">
        <f>IF(E576="","",IFERROR(INDEX(lst_JobName,MATCH(E576&amp;"",lst_Jobs,0)),""))</f>
        <v/>
      </c>
      <c r="X576" s="28">
        <f>IF(E576="","",COUNTIFS(tbl_Finance[Job Number],E576&amp;"",tbl_Finance[Ex GST],"&lt;&gt;"))</f>
        <v/>
      </c>
      <c r="Y576" s="27">
        <f>IF(E576="","",SUMIFS(tbl_Finance[Ex GST],tbl_Finance[Job Number],E576&amp;""))</f>
        <v/>
      </c>
      <c r="Z576" s="27">
        <f>IF(E576="","",SUMIFS(tbl_Finance[Ex GST],tbl_Finance[Job Number],E576&amp;"",tbl_Finance[Xero Invoice No],"&lt;&gt;"))</f>
        <v/>
      </c>
      <c r="AA576" s="27">
        <f>IF(E576="","",Y576-Z576)</f>
        <v/>
      </c>
      <c r="AB576" s="25">
        <f>IF(E576="","",IF(H576="Onsite",IFERROR(INDEX(tbl_Onsite[Qwilr Quote],MATCH(E576&amp;"",tbl_Onsite[Job Number],0)),""),IF(H576="Production",IFERROR(IF(INDEX(tbl_Production[Current RMS No],MATCH(E576&amp;"",tbl_Production[Job Number],0))="",INDEX(tbl_Production[Qwilr Quote],MATCH(E576&amp;"",tbl_Production[Job Number],0)),INDEX(tbl_Production[Current RMS No],MATCH(E576&amp;"",tbl_Production[Job Number],0))),""),IF(H576="Consulting",IFERROR(INDEX(tbl_Consulting[Qwilr Quote],MATCH(E576&amp;"",tbl_Consulting[Job Number],0)),""),""))))</f>
        <v/>
      </c>
      <c r="AC576" s="25">
        <f>IF(AB576="","",IF(AND(LEFT(AB576,4)&lt;&gt;"http",IF(H576="Production",set_RMSBase,set_QwilrBase)=""),"",HYPERLINK(IF(LEFT(AB576,4)="http",AB576,IF(H576="Production",set_RMSBase,set_QwilrBase)&amp;AB576),"Open")))</f>
        <v/>
      </c>
      <c r="AD576" s="27">
        <f>IF(E576="","",IF(H576="Production",IFERROR(INDEX(tbl_Production[Total Expense],MATCH(E576&amp;"",tbl_Production[Job Number],0)),0),IF(H576="Consulting",IFERROR(INDEX(tbl_Consulting[Total Expense],MATCH(E576&amp;"",tbl_Consulting[Job Number],0)),0),0)))</f>
        <v/>
      </c>
      <c r="AE576" s="27">
        <f>IF(E576="","",Y576-N(AD576))</f>
        <v/>
      </c>
      <c r="AF576" s="29">
        <f>IFERROR(AE576/Y576,"")</f>
        <v/>
      </c>
      <c r="AG576" s="25">
        <f>IF(E576="","",IF(H576="Onsite",IFERROR(INDEX(tbl_Onsite[Notes],MATCH(E576&amp;"",tbl_Onsite[Job Number],0)),""),IF(H576="Production",IFERROR(INDEX(tbl_Production[Notes],MATCH(E576&amp;"",tbl_Production[Job Number],0)),""),IF(H576="Consulting",IFERROR(INDEX(tbl_Consulting[Notes],MATCH(E576&amp;"",tbl_Consulting[Job Number],0)),""),""))))</f>
        <v/>
      </c>
    </row>
    <row r="577" ht="15" customHeight="1">
      <c r="A577" s="22" t="n"/>
      <c r="B577" s="23">
        <f>IF(A577="","",EOMONTH(A577,0))</f>
        <v/>
      </c>
      <c r="C577" s="24" t="n"/>
      <c r="D577" s="24" t="n"/>
      <c r="E577" s="24" t="n"/>
      <c r="F577" s="25">
        <f>IF(E577="","",IF(COUNTIF(lst_Jobs,E577&amp;"")&gt;0,"OK","CHECK"))</f>
        <v/>
      </c>
      <c r="G577" s="24" t="n"/>
      <c r="H577" s="24" t="n"/>
      <c r="I577" s="24" t="n"/>
      <c r="J577" s="24" t="n"/>
      <c r="K577" s="24" t="n"/>
      <c r="L577" s="26" t="n"/>
      <c r="M577" s="27">
        <f>IF(L577="","",IF(K577="GST 10%",ROUND(L577*set_GSTRate,2),0))</f>
        <v/>
      </c>
      <c r="N577" s="27">
        <f>IF(L577="","",L577+M577)</f>
        <v/>
      </c>
      <c r="O577" s="24" t="n"/>
      <c r="P577" s="24" t="n"/>
      <c r="Q577" s="24" t="n"/>
      <c r="R577" s="22" t="n"/>
      <c r="S577" s="22" t="n"/>
      <c r="T577" s="24" t="n"/>
      <c r="U577" s="24" t="n"/>
      <c r="V577" s="25">
        <f>IF(COUNTA(A577,D577,C577,L577)=0,"",IF(A577="","No date - sits outside every month",IF(E577="","No job number",IF(F577="CHECK","Job number is not in the Xero job list",IF(I577="","No cost centre",IF(AND(P577="Y",C577=""),"Marked posted to Xero but has no invoice number",IF(AND(L577&lt;&gt;"",K577=""),"No tax code",IF(AND(L577&lt;&gt;"",O577=""),"No revenue GL code",""))))))))</f>
        <v/>
      </c>
      <c r="W577" s="25">
        <f>IF(E577="","",IFERROR(INDEX(lst_JobName,MATCH(E577&amp;"",lst_Jobs,0)),""))</f>
        <v/>
      </c>
      <c r="X577" s="28">
        <f>IF(E577="","",COUNTIFS(tbl_Finance[Job Number],E577&amp;"",tbl_Finance[Ex GST],"&lt;&gt;"))</f>
        <v/>
      </c>
      <c r="Y577" s="27">
        <f>IF(E577="","",SUMIFS(tbl_Finance[Ex GST],tbl_Finance[Job Number],E577&amp;""))</f>
        <v/>
      </c>
      <c r="Z577" s="27">
        <f>IF(E577="","",SUMIFS(tbl_Finance[Ex GST],tbl_Finance[Job Number],E577&amp;"",tbl_Finance[Xero Invoice No],"&lt;&gt;"))</f>
        <v/>
      </c>
      <c r="AA577" s="27">
        <f>IF(E577="","",Y577-Z577)</f>
        <v/>
      </c>
      <c r="AB577" s="25">
        <f>IF(E577="","",IF(H577="Onsite",IFERROR(INDEX(tbl_Onsite[Qwilr Quote],MATCH(E577&amp;"",tbl_Onsite[Job Number],0)),""),IF(H577="Production",IFERROR(IF(INDEX(tbl_Production[Current RMS No],MATCH(E577&amp;"",tbl_Production[Job Number],0))="",INDEX(tbl_Production[Qwilr Quote],MATCH(E577&amp;"",tbl_Production[Job Number],0)),INDEX(tbl_Production[Current RMS No],MATCH(E577&amp;"",tbl_Production[Job Number],0))),""),IF(H577="Consulting",IFERROR(INDEX(tbl_Consulting[Qwilr Quote],MATCH(E577&amp;"",tbl_Consulting[Job Number],0)),""),""))))</f>
        <v/>
      </c>
      <c r="AC577" s="25">
        <f>IF(AB577="","",IF(AND(LEFT(AB577,4)&lt;&gt;"http",IF(H577="Production",set_RMSBase,set_QwilrBase)=""),"",HYPERLINK(IF(LEFT(AB577,4)="http",AB577,IF(H577="Production",set_RMSBase,set_QwilrBase)&amp;AB577),"Open")))</f>
        <v/>
      </c>
      <c r="AD577" s="27">
        <f>IF(E577="","",IF(H577="Production",IFERROR(INDEX(tbl_Production[Total Expense],MATCH(E577&amp;"",tbl_Production[Job Number],0)),0),IF(H577="Consulting",IFERROR(INDEX(tbl_Consulting[Total Expense],MATCH(E577&amp;"",tbl_Consulting[Job Number],0)),0),0)))</f>
        <v/>
      </c>
      <c r="AE577" s="27">
        <f>IF(E577="","",Y577-N(AD577))</f>
        <v/>
      </c>
      <c r="AF577" s="29">
        <f>IFERROR(AE577/Y577,"")</f>
        <v/>
      </c>
      <c r="AG577" s="25">
        <f>IF(E577="","",IF(H577="Onsite",IFERROR(INDEX(tbl_Onsite[Notes],MATCH(E577&amp;"",tbl_Onsite[Job Number],0)),""),IF(H577="Production",IFERROR(INDEX(tbl_Production[Notes],MATCH(E577&amp;"",tbl_Production[Job Number],0)),""),IF(H577="Consulting",IFERROR(INDEX(tbl_Consulting[Notes],MATCH(E577&amp;"",tbl_Consulting[Job Number],0)),""),""))))</f>
        <v/>
      </c>
    </row>
    <row r="578" ht="15" customHeight="1">
      <c r="A578" s="22" t="n"/>
      <c r="B578" s="23">
        <f>IF(A578="","",EOMONTH(A578,0))</f>
        <v/>
      </c>
      <c r="C578" s="24" t="n"/>
      <c r="D578" s="24" t="n"/>
      <c r="E578" s="24" t="n"/>
      <c r="F578" s="25">
        <f>IF(E578="","",IF(COUNTIF(lst_Jobs,E578&amp;"")&gt;0,"OK","CHECK"))</f>
        <v/>
      </c>
      <c r="G578" s="24" t="n"/>
      <c r="H578" s="24" t="n"/>
      <c r="I578" s="24" t="n"/>
      <c r="J578" s="24" t="n"/>
      <c r="K578" s="24" t="n"/>
      <c r="L578" s="26" t="n"/>
      <c r="M578" s="27">
        <f>IF(L578="","",IF(K578="GST 10%",ROUND(L578*set_GSTRate,2),0))</f>
        <v/>
      </c>
      <c r="N578" s="27">
        <f>IF(L578="","",L578+M578)</f>
        <v/>
      </c>
      <c r="O578" s="24" t="n"/>
      <c r="P578" s="24" t="n"/>
      <c r="Q578" s="24" t="n"/>
      <c r="R578" s="22" t="n"/>
      <c r="S578" s="22" t="n"/>
      <c r="T578" s="24" t="n"/>
      <c r="U578" s="24" t="n"/>
      <c r="V578" s="25">
        <f>IF(COUNTA(A578,D578,C578,L578)=0,"",IF(A578="","No date - sits outside every month",IF(E578="","No job number",IF(F578="CHECK","Job number is not in the Xero job list",IF(I578="","No cost centre",IF(AND(P578="Y",C578=""),"Marked posted to Xero but has no invoice number",IF(AND(L578&lt;&gt;"",K578=""),"No tax code",IF(AND(L578&lt;&gt;"",O578=""),"No revenue GL code",""))))))))</f>
        <v/>
      </c>
      <c r="W578" s="25">
        <f>IF(E578="","",IFERROR(INDEX(lst_JobName,MATCH(E578&amp;"",lst_Jobs,0)),""))</f>
        <v/>
      </c>
      <c r="X578" s="28">
        <f>IF(E578="","",COUNTIFS(tbl_Finance[Job Number],E578&amp;"",tbl_Finance[Ex GST],"&lt;&gt;"))</f>
        <v/>
      </c>
      <c r="Y578" s="27">
        <f>IF(E578="","",SUMIFS(tbl_Finance[Ex GST],tbl_Finance[Job Number],E578&amp;""))</f>
        <v/>
      </c>
      <c r="Z578" s="27">
        <f>IF(E578="","",SUMIFS(tbl_Finance[Ex GST],tbl_Finance[Job Number],E578&amp;"",tbl_Finance[Xero Invoice No],"&lt;&gt;"))</f>
        <v/>
      </c>
      <c r="AA578" s="27">
        <f>IF(E578="","",Y578-Z578)</f>
        <v/>
      </c>
      <c r="AB578" s="25">
        <f>IF(E578="","",IF(H578="Onsite",IFERROR(INDEX(tbl_Onsite[Qwilr Quote],MATCH(E578&amp;"",tbl_Onsite[Job Number],0)),""),IF(H578="Production",IFERROR(IF(INDEX(tbl_Production[Current RMS No],MATCH(E578&amp;"",tbl_Production[Job Number],0))="",INDEX(tbl_Production[Qwilr Quote],MATCH(E578&amp;"",tbl_Production[Job Number],0)),INDEX(tbl_Production[Current RMS No],MATCH(E578&amp;"",tbl_Production[Job Number],0))),""),IF(H578="Consulting",IFERROR(INDEX(tbl_Consulting[Qwilr Quote],MATCH(E578&amp;"",tbl_Consulting[Job Number],0)),""),""))))</f>
        <v/>
      </c>
      <c r="AC578" s="25">
        <f>IF(AB578="","",IF(AND(LEFT(AB578,4)&lt;&gt;"http",IF(H578="Production",set_RMSBase,set_QwilrBase)=""),"",HYPERLINK(IF(LEFT(AB578,4)="http",AB578,IF(H578="Production",set_RMSBase,set_QwilrBase)&amp;AB578),"Open")))</f>
        <v/>
      </c>
      <c r="AD578" s="27">
        <f>IF(E578="","",IF(H578="Production",IFERROR(INDEX(tbl_Production[Total Expense],MATCH(E578&amp;"",tbl_Production[Job Number],0)),0),IF(H578="Consulting",IFERROR(INDEX(tbl_Consulting[Total Expense],MATCH(E578&amp;"",tbl_Consulting[Job Number],0)),0),0)))</f>
        <v/>
      </c>
      <c r="AE578" s="27">
        <f>IF(E578="","",Y578-N(AD578))</f>
        <v/>
      </c>
      <c r="AF578" s="29">
        <f>IFERROR(AE578/Y578,"")</f>
        <v/>
      </c>
      <c r="AG578" s="25">
        <f>IF(E578="","",IF(H578="Onsite",IFERROR(INDEX(tbl_Onsite[Notes],MATCH(E578&amp;"",tbl_Onsite[Job Number],0)),""),IF(H578="Production",IFERROR(INDEX(tbl_Production[Notes],MATCH(E578&amp;"",tbl_Production[Job Number],0)),""),IF(H578="Consulting",IFERROR(INDEX(tbl_Consulting[Notes],MATCH(E578&amp;"",tbl_Consulting[Job Number],0)),""),""))))</f>
        <v/>
      </c>
    </row>
  </sheetData>
  <sheetProtection selectLockedCells="0" selectUnlockedCells="0" sheet="1" objects="0" insertRows="0" insertHyperlinks="1" autoFilter="0" scenarios="0" formatColumns="0" deleteColumns="1" insertColumns="1" pivotTables="1" deleteRows="1" formatCells="0" formatRows="0" sort="0"/>
  <mergeCells count="1">
    <mergeCell ref="A3:L3"/>
  </mergeCells>
  <conditionalFormatting sqref="F5:F5000">
    <cfRule type="expression" priority="1" dxfId="0" stopIfTrue="0">
      <formula>F5="CHECK"</formula>
    </cfRule>
  </conditionalFormatting>
  <conditionalFormatting sqref="P5:P5000">
    <cfRule type="expression" priority="2" dxfId="1" stopIfTrue="0">
      <formula>P5="N"</formula>
    </cfRule>
  </conditionalFormatting>
  <conditionalFormatting sqref="V5:V5000">
    <cfRule type="expression" priority="3" dxfId="1" stopIfTrue="0">
      <formula>V5&lt;&gt;""</formula>
    </cfRule>
  </conditionalFormatting>
  <dataValidations count="8">
    <dataValidation sqref="H5:H20000" showDropDown="0" showInputMessage="0" showErrorMessage="1" allowBlank="1" errorTitle="Not on the list" error="&quot;Team&quot; is not on the list in the Lists sheet. Add it there if it is genuinely new." type="list" errorStyle="warning">
      <formula1>lst_Team</formula1>
    </dataValidation>
    <dataValidation sqref="I5:I20000" showDropDown="0" showInputMessage="0" showErrorMessage="1" allowBlank="1" errorTitle="Not on the list" error="&quot;Cost Centre&quot; is not on the list in the Lists sheet. Add it there if it is genuinely new." type="list" errorStyle="warning">
      <formula1>lst_CostCentre</formula1>
    </dataValidation>
    <dataValidation sqref="J5:J20000" showDropDown="0" showInputMessage="0" showErrorMessage="1" allowBlank="1" errorTitle="Not on the list" error="&quot;Invoice Type&quot; is not on the list in the Lists sheet. Add it there if it is genuinely new." type="list" errorStyle="warning">
      <formula1>lst_InvoiceType</formula1>
    </dataValidation>
    <dataValidation sqref="K5:K20000" showDropDown="0" showInputMessage="0" showErrorMessage="1" allowBlank="1" errorTitle="Not on the list" error="&quot;Tax Code&quot; is not on the list in the Lists sheet. Add it there if it is genuinely new." type="list" errorStyle="warning">
      <formula1>lst_TaxCode</formula1>
    </dataValidation>
    <dataValidation sqref="O5:O20000" showDropDown="0" showInputMessage="0" showErrorMessage="1" allowBlank="1" errorTitle="Not on the list" error="&quot;Revenue GL&quot; is not on the list in the Lists sheet. Add it there if it is genuinely new." type="list" errorStyle="warning">
      <formula1>lst_RevGL</formula1>
    </dataValidation>
    <dataValidation sqref="P5:P20000" showDropDown="0" showInputMessage="0" showErrorMessage="1" allowBlank="1" errorTitle="Not on the list" error="&quot;Posted to Xero&quot; is not on the list in the Lists sheet. Add it there if it is genuinely new." type="list" errorStyle="warning">
      <formula1>lst_YN</formula1>
    </dataValidation>
    <dataValidation sqref="Q5:Q20000" showDropDown="0" showInputMessage="0" showErrorMessage="1" allowBlank="1" errorTitle="Not on the list" error="&quot;To WIP&quot; is not on the list in the Lists sheet. Add it there if it is genuinely new." type="list" errorStyle="warning">
      <formula1>lst_YN</formula1>
    </dataValidation>
    <dataValidation sqref="T5:T20000" showDropDown="0" showInputMessage="0" showErrorMessage="1" allowBlank="1" errorTitle="Not on the list" error="&quot;Status&quot; is not on the list in the Lists sheet. Add it there if it is genuinely new." type="list" errorStyle="warning">
      <formula1>lst_Status</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2E6B4F"/>
    <outlinePr summaryBelow="1" summaryRight="1"/>
    <pageSetUpPr/>
  </sheetPr>
  <dimension ref="A1:I52"/>
  <sheetViews>
    <sheetView showGridLines="0" tabSelected="0" zoomScale="90" workbookViewId="0">
      <pane ySplit="4" topLeftCell="A5" activePane="bottomLeft" state="frozen"/>
      <selection pane="bottomLeft" activeCell="A1" sqref="A1"/>
    </sheetView>
  </sheetViews>
  <sheetFormatPr baseColWidth="8" defaultRowHeight="15"/>
  <cols>
    <col width="22" customWidth="1" min="1" max="1"/>
    <col width="16" customWidth="1" min="2" max="2"/>
    <col width="14" customWidth="1" min="3" max="3"/>
    <col width="15" customWidth="1" min="4" max="4"/>
    <col width="16" customWidth="1" min="5" max="5"/>
    <col width="18" customWidth="1" min="6" max="6"/>
    <col width="17" customWidth="1" min="7" max="7"/>
    <col width="15" customWidth="1" min="8" max="8"/>
    <col width="20" customWidth="1" min="9" max="9"/>
  </cols>
  <sheetData>
    <row r="1" ht="24" customHeight="1">
      <c r="A1" s="18" t="inlineStr">
        <is>
          <t>Month-End Revenue Close</t>
        </is>
      </c>
    </row>
    <row r="2" ht="16" customHeight="1">
      <c r="A2" s="2" t="inlineStr">
        <is>
          <t>Pick the month, type the Xero figures into the yellow cells, and work down. Everything white or grey calculates itself.</t>
        </is>
      </c>
    </row>
    <row r="3" ht="6" customHeight="1"/>
    <row r="4">
      <c r="A4" s="30" t="inlineStr">
        <is>
          <t>Month being closed</t>
        </is>
      </c>
      <c r="C4" s="31" t="n">
        <v>46265</v>
      </c>
      <c r="D4" s="32" t="inlineStr">
        <is>
          <t>&lt;- month end date</t>
        </is>
      </c>
    </row>
    <row r="6" ht="20" customHeight="1">
      <c r="A6" s="3" t="inlineStr">
        <is>
          <t>1.  REVENUE BY COST CENTRE  -  tracker vs Xero</t>
        </is>
      </c>
    </row>
    <row r="7" ht="30" customHeight="1">
      <c r="A7" s="33" t="inlineStr">
        <is>
          <t>Cost Centre</t>
        </is>
      </c>
      <c r="B7" s="33" t="inlineStr">
        <is>
          <t>Invoiced Ex GST</t>
        </is>
      </c>
      <c r="C7" s="33" t="inlineStr">
        <is>
          <t>GST</t>
        </is>
      </c>
      <c r="D7" s="33" t="inlineStr">
        <is>
          <t>Inc GST</t>
        </is>
      </c>
      <c r="E7" s="33" t="inlineStr">
        <is>
          <t>WIP Movement</t>
        </is>
      </c>
      <c r="F7" s="33" t="inlineStr">
        <is>
          <t>Revenue Recognised</t>
        </is>
      </c>
      <c r="G7" s="33" t="inlineStr">
        <is>
          <t>Xero Revenue (type in)</t>
        </is>
      </c>
      <c r="H7" s="33" t="inlineStr">
        <is>
          <t>Variance</t>
        </is>
      </c>
      <c r="I7" s="33" t="inlineStr">
        <is>
          <t>Check</t>
        </is>
      </c>
    </row>
    <row r="8">
      <c r="A8" s="34" t="inlineStr">
        <is>
          <t>ONSITE</t>
        </is>
      </c>
      <c r="B8" s="35">
        <f>SUMIFS(tbl_Finance[Ex GST],tbl_Finance[Month],$C$4,tbl_Finance[Cost Centre],$A8)</f>
        <v/>
      </c>
      <c r="C8" s="35">
        <f>SUMIFS(tbl_Finance[GST],tbl_Finance[Month],$C$4,tbl_Finance[Cost Centre],$A8)</f>
        <v/>
      </c>
      <c r="D8" s="36">
        <f>B8+C8</f>
        <v/>
      </c>
      <c r="E8" s="35">
        <f>SUMIFS(tbl_WIP[Amount],tbl_WIP[Month],$C$4,tbl_WIP[Cost Centre],$A8)+SUMIF('Deferred Revenue'!$F$6:$F$579,$A8,'Deferred Revenue'!$Q$6:$Q$579)</f>
        <v/>
      </c>
      <c r="F8" s="36">
        <f>B8+E8</f>
        <v/>
      </c>
      <c r="G8" s="37" t="n"/>
      <c r="H8" s="36">
        <f>IF($G8="","",$F8-$G8)</f>
        <v/>
      </c>
      <c r="I8" s="38">
        <f>IF($G8="","Enter Xero figure",IF(ROUND($H8,2)=0,"Reconciled","CHECK - "&amp;TEXT($H8,"$#,##0.00")))</f>
        <v/>
      </c>
    </row>
    <row r="9">
      <c r="A9" s="34" t="inlineStr">
        <is>
          <t>PRODUCTION</t>
        </is>
      </c>
      <c r="B9" s="35">
        <f>SUMIFS(tbl_Finance[Ex GST],tbl_Finance[Month],$C$4,tbl_Finance[Cost Centre],$A9)</f>
        <v/>
      </c>
      <c r="C9" s="35">
        <f>SUMIFS(tbl_Finance[GST],tbl_Finance[Month],$C$4,tbl_Finance[Cost Centre],$A9)</f>
        <v/>
      </c>
      <c r="D9" s="36">
        <f>B9+C9</f>
        <v/>
      </c>
      <c r="E9" s="35">
        <f>SUMIFS(tbl_WIP[Amount],tbl_WIP[Month],$C$4,tbl_WIP[Cost Centre],$A9)+SUMIF('Deferred Revenue'!$F$6:$F$579,$A9,'Deferred Revenue'!$Q$6:$Q$579)</f>
        <v/>
      </c>
      <c r="F9" s="36">
        <f>B9+E9</f>
        <v/>
      </c>
      <c r="G9" s="37" t="n"/>
      <c r="H9" s="36">
        <f>IF($G9="","",$F9-$G9)</f>
        <v/>
      </c>
      <c r="I9" s="38">
        <f>IF($G9="","Enter Xero figure",IF(ROUND($H9,2)=0,"Reconciled","CHECK - "&amp;TEXT($H9,"$#,##0.00")))</f>
        <v/>
      </c>
    </row>
    <row r="10">
      <c r="A10" s="34" t="inlineStr">
        <is>
          <t>VIDEO</t>
        </is>
      </c>
      <c r="B10" s="35">
        <f>SUMIFS(tbl_Finance[Ex GST],tbl_Finance[Month],$C$4,tbl_Finance[Cost Centre],$A10)</f>
        <v/>
      </c>
      <c r="C10" s="35">
        <f>SUMIFS(tbl_Finance[GST],tbl_Finance[Month],$C$4,tbl_Finance[Cost Centre],$A10)</f>
        <v/>
      </c>
      <c r="D10" s="36">
        <f>B10+C10</f>
        <v/>
      </c>
      <c r="E10" s="35">
        <f>SUMIFS(tbl_WIP[Amount],tbl_WIP[Month],$C$4,tbl_WIP[Cost Centre],$A10)+SUMIF('Deferred Revenue'!$F$6:$F$579,$A10,'Deferred Revenue'!$Q$6:$Q$579)</f>
        <v/>
      </c>
      <c r="F10" s="36">
        <f>B10+E10</f>
        <v/>
      </c>
      <c r="G10" s="37" t="n"/>
      <c r="H10" s="36">
        <f>IF($G10="","",$F10-$G10)</f>
        <v/>
      </c>
      <c r="I10" s="38">
        <f>IF($G10="","Enter Xero figure",IF(ROUND($H10,2)=0,"Reconciled","CHECK - "&amp;TEXT($H10,"$#,##0.00")))</f>
        <v/>
      </c>
    </row>
    <row r="11">
      <c r="A11" s="34" t="inlineStr">
        <is>
          <t>INTEGRATION</t>
        </is>
      </c>
      <c r="B11" s="35">
        <f>SUMIFS(tbl_Finance[Ex GST],tbl_Finance[Month],$C$4,tbl_Finance[Cost Centre],$A11)</f>
        <v/>
      </c>
      <c r="C11" s="35">
        <f>SUMIFS(tbl_Finance[GST],tbl_Finance[Month],$C$4,tbl_Finance[Cost Centre],$A11)</f>
        <v/>
      </c>
      <c r="D11" s="36">
        <f>B11+C11</f>
        <v/>
      </c>
      <c r="E11" s="35">
        <f>SUMIFS(tbl_WIP[Amount],tbl_WIP[Month],$C$4,tbl_WIP[Cost Centre],$A11)+SUMIF('Deferred Revenue'!$F$6:$F$579,$A11,'Deferred Revenue'!$Q$6:$Q$579)</f>
        <v/>
      </c>
      <c r="F11" s="36">
        <f>B11+E11</f>
        <v/>
      </c>
      <c r="G11" s="37" t="n"/>
      <c r="H11" s="36">
        <f>IF($G11="","",$F11-$G11)</f>
        <v/>
      </c>
      <c r="I11" s="38">
        <f>IF($G11="","Enter Xero figure",IF(ROUND($H11,2)=0,"Reconciled","CHECK - "&amp;TEXT($H11,"$#,##0.00")))</f>
        <v/>
      </c>
    </row>
    <row r="12">
      <c r="A12" s="34" t="inlineStr">
        <is>
          <t>CONSULTING</t>
        </is>
      </c>
      <c r="B12" s="35">
        <f>SUMIFS(tbl_Finance[Ex GST],tbl_Finance[Month],$C$4,tbl_Finance[Cost Centre],$A12)</f>
        <v/>
      </c>
      <c r="C12" s="35">
        <f>SUMIFS(tbl_Finance[GST],tbl_Finance[Month],$C$4,tbl_Finance[Cost Centre],$A12)</f>
        <v/>
      </c>
      <c r="D12" s="36">
        <f>B12+C12</f>
        <v/>
      </c>
      <c r="E12" s="35">
        <f>SUMIFS(tbl_WIP[Amount],tbl_WIP[Month],$C$4,tbl_WIP[Cost Centre],$A12)+SUMIF('Deferred Revenue'!$F$6:$F$579,$A12,'Deferred Revenue'!$Q$6:$Q$579)</f>
        <v/>
      </c>
      <c r="F12" s="36">
        <f>B12+E12</f>
        <v/>
      </c>
      <c r="G12" s="37" t="n"/>
      <c r="H12" s="36">
        <f>IF($G12="","",$F12-$G12)</f>
        <v/>
      </c>
      <c r="I12" s="38">
        <f>IF($G12="","Enter Xero figure",IF(ROUND($H12,2)=0,"Reconciled","CHECK - "&amp;TEXT($H12,"$#,##0.00")))</f>
        <v/>
      </c>
    </row>
    <row r="13">
      <c r="A13" s="34" t="inlineStr">
        <is>
          <t>CTS</t>
        </is>
      </c>
      <c r="B13" s="35">
        <f>SUMIFS(tbl_Finance[Ex GST],tbl_Finance[Month],$C$4,tbl_Finance[Cost Centre],$A13)</f>
        <v/>
      </c>
      <c r="C13" s="35">
        <f>SUMIFS(tbl_Finance[GST],tbl_Finance[Month],$C$4,tbl_Finance[Cost Centre],$A13)</f>
        <v/>
      </c>
      <c r="D13" s="36">
        <f>B13+C13</f>
        <v/>
      </c>
      <c r="E13" s="35">
        <f>SUMIFS(tbl_WIP[Amount],tbl_WIP[Month],$C$4,tbl_WIP[Cost Centre],$A13)+SUMIF('Deferred Revenue'!$F$6:$F$579,$A13,'Deferred Revenue'!$Q$6:$Q$579)</f>
        <v/>
      </c>
      <c r="F13" s="36">
        <f>B13+E13</f>
        <v/>
      </c>
      <c r="G13" s="37" t="n"/>
      <c r="H13" s="36">
        <f>IF($G13="","",$F13-$G13)</f>
        <v/>
      </c>
      <c r="I13" s="38">
        <f>IF($G13="","Enter Xero figure",IF(ROUND($H13,2)=0,"Reconciled","CHECK - "&amp;TEXT($H13,"$#,##0.00")))</f>
        <v/>
      </c>
    </row>
    <row r="14">
      <c r="A14" s="39" t="inlineStr">
        <is>
          <t>TOTAL</t>
        </is>
      </c>
      <c r="B14" s="40">
        <f>SUM(B8:B13)</f>
        <v/>
      </c>
      <c r="C14" s="40">
        <f>SUM(C8:C13)</f>
        <v/>
      </c>
      <c r="D14" s="40">
        <f>SUM(D8:D13)</f>
        <v/>
      </c>
      <c r="E14" s="40">
        <f>SUM(E8:E13)</f>
        <v/>
      </c>
      <c r="F14" s="40">
        <f>SUM(F8:F13)</f>
        <v/>
      </c>
      <c r="G14" s="40">
        <f>SUM(G8:G13)</f>
        <v/>
      </c>
      <c r="H14" s="40">
        <f>SUM(H8:H13)</f>
        <v/>
      </c>
      <c r="I14" s="39">
        <f>IF(COUNT($G8:$G13)=0,"Enter Xero figures",IF(ROUND($H14,2)=0,"Reconciled","CHECK - "&amp;TEXT($H14,"$#,##0.00")))</f>
        <v/>
      </c>
    </row>
    <row r="15">
      <c r="A15" s="32" t="inlineStr">
        <is>
          <t>Every line on the Finance sheet carries one cost centre, so these add to the month's invoicing exactly.</t>
        </is>
      </c>
    </row>
    <row r="17" ht="20" customHeight="1">
      <c r="A17" s="3" t="inlineStr">
        <is>
          <t>2.  WORK IN PROGRESS  -  GL 11300</t>
        </is>
      </c>
    </row>
    <row r="18" ht="30" customHeight="1">
      <c r="A18" s="33" t="inlineStr"/>
      <c r="B18" s="33" t="inlineStr">
        <is>
          <t>Amount</t>
        </is>
      </c>
      <c r="C18" s="33" t="inlineStr"/>
      <c r="D18" s="33" t="inlineStr"/>
      <c r="E18" s="33" t="inlineStr"/>
      <c r="F18" s="33" t="inlineStr"/>
      <c r="G18" s="33" t="inlineStr"/>
      <c r="H18" s="33" t="inlineStr"/>
      <c r="I18" s="33" t="inlineStr">
        <is>
          <t>Check</t>
        </is>
      </c>
    </row>
    <row r="19">
      <c r="A19" s="41" t="inlineStr">
        <is>
          <t>Opening WIP balance (all months before this one)</t>
        </is>
      </c>
      <c r="B19" s="36">
        <f>SUMIFS(tbl_WIP[Amount],tbl_WIP[Month],"&lt;&gt;",tbl_WIP[Month],"&lt;"&amp;$C$4)+SUM('Deferred Revenue'!$P$6:$P$579)</f>
        <v/>
      </c>
      <c r="I19" s="42" t="n"/>
    </row>
    <row r="20">
      <c r="A20" s="41" t="inlineStr">
        <is>
          <t>Movement this month</t>
        </is>
      </c>
      <c r="B20" s="36">
        <f>SUMIFS(tbl_WIP[Amount],tbl_WIP[Month],$C$4)+SUM('Deferred Revenue'!$Q$6:$Q$579)</f>
        <v/>
      </c>
      <c r="I20" s="42" t="n"/>
    </row>
    <row r="21">
      <c r="A21" s="43" t="inlineStr">
        <is>
          <t>Closing WIP balance per this tracker</t>
        </is>
      </c>
      <c r="B21" s="44">
        <f>B19+B20</f>
        <v/>
      </c>
      <c r="I21" s="42" t="n"/>
    </row>
    <row r="22">
      <c r="A22" s="41" t="inlineStr">
        <is>
          <t>Closing balance per the WIP Schedule file</t>
        </is>
      </c>
      <c r="B22" s="37" t="n"/>
      <c r="I22" s="42" t="n"/>
    </row>
    <row r="23">
      <c r="A23" s="43" t="inlineStr">
        <is>
          <t>Variance - tracker vs WIP Schedule</t>
        </is>
      </c>
      <c r="B23" s="45">
        <f>IF(B22="","",B21-B22)</f>
        <v/>
      </c>
      <c r="I23" s="46">
        <f>IF(B22="","Enter WIP Schedule figure",IF(ROUND(B23,2)=0,"Reconciled","CHECK"))</f>
        <v/>
      </c>
    </row>
    <row r="24">
      <c r="A24" s="41" t="inlineStr">
        <is>
          <t>Closing balance per Xero GL 11300</t>
        </is>
      </c>
      <c r="B24" s="37" t="n"/>
      <c r="I24" s="42" t="n"/>
    </row>
    <row r="25">
      <c r="A25" s="43" t="inlineStr">
        <is>
          <t>Variance - tracker vs Xero</t>
        </is>
      </c>
      <c r="B25" s="45">
        <f>IF(B24="","",B21-B24)</f>
        <v/>
      </c>
      <c r="I25" s="46">
        <f>IF(B24="","Enter Xero 11300 balance",IF(ROUND(B25,2)=0,"Reconciled","CHECK"))</f>
        <v/>
      </c>
    </row>
    <row r="26">
      <c r="A26" s="32" t="inlineStr">
        <is>
          <t>Sign rule: + = revenue recognised this month and WIP balance goes up.  - = revenue deferred out of this month and WIP balance goes down.</t>
        </is>
      </c>
    </row>
    <row r="28" ht="20" customHeight="1">
      <c r="A28" s="3" t="inlineStr">
        <is>
          <t>3.  DATA CHECKS  -  every count should be zero before you close</t>
        </is>
      </c>
    </row>
    <row r="29" ht="30" customHeight="1">
      <c r="A29" s="33" t="inlineStr">
        <is>
          <t>Check</t>
        </is>
      </c>
      <c r="B29" s="33" t="inlineStr">
        <is>
          <t>Count</t>
        </is>
      </c>
      <c r="C29" s="33" t="inlineStr"/>
      <c r="D29" s="33" t="inlineStr"/>
      <c r="E29" s="33" t="inlineStr"/>
      <c r="F29" s="33" t="inlineStr"/>
      <c r="G29" s="33" t="inlineStr"/>
      <c r="H29" s="33" t="inlineStr"/>
      <c r="I29" s="33" t="inlineStr">
        <is>
          <t>Status</t>
        </is>
      </c>
    </row>
    <row r="30">
      <c r="A30" s="41" t="inlineStr">
        <is>
          <t>Invoice lines with an amount but no date</t>
        </is>
      </c>
      <c r="B30" s="47">
        <f>SUMPRODUCT(--(tbl_Finance[Date]=""),--(tbl_Finance[Ex GST]&lt;&gt;""))</f>
        <v/>
      </c>
      <c r="I30" s="46">
        <f>IF(B30=0,"Clear","REVIEW")</f>
        <v/>
      </c>
    </row>
    <row r="31">
      <c r="A31" s="41" t="inlineStr">
        <is>
          <t>Invoice lines with an amount but no job number</t>
        </is>
      </c>
      <c r="B31" s="47">
        <f>COUNTIFS(tbl_Finance[Ex GST],"&lt;&gt;",tbl_Finance[Job Number],"")</f>
        <v/>
      </c>
      <c r="I31" s="46">
        <f>IF(B31=0,"Clear","REVIEW")</f>
        <v/>
      </c>
    </row>
    <row r="32">
      <c r="A32" s="41" t="inlineStr">
        <is>
          <t>Job numbers not found in the Xero job list</t>
        </is>
      </c>
      <c r="B32" s="47">
        <f>COUNTIF(tbl_Finance[Job in Xero?],"CHECK")</f>
        <v/>
      </c>
      <c r="I32" s="46">
        <f>IF(B32=0,"Clear","REVIEW")</f>
        <v/>
      </c>
    </row>
    <row r="33">
      <c r="A33" s="41" t="inlineStr">
        <is>
          <t>Marked posted to Xero but no invoice number</t>
        </is>
      </c>
      <c r="B33" s="47">
        <f>COUNTIFS(tbl_Finance[Posted to Xero],"Y",tbl_Finance[Xero Invoice No],"")</f>
        <v/>
      </c>
      <c r="I33" s="46">
        <f>IF(B33=0,"Clear","REVIEW")</f>
        <v/>
      </c>
    </row>
    <row r="34">
      <c r="A34" s="41" t="inlineStr">
        <is>
          <t>Invoice lines with an amount but no cost centre</t>
        </is>
      </c>
      <c r="B34" s="47">
        <f>COUNTIFS(tbl_Finance[Ex GST],"&lt;&gt;",tbl_Finance[Cost Centre],"")</f>
        <v/>
      </c>
      <c r="I34" s="46">
        <f>IF(B34=0,"Clear","REVIEW")</f>
        <v/>
      </c>
    </row>
    <row r="35">
      <c r="A35" s="41" t="inlineStr">
        <is>
          <t>Invoice lines with an amount but no tax code</t>
        </is>
      </c>
      <c r="B35" s="47">
        <f>COUNTIFS(tbl_Finance[Ex GST],"&lt;&gt;",tbl_Finance[Tax Code],"")</f>
        <v/>
      </c>
      <c r="I35" s="46">
        <f>IF(B35=0,"Clear","REVIEW")</f>
        <v/>
      </c>
    </row>
    <row r="36">
      <c r="A36" s="41" t="inlineStr">
        <is>
          <t>Invoice lines with an amount but no revenue GL code</t>
        </is>
      </c>
      <c r="B36" s="47">
        <f>COUNTIFS(tbl_Finance[Ex GST],"&lt;&gt;",tbl_Finance[Revenue GL],"")</f>
        <v/>
      </c>
      <c r="I36" s="46">
        <f>IF(B36=0,"Clear","REVIEW")</f>
        <v/>
      </c>
    </row>
    <row r="37">
      <c r="A37" s="41" t="inlineStr">
        <is>
          <t>Anything flagged in the Issue column</t>
        </is>
      </c>
      <c r="B37" s="47">
        <f>COUNTIF(tbl_Finance[Issue],"?*")</f>
        <v/>
      </c>
      <c r="I37" s="46">
        <f>IF(B37=0,"Clear","REVIEW")</f>
        <v/>
      </c>
    </row>
    <row r="38">
      <c r="A38" s="41" t="inlineStr">
        <is>
          <t>Flagged "To WIP = Y" but no matching WIP movement</t>
        </is>
      </c>
      <c r="B38" s="47">
        <f>SUMPRODUCT(--(tbl_Finance[To WIP]="Y"),--(tbl_Finance[Xero Invoice No]&lt;&gt;""),--(COUNTIF(tbl_WIP[Xero Invoice No],tbl_Finance[Xero Invoice No]&amp;"")=0))</f>
        <v/>
      </c>
      <c r="I38" s="46">
        <f>IF(B38=0,"Clear","REVIEW")</f>
        <v/>
      </c>
    </row>
    <row r="39">
      <c r="A39" s="41" t="inlineStr">
        <is>
          <t>WIP movements with an amount but no month or no job</t>
        </is>
      </c>
      <c r="B39" s="47">
        <f>COUNTIFS(tbl_WIP[Month],"",tbl_WIP[Amount],"&lt;&gt;")+COUNTIFS(tbl_WIP[Job Number],"",tbl_WIP[Amount],"&lt;&gt;")</f>
        <v/>
      </c>
      <c r="I39" s="46">
        <f>IF(B39=0,"Clear","REVIEW")</f>
        <v/>
      </c>
    </row>
    <row r="40">
      <c r="A40" s="41" t="inlineStr">
        <is>
          <t>WIP job numbers not found in the Xero job list</t>
        </is>
      </c>
      <c r="B40" s="47">
        <f>COUNTIF(tbl_WIP[Job in Xero?],"CHECK")</f>
        <v/>
      </c>
      <c r="I40" s="46">
        <f>IF(B40=0,"Clear","REVIEW")</f>
        <v/>
      </c>
    </row>
    <row r="41">
      <c r="A41" s="41" t="inlineStr">
        <is>
          <t>Consulting revenue split does not equal the job revenue</t>
        </is>
      </c>
      <c r="B41" s="47">
        <f>COUNTIF(tbl_Consulting[Revenue Split Check],"MISMATCH")</f>
        <v/>
      </c>
      <c r="I41" s="46">
        <f>IF(B41=0,"Clear","REVIEW")</f>
        <v/>
      </c>
    </row>
    <row r="42">
      <c r="A42" s="41" t="inlineStr">
        <is>
          <t>Jobs on a department sheet with no invoice yet</t>
        </is>
      </c>
      <c r="B42" s="47">
        <f>COUNTIFS(tbl_Onsite[Job Number],"&lt;&gt;",tbl_Onsite[Lines on Job],0)+COUNTIFS(tbl_Production[Job Number],"&lt;&gt;",tbl_Production[Lines on Job],0)+COUNTIFS(tbl_Consulting[Job Number],"&lt;&gt;",tbl_Consulting[Lines on Job],0)</f>
        <v/>
      </c>
      <c r="I42" s="46">
        <f>IF(B42=0,"Clear","REVIEW")</f>
        <v/>
      </c>
    </row>
    <row r="43">
      <c r="A43" s="41" t="inlineStr">
        <is>
          <t>Deferred lines that also have a manual WIP journal (would double count)</t>
        </is>
      </c>
      <c r="B43" s="47">
        <f>SUMPRODUCT(--(tbl_Finance[Defer Start]&lt;&gt;""),--(tbl_Finance[Xero Invoice No]&lt;&gt;""),--(COUNTIF(tbl_WIP[Xero Invoice No],tbl_Finance[Xero Invoice No]&amp;"")&gt;0))</f>
        <v/>
      </c>
      <c r="I43" s="46">
        <f>IF(B43=0,"Clear","REVIEW")</f>
        <v/>
      </c>
    </row>
    <row r="44">
      <c r="A44" s="41" t="inlineStr">
        <is>
          <t>Deferred lines missing an end date</t>
        </is>
      </c>
      <c r="B44" s="47">
        <f>SUMPRODUCT(--(tbl_Finance[Defer Start]&lt;&gt;""),--(tbl_Finance[Defer End]=""))</f>
        <v/>
      </c>
      <c r="I44" s="46">
        <f>IF(B44=0,"Clear","REVIEW")</f>
        <v/>
      </c>
    </row>
    <row r="45">
      <c r="A45" s="41" t="inlineStr">
        <is>
          <t>Still sitting at "To Invoice" for the selected month</t>
        </is>
      </c>
      <c r="B45" s="47">
        <f>COUNTIFS(tbl_Finance[Month],$C$4,tbl_Finance[Status],"To Invoice")</f>
        <v/>
      </c>
      <c r="I45" s="46">
        <f>IF(B45=0,"Clear","REVIEW")</f>
        <v/>
      </c>
    </row>
    <row r="46">
      <c r="A46" s="43" t="inlineStr">
        <is>
          <t>Value of invoice lines with no date (excluded from every month)</t>
        </is>
      </c>
      <c r="B46" s="48">
        <f>SUMPRODUCT(--(tbl_Finance[Date]=""),IFERROR(tbl_Finance[Ex GST]*1,0))</f>
        <v/>
      </c>
      <c r="I46" s="46">
        <f>IF(ROUND(B46,2)=0,"Clear","REVIEW")</f>
        <v/>
      </c>
    </row>
    <row r="48" ht="20" customHeight="1">
      <c r="A48" s="3" t="inlineStr">
        <is>
          <t>4.  SIGN-OFF</t>
        </is>
      </c>
    </row>
    <row r="49">
      <c r="A49" s="43" t="inlineStr">
        <is>
          <t>Prepared by</t>
        </is>
      </c>
      <c r="B49" s="49" t="n"/>
      <c r="C49" s="50" t="n"/>
      <c r="D49" s="51" t="n"/>
      <c r="E49" s="32" t="inlineStr">
        <is>
          <t>Accounts Assistant</t>
        </is>
      </c>
    </row>
    <row r="50">
      <c r="A50" s="43" t="inlineStr">
        <is>
          <t>Reviewed by</t>
        </is>
      </c>
      <c r="B50" s="49" t="n"/>
      <c r="C50" s="50" t="n"/>
      <c r="D50" s="51" t="n"/>
      <c r="E50" s="32" t="inlineStr">
        <is>
          <t>Finance Operations Manager</t>
        </is>
      </c>
    </row>
    <row r="51">
      <c r="A51" s="43" t="inlineStr">
        <is>
          <t>Date closed</t>
        </is>
      </c>
      <c r="B51" s="49" t="n"/>
      <c r="C51" s="50" t="n"/>
      <c r="D51" s="51" t="n"/>
    </row>
    <row r="52">
      <c r="A52" s="43" t="inlineStr">
        <is>
          <t>Notes / carried forward items</t>
        </is>
      </c>
      <c r="B52" s="49" t="n"/>
      <c r="C52" s="50" t="n"/>
      <c r="D52" s="51" t="n"/>
    </row>
  </sheetData>
  <mergeCells count="8">
    <mergeCell ref="A28:I28"/>
    <mergeCell ref="B49:D49"/>
    <mergeCell ref="B50:D50"/>
    <mergeCell ref="A17:I17"/>
    <mergeCell ref="B52:D52"/>
    <mergeCell ref="A6:I6"/>
    <mergeCell ref="A48:I48"/>
    <mergeCell ref="B51:D51"/>
  </mergeCells>
  <conditionalFormatting sqref="I8:I14">
    <cfRule type="expression" priority="1" dxfId="1">
      <formula>LEFT(I8,5)="CHECK"</formula>
    </cfRule>
    <cfRule type="expression" priority="2" dxfId="2">
      <formula>I8="Reconciled"</formula>
    </cfRule>
  </conditionalFormatting>
  <conditionalFormatting sqref="I19:I25">
    <cfRule type="expression" priority="3" dxfId="1">
      <formula>I19="CHECK"</formula>
    </cfRule>
    <cfRule type="expression" priority="4" dxfId="2">
      <formula>I19="Reconciled"</formula>
    </cfRule>
  </conditionalFormatting>
  <conditionalFormatting sqref="I30:I46">
    <cfRule type="expression" priority="5" dxfId="1">
      <formula>I30="REVIEW"</formula>
    </cfRule>
    <cfRule type="expression" priority="6" dxfId="2">
      <formula>I30="Clear"</formula>
    </cfRule>
  </conditionalFormatting>
  <conditionalFormatting sqref="B30:B45">
    <cfRule type="cellIs" priority="7" operator="greaterThan" dxfId="0">
      <formula>0</formula>
    </cfRule>
  </conditionalFormatting>
  <dataValidations count="1">
    <dataValidation sqref="C4" showDropDown="0" showInputMessage="0" showErrorMessage="0" allowBlank="0" type="list" errorStyle="warning">
      <formula1>lst_Months</formula1>
    </dataValidation>
  </dataValidations>
  <pageMargins left="0.75" right="0.75" top="1" bottom="1" header="0.5" footer="0.5"/>
</worksheet>
</file>

<file path=xl/worksheets/sheet5.xml><?xml version="1.0" encoding="utf-8"?>
<worksheet xmlns="http://schemas.openxmlformats.org/spreadsheetml/2006/main">
  <sheetPr>
    <tabColor rgb="002E6B4F"/>
    <outlinePr summaryBelow="1" summaryRight="1"/>
    <pageSetUpPr/>
  </sheetPr>
  <dimension ref="A1:H434"/>
  <sheetViews>
    <sheetView showGridLines="0" tabSelected="0" zoomScale="90" workbookViewId="0">
      <pane ySplit="11" topLeftCell="A12" activePane="bottomLeft" state="frozen"/>
      <selection pane="bottomLeft" activeCell="A1" sqref="A1"/>
    </sheetView>
  </sheetViews>
  <sheetFormatPr baseColWidth="8" defaultRowHeight="15"/>
  <cols>
    <col width="16" customWidth="1" min="1" max="1"/>
    <col width="42" customWidth="1" min="2" max="2"/>
    <col width="15" customWidth="1" min="3" max="3"/>
    <col width="15" customWidth="1" min="4" max="4"/>
    <col width="15" customWidth="1" min="5" max="5"/>
    <col width="13" customWidth="1" min="6" max="6"/>
    <col width="20" customWidth="1" min="7" max="7"/>
    <col width="14" customWidth="1" min="8" max="8"/>
  </cols>
  <sheetData>
    <row r="1" ht="24" customHeight="1">
      <c r="A1" s="18" t="inlineStr">
        <is>
          <t>WIP Balance by Job</t>
        </is>
      </c>
    </row>
    <row r="2" ht="16" customHeight="1">
      <c r="A2" s="2" t="inlineStr">
        <is>
          <t>Job-level WIP for the month selected on the Month-End sheet. Paste the matching balance from the WIP Schedule file into column G and the variance column finds the breaks. Filter column F to hide the nil rows.</t>
        </is>
      </c>
    </row>
    <row r="3" ht="6" customHeight="1"/>
    <row r="4">
      <c r="A4" s="30" t="inlineStr">
        <is>
          <t>Month</t>
        </is>
      </c>
      <c r="C4" s="52">
        <f>'Month-End'!C4</f>
        <v/>
      </c>
      <c r="D4" s="32" t="inlineStr">
        <is>
          <t>&lt;- set this on the Month-End sheet</t>
        </is>
      </c>
    </row>
    <row r="6">
      <c r="A6" s="43" t="inlineStr">
        <is>
          <t>Opening total</t>
        </is>
      </c>
      <c r="B6" s="53">
        <f>SUMIFS(tbl_WIP[Amount],tbl_WIP[Month],"&lt;&gt;",tbl_WIP[Month],"&lt;"&amp;$C$4)+SUM('Deferred Revenue'!$P$6:$P$579)</f>
        <v/>
      </c>
    </row>
    <row r="7">
      <c r="A7" s="43" t="inlineStr">
        <is>
          <t>Movement this month</t>
        </is>
      </c>
      <c r="B7" s="53">
        <f>SUMIFS(tbl_WIP[Amount],tbl_WIP[Month],$C$4)+SUM('Deferred Revenue'!$Q$6:$Q$579)</f>
        <v/>
      </c>
    </row>
    <row r="8">
      <c r="A8" s="43" t="inlineStr">
        <is>
          <t>Closing total</t>
        </is>
      </c>
      <c r="B8" s="44">
        <f>B6+B7</f>
        <v/>
      </c>
    </row>
    <row r="9">
      <c r="A9" s="43" t="inlineStr">
        <is>
          <t>Of which is on a job Xero does not have - fix these</t>
        </is>
      </c>
      <c r="B9" s="53">
        <f>SUMIFS(tbl_WIP[Amount],tbl_WIP[Job in Xero?],"CHECK",tbl_WIP[Month],"&lt;="&amp;$C$4)</f>
        <v/>
      </c>
    </row>
    <row r="10">
      <c r="A10" s="43" t="inlineStr">
        <is>
          <t>Closing listed below, job by job</t>
        </is>
      </c>
      <c r="B10" s="44">
        <f>B8-B9</f>
        <v/>
      </c>
    </row>
    <row r="11" ht="30" customHeight="1">
      <c r="A11" s="33" t="inlineStr">
        <is>
          <t>Job Number</t>
        </is>
      </c>
      <c r="B11" s="33" t="inlineStr">
        <is>
          <t>Job Name (Xero)</t>
        </is>
      </c>
      <c r="C11" s="33" t="inlineStr">
        <is>
          <t>Opening</t>
        </is>
      </c>
      <c r="D11" s="33" t="inlineStr">
        <is>
          <t>Movement</t>
        </is>
      </c>
      <c r="E11" s="33" t="inlineStr">
        <is>
          <t>Closing</t>
        </is>
      </c>
      <c r="F11" s="33" t="inlineStr">
        <is>
          <t>Any balance?</t>
        </is>
      </c>
      <c r="G11" s="33" t="inlineStr">
        <is>
          <t>Per WIP Schedule (paste in)</t>
        </is>
      </c>
      <c r="H11" s="33" t="inlineStr">
        <is>
          <t>Variance</t>
        </is>
      </c>
    </row>
    <row r="12">
      <c r="A12" s="54" t="inlineStr">
        <is>
          <t>1144</t>
        </is>
      </c>
      <c r="B12" s="54" t="inlineStr">
        <is>
          <t>Bankwest PER Half Tech</t>
        </is>
      </c>
      <c r="C12" s="55">
        <f>SUMIFS(tbl_WIP[Amount],tbl_WIP[Job Number],$A12,tbl_WIP[Month],"&lt;&gt;",tbl_WIP[Month],"&lt;"&amp;$C$4)+SUMIF('Deferred Revenue'!$E$6:$E$579,$A12,'Deferred Revenue'!$P$6:$P$579)</f>
        <v/>
      </c>
      <c r="D12" s="55">
        <f>SUMIFS(tbl_WIP[Amount],tbl_WIP[Job Number],$A12,tbl_WIP[Month],$C$4)+SUMIF('Deferred Revenue'!$E$6:$E$579,$A12,'Deferred Revenue'!$Q$6:$Q$579)</f>
        <v/>
      </c>
      <c r="E12" s="55">
        <f>C12+D12</f>
        <v/>
      </c>
      <c r="F12" s="56">
        <f>IF(ROUND(C12,2)+ROUND(D12,2)=0,"","yes")</f>
        <v/>
      </c>
      <c r="G12" s="57" t="n"/>
      <c r="H12" s="55">
        <f>IF($G12="","",$E12-$G12)</f>
        <v/>
      </c>
    </row>
    <row r="13">
      <c r="A13" s="54" t="inlineStr">
        <is>
          <t>1350</t>
        </is>
      </c>
      <c r="B13" s="54" t="inlineStr">
        <is>
          <t>CBA Brisbane ONS</t>
        </is>
      </c>
      <c r="C13" s="55">
        <f>SUMIFS(tbl_WIP[Amount],tbl_WIP[Job Number],$A13,tbl_WIP[Month],"&lt;&gt;",tbl_WIP[Month],"&lt;"&amp;$C$4)+SUMIF('Deferred Revenue'!$E$6:$E$579,$A13,'Deferred Revenue'!$P$6:$P$579)</f>
        <v/>
      </c>
      <c r="D13" s="55">
        <f>SUMIFS(tbl_WIP[Amount],tbl_WIP[Job Number],$A13,tbl_WIP[Month],$C$4)+SUMIF('Deferred Revenue'!$E$6:$E$579,$A13,'Deferred Revenue'!$Q$6:$Q$579)</f>
        <v/>
      </c>
      <c r="E13" s="55">
        <f>C13+D13</f>
        <v/>
      </c>
      <c r="F13" s="56">
        <f>IF(ROUND(C13,2)+ROUND(D13,2)=0,"","yes")</f>
        <v/>
      </c>
      <c r="G13" s="57" t="n"/>
      <c r="H13" s="55">
        <f>IF($G13="","",$E13-$G13)</f>
        <v/>
      </c>
    </row>
    <row r="14">
      <c r="A14" s="54" t="inlineStr">
        <is>
          <t>1400</t>
        </is>
      </c>
      <c r="B14" s="54" t="inlineStr">
        <is>
          <t>DTTL Mel Tech FT 2</t>
        </is>
      </c>
      <c r="C14" s="55">
        <f>SUMIFS(tbl_WIP[Amount],tbl_WIP[Job Number],$A14,tbl_WIP[Month],"&lt;&gt;",tbl_WIP[Month],"&lt;"&amp;$C$4)+SUMIF('Deferred Revenue'!$E$6:$E$579,$A14,'Deferred Revenue'!$P$6:$P$579)</f>
        <v/>
      </c>
      <c r="D14" s="55">
        <f>SUMIFS(tbl_WIP[Amount],tbl_WIP[Job Number],$A14,tbl_WIP[Month],$C$4)+SUMIF('Deferred Revenue'!$E$6:$E$579,$A14,'Deferred Revenue'!$Q$6:$Q$579)</f>
        <v/>
      </c>
      <c r="E14" s="55">
        <f>C14+D14</f>
        <v/>
      </c>
      <c r="F14" s="56">
        <f>IF(ROUND(C14,2)+ROUND(D14,2)=0,"","yes")</f>
        <v/>
      </c>
      <c r="G14" s="57" t="n"/>
      <c r="H14" s="55">
        <f>IF($G14="","",$E14-$G14)</f>
        <v/>
      </c>
    </row>
    <row r="15">
      <c r="A15" s="54" t="inlineStr">
        <is>
          <t>1401</t>
        </is>
      </c>
      <c r="B15" s="54" t="inlineStr">
        <is>
          <t>DTTL SYD FT Tech 2</t>
        </is>
      </c>
      <c r="C15" s="55">
        <f>SUMIFS(tbl_WIP[Amount],tbl_WIP[Job Number],$A15,tbl_WIP[Month],"&lt;&gt;",tbl_WIP[Month],"&lt;"&amp;$C$4)+SUMIF('Deferred Revenue'!$E$6:$E$579,$A15,'Deferred Revenue'!$P$6:$P$579)</f>
        <v/>
      </c>
      <c r="D15" s="55">
        <f>SUMIFS(tbl_WIP[Amount],tbl_WIP[Job Number],$A15,tbl_WIP[Month],$C$4)+SUMIF('Deferred Revenue'!$E$6:$E$579,$A15,'Deferred Revenue'!$Q$6:$Q$579)</f>
        <v/>
      </c>
      <c r="E15" s="55">
        <f>C15+D15</f>
        <v/>
      </c>
      <c r="F15" s="56">
        <f>IF(ROUND(C15,2)+ROUND(D15,2)=0,"","yes")</f>
        <v/>
      </c>
      <c r="G15" s="57" t="n"/>
      <c r="H15" s="55">
        <f>IF($G15="","",$E15-$G15)</f>
        <v/>
      </c>
    </row>
    <row r="16">
      <c r="A16" s="54" t="inlineStr">
        <is>
          <t>1530</t>
        </is>
      </c>
      <c r="B16" s="54" t="inlineStr">
        <is>
          <t>DTTL BNE Onsite</t>
        </is>
      </c>
      <c r="C16" s="55">
        <f>SUMIFS(tbl_WIP[Amount],tbl_WIP[Job Number],$A16,tbl_WIP[Month],"&lt;&gt;",tbl_WIP[Month],"&lt;"&amp;$C$4)+SUMIF('Deferred Revenue'!$E$6:$E$579,$A16,'Deferred Revenue'!$P$6:$P$579)</f>
        <v/>
      </c>
      <c r="D16" s="55">
        <f>SUMIFS(tbl_WIP[Amount],tbl_WIP[Job Number],$A16,tbl_WIP[Month],$C$4)+SUMIF('Deferred Revenue'!$E$6:$E$579,$A16,'Deferred Revenue'!$Q$6:$Q$579)</f>
        <v/>
      </c>
      <c r="E16" s="55">
        <f>C16+D16</f>
        <v/>
      </c>
      <c r="F16" s="56">
        <f>IF(ROUND(C16,2)+ROUND(D16,2)=0,"","yes")</f>
        <v/>
      </c>
      <c r="G16" s="57" t="n"/>
      <c r="H16" s="55">
        <f>IF($G16="","",$E16-$G16)</f>
        <v/>
      </c>
    </row>
    <row r="17">
      <c r="A17" s="54" t="inlineStr">
        <is>
          <t>1668</t>
        </is>
      </c>
      <c r="B17" s="54" t="inlineStr">
        <is>
          <t>CBA Dedicated Tech</t>
        </is>
      </c>
      <c r="C17" s="55">
        <f>SUMIFS(tbl_WIP[Amount],tbl_WIP[Job Number],$A17,tbl_WIP[Month],"&lt;&gt;",tbl_WIP[Month],"&lt;"&amp;$C$4)+SUMIF('Deferred Revenue'!$E$6:$E$579,$A17,'Deferred Revenue'!$P$6:$P$579)</f>
        <v/>
      </c>
      <c r="D17" s="55">
        <f>SUMIFS(tbl_WIP[Amount],tbl_WIP[Job Number],$A17,tbl_WIP[Month],$C$4)+SUMIF('Deferred Revenue'!$E$6:$E$579,$A17,'Deferred Revenue'!$Q$6:$Q$579)</f>
        <v/>
      </c>
      <c r="E17" s="55">
        <f>C17+D17</f>
        <v/>
      </c>
      <c r="F17" s="56">
        <f>IF(ROUND(C17,2)+ROUND(D17,2)=0,"","yes")</f>
        <v/>
      </c>
      <c r="G17" s="57" t="n"/>
      <c r="H17" s="55">
        <f>IF($G17="","",$E17-$G17)</f>
        <v/>
      </c>
    </row>
    <row r="18">
      <c r="A18" s="54" t="inlineStr">
        <is>
          <t>1750</t>
        </is>
      </c>
      <c r="B18" s="54" t="inlineStr">
        <is>
          <t>Bankwest Spotify</t>
        </is>
      </c>
      <c r="C18" s="55">
        <f>SUMIFS(tbl_WIP[Amount],tbl_WIP[Job Number],$A18,tbl_WIP[Month],"&lt;&gt;",tbl_WIP[Month],"&lt;"&amp;$C$4)+SUMIF('Deferred Revenue'!$E$6:$E$579,$A18,'Deferred Revenue'!$P$6:$P$579)</f>
        <v/>
      </c>
      <c r="D18" s="55">
        <f>SUMIFS(tbl_WIP[Amount],tbl_WIP[Job Number],$A18,tbl_WIP[Month],$C$4)+SUMIF('Deferred Revenue'!$E$6:$E$579,$A18,'Deferred Revenue'!$Q$6:$Q$579)</f>
        <v/>
      </c>
      <c r="E18" s="55">
        <f>C18+D18</f>
        <v/>
      </c>
      <c r="F18" s="56">
        <f>IF(ROUND(C18,2)+ROUND(D18,2)=0,"","yes")</f>
        <v/>
      </c>
      <c r="G18" s="57" t="n"/>
      <c r="H18" s="55">
        <f>IF($G18="","",$E18-$G18)</f>
        <v/>
      </c>
    </row>
    <row r="19">
      <c r="A19" s="54" t="inlineStr">
        <is>
          <t>1755</t>
        </is>
      </c>
      <c r="B19" s="54" t="inlineStr">
        <is>
          <t>CBA Spotify</t>
        </is>
      </c>
      <c r="C19" s="55">
        <f>SUMIFS(tbl_WIP[Amount],tbl_WIP[Job Number],$A19,tbl_WIP[Month],"&lt;&gt;",tbl_WIP[Month],"&lt;"&amp;$C$4)+SUMIF('Deferred Revenue'!$E$6:$E$579,$A19,'Deferred Revenue'!$P$6:$P$579)</f>
        <v/>
      </c>
      <c r="D19" s="55">
        <f>SUMIFS(tbl_WIP[Amount],tbl_WIP[Job Number],$A19,tbl_WIP[Month],$C$4)+SUMIF('Deferred Revenue'!$E$6:$E$579,$A19,'Deferred Revenue'!$Q$6:$Q$579)</f>
        <v/>
      </c>
      <c r="E19" s="55">
        <f>C19+D19</f>
        <v/>
      </c>
      <c r="F19" s="56">
        <f>IF(ROUND(C19,2)+ROUND(D19,2)=0,"","yes")</f>
        <v/>
      </c>
      <c r="G19" s="57" t="n"/>
      <c r="H19" s="55">
        <f>IF($G19="","",$E19-$G19)</f>
        <v/>
      </c>
    </row>
    <row r="20">
      <c r="A20" s="54" t="inlineStr">
        <is>
          <t>1771</t>
        </is>
      </c>
      <c r="B20" s="54" t="inlineStr">
        <is>
          <t>Integration - Training</t>
        </is>
      </c>
      <c r="C20" s="55">
        <f>SUMIFS(tbl_WIP[Amount],tbl_WIP[Job Number],$A20,tbl_WIP[Month],"&lt;&gt;",tbl_WIP[Month],"&lt;"&amp;$C$4)+SUMIF('Deferred Revenue'!$E$6:$E$579,$A20,'Deferred Revenue'!$P$6:$P$579)</f>
        <v/>
      </c>
      <c r="D20" s="55">
        <f>SUMIFS(tbl_WIP[Amount],tbl_WIP[Job Number],$A20,tbl_WIP[Month],$C$4)+SUMIF('Deferred Revenue'!$E$6:$E$579,$A20,'Deferred Revenue'!$Q$6:$Q$579)</f>
        <v/>
      </c>
      <c r="E20" s="55">
        <f>C20+D20</f>
        <v/>
      </c>
      <c r="F20" s="56">
        <f>IF(ROUND(C20,2)+ROUND(D20,2)=0,"","yes")</f>
        <v/>
      </c>
      <c r="G20" s="57" t="n"/>
      <c r="H20" s="55">
        <f>IF($G20="","",$E20-$G20)</f>
        <v/>
      </c>
    </row>
    <row r="21">
      <c r="A21" s="54" t="inlineStr">
        <is>
          <t>1862</t>
        </is>
      </c>
      <c r="B21" s="54" t="inlineStr">
        <is>
          <t>DTTL ADL Onsite</t>
        </is>
      </c>
      <c r="C21" s="55">
        <f>SUMIFS(tbl_WIP[Amount],tbl_WIP[Job Number],$A21,tbl_WIP[Month],"&lt;&gt;",tbl_WIP[Month],"&lt;"&amp;$C$4)+SUMIF('Deferred Revenue'!$E$6:$E$579,$A21,'Deferred Revenue'!$P$6:$P$579)</f>
        <v/>
      </c>
      <c r="D21" s="55">
        <f>SUMIFS(tbl_WIP[Amount],tbl_WIP[Job Number],$A21,tbl_WIP[Month],$C$4)+SUMIF('Deferred Revenue'!$E$6:$E$579,$A21,'Deferred Revenue'!$Q$6:$Q$579)</f>
        <v/>
      </c>
      <c r="E21" s="55">
        <f>C21+D21</f>
        <v/>
      </c>
      <c r="F21" s="56">
        <f>IF(ROUND(C21,2)+ROUND(D21,2)=0,"","yes")</f>
        <v/>
      </c>
      <c r="G21" s="57" t="n"/>
      <c r="H21" s="55">
        <f>IF($G21="","",$E21-$G21)</f>
        <v/>
      </c>
    </row>
    <row r="22">
      <c r="A22" s="54" t="inlineStr">
        <is>
          <t>20250731</t>
        </is>
      </c>
      <c r="B22" s="54" t="inlineStr">
        <is>
          <t>PWC National Pool of Hours</t>
        </is>
      </c>
      <c r="C22" s="55">
        <f>SUMIFS(tbl_WIP[Amount],tbl_WIP[Job Number],$A22,tbl_WIP[Month],"&lt;&gt;",tbl_WIP[Month],"&lt;"&amp;$C$4)+SUMIF('Deferred Revenue'!$E$6:$E$579,$A22,'Deferred Revenue'!$P$6:$P$579)</f>
        <v/>
      </c>
      <c r="D22" s="55">
        <f>SUMIFS(tbl_WIP[Amount],tbl_WIP[Job Number],$A22,tbl_WIP[Month],$C$4)+SUMIF('Deferred Revenue'!$E$6:$E$579,$A22,'Deferred Revenue'!$Q$6:$Q$579)</f>
        <v/>
      </c>
      <c r="E22" s="55">
        <f>C22+D22</f>
        <v/>
      </c>
      <c r="F22" s="56">
        <f>IF(ROUND(C22,2)+ROUND(D22,2)=0,"","yes")</f>
        <v/>
      </c>
      <c r="G22" s="57" t="n"/>
      <c r="H22" s="55">
        <f>IF($G22="","",$E22-$G22)</f>
        <v/>
      </c>
    </row>
    <row r="23">
      <c r="A23" s="54" t="inlineStr">
        <is>
          <t>2026021101</t>
        </is>
      </c>
      <c r="B23" s="54" t="inlineStr">
        <is>
          <t>AusPayNet Quarterly AV Support &amp; Maintenance 2026</t>
        </is>
      </c>
      <c r="C23" s="55">
        <f>SUMIFS(tbl_WIP[Amount],tbl_WIP[Job Number],$A23,tbl_WIP[Month],"&lt;&gt;",tbl_WIP[Month],"&lt;"&amp;$C$4)+SUMIF('Deferred Revenue'!$E$6:$E$579,$A23,'Deferred Revenue'!$P$6:$P$579)</f>
        <v/>
      </c>
      <c r="D23" s="55">
        <f>SUMIFS(tbl_WIP[Amount],tbl_WIP[Job Number],$A23,tbl_WIP[Month],$C$4)+SUMIF('Deferred Revenue'!$E$6:$E$579,$A23,'Deferred Revenue'!$Q$6:$Q$579)</f>
        <v/>
      </c>
      <c r="E23" s="55">
        <f>C23+D23</f>
        <v/>
      </c>
      <c r="F23" s="56">
        <f>IF(ROUND(C23,2)+ROUND(D23,2)=0,"","yes")</f>
        <v/>
      </c>
      <c r="G23" s="57" t="n"/>
      <c r="H23" s="55">
        <f>IF($G23="","",$E23-$G23)</f>
        <v/>
      </c>
    </row>
    <row r="24">
      <c r="A24" s="54" t="inlineStr">
        <is>
          <t>20260801</t>
        </is>
      </c>
      <c r="B24" s="54" t="inlineStr">
        <is>
          <t>CTS Day 2026</t>
        </is>
      </c>
      <c r="C24" s="55">
        <f>SUMIFS(tbl_WIP[Amount],tbl_WIP[Job Number],$A24,tbl_WIP[Month],"&lt;&gt;",tbl_WIP[Month],"&lt;"&amp;$C$4)+SUMIF('Deferred Revenue'!$E$6:$E$579,$A24,'Deferred Revenue'!$P$6:$P$579)</f>
        <v/>
      </c>
      <c r="D24" s="55">
        <f>SUMIFS(tbl_WIP[Amount],tbl_WIP[Job Number],$A24,tbl_WIP[Month],$C$4)+SUMIF('Deferred Revenue'!$E$6:$E$579,$A24,'Deferred Revenue'!$Q$6:$Q$579)</f>
        <v/>
      </c>
      <c r="E24" s="55">
        <f>C24+D24</f>
        <v/>
      </c>
      <c r="F24" s="56">
        <f>IF(ROUND(C24,2)+ROUND(D24,2)=0,"","yes")</f>
        <v/>
      </c>
      <c r="G24" s="57" t="n"/>
      <c r="H24" s="55">
        <f>IF($G24="","",$E24-$G24)</f>
        <v/>
      </c>
    </row>
    <row r="25">
      <c r="A25" s="54" t="inlineStr">
        <is>
          <t>2192</t>
        </is>
      </c>
      <c r="B25" s="54" t="inlineStr">
        <is>
          <t>Bankwest Additional Tech</t>
        </is>
      </c>
      <c r="C25" s="55">
        <f>SUMIFS(tbl_WIP[Amount],tbl_WIP[Job Number],$A25,tbl_WIP[Month],"&lt;&gt;",tbl_WIP[Month],"&lt;"&amp;$C$4)+SUMIF('Deferred Revenue'!$E$6:$E$579,$A25,'Deferred Revenue'!$P$6:$P$579)</f>
        <v/>
      </c>
      <c r="D25" s="55">
        <f>SUMIFS(tbl_WIP[Amount],tbl_WIP[Job Number],$A25,tbl_WIP[Month],$C$4)+SUMIF('Deferred Revenue'!$E$6:$E$579,$A25,'Deferred Revenue'!$Q$6:$Q$579)</f>
        <v/>
      </c>
      <c r="E25" s="55">
        <f>C25+D25</f>
        <v/>
      </c>
      <c r="F25" s="56">
        <f>IF(ROUND(C25,2)+ROUND(D25,2)=0,"","yes")</f>
        <v/>
      </c>
      <c r="G25" s="57" t="n"/>
      <c r="H25" s="55">
        <f>IF($G25="","",$E25-$G25)</f>
        <v/>
      </c>
    </row>
    <row r="26">
      <c r="A26" s="54" t="inlineStr">
        <is>
          <t>2347</t>
        </is>
      </c>
      <c r="B26" s="54" t="inlineStr">
        <is>
          <t>DTTL Dedicated Tech</t>
        </is>
      </c>
      <c r="C26" s="55">
        <f>SUMIFS(tbl_WIP[Amount],tbl_WIP[Job Number],$A26,tbl_WIP[Month],"&lt;&gt;",tbl_WIP[Month],"&lt;"&amp;$C$4)+SUMIF('Deferred Revenue'!$E$6:$E$579,$A26,'Deferred Revenue'!$P$6:$P$579)</f>
        <v/>
      </c>
      <c r="D26" s="55">
        <f>SUMIFS(tbl_WIP[Amount],tbl_WIP[Job Number],$A26,tbl_WIP[Month],$C$4)+SUMIF('Deferred Revenue'!$E$6:$E$579,$A26,'Deferred Revenue'!$Q$6:$Q$579)</f>
        <v/>
      </c>
      <c r="E26" s="55">
        <f>C26+D26</f>
        <v/>
      </c>
      <c r="F26" s="56">
        <f>IF(ROUND(C26,2)+ROUND(D26,2)=0,"","yes")</f>
        <v/>
      </c>
      <c r="G26" s="57" t="n"/>
      <c r="H26" s="55">
        <f>IF($G26="","",$E26-$G26)</f>
        <v/>
      </c>
    </row>
    <row r="27">
      <c r="A27" s="54" t="inlineStr">
        <is>
          <t>2392</t>
        </is>
      </c>
      <c r="B27" s="54" t="inlineStr">
        <is>
          <t>PWC – MEL Technician</t>
        </is>
      </c>
      <c r="C27" s="55">
        <f>SUMIFS(tbl_WIP[Amount],tbl_WIP[Job Number],$A27,tbl_WIP[Month],"&lt;&gt;",tbl_WIP[Month],"&lt;"&amp;$C$4)+SUMIF('Deferred Revenue'!$E$6:$E$579,$A27,'Deferred Revenue'!$P$6:$P$579)</f>
        <v/>
      </c>
      <c r="D27" s="55">
        <f>SUMIFS(tbl_WIP[Amount],tbl_WIP[Job Number],$A27,tbl_WIP[Month],$C$4)+SUMIF('Deferred Revenue'!$E$6:$E$579,$A27,'Deferred Revenue'!$Q$6:$Q$579)</f>
        <v/>
      </c>
      <c r="E27" s="55">
        <f>C27+D27</f>
        <v/>
      </c>
      <c r="F27" s="56">
        <f>IF(ROUND(C27,2)+ROUND(D27,2)=0,"","yes")</f>
        <v/>
      </c>
      <c r="G27" s="57" t="n"/>
      <c r="H27" s="55">
        <f>IF($G27="","",$E27-$G27)</f>
        <v/>
      </c>
    </row>
    <row r="28">
      <c r="A28" s="54" t="inlineStr">
        <is>
          <t>2402</t>
        </is>
      </c>
      <c r="B28" s="54" t="inlineStr">
        <is>
          <t>DTTL SYD FT Tech 1</t>
        </is>
      </c>
      <c r="C28" s="55">
        <f>SUMIFS(tbl_WIP[Amount],tbl_WIP[Job Number],$A28,tbl_WIP[Month],"&lt;&gt;",tbl_WIP[Month],"&lt;"&amp;$C$4)+SUMIF('Deferred Revenue'!$E$6:$E$579,$A28,'Deferred Revenue'!$P$6:$P$579)</f>
        <v/>
      </c>
      <c r="D28" s="55">
        <f>SUMIFS(tbl_WIP[Amount],tbl_WIP[Job Number],$A28,tbl_WIP[Month],$C$4)+SUMIF('Deferred Revenue'!$E$6:$E$579,$A28,'Deferred Revenue'!$Q$6:$Q$579)</f>
        <v/>
      </c>
      <c r="E28" s="55">
        <f>C28+D28</f>
        <v/>
      </c>
      <c r="F28" s="56">
        <f>IF(ROUND(C28,2)+ROUND(D28,2)=0,"","yes")</f>
        <v/>
      </c>
      <c r="G28" s="57" t="n"/>
      <c r="H28" s="55">
        <f>IF($G28="","",$E28-$G28)</f>
        <v/>
      </c>
    </row>
    <row r="29">
      <c r="A29" s="54" t="inlineStr">
        <is>
          <t>2407312</t>
        </is>
      </c>
      <c r="B29" s="54" t="inlineStr">
        <is>
          <t>Hills Performance Centre</t>
        </is>
      </c>
      <c r="C29" s="55">
        <f>SUMIFS(tbl_WIP[Amount],tbl_WIP[Job Number],$A29,tbl_WIP[Month],"&lt;&gt;",tbl_WIP[Month],"&lt;"&amp;$C$4)+SUMIF('Deferred Revenue'!$E$6:$E$579,$A29,'Deferred Revenue'!$P$6:$P$579)</f>
        <v/>
      </c>
      <c r="D29" s="55">
        <f>SUMIFS(tbl_WIP[Amount],tbl_WIP[Job Number],$A29,tbl_WIP[Month],$C$4)+SUMIF('Deferred Revenue'!$E$6:$E$579,$A29,'Deferred Revenue'!$Q$6:$Q$579)</f>
        <v/>
      </c>
      <c r="E29" s="55">
        <f>C29+D29</f>
        <v/>
      </c>
      <c r="F29" s="56">
        <f>IF(ROUND(C29,2)+ROUND(D29,2)=0,"","yes")</f>
        <v/>
      </c>
      <c r="G29" s="57" t="n"/>
      <c r="H29" s="55">
        <f>IF($G29="","",$E29-$G29)</f>
        <v/>
      </c>
    </row>
    <row r="30">
      <c r="A30" s="54" t="inlineStr">
        <is>
          <t>24102501</t>
        </is>
      </c>
      <c r="B30" s="54" t="inlineStr">
        <is>
          <t>PWC - MEL Tech 12Months</t>
        </is>
      </c>
      <c r="C30" s="55">
        <f>SUMIFS(tbl_WIP[Amount],tbl_WIP[Job Number],$A30,tbl_WIP[Month],"&lt;&gt;",tbl_WIP[Month],"&lt;"&amp;$C$4)+SUMIF('Deferred Revenue'!$E$6:$E$579,$A30,'Deferred Revenue'!$P$6:$P$579)</f>
        <v/>
      </c>
      <c r="D30" s="55">
        <f>SUMIFS(tbl_WIP[Amount],tbl_WIP[Job Number],$A30,tbl_WIP[Month],$C$4)+SUMIF('Deferred Revenue'!$E$6:$E$579,$A30,'Deferred Revenue'!$Q$6:$Q$579)</f>
        <v/>
      </c>
      <c r="E30" s="55">
        <f>C30+D30</f>
        <v/>
      </c>
      <c r="F30" s="56">
        <f>IF(ROUND(C30,2)+ROUND(D30,2)=0,"","yes")</f>
        <v/>
      </c>
      <c r="G30" s="57" t="n"/>
      <c r="H30" s="55">
        <f>IF($G30="","",$E30-$G30)</f>
        <v/>
      </c>
    </row>
    <row r="31">
      <c r="A31" s="54" t="inlineStr">
        <is>
          <t>24121001</t>
        </is>
      </c>
      <c r="B31" s="54" t="inlineStr">
        <is>
          <t>BW PER Studio Equipment Supply</t>
        </is>
      </c>
      <c r="C31" s="55">
        <f>SUMIFS(tbl_WIP[Amount],tbl_WIP[Job Number],$A31,tbl_WIP[Month],"&lt;&gt;",tbl_WIP[Month],"&lt;"&amp;$C$4)+SUMIF('Deferred Revenue'!$E$6:$E$579,$A31,'Deferred Revenue'!$P$6:$P$579)</f>
        <v/>
      </c>
      <c r="D31" s="55">
        <f>SUMIFS(tbl_WIP[Amount],tbl_WIP[Job Number],$A31,tbl_WIP[Month],$C$4)+SUMIF('Deferred Revenue'!$E$6:$E$579,$A31,'Deferred Revenue'!$Q$6:$Q$579)</f>
        <v/>
      </c>
      <c r="E31" s="55">
        <f>C31+D31</f>
        <v/>
      </c>
      <c r="F31" s="56">
        <f>IF(ROUND(C31,2)+ROUND(D31,2)=0,"","yes")</f>
        <v/>
      </c>
      <c r="G31" s="57" t="n"/>
      <c r="H31" s="55">
        <f>IF($G31="","",$E31-$G31)</f>
        <v/>
      </c>
    </row>
    <row r="32">
      <c r="A32" s="54" t="inlineStr">
        <is>
          <t>2479</t>
        </is>
      </c>
      <c r="B32" s="54" t="inlineStr">
        <is>
          <t>CONSULTING - Quotes</t>
        </is>
      </c>
      <c r="C32" s="55">
        <f>SUMIFS(tbl_WIP[Amount],tbl_WIP[Job Number],$A32,tbl_WIP[Month],"&lt;&gt;",tbl_WIP[Month],"&lt;"&amp;$C$4)+SUMIF('Deferred Revenue'!$E$6:$E$579,$A32,'Deferred Revenue'!$P$6:$P$579)</f>
        <v/>
      </c>
      <c r="D32" s="55">
        <f>SUMIFS(tbl_WIP[Amount],tbl_WIP[Job Number],$A32,tbl_WIP[Month],$C$4)+SUMIF('Deferred Revenue'!$E$6:$E$579,$A32,'Deferred Revenue'!$Q$6:$Q$579)</f>
        <v/>
      </c>
      <c r="E32" s="55">
        <f>C32+D32</f>
        <v/>
      </c>
      <c r="F32" s="56">
        <f>IF(ROUND(C32,2)+ROUND(D32,2)=0,"","yes")</f>
        <v/>
      </c>
      <c r="G32" s="57" t="n"/>
      <c r="H32" s="55">
        <f>IF($G32="","",$E32-$G32)</f>
        <v/>
      </c>
    </row>
    <row r="33">
      <c r="A33" s="54" t="inlineStr">
        <is>
          <t>2480</t>
        </is>
      </c>
      <c r="B33" s="54" t="inlineStr">
        <is>
          <t>ONSITE - Quotes</t>
        </is>
      </c>
      <c r="C33" s="55">
        <f>SUMIFS(tbl_WIP[Amount],tbl_WIP[Job Number],$A33,tbl_WIP[Month],"&lt;&gt;",tbl_WIP[Month],"&lt;"&amp;$C$4)+SUMIF('Deferred Revenue'!$E$6:$E$579,$A33,'Deferred Revenue'!$P$6:$P$579)</f>
        <v/>
      </c>
      <c r="D33" s="55">
        <f>SUMIFS(tbl_WIP[Amount],tbl_WIP[Job Number],$A33,tbl_WIP[Month],$C$4)+SUMIF('Deferred Revenue'!$E$6:$E$579,$A33,'Deferred Revenue'!$Q$6:$Q$579)</f>
        <v/>
      </c>
      <c r="E33" s="55">
        <f>C33+D33</f>
        <v/>
      </c>
      <c r="F33" s="56">
        <f>IF(ROUND(C33,2)+ROUND(D33,2)=0,"","yes")</f>
        <v/>
      </c>
      <c r="G33" s="57" t="n"/>
      <c r="H33" s="55">
        <f>IF($G33="","",$E33-$G33)</f>
        <v/>
      </c>
    </row>
    <row r="34">
      <c r="A34" s="54" t="inlineStr">
        <is>
          <t>2481</t>
        </is>
      </c>
      <c r="B34" s="54" t="inlineStr">
        <is>
          <t>Production - Quotes</t>
        </is>
      </c>
      <c r="C34" s="55">
        <f>SUMIFS(tbl_WIP[Amount],tbl_WIP[Job Number],$A34,tbl_WIP[Month],"&lt;&gt;",tbl_WIP[Month],"&lt;"&amp;$C$4)+SUMIF('Deferred Revenue'!$E$6:$E$579,$A34,'Deferred Revenue'!$P$6:$P$579)</f>
        <v/>
      </c>
      <c r="D34" s="55">
        <f>SUMIFS(tbl_WIP[Amount],tbl_WIP[Job Number],$A34,tbl_WIP[Month],$C$4)+SUMIF('Deferred Revenue'!$E$6:$E$579,$A34,'Deferred Revenue'!$Q$6:$Q$579)</f>
        <v/>
      </c>
      <c r="E34" s="55">
        <f>C34+D34</f>
        <v/>
      </c>
      <c r="F34" s="56">
        <f>IF(ROUND(C34,2)+ROUND(D34,2)=0,"","yes")</f>
        <v/>
      </c>
      <c r="G34" s="57" t="n"/>
      <c r="H34" s="55">
        <f>IF($G34="","",$E34-$G34)</f>
        <v/>
      </c>
    </row>
    <row r="35">
      <c r="A35" s="54" t="inlineStr">
        <is>
          <t>2482</t>
        </is>
      </c>
      <c r="B35" s="54" t="inlineStr">
        <is>
          <t>VIDEO - Quotes</t>
        </is>
      </c>
      <c r="C35" s="55">
        <f>SUMIFS(tbl_WIP[Amount],tbl_WIP[Job Number],$A35,tbl_WIP[Month],"&lt;&gt;",tbl_WIP[Month],"&lt;"&amp;$C$4)+SUMIF('Deferred Revenue'!$E$6:$E$579,$A35,'Deferred Revenue'!$P$6:$P$579)</f>
        <v/>
      </c>
      <c r="D35" s="55">
        <f>SUMIFS(tbl_WIP[Amount],tbl_WIP[Job Number],$A35,tbl_WIP[Month],$C$4)+SUMIF('Deferred Revenue'!$E$6:$E$579,$A35,'Deferred Revenue'!$Q$6:$Q$579)</f>
        <v/>
      </c>
      <c r="E35" s="55">
        <f>C35+D35</f>
        <v/>
      </c>
      <c r="F35" s="56">
        <f>IF(ROUND(C35,2)+ROUND(D35,2)=0,"","yes")</f>
        <v/>
      </c>
      <c r="G35" s="57" t="n"/>
      <c r="H35" s="55">
        <f>IF($G35="","",$E35-$G35)</f>
        <v/>
      </c>
    </row>
    <row r="36">
      <c r="A36" s="54" t="inlineStr">
        <is>
          <t>2488</t>
        </is>
      </c>
      <c r="B36" s="54" t="inlineStr">
        <is>
          <t>PWC IT P/T BNE</t>
        </is>
      </c>
      <c r="C36" s="55">
        <f>SUMIFS(tbl_WIP[Amount],tbl_WIP[Job Number],$A36,tbl_WIP[Month],"&lt;&gt;",tbl_WIP[Month],"&lt;"&amp;$C$4)+SUMIF('Deferred Revenue'!$E$6:$E$579,$A36,'Deferred Revenue'!$P$6:$P$579)</f>
        <v/>
      </c>
      <c r="D36" s="55">
        <f>SUMIFS(tbl_WIP[Amount],tbl_WIP[Job Number],$A36,tbl_WIP[Month],$C$4)+SUMIF('Deferred Revenue'!$E$6:$E$579,$A36,'Deferred Revenue'!$Q$6:$Q$579)</f>
        <v/>
      </c>
      <c r="E36" s="55">
        <f>C36+D36</f>
        <v/>
      </c>
      <c r="F36" s="56">
        <f>IF(ROUND(C36,2)+ROUND(D36,2)=0,"","yes")</f>
        <v/>
      </c>
      <c r="G36" s="57" t="n"/>
      <c r="H36" s="55">
        <f>IF($G36="","",$E36-$G36)</f>
        <v/>
      </c>
    </row>
    <row r="37">
      <c r="A37" s="54" t="inlineStr">
        <is>
          <t>25011601</t>
        </is>
      </c>
      <c r="B37" s="54" t="inlineStr">
        <is>
          <t>DTTL Hobart ITS AV Ref</t>
        </is>
      </c>
      <c r="C37" s="55">
        <f>SUMIFS(tbl_WIP[Amount],tbl_WIP[Job Number],$A37,tbl_WIP[Month],"&lt;&gt;",tbl_WIP[Month],"&lt;"&amp;$C$4)+SUMIF('Deferred Revenue'!$E$6:$E$579,$A37,'Deferred Revenue'!$P$6:$P$579)</f>
        <v/>
      </c>
      <c r="D37" s="55">
        <f>SUMIFS(tbl_WIP[Amount],tbl_WIP[Job Number],$A37,tbl_WIP[Month],$C$4)+SUMIF('Deferred Revenue'!$E$6:$E$579,$A37,'Deferred Revenue'!$Q$6:$Q$579)</f>
        <v/>
      </c>
      <c r="E37" s="55">
        <f>C37+D37</f>
        <v/>
      </c>
      <c r="F37" s="56">
        <f>IF(ROUND(C37,2)+ROUND(D37,2)=0,"","yes")</f>
        <v/>
      </c>
      <c r="G37" s="57" t="n"/>
      <c r="H37" s="55">
        <f>IF($G37="","",$E37-$G37)</f>
        <v/>
      </c>
    </row>
    <row r="38">
      <c r="A38" s="54" t="inlineStr">
        <is>
          <t>2501738</t>
        </is>
      </c>
      <c r="B38" s="54" t="inlineStr">
        <is>
          <t>APA HYR25 &amp; FYR25</t>
        </is>
      </c>
      <c r="C38" s="55">
        <f>SUMIFS(tbl_WIP[Amount],tbl_WIP[Job Number],$A38,tbl_WIP[Month],"&lt;&gt;",tbl_WIP[Month],"&lt;"&amp;$C$4)+SUMIF('Deferred Revenue'!$E$6:$E$579,$A38,'Deferred Revenue'!$P$6:$P$579)</f>
        <v/>
      </c>
      <c r="D38" s="55">
        <f>SUMIFS(tbl_WIP[Amount],tbl_WIP[Job Number],$A38,tbl_WIP[Month],$C$4)+SUMIF('Deferred Revenue'!$E$6:$E$579,$A38,'Deferred Revenue'!$Q$6:$Q$579)</f>
        <v/>
      </c>
      <c r="E38" s="55">
        <f>C38+D38</f>
        <v/>
      </c>
      <c r="F38" s="56">
        <f>IF(ROUND(C38,2)+ROUND(D38,2)=0,"","yes")</f>
        <v/>
      </c>
      <c r="G38" s="57" t="n"/>
      <c r="H38" s="55">
        <f>IF($G38="","",$E38-$G38)</f>
        <v/>
      </c>
    </row>
    <row r="39">
      <c r="A39" s="54" t="inlineStr">
        <is>
          <t>2502</t>
        </is>
      </c>
      <c r="B39" s="54" t="inlineStr">
        <is>
          <t>ONS CBA (non-chargeable)</t>
        </is>
      </c>
      <c r="C39" s="55">
        <f>SUMIFS(tbl_WIP[Amount],tbl_WIP[Job Number],$A39,tbl_WIP[Month],"&lt;&gt;",tbl_WIP[Month],"&lt;"&amp;$C$4)+SUMIF('Deferred Revenue'!$E$6:$E$579,$A39,'Deferred Revenue'!$P$6:$P$579)</f>
        <v/>
      </c>
      <c r="D39" s="55">
        <f>SUMIFS(tbl_WIP[Amount],tbl_WIP[Job Number],$A39,tbl_WIP[Month],$C$4)+SUMIF('Deferred Revenue'!$E$6:$E$579,$A39,'Deferred Revenue'!$Q$6:$Q$579)</f>
        <v/>
      </c>
      <c r="E39" s="55">
        <f>C39+D39</f>
        <v/>
      </c>
      <c r="F39" s="56">
        <f>IF(ROUND(C39,2)+ROUND(D39,2)=0,"","yes")</f>
        <v/>
      </c>
      <c r="G39" s="57" t="n"/>
      <c r="H39" s="55">
        <f>IF($G39="","",$E39-$G39)</f>
        <v/>
      </c>
    </row>
    <row r="40">
      <c r="A40" s="54" t="inlineStr">
        <is>
          <t>25021901</t>
        </is>
      </c>
      <c r="B40" s="54" t="inlineStr">
        <is>
          <t>DAFF Technology Standard</t>
        </is>
      </c>
      <c r="C40" s="55">
        <f>SUMIFS(tbl_WIP[Amount],tbl_WIP[Job Number],$A40,tbl_WIP[Month],"&lt;&gt;",tbl_WIP[Month],"&lt;"&amp;$C$4)+SUMIF('Deferred Revenue'!$E$6:$E$579,$A40,'Deferred Revenue'!$P$6:$P$579)</f>
        <v/>
      </c>
      <c r="D40" s="55">
        <f>SUMIFS(tbl_WIP[Amount],tbl_WIP[Job Number],$A40,tbl_WIP[Month],$C$4)+SUMIF('Deferred Revenue'!$E$6:$E$579,$A40,'Deferred Revenue'!$Q$6:$Q$579)</f>
        <v/>
      </c>
      <c r="E40" s="55">
        <f>C40+D40</f>
        <v/>
      </c>
      <c r="F40" s="56">
        <f>IF(ROUND(C40,2)+ROUND(D40,2)=0,"","yes")</f>
        <v/>
      </c>
      <c r="G40" s="57" t="n"/>
      <c r="H40" s="55">
        <f>IF($G40="","",$E40-$G40)</f>
        <v/>
      </c>
    </row>
    <row r="41">
      <c r="A41" s="54" t="inlineStr">
        <is>
          <t>2503</t>
        </is>
      </c>
      <c r="B41" s="54" t="inlineStr">
        <is>
          <t>ONS DTTL (non-chargeable)</t>
        </is>
      </c>
      <c r="C41" s="55">
        <f>SUMIFS(tbl_WIP[Amount],tbl_WIP[Job Number],$A41,tbl_WIP[Month],"&lt;&gt;",tbl_WIP[Month],"&lt;"&amp;$C$4)+SUMIF('Deferred Revenue'!$E$6:$E$579,$A41,'Deferred Revenue'!$P$6:$P$579)</f>
        <v/>
      </c>
      <c r="D41" s="55">
        <f>SUMIFS(tbl_WIP[Amount],tbl_WIP[Job Number],$A41,tbl_WIP[Month],$C$4)+SUMIF('Deferred Revenue'!$E$6:$E$579,$A41,'Deferred Revenue'!$Q$6:$Q$579)</f>
        <v/>
      </c>
      <c r="E41" s="55">
        <f>C41+D41</f>
        <v/>
      </c>
      <c r="F41" s="56">
        <f>IF(ROUND(C41,2)+ROUND(D41,2)=0,"","yes")</f>
        <v/>
      </c>
      <c r="G41" s="57" t="n"/>
      <c r="H41" s="55">
        <f>IF($G41="","",$E41-$G41)</f>
        <v/>
      </c>
    </row>
    <row r="42">
      <c r="A42" s="54" t="inlineStr">
        <is>
          <t>25032701</t>
        </is>
      </c>
      <c r="B42" s="54" t="inlineStr">
        <is>
          <t>St Catherines Chargeable</t>
        </is>
      </c>
      <c r="C42" s="55">
        <f>SUMIFS(tbl_WIP[Amount],tbl_WIP[Job Number],$A42,tbl_WIP[Month],"&lt;&gt;",tbl_WIP[Month],"&lt;"&amp;$C$4)+SUMIF('Deferred Revenue'!$E$6:$E$579,$A42,'Deferred Revenue'!$P$6:$P$579)</f>
        <v/>
      </c>
      <c r="D42" s="55">
        <f>SUMIFS(tbl_WIP[Amount],tbl_WIP[Job Number],$A42,tbl_WIP[Month],$C$4)+SUMIF('Deferred Revenue'!$E$6:$E$579,$A42,'Deferred Revenue'!$Q$6:$Q$579)</f>
        <v/>
      </c>
      <c r="E42" s="55">
        <f>C42+D42</f>
        <v/>
      </c>
      <c r="F42" s="56">
        <f>IF(ROUND(C42,2)+ROUND(D42,2)=0,"","yes")</f>
        <v/>
      </c>
      <c r="G42" s="57" t="n"/>
      <c r="H42" s="55">
        <f>IF($G42="","",$E42-$G42)</f>
        <v/>
      </c>
    </row>
    <row r="43">
      <c r="A43" s="54" t="inlineStr">
        <is>
          <t>25032701NC</t>
        </is>
      </c>
      <c r="B43" s="54" t="inlineStr">
        <is>
          <t>St Catherines Non-Chgble</t>
        </is>
      </c>
      <c r="C43" s="55">
        <f>SUMIFS(tbl_WIP[Amount],tbl_WIP[Job Number],$A43,tbl_WIP[Month],"&lt;&gt;",tbl_WIP[Month],"&lt;"&amp;$C$4)+SUMIF('Deferred Revenue'!$E$6:$E$579,$A43,'Deferred Revenue'!$P$6:$P$579)</f>
        <v/>
      </c>
      <c r="D43" s="55">
        <f>SUMIFS(tbl_WIP[Amount],tbl_WIP[Job Number],$A43,tbl_WIP[Month],$C$4)+SUMIF('Deferred Revenue'!$E$6:$E$579,$A43,'Deferred Revenue'!$Q$6:$Q$579)</f>
        <v/>
      </c>
      <c r="E43" s="55">
        <f>C43+D43</f>
        <v/>
      </c>
      <c r="F43" s="56">
        <f>IF(ROUND(C43,2)+ROUND(D43,2)=0,"","yes")</f>
        <v/>
      </c>
      <c r="G43" s="57" t="n"/>
      <c r="H43" s="55">
        <f>IF($G43="","",$E43-$G43)</f>
        <v/>
      </c>
    </row>
    <row r="44">
      <c r="A44" s="54" t="inlineStr">
        <is>
          <t>2504</t>
        </is>
      </c>
      <c r="B44" s="54" t="inlineStr">
        <is>
          <t>ONS WBC (non-chargeable)</t>
        </is>
      </c>
      <c r="C44" s="55">
        <f>SUMIFS(tbl_WIP[Amount],tbl_WIP[Job Number],$A44,tbl_WIP[Month],"&lt;&gt;",tbl_WIP[Month],"&lt;"&amp;$C$4)+SUMIF('Deferred Revenue'!$E$6:$E$579,$A44,'Deferred Revenue'!$P$6:$P$579)</f>
        <v/>
      </c>
      <c r="D44" s="55">
        <f>SUMIFS(tbl_WIP[Amount],tbl_WIP[Job Number],$A44,tbl_WIP[Month],$C$4)+SUMIF('Deferred Revenue'!$E$6:$E$579,$A44,'Deferred Revenue'!$Q$6:$Q$579)</f>
        <v/>
      </c>
      <c r="E44" s="55">
        <f>C44+D44</f>
        <v/>
      </c>
      <c r="F44" s="56">
        <f>IF(ROUND(C44,2)+ROUND(D44,2)=0,"","yes")</f>
        <v/>
      </c>
      <c r="G44" s="57" t="n"/>
      <c r="H44" s="55">
        <f>IF($G44="","",$E44-$G44)</f>
        <v/>
      </c>
    </row>
    <row r="45">
      <c r="A45" s="54" t="inlineStr">
        <is>
          <t>25041502</t>
        </is>
      </c>
      <c r="B45" s="54" t="inlineStr">
        <is>
          <t>PDNSW DB License Ext</t>
        </is>
      </c>
      <c r="C45" s="55">
        <f>SUMIFS(tbl_WIP[Amount],tbl_WIP[Job Number],$A45,tbl_WIP[Month],"&lt;&gt;",tbl_WIP[Month],"&lt;"&amp;$C$4)+SUMIF('Deferred Revenue'!$E$6:$E$579,$A45,'Deferred Revenue'!$P$6:$P$579)</f>
        <v/>
      </c>
      <c r="D45" s="55">
        <f>SUMIFS(tbl_WIP[Amount],tbl_WIP[Job Number],$A45,tbl_WIP[Month],$C$4)+SUMIF('Deferred Revenue'!$E$6:$E$579,$A45,'Deferred Revenue'!$Q$6:$Q$579)</f>
        <v/>
      </c>
      <c r="E45" s="55">
        <f>C45+D45</f>
        <v/>
      </c>
      <c r="F45" s="56">
        <f>IF(ROUND(C45,2)+ROUND(D45,2)=0,"","yes")</f>
        <v/>
      </c>
      <c r="G45" s="57" t="n"/>
      <c r="H45" s="55">
        <f>IF($G45="","",$E45-$G45)</f>
        <v/>
      </c>
    </row>
    <row r="46">
      <c r="A46" s="54" t="inlineStr">
        <is>
          <t>2505</t>
        </is>
      </c>
      <c r="B46" s="54" t="inlineStr">
        <is>
          <t>ONS PWC (non-chargeable)</t>
        </is>
      </c>
      <c r="C46" s="55">
        <f>SUMIFS(tbl_WIP[Amount],tbl_WIP[Job Number],$A46,tbl_WIP[Month],"&lt;&gt;",tbl_WIP[Month],"&lt;"&amp;$C$4)+SUMIF('Deferred Revenue'!$E$6:$E$579,$A46,'Deferred Revenue'!$P$6:$P$579)</f>
        <v/>
      </c>
      <c r="D46" s="55">
        <f>SUMIFS(tbl_WIP[Amount],tbl_WIP[Job Number],$A46,tbl_WIP[Month],$C$4)+SUMIF('Deferred Revenue'!$E$6:$E$579,$A46,'Deferred Revenue'!$Q$6:$Q$579)</f>
        <v/>
      </c>
      <c r="E46" s="55">
        <f>C46+D46</f>
        <v/>
      </c>
      <c r="F46" s="56">
        <f>IF(ROUND(C46,2)+ROUND(D46,2)=0,"","yes")</f>
        <v/>
      </c>
      <c r="G46" s="57" t="n"/>
      <c r="H46" s="55">
        <f>IF($G46="","",$E46-$G46)</f>
        <v/>
      </c>
    </row>
    <row r="47">
      <c r="A47" s="54" t="inlineStr">
        <is>
          <t>25051302</t>
        </is>
      </c>
      <c r="B47" s="54" t="inlineStr">
        <is>
          <t>NSW Prop Bradfield Desk Booking + Penrith Additional</t>
        </is>
      </c>
      <c r="C47" s="55">
        <f>SUMIFS(tbl_WIP[Amount],tbl_WIP[Job Number],$A47,tbl_WIP[Month],"&lt;&gt;",tbl_WIP[Month],"&lt;"&amp;$C$4)+SUMIF('Deferred Revenue'!$E$6:$E$579,$A47,'Deferred Revenue'!$P$6:$P$579)</f>
        <v/>
      </c>
      <c r="D47" s="55">
        <f>SUMIFS(tbl_WIP[Amount],tbl_WIP[Job Number],$A47,tbl_WIP[Month],$C$4)+SUMIF('Deferred Revenue'!$E$6:$E$579,$A47,'Deferred Revenue'!$Q$6:$Q$579)</f>
        <v/>
      </c>
      <c r="E47" s="55">
        <f>C47+D47</f>
        <v/>
      </c>
      <c r="F47" s="56">
        <f>IF(ROUND(C47,2)+ROUND(D47,2)=0,"","yes")</f>
        <v/>
      </c>
      <c r="G47" s="57" t="n"/>
      <c r="H47" s="55">
        <f>IF($G47="","",$E47-$G47)</f>
        <v/>
      </c>
    </row>
    <row r="48">
      <c r="A48" s="54" t="inlineStr">
        <is>
          <t>25051403</t>
        </is>
      </c>
      <c r="B48" s="54" t="inlineStr">
        <is>
          <t>DTTL SYD Tech Supp TMT AP</t>
        </is>
      </c>
      <c r="C48" s="55">
        <f>SUMIFS(tbl_WIP[Amount],tbl_WIP[Job Number],$A48,tbl_WIP[Month],"&lt;&gt;",tbl_WIP[Month],"&lt;"&amp;$C$4)+SUMIF('Deferred Revenue'!$E$6:$E$579,$A48,'Deferred Revenue'!$P$6:$P$579)</f>
        <v/>
      </c>
      <c r="D48" s="55">
        <f>SUMIFS(tbl_WIP[Amount],tbl_WIP[Job Number],$A48,tbl_WIP[Month],$C$4)+SUMIF('Deferred Revenue'!$E$6:$E$579,$A48,'Deferred Revenue'!$Q$6:$Q$579)</f>
        <v/>
      </c>
      <c r="E48" s="55">
        <f>C48+D48</f>
        <v/>
      </c>
      <c r="F48" s="56">
        <f>IF(ROUND(C48,2)+ROUND(D48,2)=0,"","yes")</f>
        <v/>
      </c>
      <c r="G48" s="57" t="n"/>
      <c r="H48" s="55">
        <f>IF($G48="","",$E48-$G48)</f>
        <v/>
      </c>
    </row>
    <row r="49">
      <c r="A49" s="54" t="inlineStr">
        <is>
          <t>25052802</t>
        </is>
      </c>
      <c r="B49" s="54" t="inlineStr">
        <is>
          <t>Aus Retirement Trust Members Meeting 2025</t>
        </is>
      </c>
      <c r="C49" s="55">
        <f>SUMIFS(tbl_WIP[Amount],tbl_WIP[Job Number],$A49,tbl_WIP[Month],"&lt;&gt;",tbl_WIP[Month],"&lt;"&amp;$C$4)+SUMIF('Deferred Revenue'!$E$6:$E$579,$A49,'Deferred Revenue'!$P$6:$P$579)</f>
        <v/>
      </c>
      <c r="D49" s="55">
        <f>SUMIFS(tbl_WIP[Amount],tbl_WIP[Job Number],$A49,tbl_WIP[Month],$C$4)+SUMIF('Deferred Revenue'!$E$6:$E$579,$A49,'Deferred Revenue'!$Q$6:$Q$579)</f>
        <v/>
      </c>
      <c r="E49" s="55">
        <f>C49+D49</f>
        <v/>
      </c>
      <c r="F49" s="56">
        <f>IF(ROUND(C49,2)+ROUND(D49,2)=0,"","yes")</f>
        <v/>
      </c>
      <c r="G49" s="57" t="n"/>
      <c r="H49" s="55">
        <f>IF($G49="","",$E49-$G49)</f>
        <v/>
      </c>
    </row>
    <row r="50">
      <c r="A50" s="54" t="inlineStr">
        <is>
          <t>2505901</t>
        </is>
      </c>
      <c r="B50" s="54" t="inlineStr">
        <is>
          <t>COS Projector Lens Supply</t>
        </is>
      </c>
      <c r="C50" s="55">
        <f>SUMIFS(tbl_WIP[Amount],tbl_WIP[Job Number],$A50,tbl_WIP[Month],"&lt;&gt;",tbl_WIP[Month],"&lt;"&amp;$C$4)+SUMIF('Deferred Revenue'!$E$6:$E$579,$A50,'Deferred Revenue'!$P$6:$P$579)</f>
        <v/>
      </c>
      <c r="D50" s="55">
        <f>SUMIFS(tbl_WIP[Amount],tbl_WIP[Job Number],$A50,tbl_WIP[Month],$C$4)+SUMIF('Deferred Revenue'!$E$6:$E$579,$A50,'Deferred Revenue'!$Q$6:$Q$579)</f>
        <v/>
      </c>
      <c r="E50" s="55">
        <f>C50+D50</f>
        <v/>
      </c>
      <c r="F50" s="56">
        <f>IF(ROUND(C50,2)+ROUND(D50,2)=0,"","yes")</f>
        <v/>
      </c>
      <c r="G50" s="57" t="n"/>
      <c r="H50" s="55">
        <f>IF($G50="","",$E50-$G50)</f>
        <v/>
      </c>
    </row>
    <row r="51">
      <c r="A51" s="54" t="inlineStr">
        <is>
          <t>2506</t>
        </is>
      </c>
      <c r="B51" s="54" t="inlineStr">
        <is>
          <t>ONS BWEST (non-chargeable)</t>
        </is>
      </c>
      <c r="C51" s="55">
        <f>SUMIFS(tbl_WIP[Amount],tbl_WIP[Job Number],$A51,tbl_WIP[Month],"&lt;&gt;",tbl_WIP[Month],"&lt;"&amp;$C$4)+SUMIF('Deferred Revenue'!$E$6:$E$579,$A51,'Deferred Revenue'!$P$6:$P$579)</f>
        <v/>
      </c>
      <c r="D51" s="55">
        <f>SUMIFS(tbl_WIP[Amount],tbl_WIP[Job Number],$A51,tbl_WIP[Month],$C$4)+SUMIF('Deferred Revenue'!$E$6:$E$579,$A51,'Deferred Revenue'!$Q$6:$Q$579)</f>
        <v/>
      </c>
      <c r="E51" s="55">
        <f>C51+D51</f>
        <v/>
      </c>
      <c r="F51" s="56">
        <f>IF(ROUND(C51,2)+ROUND(D51,2)=0,"","yes")</f>
        <v/>
      </c>
      <c r="G51" s="57" t="n"/>
      <c r="H51" s="55">
        <f>IF($G51="","",$E51-$G51)</f>
        <v/>
      </c>
    </row>
    <row r="52">
      <c r="A52" s="54" t="inlineStr">
        <is>
          <t>25060301</t>
        </is>
      </c>
      <c r="B52" s="54" t="inlineStr">
        <is>
          <t>6PSQ L12 Desk Booking</t>
        </is>
      </c>
      <c r="C52" s="55">
        <f>SUMIFS(tbl_WIP[Amount],tbl_WIP[Job Number],$A52,tbl_WIP[Month],"&lt;&gt;",tbl_WIP[Month],"&lt;"&amp;$C$4)+SUMIF('Deferred Revenue'!$E$6:$E$579,$A52,'Deferred Revenue'!$P$6:$P$579)</f>
        <v/>
      </c>
      <c r="D52" s="55">
        <f>SUMIFS(tbl_WIP[Amount],tbl_WIP[Job Number],$A52,tbl_WIP[Month],$C$4)+SUMIF('Deferred Revenue'!$E$6:$E$579,$A52,'Deferred Revenue'!$Q$6:$Q$579)</f>
        <v/>
      </c>
      <c r="E52" s="55">
        <f>C52+D52</f>
        <v/>
      </c>
      <c r="F52" s="56">
        <f>IF(ROUND(C52,2)+ROUND(D52,2)=0,"","yes")</f>
        <v/>
      </c>
      <c r="G52" s="57" t="n"/>
      <c r="H52" s="55">
        <f>IF($G52="","",$E52-$G52)</f>
        <v/>
      </c>
    </row>
    <row r="53">
      <c r="A53" s="54" t="inlineStr">
        <is>
          <t>25060307</t>
        </is>
      </c>
      <c r="B53" s="54" t="inlineStr">
        <is>
          <t>DPIE Molesworth St D/B</t>
        </is>
      </c>
      <c r="C53" s="55">
        <f>SUMIFS(tbl_WIP[Amount],tbl_WIP[Job Number],$A53,tbl_WIP[Month],"&lt;&gt;",tbl_WIP[Month],"&lt;"&amp;$C$4)+SUMIF('Deferred Revenue'!$E$6:$E$579,$A53,'Deferred Revenue'!$P$6:$P$579)</f>
        <v/>
      </c>
      <c r="D53" s="55">
        <f>SUMIFS(tbl_WIP[Amount],tbl_WIP[Job Number],$A53,tbl_WIP[Month],$C$4)+SUMIF('Deferred Revenue'!$E$6:$E$579,$A53,'Deferred Revenue'!$Q$6:$Q$579)</f>
        <v/>
      </c>
      <c r="E53" s="55">
        <f>C53+D53</f>
        <v/>
      </c>
      <c r="F53" s="56">
        <f>IF(ROUND(C53,2)+ROUND(D53,2)=0,"","yes")</f>
        <v/>
      </c>
      <c r="G53" s="57" t="n"/>
      <c r="H53" s="55">
        <f>IF($G53="","",$E53-$G53)</f>
        <v/>
      </c>
    </row>
    <row r="54">
      <c r="A54" s="54" t="inlineStr">
        <is>
          <t>2506208</t>
        </is>
      </c>
      <c r="B54" s="54" t="inlineStr">
        <is>
          <t>CBA AGM 2026</t>
        </is>
      </c>
      <c r="C54" s="55">
        <f>SUMIFS(tbl_WIP[Amount],tbl_WIP[Job Number],$A54,tbl_WIP[Month],"&lt;&gt;",tbl_WIP[Month],"&lt;"&amp;$C$4)+SUMIF('Deferred Revenue'!$E$6:$E$579,$A54,'Deferred Revenue'!$P$6:$P$579)</f>
        <v/>
      </c>
      <c r="D54" s="55">
        <f>SUMIFS(tbl_WIP[Amount],tbl_WIP[Job Number],$A54,tbl_WIP[Month],$C$4)+SUMIF('Deferred Revenue'!$E$6:$E$579,$A54,'Deferred Revenue'!$Q$6:$Q$579)</f>
        <v/>
      </c>
      <c r="E54" s="55">
        <f>C54+D54</f>
        <v/>
      </c>
      <c r="F54" s="56">
        <f>IF(ROUND(C54,2)+ROUND(D54,2)=0,"","yes")</f>
        <v/>
      </c>
      <c r="G54" s="57" t="n"/>
      <c r="H54" s="55">
        <f>IF($G54="","",$E54-$G54)</f>
        <v/>
      </c>
    </row>
    <row r="55">
      <c r="A55" s="54" t="inlineStr">
        <is>
          <t>2506208V</t>
        </is>
      </c>
      <c r="B55" s="54" t="inlineStr">
        <is>
          <t>CBA AGM 2026</t>
        </is>
      </c>
      <c r="C55" s="55">
        <f>SUMIFS(tbl_WIP[Amount],tbl_WIP[Job Number],$A55,tbl_WIP[Month],"&lt;&gt;",tbl_WIP[Month],"&lt;"&amp;$C$4)+SUMIF('Deferred Revenue'!$E$6:$E$579,$A55,'Deferred Revenue'!$P$6:$P$579)</f>
        <v/>
      </c>
      <c r="D55" s="55">
        <f>SUMIFS(tbl_WIP[Amount],tbl_WIP[Job Number],$A55,tbl_WIP[Month],$C$4)+SUMIF('Deferred Revenue'!$E$6:$E$579,$A55,'Deferred Revenue'!$Q$6:$Q$579)</f>
        <v/>
      </c>
      <c r="E55" s="55">
        <f>C55+D55</f>
        <v/>
      </c>
      <c r="F55" s="56">
        <f>IF(ROUND(C55,2)+ROUND(D55,2)=0,"","yes")</f>
        <v/>
      </c>
      <c r="G55" s="57" t="n"/>
      <c r="H55" s="55">
        <f>IF($G55="","",$E55-$G55)</f>
        <v/>
      </c>
    </row>
    <row r="56">
      <c r="A56" s="54" t="inlineStr">
        <is>
          <t>25063001V</t>
        </is>
      </c>
      <c r="B56" s="54" t="inlineStr">
        <is>
          <t>APA All Hands Staff</t>
        </is>
      </c>
      <c r="C56" s="55">
        <f>SUMIFS(tbl_WIP[Amount],tbl_WIP[Job Number],$A56,tbl_WIP[Month],"&lt;&gt;",tbl_WIP[Month],"&lt;"&amp;$C$4)+SUMIF('Deferred Revenue'!$E$6:$E$579,$A56,'Deferred Revenue'!$P$6:$P$579)</f>
        <v/>
      </c>
      <c r="D56" s="55">
        <f>SUMIFS(tbl_WIP[Amount],tbl_WIP[Job Number],$A56,tbl_WIP[Month],$C$4)+SUMIF('Deferred Revenue'!$E$6:$E$579,$A56,'Deferred Revenue'!$Q$6:$Q$579)</f>
        <v/>
      </c>
      <c r="E56" s="55">
        <f>C56+D56</f>
        <v/>
      </c>
      <c r="F56" s="56">
        <f>IF(ROUND(C56,2)+ROUND(D56,2)=0,"","yes")</f>
        <v/>
      </c>
      <c r="G56" s="57" t="n"/>
      <c r="H56" s="55">
        <f>IF($G56="","",$E56-$G56)</f>
        <v/>
      </c>
    </row>
    <row r="57">
      <c r="A57" s="54" t="inlineStr">
        <is>
          <t>25070702</t>
        </is>
      </c>
      <c r="B57" s="54" t="inlineStr">
        <is>
          <t>APA VMS Brisbane &amp; Darwin</t>
        </is>
      </c>
      <c r="C57" s="55">
        <f>SUMIFS(tbl_WIP[Amount],tbl_WIP[Job Number],$A57,tbl_WIP[Month],"&lt;&gt;",tbl_WIP[Month],"&lt;"&amp;$C$4)+SUMIF('Deferred Revenue'!$E$6:$E$579,$A57,'Deferred Revenue'!$P$6:$P$579)</f>
        <v/>
      </c>
      <c r="D57" s="55">
        <f>SUMIFS(tbl_WIP[Amount],tbl_WIP[Job Number],$A57,tbl_WIP[Month],$C$4)+SUMIF('Deferred Revenue'!$E$6:$E$579,$A57,'Deferred Revenue'!$Q$6:$Q$579)</f>
        <v/>
      </c>
      <c r="E57" s="55">
        <f>C57+D57</f>
        <v/>
      </c>
      <c r="F57" s="56">
        <f>IF(ROUND(C57,2)+ROUND(D57,2)=0,"","yes")</f>
        <v/>
      </c>
      <c r="G57" s="57" t="n"/>
      <c r="H57" s="55">
        <f>IF($G57="","",$E57-$G57)</f>
        <v/>
      </c>
    </row>
    <row r="58">
      <c r="A58" s="54" t="inlineStr">
        <is>
          <t>2507203</t>
        </is>
      </c>
      <c r="B58" s="54" t="inlineStr">
        <is>
          <t>Hills Grammar Airmedia Supply</t>
        </is>
      </c>
      <c r="C58" s="55">
        <f>SUMIFS(tbl_WIP[Amount],tbl_WIP[Job Number],$A58,tbl_WIP[Month],"&lt;&gt;",tbl_WIP[Month],"&lt;"&amp;$C$4)+SUMIF('Deferred Revenue'!$E$6:$E$579,$A58,'Deferred Revenue'!$P$6:$P$579)</f>
        <v/>
      </c>
      <c r="D58" s="55">
        <f>SUMIFS(tbl_WIP[Amount],tbl_WIP[Job Number],$A58,tbl_WIP[Month],$C$4)+SUMIF('Deferred Revenue'!$E$6:$E$579,$A58,'Deferred Revenue'!$Q$6:$Q$579)</f>
        <v/>
      </c>
      <c r="E58" s="55">
        <f>C58+D58</f>
        <v/>
      </c>
      <c r="F58" s="56">
        <f>IF(ROUND(C58,2)+ROUND(D58,2)=0,"","yes")</f>
        <v/>
      </c>
      <c r="G58" s="57" t="n"/>
      <c r="H58" s="55">
        <f>IF($G58="","",$E58-$G58)</f>
        <v/>
      </c>
    </row>
    <row r="59">
      <c r="A59" s="54" t="inlineStr">
        <is>
          <t>25081402</t>
        </is>
      </c>
      <c r="B59" s="54" t="inlineStr">
        <is>
          <t>Hills Grammar Loan Airmedia Purchase</t>
        </is>
      </c>
      <c r="C59" s="55">
        <f>SUMIFS(tbl_WIP[Amount],tbl_WIP[Job Number],$A59,tbl_WIP[Month],"&lt;&gt;",tbl_WIP[Month],"&lt;"&amp;$C$4)+SUMIF('Deferred Revenue'!$E$6:$E$579,$A59,'Deferred Revenue'!$P$6:$P$579)</f>
        <v/>
      </c>
      <c r="D59" s="55">
        <f>SUMIFS(tbl_WIP[Amount],tbl_WIP[Job Number],$A59,tbl_WIP[Month],$C$4)+SUMIF('Deferred Revenue'!$E$6:$E$579,$A59,'Deferred Revenue'!$Q$6:$Q$579)</f>
        <v/>
      </c>
      <c r="E59" s="55">
        <f>C59+D59</f>
        <v/>
      </c>
      <c r="F59" s="56">
        <f>IF(ROUND(C59,2)+ROUND(D59,2)=0,"","yes")</f>
        <v/>
      </c>
      <c r="G59" s="57" t="n"/>
      <c r="H59" s="55">
        <f>IF($G59="","",$E59-$G59)</f>
        <v/>
      </c>
    </row>
    <row r="60">
      <c r="A60" s="54" t="inlineStr">
        <is>
          <t>25082501</t>
        </is>
      </c>
      <c r="B60" s="54" t="inlineStr">
        <is>
          <t>APA Sydney Tablet Brackets</t>
        </is>
      </c>
      <c r="C60" s="55">
        <f>SUMIFS(tbl_WIP[Amount],tbl_WIP[Job Number],$A60,tbl_WIP[Month],"&lt;&gt;",tbl_WIP[Month],"&lt;"&amp;$C$4)+SUMIF('Deferred Revenue'!$E$6:$E$579,$A60,'Deferred Revenue'!$P$6:$P$579)</f>
        <v/>
      </c>
      <c r="D60" s="55">
        <f>SUMIFS(tbl_WIP[Amount],tbl_WIP[Job Number],$A60,tbl_WIP[Month],$C$4)+SUMIF('Deferred Revenue'!$E$6:$E$579,$A60,'Deferred Revenue'!$Q$6:$Q$579)</f>
        <v/>
      </c>
      <c r="E60" s="55">
        <f>C60+D60</f>
        <v/>
      </c>
      <c r="F60" s="56">
        <f>IF(ROUND(C60,2)+ROUND(D60,2)=0,"","yes")</f>
        <v/>
      </c>
      <c r="G60" s="57" t="n"/>
      <c r="H60" s="55">
        <f>IF($G60="","",$E60-$G60)</f>
        <v/>
      </c>
    </row>
    <row r="61">
      <c r="A61" s="54" t="inlineStr">
        <is>
          <t>25091703</t>
        </is>
      </c>
      <c r="B61" s="54" t="inlineStr">
        <is>
          <t>Scentre Group Marion Superscreen (D10396) Test and Cert</t>
        </is>
      </c>
      <c r="C61" s="55">
        <f>SUMIFS(tbl_WIP[Amount],tbl_WIP[Job Number],$A61,tbl_WIP[Month],"&lt;&gt;",tbl_WIP[Month],"&lt;"&amp;$C$4)+SUMIF('Deferred Revenue'!$E$6:$E$579,$A61,'Deferred Revenue'!$P$6:$P$579)</f>
        <v/>
      </c>
      <c r="D61" s="55">
        <f>SUMIFS(tbl_WIP[Amount],tbl_WIP[Job Number],$A61,tbl_WIP[Month],$C$4)+SUMIF('Deferred Revenue'!$E$6:$E$579,$A61,'Deferred Revenue'!$Q$6:$Q$579)</f>
        <v/>
      </c>
      <c r="E61" s="55">
        <f>C61+D61</f>
        <v/>
      </c>
      <c r="F61" s="56">
        <f>IF(ROUND(C61,2)+ROUND(D61,2)=0,"","yes")</f>
        <v/>
      </c>
      <c r="G61" s="57" t="n"/>
      <c r="H61" s="55">
        <f>IF($G61="","",$E61-$G61)</f>
        <v/>
      </c>
    </row>
    <row r="62">
      <c r="A62" s="54" t="inlineStr">
        <is>
          <t>25101301</t>
        </is>
      </c>
      <c r="B62" s="54" t="inlineStr">
        <is>
          <t>PWC IT Support – Melbourne</t>
        </is>
      </c>
      <c r="C62" s="55">
        <f>SUMIFS(tbl_WIP[Amount],tbl_WIP[Job Number],$A62,tbl_WIP[Month],"&lt;&gt;",tbl_WIP[Month],"&lt;"&amp;$C$4)+SUMIF('Deferred Revenue'!$E$6:$E$579,$A62,'Deferred Revenue'!$P$6:$P$579)</f>
        <v/>
      </c>
      <c r="D62" s="55">
        <f>SUMIFS(tbl_WIP[Amount],tbl_WIP[Job Number],$A62,tbl_WIP[Month],$C$4)+SUMIF('Deferred Revenue'!$E$6:$E$579,$A62,'Deferred Revenue'!$Q$6:$Q$579)</f>
        <v/>
      </c>
      <c r="E62" s="55">
        <f>C62+D62</f>
        <v/>
      </c>
      <c r="F62" s="56">
        <f>IF(ROUND(C62,2)+ROUND(D62,2)=0,"","yes")</f>
        <v/>
      </c>
      <c r="G62" s="57" t="n"/>
      <c r="H62" s="55">
        <f>IF($G62="","",$E62-$G62)</f>
        <v/>
      </c>
    </row>
    <row r="63">
      <c r="A63" s="54" t="inlineStr">
        <is>
          <t>25101301B</t>
        </is>
      </c>
      <c r="B63" s="54" t="inlineStr">
        <is>
          <t>PWC IT Support – Sydney</t>
        </is>
      </c>
      <c r="C63" s="55">
        <f>SUMIFS(tbl_WIP[Amount],tbl_WIP[Job Number],$A63,tbl_WIP[Month],"&lt;&gt;",tbl_WIP[Month],"&lt;"&amp;$C$4)+SUMIF('Deferred Revenue'!$E$6:$E$579,$A63,'Deferred Revenue'!$P$6:$P$579)</f>
        <v/>
      </c>
      <c r="D63" s="55">
        <f>SUMIFS(tbl_WIP[Amount],tbl_WIP[Job Number],$A63,tbl_WIP[Month],$C$4)+SUMIF('Deferred Revenue'!$E$6:$E$579,$A63,'Deferred Revenue'!$Q$6:$Q$579)</f>
        <v/>
      </c>
      <c r="E63" s="55">
        <f>C63+D63</f>
        <v/>
      </c>
      <c r="F63" s="56">
        <f>IF(ROUND(C63,2)+ROUND(D63,2)=0,"","yes")</f>
        <v/>
      </c>
      <c r="G63" s="57" t="n"/>
      <c r="H63" s="55">
        <f>IF($G63="","",$E63-$G63)</f>
        <v/>
      </c>
    </row>
    <row r="64">
      <c r="A64" s="54" t="inlineStr">
        <is>
          <t>2510202</t>
        </is>
      </c>
      <c r="B64" s="54" t="inlineStr">
        <is>
          <t>HP Poly Room Assessment</t>
        </is>
      </c>
      <c r="C64" s="55">
        <f>SUMIFS(tbl_WIP[Amount],tbl_WIP[Job Number],$A64,tbl_WIP[Month],"&lt;&gt;",tbl_WIP[Month],"&lt;"&amp;$C$4)+SUMIF('Deferred Revenue'!$E$6:$E$579,$A64,'Deferred Revenue'!$P$6:$P$579)</f>
        <v/>
      </c>
      <c r="D64" s="55">
        <f>SUMIFS(tbl_WIP[Amount],tbl_WIP[Job Number],$A64,tbl_WIP[Month],$C$4)+SUMIF('Deferred Revenue'!$E$6:$E$579,$A64,'Deferred Revenue'!$Q$6:$Q$579)</f>
        <v/>
      </c>
      <c r="E64" s="55">
        <f>C64+D64</f>
        <v/>
      </c>
      <c r="F64" s="56">
        <f>IF(ROUND(C64,2)+ROUND(D64,2)=0,"","yes")</f>
        <v/>
      </c>
      <c r="G64" s="57" t="n"/>
      <c r="H64" s="55">
        <f>IF($G64="","",$E64-$G64)</f>
        <v/>
      </c>
    </row>
    <row r="65">
      <c r="A65" s="54" t="inlineStr">
        <is>
          <t>2510205</t>
        </is>
      </c>
      <c r="B65" s="54" t="inlineStr">
        <is>
          <t>NSW Property RGB Desk Booking</t>
        </is>
      </c>
      <c r="C65" s="55">
        <f>SUMIFS(tbl_WIP[Amount],tbl_WIP[Job Number],$A65,tbl_WIP[Month],"&lt;&gt;",tbl_WIP[Month],"&lt;"&amp;$C$4)+SUMIF('Deferred Revenue'!$E$6:$E$579,$A65,'Deferred Revenue'!$P$6:$P$579)</f>
        <v/>
      </c>
      <c r="D65" s="55">
        <f>SUMIFS(tbl_WIP[Amount],tbl_WIP[Job Number],$A65,tbl_WIP[Month],$C$4)+SUMIF('Deferred Revenue'!$E$6:$E$579,$A65,'Deferred Revenue'!$Q$6:$Q$579)</f>
        <v/>
      </c>
      <c r="E65" s="55">
        <f>C65+D65</f>
        <v/>
      </c>
      <c r="F65" s="56">
        <f>IF(ROUND(C65,2)+ROUND(D65,2)=0,"","yes")</f>
        <v/>
      </c>
      <c r="G65" s="57" t="n"/>
      <c r="H65" s="55">
        <f>IF($G65="","",$E65-$G65)</f>
        <v/>
      </c>
    </row>
    <row r="66">
      <c r="A66" s="54" t="inlineStr">
        <is>
          <t>2510210</t>
        </is>
      </c>
      <c r="B66" s="54" t="inlineStr">
        <is>
          <t>Scentre Group Westfield Bondi Screen Tests</t>
        </is>
      </c>
      <c r="C66" s="55">
        <f>SUMIFS(tbl_WIP[Amount],tbl_WIP[Job Number],$A66,tbl_WIP[Month],"&lt;&gt;",tbl_WIP[Month],"&lt;"&amp;$C$4)+SUMIF('Deferred Revenue'!$E$6:$E$579,$A66,'Deferred Revenue'!$P$6:$P$579)</f>
        <v/>
      </c>
      <c r="D66" s="55">
        <f>SUMIFS(tbl_WIP[Amount],tbl_WIP[Job Number],$A66,tbl_WIP[Month],$C$4)+SUMIF('Deferred Revenue'!$E$6:$E$579,$A66,'Deferred Revenue'!$Q$6:$Q$579)</f>
        <v/>
      </c>
      <c r="E66" s="55">
        <f>C66+D66</f>
        <v/>
      </c>
      <c r="F66" s="56">
        <f>IF(ROUND(C66,2)+ROUND(D66,2)=0,"","yes")</f>
        <v/>
      </c>
      <c r="G66" s="57" t="n"/>
      <c r="H66" s="55">
        <f>IF($G66="","",$E66-$G66)</f>
        <v/>
      </c>
    </row>
    <row r="67">
      <c r="A67" s="54" t="inlineStr">
        <is>
          <t>25102701</t>
        </is>
      </c>
      <c r="B67" s="54" t="inlineStr">
        <is>
          <t>DEWR - Studio Upgrade - Consulting, Design</t>
        </is>
      </c>
      <c r="C67" s="55">
        <f>SUMIFS(tbl_WIP[Amount],tbl_WIP[Job Number],$A67,tbl_WIP[Month],"&lt;&gt;",tbl_WIP[Month],"&lt;"&amp;$C$4)+SUMIF('Deferred Revenue'!$E$6:$E$579,$A67,'Deferred Revenue'!$P$6:$P$579)</f>
        <v/>
      </c>
      <c r="D67" s="55">
        <f>SUMIFS(tbl_WIP[Amount],tbl_WIP[Job Number],$A67,tbl_WIP[Month],$C$4)+SUMIF('Deferred Revenue'!$E$6:$E$579,$A67,'Deferred Revenue'!$Q$6:$Q$579)</f>
        <v/>
      </c>
      <c r="E67" s="55">
        <f>C67+D67</f>
        <v/>
      </c>
      <c r="F67" s="56">
        <f>IF(ROUND(C67,2)+ROUND(D67,2)=0,"","yes")</f>
        <v/>
      </c>
      <c r="G67" s="57" t="n"/>
      <c r="H67" s="55">
        <f>IF($G67="","",$E67-$G67)</f>
        <v/>
      </c>
    </row>
    <row r="68">
      <c r="A68" s="54" t="inlineStr">
        <is>
          <t>25102801</t>
        </is>
      </c>
      <c r="B68" s="54" t="inlineStr">
        <is>
          <t>DTTL SYD QQT Additional Mics Install in L45 Seminar Space</t>
        </is>
      </c>
      <c r="C68" s="55">
        <f>SUMIFS(tbl_WIP[Amount],tbl_WIP[Job Number],$A68,tbl_WIP[Month],"&lt;&gt;",tbl_WIP[Month],"&lt;"&amp;$C$4)+SUMIF('Deferred Revenue'!$E$6:$E$579,$A68,'Deferred Revenue'!$P$6:$P$579)</f>
        <v/>
      </c>
      <c r="D68" s="55">
        <f>SUMIFS(tbl_WIP[Amount],tbl_WIP[Job Number],$A68,tbl_WIP[Month],$C$4)+SUMIF('Deferred Revenue'!$E$6:$E$579,$A68,'Deferred Revenue'!$Q$6:$Q$579)</f>
        <v/>
      </c>
      <c r="E68" s="55">
        <f>C68+D68</f>
        <v/>
      </c>
      <c r="F68" s="56">
        <f>IF(ROUND(C68,2)+ROUND(D68,2)=0,"","yes")</f>
        <v/>
      </c>
      <c r="G68" s="57" t="n"/>
      <c r="H68" s="55">
        <f>IF($G68="","",$E68-$G68)</f>
        <v/>
      </c>
    </row>
    <row r="69">
      <c r="A69" s="54" t="inlineStr">
        <is>
          <t>25102802</t>
        </is>
      </c>
      <c r="B69" s="54" t="inlineStr">
        <is>
          <t>Novigi Meeting Space Inspection</t>
        </is>
      </c>
      <c r="C69" s="55">
        <f>SUMIFS(tbl_WIP[Amount],tbl_WIP[Job Number],$A69,tbl_WIP[Month],"&lt;&gt;",tbl_WIP[Month],"&lt;"&amp;$C$4)+SUMIF('Deferred Revenue'!$E$6:$E$579,$A69,'Deferred Revenue'!$P$6:$P$579)</f>
        <v/>
      </c>
      <c r="D69" s="55">
        <f>SUMIFS(tbl_WIP[Amount],tbl_WIP[Job Number],$A69,tbl_WIP[Month],$C$4)+SUMIF('Deferred Revenue'!$E$6:$E$579,$A69,'Deferred Revenue'!$Q$6:$Q$579)</f>
        <v/>
      </c>
      <c r="E69" s="55">
        <f>C69+D69</f>
        <v/>
      </c>
      <c r="F69" s="56">
        <f>IF(ROUND(C69,2)+ROUND(D69,2)=0,"","yes")</f>
        <v/>
      </c>
      <c r="G69" s="57" t="n"/>
      <c r="H69" s="55">
        <f>IF($G69="","",$E69-$G69)</f>
        <v/>
      </c>
    </row>
    <row r="70">
      <c r="A70" s="54" t="inlineStr">
        <is>
          <t>2510804</t>
        </is>
      </c>
      <c r="B70" s="54" t="inlineStr">
        <is>
          <t>CommSecurity Presynct QLD Desk Booking</t>
        </is>
      </c>
      <c r="C70" s="55">
        <f>SUMIFS(tbl_WIP[Amount],tbl_WIP[Job Number],$A70,tbl_WIP[Month],"&lt;&gt;",tbl_WIP[Month],"&lt;"&amp;$C$4)+SUMIF('Deferred Revenue'!$E$6:$E$579,$A70,'Deferred Revenue'!$P$6:$P$579)</f>
        <v/>
      </c>
      <c r="D70" s="55">
        <f>SUMIFS(tbl_WIP[Amount],tbl_WIP[Job Number],$A70,tbl_WIP[Month],$C$4)+SUMIF('Deferred Revenue'!$E$6:$E$579,$A70,'Deferred Revenue'!$Q$6:$Q$579)</f>
        <v/>
      </c>
      <c r="E70" s="55">
        <f>C70+D70</f>
        <v/>
      </c>
      <c r="F70" s="56">
        <f>IF(ROUND(C70,2)+ROUND(D70,2)=0,"","yes")</f>
        <v/>
      </c>
      <c r="G70" s="57" t="n"/>
      <c r="H70" s="55">
        <f>IF($G70="","",$E70-$G70)</f>
        <v/>
      </c>
    </row>
    <row r="71">
      <c r="A71" s="54" t="inlineStr">
        <is>
          <t>2510805</t>
        </is>
      </c>
      <c r="B71" s="54" t="inlineStr">
        <is>
          <t>PNSW Reconstruction Authority Newcastle</t>
        </is>
      </c>
      <c r="C71" s="55">
        <f>SUMIFS(tbl_WIP[Amount],tbl_WIP[Job Number],$A71,tbl_WIP[Month],"&lt;&gt;",tbl_WIP[Month],"&lt;"&amp;$C$4)+SUMIF('Deferred Revenue'!$E$6:$E$579,$A71,'Deferred Revenue'!$P$6:$P$579)</f>
        <v/>
      </c>
      <c r="D71" s="55">
        <f>SUMIFS(tbl_WIP[Amount],tbl_WIP[Job Number],$A71,tbl_WIP[Month],$C$4)+SUMIF('Deferred Revenue'!$E$6:$E$579,$A71,'Deferred Revenue'!$Q$6:$Q$579)</f>
        <v/>
      </c>
      <c r="E71" s="55">
        <f>C71+D71</f>
        <v/>
      </c>
      <c r="F71" s="56">
        <f>IF(ROUND(C71,2)+ROUND(D71,2)=0,"","yes")</f>
        <v/>
      </c>
      <c r="G71" s="57" t="n"/>
      <c r="H71" s="55">
        <f>IF($G71="","",$E71-$G71)</f>
        <v/>
      </c>
    </row>
    <row r="72">
      <c r="A72" s="54" t="inlineStr">
        <is>
          <t>25111203</t>
        </is>
      </c>
      <c r="B72" s="54" t="inlineStr">
        <is>
          <t>CoS | Barco E3 Sale</t>
        </is>
      </c>
      <c r="C72" s="55">
        <f>SUMIFS(tbl_WIP[Amount],tbl_WIP[Job Number],$A72,tbl_WIP[Month],"&lt;&gt;",tbl_WIP[Month],"&lt;"&amp;$C$4)+SUMIF('Deferred Revenue'!$E$6:$E$579,$A72,'Deferred Revenue'!$P$6:$P$579)</f>
        <v/>
      </c>
      <c r="D72" s="55">
        <f>SUMIFS(tbl_WIP[Amount],tbl_WIP[Job Number],$A72,tbl_WIP[Month],$C$4)+SUMIF('Deferred Revenue'!$E$6:$E$579,$A72,'Deferred Revenue'!$Q$6:$Q$579)</f>
        <v/>
      </c>
      <c r="E72" s="55">
        <f>C72+D72</f>
        <v/>
      </c>
      <c r="F72" s="56">
        <f>IF(ROUND(C72,2)+ROUND(D72,2)=0,"","yes")</f>
        <v/>
      </c>
      <c r="G72" s="57" t="n"/>
      <c r="H72" s="55">
        <f>IF($G72="","",$E72-$G72)</f>
        <v/>
      </c>
    </row>
    <row r="73">
      <c r="A73" s="54" t="inlineStr">
        <is>
          <t>25112801</t>
        </is>
      </c>
      <c r="B73" s="54" t="inlineStr">
        <is>
          <t>APA MEL - iPad &amp; Bouncepad Sale</t>
        </is>
      </c>
      <c r="C73" s="55">
        <f>SUMIFS(tbl_WIP[Amount],tbl_WIP[Job Number],$A73,tbl_WIP[Month],"&lt;&gt;",tbl_WIP[Month],"&lt;"&amp;$C$4)+SUMIF('Deferred Revenue'!$E$6:$E$579,$A73,'Deferred Revenue'!$P$6:$P$579)</f>
        <v/>
      </c>
      <c r="D73" s="55">
        <f>SUMIFS(tbl_WIP[Amount],tbl_WIP[Job Number],$A73,tbl_WIP[Month],$C$4)+SUMIF('Deferred Revenue'!$E$6:$E$579,$A73,'Deferred Revenue'!$Q$6:$Q$579)</f>
        <v/>
      </c>
      <c r="E73" s="55">
        <f>C73+D73</f>
        <v/>
      </c>
      <c r="F73" s="56">
        <f>IF(ROUND(C73,2)+ROUND(D73,2)=0,"","yes")</f>
        <v/>
      </c>
      <c r="G73" s="57" t="n"/>
      <c r="H73" s="55">
        <f>IF($G73="","",$E73-$G73)</f>
        <v/>
      </c>
    </row>
    <row r="74">
      <c r="A74" s="54" t="inlineStr">
        <is>
          <t>25121001</t>
        </is>
      </c>
      <c r="B74" s="54" t="inlineStr">
        <is>
          <t>HP Poly Mic System Sale and Install at Mission Australia</t>
        </is>
      </c>
      <c r="C74" s="55">
        <f>SUMIFS(tbl_WIP[Amount],tbl_WIP[Job Number],$A74,tbl_WIP[Month],"&lt;&gt;",tbl_WIP[Month],"&lt;"&amp;$C$4)+SUMIF('Deferred Revenue'!$E$6:$E$579,$A74,'Deferred Revenue'!$P$6:$P$579)</f>
        <v/>
      </c>
      <c r="D74" s="55">
        <f>SUMIFS(tbl_WIP[Amount],tbl_WIP[Job Number],$A74,tbl_WIP[Month],$C$4)+SUMIF('Deferred Revenue'!$E$6:$E$579,$A74,'Deferred Revenue'!$Q$6:$Q$579)</f>
        <v/>
      </c>
      <c r="E74" s="55">
        <f>C74+D74</f>
        <v/>
      </c>
      <c r="F74" s="56">
        <f>IF(ROUND(C74,2)+ROUND(D74,2)=0,"","yes")</f>
        <v/>
      </c>
      <c r="G74" s="57" t="n"/>
      <c r="H74" s="55">
        <f>IF($G74="","",$E74-$G74)</f>
        <v/>
      </c>
    </row>
    <row r="75">
      <c r="A75" s="54" t="inlineStr">
        <is>
          <t>25121007</t>
        </is>
      </c>
      <c r="B75" s="54" t="inlineStr">
        <is>
          <t>Novigi SYD/MEL boardroom Mic upgrade + Cable Tidy</t>
        </is>
      </c>
      <c r="C75" s="55">
        <f>SUMIFS(tbl_WIP[Amount],tbl_WIP[Job Number],$A75,tbl_WIP[Month],"&lt;&gt;",tbl_WIP[Month],"&lt;"&amp;$C$4)+SUMIF('Deferred Revenue'!$E$6:$E$579,$A75,'Deferred Revenue'!$P$6:$P$579)</f>
        <v/>
      </c>
      <c r="D75" s="55">
        <f>SUMIFS(tbl_WIP[Amount],tbl_WIP[Job Number],$A75,tbl_WIP[Month],$C$4)+SUMIF('Deferred Revenue'!$E$6:$E$579,$A75,'Deferred Revenue'!$Q$6:$Q$579)</f>
        <v/>
      </c>
      <c r="E75" s="55">
        <f>C75+D75</f>
        <v/>
      </c>
      <c r="F75" s="56">
        <f>IF(ROUND(C75,2)+ROUND(D75,2)=0,"","yes")</f>
        <v/>
      </c>
      <c r="G75" s="57" t="n"/>
      <c r="H75" s="55">
        <f>IF($G75="","",$E75-$G75)</f>
        <v/>
      </c>
    </row>
    <row r="76">
      <c r="A76" s="54" t="inlineStr">
        <is>
          <t>25121208</t>
        </is>
      </c>
      <c r="B76" s="54" t="inlineStr">
        <is>
          <t>APA HYR &amp; FYR Package 2026</t>
        </is>
      </c>
      <c r="C76" s="55">
        <f>SUMIFS(tbl_WIP[Amount],tbl_WIP[Job Number],$A76,tbl_WIP[Month],"&lt;&gt;",tbl_WIP[Month],"&lt;"&amp;$C$4)+SUMIF('Deferred Revenue'!$E$6:$E$579,$A76,'Deferred Revenue'!$P$6:$P$579)</f>
        <v/>
      </c>
      <c r="D76" s="55">
        <f>SUMIFS(tbl_WIP[Amount],tbl_WIP[Job Number],$A76,tbl_WIP[Month],$C$4)+SUMIF('Deferred Revenue'!$E$6:$E$579,$A76,'Deferred Revenue'!$Q$6:$Q$579)</f>
        <v/>
      </c>
      <c r="E76" s="55">
        <f>C76+D76</f>
        <v/>
      </c>
      <c r="F76" s="56">
        <f>IF(ROUND(C76,2)+ROUND(D76,2)=0,"","yes")</f>
        <v/>
      </c>
      <c r="G76" s="57" t="n"/>
      <c r="H76" s="55">
        <f>IF($G76="","",$E76-$G76)</f>
        <v/>
      </c>
    </row>
    <row r="77">
      <c r="A77" s="54" t="inlineStr">
        <is>
          <t>2512503</t>
        </is>
      </c>
      <c r="B77" s="54" t="inlineStr">
        <is>
          <t>Ventia EOY Town Hall 10.12.2025</t>
        </is>
      </c>
      <c r="C77" s="55">
        <f>SUMIFS(tbl_WIP[Amount],tbl_WIP[Job Number],$A77,tbl_WIP[Month],"&lt;&gt;",tbl_WIP[Month],"&lt;"&amp;$C$4)+SUMIF('Deferred Revenue'!$E$6:$E$579,$A77,'Deferred Revenue'!$P$6:$P$579)</f>
        <v/>
      </c>
      <c r="D77" s="55">
        <f>SUMIFS(tbl_WIP[Amount],tbl_WIP[Job Number],$A77,tbl_WIP[Month],$C$4)+SUMIF('Deferred Revenue'!$E$6:$E$579,$A77,'Deferred Revenue'!$Q$6:$Q$579)</f>
        <v/>
      </c>
      <c r="E77" s="55">
        <f>C77+D77</f>
        <v/>
      </c>
      <c r="F77" s="56">
        <f>IF(ROUND(C77,2)+ROUND(D77,2)=0,"","yes")</f>
        <v/>
      </c>
      <c r="G77" s="57" t="n"/>
      <c r="H77" s="55">
        <f>IF($G77="","",$E77-$G77)</f>
        <v/>
      </c>
    </row>
    <row r="78">
      <c r="A78" s="54" t="inlineStr">
        <is>
          <t>2512503V</t>
        </is>
      </c>
      <c r="B78" s="54" t="inlineStr">
        <is>
          <t>Ventia EOY Town Hall 10.12.2025</t>
        </is>
      </c>
      <c r="C78" s="55">
        <f>SUMIFS(tbl_WIP[Amount],tbl_WIP[Job Number],$A78,tbl_WIP[Month],"&lt;&gt;",tbl_WIP[Month],"&lt;"&amp;$C$4)+SUMIF('Deferred Revenue'!$E$6:$E$579,$A78,'Deferred Revenue'!$P$6:$P$579)</f>
        <v/>
      </c>
      <c r="D78" s="55">
        <f>SUMIFS(tbl_WIP[Amount],tbl_WIP[Job Number],$A78,tbl_WIP[Month],$C$4)+SUMIF('Deferred Revenue'!$E$6:$E$579,$A78,'Deferred Revenue'!$Q$6:$Q$579)</f>
        <v/>
      </c>
      <c r="E78" s="55">
        <f>C78+D78</f>
        <v/>
      </c>
      <c r="F78" s="56">
        <f>IF(ROUND(C78,2)+ROUND(D78,2)=0,"","yes")</f>
        <v/>
      </c>
      <c r="G78" s="57" t="n"/>
      <c r="H78" s="55">
        <f>IF($G78="","",$E78-$G78)</f>
        <v/>
      </c>
    </row>
    <row r="79">
      <c r="A79" s="54" t="inlineStr">
        <is>
          <t>2512804</t>
        </is>
      </c>
      <c r="B79" s="54" t="inlineStr">
        <is>
          <t>RSNSW Ordinary General Meeting 5.8.26</t>
        </is>
      </c>
      <c r="C79" s="55">
        <f>SUMIFS(tbl_WIP[Amount],tbl_WIP[Job Number],$A79,tbl_WIP[Month],"&lt;&gt;",tbl_WIP[Month],"&lt;"&amp;$C$4)+SUMIF('Deferred Revenue'!$E$6:$E$579,$A79,'Deferred Revenue'!$P$6:$P$579)</f>
        <v/>
      </c>
      <c r="D79" s="55">
        <f>SUMIFS(tbl_WIP[Amount],tbl_WIP[Job Number],$A79,tbl_WIP[Month],$C$4)+SUMIF('Deferred Revenue'!$E$6:$E$579,$A79,'Deferred Revenue'!$Q$6:$Q$579)</f>
        <v/>
      </c>
      <c r="E79" s="55">
        <f>C79+D79</f>
        <v/>
      </c>
      <c r="F79" s="56">
        <f>IF(ROUND(C79,2)+ROUND(D79,2)=0,"","yes")</f>
        <v/>
      </c>
      <c r="G79" s="57" t="n"/>
      <c r="H79" s="55">
        <f>IF($G79="","",$E79-$G79)</f>
        <v/>
      </c>
    </row>
    <row r="80">
      <c r="A80" s="54" t="inlineStr">
        <is>
          <t>2512804V</t>
        </is>
      </c>
      <c r="B80" s="54" t="inlineStr">
        <is>
          <t>RSNSW Ordinary General Meeting 5.8.26</t>
        </is>
      </c>
      <c r="C80" s="55">
        <f>SUMIFS(tbl_WIP[Amount],tbl_WIP[Job Number],$A80,tbl_WIP[Month],"&lt;&gt;",tbl_WIP[Month],"&lt;"&amp;$C$4)+SUMIF('Deferred Revenue'!$E$6:$E$579,$A80,'Deferred Revenue'!$P$6:$P$579)</f>
        <v/>
      </c>
      <c r="D80" s="55">
        <f>SUMIFS(tbl_WIP[Amount],tbl_WIP[Job Number],$A80,tbl_WIP[Month],$C$4)+SUMIF('Deferred Revenue'!$E$6:$E$579,$A80,'Deferred Revenue'!$Q$6:$Q$579)</f>
        <v/>
      </c>
      <c r="E80" s="55">
        <f>C80+D80</f>
        <v/>
      </c>
      <c r="F80" s="56">
        <f>IF(ROUND(C80,2)+ROUND(D80,2)=0,"","yes")</f>
        <v/>
      </c>
      <c r="G80" s="57" t="n"/>
      <c r="H80" s="55">
        <f>IF($G80="","",$E80-$G80)</f>
        <v/>
      </c>
    </row>
    <row r="81">
      <c r="A81" s="54" t="inlineStr">
        <is>
          <t>2512805</t>
        </is>
      </c>
      <c r="B81" s="54" t="inlineStr">
        <is>
          <t>RSNSW Ordinary General Meeting 7.10.2026</t>
        </is>
      </c>
      <c r="C81" s="55">
        <f>SUMIFS(tbl_WIP[Amount],tbl_WIP[Job Number],$A81,tbl_WIP[Month],"&lt;&gt;",tbl_WIP[Month],"&lt;"&amp;$C$4)+SUMIF('Deferred Revenue'!$E$6:$E$579,$A81,'Deferred Revenue'!$P$6:$P$579)</f>
        <v/>
      </c>
      <c r="D81" s="55">
        <f>SUMIFS(tbl_WIP[Amount],tbl_WIP[Job Number],$A81,tbl_WIP[Month],$C$4)+SUMIF('Deferred Revenue'!$E$6:$E$579,$A81,'Deferred Revenue'!$Q$6:$Q$579)</f>
        <v/>
      </c>
      <c r="E81" s="55">
        <f>C81+D81</f>
        <v/>
      </c>
      <c r="F81" s="56">
        <f>IF(ROUND(C81,2)+ROUND(D81,2)=0,"","yes")</f>
        <v/>
      </c>
      <c r="G81" s="57" t="n"/>
      <c r="H81" s="55">
        <f>IF($G81="","",$E81-$G81)</f>
        <v/>
      </c>
    </row>
    <row r="82">
      <c r="A82" s="54" t="inlineStr">
        <is>
          <t>2512805V</t>
        </is>
      </c>
      <c r="B82" s="54" t="inlineStr">
        <is>
          <t>RSNSW Ordinary General Meeting 7.10.2026</t>
        </is>
      </c>
      <c r="C82" s="55">
        <f>SUMIFS(tbl_WIP[Amount],tbl_WIP[Job Number],$A82,tbl_WIP[Month],"&lt;&gt;",tbl_WIP[Month],"&lt;"&amp;$C$4)+SUMIF('Deferred Revenue'!$E$6:$E$579,$A82,'Deferred Revenue'!$P$6:$P$579)</f>
        <v/>
      </c>
      <c r="D82" s="55">
        <f>SUMIFS(tbl_WIP[Amount],tbl_WIP[Job Number],$A82,tbl_WIP[Month],$C$4)+SUMIF('Deferred Revenue'!$E$6:$E$579,$A82,'Deferred Revenue'!$Q$6:$Q$579)</f>
        <v/>
      </c>
      <c r="E82" s="55">
        <f>C82+D82</f>
        <v/>
      </c>
      <c r="F82" s="56">
        <f>IF(ROUND(C82,2)+ROUND(D82,2)=0,"","yes")</f>
        <v/>
      </c>
      <c r="G82" s="57" t="n"/>
      <c r="H82" s="55">
        <f>IF($G82="","",$E82-$G82)</f>
        <v/>
      </c>
    </row>
    <row r="83">
      <c r="A83" s="54" t="inlineStr">
        <is>
          <t>2512806</t>
        </is>
      </c>
      <c r="B83" s="54" t="inlineStr">
        <is>
          <t>RSNSW Ordinary General Meeting 2.12.26</t>
        </is>
      </c>
      <c r="C83" s="55">
        <f>SUMIFS(tbl_WIP[Amount],tbl_WIP[Job Number],$A83,tbl_WIP[Month],"&lt;&gt;",tbl_WIP[Month],"&lt;"&amp;$C$4)+SUMIF('Deferred Revenue'!$E$6:$E$579,$A83,'Deferred Revenue'!$P$6:$P$579)</f>
        <v/>
      </c>
      <c r="D83" s="55">
        <f>SUMIFS(tbl_WIP[Amount],tbl_WIP[Job Number],$A83,tbl_WIP[Month],$C$4)+SUMIF('Deferred Revenue'!$E$6:$E$579,$A83,'Deferred Revenue'!$Q$6:$Q$579)</f>
        <v/>
      </c>
      <c r="E83" s="55">
        <f>C83+D83</f>
        <v/>
      </c>
      <c r="F83" s="56">
        <f>IF(ROUND(C83,2)+ROUND(D83,2)=0,"","yes")</f>
        <v/>
      </c>
      <c r="G83" s="57" t="n"/>
      <c r="H83" s="55">
        <f>IF($G83="","",$E83-$G83)</f>
        <v/>
      </c>
    </row>
    <row r="84">
      <c r="A84" s="54" t="inlineStr">
        <is>
          <t>2512806V</t>
        </is>
      </c>
      <c r="B84" s="54" t="inlineStr">
        <is>
          <t>RSNSW Ordinary General Meeting 2.12.26</t>
        </is>
      </c>
      <c r="C84" s="55">
        <f>SUMIFS(tbl_WIP[Amount],tbl_WIP[Job Number],$A84,tbl_WIP[Month],"&lt;&gt;",tbl_WIP[Month],"&lt;"&amp;$C$4)+SUMIF('Deferred Revenue'!$E$6:$E$579,$A84,'Deferred Revenue'!$P$6:$P$579)</f>
        <v/>
      </c>
      <c r="D84" s="55">
        <f>SUMIFS(tbl_WIP[Amount],tbl_WIP[Job Number],$A84,tbl_WIP[Month],$C$4)+SUMIF('Deferred Revenue'!$E$6:$E$579,$A84,'Deferred Revenue'!$Q$6:$Q$579)</f>
        <v/>
      </c>
      <c r="E84" s="55">
        <f>C84+D84</f>
        <v/>
      </c>
      <c r="F84" s="56">
        <f>IF(ROUND(C84,2)+ROUND(D84,2)=0,"","yes")</f>
        <v/>
      </c>
      <c r="G84" s="57" t="n"/>
      <c r="H84" s="55">
        <f>IF($G84="","",$E84-$G84)</f>
        <v/>
      </c>
    </row>
    <row r="85">
      <c r="A85" s="54" t="inlineStr">
        <is>
          <t>2519</t>
        </is>
      </c>
      <c r="B85" s="54" t="inlineStr">
        <is>
          <t>NSW Prop-6PSQ Visitor MG</t>
        </is>
      </c>
      <c r="C85" s="55">
        <f>SUMIFS(tbl_WIP[Amount],tbl_WIP[Job Number],$A85,tbl_WIP[Month],"&lt;&gt;",tbl_WIP[Month],"&lt;"&amp;$C$4)+SUMIF('Deferred Revenue'!$E$6:$E$579,$A85,'Deferred Revenue'!$P$6:$P$579)</f>
        <v/>
      </c>
      <c r="D85" s="55">
        <f>SUMIFS(tbl_WIP[Amount],tbl_WIP[Job Number],$A85,tbl_WIP[Month],$C$4)+SUMIF('Deferred Revenue'!$E$6:$E$579,$A85,'Deferred Revenue'!$Q$6:$Q$579)</f>
        <v/>
      </c>
      <c r="E85" s="55">
        <f>C85+D85</f>
        <v/>
      </c>
      <c r="F85" s="56">
        <f>IF(ROUND(C85,2)+ROUND(D85,2)=0,"","yes")</f>
        <v/>
      </c>
      <c r="G85" s="57" t="n"/>
      <c r="H85" s="55">
        <f>IF($G85="","",$E85-$G85)</f>
        <v/>
      </c>
    </row>
    <row r="86">
      <c r="A86" s="54" t="inlineStr">
        <is>
          <t>2521</t>
        </is>
      </c>
      <c r="B86" s="54" t="inlineStr">
        <is>
          <t>PWC - PER Tech</t>
        </is>
      </c>
      <c r="C86" s="55">
        <f>SUMIFS(tbl_WIP[Amount],tbl_WIP[Job Number],$A86,tbl_WIP[Month],"&lt;&gt;",tbl_WIP[Month],"&lt;"&amp;$C$4)+SUMIF('Deferred Revenue'!$E$6:$E$579,$A86,'Deferred Revenue'!$P$6:$P$579)</f>
        <v/>
      </c>
      <c r="D86" s="55">
        <f>SUMIFS(tbl_WIP[Amount],tbl_WIP[Job Number],$A86,tbl_WIP[Month],$C$4)+SUMIF('Deferred Revenue'!$E$6:$E$579,$A86,'Deferred Revenue'!$Q$6:$Q$579)</f>
        <v/>
      </c>
      <c r="E86" s="55">
        <f>C86+D86</f>
        <v/>
      </c>
      <c r="F86" s="56">
        <f>IF(ROUND(C86,2)+ROUND(D86,2)=0,"","yes")</f>
        <v/>
      </c>
      <c r="G86" s="57" t="n"/>
      <c r="H86" s="55">
        <f>IF($G86="","",$E86-$G86)</f>
        <v/>
      </c>
    </row>
    <row r="87">
      <c r="A87" s="54" t="inlineStr">
        <is>
          <t>2540</t>
        </is>
      </c>
      <c r="B87" s="54" t="inlineStr">
        <is>
          <t>PWC - SYD Tech</t>
        </is>
      </c>
      <c r="C87" s="55">
        <f>SUMIFS(tbl_WIP[Amount],tbl_WIP[Job Number],$A87,tbl_WIP[Month],"&lt;&gt;",tbl_WIP[Month],"&lt;"&amp;$C$4)+SUMIF('Deferred Revenue'!$E$6:$E$579,$A87,'Deferred Revenue'!$P$6:$P$579)</f>
        <v/>
      </c>
      <c r="D87" s="55">
        <f>SUMIFS(tbl_WIP[Amount],tbl_WIP[Job Number],$A87,tbl_WIP[Month],$C$4)+SUMIF('Deferred Revenue'!$E$6:$E$579,$A87,'Deferred Revenue'!$Q$6:$Q$579)</f>
        <v/>
      </c>
      <c r="E87" s="55">
        <f>C87+D87</f>
        <v/>
      </c>
      <c r="F87" s="56">
        <f>IF(ROUND(C87,2)+ROUND(D87,2)=0,"","yes")</f>
        <v/>
      </c>
      <c r="G87" s="57" t="n"/>
      <c r="H87" s="55">
        <f>IF($G87="","",$E87-$G87)</f>
        <v/>
      </c>
    </row>
    <row r="88">
      <c r="A88" s="54" t="inlineStr">
        <is>
          <t>2543</t>
        </is>
      </c>
      <c r="B88" s="54" t="inlineStr">
        <is>
          <t>DTTL MEL Tech (PT)</t>
        </is>
      </c>
      <c r="C88" s="55">
        <f>SUMIFS(tbl_WIP[Amount],tbl_WIP[Job Number],$A88,tbl_WIP[Month],"&lt;&gt;",tbl_WIP[Month],"&lt;"&amp;$C$4)+SUMIF('Deferred Revenue'!$E$6:$E$579,$A88,'Deferred Revenue'!$P$6:$P$579)</f>
        <v/>
      </c>
      <c r="D88" s="55">
        <f>SUMIFS(tbl_WIP[Amount],tbl_WIP[Job Number],$A88,tbl_WIP[Month],$C$4)+SUMIF('Deferred Revenue'!$E$6:$E$579,$A88,'Deferred Revenue'!$Q$6:$Q$579)</f>
        <v/>
      </c>
      <c r="E88" s="55">
        <f>C88+D88</f>
        <v/>
      </c>
      <c r="F88" s="56">
        <f>IF(ROUND(C88,2)+ROUND(D88,2)=0,"","yes")</f>
        <v/>
      </c>
      <c r="G88" s="57" t="n"/>
      <c r="H88" s="55">
        <f>IF($G88="","",$E88-$G88)</f>
        <v/>
      </c>
    </row>
    <row r="89">
      <c r="A89" s="54" t="inlineStr">
        <is>
          <t>2591012</t>
        </is>
      </c>
      <c r="B89" s="54" t="inlineStr">
        <is>
          <t>St. Luke's Non-chargeable</t>
        </is>
      </c>
      <c r="C89" s="55">
        <f>SUMIFS(tbl_WIP[Amount],tbl_WIP[Job Number],$A89,tbl_WIP[Month],"&lt;&gt;",tbl_WIP[Month],"&lt;"&amp;$C$4)+SUMIF('Deferred Revenue'!$E$6:$E$579,$A89,'Deferred Revenue'!$P$6:$P$579)</f>
        <v/>
      </c>
      <c r="D89" s="55">
        <f>SUMIFS(tbl_WIP[Amount],tbl_WIP[Job Number],$A89,tbl_WIP[Month],$C$4)+SUMIF('Deferred Revenue'!$E$6:$E$579,$A89,'Deferred Revenue'!$Q$6:$Q$579)</f>
        <v/>
      </c>
      <c r="E89" s="55">
        <f>C89+D89</f>
        <v/>
      </c>
      <c r="F89" s="56">
        <f>IF(ROUND(C89,2)+ROUND(D89,2)=0,"","yes")</f>
        <v/>
      </c>
      <c r="G89" s="57" t="n"/>
      <c r="H89" s="55">
        <f>IF($G89="","",$E89-$G89)</f>
        <v/>
      </c>
    </row>
    <row r="90">
      <c r="A90" s="54" t="inlineStr">
        <is>
          <t>2591012C</t>
        </is>
      </c>
      <c r="B90" s="54" t="inlineStr">
        <is>
          <t>St. Luke's Church</t>
        </is>
      </c>
      <c r="C90" s="55">
        <f>SUMIFS(tbl_WIP[Amount],tbl_WIP[Job Number],$A90,tbl_WIP[Month],"&lt;&gt;",tbl_WIP[Month],"&lt;"&amp;$C$4)+SUMIF('Deferred Revenue'!$E$6:$E$579,$A90,'Deferred Revenue'!$P$6:$P$579)</f>
        <v/>
      </c>
      <c r="D90" s="55">
        <f>SUMIFS(tbl_WIP[Amount],tbl_WIP[Job Number],$A90,tbl_WIP[Month],$C$4)+SUMIF('Deferred Revenue'!$E$6:$E$579,$A90,'Deferred Revenue'!$Q$6:$Q$579)</f>
        <v/>
      </c>
      <c r="E90" s="55">
        <f>C90+D90</f>
        <v/>
      </c>
      <c r="F90" s="56">
        <f>IF(ROUND(C90,2)+ROUND(D90,2)=0,"","yes")</f>
        <v/>
      </c>
      <c r="G90" s="57" t="n"/>
      <c r="H90" s="55">
        <f>IF($G90="","",$E90-$G90)</f>
        <v/>
      </c>
    </row>
    <row r="91">
      <c r="A91" s="54" t="inlineStr">
        <is>
          <t>2593</t>
        </is>
      </c>
      <c r="B91" s="54" t="inlineStr">
        <is>
          <t>PWC CBR Technician</t>
        </is>
      </c>
      <c r="C91" s="55">
        <f>SUMIFS(tbl_WIP[Amount],tbl_WIP[Job Number],$A91,tbl_WIP[Month],"&lt;&gt;",tbl_WIP[Month],"&lt;"&amp;$C$4)+SUMIF('Deferred Revenue'!$E$6:$E$579,$A91,'Deferred Revenue'!$P$6:$P$579)</f>
        <v/>
      </c>
      <c r="D91" s="55">
        <f>SUMIFS(tbl_WIP[Amount],tbl_WIP[Job Number],$A91,tbl_WIP[Month],$C$4)+SUMIF('Deferred Revenue'!$E$6:$E$579,$A91,'Deferred Revenue'!$Q$6:$Q$579)</f>
        <v/>
      </c>
      <c r="E91" s="55">
        <f>C91+D91</f>
        <v/>
      </c>
      <c r="F91" s="56">
        <f>IF(ROUND(C91,2)+ROUND(D91,2)=0,"","yes")</f>
        <v/>
      </c>
      <c r="G91" s="57" t="n"/>
      <c r="H91" s="55">
        <f>IF($G91="","",$E91-$G91)</f>
        <v/>
      </c>
    </row>
    <row r="92">
      <c r="A92" s="54" t="inlineStr">
        <is>
          <t>2598</t>
        </is>
      </c>
      <c r="B92" s="54" t="inlineStr">
        <is>
          <t>DTTL WA Tech</t>
        </is>
      </c>
      <c r="C92" s="55">
        <f>SUMIFS(tbl_WIP[Amount],tbl_WIP[Job Number],$A92,tbl_WIP[Month],"&lt;&gt;",tbl_WIP[Month],"&lt;"&amp;$C$4)+SUMIF('Deferred Revenue'!$E$6:$E$579,$A92,'Deferred Revenue'!$P$6:$P$579)</f>
        <v/>
      </c>
      <c r="D92" s="55">
        <f>SUMIFS(tbl_WIP[Amount],tbl_WIP[Job Number],$A92,tbl_WIP[Month],$C$4)+SUMIF('Deferred Revenue'!$E$6:$E$579,$A92,'Deferred Revenue'!$Q$6:$Q$579)</f>
        <v/>
      </c>
      <c r="E92" s="55">
        <f>C92+D92</f>
        <v/>
      </c>
      <c r="F92" s="56">
        <f>IF(ROUND(C92,2)+ROUND(D92,2)=0,"","yes")</f>
        <v/>
      </c>
      <c r="G92" s="57" t="n"/>
      <c r="H92" s="55">
        <f>IF($G92="","",$E92-$G92)</f>
        <v/>
      </c>
    </row>
    <row r="93">
      <c r="A93" s="54" t="inlineStr">
        <is>
          <t>26011404</t>
        </is>
      </c>
      <c r="B93" s="54" t="inlineStr">
        <is>
          <t>ASX CEO Connect (Extended Results) 1.9.26</t>
        </is>
      </c>
      <c r="C93" s="55">
        <f>SUMIFS(tbl_WIP[Amount],tbl_WIP[Job Number],$A93,tbl_WIP[Month],"&lt;&gt;",tbl_WIP[Month],"&lt;"&amp;$C$4)+SUMIF('Deferred Revenue'!$E$6:$E$579,$A93,'Deferred Revenue'!$P$6:$P$579)</f>
        <v/>
      </c>
      <c r="D93" s="55">
        <f>SUMIFS(tbl_WIP[Amount],tbl_WIP[Job Number],$A93,tbl_WIP[Month],$C$4)+SUMIF('Deferred Revenue'!$E$6:$E$579,$A93,'Deferred Revenue'!$Q$6:$Q$579)</f>
        <v/>
      </c>
      <c r="E93" s="55">
        <f>C93+D93</f>
        <v/>
      </c>
      <c r="F93" s="56">
        <f>IF(ROUND(C93,2)+ROUND(D93,2)=0,"","yes")</f>
        <v/>
      </c>
      <c r="G93" s="57" t="n"/>
      <c r="H93" s="55">
        <f>IF($G93="","",$E93-$G93)</f>
        <v/>
      </c>
    </row>
    <row r="94">
      <c r="A94" s="54" t="inlineStr">
        <is>
          <t>26011404V</t>
        </is>
      </c>
      <c r="B94" s="54" t="inlineStr">
        <is>
          <t>ASX CEO Connect (Extended Results) 1.9.26</t>
        </is>
      </c>
      <c r="C94" s="55">
        <f>SUMIFS(tbl_WIP[Amount],tbl_WIP[Job Number],$A94,tbl_WIP[Month],"&lt;&gt;",tbl_WIP[Month],"&lt;"&amp;$C$4)+SUMIF('Deferred Revenue'!$E$6:$E$579,$A94,'Deferred Revenue'!$P$6:$P$579)</f>
        <v/>
      </c>
      <c r="D94" s="55">
        <f>SUMIFS(tbl_WIP[Amount],tbl_WIP[Job Number],$A94,tbl_WIP[Month],$C$4)+SUMIF('Deferred Revenue'!$E$6:$E$579,$A94,'Deferred Revenue'!$Q$6:$Q$579)</f>
        <v/>
      </c>
      <c r="E94" s="55">
        <f>C94+D94</f>
        <v/>
      </c>
      <c r="F94" s="56">
        <f>IF(ROUND(C94,2)+ROUND(D94,2)=0,"","yes")</f>
        <v/>
      </c>
      <c r="G94" s="57" t="n"/>
      <c r="H94" s="55">
        <f>IF($G94="","",$E94-$G94)</f>
        <v/>
      </c>
    </row>
    <row r="95">
      <c r="A95" s="54" t="inlineStr">
        <is>
          <t>26011407</t>
        </is>
      </c>
      <c r="B95" s="54" t="inlineStr">
        <is>
          <t>ASX CEO Connect 27.10.26</t>
        </is>
      </c>
      <c r="C95" s="55">
        <f>SUMIFS(tbl_WIP[Amount],tbl_WIP[Job Number],$A95,tbl_WIP[Month],"&lt;&gt;",tbl_WIP[Month],"&lt;"&amp;$C$4)+SUMIF('Deferred Revenue'!$E$6:$E$579,$A95,'Deferred Revenue'!$P$6:$P$579)</f>
        <v/>
      </c>
      <c r="D95" s="55">
        <f>SUMIFS(tbl_WIP[Amount],tbl_WIP[Job Number],$A95,tbl_WIP[Month],$C$4)+SUMIF('Deferred Revenue'!$E$6:$E$579,$A95,'Deferred Revenue'!$Q$6:$Q$579)</f>
        <v/>
      </c>
      <c r="E95" s="55">
        <f>C95+D95</f>
        <v/>
      </c>
      <c r="F95" s="56">
        <f>IF(ROUND(C95,2)+ROUND(D95,2)=0,"","yes")</f>
        <v/>
      </c>
      <c r="G95" s="57" t="n"/>
      <c r="H95" s="55">
        <f>IF($G95="","",$E95-$G95)</f>
        <v/>
      </c>
    </row>
    <row r="96">
      <c r="A96" s="54" t="inlineStr">
        <is>
          <t>26011407V</t>
        </is>
      </c>
      <c r="B96" s="54" t="inlineStr">
        <is>
          <t>ASX CEO Connect 27.10.26</t>
        </is>
      </c>
      <c r="C96" s="55">
        <f>SUMIFS(tbl_WIP[Amount],tbl_WIP[Job Number],$A96,tbl_WIP[Month],"&lt;&gt;",tbl_WIP[Month],"&lt;"&amp;$C$4)+SUMIF('Deferred Revenue'!$E$6:$E$579,$A96,'Deferred Revenue'!$P$6:$P$579)</f>
        <v/>
      </c>
      <c r="D96" s="55">
        <f>SUMIFS(tbl_WIP[Amount],tbl_WIP[Job Number],$A96,tbl_WIP[Month],$C$4)+SUMIF('Deferred Revenue'!$E$6:$E$579,$A96,'Deferred Revenue'!$Q$6:$Q$579)</f>
        <v/>
      </c>
      <c r="E96" s="55">
        <f>C96+D96</f>
        <v/>
      </c>
      <c r="F96" s="56">
        <f>IF(ROUND(C96,2)+ROUND(D96,2)=0,"","yes")</f>
        <v/>
      </c>
      <c r="G96" s="57" t="n"/>
      <c r="H96" s="55">
        <f>IF($G96="","",$E96-$G96)</f>
        <v/>
      </c>
    </row>
    <row r="97">
      <c r="A97" s="54" t="inlineStr">
        <is>
          <t>26011408</t>
        </is>
      </c>
      <c r="B97" s="54" t="inlineStr">
        <is>
          <t>ASX CEO Connect 1.12.26</t>
        </is>
      </c>
      <c r="C97" s="55">
        <f>SUMIFS(tbl_WIP[Amount],tbl_WIP[Job Number],$A97,tbl_WIP[Month],"&lt;&gt;",tbl_WIP[Month],"&lt;"&amp;$C$4)+SUMIF('Deferred Revenue'!$E$6:$E$579,$A97,'Deferred Revenue'!$P$6:$P$579)</f>
        <v/>
      </c>
      <c r="D97" s="55">
        <f>SUMIFS(tbl_WIP[Amount],tbl_WIP[Job Number],$A97,tbl_WIP[Month],$C$4)+SUMIF('Deferred Revenue'!$E$6:$E$579,$A97,'Deferred Revenue'!$Q$6:$Q$579)</f>
        <v/>
      </c>
      <c r="E97" s="55">
        <f>C97+D97</f>
        <v/>
      </c>
      <c r="F97" s="56">
        <f>IF(ROUND(C97,2)+ROUND(D97,2)=0,"","yes")</f>
        <v/>
      </c>
      <c r="G97" s="57" t="n"/>
      <c r="H97" s="55">
        <f>IF($G97="","",$E97-$G97)</f>
        <v/>
      </c>
    </row>
    <row r="98">
      <c r="A98" s="54" t="inlineStr">
        <is>
          <t>26011408V</t>
        </is>
      </c>
      <c r="B98" s="54" t="inlineStr">
        <is>
          <t>ASX CEO Connect 1.12.26</t>
        </is>
      </c>
      <c r="C98" s="55">
        <f>SUMIFS(tbl_WIP[Amount],tbl_WIP[Job Number],$A98,tbl_WIP[Month],"&lt;&gt;",tbl_WIP[Month],"&lt;"&amp;$C$4)+SUMIF('Deferred Revenue'!$E$6:$E$579,$A98,'Deferred Revenue'!$P$6:$P$579)</f>
        <v/>
      </c>
      <c r="D98" s="55">
        <f>SUMIFS(tbl_WIP[Amount],tbl_WIP[Job Number],$A98,tbl_WIP[Month],$C$4)+SUMIF('Deferred Revenue'!$E$6:$E$579,$A98,'Deferred Revenue'!$Q$6:$Q$579)</f>
        <v/>
      </c>
      <c r="E98" s="55">
        <f>C98+D98</f>
        <v/>
      </c>
      <c r="F98" s="56">
        <f>IF(ROUND(C98,2)+ROUND(D98,2)=0,"","yes")</f>
        <v/>
      </c>
      <c r="G98" s="57" t="n"/>
      <c r="H98" s="55">
        <f>IF($G98="","",$E98-$G98)</f>
        <v/>
      </c>
    </row>
    <row r="99">
      <c r="A99" s="54" t="inlineStr">
        <is>
          <t>26011409</t>
        </is>
      </c>
      <c r="B99" s="54" t="inlineStr">
        <is>
          <t>ASX Investor Days Sydney &amp; Melbourne 2026</t>
        </is>
      </c>
      <c r="C99" s="55">
        <f>SUMIFS(tbl_WIP[Amount],tbl_WIP[Job Number],$A99,tbl_WIP[Month],"&lt;&gt;",tbl_WIP[Month],"&lt;"&amp;$C$4)+SUMIF('Deferred Revenue'!$E$6:$E$579,$A99,'Deferred Revenue'!$P$6:$P$579)</f>
        <v/>
      </c>
      <c r="D99" s="55">
        <f>SUMIFS(tbl_WIP[Amount],tbl_WIP[Job Number],$A99,tbl_WIP[Month],$C$4)+SUMIF('Deferred Revenue'!$E$6:$E$579,$A99,'Deferred Revenue'!$Q$6:$Q$579)</f>
        <v/>
      </c>
      <c r="E99" s="55">
        <f>C99+D99</f>
        <v/>
      </c>
      <c r="F99" s="56">
        <f>IF(ROUND(C99,2)+ROUND(D99,2)=0,"","yes")</f>
        <v/>
      </c>
      <c r="G99" s="57" t="n"/>
      <c r="H99" s="55">
        <f>IF($G99="","",$E99-$G99)</f>
        <v/>
      </c>
    </row>
    <row r="100">
      <c r="A100" s="54" t="inlineStr">
        <is>
          <t>26011501</t>
        </is>
      </c>
      <c r="B100" s="54" t="inlineStr">
        <is>
          <t>ASX Refinitiv Charity Golf Classic H/L Vid 2026</t>
        </is>
      </c>
      <c r="C100" s="55">
        <f>SUMIFS(tbl_WIP[Amount],tbl_WIP[Job Number],$A100,tbl_WIP[Month],"&lt;&gt;",tbl_WIP[Month],"&lt;"&amp;$C$4)+SUMIF('Deferred Revenue'!$E$6:$E$579,$A100,'Deferred Revenue'!$P$6:$P$579)</f>
        <v/>
      </c>
      <c r="D100" s="55">
        <f>SUMIFS(tbl_WIP[Amount],tbl_WIP[Job Number],$A100,tbl_WIP[Month],$C$4)+SUMIF('Deferred Revenue'!$E$6:$E$579,$A100,'Deferred Revenue'!$Q$6:$Q$579)</f>
        <v/>
      </c>
      <c r="E100" s="55">
        <f>C100+D100</f>
        <v/>
      </c>
      <c r="F100" s="56">
        <f>IF(ROUND(C100,2)+ROUND(D100,2)=0,"","yes")</f>
        <v/>
      </c>
      <c r="G100" s="57" t="n"/>
      <c r="H100" s="55">
        <f>IF($G100="","",$E100-$G100)</f>
        <v/>
      </c>
    </row>
    <row r="101">
      <c r="A101" s="54" t="inlineStr">
        <is>
          <t>26011502</t>
        </is>
      </c>
      <c r="B101" s="54" t="inlineStr">
        <is>
          <t>ASX Charity Regatta Highlights Video 2026</t>
        </is>
      </c>
      <c r="C101" s="55">
        <f>SUMIFS(tbl_WIP[Amount],tbl_WIP[Job Number],$A101,tbl_WIP[Month],"&lt;&gt;",tbl_WIP[Month],"&lt;"&amp;$C$4)+SUMIF('Deferred Revenue'!$E$6:$E$579,$A101,'Deferred Revenue'!$P$6:$P$579)</f>
        <v/>
      </c>
      <c r="D101" s="55">
        <f>SUMIFS(tbl_WIP[Amount],tbl_WIP[Job Number],$A101,tbl_WIP[Month],$C$4)+SUMIF('Deferred Revenue'!$E$6:$E$579,$A101,'Deferred Revenue'!$Q$6:$Q$579)</f>
        <v/>
      </c>
      <c r="E101" s="55">
        <f>C101+D101</f>
        <v/>
      </c>
      <c r="F101" s="56">
        <f>IF(ROUND(C101,2)+ROUND(D101,2)=0,"","yes")</f>
        <v/>
      </c>
      <c r="G101" s="57" t="n"/>
      <c r="H101" s="55">
        <f>IF($G101="","",$E101-$G101)</f>
        <v/>
      </c>
    </row>
    <row r="102">
      <c r="A102" s="54" t="inlineStr">
        <is>
          <t>26012301</t>
        </is>
      </c>
      <c r="B102" s="54" t="inlineStr">
        <is>
          <t>PWC IT Support - Brisbane</t>
        </is>
      </c>
      <c r="C102" s="55">
        <f>SUMIFS(tbl_WIP[Amount],tbl_WIP[Job Number],$A102,tbl_WIP[Month],"&lt;&gt;",tbl_WIP[Month],"&lt;"&amp;$C$4)+SUMIF('Deferred Revenue'!$E$6:$E$579,$A102,'Deferred Revenue'!$P$6:$P$579)</f>
        <v/>
      </c>
      <c r="D102" s="55">
        <f>SUMIFS(tbl_WIP[Amount],tbl_WIP[Job Number],$A102,tbl_WIP[Month],$C$4)+SUMIF('Deferred Revenue'!$E$6:$E$579,$A102,'Deferred Revenue'!$Q$6:$Q$579)</f>
        <v/>
      </c>
      <c r="E102" s="55">
        <f>C102+D102</f>
        <v/>
      </c>
      <c r="F102" s="56">
        <f>IF(ROUND(C102,2)+ROUND(D102,2)=0,"","yes")</f>
        <v/>
      </c>
      <c r="G102" s="57" t="n"/>
      <c r="H102" s="55">
        <f>IF($G102="","",$E102-$G102)</f>
        <v/>
      </c>
    </row>
    <row r="103">
      <c r="A103" s="54" t="inlineStr">
        <is>
          <t>2601701</t>
        </is>
      </c>
      <c r="B103" s="54" t="inlineStr">
        <is>
          <t>CEOi - TLP Brand Video</t>
        </is>
      </c>
      <c r="C103" s="55">
        <f>SUMIFS(tbl_WIP[Amount],tbl_WIP[Job Number],$A103,tbl_WIP[Month],"&lt;&gt;",tbl_WIP[Month],"&lt;"&amp;$C$4)+SUMIF('Deferred Revenue'!$E$6:$E$579,$A103,'Deferred Revenue'!$P$6:$P$579)</f>
        <v/>
      </c>
      <c r="D103" s="55">
        <f>SUMIFS(tbl_WIP[Amount],tbl_WIP[Job Number],$A103,tbl_WIP[Month],$C$4)+SUMIF('Deferred Revenue'!$E$6:$E$579,$A103,'Deferred Revenue'!$Q$6:$Q$579)</f>
        <v/>
      </c>
      <c r="E103" s="55">
        <f>C103+D103</f>
        <v/>
      </c>
      <c r="F103" s="56">
        <f>IF(ROUND(C103,2)+ROUND(D103,2)=0,"","yes")</f>
        <v/>
      </c>
      <c r="G103" s="57" t="n"/>
      <c r="H103" s="55">
        <f>IF($G103="","",$E103-$G103)</f>
        <v/>
      </c>
    </row>
    <row r="104">
      <c r="A104" s="54" t="inlineStr">
        <is>
          <t>26021602</t>
        </is>
      </c>
      <c r="B104" s="54" t="inlineStr">
        <is>
          <t>Gen E ABS AV Support (Canberra)</t>
        </is>
      </c>
      <c r="C104" s="55">
        <f>SUMIFS(tbl_WIP[Amount],tbl_WIP[Job Number],$A104,tbl_WIP[Month],"&lt;&gt;",tbl_WIP[Month],"&lt;"&amp;$C$4)+SUMIF('Deferred Revenue'!$E$6:$E$579,$A104,'Deferred Revenue'!$P$6:$P$579)</f>
        <v/>
      </c>
      <c r="D104" s="55">
        <f>SUMIFS(tbl_WIP[Amount],tbl_WIP[Job Number],$A104,tbl_WIP[Month],$C$4)+SUMIF('Deferred Revenue'!$E$6:$E$579,$A104,'Deferred Revenue'!$Q$6:$Q$579)</f>
        <v/>
      </c>
      <c r="E104" s="55">
        <f>C104+D104</f>
        <v/>
      </c>
      <c r="F104" s="56">
        <f>IF(ROUND(C104,2)+ROUND(D104,2)=0,"","yes")</f>
        <v/>
      </c>
      <c r="G104" s="57" t="n"/>
      <c r="H104" s="55">
        <f>IF($G104="","",$E104-$G104)</f>
        <v/>
      </c>
    </row>
    <row r="105">
      <c r="A105" s="54" t="inlineStr">
        <is>
          <t>26021602N</t>
        </is>
      </c>
      <c r="B105" s="54" t="inlineStr">
        <is>
          <t>Gen E ABS AV Support (Canberra) [ONS non-chargeable]</t>
        </is>
      </c>
      <c r="C105" s="55">
        <f>SUMIFS(tbl_WIP[Amount],tbl_WIP[Job Number],$A105,tbl_WIP[Month],"&lt;&gt;",tbl_WIP[Month],"&lt;"&amp;$C$4)+SUMIF('Deferred Revenue'!$E$6:$E$579,$A105,'Deferred Revenue'!$P$6:$P$579)</f>
        <v/>
      </c>
      <c r="D105" s="55">
        <f>SUMIFS(tbl_WIP[Amount],tbl_WIP[Job Number],$A105,tbl_WIP[Month],$C$4)+SUMIF('Deferred Revenue'!$E$6:$E$579,$A105,'Deferred Revenue'!$Q$6:$Q$579)</f>
        <v/>
      </c>
      <c r="E105" s="55">
        <f>C105+D105</f>
        <v/>
      </c>
      <c r="F105" s="56">
        <f>IF(ROUND(C105,2)+ROUND(D105,2)=0,"","yes")</f>
        <v/>
      </c>
      <c r="G105" s="57" t="n"/>
      <c r="H105" s="55">
        <f>IF($G105="","",$E105-$G105)</f>
        <v/>
      </c>
    </row>
    <row r="106">
      <c r="A106" s="54" t="inlineStr">
        <is>
          <t>26021801</t>
        </is>
      </c>
      <c r="B106" s="54" t="inlineStr">
        <is>
          <t>Aware Super Seminar Room AV Upgrade</t>
        </is>
      </c>
      <c r="C106" s="55">
        <f>SUMIFS(tbl_WIP[Amount],tbl_WIP[Job Number],$A106,tbl_WIP[Month],"&lt;&gt;",tbl_WIP[Month],"&lt;"&amp;$C$4)+SUMIF('Deferred Revenue'!$E$6:$E$579,$A106,'Deferred Revenue'!$P$6:$P$579)</f>
        <v/>
      </c>
      <c r="D106" s="55">
        <f>SUMIFS(tbl_WIP[Amount],tbl_WIP[Job Number],$A106,tbl_WIP[Month],$C$4)+SUMIF('Deferred Revenue'!$E$6:$E$579,$A106,'Deferred Revenue'!$Q$6:$Q$579)</f>
        <v/>
      </c>
      <c r="E106" s="55">
        <f>C106+D106</f>
        <v/>
      </c>
      <c r="F106" s="56">
        <f>IF(ROUND(C106,2)+ROUND(D106,2)=0,"","yes")</f>
        <v/>
      </c>
      <c r="G106" s="57" t="n"/>
      <c r="H106" s="55">
        <f>IF($G106="","",$E106-$G106)</f>
        <v/>
      </c>
    </row>
    <row r="107">
      <c r="A107" s="54" t="inlineStr">
        <is>
          <t>2602203</t>
        </is>
      </c>
      <c r="B107" s="54" t="inlineStr">
        <is>
          <t>YSG Studio Orange Room Upgrade</t>
        </is>
      </c>
      <c r="C107" s="55">
        <f>SUMIFS(tbl_WIP[Amount],tbl_WIP[Job Number],$A107,tbl_WIP[Month],"&lt;&gt;",tbl_WIP[Month],"&lt;"&amp;$C$4)+SUMIF('Deferred Revenue'!$E$6:$E$579,$A107,'Deferred Revenue'!$P$6:$P$579)</f>
        <v/>
      </c>
      <c r="D107" s="55">
        <f>SUMIFS(tbl_WIP[Amount],tbl_WIP[Job Number],$A107,tbl_WIP[Month],$C$4)+SUMIF('Deferred Revenue'!$E$6:$E$579,$A107,'Deferred Revenue'!$Q$6:$Q$579)</f>
        <v/>
      </c>
      <c r="E107" s="55">
        <f>C107+D107</f>
        <v/>
      </c>
      <c r="F107" s="56">
        <f>IF(ROUND(C107,2)+ROUND(D107,2)=0,"","yes")</f>
        <v/>
      </c>
      <c r="G107" s="57" t="n"/>
      <c r="H107" s="55">
        <f>IF($G107="","",$E107-$G107)</f>
        <v/>
      </c>
    </row>
    <row r="108">
      <c r="A108" s="54" t="inlineStr">
        <is>
          <t>26022301</t>
        </is>
      </c>
      <c r="B108" s="54" t="inlineStr">
        <is>
          <t>Aware Super AV Maintenance</t>
        </is>
      </c>
      <c r="C108" s="55">
        <f>SUMIFS(tbl_WIP[Amount],tbl_WIP[Job Number],$A108,tbl_WIP[Month],"&lt;&gt;",tbl_WIP[Month],"&lt;"&amp;$C$4)+SUMIF('Deferred Revenue'!$E$6:$E$579,$A108,'Deferred Revenue'!$P$6:$P$579)</f>
        <v/>
      </c>
      <c r="D108" s="55">
        <f>SUMIFS(tbl_WIP[Amount],tbl_WIP[Job Number],$A108,tbl_WIP[Month],$C$4)+SUMIF('Deferred Revenue'!$E$6:$E$579,$A108,'Deferred Revenue'!$Q$6:$Q$579)</f>
        <v/>
      </c>
      <c r="E108" s="55">
        <f>C108+D108</f>
        <v/>
      </c>
      <c r="F108" s="56">
        <f>IF(ROUND(C108,2)+ROUND(D108,2)=0,"","yes")</f>
        <v/>
      </c>
      <c r="G108" s="57" t="n"/>
      <c r="H108" s="55">
        <f>IF($G108="","",$E108-$G108)</f>
        <v/>
      </c>
    </row>
    <row r="109">
      <c r="A109" s="54" t="inlineStr">
        <is>
          <t>26022301C</t>
        </is>
      </c>
      <c r="B109" s="54" t="inlineStr">
        <is>
          <t>Aware Super AV Maintenance</t>
        </is>
      </c>
      <c r="C109" s="55">
        <f>SUMIFS(tbl_WIP[Amount],tbl_WIP[Job Number],$A109,tbl_WIP[Month],"&lt;&gt;",tbl_WIP[Month],"&lt;"&amp;$C$4)+SUMIF('Deferred Revenue'!$E$6:$E$579,$A109,'Deferred Revenue'!$P$6:$P$579)</f>
        <v/>
      </c>
      <c r="D109" s="55">
        <f>SUMIFS(tbl_WIP[Amount],tbl_WIP[Job Number],$A109,tbl_WIP[Month],$C$4)+SUMIF('Deferred Revenue'!$E$6:$E$579,$A109,'Deferred Revenue'!$Q$6:$Q$579)</f>
        <v/>
      </c>
      <c r="E109" s="55">
        <f>C109+D109</f>
        <v/>
      </c>
      <c r="F109" s="56">
        <f>IF(ROUND(C109,2)+ROUND(D109,2)=0,"","yes")</f>
        <v/>
      </c>
      <c r="G109" s="57" t="n"/>
      <c r="H109" s="55">
        <f>IF($G109="","",$E109-$G109)</f>
        <v/>
      </c>
    </row>
    <row r="110">
      <c r="A110" s="54" t="inlineStr">
        <is>
          <t>26022301NC</t>
        </is>
      </c>
      <c r="B110" s="54" t="inlineStr">
        <is>
          <t>Aware Super AV Maintenance Non-chargeable</t>
        </is>
      </c>
      <c r="C110" s="55">
        <f>SUMIFS(tbl_WIP[Amount],tbl_WIP[Job Number],$A110,tbl_WIP[Month],"&lt;&gt;",tbl_WIP[Month],"&lt;"&amp;$C$4)+SUMIF('Deferred Revenue'!$E$6:$E$579,$A110,'Deferred Revenue'!$P$6:$P$579)</f>
        <v/>
      </c>
      <c r="D110" s="55">
        <f>SUMIFS(tbl_WIP[Amount],tbl_WIP[Job Number],$A110,tbl_WIP[Month],$C$4)+SUMIF('Deferred Revenue'!$E$6:$E$579,$A110,'Deferred Revenue'!$Q$6:$Q$579)</f>
        <v/>
      </c>
      <c r="E110" s="55">
        <f>C110+D110</f>
        <v/>
      </c>
      <c r="F110" s="56">
        <f>IF(ROUND(C110,2)+ROUND(D110,2)=0,"","yes")</f>
        <v/>
      </c>
      <c r="G110" s="57" t="n"/>
      <c r="H110" s="55">
        <f>IF($G110="","",$E110-$G110)</f>
        <v/>
      </c>
    </row>
    <row r="111">
      <c r="A111" s="54" t="inlineStr">
        <is>
          <t>26022301P</t>
        </is>
      </c>
      <c r="B111" s="54" t="inlineStr">
        <is>
          <t>Aware Super AV Maintenance</t>
        </is>
      </c>
      <c r="C111" s="55">
        <f>SUMIFS(tbl_WIP[Amount],tbl_WIP[Job Number],$A111,tbl_WIP[Month],"&lt;&gt;",tbl_WIP[Month],"&lt;"&amp;$C$4)+SUMIF('Deferred Revenue'!$E$6:$E$579,$A111,'Deferred Revenue'!$P$6:$P$579)</f>
        <v/>
      </c>
      <c r="D111" s="55">
        <f>SUMIFS(tbl_WIP[Amount],tbl_WIP[Job Number],$A111,tbl_WIP[Month],$C$4)+SUMIF('Deferred Revenue'!$E$6:$E$579,$A111,'Deferred Revenue'!$Q$6:$Q$579)</f>
        <v/>
      </c>
      <c r="E111" s="55">
        <f>C111+D111</f>
        <v/>
      </c>
      <c r="F111" s="56">
        <f>IF(ROUND(C111,2)+ROUND(D111,2)=0,"","yes")</f>
        <v/>
      </c>
      <c r="G111" s="57" t="n"/>
      <c r="H111" s="55">
        <f>IF($G111="","",$E111-$G111)</f>
        <v/>
      </c>
    </row>
    <row r="112">
      <c r="A112" s="54" t="inlineStr">
        <is>
          <t>26022302</t>
        </is>
      </c>
      <c r="B112" s="54" t="inlineStr">
        <is>
          <t>GP - Talking Philanthropy - 18.9.26</t>
        </is>
      </c>
      <c r="C112" s="55">
        <f>SUMIFS(tbl_WIP[Amount],tbl_WIP[Job Number],$A112,tbl_WIP[Month],"&lt;&gt;",tbl_WIP[Month],"&lt;"&amp;$C$4)+SUMIF('Deferred Revenue'!$E$6:$E$579,$A112,'Deferred Revenue'!$P$6:$P$579)</f>
        <v/>
      </c>
      <c r="D112" s="55">
        <f>SUMIFS(tbl_WIP[Amount],tbl_WIP[Job Number],$A112,tbl_WIP[Month],$C$4)+SUMIF('Deferred Revenue'!$E$6:$E$579,$A112,'Deferred Revenue'!$Q$6:$Q$579)</f>
        <v/>
      </c>
      <c r="E112" s="55">
        <f>C112+D112</f>
        <v/>
      </c>
      <c r="F112" s="56">
        <f>IF(ROUND(C112,2)+ROUND(D112,2)=0,"","yes")</f>
        <v/>
      </c>
      <c r="G112" s="57" t="n"/>
      <c r="H112" s="55">
        <f>IF($G112="","",$E112-$G112)</f>
        <v/>
      </c>
    </row>
    <row r="113">
      <c r="A113" s="54" t="inlineStr">
        <is>
          <t>26022302V</t>
        </is>
      </c>
      <c r="B113" s="54" t="inlineStr">
        <is>
          <t>GP - Talking Philanthropy - 18.9.26</t>
        </is>
      </c>
      <c r="C113" s="55">
        <f>SUMIFS(tbl_WIP[Amount],tbl_WIP[Job Number],$A113,tbl_WIP[Month],"&lt;&gt;",tbl_WIP[Month],"&lt;"&amp;$C$4)+SUMIF('Deferred Revenue'!$E$6:$E$579,$A113,'Deferred Revenue'!$P$6:$P$579)</f>
        <v/>
      </c>
      <c r="D113" s="55">
        <f>SUMIFS(tbl_WIP[Amount],tbl_WIP[Job Number],$A113,tbl_WIP[Month],$C$4)+SUMIF('Deferred Revenue'!$E$6:$E$579,$A113,'Deferred Revenue'!$Q$6:$Q$579)</f>
        <v/>
      </c>
      <c r="E113" s="55">
        <f>C113+D113</f>
        <v/>
      </c>
      <c r="F113" s="56">
        <f>IF(ROUND(C113,2)+ROUND(D113,2)=0,"","yes")</f>
        <v/>
      </c>
      <c r="G113" s="57" t="n"/>
      <c r="H113" s="55">
        <f>IF($G113="","",$E113-$G113)</f>
        <v/>
      </c>
    </row>
    <row r="114">
      <c r="A114" s="54" t="inlineStr">
        <is>
          <t>26022601</t>
        </is>
      </c>
      <c r="B114" s="54" t="inlineStr">
        <is>
          <t>ART - Annual Members Meeting - 25.11.26</t>
        </is>
      </c>
      <c r="C114" s="55">
        <f>SUMIFS(tbl_WIP[Amount],tbl_WIP[Job Number],$A114,tbl_WIP[Month],"&lt;&gt;",tbl_WIP[Month],"&lt;"&amp;$C$4)+SUMIF('Deferred Revenue'!$E$6:$E$579,$A114,'Deferred Revenue'!$P$6:$P$579)</f>
        <v/>
      </c>
      <c r="D114" s="55">
        <f>SUMIFS(tbl_WIP[Amount],tbl_WIP[Job Number],$A114,tbl_WIP[Month],$C$4)+SUMIF('Deferred Revenue'!$E$6:$E$579,$A114,'Deferred Revenue'!$Q$6:$Q$579)</f>
        <v/>
      </c>
      <c r="E114" s="55">
        <f>C114+D114</f>
        <v/>
      </c>
      <c r="F114" s="56">
        <f>IF(ROUND(C114,2)+ROUND(D114,2)=0,"","yes")</f>
        <v/>
      </c>
      <c r="G114" s="57" t="n"/>
      <c r="H114" s="55">
        <f>IF($G114="","",$E114-$G114)</f>
        <v/>
      </c>
    </row>
    <row r="115">
      <c r="A115" s="54" t="inlineStr">
        <is>
          <t>26022601V</t>
        </is>
      </c>
      <c r="B115" s="54" t="inlineStr">
        <is>
          <t>ART - Annual Members Meeting - 25.11.26</t>
        </is>
      </c>
      <c r="C115" s="55">
        <f>SUMIFS(tbl_WIP[Amount],tbl_WIP[Job Number],$A115,tbl_WIP[Month],"&lt;&gt;",tbl_WIP[Month],"&lt;"&amp;$C$4)+SUMIF('Deferred Revenue'!$E$6:$E$579,$A115,'Deferred Revenue'!$P$6:$P$579)</f>
        <v/>
      </c>
      <c r="D115" s="55">
        <f>SUMIFS(tbl_WIP[Amount],tbl_WIP[Job Number],$A115,tbl_WIP[Month],$C$4)+SUMIF('Deferred Revenue'!$E$6:$E$579,$A115,'Deferred Revenue'!$Q$6:$Q$579)</f>
        <v/>
      </c>
      <c r="E115" s="55">
        <f>C115+D115</f>
        <v/>
      </c>
      <c r="F115" s="56">
        <f>IF(ROUND(C115,2)+ROUND(D115,2)=0,"","yes")</f>
        <v/>
      </c>
      <c r="G115" s="57" t="n"/>
      <c r="H115" s="55">
        <f>IF($G115="","",$E115-$G115)</f>
        <v/>
      </c>
    </row>
    <row r="116">
      <c r="A116" s="54" t="inlineStr">
        <is>
          <t>2602901</t>
        </is>
      </c>
      <c r="B116" s="54" t="inlineStr">
        <is>
          <t>HP-Telstra: Phone Modification</t>
        </is>
      </c>
      <c r="C116" s="55">
        <f>SUMIFS(tbl_WIP[Amount],tbl_WIP[Job Number],$A116,tbl_WIP[Month],"&lt;&gt;",tbl_WIP[Month],"&lt;"&amp;$C$4)+SUMIF('Deferred Revenue'!$E$6:$E$579,$A116,'Deferred Revenue'!$P$6:$P$579)</f>
        <v/>
      </c>
      <c r="D116" s="55">
        <f>SUMIFS(tbl_WIP[Amount],tbl_WIP[Job Number],$A116,tbl_WIP[Month],$C$4)+SUMIF('Deferred Revenue'!$E$6:$E$579,$A116,'Deferred Revenue'!$Q$6:$Q$579)</f>
        <v/>
      </c>
      <c r="E116" s="55">
        <f>C116+D116</f>
        <v/>
      </c>
      <c r="F116" s="56">
        <f>IF(ROUND(C116,2)+ROUND(D116,2)=0,"","yes")</f>
        <v/>
      </c>
      <c r="G116" s="57" t="n"/>
      <c r="H116" s="55">
        <f>IF($G116="","",$E116-$G116)</f>
        <v/>
      </c>
    </row>
    <row r="117">
      <c r="A117" s="54" t="inlineStr">
        <is>
          <t>2603104</t>
        </is>
      </c>
      <c r="B117" s="54" t="inlineStr">
        <is>
          <t>Cochlear FY26 Results 18.8.26</t>
        </is>
      </c>
      <c r="C117" s="55">
        <f>SUMIFS(tbl_WIP[Amount],tbl_WIP[Job Number],$A117,tbl_WIP[Month],"&lt;&gt;",tbl_WIP[Month],"&lt;"&amp;$C$4)+SUMIF('Deferred Revenue'!$E$6:$E$579,$A117,'Deferred Revenue'!$P$6:$P$579)</f>
        <v/>
      </c>
      <c r="D117" s="55">
        <f>SUMIFS(tbl_WIP[Amount],tbl_WIP[Job Number],$A117,tbl_WIP[Month],$C$4)+SUMIF('Deferred Revenue'!$E$6:$E$579,$A117,'Deferred Revenue'!$Q$6:$Q$579)</f>
        <v/>
      </c>
      <c r="E117" s="55">
        <f>C117+D117</f>
        <v/>
      </c>
      <c r="F117" s="56">
        <f>IF(ROUND(C117,2)+ROUND(D117,2)=0,"","yes")</f>
        <v/>
      </c>
      <c r="G117" s="57" t="n"/>
      <c r="H117" s="55">
        <f>IF($G117="","",$E117-$G117)</f>
        <v/>
      </c>
    </row>
    <row r="118">
      <c r="A118" s="54" t="inlineStr">
        <is>
          <t>2603104V</t>
        </is>
      </c>
      <c r="B118" s="54" t="inlineStr">
        <is>
          <t>Cochlear FY26 Results 18.8.26</t>
        </is>
      </c>
      <c r="C118" s="55">
        <f>SUMIFS(tbl_WIP[Amount],tbl_WIP[Job Number],$A118,tbl_WIP[Month],"&lt;&gt;",tbl_WIP[Month],"&lt;"&amp;$C$4)+SUMIF('Deferred Revenue'!$E$6:$E$579,$A118,'Deferred Revenue'!$P$6:$P$579)</f>
        <v/>
      </c>
      <c r="D118" s="55">
        <f>SUMIFS(tbl_WIP[Amount],tbl_WIP[Job Number],$A118,tbl_WIP[Month],$C$4)+SUMIF('Deferred Revenue'!$E$6:$E$579,$A118,'Deferred Revenue'!$Q$6:$Q$579)</f>
        <v/>
      </c>
      <c r="E118" s="55">
        <f>C118+D118</f>
        <v/>
      </c>
      <c r="F118" s="56">
        <f>IF(ROUND(C118,2)+ROUND(D118,2)=0,"","yes")</f>
        <v/>
      </c>
      <c r="G118" s="57" t="n"/>
      <c r="H118" s="55">
        <f>IF($G118="","",$E118-$G118)</f>
        <v/>
      </c>
    </row>
    <row r="119">
      <c r="A119" s="54" t="inlineStr">
        <is>
          <t>2603105</t>
        </is>
      </c>
      <c r="B119" s="54" t="inlineStr">
        <is>
          <t>Cochlear - AGM - 26.10.26</t>
        </is>
      </c>
      <c r="C119" s="55">
        <f>SUMIFS(tbl_WIP[Amount],tbl_WIP[Job Number],$A119,tbl_WIP[Month],"&lt;&gt;",tbl_WIP[Month],"&lt;"&amp;$C$4)+SUMIF('Deferred Revenue'!$E$6:$E$579,$A119,'Deferred Revenue'!$P$6:$P$579)</f>
        <v/>
      </c>
      <c r="D119" s="55">
        <f>SUMIFS(tbl_WIP[Amount],tbl_WIP[Job Number],$A119,tbl_WIP[Month],$C$4)+SUMIF('Deferred Revenue'!$E$6:$E$579,$A119,'Deferred Revenue'!$Q$6:$Q$579)</f>
        <v/>
      </c>
      <c r="E119" s="55">
        <f>C119+D119</f>
        <v/>
      </c>
      <c r="F119" s="56">
        <f>IF(ROUND(C119,2)+ROUND(D119,2)=0,"","yes")</f>
        <v/>
      </c>
      <c r="G119" s="57" t="n"/>
      <c r="H119" s="55">
        <f>IF($G119="","",$E119-$G119)</f>
        <v/>
      </c>
    </row>
    <row r="120">
      <c r="A120" s="54" t="inlineStr">
        <is>
          <t>2603105V</t>
        </is>
      </c>
      <c r="B120" s="54" t="inlineStr">
        <is>
          <t>Cochlear - AGM - 26.10.26</t>
        </is>
      </c>
      <c r="C120" s="55">
        <f>SUMIFS(tbl_WIP[Amount],tbl_WIP[Job Number],$A120,tbl_WIP[Month],"&lt;&gt;",tbl_WIP[Month],"&lt;"&amp;$C$4)+SUMIF('Deferred Revenue'!$E$6:$E$579,$A120,'Deferred Revenue'!$P$6:$P$579)</f>
        <v/>
      </c>
      <c r="D120" s="55">
        <f>SUMIFS(tbl_WIP[Amount],tbl_WIP[Job Number],$A120,tbl_WIP[Month],$C$4)+SUMIF('Deferred Revenue'!$E$6:$E$579,$A120,'Deferred Revenue'!$Q$6:$Q$579)</f>
        <v/>
      </c>
      <c r="E120" s="55">
        <f>C120+D120</f>
        <v/>
      </c>
      <c r="F120" s="56">
        <f>IF(ROUND(C120,2)+ROUND(D120,2)=0,"","yes")</f>
        <v/>
      </c>
      <c r="G120" s="57" t="n"/>
      <c r="H120" s="55">
        <f>IF($G120="","",$E120-$G120)</f>
        <v/>
      </c>
    </row>
    <row r="121">
      <c r="A121" s="54" t="inlineStr">
        <is>
          <t>2603202</t>
        </is>
      </c>
      <c r="B121" s="54" t="inlineStr">
        <is>
          <t>Property NSW 5 O’Keefe Ave Nowra Workplace Hub</t>
        </is>
      </c>
      <c r="C121" s="55">
        <f>SUMIFS(tbl_WIP[Amount],tbl_WIP[Job Number],$A121,tbl_WIP[Month],"&lt;&gt;",tbl_WIP[Month],"&lt;"&amp;$C$4)+SUMIF('Deferred Revenue'!$E$6:$E$579,$A121,'Deferred Revenue'!$P$6:$P$579)</f>
        <v/>
      </c>
      <c r="D121" s="55">
        <f>SUMIFS(tbl_WIP[Amount],tbl_WIP[Job Number],$A121,tbl_WIP[Month],$C$4)+SUMIF('Deferred Revenue'!$E$6:$E$579,$A121,'Deferred Revenue'!$Q$6:$Q$579)</f>
        <v/>
      </c>
      <c r="E121" s="55">
        <f>C121+D121</f>
        <v/>
      </c>
      <c r="F121" s="56">
        <f>IF(ROUND(C121,2)+ROUND(D121,2)=0,"","yes")</f>
        <v/>
      </c>
      <c r="G121" s="57" t="n"/>
      <c r="H121" s="55">
        <f>IF($G121="","",$E121-$G121)</f>
        <v/>
      </c>
    </row>
    <row r="122">
      <c r="A122" s="54" t="inlineStr">
        <is>
          <t>26032301</t>
        </is>
      </c>
      <c r="B122" s="54" t="inlineStr">
        <is>
          <t>RSNSW - OGM - 1.7.2026</t>
        </is>
      </c>
      <c r="C122" s="55">
        <f>SUMIFS(tbl_WIP[Amount],tbl_WIP[Job Number],$A122,tbl_WIP[Month],"&lt;&gt;",tbl_WIP[Month],"&lt;"&amp;$C$4)+SUMIF('Deferred Revenue'!$E$6:$E$579,$A122,'Deferred Revenue'!$P$6:$P$579)</f>
        <v/>
      </c>
      <c r="D122" s="55">
        <f>SUMIFS(tbl_WIP[Amount],tbl_WIP[Job Number],$A122,tbl_WIP[Month],$C$4)+SUMIF('Deferred Revenue'!$E$6:$E$579,$A122,'Deferred Revenue'!$Q$6:$Q$579)</f>
        <v/>
      </c>
      <c r="E122" s="55">
        <f>C122+D122</f>
        <v/>
      </c>
      <c r="F122" s="56">
        <f>IF(ROUND(C122,2)+ROUND(D122,2)=0,"","yes")</f>
        <v/>
      </c>
      <c r="G122" s="57" t="n"/>
      <c r="H122" s="55">
        <f>IF($G122="","",$E122-$G122)</f>
        <v/>
      </c>
    </row>
    <row r="123">
      <c r="A123" s="54" t="inlineStr">
        <is>
          <t>26032301V</t>
        </is>
      </c>
      <c r="B123" s="54" t="inlineStr">
        <is>
          <t>RSNSW - OGM - 1.7.2026</t>
        </is>
      </c>
      <c r="C123" s="55">
        <f>SUMIFS(tbl_WIP[Amount],tbl_WIP[Job Number],$A123,tbl_WIP[Month],"&lt;&gt;",tbl_WIP[Month],"&lt;"&amp;$C$4)+SUMIF('Deferred Revenue'!$E$6:$E$579,$A123,'Deferred Revenue'!$P$6:$P$579)</f>
        <v/>
      </c>
      <c r="D123" s="55">
        <f>SUMIFS(tbl_WIP[Amount],tbl_WIP[Job Number],$A123,tbl_WIP[Month],$C$4)+SUMIF('Deferred Revenue'!$E$6:$E$579,$A123,'Deferred Revenue'!$Q$6:$Q$579)</f>
        <v/>
      </c>
      <c r="E123" s="55">
        <f>C123+D123</f>
        <v/>
      </c>
      <c r="F123" s="56">
        <f>IF(ROUND(C123,2)+ROUND(D123,2)=0,"","yes")</f>
        <v/>
      </c>
      <c r="G123" s="57" t="n"/>
      <c r="H123" s="55">
        <f>IF($G123="","",$E123-$G123)</f>
        <v/>
      </c>
    </row>
    <row r="124">
      <c r="A124" s="54" t="inlineStr">
        <is>
          <t>26032302</t>
        </is>
      </c>
      <c r="B124" s="54" t="inlineStr">
        <is>
          <t>RSNSW - OGM - 2.9.2026</t>
        </is>
      </c>
      <c r="C124" s="55">
        <f>SUMIFS(tbl_WIP[Amount],tbl_WIP[Job Number],$A124,tbl_WIP[Month],"&lt;&gt;",tbl_WIP[Month],"&lt;"&amp;$C$4)+SUMIF('Deferred Revenue'!$E$6:$E$579,$A124,'Deferred Revenue'!$P$6:$P$579)</f>
        <v/>
      </c>
      <c r="D124" s="55">
        <f>SUMIFS(tbl_WIP[Amount],tbl_WIP[Job Number],$A124,tbl_WIP[Month],$C$4)+SUMIF('Deferred Revenue'!$E$6:$E$579,$A124,'Deferred Revenue'!$Q$6:$Q$579)</f>
        <v/>
      </c>
      <c r="E124" s="55">
        <f>C124+D124</f>
        <v/>
      </c>
      <c r="F124" s="56">
        <f>IF(ROUND(C124,2)+ROUND(D124,2)=0,"","yes")</f>
        <v/>
      </c>
      <c r="G124" s="57" t="n"/>
      <c r="H124" s="55">
        <f>IF($G124="","",$E124-$G124)</f>
        <v/>
      </c>
    </row>
    <row r="125">
      <c r="A125" s="54" t="inlineStr">
        <is>
          <t>26032302V</t>
        </is>
      </c>
      <c r="B125" s="54" t="inlineStr">
        <is>
          <t>RSNSW - OGM - 2.9.2026</t>
        </is>
      </c>
      <c r="C125" s="55">
        <f>SUMIFS(tbl_WIP[Amount],tbl_WIP[Job Number],$A125,tbl_WIP[Month],"&lt;&gt;",tbl_WIP[Month],"&lt;"&amp;$C$4)+SUMIF('Deferred Revenue'!$E$6:$E$579,$A125,'Deferred Revenue'!$P$6:$P$579)</f>
        <v/>
      </c>
      <c r="D125" s="55">
        <f>SUMIFS(tbl_WIP[Amount],tbl_WIP[Job Number],$A125,tbl_WIP[Month],$C$4)+SUMIF('Deferred Revenue'!$E$6:$E$579,$A125,'Deferred Revenue'!$Q$6:$Q$579)</f>
        <v/>
      </c>
      <c r="E125" s="55">
        <f>C125+D125</f>
        <v/>
      </c>
      <c r="F125" s="56">
        <f>IF(ROUND(C125,2)+ROUND(D125,2)=0,"","yes")</f>
        <v/>
      </c>
      <c r="G125" s="57" t="n"/>
      <c r="H125" s="55">
        <f>IF($G125="","",$E125-$G125)</f>
        <v/>
      </c>
    </row>
    <row r="126">
      <c r="A126" s="54" t="inlineStr">
        <is>
          <t>26032501</t>
        </is>
      </c>
      <c r="B126" s="54" t="inlineStr">
        <is>
          <t>ChorusCall - Regal Partners AGM - 28.5.26</t>
        </is>
      </c>
      <c r="C126" s="55">
        <f>SUMIFS(tbl_WIP[Amount],tbl_WIP[Job Number],$A126,tbl_WIP[Month],"&lt;&gt;",tbl_WIP[Month],"&lt;"&amp;$C$4)+SUMIF('Deferred Revenue'!$E$6:$E$579,$A126,'Deferred Revenue'!$P$6:$P$579)</f>
        <v/>
      </c>
      <c r="D126" s="55">
        <f>SUMIFS(tbl_WIP[Amount],tbl_WIP[Job Number],$A126,tbl_WIP[Month],$C$4)+SUMIF('Deferred Revenue'!$E$6:$E$579,$A126,'Deferred Revenue'!$Q$6:$Q$579)</f>
        <v/>
      </c>
      <c r="E126" s="55">
        <f>C126+D126</f>
        <v/>
      </c>
      <c r="F126" s="56">
        <f>IF(ROUND(C126,2)+ROUND(D126,2)=0,"","yes")</f>
        <v/>
      </c>
      <c r="G126" s="57" t="n"/>
      <c r="H126" s="55">
        <f>IF($G126="","",$E126-$G126)</f>
        <v/>
      </c>
    </row>
    <row r="127">
      <c r="A127" s="54" t="inlineStr">
        <is>
          <t>26032502</t>
        </is>
      </c>
      <c r="B127" s="54" t="inlineStr">
        <is>
          <t>3YS Owls - Governance Top 100 2026 - 30.10.26</t>
        </is>
      </c>
      <c r="C127" s="55">
        <f>SUMIFS(tbl_WIP[Amount],tbl_WIP[Job Number],$A127,tbl_WIP[Month],"&lt;&gt;",tbl_WIP[Month],"&lt;"&amp;$C$4)+SUMIF('Deferred Revenue'!$E$6:$E$579,$A127,'Deferred Revenue'!$P$6:$P$579)</f>
        <v/>
      </c>
      <c r="D127" s="55">
        <f>SUMIFS(tbl_WIP[Amount],tbl_WIP[Job Number],$A127,tbl_WIP[Month],$C$4)+SUMIF('Deferred Revenue'!$E$6:$E$579,$A127,'Deferred Revenue'!$Q$6:$Q$579)</f>
        <v/>
      </c>
      <c r="E127" s="55">
        <f>C127+D127</f>
        <v/>
      </c>
      <c r="F127" s="56">
        <f>IF(ROUND(C127,2)+ROUND(D127,2)=0,"","yes")</f>
        <v/>
      </c>
      <c r="G127" s="57" t="n"/>
      <c r="H127" s="55">
        <f>IF($G127="","",$E127-$G127)</f>
        <v/>
      </c>
    </row>
    <row r="128">
      <c r="A128" s="54" t="inlineStr">
        <is>
          <t>26032502V</t>
        </is>
      </c>
      <c r="B128" s="54" t="inlineStr">
        <is>
          <t>3YS Owls - Governance Top 100 2026 - 30.10.26</t>
        </is>
      </c>
      <c r="C128" s="55">
        <f>SUMIFS(tbl_WIP[Amount],tbl_WIP[Job Number],$A128,tbl_WIP[Month],"&lt;&gt;",tbl_WIP[Month],"&lt;"&amp;$C$4)+SUMIF('Deferred Revenue'!$E$6:$E$579,$A128,'Deferred Revenue'!$P$6:$P$579)</f>
        <v/>
      </c>
      <c r="D128" s="55">
        <f>SUMIFS(tbl_WIP[Amount],tbl_WIP[Job Number],$A128,tbl_WIP[Month],$C$4)+SUMIF('Deferred Revenue'!$E$6:$E$579,$A128,'Deferred Revenue'!$Q$6:$Q$579)</f>
        <v/>
      </c>
      <c r="E128" s="55">
        <f>C128+D128</f>
        <v/>
      </c>
      <c r="F128" s="56">
        <f>IF(ROUND(C128,2)+ROUND(D128,2)=0,"","yes")</f>
        <v/>
      </c>
      <c r="G128" s="57" t="n"/>
      <c r="H128" s="55">
        <f>IF($G128="","",$E128-$G128)</f>
        <v/>
      </c>
    </row>
    <row r="129">
      <c r="A129" s="54" t="inlineStr">
        <is>
          <t>26032701</t>
        </is>
      </c>
      <c r="B129" s="54" t="inlineStr">
        <is>
          <t>MUFG - A1N AGM - 7.5.26</t>
        </is>
      </c>
      <c r="C129" s="55">
        <f>SUMIFS(tbl_WIP[Amount],tbl_WIP[Job Number],$A129,tbl_WIP[Month],"&lt;&gt;",tbl_WIP[Month],"&lt;"&amp;$C$4)+SUMIF('Deferred Revenue'!$E$6:$E$579,$A129,'Deferred Revenue'!$P$6:$P$579)</f>
        <v/>
      </c>
      <c r="D129" s="55">
        <f>SUMIFS(tbl_WIP[Amount],tbl_WIP[Job Number],$A129,tbl_WIP[Month],$C$4)+SUMIF('Deferred Revenue'!$E$6:$E$579,$A129,'Deferred Revenue'!$Q$6:$Q$579)</f>
        <v/>
      </c>
      <c r="E129" s="55">
        <f>C129+D129</f>
        <v/>
      </c>
      <c r="F129" s="56">
        <f>IF(ROUND(C129,2)+ROUND(D129,2)=0,"","yes")</f>
        <v/>
      </c>
      <c r="G129" s="57" t="n"/>
      <c r="H129" s="55">
        <f>IF($G129="","",$E129-$G129)</f>
        <v/>
      </c>
    </row>
    <row r="130">
      <c r="A130" s="54" t="inlineStr">
        <is>
          <t>26032701V</t>
        </is>
      </c>
      <c r="B130" s="54" t="inlineStr">
        <is>
          <t>MUFG - A1N AGM - 7.5.26</t>
        </is>
      </c>
      <c r="C130" s="55">
        <f>SUMIFS(tbl_WIP[Amount],tbl_WIP[Job Number],$A130,tbl_WIP[Month],"&lt;&gt;",tbl_WIP[Month],"&lt;"&amp;$C$4)+SUMIF('Deferred Revenue'!$E$6:$E$579,$A130,'Deferred Revenue'!$P$6:$P$579)</f>
        <v/>
      </c>
      <c r="D130" s="55">
        <f>SUMIFS(tbl_WIP[Amount],tbl_WIP[Job Number],$A130,tbl_WIP[Month],$C$4)+SUMIF('Deferred Revenue'!$E$6:$E$579,$A130,'Deferred Revenue'!$Q$6:$Q$579)</f>
        <v/>
      </c>
      <c r="E130" s="55">
        <f>C130+D130</f>
        <v/>
      </c>
      <c r="F130" s="56">
        <f>IF(ROUND(C130,2)+ROUND(D130,2)=0,"","yes")</f>
        <v/>
      </c>
      <c r="G130" s="57" t="n"/>
      <c r="H130" s="55">
        <f>IF($G130="","",$E130-$G130)</f>
        <v/>
      </c>
    </row>
    <row r="131">
      <c r="A131" s="54" t="inlineStr">
        <is>
          <t>26032702</t>
        </is>
      </c>
      <c r="B131" s="54" t="inlineStr">
        <is>
          <t>Ventia Transport Australia and Ventia Networking 6.5.26</t>
        </is>
      </c>
      <c r="C131" s="55">
        <f>SUMIFS(tbl_WIP[Amount],tbl_WIP[Job Number],$A131,tbl_WIP[Month],"&lt;&gt;",tbl_WIP[Month],"&lt;"&amp;$C$4)+SUMIF('Deferred Revenue'!$E$6:$E$579,$A131,'Deferred Revenue'!$P$6:$P$579)</f>
        <v/>
      </c>
      <c r="D131" s="55">
        <f>SUMIFS(tbl_WIP[Amount],tbl_WIP[Job Number],$A131,tbl_WIP[Month],$C$4)+SUMIF('Deferred Revenue'!$E$6:$E$579,$A131,'Deferred Revenue'!$Q$6:$Q$579)</f>
        <v/>
      </c>
      <c r="E131" s="55">
        <f>C131+D131</f>
        <v/>
      </c>
      <c r="F131" s="56">
        <f>IF(ROUND(C131,2)+ROUND(D131,2)=0,"","yes")</f>
        <v/>
      </c>
      <c r="G131" s="57" t="n"/>
      <c r="H131" s="55">
        <f>IF($G131="","",$E131-$G131)</f>
        <v/>
      </c>
    </row>
    <row r="132">
      <c r="A132" s="54" t="inlineStr">
        <is>
          <t>26032704</t>
        </is>
      </c>
      <c r="B132" s="54" t="inlineStr">
        <is>
          <t>CBA LES - April 2026</t>
        </is>
      </c>
      <c r="C132" s="55">
        <f>SUMIFS(tbl_WIP[Amount],tbl_WIP[Job Number],$A132,tbl_WIP[Month],"&lt;&gt;",tbl_WIP[Month],"&lt;"&amp;$C$4)+SUMIF('Deferred Revenue'!$E$6:$E$579,$A132,'Deferred Revenue'!$P$6:$P$579)</f>
        <v/>
      </c>
      <c r="D132" s="55">
        <f>SUMIFS(tbl_WIP[Amount],tbl_WIP[Job Number],$A132,tbl_WIP[Month],$C$4)+SUMIF('Deferred Revenue'!$E$6:$E$579,$A132,'Deferred Revenue'!$Q$6:$Q$579)</f>
        <v/>
      </c>
      <c r="E132" s="55">
        <f>C132+D132</f>
        <v/>
      </c>
      <c r="F132" s="56">
        <f>IF(ROUND(C132,2)+ROUND(D132,2)=0,"","yes")</f>
        <v/>
      </c>
      <c r="G132" s="57" t="n"/>
      <c r="H132" s="55">
        <f>IF($G132="","",$E132-$G132)</f>
        <v/>
      </c>
    </row>
    <row r="133">
      <c r="A133" s="54" t="inlineStr">
        <is>
          <t>26033003</t>
        </is>
      </c>
      <c r="B133" s="54" t="inlineStr">
        <is>
          <t>DTTL 8PSQ Dream Big Microphones</t>
        </is>
      </c>
      <c r="C133" s="55">
        <f>SUMIFS(tbl_WIP[Amount],tbl_WIP[Job Number],$A133,tbl_WIP[Month],"&lt;&gt;",tbl_WIP[Month],"&lt;"&amp;$C$4)+SUMIF('Deferred Revenue'!$E$6:$E$579,$A133,'Deferred Revenue'!$P$6:$P$579)</f>
        <v/>
      </c>
      <c r="D133" s="55">
        <f>SUMIFS(tbl_WIP[Amount],tbl_WIP[Job Number],$A133,tbl_WIP[Month],$C$4)+SUMIF('Deferred Revenue'!$E$6:$E$579,$A133,'Deferred Revenue'!$Q$6:$Q$579)</f>
        <v/>
      </c>
      <c r="E133" s="55">
        <f>C133+D133</f>
        <v/>
      </c>
      <c r="F133" s="56">
        <f>IF(ROUND(C133,2)+ROUND(D133,2)=0,"","yes")</f>
        <v/>
      </c>
      <c r="G133" s="57" t="n"/>
      <c r="H133" s="55">
        <f>IF($G133="","",$E133-$G133)</f>
        <v/>
      </c>
    </row>
    <row r="134">
      <c r="A134" s="54" t="inlineStr">
        <is>
          <t>26033004</t>
        </is>
      </c>
      <c r="B134" s="54" t="inlineStr">
        <is>
          <t>DTTL Melbourne Bluetooth Audio</t>
        </is>
      </c>
      <c r="C134" s="55">
        <f>SUMIFS(tbl_WIP[Amount],tbl_WIP[Job Number],$A134,tbl_WIP[Month],"&lt;&gt;",tbl_WIP[Month],"&lt;"&amp;$C$4)+SUMIF('Deferred Revenue'!$E$6:$E$579,$A134,'Deferred Revenue'!$P$6:$P$579)</f>
        <v/>
      </c>
      <c r="D134" s="55">
        <f>SUMIFS(tbl_WIP[Amount],tbl_WIP[Job Number],$A134,tbl_WIP[Month],$C$4)+SUMIF('Deferred Revenue'!$E$6:$E$579,$A134,'Deferred Revenue'!$Q$6:$Q$579)</f>
        <v/>
      </c>
      <c r="E134" s="55">
        <f>C134+D134</f>
        <v/>
      </c>
      <c r="F134" s="56">
        <f>IF(ROUND(C134,2)+ROUND(D134,2)=0,"","yes")</f>
        <v/>
      </c>
      <c r="G134" s="57" t="n"/>
      <c r="H134" s="55">
        <f>IF($G134="","",$E134-$G134)</f>
        <v/>
      </c>
    </row>
    <row r="135">
      <c r="A135" s="54" t="inlineStr">
        <is>
          <t>26033005</t>
        </is>
      </c>
      <c r="B135" s="54" t="inlineStr">
        <is>
          <t>DTTL QQT &amp; 8PSQ Crestron Connect Adaptor</t>
        </is>
      </c>
      <c r="C135" s="55">
        <f>SUMIFS(tbl_WIP[Amount],tbl_WIP[Job Number],$A135,tbl_WIP[Month],"&lt;&gt;",tbl_WIP[Month],"&lt;"&amp;$C$4)+SUMIF('Deferred Revenue'!$E$6:$E$579,$A135,'Deferred Revenue'!$P$6:$P$579)</f>
        <v/>
      </c>
      <c r="D135" s="55">
        <f>SUMIFS(tbl_WIP[Amount],tbl_WIP[Job Number],$A135,tbl_WIP[Month],$C$4)+SUMIF('Deferred Revenue'!$E$6:$E$579,$A135,'Deferred Revenue'!$Q$6:$Q$579)</f>
        <v/>
      </c>
      <c r="E135" s="55">
        <f>C135+D135</f>
        <v/>
      </c>
      <c r="F135" s="56">
        <f>IF(ROUND(C135,2)+ROUND(D135,2)=0,"","yes")</f>
        <v/>
      </c>
      <c r="G135" s="57" t="n"/>
      <c r="H135" s="55">
        <f>IF($G135="","",$E135-$G135)</f>
        <v/>
      </c>
    </row>
    <row r="136">
      <c r="A136" s="54" t="inlineStr">
        <is>
          <t>26033006</t>
        </is>
      </c>
      <c r="B136" s="54" t="inlineStr">
        <is>
          <t>DTTL 8PSQ Bluetooth Audio</t>
        </is>
      </c>
      <c r="C136" s="55">
        <f>SUMIFS(tbl_WIP[Amount],tbl_WIP[Job Number],$A136,tbl_WIP[Month],"&lt;&gt;",tbl_WIP[Month],"&lt;"&amp;$C$4)+SUMIF('Deferred Revenue'!$E$6:$E$579,$A136,'Deferred Revenue'!$P$6:$P$579)</f>
        <v/>
      </c>
      <c r="D136" s="55">
        <f>SUMIFS(tbl_WIP[Amount],tbl_WIP[Job Number],$A136,tbl_WIP[Month],$C$4)+SUMIF('Deferred Revenue'!$E$6:$E$579,$A136,'Deferred Revenue'!$Q$6:$Q$579)</f>
        <v/>
      </c>
      <c r="E136" s="55">
        <f>C136+D136</f>
        <v/>
      </c>
      <c r="F136" s="56">
        <f>IF(ROUND(C136,2)+ROUND(D136,2)=0,"","yes")</f>
        <v/>
      </c>
      <c r="G136" s="57" t="n"/>
      <c r="H136" s="55">
        <f>IF($G136="","",$E136-$G136)</f>
        <v/>
      </c>
    </row>
    <row r="137">
      <c r="A137" s="54" t="inlineStr">
        <is>
          <t>26033007</t>
        </is>
      </c>
      <c r="B137" s="54" t="inlineStr">
        <is>
          <t>DTTL QQT Lv45 Seminar Wheels repair</t>
        </is>
      </c>
      <c r="C137" s="55">
        <f>SUMIFS(tbl_WIP[Amount],tbl_WIP[Job Number],$A137,tbl_WIP[Month],"&lt;&gt;",tbl_WIP[Month],"&lt;"&amp;$C$4)+SUMIF('Deferred Revenue'!$E$6:$E$579,$A137,'Deferred Revenue'!$P$6:$P$579)</f>
        <v/>
      </c>
      <c r="D137" s="55">
        <f>SUMIFS(tbl_WIP[Amount],tbl_WIP[Job Number],$A137,tbl_WIP[Month],$C$4)+SUMIF('Deferred Revenue'!$E$6:$E$579,$A137,'Deferred Revenue'!$Q$6:$Q$579)</f>
        <v/>
      </c>
      <c r="E137" s="55">
        <f>C137+D137</f>
        <v/>
      </c>
      <c r="F137" s="56">
        <f>IF(ROUND(C137,2)+ROUND(D137,2)=0,"","yes")</f>
        <v/>
      </c>
      <c r="G137" s="57" t="n"/>
      <c r="H137" s="55">
        <f>IF($G137="","",$E137-$G137)</f>
        <v/>
      </c>
    </row>
    <row r="138">
      <c r="A138" s="54" t="inlineStr">
        <is>
          <t>26033008</t>
        </is>
      </c>
      <c r="B138" s="54" t="inlineStr">
        <is>
          <t>DTTL MEL Repair of Lv31 LED panels</t>
        </is>
      </c>
      <c r="C138" s="55">
        <f>SUMIFS(tbl_WIP[Amount],tbl_WIP[Job Number],$A138,tbl_WIP[Month],"&lt;&gt;",tbl_WIP[Month],"&lt;"&amp;$C$4)+SUMIF('Deferred Revenue'!$E$6:$E$579,$A138,'Deferred Revenue'!$P$6:$P$579)</f>
        <v/>
      </c>
      <c r="D138" s="55">
        <f>SUMIFS(tbl_WIP[Amount],tbl_WIP[Job Number],$A138,tbl_WIP[Month],$C$4)+SUMIF('Deferred Revenue'!$E$6:$E$579,$A138,'Deferred Revenue'!$Q$6:$Q$579)</f>
        <v/>
      </c>
      <c r="E138" s="55">
        <f>C138+D138</f>
        <v/>
      </c>
      <c r="F138" s="56">
        <f>IF(ROUND(C138,2)+ROUND(D138,2)=0,"","yes")</f>
        <v/>
      </c>
      <c r="G138" s="57" t="n"/>
      <c r="H138" s="55">
        <f>IF($G138="","",$E138-$G138)</f>
        <v/>
      </c>
    </row>
    <row r="139">
      <c r="A139" s="54" t="inlineStr">
        <is>
          <t>26041603</t>
        </is>
      </c>
      <c r="B139" s="54" t="inlineStr">
        <is>
          <t>Optiver - Town Hall - 23.7.26</t>
        </is>
      </c>
      <c r="C139" s="55">
        <f>SUMIFS(tbl_WIP[Amount],tbl_WIP[Job Number],$A139,tbl_WIP[Month],"&lt;&gt;",tbl_WIP[Month],"&lt;"&amp;$C$4)+SUMIF('Deferred Revenue'!$E$6:$E$579,$A139,'Deferred Revenue'!$P$6:$P$579)</f>
        <v/>
      </c>
      <c r="D139" s="55">
        <f>SUMIFS(tbl_WIP[Amount],tbl_WIP[Job Number],$A139,tbl_WIP[Month],$C$4)+SUMIF('Deferred Revenue'!$E$6:$E$579,$A139,'Deferred Revenue'!$Q$6:$Q$579)</f>
        <v/>
      </c>
      <c r="E139" s="55">
        <f>C139+D139</f>
        <v/>
      </c>
      <c r="F139" s="56">
        <f>IF(ROUND(C139,2)+ROUND(D139,2)=0,"","yes")</f>
        <v/>
      </c>
      <c r="G139" s="57" t="n"/>
      <c r="H139" s="55">
        <f>IF($G139="","",$E139-$G139)</f>
        <v/>
      </c>
    </row>
    <row r="140">
      <c r="A140" s="54" t="inlineStr">
        <is>
          <t>26041603V</t>
        </is>
      </c>
      <c r="B140" s="54" t="inlineStr">
        <is>
          <t>Optiver - Town Hall - 23.7.26</t>
        </is>
      </c>
      <c r="C140" s="55">
        <f>SUMIFS(tbl_WIP[Amount],tbl_WIP[Job Number],$A140,tbl_WIP[Month],"&lt;&gt;",tbl_WIP[Month],"&lt;"&amp;$C$4)+SUMIF('Deferred Revenue'!$E$6:$E$579,$A140,'Deferred Revenue'!$P$6:$P$579)</f>
        <v/>
      </c>
      <c r="D140" s="55">
        <f>SUMIFS(tbl_WIP[Amount],tbl_WIP[Job Number],$A140,tbl_WIP[Month],$C$4)+SUMIF('Deferred Revenue'!$E$6:$E$579,$A140,'Deferred Revenue'!$Q$6:$Q$579)</f>
        <v/>
      </c>
      <c r="E140" s="55">
        <f>C140+D140</f>
        <v/>
      </c>
      <c r="F140" s="56">
        <f>IF(ROUND(C140,2)+ROUND(D140,2)=0,"","yes")</f>
        <v/>
      </c>
      <c r="G140" s="57" t="n"/>
      <c r="H140" s="55">
        <f>IF($G140="","",$E140-$G140)</f>
        <v/>
      </c>
    </row>
    <row r="141">
      <c r="A141" s="54" t="inlineStr">
        <is>
          <t>26041701</t>
        </is>
      </c>
      <c r="B141" s="54" t="inlineStr">
        <is>
          <t>N2 Dance End of Year Concert Videos 2026</t>
        </is>
      </c>
      <c r="C141" s="55">
        <f>SUMIFS(tbl_WIP[Amount],tbl_WIP[Job Number],$A141,tbl_WIP[Month],"&lt;&gt;",tbl_WIP[Month],"&lt;"&amp;$C$4)+SUMIF('Deferred Revenue'!$E$6:$E$579,$A141,'Deferred Revenue'!$P$6:$P$579)</f>
        <v/>
      </c>
      <c r="D141" s="55">
        <f>SUMIFS(tbl_WIP[Amount],tbl_WIP[Job Number],$A141,tbl_WIP[Month],$C$4)+SUMIF('Deferred Revenue'!$E$6:$E$579,$A141,'Deferred Revenue'!$Q$6:$Q$579)</f>
        <v/>
      </c>
      <c r="E141" s="55">
        <f>C141+D141</f>
        <v/>
      </c>
      <c r="F141" s="56">
        <f>IF(ROUND(C141,2)+ROUND(D141,2)=0,"","yes")</f>
        <v/>
      </c>
      <c r="G141" s="57" t="n"/>
      <c r="H141" s="55">
        <f>IF($G141="","",$E141-$G141)</f>
        <v/>
      </c>
    </row>
    <row r="142">
      <c r="A142" s="54" t="inlineStr">
        <is>
          <t>26042001</t>
        </is>
      </c>
      <c r="B142" s="54" t="inlineStr">
        <is>
          <t>ASX - AGM - 22.10.26</t>
        </is>
      </c>
      <c r="C142" s="55">
        <f>SUMIFS(tbl_WIP[Amount],tbl_WIP[Job Number],$A142,tbl_WIP[Month],"&lt;&gt;",tbl_WIP[Month],"&lt;"&amp;$C$4)+SUMIF('Deferred Revenue'!$E$6:$E$579,$A142,'Deferred Revenue'!$P$6:$P$579)</f>
        <v/>
      </c>
      <c r="D142" s="55">
        <f>SUMIFS(tbl_WIP[Amount],tbl_WIP[Job Number],$A142,tbl_WIP[Month],$C$4)+SUMIF('Deferred Revenue'!$E$6:$E$579,$A142,'Deferred Revenue'!$Q$6:$Q$579)</f>
        <v/>
      </c>
      <c r="E142" s="55">
        <f>C142+D142</f>
        <v/>
      </c>
      <c r="F142" s="56">
        <f>IF(ROUND(C142,2)+ROUND(D142,2)=0,"","yes")</f>
        <v/>
      </c>
      <c r="G142" s="57" t="n"/>
      <c r="H142" s="55">
        <f>IF($G142="","",$E142-$G142)</f>
        <v/>
      </c>
    </row>
    <row r="143">
      <c r="A143" s="54" t="inlineStr">
        <is>
          <t>26042001V</t>
        </is>
      </c>
      <c r="B143" s="54" t="inlineStr">
        <is>
          <t>ASX - AGM - 22.10.26</t>
        </is>
      </c>
      <c r="C143" s="55">
        <f>SUMIFS(tbl_WIP[Amount],tbl_WIP[Job Number],$A143,tbl_WIP[Month],"&lt;&gt;",tbl_WIP[Month],"&lt;"&amp;$C$4)+SUMIF('Deferred Revenue'!$E$6:$E$579,$A143,'Deferred Revenue'!$P$6:$P$579)</f>
        <v/>
      </c>
      <c r="D143" s="55">
        <f>SUMIFS(tbl_WIP[Amount],tbl_WIP[Job Number],$A143,tbl_WIP[Month],$C$4)+SUMIF('Deferred Revenue'!$E$6:$E$579,$A143,'Deferred Revenue'!$Q$6:$Q$579)</f>
        <v/>
      </c>
      <c r="E143" s="55">
        <f>C143+D143</f>
        <v/>
      </c>
      <c r="F143" s="56">
        <f>IF(ROUND(C143,2)+ROUND(D143,2)=0,"","yes")</f>
        <v/>
      </c>
      <c r="G143" s="57" t="n"/>
      <c r="H143" s="55">
        <f>IF($G143="","",$E143-$G143)</f>
        <v/>
      </c>
    </row>
    <row r="144">
      <c r="A144" s="54" t="inlineStr">
        <is>
          <t>2604201</t>
        </is>
      </c>
      <c r="B144" s="54" t="inlineStr">
        <is>
          <t>Bankwest - Stage Hire - 27.5.2026</t>
        </is>
      </c>
      <c r="C144" s="55">
        <f>SUMIFS(tbl_WIP[Amount],tbl_WIP[Job Number],$A144,tbl_WIP[Month],"&lt;&gt;",tbl_WIP[Month],"&lt;"&amp;$C$4)+SUMIF('Deferred Revenue'!$E$6:$E$579,$A144,'Deferred Revenue'!$P$6:$P$579)</f>
        <v/>
      </c>
      <c r="D144" s="55">
        <f>SUMIFS(tbl_WIP[Amount],tbl_WIP[Job Number],$A144,tbl_WIP[Month],$C$4)+SUMIF('Deferred Revenue'!$E$6:$E$579,$A144,'Deferred Revenue'!$Q$6:$Q$579)</f>
        <v/>
      </c>
      <c r="E144" s="55">
        <f>C144+D144</f>
        <v/>
      </c>
      <c r="F144" s="56">
        <f>IF(ROUND(C144,2)+ROUND(D144,2)=0,"","yes")</f>
        <v/>
      </c>
      <c r="G144" s="57" t="n"/>
      <c r="H144" s="55">
        <f>IF($G144="","",$E144-$G144)</f>
        <v/>
      </c>
    </row>
    <row r="145">
      <c r="A145" s="54" t="inlineStr">
        <is>
          <t>2604202</t>
        </is>
      </c>
      <c r="B145" s="54" t="inlineStr">
        <is>
          <t>Ventia - Ventia Awards - 30.7.26</t>
        </is>
      </c>
      <c r="C145" s="55">
        <f>SUMIFS(tbl_WIP[Amount],tbl_WIP[Job Number],$A145,tbl_WIP[Month],"&lt;&gt;",tbl_WIP[Month],"&lt;"&amp;$C$4)+SUMIF('Deferred Revenue'!$E$6:$E$579,$A145,'Deferred Revenue'!$P$6:$P$579)</f>
        <v/>
      </c>
      <c r="D145" s="55">
        <f>SUMIFS(tbl_WIP[Amount],tbl_WIP[Job Number],$A145,tbl_WIP[Month],$C$4)+SUMIF('Deferred Revenue'!$E$6:$E$579,$A145,'Deferred Revenue'!$Q$6:$Q$579)</f>
        <v/>
      </c>
      <c r="E145" s="55">
        <f>C145+D145</f>
        <v/>
      </c>
      <c r="F145" s="56">
        <f>IF(ROUND(C145,2)+ROUND(D145,2)=0,"","yes")</f>
        <v/>
      </c>
      <c r="G145" s="57" t="n"/>
      <c r="H145" s="55">
        <f>IF($G145="","",$E145-$G145)</f>
        <v/>
      </c>
    </row>
    <row r="146">
      <c r="A146" s="54" t="inlineStr">
        <is>
          <t>2604202V</t>
        </is>
      </c>
      <c r="B146" s="54" t="inlineStr">
        <is>
          <t>Ventia - Ventia Awards - 30.7.26</t>
        </is>
      </c>
      <c r="C146" s="55">
        <f>SUMIFS(tbl_WIP[Amount],tbl_WIP[Job Number],$A146,tbl_WIP[Month],"&lt;&gt;",tbl_WIP[Month],"&lt;"&amp;$C$4)+SUMIF('Deferred Revenue'!$E$6:$E$579,$A146,'Deferred Revenue'!$P$6:$P$579)</f>
        <v/>
      </c>
      <c r="D146" s="55">
        <f>SUMIFS(tbl_WIP[Amount],tbl_WIP[Job Number],$A146,tbl_WIP[Month],$C$4)+SUMIF('Deferred Revenue'!$E$6:$E$579,$A146,'Deferred Revenue'!$Q$6:$Q$579)</f>
        <v/>
      </c>
      <c r="E146" s="55">
        <f>C146+D146</f>
        <v/>
      </c>
      <c r="F146" s="56">
        <f>IF(ROUND(C146,2)+ROUND(D146,2)=0,"","yes")</f>
        <v/>
      </c>
      <c r="G146" s="57" t="n"/>
      <c r="H146" s="55">
        <f>IF($G146="","",$E146-$G146)</f>
        <v/>
      </c>
    </row>
    <row r="147">
      <c r="A147" s="54" t="inlineStr">
        <is>
          <t>2604203V</t>
        </is>
      </c>
      <c r="B147" s="54" t="inlineStr">
        <is>
          <t>Ventia - Investor Day - 4.5.2026</t>
        </is>
      </c>
      <c r="C147" s="55">
        <f>SUMIFS(tbl_WIP[Amount],tbl_WIP[Job Number],$A147,tbl_WIP[Month],"&lt;&gt;",tbl_WIP[Month],"&lt;"&amp;$C$4)+SUMIF('Deferred Revenue'!$E$6:$E$579,$A147,'Deferred Revenue'!$P$6:$P$579)</f>
        <v/>
      </c>
      <c r="D147" s="55">
        <f>SUMIFS(tbl_WIP[Amount],tbl_WIP[Job Number],$A147,tbl_WIP[Month],$C$4)+SUMIF('Deferred Revenue'!$E$6:$E$579,$A147,'Deferred Revenue'!$Q$6:$Q$579)</f>
        <v/>
      </c>
      <c r="E147" s="55">
        <f>C147+D147</f>
        <v/>
      </c>
      <c r="F147" s="56">
        <f>IF(ROUND(C147,2)+ROUND(D147,2)=0,"","yes")</f>
        <v/>
      </c>
      <c r="G147" s="57" t="n"/>
      <c r="H147" s="55">
        <f>IF($G147="","",$E147-$G147)</f>
        <v/>
      </c>
    </row>
    <row r="148">
      <c r="A148" s="54" t="inlineStr">
        <is>
          <t>2604204</t>
        </is>
      </c>
      <c r="B148" s="54" t="inlineStr">
        <is>
          <t>Ventia - AGM - 21.5.26</t>
        </is>
      </c>
      <c r="C148" s="55">
        <f>SUMIFS(tbl_WIP[Amount],tbl_WIP[Job Number],$A148,tbl_WIP[Month],"&lt;&gt;",tbl_WIP[Month],"&lt;"&amp;$C$4)+SUMIF('Deferred Revenue'!$E$6:$E$579,$A148,'Deferred Revenue'!$P$6:$P$579)</f>
        <v/>
      </c>
      <c r="D148" s="55">
        <f>SUMIFS(tbl_WIP[Amount],tbl_WIP[Job Number],$A148,tbl_WIP[Month],$C$4)+SUMIF('Deferred Revenue'!$E$6:$E$579,$A148,'Deferred Revenue'!$Q$6:$Q$579)</f>
        <v/>
      </c>
      <c r="E148" s="55">
        <f>C148+D148</f>
        <v/>
      </c>
      <c r="F148" s="56">
        <f>IF(ROUND(C148,2)+ROUND(D148,2)=0,"","yes")</f>
        <v/>
      </c>
      <c r="G148" s="57" t="n"/>
      <c r="H148" s="55">
        <f>IF($G148="","",$E148-$G148)</f>
        <v/>
      </c>
    </row>
    <row r="149">
      <c r="A149" s="54" t="inlineStr">
        <is>
          <t>2604204V</t>
        </is>
      </c>
      <c r="B149" s="54" t="inlineStr">
        <is>
          <t>Ventia - AGM - 21.5.26</t>
        </is>
      </c>
      <c r="C149" s="55">
        <f>SUMIFS(tbl_WIP[Amount],tbl_WIP[Job Number],$A149,tbl_WIP[Month],"&lt;&gt;",tbl_WIP[Month],"&lt;"&amp;$C$4)+SUMIF('Deferred Revenue'!$E$6:$E$579,$A149,'Deferred Revenue'!$P$6:$P$579)</f>
        <v/>
      </c>
      <c r="D149" s="55">
        <f>SUMIFS(tbl_WIP[Amount],tbl_WIP[Job Number],$A149,tbl_WIP[Month],$C$4)+SUMIF('Deferred Revenue'!$E$6:$E$579,$A149,'Deferred Revenue'!$Q$6:$Q$579)</f>
        <v/>
      </c>
      <c r="E149" s="55">
        <f>C149+D149</f>
        <v/>
      </c>
      <c r="F149" s="56">
        <f>IF(ROUND(C149,2)+ROUND(D149,2)=0,"","yes")</f>
        <v/>
      </c>
      <c r="G149" s="57" t="n"/>
      <c r="H149" s="55">
        <f>IF($G149="","",$E149-$G149)</f>
        <v/>
      </c>
    </row>
    <row r="150">
      <c r="A150" s="54" t="inlineStr">
        <is>
          <t>26042802</t>
        </is>
      </c>
      <c r="B150" s="54" t="inlineStr">
        <is>
          <t>DTTL DAR Meeting Room Extension Cable Install</t>
        </is>
      </c>
      <c r="C150" s="55">
        <f>SUMIFS(tbl_WIP[Amount],tbl_WIP[Job Number],$A150,tbl_WIP[Month],"&lt;&gt;",tbl_WIP[Month],"&lt;"&amp;$C$4)+SUMIF('Deferred Revenue'!$E$6:$E$579,$A150,'Deferred Revenue'!$P$6:$P$579)</f>
        <v/>
      </c>
      <c r="D150" s="55">
        <f>SUMIFS(tbl_WIP[Amount],tbl_WIP[Job Number],$A150,tbl_WIP[Month],$C$4)+SUMIF('Deferred Revenue'!$E$6:$E$579,$A150,'Deferred Revenue'!$Q$6:$Q$579)</f>
        <v/>
      </c>
      <c r="E150" s="55">
        <f>C150+D150</f>
        <v/>
      </c>
      <c r="F150" s="56">
        <f>IF(ROUND(C150,2)+ROUND(D150,2)=0,"","yes")</f>
        <v/>
      </c>
      <c r="G150" s="57" t="n"/>
      <c r="H150" s="55">
        <f>IF($G150="","",$E150-$G150)</f>
        <v/>
      </c>
    </row>
    <row r="151">
      <c r="A151" s="54" t="inlineStr">
        <is>
          <t>26043001</t>
        </is>
      </c>
      <c r="B151" s="54" t="inlineStr">
        <is>
          <t>CBA FT Tech MEL - 12 months</t>
        </is>
      </c>
      <c r="C151" s="55">
        <f>SUMIFS(tbl_WIP[Amount],tbl_WIP[Job Number],$A151,tbl_WIP[Month],"&lt;&gt;",tbl_WIP[Month],"&lt;"&amp;$C$4)+SUMIF('Deferred Revenue'!$E$6:$E$579,$A151,'Deferred Revenue'!$P$6:$P$579)</f>
        <v/>
      </c>
      <c r="D151" s="55">
        <f>SUMIFS(tbl_WIP[Amount],tbl_WIP[Job Number],$A151,tbl_WIP[Month],$C$4)+SUMIF('Deferred Revenue'!$E$6:$E$579,$A151,'Deferred Revenue'!$Q$6:$Q$579)</f>
        <v/>
      </c>
      <c r="E151" s="55">
        <f>C151+D151</f>
        <v/>
      </c>
      <c r="F151" s="56">
        <f>IF(ROUND(C151,2)+ROUND(D151,2)=0,"","yes")</f>
        <v/>
      </c>
      <c r="G151" s="57" t="n"/>
      <c r="H151" s="55">
        <f>IF($G151="","",$E151-$G151)</f>
        <v/>
      </c>
    </row>
    <row r="152">
      <c r="A152" s="54" t="inlineStr">
        <is>
          <t>26043002</t>
        </is>
      </c>
      <c r="B152" s="54" t="inlineStr">
        <is>
          <t>CTS Town Hall</t>
        </is>
      </c>
      <c r="C152" s="55">
        <f>SUMIFS(tbl_WIP[Amount],tbl_WIP[Job Number],$A152,tbl_WIP[Month],"&lt;&gt;",tbl_WIP[Month],"&lt;"&amp;$C$4)+SUMIF('Deferred Revenue'!$E$6:$E$579,$A152,'Deferred Revenue'!$P$6:$P$579)</f>
        <v/>
      </c>
      <c r="D152" s="55">
        <f>SUMIFS(tbl_WIP[Amount],tbl_WIP[Job Number],$A152,tbl_WIP[Month],$C$4)+SUMIF('Deferred Revenue'!$E$6:$E$579,$A152,'Deferred Revenue'!$Q$6:$Q$579)</f>
        <v/>
      </c>
      <c r="E152" s="55">
        <f>C152+D152</f>
        <v/>
      </c>
      <c r="F152" s="56">
        <f>IF(ROUND(C152,2)+ROUND(D152,2)=0,"","yes")</f>
        <v/>
      </c>
      <c r="G152" s="57" t="n"/>
      <c r="H152" s="55">
        <f>IF($G152="","",$E152-$G152)</f>
        <v/>
      </c>
    </row>
    <row r="153">
      <c r="A153" s="54" t="inlineStr">
        <is>
          <t>26043003</t>
        </is>
      </c>
      <c r="B153" s="54" t="inlineStr">
        <is>
          <t>PwC Screen Replacements SYD+MEL</t>
        </is>
      </c>
      <c r="C153" s="55">
        <f>SUMIFS(tbl_WIP[Amount],tbl_WIP[Job Number],$A153,tbl_WIP[Month],"&lt;&gt;",tbl_WIP[Month],"&lt;"&amp;$C$4)+SUMIF('Deferred Revenue'!$E$6:$E$579,$A153,'Deferred Revenue'!$P$6:$P$579)</f>
        <v/>
      </c>
      <c r="D153" s="55">
        <f>SUMIFS(tbl_WIP[Amount],tbl_WIP[Job Number],$A153,tbl_WIP[Month],$C$4)+SUMIF('Deferred Revenue'!$E$6:$E$579,$A153,'Deferred Revenue'!$Q$6:$Q$579)</f>
        <v/>
      </c>
      <c r="E153" s="55">
        <f>C153+D153</f>
        <v/>
      </c>
      <c r="F153" s="56">
        <f>IF(ROUND(C153,2)+ROUND(D153,2)=0,"","yes")</f>
        <v/>
      </c>
      <c r="G153" s="57" t="n"/>
      <c r="H153" s="55">
        <f>IF($G153="","",$E153-$G153)</f>
        <v/>
      </c>
    </row>
    <row r="154">
      <c r="A154" s="54" t="inlineStr">
        <is>
          <t>2604704</t>
        </is>
      </c>
      <c r="B154" s="54" t="inlineStr">
        <is>
          <t>Aware Super Seminar Room Audio Upgrade</t>
        </is>
      </c>
      <c r="C154" s="55">
        <f>SUMIFS(tbl_WIP[Amount],tbl_WIP[Job Number],$A154,tbl_WIP[Month],"&lt;&gt;",tbl_WIP[Month],"&lt;"&amp;$C$4)+SUMIF('Deferred Revenue'!$E$6:$E$579,$A154,'Deferred Revenue'!$P$6:$P$579)</f>
        <v/>
      </c>
      <c r="D154" s="55">
        <f>SUMIFS(tbl_WIP[Amount],tbl_WIP[Job Number],$A154,tbl_WIP[Month],$C$4)+SUMIF('Deferred Revenue'!$E$6:$E$579,$A154,'Deferred Revenue'!$Q$6:$Q$579)</f>
        <v/>
      </c>
      <c r="E154" s="55">
        <f>C154+D154</f>
        <v/>
      </c>
      <c r="F154" s="56">
        <f>IF(ROUND(C154,2)+ROUND(D154,2)=0,"","yes")</f>
        <v/>
      </c>
      <c r="G154" s="57" t="n"/>
      <c r="H154" s="55">
        <f>IF($G154="","",$E154-$G154)</f>
        <v/>
      </c>
    </row>
    <row r="155">
      <c r="A155" s="54" t="inlineStr">
        <is>
          <t>2604802</t>
        </is>
      </c>
      <c r="B155" s="54" t="inlineStr">
        <is>
          <t>PwC - Audio Support - 29.4.26</t>
        </is>
      </c>
      <c r="C155" s="55">
        <f>SUMIFS(tbl_WIP[Amount],tbl_WIP[Job Number],$A155,tbl_WIP[Month],"&lt;&gt;",tbl_WIP[Month],"&lt;"&amp;$C$4)+SUMIF('Deferred Revenue'!$E$6:$E$579,$A155,'Deferred Revenue'!$P$6:$P$579)</f>
        <v/>
      </c>
      <c r="D155" s="55">
        <f>SUMIFS(tbl_WIP[Amount],tbl_WIP[Job Number],$A155,tbl_WIP[Month],$C$4)+SUMIF('Deferred Revenue'!$E$6:$E$579,$A155,'Deferred Revenue'!$Q$6:$Q$579)</f>
        <v/>
      </c>
      <c r="E155" s="55">
        <f>C155+D155</f>
        <v/>
      </c>
      <c r="F155" s="56">
        <f>IF(ROUND(C155,2)+ROUND(D155,2)=0,"","yes")</f>
        <v/>
      </c>
      <c r="G155" s="57" t="n"/>
      <c r="H155" s="55">
        <f>IF($G155="","",$E155-$G155)</f>
        <v/>
      </c>
    </row>
    <row r="156">
      <c r="A156" s="54" t="inlineStr">
        <is>
          <t>26051101</t>
        </is>
      </c>
      <c r="B156" s="54" t="inlineStr">
        <is>
          <t>DTTL Mardi Gras/Vivid Event 27/05/26</t>
        </is>
      </c>
      <c r="C156" s="55">
        <f>SUMIFS(tbl_WIP[Amount],tbl_WIP[Job Number],$A156,tbl_WIP[Month],"&lt;&gt;",tbl_WIP[Month],"&lt;"&amp;$C$4)+SUMIF('Deferred Revenue'!$E$6:$E$579,$A156,'Deferred Revenue'!$P$6:$P$579)</f>
        <v/>
      </c>
      <c r="D156" s="55">
        <f>SUMIFS(tbl_WIP[Amount],tbl_WIP[Job Number],$A156,tbl_WIP[Month],$C$4)+SUMIF('Deferred Revenue'!$E$6:$E$579,$A156,'Deferred Revenue'!$Q$6:$Q$579)</f>
        <v/>
      </c>
      <c r="E156" s="55">
        <f>C156+D156</f>
        <v/>
      </c>
      <c r="F156" s="56">
        <f>IF(ROUND(C156,2)+ROUND(D156,2)=0,"","yes")</f>
        <v/>
      </c>
      <c r="G156" s="57" t="n"/>
      <c r="H156" s="55">
        <f>IF($G156="","",$E156-$G156)</f>
        <v/>
      </c>
    </row>
    <row r="157">
      <c r="A157" s="54" t="inlineStr">
        <is>
          <t>26051101V</t>
        </is>
      </c>
      <c r="B157" s="54" t="inlineStr">
        <is>
          <t>DTTL Mardi Gras/Vivid Event 27/05/26</t>
        </is>
      </c>
      <c r="C157" s="55">
        <f>SUMIFS(tbl_WIP[Amount],tbl_WIP[Job Number],$A157,tbl_WIP[Month],"&lt;&gt;",tbl_WIP[Month],"&lt;"&amp;$C$4)+SUMIF('Deferred Revenue'!$E$6:$E$579,$A157,'Deferred Revenue'!$P$6:$P$579)</f>
        <v/>
      </c>
      <c r="D157" s="55">
        <f>SUMIFS(tbl_WIP[Amount],tbl_WIP[Job Number],$A157,tbl_WIP[Month],$C$4)+SUMIF('Deferred Revenue'!$E$6:$E$579,$A157,'Deferred Revenue'!$Q$6:$Q$579)</f>
        <v/>
      </c>
      <c r="E157" s="55">
        <f>C157+D157</f>
        <v/>
      </c>
      <c r="F157" s="56">
        <f>IF(ROUND(C157,2)+ROUND(D157,2)=0,"","yes")</f>
        <v/>
      </c>
      <c r="G157" s="57" t="n"/>
      <c r="H157" s="55">
        <f>IF($G157="","",$E157-$G157)</f>
        <v/>
      </c>
    </row>
    <row r="158">
      <c r="A158" s="54" t="inlineStr">
        <is>
          <t>26051102</t>
        </is>
      </c>
      <c r="B158" s="54" t="inlineStr">
        <is>
          <t>DTTL - CEO Roadshow - 1.6.26</t>
        </is>
      </c>
      <c r="C158" s="55">
        <f>SUMIFS(tbl_WIP[Amount],tbl_WIP[Job Number],$A158,tbl_WIP[Month],"&lt;&gt;",tbl_WIP[Month],"&lt;"&amp;$C$4)+SUMIF('Deferred Revenue'!$E$6:$E$579,$A158,'Deferred Revenue'!$P$6:$P$579)</f>
        <v/>
      </c>
      <c r="D158" s="55">
        <f>SUMIFS(tbl_WIP[Amount],tbl_WIP[Job Number],$A158,tbl_WIP[Month],$C$4)+SUMIF('Deferred Revenue'!$E$6:$E$579,$A158,'Deferred Revenue'!$Q$6:$Q$579)</f>
        <v/>
      </c>
      <c r="E158" s="55">
        <f>C158+D158</f>
        <v/>
      </c>
      <c r="F158" s="56">
        <f>IF(ROUND(C158,2)+ROUND(D158,2)=0,"","yes")</f>
        <v/>
      </c>
      <c r="G158" s="57" t="n"/>
      <c r="H158" s="55">
        <f>IF($G158="","",$E158-$G158)</f>
        <v/>
      </c>
    </row>
    <row r="159">
      <c r="A159" s="54" t="inlineStr">
        <is>
          <t>26051102V</t>
        </is>
      </c>
      <c r="B159" s="54" t="inlineStr">
        <is>
          <t>DTTL - CEO Roadshow - 1.6.26</t>
        </is>
      </c>
      <c r="C159" s="55">
        <f>SUMIFS(tbl_WIP[Amount],tbl_WIP[Job Number],$A159,tbl_WIP[Month],"&lt;&gt;",tbl_WIP[Month],"&lt;"&amp;$C$4)+SUMIF('Deferred Revenue'!$E$6:$E$579,$A159,'Deferred Revenue'!$P$6:$P$579)</f>
        <v/>
      </c>
      <c r="D159" s="55">
        <f>SUMIFS(tbl_WIP[Amount],tbl_WIP[Job Number],$A159,tbl_WIP[Month],$C$4)+SUMIF('Deferred Revenue'!$E$6:$E$579,$A159,'Deferred Revenue'!$Q$6:$Q$579)</f>
        <v/>
      </c>
      <c r="E159" s="55">
        <f>C159+D159</f>
        <v/>
      </c>
      <c r="F159" s="56">
        <f>IF(ROUND(C159,2)+ROUND(D159,2)=0,"","yes")</f>
        <v/>
      </c>
      <c r="G159" s="57" t="n"/>
      <c r="H159" s="55">
        <f>IF($G159="","",$E159-$G159)</f>
        <v/>
      </c>
    </row>
    <row r="160">
      <c r="A160" s="54" t="inlineStr">
        <is>
          <t>26051103</t>
        </is>
      </c>
      <c r="B160" s="54" t="inlineStr">
        <is>
          <t>PwC PER Studio Support 25.05.26</t>
        </is>
      </c>
      <c r="C160" s="55">
        <f>SUMIFS(tbl_WIP[Amount],tbl_WIP[Job Number],$A160,tbl_WIP[Month],"&lt;&gt;",tbl_WIP[Month],"&lt;"&amp;$C$4)+SUMIF('Deferred Revenue'!$E$6:$E$579,$A160,'Deferred Revenue'!$P$6:$P$579)</f>
        <v/>
      </c>
      <c r="D160" s="55">
        <f>SUMIFS(tbl_WIP[Amount],tbl_WIP[Job Number],$A160,tbl_WIP[Month],$C$4)+SUMIF('Deferred Revenue'!$E$6:$E$579,$A160,'Deferred Revenue'!$Q$6:$Q$579)</f>
        <v/>
      </c>
      <c r="E160" s="55">
        <f>C160+D160</f>
        <v/>
      </c>
      <c r="F160" s="56">
        <f>IF(ROUND(C160,2)+ROUND(D160,2)=0,"","yes")</f>
        <v/>
      </c>
      <c r="G160" s="57" t="n"/>
      <c r="H160" s="55">
        <f>IF($G160="","",$E160-$G160)</f>
        <v/>
      </c>
    </row>
    <row r="161">
      <c r="A161" s="54" t="inlineStr">
        <is>
          <t>26051103V</t>
        </is>
      </c>
      <c r="B161" s="54" t="inlineStr">
        <is>
          <t>PwC PER Studio Support 25.05.26</t>
        </is>
      </c>
      <c r="C161" s="55">
        <f>SUMIFS(tbl_WIP[Amount],tbl_WIP[Job Number],$A161,tbl_WIP[Month],"&lt;&gt;",tbl_WIP[Month],"&lt;"&amp;$C$4)+SUMIF('Deferred Revenue'!$E$6:$E$579,$A161,'Deferred Revenue'!$P$6:$P$579)</f>
        <v/>
      </c>
      <c r="D161" s="55">
        <f>SUMIFS(tbl_WIP[Amount],tbl_WIP[Job Number],$A161,tbl_WIP[Month],$C$4)+SUMIF('Deferred Revenue'!$E$6:$E$579,$A161,'Deferred Revenue'!$Q$6:$Q$579)</f>
        <v/>
      </c>
      <c r="E161" s="55">
        <f>C161+D161</f>
        <v/>
      </c>
      <c r="F161" s="56">
        <f>IF(ROUND(C161,2)+ROUND(D161,2)=0,"","yes")</f>
        <v/>
      </c>
      <c r="G161" s="57" t="n"/>
      <c r="H161" s="55">
        <f>IF($G161="","",$E161-$G161)</f>
        <v/>
      </c>
    </row>
    <row r="162">
      <c r="A162" s="54" t="inlineStr">
        <is>
          <t>26051201</t>
        </is>
      </c>
      <c r="B162" s="54" t="inlineStr">
        <is>
          <t>ASX CEO Farewell Highlights</t>
        </is>
      </c>
      <c r="C162" s="55">
        <f>SUMIFS(tbl_WIP[Amount],tbl_WIP[Job Number],$A162,tbl_WIP[Month],"&lt;&gt;",tbl_WIP[Month],"&lt;"&amp;$C$4)+SUMIF('Deferred Revenue'!$E$6:$E$579,$A162,'Deferred Revenue'!$P$6:$P$579)</f>
        <v/>
      </c>
      <c r="D162" s="55">
        <f>SUMIFS(tbl_WIP[Amount],tbl_WIP[Job Number],$A162,tbl_WIP[Month],$C$4)+SUMIF('Deferred Revenue'!$E$6:$E$579,$A162,'Deferred Revenue'!$Q$6:$Q$579)</f>
        <v/>
      </c>
      <c r="E162" s="55">
        <f>C162+D162</f>
        <v/>
      </c>
      <c r="F162" s="56">
        <f>IF(ROUND(C162,2)+ROUND(D162,2)=0,"","yes")</f>
        <v/>
      </c>
      <c r="G162" s="57" t="n"/>
      <c r="H162" s="55">
        <f>IF($G162="","",$E162-$G162)</f>
        <v/>
      </c>
    </row>
    <row r="163">
      <c r="A163" s="54" t="inlineStr">
        <is>
          <t>26051301</t>
        </is>
      </c>
      <c r="B163" s="54" t="inlineStr">
        <is>
          <t>HP-BAE | Phone Mod</t>
        </is>
      </c>
      <c r="C163" s="55">
        <f>SUMIFS(tbl_WIP[Amount],tbl_WIP[Job Number],$A163,tbl_WIP[Month],"&lt;&gt;",tbl_WIP[Month],"&lt;"&amp;$C$4)+SUMIF('Deferred Revenue'!$E$6:$E$579,$A163,'Deferred Revenue'!$P$6:$P$579)</f>
        <v/>
      </c>
      <c r="D163" s="55">
        <f>SUMIFS(tbl_WIP[Amount],tbl_WIP[Job Number],$A163,tbl_WIP[Month],$C$4)+SUMIF('Deferred Revenue'!$E$6:$E$579,$A163,'Deferred Revenue'!$Q$6:$Q$579)</f>
        <v/>
      </c>
      <c r="E163" s="55">
        <f>C163+D163</f>
        <v/>
      </c>
      <c r="F163" s="56">
        <f>IF(ROUND(C163,2)+ROUND(D163,2)=0,"","yes")</f>
        <v/>
      </c>
      <c r="G163" s="57" t="n"/>
      <c r="H163" s="55">
        <f>IF($G163="","",$E163-$G163)</f>
        <v/>
      </c>
    </row>
    <row r="164">
      <c r="A164" s="54" t="inlineStr">
        <is>
          <t>26051401</t>
        </is>
      </c>
      <c r="B164" s="54" t="inlineStr">
        <is>
          <t>ASX - Business Meeting - 27.5.26</t>
        </is>
      </c>
      <c r="C164" s="55">
        <f>SUMIFS(tbl_WIP[Amount],tbl_WIP[Job Number],$A164,tbl_WIP[Month],"&lt;&gt;",tbl_WIP[Month],"&lt;"&amp;$C$4)+SUMIF('Deferred Revenue'!$E$6:$E$579,$A164,'Deferred Revenue'!$P$6:$P$579)</f>
        <v/>
      </c>
      <c r="D164" s="55">
        <f>SUMIFS(tbl_WIP[Amount],tbl_WIP[Job Number],$A164,tbl_WIP[Month],$C$4)+SUMIF('Deferred Revenue'!$E$6:$E$579,$A164,'Deferred Revenue'!$Q$6:$Q$579)</f>
        <v/>
      </c>
      <c r="E164" s="55">
        <f>C164+D164</f>
        <v/>
      </c>
      <c r="F164" s="56">
        <f>IF(ROUND(C164,2)+ROUND(D164,2)=0,"","yes")</f>
        <v/>
      </c>
      <c r="G164" s="57" t="n"/>
      <c r="H164" s="55">
        <f>IF($G164="","",$E164-$G164)</f>
        <v/>
      </c>
    </row>
    <row r="165">
      <c r="A165" s="54" t="inlineStr">
        <is>
          <t>26051401V</t>
        </is>
      </c>
      <c r="B165" s="54" t="inlineStr">
        <is>
          <t>ASX - Business Meeting - 27.5.26</t>
        </is>
      </c>
      <c r="C165" s="55">
        <f>SUMIFS(tbl_WIP[Amount],tbl_WIP[Job Number],$A165,tbl_WIP[Month],"&lt;&gt;",tbl_WIP[Month],"&lt;"&amp;$C$4)+SUMIF('Deferred Revenue'!$E$6:$E$579,$A165,'Deferred Revenue'!$P$6:$P$579)</f>
        <v/>
      </c>
      <c r="D165" s="55">
        <f>SUMIFS(tbl_WIP[Amount],tbl_WIP[Job Number],$A165,tbl_WIP[Month],$C$4)+SUMIF('Deferred Revenue'!$E$6:$E$579,$A165,'Deferred Revenue'!$Q$6:$Q$579)</f>
        <v/>
      </c>
      <c r="E165" s="55">
        <f>C165+D165</f>
        <v/>
      </c>
      <c r="F165" s="56">
        <f>IF(ROUND(C165,2)+ROUND(D165,2)=0,"","yes")</f>
        <v/>
      </c>
      <c r="G165" s="57" t="n"/>
      <c r="H165" s="55">
        <f>IF($G165="","",$E165-$G165)</f>
        <v/>
      </c>
    </row>
    <row r="166">
      <c r="A166" s="54" t="inlineStr">
        <is>
          <t>26051402</t>
        </is>
      </c>
      <c r="B166" s="54" t="inlineStr">
        <is>
          <t>PwC Foldback Monitor Hire</t>
        </is>
      </c>
      <c r="C166" s="55">
        <f>SUMIFS(tbl_WIP[Amount],tbl_WIP[Job Number],$A166,tbl_WIP[Month],"&lt;&gt;",tbl_WIP[Month],"&lt;"&amp;$C$4)+SUMIF('Deferred Revenue'!$E$6:$E$579,$A166,'Deferred Revenue'!$P$6:$P$579)</f>
        <v/>
      </c>
      <c r="D166" s="55">
        <f>SUMIFS(tbl_WIP[Amount],tbl_WIP[Job Number],$A166,tbl_WIP[Month],$C$4)+SUMIF('Deferred Revenue'!$E$6:$E$579,$A166,'Deferred Revenue'!$Q$6:$Q$579)</f>
        <v/>
      </c>
      <c r="E166" s="55">
        <f>C166+D166</f>
        <v/>
      </c>
      <c r="F166" s="56">
        <f>IF(ROUND(C166,2)+ROUND(D166,2)=0,"","yes")</f>
        <v/>
      </c>
      <c r="G166" s="57" t="n"/>
      <c r="H166" s="55">
        <f>IF($G166="","",$E166-$G166)</f>
        <v/>
      </c>
    </row>
    <row r="167">
      <c r="A167" s="54" t="inlineStr">
        <is>
          <t>26051801</t>
        </is>
      </c>
      <c r="B167" s="54" t="inlineStr">
        <is>
          <t>PwC | Mel Studio Equipment</t>
        </is>
      </c>
      <c r="C167" s="55">
        <f>SUMIFS(tbl_WIP[Amount],tbl_WIP[Job Number],$A167,tbl_WIP[Month],"&lt;&gt;",tbl_WIP[Month],"&lt;"&amp;$C$4)+SUMIF('Deferred Revenue'!$E$6:$E$579,$A167,'Deferred Revenue'!$P$6:$P$579)</f>
        <v/>
      </c>
      <c r="D167" s="55">
        <f>SUMIFS(tbl_WIP[Amount],tbl_WIP[Job Number],$A167,tbl_WIP[Month],$C$4)+SUMIF('Deferred Revenue'!$E$6:$E$579,$A167,'Deferred Revenue'!$Q$6:$Q$579)</f>
        <v/>
      </c>
      <c r="E167" s="55">
        <f>C167+D167</f>
        <v/>
      </c>
      <c r="F167" s="56">
        <f>IF(ROUND(C167,2)+ROUND(D167,2)=0,"","yes")</f>
        <v/>
      </c>
      <c r="G167" s="57" t="n"/>
      <c r="H167" s="55">
        <f>IF($G167="","",$E167-$G167)</f>
        <v/>
      </c>
    </row>
    <row r="168">
      <c r="A168" s="54" t="inlineStr">
        <is>
          <t>26051803</t>
        </is>
      </c>
      <c r="B168" s="54" t="inlineStr">
        <is>
          <t>AVIT - Taronga ZOO AV Support - May 2026</t>
        </is>
      </c>
      <c r="C168" s="55">
        <f>SUMIFS(tbl_WIP[Amount],tbl_WIP[Job Number],$A168,tbl_WIP[Month],"&lt;&gt;",tbl_WIP[Month],"&lt;"&amp;$C$4)+SUMIF('Deferred Revenue'!$E$6:$E$579,$A168,'Deferred Revenue'!$P$6:$P$579)</f>
        <v/>
      </c>
      <c r="D168" s="55">
        <f>SUMIFS(tbl_WIP[Amount],tbl_WIP[Job Number],$A168,tbl_WIP[Month],$C$4)+SUMIF('Deferred Revenue'!$E$6:$E$579,$A168,'Deferred Revenue'!$Q$6:$Q$579)</f>
        <v/>
      </c>
      <c r="E168" s="55">
        <f>C168+D168</f>
        <v/>
      </c>
      <c r="F168" s="56">
        <f>IF(ROUND(C168,2)+ROUND(D168,2)=0,"","yes")</f>
        <v/>
      </c>
      <c r="G168" s="57" t="n"/>
      <c r="H168" s="55">
        <f>IF($G168="","",$E168-$G168)</f>
        <v/>
      </c>
    </row>
    <row r="169">
      <c r="A169" s="54" t="inlineStr">
        <is>
          <t>26052001</t>
        </is>
      </c>
      <c r="B169" s="54" t="inlineStr">
        <is>
          <t>MeetMagic - AI Behaviour Event - 29.5.26</t>
        </is>
      </c>
      <c r="C169" s="55">
        <f>SUMIFS(tbl_WIP[Amount],tbl_WIP[Job Number],$A169,tbl_WIP[Month],"&lt;&gt;",tbl_WIP[Month],"&lt;"&amp;$C$4)+SUMIF('Deferred Revenue'!$E$6:$E$579,$A169,'Deferred Revenue'!$P$6:$P$579)</f>
        <v/>
      </c>
      <c r="D169" s="55">
        <f>SUMIFS(tbl_WIP[Amount],tbl_WIP[Job Number],$A169,tbl_WIP[Month],$C$4)+SUMIF('Deferred Revenue'!$E$6:$E$579,$A169,'Deferred Revenue'!$Q$6:$Q$579)</f>
        <v/>
      </c>
      <c r="E169" s="55">
        <f>C169+D169</f>
        <v/>
      </c>
      <c r="F169" s="56">
        <f>IF(ROUND(C169,2)+ROUND(D169,2)=0,"","yes")</f>
        <v/>
      </c>
      <c r="G169" s="57" t="n"/>
      <c r="H169" s="55">
        <f>IF($G169="","",$E169-$G169)</f>
        <v/>
      </c>
    </row>
    <row r="170">
      <c r="A170" s="54" t="inlineStr">
        <is>
          <t>26052001V</t>
        </is>
      </c>
      <c r="B170" s="54" t="inlineStr">
        <is>
          <t>MeetMagic - AI Behaviour Event - 29.5.26</t>
        </is>
      </c>
      <c r="C170" s="55">
        <f>SUMIFS(tbl_WIP[Amount],tbl_WIP[Job Number],$A170,tbl_WIP[Month],"&lt;&gt;",tbl_WIP[Month],"&lt;"&amp;$C$4)+SUMIF('Deferred Revenue'!$E$6:$E$579,$A170,'Deferred Revenue'!$P$6:$P$579)</f>
        <v/>
      </c>
      <c r="D170" s="55">
        <f>SUMIFS(tbl_WIP[Amount],tbl_WIP[Job Number],$A170,tbl_WIP[Month],$C$4)+SUMIF('Deferred Revenue'!$E$6:$E$579,$A170,'Deferred Revenue'!$Q$6:$Q$579)</f>
        <v/>
      </c>
      <c r="E170" s="55">
        <f>C170+D170</f>
        <v/>
      </c>
      <c r="F170" s="56">
        <f>IF(ROUND(C170,2)+ROUND(D170,2)=0,"","yes")</f>
        <v/>
      </c>
      <c r="G170" s="57" t="n"/>
      <c r="H170" s="55">
        <f>IF($G170="","",$E170-$G170)</f>
        <v/>
      </c>
    </row>
    <row r="171">
      <c r="A171" s="54" t="inlineStr">
        <is>
          <t>26052002</t>
        </is>
      </c>
      <c r="B171" s="54" t="inlineStr">
        <is>
          <t>DTTL BNE L23 Training Rooms Upgrade</t>
        </is>
      </c>
      <c r="C171" s="55">
        <f>SUMIFS(tbl_WIP[Amount],tbl_WIP[Job Number],$A171,tbl_WIP[Month],"&lt;&gt;",tbl_WIP[Month],"&lt;"&amp;$C$4)+SUMIF('Deferred Revenue'!$E$6:$E$579,$A171,'Deferred Revenue'!$P$6:$P$579)</f>
        <v/>
      </c>
      <c r="D171" s="55">
        <f>SUMIFS(tbl_WIP[Amount],tbl_WIP[Job Number],$A171,tbl_WIP[Month],$C$4)+SUMIF('Deferred Revenue'!$E$6:$E$579,$A171,'Deferred Revenue'!$Q$6:$Q$579)</f>
        <v/>
      </c>
      <c r="E171" s="55">
        <f>C171+D171</f>
        <v/>
      </c>
      <c r="F171" s="56">
        <f>IF(ROUND(C171,2)+ROUND(D171,2)=0,"","yes")</f>
        <v/>
      </c>
      <c r="G171" s="57" t="n"/>
      <c r="H171" s="55">
        <f>IF($G171="","",$E171-$G171)</f>
        <v/>
      </c>
    </row>
    <row r="172">
      <c r="A172" s="54" t="inlineStr">
        <is>
          <t>26052003</t>
        </is>
      </c>
      <c r="B172" s="54" t="inlineStr">
        <is>
          <t>DTTL Mobile Commbox Displays</t>
        </is>
      </c>
      <c r="C172" s="55">
        <f>SUMIFS(tbl_WIP[Amount],tbl_WIP[Job Number],$A172,tbl_WIP[Month],"&lt;&gt;",tbl_WIP[Month],"&lt;"&amp;$C$4)+SUMIF('Deferred Revenue'!$E$6:$E$579,$A172,'Deferred Revenue'!$P$6:$P$579)</f>
        <v/>
      </c>
      <c r="D172" s="55">
        <f>SUMIFS(tbl_WIP[Amount],tbl_WIP[Job Number],$A172,tbl_WIP[Month],$C$4)+SUMIF('Deferred Revenue'!$E$6:$E$579,$A172,'Deferred Revenue'!$Q$6:$Q$579)</f>
        <v/>
      </c>
      <c r="E172" s="55">
        <f>C172+D172</f>
        <v/>
      </c>
      <c r="F172" s="56">
        <f>IF(ROUND(C172,2)+ROUND(D172,2)=0,"","yes")</f>
        <v/>
      </c>
      <c r="G172" s="57" t="n"/>
      <c r="H172" s="55">
        <f>IF($G172="","",$E172-$G172)</f>
        <v/>
      </c>
    </row>
    <row r="173">
      <c r="A173" s="54" t="inlineStr">
        <is>
          <t>26052004</t>
        </is>
      </c>
      <c r="B173" s="54" t="inlineStr">
        <is>
          <t>CBA - Live Event Support - June 2026</t>
        </is>
      </c>
      <c r="C173" s="55">
        <f>SUMIFS(tbl_WIP[Amount],tbl_WIP[Job Number],$A173,tbl_WIP[Month],"&lt;&gt;",tbl_WIP[Month],"&lt;"&amp;$C$4)+SUMIF('Deferred Revenue'!$E$6:$E$579,$A173,'Deferred Revenue'!$P$6:$P$579)</f>
        <v/>
      </c>
      <c r="D173" s="55">
        <f>SUMIFS(tbl_WIP[Amount],tbl_WIP[Job Number],$A173,tbl_WIP[Month],$C$4)+SUMIF('Deferred Revenue'!$E$6:$E$579,$A173,'Deferred Revenue'!$Q$6:$Q$579)</f>
        <v/>
      </c>
      <c r="E173" s="55">
        <f>C173+D173</f>
        <v/>
      </c>
      <c r="F173" s="56">
        <f>IF(ROUND(C173,2)+ROUND(D173,2)=0,"","yes")</f>
        <v/>
      </c>
      <c r="G173" s="57" t="n"/>
      <c r="H173" s="55">
        <f>IF($G173="","",$E173-$G173)</f>
        <v/>
      </c>
    </row>
    <row r="174">
      <c r="A174" s="54" t="inlineStr">
        <is>
          <t>26052101</t>
        </is>
      </c>
      <c r="B174" s="54" t="inlineStr">
        <is>
          <t>MeetMagic - Human AI Event Highlights</t>
        </is>
      </c>
      <c r="C174" s="55">
        <f>SUMIFS(tbl_WIP[Amount],tbl_WIP[Job Number],$A174,tbl_WIP[Month],"&lt;&gt;",tbl_WIP[Month],"&lt;"&amp;$C$4)+SUMIF('Deferred Revenue'!$E$6:$E$579,$A174,'Deferred Revenue'!$P$6:$P$579)</f>
        <v/>
      </c>
      <c r="D174" s="55">
        <f>SUMIFS(tbl_WIP[Amount],tbl_WIP[Job Number],$A174,tbl_WIP[Month],$C$4)+SUMIF('Deferred Revenue'!$E$6:$E$579,$A174,'Deferred Revenue'!$Q$6:$Q$579)</f>
        <v/>
      </c>
      <c r="E174" s="55">
        <f>C174+D174</f>
        <v/>
      </c>
      <c r="F174" s="56">
        <f>IF(ROUND(C174,2)+ROUND(D174,2)=0,"","yes")</f>
        <v/>
      </c>
      <c r="G174" s="57" t="n"/>
      <c r="H174" s="55">
        <f>IF($G174="","",$E174-$G174)</f>
        <v/>
      </c>
    </row>
    <row r="175">
      <c r="A175" s="54" t="inlineStr">
        <is>
          <t>26052102</t>
        </is>
      </c>
      <c r="B175" s="54" t="inlineStr">
        <is>
          <t>HP-D3 | Austrac Phone Mods</t>
        </is>
      </c>
      <c r="C175" s="55">
        <f>SUMIFS(tbl_WIP[Amount],tbl_WIP[Job Number],$A175,tbl_WIP[Month],"&lt;&gt;",tbl_WIP[Month],"&lt;"&amp;$C$4)+SUMIF('Deferred Revenue'!$E$6:$E$579,$A175,'Deferred Revenue'!$P$6:$P$579)</f>
        <v/>
      </c>
      <c r="D175" s="55">
        <f>SUMIFS(tbl_WIP[Amount],tbl_WIP[Job Number],$A175,tbl_WIP[Month],$C$4)+SUMIF('Deferred Revenue'!$E$6:$E$579,$A175,'Deferred Revenue'!$Q$6:$Q$579)</f>
        <v/>
      </c>
      <c r="E175" s="55">
        <f>C175+D175</f>
        <v/>
      </c>
      <c r="F175" s="56">
        <f>IF(ROUND(C175,2)+ROUND(D175,2)=0,"","yes")</f>
        <v/>
      </c>
      <c r="G175" s="57" t="n"/>
      <c r="H175" s="55">
        <f>IF($G175="","",$E175-$G175)</f>
        <v/>
      </c>
    </row>
    <row r="176">
      <c r="A176" s="54" t="inlineStr">
        <is>
          <t>26052103</t>
        </is>
      </c>
      <c r="B176" s="54" t="inlineStr">
        <is>
          <t>Ventia - LTI FY26 Video Record</t>
        </is>
      </c>
      <c r="C176" s="55">
        <f>SUMIFS(tbl_WIP[Amount],tbl_WIP[Job Number],$A176,tbl_WIP[Month],"&lt;&gt;",tbl_WIP[Month],"&lt;"&amp;$C$4)+SUMIF('Deferred Revenue'!$E$6:$E$579,$A176,'Deferred Revenue'!$P$6:$P$579)</f>
        <v/>
      </c>
      <c r="D176" s="55">
        <f>SUMIFS(tbl_WIP[Amount],tbl_WIP[Job Number],$A176,tbl_WIP[Month],$C$4)+SUMIF('Deferred Revenue'!$E$6:$E$579,$A176,'Deferred Revenue'!$Q$6:$Q$579)</f>
        <v/>
      </c>
      <c r="E176" s="55">
        <f>C176+D176</f>
        <v/>
      </c>
      <c r="F176" s="56">
        <f>IF(ROUND(C176,2)+ROUND(D176,2)=0,"","yes")</f>
        <v/>
      </c>
      <c r="G176" s="57" t="n"/>
      <c r="H176" s="55">
        <f>IF($G176="","",$E176-$G176)</f>
        <v/>
      </c>
    </row>
    <row r="177">
      <c r="A177" s="54" t="inlineStr">
        <is>
          <t>26052501V</t>
        </is>
      </c>
      <c r="B177" s="54" t="inlineStr">
        <is>
          <t>AVIT - Taronga AV Event Support - 26-27.5.26</t>
        </is>
      </c>
      <c r="C177" s="55">
        <f>SUMIFS(tbl_WIP[Amount],tbl_WIP[Job Number],$A177,tbl_WIP[Month],"&lt;&gt;",tbl_WIP[Month],"&lt;"&amp;$C$4)+SUMIF('Deferred Revenue'!$E$6:$E$579,$A177,'Deferred Revenue'!$P$6:$P$579)</f>
        <v/>
      </c>
      <c r="D177" s="55">
        <f>SUMIFS(tbl_WIP[Amount],tbl_WIP[Job Number],$A177,tbl_WIP[Month],$C$4)+SUMIF('Deferred Revenue'!$E$6:$E$579,$A177,'Deferred Revenue'!$Q$6:$Q$579)</f>
        <v/>
      </c>
      <c r="E177" s="55">
        <f>C177+D177</f>
        <v/>
      </c>
      <c r="F177" s="56">
        <f>IF(ROUND(C177,2)+ROUND(D177,2)=0,"","yes")</f>
        <v/>
      </c>
      <c r="G177" s="57" t="n"/>
      <c r="H177" s="55">
        <f>IF($G177="","",$E177-$G177)</f>
        <v/>
      </c>
    </row>
    <row r="178">
      <c r="A178" s="54" t="inlineStr">
        <is>
          <t>26052502</t>
        </is>
      </c>
      <c r="B178" s="54" t="inlineStr">
        <is>
          <t>AVIT - Taronga AV Event Support 4-5.06.26</t>
        </is>
      </c>
      <c r="C178" s="55">
        <f>SUMIFS(tbl_WIP[Amount],tbl_WIP[Job Number],$A178,tbl_WIP[Month],"&lt;&gt;",tbl_WIP[Month],"&lt;"&amp;$C$4)+SUMIF('Deferred Revenue'!$E$6:$E$579,$A178,'Deferred Revenue'!$P$6:$P$579)</f>
        <v/>
      </c>
      <c r="D178" s="55">
        <f>SUMIFS(tbl_WIP[Amount],tbl_WIP[Job Number],$A178,tbl_WIP[Month],$C$4)+SUMIF('Deferred Revenue'!$E$6:$E$579,$A178,'Deferred Revenue'!$Q$6:$Q$579)</f>
        <v/>
      </c>
      <c r="E178" s="55">
        <f>C178+D178</f>
        <v/>
      </c>
      <c r="F178" s="56">
        <f>IF(ROUND(C178,2)+ROUND(D178,2)=0,"","yes")</f>
        <v/>
      </c>
      <c r="G178" s="57" t="n"/>
      <c r="H178" s="55">
        <f>IF($G178="","",$E178-$G178)</f>
        <v/>
      </c>
    </row>
    <row r="179">
      <c r="A179" s="54" t="inlineStr">
        <is>
          <t>26052502V</t>
        </is>
      </c>
      <c r="B179" s="54" t="inlineStr">
        <is>
          <t>AVIT - Taronga AV Event Support 4-5.06.26</t>
        </is>
      </c>
      <c r="C179" s="55">
        <f>SUMIFS(tbl_WIP[Amount],tbl_WIP[Job Number],$A179,tbl_WIP[Month],"&lt;&gt;",tbl_WIP[Month],"&lt;"&amp;$C$4)+SUMIF('Deferred Revenue'!$E$6:$E$579,$A179,'Deferred Revenue'!$P$6:$P$579)</f>
        <v/>
      </c>
      <c r="D179" s="55">
        <f>SUMIFS(tbl_WIP[Amount],tbl_WIP[Job Number],$A179,tbl_WIP[Month],$C$4)+SUMIF('Deferred Revenue'!$E$6:$E$579,$A179,'Deferred Revenue'!$Q$6:$Q$579)</f>
        <v/>
      </c>
      <c r="E179" s="55">
        <f>C179+D179</f>
        <v/>
      </c>
      <c r="F179" s="56">
        <f>IF(ROUND(C179,2)+ROUND(D179,2)=0,"","yes")</f>
        <v/>
      </c>
      <c r="G179" s="57" t="n"/>
      <c r="H179" s="55">
        <f>IF($G179="","",$E179-$G179)</f>
        <v/>
      </c>
    </row>
    <row r="180">
      <c r="A180" s="54" t="inlineStr">
        <is>
          <t>26052602</t>
        </is>
      </c>
      <c r="B180" s="54" t="inlineStr">
        <is>
          <t>DTTL MEL Display Supply</t>
        </is>
      </c>
      <c r="C180" s="55">
        <f>SUMIFS(tbl_WIP[Amount],tbl_WIP[Job Number],$A180,tbl_WIP[Month],"&lt;&gt;",tbl_WIP[Month],"&lt;"&amp;$C$4)+SUMIF('Deferred Revenue'!$E$6:$E$579,$A180,'Deferred Revenue'!$P$6:$P$579)</f>
        <v/>
      </c>
      <c r="D180" s="55">
        <f>SUMIFS(tbl_WIP[Amount],tbl_WIP[Job Number],$A180,tbl_WIP[Month],$C$4)+SUMIF('Deferred Revenue'!$E$6:$E$579,$A180,'Deferred Revenue'!$Q$6:$Q$579)</f>
        <v/>
      </c>
      <c r="E180" s="55">
        <f>C180+D180</f>
        <v/>
      </c>
      <c r="F180" s="56">
        <f>IF(ROUND(C180,2)+ROUND(D180,2)=0,"","yes")</f>
        <v/>
      </c>
      <c r="G180" s="57" t="n"/>
      <c r="H180" s="55">
        <f>IF($G180="","",$E180-$G180)</f>
        <v/>
      </c>
    </row>
    <row r="181">
      <c r="A181" s="54" t="inlineStr">
        <is>
          <t>26052701</t>
        </is>
      </c>
      <c r="B181" s="54" t="inlineStr">
        <is>
          <t>Aware | SYD 28.06 Equipment</t>
        </is>
      </c>
      <c r="C181" s="55">
        <f>SUMIFS(tbl_WIP[Amount],tbl_WIP[Job Number],$A181,tbl_WIP[Month],"&lt;&gt;",tbl_WIP[Month],"&lt;"&amp;$C$4)+SUMIF('Deferred Revenue'!$E$6:$E$579,$A181,'Deferred Revenue'!$P$6:$P$579)</f>
        <v/>
      </c>
      <c r="D181" s="55">
        <f>SUMIFS(tbl_WIP[Amount],tbl_WIP[Job Number],$A181,tbl_WIP[Month],$C$4)+SUMIF('Deferred Revenue'!$E$6:$E$579,$A181,'Deferred Revenue'!$Q$6:$Q$579)</f>
        <v/>
      </c>
      <c r="E181" s="55">
        <f>C181+D181</f>
        <v/>
      </c>
      <c r="F181" s="56">
        <f>IF(ROUND(C181,2)+ROUND(D181,2)=0,"","yes")</f>
        <v/>
      </c>
      <c r="G181" s="57" t="n"/>
      <c r="H181" s="55">
        <f>IF($G181="","",$E181-$G181)</f>
        <v/>
      </c>
    </row>
    <row r="182">
      <c r="A182" s="54" t="inlineStr">
        <is>
          <t>26052702</t>
        </is>
      </c>
      <c r="B182" s="54" t="inlineStr">
        <is>
          <t>ASX - FYR - 13.8.26</t>
        </is>
      </c>
      <c r="C182" s="55">
        <f>SUMIFS(tbl_WIP[Amount],tbl_WIP[Job Number],$A182,tbl_WIP[Month],"&lt;&gt;",tbl_WIP[Month],"&lt;"&amp;$C$4)+SUMIF('Deferred Revenue'!$E$6:$E$579,$A182,'Deferred Revenue'!$P$6:$P$579)</f>
        <v/>
      </c>
      <c r="D182" s="55">
        <f>SUMIFS(tbl_WIP[Amount],tbl_WIP[Job Number],$A182,tbl_WIP[Month],$C$4)+SUMIF('Deferred Revenue'!$E$6:$E$579,$A182,'Deferred Revenue'!$Q$6:$Q$579)</f>
        <v/>
      </c>
      <c r="E182" s="55">
        <f>C182+D182</f>
        <v/>
      </c>
      <c r="F182" s="56">
        <f>IF(ROUND(C182,2)+ROUND(D182,2)=0,"","yes")</f>
        <v/>
      </c>
      <c r="G182" s="57" t="n"/>
      <c r="H182" s="55">
        <f>IF($G182="","",$E182-$G182)</f>
        <v/>
      </c>
    </row>
    <row r="183">
      <c r="A183" s="54" t="inlineStr">
        <is>
          <t>26052702V</t>
        </is>
      </c>
      <c r="B183" s="54" t="inlineStr">
        <is>
          <t>ASX - FYR - 13.8.26</t>
        </is>
      </c>
      <c r="C183" s="55">
        <f>SUMIFS(tbl_WIP[Amount],tbl_WIP[Job Number],$A183,tbl_WIP[Month],"&lt;&gt;",tbl_WIP[Month],"&lt;"&amp;$C$4)+SUMIF('Deferred Revenue'!$E$6:$E$579,$A183,'Deferred Revenue'!$P$6:$P$579)</f>
        <v/>
      </c>
      <c r="D183" s="55">
        <f>SUMIFS(tbl_WIP[Amount],tbl_WIP[Job Number],$A183,tbl_WIP[Month],$C$4)+SUMIF('Deferred Revenue'!$E$6:$E$579,$A183,'Deferred Revenue'!$Q$6:$Q$579)</f>
        <v/>
      </c>
      <c r="E183" s="55">
        <f>C183+D183</f>
        <v/>
      </c>
      <c r="F183" s="56">
        <f>IF(ROUND(C183,2)+ROUND(D183,2)=0,"","yes")</f>
        <v/>
      </c>
      <c r="G183" s="57" t="n"/>
      <c r="H183" s="55">
        <f>IF($G183="","",$E183-$G183)</f>
        <v/>
      </c>
    </row>
    <row r="184">
      <c r="A184" s="54" t="inlineStr">
        <is>
          <t>26052703</t>
        </is>
      </c>
      <c r="B184" s="54" t="inlineStr">
        <is>
          <t>Microsoft Town Hall - 21.7.26</t>
        </is>
      </c>
      <c r="C184" s="55">
        <f>SUMIFS(tbl_WIP[Amount],tbl_WIP[Job Number],$A184,tbl_WIP[Month],"&lt;&gt;",tbl_WIP[Month],"&lt;"&amp;$C$4)+SUMIF('Deferred Revenue'!$E$6:$E$579,$A184,'Deferred Revenue'!$P$6:$P$579)</f>
        <v/>
      </c>
      <c r="D184" s="55">
        <f>SUMIFS(tbl_WIP[Amount],tbl_WIP[Job Number],$A184,tbl_WIP[Month],$C$4)+SUMIF('Deferred Revenue'!$E$6:$E$579,$A184,'Deferred Revenue'!$Q$6:$Q$579)</f>
        <v/>
      </c>
      <c r="E184" s="55">
        <f>C184+D184</f>
        <v/>
      </c>
      <c r="F184" s="56">
        <f>IF(ROUND(C184,2)+ROUND(D184,2)=0,"","yes")</f>
        <v/>
      </c>
      <c r="G184" s="57" t="n"/>
      <c r="H184" s="55">
        <f>IF($G184="","",$E184-$G184)</f>
        <v/>
      </c>
    </row>
    <row r="185">
      <c r="A185" s="54" t="inlineStr">
        <is>
          <t>26052703V</t>
        </is>
      </c>
      <c r="B185" s="54" t="inlineStr">
        <is>
          <t>Microsoft Town Hall - 21.7.26</t>
        </is>
      </c>
      <c r="C185" s="55">
        <f>SUMIFS(tbl_WIP[Amount],tbl_WIP[Job Number],$A185,tbl_WIP[Month],"&lt;&gt;",tbl_WIP[Month],"&lt;"&amp;$C$4)+SUMIF('Deferred Revenue'!$E$6:$E$579,$A185,'Deferred Revenue'!$P$6:$P$579)</f>
        <v/>
      </c>
      <c r="D185" s="55">
        <f>SUMIFS(tbl_WIP[Amount],tbl_WIP[Job Number],$A185,tbl_WIP[Month],$C$4)+SUMIF('Deferred Revenue'!$E$6:$E$579,$A185,'Deferred Revenue'!$Q$6:$Q$579)</f>
        <v/>
      </c>
      <c r="E185" s="55">
        <f>C185+D185</f>
        <v/>
      </c>
      <c r="F185" s="56">
        <f>IF(ROUND(C185,2)+ROUND(D185,2)=0,"","yes")</f>
        <v/>
      </c>
      <c r="G185" s="57" t="n"/>
      <c r="H185" s="55">
        <f>IF($G185="","",$E185-$G185)</f>
        <v/>
      </c>
    </row>
    <row r="186">
      <c r="A186" s="54" t="inlineStr">
        <is>
          <t>26052704</t>
        </is>
      </c>
      <c r="B186" s="54" t="inlineStr">
        <is>
          <t>AVIT - Pinsent Masons Technician Callout</t>
        </is>
      </c>
      <c r="C186" s="55">
        <f>SUMIFS(tbl_WIP[Amount],tbl_WIP[Job Number],$A186,tbl_WIP[Month],"&lt;&gt;",tbl_WIP[Month],"&lt;"&amp;$C$4)+SUMIF('Deferred Revenue'!$E$6:$E$579,$A186,'Deferred Revenue'!$P$6:$P$579)</f>
        <v/>
      </c>
      <c r="D186" s="55">
        <f>SUMIFS(tbl_WIP[Amount],tbl_WIP[Job Number],$A186,tbl_WIP[Month],$C$4)+SUMIF('Deferred Revenue'!$E$6:$E$579,$A186,'Deferred Revenue'!$Q$6:$Q$579)</f>
        <v/>
      </c>
      <c r="E186" s="55">
        <f>C186+D186</f>
        <v/>
      </c>
      <c r="F186" s="56">
        <f>IF(ROUND(C186,2)+ROUND(D186,2)=0,"","yes")</f>
        <v/>
      </c>
      <c r="G186" s="57" t="n"/>
      <c r="H186" s="55">
        <f>IF($G186="","",$E186-$G186)</f>
        <v/>
      </c>
    </row>
    <row r="187">
      <c r="A187" s="54" t="inlineStr">
        <is>
          <t>26052901</t>
        </is>
      </c>
      <c r="B187" s="54" t="inlineStr">
        <is>
          <t>Causeway Productions - Stool Hire - 1.6.27</t>
        </is>
      </c>
      <c r="C187" s="55">
        <f>SUMIFS(tbl_WIP[Amount],tbl_WIP[Job Number],$A187,tbl_WIP[Month],"&lt;&gt;",tbl_WIP[Month],"&lt;"&amp;$C$4)+SUMIF('Deferred Revenue'!$E$6:$E$579,$A187,'Deferred Revenue'!$P$6:$P$579)</f>
        <v/>
      </c>
      <c r="D187" s="55">
        <f>SUMIFS(tbl_WIP[Amount],tbl_WIP[Job Number],$A187,tbl_WIP[Month],$C$4)+SUMIF('Deferred Revenue'!$E$6:$E$579,$A187,'Deferred Revenue'!$Q$6:$Q$579)</f>
        <v/>
      </c>
      <c r="E187" s="55">
        <f>C187+D187</f>
        <v/>
      </c>
      <c r="F187" s="56">
        <f>IF(ROUND(C187,2)+ROUND(D187,2)=0,"","yes")</f>
        <v/>
      </c>
      <c r="G187" s="57" t="n"/>
      <c r="H187" s="55">
        <f>IF($G187="","",$E187-$G187)</f>
        <v/>
      </c>
    </row>
    <row r="188">
      <c r="A188" s="54" t="inlineStr">
        <is>
          <t>26052901V</t>
        </is>
      </c>
      <c r="B188" s="54" t="inlineStr">
        <is>
          <t>Causeway Productions - Stool Hire - 1.6.27</t>
        </is>
      </c>
      <c r="C188" s="55">
        <f>SUMIFS(tbl_WIP[Amount],tbl_WIP[Job Number],$A188,tbl_WIP[Month],"&lt;&gt;",tbl_WIP[Month],"&lt;"&amp;$C$4)+SUMIF('Deferred Revenue'!$E$6:$E$579,$A188,'Deferred Revenue'!$P$6:$P$579)</f>
        <v/>
      </c>
      <c r="D188" s="55">
        <f>SUMIFS(tbl_WIP[Amount],tbl_WIP[Job Number],$A188,tbl_WIP[Month],$C$4)+SUMIF('Deferred Revenue'!$E$6:$E$579,$A188,'Deferred Revenue'!$Q$6:$Q$579)</f>
        <v/>
      </c>
      <c r="E188" s="55">
        <f>C188+D188</f>
        <v/>
      </c>
      <c r="F188" s="56">
        <f>IF(ROUND(C188,2)+ROUND(D188,2)=0,"","yes")</f>
        <v/>
      </c>
      <c r="G188" s="57" t="n"/>
      <c r="H188" s="55">
        <f>IF($G188="","",$E188-$G188)</f>
        <v/>
      </c>
    </row>
    <row r="189">
      <c r="A189" s="54" t="inlineStr">
        <is>
          <t>2605401</t>
        </is>
      </c>
      <c r="B189" s="54" t="inlineStr">
        <is>
          <t>AGL FYR - Investor Briefing - 12.8.26</t>
        </is>
      </c>
      <c r="C189" s="55">
        <f>SUMIFS(tbl_WIP[Amount],tbl_WIP[Job Number],$A189,tbl_WIP[Month],"&lt;&gt;",tbl_WIP[Month],"&lt;"&amp;$C$4)+SUMIF('Deferred Revenue'!$E$6:$E$579,$A189,'Deferred Revenue'!$P$6:$P$579)</f>
        <v/>
      </c>
      <c r="D189" s="55">
        <f>SUMIFS(tbl_WIP[Amount],tbl_WIP[Job Number],$A189,tbl_WIP[Month],$C$4)+SUMIF('Deferred Revenue'!$E$6:$E$579,$A189,'Deferred Revenue'!$Q$6:$Q$579)</f>
        <v/>
      </c>
      <c r="E189" s="55">
        <f>C189+D189</f>
        <v/>
      </c>
      <c r="F189" s="56">
        <f>IF(ROUND(C189,2)+ROUND(D189,2)=0,"","yes")</f>
        <v/>
      </c>
      <c r="G189" s="57" t="n"/>
      <c r="H189" s="55">
        <f>IF($G189="","",$E189-$G189)</f>
        <v/>
      </c>
    </row>
    <row r="190">
      <c r="A190" s="54" t="inlineStr">
        <is>
          <t>2605401V</t>
        </is>
      </c>
      <c r="B190" s="54" t="inlineStr">
        <is>
          <t>AGL FYR - Investor Briefing - 12.8.26</t>
        </is>
      </c>
      <c r="C190" s="55">
        <f>SUMIFS(tbl_WIP[Amount],tbl_WIP[Job Number],$A190,tbl_WIP[Month],"&lt;&gt;",tbl_WIP[Month],"&lt;"&amp;$C$4)+SUMIF('Deferred Revenue'!$E$6:$E$579,$A190,'Deferred Revenue'!$P$6:$P$579)</f>
        <v/>
      </c>
      <c r="D190" s="55">
        <f>SUMIFS(tbl_WIP[Amount],tbl_WIP[Job Number],$A190,tbl_WIP[Month],$C$4)+SUMIF('Deferred Revenue'!$E$6:$E$579,$A190,'Deferred Revenue'!$Q$6:$Q$579)</f>
        <v/>
      </c>
      <c r="E190" s="55">
        <f>C190+D190</f>
        <v/>
      </c>
      <c r="F190" s="56">
        <f>IF(ROUND(C190,2)+ROUND(D190,2)=0,"","yes")</f>
        <v/>
      </c>
      <c r="G190" s="57" t="n"/>
      <c r="H190" s="55">
        <f>IF($G190="","",$E190-$G190)</f>
        <v/>
      </c>
    </row>
    <row r="191">
      <c r="A191" s="54" t="inlineStr">
        <is>
          <t>2605402</t>
        </is>
      </c>
      <c r="B191" s="54" t="inlineStr">
        <is>
          <t>AGL FYR - Employee Town Hall - 12.8.26</t>
        </is>
      </c>
      <c r="C191" s="55">
        <f>SUMIFS(tbl_WIP[Amount],tbl_WIP[Job Number],$A191,tbl_WIP[Month],"&lt;&gt;",tbl_WIP[Month],"&lt;"&amp;$C$4)+SUMIF('Deferred Revenue'!$E$6:$E$579,$A191,'Deferred Revenue'!$P$6:$P$579)</f>
        <v/>
      </c>
      <c r="D191" s="55">
        <f>SUMIFS(tbl_WIP[Amount],tbl_WIP[Job Number],$A191,tbl_WIP[Month],$C$4)+SUMIF('Deferred Revenue'!$E$6:$E$579,$A191,'Deferred Revenue'!$Q$6:$Q$579)</f>
        <v/>
      </c>
      <c r="E191" s="55">
        <f>C191+D191</f>
        <v/>
      </c>
      <c r="F191" s="56">
        <f>IF(ROUND(C191,2)+ROUND(D191,2)=0,"","yes")</f>
        <v/>
      </c>
      <c r="G191" s="57" t="n"/>
      <c r="H191" s="55">
        <f>IF($G191="","",$E191-$G191)</f>
        <v/>
      </c>
    </row>
    <row r="192">
      <c r="A192" s="54" t="inlineStr">
        <is>
          <t>2605402V</t>
        </is>
      </c>
      <c r="B192" s="54" t="inlineStr">
        <is>
          <t>AGL FYR - Employee Town Hall - 12.8.26</t>
        </is>
      </c>
      <c r="C192" s="55">
        <f>SUMIFS(tbl_WIP[Amount],tbl_WIP[Job Number],$A192,tbl_WIP[Month],"&lt;&gt;",tbl_WIP[Month],"&lt;"&amp;$C$4)+SUMIF('Deferred Revenue'!$E$6:$E$579,$A192,'Deferred Revenue'!$P$6:$P$579)</f>
        <v/>
      </c>
      <c r="D192" s="55">
        <f>SUMIFS(tbl_WIP[Amount],tbl_WIP[Job Number],$A192,tbl_WIP[Month],$C$4)+SUMIF('Deferred Revenue'!$E$6:$E$579,$A192,'Deferred Revenue'!$Q$6:$Q$579)</f>
        <v/>
      </c>
      <c r="E192" s="55">
        <f>C192+D192</f>
        <v/>
      </c>
      <c r="F192" s="56">
        <f>IF(ROUND(C192,2)+ROUND(D192,2)=0,"","yes")</f>
        <v/>
      </c>
      <c r="G192" s="57" t="n"/>
      <c r="H192" s="55">
        <f>IF($G192="","",$E192-$G192)</f>
        <v/>
      </c>
    </row>
    <row r="193">
      <c r="A193" s="54" t="inlineStr">
        <is>
          <t>2605403</t>
        </is>
      </c>
      <c r="B193" s="54" t="inlineStr">
        <is>
          <t>ARUP - Oves Awards - 23.7.26</t>
        </is>
      </c>
      <c r="C193" s="55">
        <f>SUMIFS(tbl_WIP[Amount],tbl_WIP[Job Number],$A193,tbl_WIP[Month],"&lt;&gt;",tbl_WIP[Month],"&lt;"&amp;$C$4)+SUMIF('Deferred Revenue'!$E$6:$E$579,$A193,'Deferred Revenue'!$P$6:$P$579)</f>
        <v/>
      </c>
      <c r="D193" s="55">
        <f>SUMIFS(tbl_WIP[Amount],tbl_WIP[Job Number],$A193,tbl_WIP[Month],$C$4)+SUMIF('Deferred Revenue'!$E$6:$E$579,$A193,'Deferred Revenue'!$Q$6:$Q$579)</f>
        <v/>
      </c>
      <c r="E193" s="55">
        <f>C193+D193</f>
        <v/>
      </c>
      <c r="F193" s="56">
        <f>IF(ROUND(C193,2)+ROUND(D193,2)=0,"","yes")</f>
        <v/>
      </c>
      <c r="G193" s="57" t="n"/>
      <c r="H193" s="55">
        <f>IF($G193="","",$E193-$G193)</f>
        <v/>
      </c>
    </row>
    <row r="194">
      <c r="A194" s="54" t="inlineStr">
        <is>
          <t>2605403V</t>
        </is>
      </c>
      <c r="B194" s="54" t="inlineStr">
        <is>
          <t>ARUP - Oves Awards - 23.7.26</t>
        </is>
      </c>
      <c r="C194" s="55">
        <f>SUMIFS(tbl_WIP[Amount],tbl_WIP[Job Number],$A194,tbl_WIP[Month],"&lt;&gt;",tbl_WIP[Month],"&lt;"&amp;$C$4)+SUMIF('Deferred Revenue'!$E$6:$E$579,$A194,'Deferred Revenue'!$P$6:$P$579)</f>
        <v/>
      </c>
      <c r="D194" s="55">
        <f>SUMIFS(tbl_WIP[Amount],tbl_WIP[Job Number],$A194,tbl_WIP[Month],$C$4)+SUMIF('Deferred Revenue'!$E$6:$E$579,$A194,'Deferred Revenue'!$Q$6:$Q$579)</f>
        <v/>
      </c>
      <c r="E194" s="55">
        <f>C194+D194</f>
        <v/>
      </c>
      <c r="F194" s="56">
        <f>IF(ROUND(C194,2)+ROUND(D194,2)=0,"","yes")</f>
        <v/>
      </c>
      <c r="G194" s="57" t="n"/>
      <c r="H194" s="55">
        <f>IF($G194="","",$E194-$G194)</f>
        <v/>
      </c>
    </row>
    <row r="195">
      <c r="A195" s="54" t="inlineStr">
        <is>
          <t>2605501</t>
        </is>
      </c>
      <c r="B195" s="54" t="inlineStr">
        <is>
          <t>DTTL Tech Support AWS AP AI Symposium</t>
        </is>
      </c>
      <c r="C195" s="55">
        <f>SUMIFS(tbl_WIP[Amount],tbl_WIP[Job Number],$A195,tbl_WIP[Month],"&lt;&gt;",tbl_WIP[Month],"&lt;"&amp;$C$4)+SUMIF('Deferred Revenue'!$E$6:$E$579,$A195,'Deferred Revenue'!$P$6:$P$579)</f>
        <v/>
      </c>
      <c r="D195" s="55">
        <f>SUMIFS(tbl_WIP[Amount],tbl_WIP[Job Number],$A195,tbl_WIP[Month],$C$4)+SUMIF('Deferred Revenue'!$E$6:$E$579,$A195,'Deferred Revenue'!$Q$6:$Q$579)</f>
        <v/>
      </c>
      <c r="E195" s="55">
        <f>C195+D195</f>
        <v/>
      </c>
      <c r="F195" s="56">
        <f>IF(ROUND(C195,2)+ROUND(D195,2)=0,"","yes")</f>
        <v/>
      </c>
      <c r="G195" s="57" t="n"/>
      <c r="H195" s="55">
        <f>IF($G195="","",$E195-$G195)</f>
        <v/>
      </c>
    </row>
    <row r="196">
      <c r="A196" s="54" t="inlineStr">
        <is>
          <t>2605502</t>
        </is>
      </c>
      <c r="B196" s="54" t="inlineStr">
        <is>
          <t>CBA BNE - Event Support - 13.5.26</t>
        </is>
      </c>
      <c r="C196" s="55">
        <f>SUMIFS(tbl_WIP[Amount],tbl_WIP[Job Number],$A196,tbl_WIP[Month],"&lt;&gt;",tbl_WIP[Month],"&lt;"&amp;$C$4)+SUMIF('Deferred Revenue'!$E$6:$E$579,$A196,'Deferred Revenue'!$P$6:$P$579)</f>
        <v/>
      </c>
      <c r="D196" s="55">
        <f>SUMIFS(tbl_WIP[Amount],tbl_WIP[Job Number],$A196,tbl_WIP[Month],$C$4)+SUMIF('Deferred Revenue'!$E$6:$E$579,$A196,'Deferred Revenue'!$Q$6:$Q$579)</f>
        <v/>
      </c>
      <c r="E196" s="55">
        <f>C196+D196</f>
        <v/>
      </c>
      <c r="F196" s="56">
        <f>IF(ROUND(C196,2)+ROUND(D196,2)=0,"","yes")</f>
        <v/>
      </c>
      <c r="G196" s="57" t="n"/>
      <c r="H196" s="55">
        <f>IF($G196="","",$E196-$G196)</f>
        <v/>
      </c>
    </row>
    <row r="197">
      <c r="A197" s="54" t="inlineStr">
        <is>
          <t>2605502V</t>
        </is>
      </c>
      <c r="B197" s="54" t="inlineStr">
        <is>
          <t>CBA BNE - Event Support - 13.5.26</t>
        </is>
      </c>
      <c r="C197" s="55">
        <f>SUMIFS(tbl_WIP[Amount],tbl_WIP[Job Number],$A197,tbl_WIP[Month],"&lt;&gt;",tbl_WIP[Month],"&lt;"&amp;$C$4)+SUMIF('Deferred Revenue'!$E$6:$E$579,$A197,'Deferred Revenue'!$P$6:$P$579)</f>
        <v/>
      </c>
      <c r="D197" s="55">
        <f>SUMIFS(tbl_WIP[Amount],tbl_WIP[Job Number],$A197,tbl_WIP[Month],$C$4)+SUMIF('Deferred Revenue'!$E$6:$E$579,$A197,'Deferred Revenue'!$Q$6:$Q$579)</f>
        <v/>
      </c>
      <c r="E197" s="55">
        <f>C197+D197</f>
        <v/>
      </c>
      <c r="F197" s="56">
        <f>IF(ROUND(C197,2)+ROUND(D197,2)=0,"","yes")</f>
        <v/>
      </c>
      <c r="G197" s="57" t="n"/>
      <c r="H197" s="55">
        <f>IF($G197="","",$E197-$G197)</f>
        <v/>
      </c>
    </row>
    <row r="198">
      <c r="A198" s="54" t="inlineStr">
        <is>
          <t>2605503</t>
        </is>
      </c>
      <c r="B198" s="54" t="inlineStr">
        <is>
          <t>DTTL L31 reception Led Wall Audio DSP Repair</t>
        </is>
      </c>
      <c r="C198" s="55">
        <f>SUMIFS(tbl_WIP[Amount],tbl_WIP[Job Number],$A198,tbl_WIP[Month],"&lt;&gt;",tbl_WIP[Month],"&lt;"&amp;$C$4)+SUMIF('Deferred Revenue'!$E$6:$E$579,$A198,'Deferred Revenue'!$P$6:$P$579)</f>
        <v/>
      </c>
      <c r="D198" s="55">
        <f>SUMIFS(tbl_WIP[Amount],tbl_WIP[Job Number],$A198,tbl_WIP[Month],$C$4)+SUMIF('Deferred Revenue'!$E$6:$E$579,$A198,'Deferred Revenue'!$Q$6:$Q$579)</f>
        <v/>
      </c>
      <c r="E198" s="55">
        <f>C198+D198</f>
        <v/>
      </c>
      <c r="F198" s="56">
        <f>IF(ROUND(C198,2)+ROUND(D198,2)=0,"","yes")</f>
        <v/>
      </c>
      <c r="G198" s="57" t="n"/>
      <c r="H198" s="55">
        <f>IF($G198="","",$E198-$G198)</f>
        <v/>
      </c>
    </row>
    <row r="199">
      <c r="A199" s="54" t="inlineStr">
        <is>
          <t>2605605</t>
        </is>
      </c>
      <c r="B199" s="54" t="inlineStr">
        <is>
          <t>DTTL Hobart AV Fitout</t>
        </is>
      </c>
      <c r="C199" s="55">
        <f>SUMIFS(tbl_WIP[Amount],tbl_WIP[Job Number],$A199,tbl_WIP[Month],"&lt;&gt;",tbl_WIP[Month],"&lt;"&amp;$C$4)+SUMIF('Deferred Revenue'!$E$6:$E$579,$A199,'Deferred Revenue'!$P$6:$P$579)</f>
        <v/>
      </c>
      <c r="D199" s="55">
        <f>SUMIFS(tbl_WIP[Amount],tbl_WIP[Job Number],$A199,tbl_WIP[Month],$C$4)+SUMIF('Deferred Revenue'!$E$6:$E$579,$A199,'Deferred Revenue'!$Q$6:$Q$579)</f>
        <v/>
      </c>
      <c r="E199" s="55">
        <f>C199+D199</f>
        <v/>
      </c>
      <c r="F199" s="56">
        <f>IF(ROUND(C199,2)+ROUND(D199,2)=0,"","yes")</f>
        <v/>
      </c>
      <c r="G199" s="57" t="n"/>
      <c r="H199" s="55">
        <f>IF($G199="","",$E199-$G199)</f>
        <v/>
      </c>
    </row>
    <row r="200">
      <c r="A200" s="54" t="inlineStr">
        <is>
          <t>2605606</t>
        </is>
      </c>
      <c r="B200" s="54" t="inlineStr">
        <is>
          <t>Ventia Internal Townhall 8.05.26</t>
        </is>
      </c>
      <c r="C200" s="55">
        <f>SUMIFS(tbl_WIP[Amount],tbl_WIP[Job Number],$A200,tbl_WIP[Month],"&lt;&gt;",tbl_WIP[Month],"&lt;"&amp;$C$4)+SUMIF('Deferred Revenue'!$E$6:$E$579,$A200,'Deferred Revenue'!$P$6:$P$579)</f>
        <v/>
      </c>
      <c r="D200" s="55">
        <f>SUMIFS(tbl_WIP[Amount],tbl_WIP[Job Number],$A200,tbl_WIP[Month],$C$4)+SUMIF('Deferred Revenue'!$E$6:$E$579,$A200,'Deferred Revenue'!$Q$6:$Q$579)</f>
        <v/>
      </c>
      <c r="E200" s="55">
        <f>C200+D200</f>
        <v/>
      </c>
      <c r="F200" s="56">
        <f>IF(ROUND(C200,2)+ROUND(D200,2)=0,"","yes")</f>
        <v/>
      </c>
      <c r="G200" s="57" t="n"/>
      <c r="H200" s="55">
        <f>IF($G200="","",$E200-$G200)</f>
        <v/>
      </c>
    </row>
    <row r="201">
      <c r="A201" s="54" t="inlineStr">
        <is>
          <t>2605606V</t>
        </is>
      </c>
      <c r="B201" s="54" t="inlineStr">
        <is>
          <t>Ventia Internal Townhall 8.05.26</t>
        </is>
      </c>
      <c r="C201" s="55">
        <f>SUMIFS(tbl_WIP[Amount],tbl_WIP[Job Number],$A201,tbl_WIP[Month],"&lt;&gt;",tbl_WIP[Month],"&lt;"&amp;$C$4)+SUMIF('Deferred Revenue'!$E$6:$E$579,$A201,'Deferred Revenue'!$P$6:$P$579)</f>
        <v/>
      </c>
      <c r="D201" s="55">
        <f>SUMIFS(tbl_WIP[Amount],tbl_WIP[Job Number],$A201,tbl_WIP[Month],$C$4)+SUMIF('Deferred Revenue'!$E$6:$E$579,$A201,'Deferred Revenue'!$Q$6:$Q$579)</f>
        <v/>
      </c>
      <c r="E201" s="55">
        <f>C201+D201</f>
        <v/>
      </c>
      <c r="F201" s="56">
        <f>IF(ROUND(C201,2)+ROUND(D201,2)=0,"","yes")</f>
        <v/>
      </c>
      <c r="G201" s="57" t="n"/>
      <c r="H201" s="55">
        <f>IF($G201="","",$E201-$G201)</f>
        <v/>
      </c>
    </row>
    <row r="202">
      <c r="A202" s="54" t="inlineStr">
        <is>
          <t>2605609</t>
        </is>
      </c>
      <c r="B202" s="54" t="inlineStr">
        <is>
          <t>ASX - CEO Farewell - 27.5.26</t>
        </is>
      </c>
      <c r="C202" s="55">
        <f>SUMIFS(tbl_WIP[Amount],tbl_WIP[Job Number],$A202,tbl_WIP[Month],"&lt;&gt;",tbl_WIP[Month],"&lt;"&amp;$C$4)+SUMIF('Deferred Revenue'!$E$6:$E$579,$A202,'Deferred Revenue'!$P$6:$P$579)</f>
        <v/>
      </c>
      <c r="D202" s="55">
        <f>SUMIFS(tbl_WIP[Amount],tbl_WIP[Job Number],$A202,tbl_WIP[Month],$C$4)+SUMIF('Deferred Revenue'!$E$6:$E$579,$A202,'Deferred Revenue'!$Q$6:$Q$579)</f>
        <v/>
      </c>
      <c r="E202" s="55">
        <f>C202+D202</f>
        <v/>
      </c>
      <c r="F202" s="56">
        <f>IF(ROUND(C202,2)+ROUND(D202,2)=0,"","yes")</f>
        <v/>
      </c>
      <c r="G202" s="57" t="n"/>
      <c r="H202" s="55">
        <f>IF($G202="","",$E202-$G202)</f>
        <v/>
      </c>
    </row>
    <row r="203">
      <c r="A203" s="54" t="inlineStr">
        <is>
          <t>2605609V</t>
        </is>
      </c>
      <c r="B203" s="54" t="inlineStr">
        <is>
          <t>ASX - CEO Farewell - 27.5.26</t>
        </is>
      </c>
      <c r="C203" s="55">
        <f>SUMIFS(tbl_WIP[Amount],tbl_WIP[Job Number],$A203,tbl_WIP[Month],"&lt;&gt;",tbl_WIP[Month],"&lt;"&amp;$C$4)+SUMIF('Deferred Revenue'!$E$6:$E$579,$A203,'Deferred Revenue'!$P$6:$P$579)</f>
        <v/>
      </c>
      <c r="D203" s="55">
        <f>SUMIFS(tbl_WIP[Amount],tbl_WIP[Job Number],$A203,tbl_WIP[Month],$C$4)+SUMIF('Deferred Revenue'!$E$6:$E$579,$A203,'Deferred Revenue'!$Q$6:$Q$579)</f>
        <v/>
      </c>
      <c r="E203" s="55">
        <f>C203+D203</f>
        <v/>
      </c>
      <c r="F203" s="56">
        <f>IF(ROUND(C203,2)+ROUND(D203,2)=0,"","yes")</f>
        <v/>
      </c>
      <c r="G203" s="57" t="n"/>
      <c r="H203" s="55">
        <f>IF($G203="","",$E203-$G203)</f>
        <v/>
      </c>
    </row>
    <row r="204">
      <c r="A204" s="54" t="inlineStr">
        <is>
          <t>2605610</t>
        </is>
      </c>
      <c r="B204" s="54" t="inlineStr">
        <is>
          <t>ASX CEO Farewell Additional Costs</t>
        </is>
      </c>
      <c r="C204" s="55">
        <f>SUMIFS(tbl_WIP[Amount],tbl_WIP[Job Number],$A204,tbl_WIP[Month],"&lt;&gt;",tbl_WIP[Month],"&lt;"&amp;$C$4)+SUMIF('Deferred Revenue'!$E$6:$E$579,$A204,'Deferred Revenue'!$P$6:$P$579)</f>
        <v/>
      </c>
      <c r="D204" s="55">
        <f>SUMIFS(tbl_WIP[Amount],tbl_WIP[Job Number],$A204,tbl_WIP[Month],$C$4)+SUMIF('Deferred Revenue'!$E$6:$E$579,$A204,'Deferred Revenue'!$Q$6:$Q$579)</f>
        <v/>
      </c>
      <c r="E204" s="55">
        <f>C204+D204</f>
        <v/>
      </c>
      <c r="F204" s="56">
        <f>IF(ROUND(C204,2)+ROUND(D204,2)=0,"","yes")</f>
        <v/>
      </c>
      <c r="G204" s="57" t="n"/>
      <c r="H204" s="55">
        <f>IF($G204="","",$E204-$G204)</f>
        <v/>
      </c>
    </row>
    <row r="205">
      <c r="A205" s="54" t="inlineStr">
        <is>
          <t>2605704</t>
        </is>
      </c>
      <c r="B205" s="54" t="inlineStr">
        <is>
          <t>CBA CBPS Auditorium Upgrade</t>
        </is>
      </c>
      <c r="C205" s="55">
        <f>SUMIFS(tbl_WIP[Amount],tbl_WIP[Job Number],$A205,tbl_WIP[Month],"&lt;&gt;",tbl_WIP[Month],"&lt;"&amp;$C$4)+SUMIF('Deferred Revenue'!$E$6:$E$579,$A205,'Deferred Revenue'!$P$6:$P$579)</f>
        <v/>
      </c>
      <c r="D205" s="55">
        <f>SUMIFS(tbl_WIP[Amount],tbl_WIP[Job Number],$A205,tbl_WIP[Month],$C$4)+SUMIF('Deferred Revenue'!$E$6:$E$579,$A205,'Deferred Revenue'!$Q$6:$Q$579)</f>
        <v/>
      </c>
      <c r="E205" s="55">
        <f>C205+D205</f>
        <v/>
      </c>
      <c r="F205" s="56">
        <f>IF(ROUND(C205,2)+ROUND(D205,2)=0,"","yes")</f>
        <v/>
      </c>
      <c r="G205" s="57" t="n"/>
      <c r="H205" s="55">
        <f>IF($G205="","",$E205-$G205)</f>
        <v/>
      </c>
    </row>
    <row r="206">
      <c r="A206" s="54" t="inlineStr">
        <is>
          <t>2605801</t>
        </is>
      </c>
      <c r="B206" s="54" t="inlineStr">
        <is>
          <t>Dimensional - AV Support - 3-4.6.26</t>
        </is>
      </c>
      <c r="C206" s="55">
        <f>SUMIFS(tbl_WIP[Amount],tbl_WIP[Job Number],$A206,tbl_WIP[Month],"&lt;&gt;",tbl_WIP[Month],"&lt;"&amp;$C$4)+SUMIF('Deferred Revenue'!$E$6:$E$579,$A206,'Deferred Revenue'!$P$6:$P$579)</f>
        <v/>
      </c>
      <c r="D206" s="55">
        <f>SUMIFS(tbl_WIP[Amount],tbl_WIP[Job Number],$A206,tbl_WIP[Month],$C$4)+SUMIF('Deferred Revenue'!$E$6:$E$579,$A206,'Deferred Revenue'!$Q$6:$Q$579)</f>
        <v/>
      </c>
      <c r="E206" s="55">
        <f>C206+D206</f>
        <v/>
      </c>
      <c r="F206" s="56">
        <f>IF(ROUND(C206,2)+ROUND(D206,2)=0,"","yes")</f>
        <v/>
      </c>
      <c r="G206" s="57" t="n"/>
      <c r="H206" s="55">
        <f>IF($G206="","",$E206-$G206)</f>
        <v/>
      </c>
    </row>
    <row r="207">
      <c r="A207" s="54" t="inlineStr">
        <is>
          <t>2605803</t>
        </is>
      </c>
      <c r="B207" s="54" t="inlineStr">
        <is>
          <t>St Catherine's - Dedicated Tech - 12.6.26</t>
        </is>
      </c>
      <c r="C207" s="55">
        <f>SUMIFS(tbl_WIP[Amount],tbl_WIP[Job Number],$A207,tbl_WIP[Month],"&lt;&gt;",tbl_WIP[Month],"&lt;"&amp;$C$4)+SUMIF('Deferred Revenue'!$E$6:$E$579,$A207,'Deferred Revenue'!$P$6:$P$579)</f>
        <v/>
      </c>
      <c r="D207" s="55">
        <f>SUMIFS(tbl_WIP[Amount],tbl_WIP[Job Number],$A207,tbl_WIP[Month],$C$4)+SUMIF('Deferred Revenue'!$E$6:$E$579,$A207,'Deferred Revenue'!$Q$6:$Q$579)</f>
        <v/>
      </c>
      <c r="E207" s="55">
        <f>C207+D207</f>
        <v/>
      </c>
      <c r="F207" s="56">
        <f>IF(ROUND(C207,2)+ROUND(D207,2)=0,"","yes")</f>
        <v/>
      </c>
      <c r="G207" s="57" t="n"/>
      <c r="H207" s="55">
        <f>IF($G207="","",$E207-$G207)</f>
        <v/>
      </c>
    </row>
    <row r="208">
      <c r="A208" s="54" t="inlineStr">
        <is>
          <t>2605804</t>
        </is>
      </c>
      <c r="B208" s="54" t="inlineStr">
        <is>
          <t>City of Sydney Supply of Barco Projector Shutters</t>
        </is>
      </c>
      <c r="C208" s="55">
        <f>SUMIFS(tbl_WIP[Amount],tbl_WIP[Job Number],$A208,tbl_WIP[Month],"&lt;&gt;",tbl_WIP[Month],"&lt;"&amp;$C$4)+SUMIF('Deferred Revenue'!$E$6:$E$579,$A208,'Deferred Revenue'!$P$6:$P$579)</f>
        <v/>
      </c>
      <c r="D208" s="55">
        <f>SUMIFS(tbl_WIP[Amount],tbl_WIP[Job Number],$A208,tbl_WIP[Month],$C$4)+SUMIF('Deferred Revenue'!$E$6:$E$579,$A208,'Deferred Revenue'!$Q$6:$Q$579)</f>
        <v/>
      </c>
      <c r="E208" s="55">
        <f>C208+D208</f>
        <v/>
      </c>
      <c r="F208" s="56">
        <f>IF(ROUND(C208,2)+ROUND(D208,2)=0,"","yes")</f>
        <v/>
      </c>
      <c r="G208" s="57" t="n"/>
      <c r="H208" s="55">
        <f>IF($G208="","",$E208-$G208)</f>
        <v/>
      </c>
    </row>
    <row r="209">
      <c r="A209" s="54" t="inlineStr">
        <is>
          <t>2605806</t>
        </is>
      </c>
      <c r="B209" s="54" t="inlineStr">
        <is>
          <t>Aware Super AV Fitout @ 555 Collins Street MEL</t>
        </is>
      </c>
      <c r="C209" s="55">
        <f>SUMIFS(tbl_WIP[Amount],tbl_WIP[Job Number],$A209,tbl_WIP[Month],"&lt;&gt;",tbl_WIP[Month],"&lt;"&amp;$C$4)+SUMIF('Deferred Revenue'!$E$6:$E$579,$A209,'Deferred Revenue'!$P$6:$P$579)</f>
        <v/>
      </c>
      <c r="D209" s="55">
        <f>SUMIFS(tbl_WIP[Amount],tbl_WIP[Job Number],$A209,tbl_WIP[Month],$C$4)+SUMIF('Deferred Revenue'!$E$6:$E$579,$A209,'Deferred Revenue'!$Q$6:$Q$579)</f>
        <v/>
      </c>
      <c r="E209" s="55">
        <f>C209+D209</f>
        <v/>
      </c>
      <c r="F209" s="56">
        <f>IF(ROUND(C209,2)+ROUND(D209,2)=0,"","yes")</f>
        <v/>
      </c>
      <c r="G209" s="57" t="n"/>
      <c r="H209" s="55">
        <f>IF($G209="","",$E209-$G209)</f>
        <v/>
      </c>
    </row>
    <row r="210">
      <c r="A210" s="54" t="inlineStr">
        <is>
          <t>26061001</t>
        </is>
      </c>
      <c r="B210" s="54" t="inlineStr">
        <is>
          <t>Garvan August All Clear Event 25.8.26</t>
        </is>
      </c>
      <c r="C210" s="55">
        <f>SUMIFS(tbl_WIP[Amount],tbl_WIP[Job Number],$A210,tbl_WIP[Month],"&lt;&gt;",tbl_WIP[Month],"&lt;"&amp;$C$4)+SUMIF('Deferred Revenue'!$E$6:$E$579,$A210,'Deferred Revenue'!$P$6:$P$579)</f>
        <v/>
      </c>
      <c r="D210" s="55">
        <f>SUMIFS(tbl_WIP[Amount],tbl_WIP[Job Number],$A210,tbl_WIP[Month],$C$4)+SUMIF('Deferred Revenue'!$E$6:$E$579,$A210,'Deferred Revenue'!$Q$6:$Q$579)</f>
        <v/>
      </c>
      <c r="E210" s="55">
        <f>C210+D210</f>
        <v/>
      </c>
      <c r="F210" s="56">
        <f>IF(ROUND(C210,2)+ROUND(D210,2)=0,"","yes")</f>
        <v/>
      </c>
      <c r="G210" s="57" t="n"/>
      <c r="H210" s="55">
        <f>IF($G210="","",$E210-$G210)</f>
        <v/>
      </c>
    </row>
    <row r="211">
      <c r="A211" s="54" t="inlineStr">
        <is>
          <t>26061002</t>
        </is>
      </c>
      <c r="B211" s="54" t="inlineStr">
        <is>
          <t>Optiver - Fireside Event Support - 18.6.26</t>
        </is>
      </c>
      <c r="C211" s="55">
        <f>SUMIFS(tbl_WIP[Amount],tbl_WIP[Job Number],$A211,tbl_WIP[Month],"&lt;&gt;",tbl_WIP[Month],"&lt;"&amp;$C$4)+SUMIF('Deferred Revenue'!$E$6:$E$579,$A211,'Deferred Revenue'!$P$6:$P$579)</f>
        <v/>
      </c>
      <c r="D211" s="55">
        <f>SUMIFS(tbl_WIP[Amount],tbl_WIP[Job Number],$A211,tbl_WIP[Month],$C$4)+SUMIF('Deferred Revenue'!$E$6:$E$579,$A211,'Deferred Revenue'!$Q$6:$Q$579)</f>
        <v/>
      </c>
      <c r="E211" s="55">
        <f>C211+D211</f>
        <v/>
      </c>
      <c r="F211" s="56">
        <f>IF(ROUND(C211,2)+ROUND(D211,2)=0,"","yes")</f>
        <v/>
      </c>
      <c r="G211" s="57" t="n"/>
      <c r="H211" s="55">
        <f>IF($G211="","",$E211-$G211)</f>
        <v/>
      </c>
    </row>
    <row r="212">
      <c r="A212" s="54" t="inlineStr">
        <is>
          <t>26061002V</t>
        </is>
      </c>
      <c r="B212" s="54" t="inlineStr">
        <is>
          <t>Optiver - Fireside Event Support - 18.6.26</t>
        </is>
      </c>
      <c r="C212" s="55">
        <f>SUMIFS(tbl_WIP[Amount],tbl_WIP[Job Number],$A212,tbl_WIP[Month],"&lt;&gt;",tbl_WIP[Month],"&lt;"&amp;$C$4)+SUMIF('Deferred Revenue'!$E$6:$E$579,$A212,'Deferred Revenue'!$P$6:$P$579)</f>
        <v/>
      </c>
      <c r="D212" s="55">
        <f>SUMIFS(tbl_WIP[Amount],tbl_WIP[Job Number],$A212,tbl_WIP[Month],$C$4)+SUMIF('Deferred Revenue'!$E$6:$E$579,$A212,'Deferred Revenue'!$Q$6:$Q$579)</f>
        <v/>
      </c>
      <c r="E212" s="55">
        <f>C212+D212</f>
        <v/>
      </c>
      <c r="F212" s="56">
        <f>IF(ROUND(C212,2)+ROUND(D212,2)=0,"","yes")</f>
        <v/>
      </c>
      <c r="G212" s="57" t="n"/>
      <c r="H212" s="55">
        <f>IF($G212="","",$E212-$G212)</f>
        <v/>
      </c>
    </row>
    <row r="213">
      <c r="A213" s="54" t="inlineStr">
        <is>
          <t>26061102</t>
        </is>
      </c>
      <c r="B213" s="54" t="inlineStr">
        <is>
          <t>CSE Invest Sri Lanka | 16.8.26</t>
        </is>
      </c>
      <c r="C213" s="55">
        <f>SUMIFS(tbl_WIP[Amount],tbl_WIP[Job Number],$A213,tbl_WIP[Month],"&lt;&gt;",tbl_WIP[Month],"&lt;"&amp;$C$4)+SUMIF('Deferred Revenue'!$E$6:$E$579,$A213,'Deferred Revenue'!$P$6:$P$579)</f>
        <v/>
      </c>
      <c r="D213" s="55">
        <f>SUMIFS(tbl_WIP[Amount],tbl_WIP[Job Number],$A213,tbl_WIP[Month],$C$4)+SUMIF('Deferred Revenue'!$E$6:$E$579,$A213,'Deferred Revenue'!$Q$6:$Q$579)</f>
        <v/>
      </c>
      <c r="E213" s="55">
        <f>C213+D213</f>
        <v/>
      </c>
      <c r="F213" s="56">
        <f>IF(ROUND(C213,2)+ROUND(D213,2)=0,"","yes")</f>
        <v/>
      </c>
      <c r="G213" s="57" t="n"/>
      <c r="H213" s="55">
        <f>IF($G213="","",$E213-$G213)</f>
        <v/>
      </c>
    </row>
    <row r="214">
      <c r="A214" s="54" t="inlineStr">
        <is>
          <t>26061102V</t>
        </is>
      </c>
      <c r="B214" s="54" t="inlineStr">
        <is>
          <t>CSE Invest Sri Lanka | 16.8.26</t>
        </is>
      </c>
      <c r="C214" s="55">
        <f>SUMIFS(tbl_WIP[Amount],tbl_WIP[Job Number],$A214,tbl_WIP[Month],"&lt;&gt;",tbl_WIP[Month],"&lt;"&amp;$C$4)+SUMIF('Deferred Revenue'!$E$6:$E$579,$A214,'Deferred Revenue'!$P$6:$P$579)</f>
        <v/>
      </c>
      <c r="D214" s="55">
        <f>SUMIFS(tbl_WIP[Amount],tbl_WIP[Job Number],$A214,tbl_WIP[Month],$C$4)+SUMIF('Deferred Revenue'!$E$6:$E$579,$A214,'Deferred Revenue'!$Q$6:$Q$579)</f>
        <v/>
      </c>
      <c r="E214" s="55">
        <f>C214+D214</f>
        <v/>
      </c>
      <c r="F214" s="56">
        <f>IF(ROUND(C214,2)+ROUND(D214,2)=0,"","yes")</f>
        <v/>
      </c>
      <c r="G214" s="57" t="n"/>
      <c r="H214" s="55">
        <f>IF($G214="","",$E214-$G214)</f>
        <v/>
      </c>
    </row>
    <row r="215">
      <c r="A215" s="54" t="inlineStr">
        <is>
          <t>26061103</t>
        </is>
      </c>
      <c r="B215" s="54" t="inlineStr">
        <is>
          <t>Circadia Australia Elevate | 14.8.26</t>
        </is>
      </c>
      <c r="C215" s="55">
        <f>SUMIFS(tbl_WIP[Amount],tbl_WIP[Job Number],$A215,tbl_WIP[Month],"&lt;&gt;",tbl_WIP[Month],"&lt;"&amp;$C$4)+SUMIF('Deferred Revenue'!$E$6:$E$579,$A215,'Deferred Revenue'!$P$6:$P$579)</f>
        <v/>
      </c>
      <c r="D215" s="55">
        <f>SUMIFS(tbl_WIP[Amount],tbl_WIP[Job Number],$A215,tbl_WIP[Month],$C$4)+SUMIF('Deferred Revenue'!$E$6:$E$579,$A215,'Deferred Revenue'!$Q$6:$Q$579)</f>
        <v/>
      </c>
      <c r="E215" s="55">
        <f>C215+D215</f>
        <v/>
      </c>
      <c r="F215" s="56">
        <f>IF(ROUND(C215,2)+ROUND(D215,2)=0,"","yes")</f>
        <v/>
      </c>
      <c r="G215" s="57" t="n"/>
      <c r="H215" s="55">
        <f>IF($G215="","",$E215-$G215)</f>
        <v/>
      </c>
    </row>
    <row r="216">
      <c r="A216" s="54" t="inlineStr">
        <is>
          <t>26061103V</t>
        </is>
      </c>
      <c r="B216" s="54" t="inlineStr">
        <is>
          <t>Circadia Australia Elevate | 14.8.26</t>
        </is>
      </c>
      <c r="C216" s="55">
        <f>SUMIFS(tbl_WIP[Amount],tbl_WIP[Job Number],$A216,tbl_WIP[Month],"&lt;&gt;",tbl_WIP[Month],"&lt;"&amp;$C$4)+SUMIF('Deferred Revenue'!$E$6:$E$579,$A216,'Deferred Revenue'!$P$6:$P$579)</f>
        <v/>
      </c>
      <c r="D216" s="55">
        <f>SUMIFS(tbl_WIP[Amount],tbl_WIP[Job Number],$A216,tbl_WIP[Month],$C$4)+SUMIF('Deferred Revenue'!$E$6:$E$579,$A216,'Deferred Revenue'!$Q$6:$Q$579)</f>
        <v/>
      </c>
      <c r="E216" s="55">
        <f>C216+D216</f>
        <v/>
      </c>
      <c r="F216" s="56">
        <f>IF(ROUND(C216,2)+ROUND(D216,2)=0,"","yes")</f>
        <v/>
      </c>
      <c r="G216" s="57" t="n"/>
      <c r="H216" s="55">
        <f>IF($G216="","",$E216-$G216)</f>
        <v/>
      </c>
    </row>
    <row r="217">
      <c r="A217" s="54" t="inlineStr">
        <is>
          <t>26061104</t>
        </is>
      </c>
      <c r="B217" s="54" t="inlineStr">
        <is>
          <t>MUFG - FYR26 - 12.8.26</t>
        </is>
      </c>
      <c r="C217" s="55">
        <f>SUMIFS(tbl_WIP[Amount],tbl_WIP[Job Number],$A217,tbl_WIP[Month],"&lt;&gt;",tbl_WIP[Month],"&lt;"&amp;$C$4)+SUMIF('Deferred Revenue'!$E$6:$E$579,$A217,'Deferred Revenue'!$P$6:$P$579)</f>
        <v/>
      </c>
      <c r="D217" s="55">
        <f>SUMIFS(tbl_WIP[Amount],tbl_WIP[Job Number],$A217,tbl_WIP[Month],$C$4)+SUMIF('Deferred Revenue'!$E$6:$E$579,$A217,'Deferred Revenue'!$Q$6:$Q$579)</f>
        <v/>
      </c>
      <c r="E217" s="55">
        <f>C217+D217</f>
        <v/>
      </c>
      <c r="F217" s="56">
        <f>IF(ROUND(C217,2)+ROUND(D217,2)=0,"","yes")</f>
        <v/>
      </c>
      <c r="G217" s="57" t="n"/>
      <c r="H217" s="55">
        <f>IF($G217="","",$E217-$G217)</f>
        <v/>
      </c>
    </row>
    <row r="218">
      <c r="A218" s="54" t="inlineStr">
        <is>
          <t>26061104V</t>
        </is>
      </c>
      <c r="B218" s="54" t="inlineStr">
        <is>
          <t>MUFG - FYR26 - 12.8.26</t>
        </is>
      </c>
      <c r="C218" s="55">
        <f>SUMIFS(tbl_WIP[Amount],tbl_WIP[Job Number],$A218,tbl_WIP[Month],"&lt;&gt;",tbl_WIP[Month],"&lt;"&amp;$C$4)+SUMIF('Deferred Revenue'!$E$6:$E$579,$A218,'Deferred Revenue'!$P$6:$P$579)</f>
        <v/>
      </c>
      <c r="D218" s="55">
        <f>SUMIFS(tbl_WIP[Amount],tbl_WIP[Job Number],$A218,tbl_WIP[Month],$C$4)+SUMIF('Deferred Revenue'!$E$6:$E$579,$A218,'Deferred Revenue'!$Q$6:$Q$579)</f>
        <v/>
      </c>
      <c r="E218" s="55">
        <f>C218+D218</f>
        <v/>
      </c>
      <c r="F218" s="56">
        <f>IF(ROUND(C218,2)+ROUND(D218,2)=0,"","yes")</f>
        <v/>
      </c>
      <c r="G218" s="57" t="n"/>
      <c r="H218" s="55">
        <f>IF($G218="","",$E218-$G218)</f>
        <v/>
      </c>
    </row>
    <row r="219">
      <c r="A219" s="54" t="inlineStr">
        <is>
          <t>26061105</t>
        </is>
      </c>
      <c r="B219" s="54" t="inlineStr">
        <is>
          <t>CBA - FYR 2026 - 12.8.26</t>
        </is>
      </c>
      <c r="C219" s="55">
        <f>SUMIFS(tbl_WIP[Amount],tbl_WIP[Job Number],$A219,tbl_WIP[Month],"&lt;&gt;",tbl_WIP[Month],"&lt;"&amp;$C$4)+SUMIF('Deferred Revenue'!$E$6:$E$579,$A219,'Deferred Revenue'!$P$6:$P$579)</f>
        <v/>
      </c>
      <c r="D219" s="55">
        <f>SUMIFS(tbl_WIP[Amount],tbl_WIP[Job Number],$A219,tbl_WIP[Month],$C$4)+SUMIF('Deferred Revenue'!$E$6:$E$579,$A219,'Deferred Revenue'!$Q$6:$Q$579)</f>
        <v/>
      </c>
      <c r="E219" s="55">
        <f>C219+D219</f>
        <v/>
      </c>
      <c r="F219" s="56">
        <f>IF(ROUND(C219,2)+ROUND(D219,2)=0,"","yes")</f>
        <v/>
      </c>
      <c r="G219" s="57" t="n"/>
      <c r="H219" s="55">
        <f>IF($G219="","",$E219-$G219)</f>
        <v/>
      </c>
    </row>
    <row r="220">
      <c r="A220" s="54" t="inlineStr">
        <is>
          <t>26061105V</t>
        </is>
      </c>
      <c r="B220" s="54" t="inlineStr">
        <is>
          <t>CBA - FYR 2026 - 12.8.26</t>
        </is>
      </c>
      <c r="C220" s="55">
        <f>SUMIFS(tbl_WIP[Amount],tbl_WIP[Job Number],$A220,tbl_WIP[Month],"&lt;&gt;",tbl_WIP[Month],"&lt;"&amp;$C$4)+SUMIF('Deferred Revenue'!$E$6:$E$579,$A220,'Deferred Revenue'!$P$6:$P$579)</f>
        <v/>
      </c>
      <c r="D220" s="55">
        <f>SUMIFS(tbl_WIP[Amount],tbl_WIP[Job Number],$A220,tbl_WIP[Month],$C$4)+SUMIF('Deferred Revenue'!$E$6:$E$579,$A220,'Deferred Revenue'!$Q$6:$Q$579)</f>
        <v/>
      </c>
      <c r="E220" s="55">
        <f>C220+D220</f>
        <v/>
      </c>
      <c r="F220" s="56">
        <f>IF(ROUND(C220,2)+ROUND(D220,2)=0,"","yes")</f>
        <v/>
      </c>
      <c r="G220" s="57" t="n"/>
      <c r="H220" s="55">
        <f>IF($G220="","",$E220-$G220)</f>
        <v/>
      </c>
    </row>
    <row r="221">
      <c r="A221" s="54" t="inlineStr">
        <is>
          <t>26061106</t>
        </is>
      </c>
      <c r="B221" s="54" t="inlineStr">
        <is>
          <t>TLC Full Year Results MEL</t>
        </is>
      </c>
      <c r="C221" s="55">
        <f>SUMIFS(tbl_WIP[Amount],tbl_WIP[Job Number],$A221,tbl_WIP[Month],"&lt;&gt;",tbl_WIP[Month],"&lt;"&amp;$C$4)+SUMIF('Deferred Revenue'!$E$6:$E$579,$A221,'Deferred Revenue'!$P$6:$P$579)</f>
        <v/>
      </c>
      <c r="D221" s="55">
        <f>SUMIFS(tbl_WIP[Amount],tbl_WIP[Job Number],$A221,tbl_WIP[Month],$C$4)+SUMIF('Deferred Revenue'!$E$6:$E$579,$A221,'Deferred Revenue'!$Q$6:$Q$579)</f>
        <v/>
      </c>
      <c r="E221" s="55">
        <f>C221+D221</f>
        <v/>
      </c>
      <c r="F221" s="56">
        <f>IF(ROUND(C221,2)+ROUND(D221,2)=0,"","yes")</f>
        <v/>
      </c>
      <c r="G221" s="57" t="n"/>
      <c r="H221" s="55">
        <f>IF($G221="","",$E221-$G221)</f>
        <v/>
      </c>
    </row>
    <row r="222">
      <c r="A222" s="54" t="inlineStr">
        <is>
          <t>26061106V</t>
        </is>
      </c>
      <c r="B222" s="54" t="inlineStr">
        <is>
          <t>TLC Full Year Results MEL</t>
        </is>
      </c>
      <c r="C222" s="55">
        <f>SUMIFS(tbl_WIP[Amount],tbl_WIP[Job Number],$A222,tbl_WIP[Month],"&lt;&gt;",tbl_WIP[Month],"&lt;"&amp;$C$4)+SUMIF('Deferred Revenue'!$E$6:$E$579,$A222,'Deferred Revenue'!$P$6:$P$579)</f>
        <v/>
      </c>
      <c r="D222" s="55">
        <f>SUMIFS(tbl_WIP[Amount],tbl_WIP[Job Number],$A222,tbl_WIP[Month],$C$4)+SUMIF('Deferred Revenue'!$E$6:$E$579,$A222,'Deferred Revenue'!$Q$6:$Q$579)</f>
        <v/>
      </c>
      <c r="E222" s="55">
        <f>C222+D222</f>
        <v/>
      </c>
      <c r="F222" s="56">
        <f>IF(ROUND(C222,2)+ROUND(D222,2)=0,"","yes")</f>
        <v/>
      </c>
      <c r="G222" s="57" t="n"/>
      <c r="H222" s="55">
        <f>IF($G222="","",$E222-$G222)</f>
        <v/>
      </c>
    </row>
    <row r="223">
      <c r="A223" s="54" t="inlineStr">
        <is>
          <t>26061107</t>
        </is>
      </c>
      <c r="B223" s="54" t="inlineStr">
        <is>
          <t>Downer - FYR 2026 - 20.8.26</t>
        </is>
      </c>
      <c r="C223" s="55">
        <f>SUMIFS(tbl_WIP[Amount],tbl_WIP[Job Number],$A223,tbl_WIP[Month],"&lt;&gt;",tbl_WIP[Month],"&lt;"&amp;$C$4)+SUMIF('Deferred Revenue'!$E$6:$E$579,$A223,'Deferred Revenue'!$P$6:$P$579)</f>
        <v/>
      </c>
      <c r="D223" s="55">
        <f>SUMIFS(tbl_WIP[Amount],tbl_WIP[Job Number],$A223,tbl_WIP[Month],$C$4)+SUMIF('Deferred Revenue'!$E$6:$E$579,$A223,'Deferred Revenue'!$Q$6:$Q$579)</f>
        <v/>
      </c>
      <c r="E223" s="55">
        <f>C223+D223</f>
        <v/>
      </c>
      <c r="F223" s="56">
        <f>IF(ROUND(C223,2)+ROUND(D223,2)=0,"","yes")</f>
        <v/>
      </c>
      <c r="G223" s="57" t="n"/>
      <c r="H223" s="55">
        <f>IF($G223="","",$E223-$G223)</f>
        <v/>
      </c>
    </row>
    <row r="224">
      <c r="A224" s="54" t="inlineStr">
        <is>
          <t>26061107V</t>
        </is>
      </c>
      <c r="B224" s="54" t="inlineStr">
        <is>
          <t>Downer - FYR 2026 - 20.8.26</t>
        </is>
      </c>
      <c r="C224" s="55">
        <f>SUMIFS(tbl_WIP[Amount],tbl_WIP[Job Number],$A224,tbl_WIP[Month],"&lt;&gt;",tbl_WIP[Month],"&lt;"&amp;$C$4)+SUMIF('Deferred Revenue'!$E$6:$E$579,$A224,'Deferred Revenue'!$P$6:$P$579)</f>
        <v/>
      </c>
      <c r="D224" s="55">
        <f>SUMIFS(tbl_WIP[Amount],tbl_WIP[Job Number],$A224,tbl_WIP[Month],$C$4)+SUMIF('Deferred Revenue'!$E$6:$E$579,$A224,'Deferred Revenue'!$Q$6:$Q$579)</f>
        <v/>
      </c>
      <c r="E224" s="55">
        <f>C224+D224</f>
        <v/>
      </c>
      <c r="F224" s="56">
        <f>IF(ROUND(C224,2)+ROUND(D224,2)=0,"","yes")</f>
        <v/>
      </c>
      <c r="G224" s="57" t="n"/>
      <c r="H224" s="55">
        <f>IF($G224="","",$E224-$G224)</f>
        <v/>
      </c>
    </row>
    <row r="225">
      <c r="A225" s="54" t="inlineStr">
        <is>
          <t>26061108</t>
        </is>
      </c>
      <c r="B225" s="54" t="inlineStr">
        <is>
          <t>APA - Qtly All Hands FYR26 - 20.8.26</t>
        </is>
      </c>
      <c r="C225" s="55">
        <f>SUMIFS(tbl_WIP[Amount],tbl_WIP[Job Number],$A225,tbl_WIP[Month],"&lt;&gt;",tbl_WIP[Month],"&lt;"&amp;$C$4)+SUMIF('Deferred Revenue'!$E$6:$E$579,$A225,'Deferred Revenue'!$P$6:$P$579)</f>
        <v/>
      </c>
      <c r="D225" s="55">
        <f>SUMIFS(tbl_WIP[Amount],tbl_WIP[Job Number],$A225,tbl_WIP[Month],$C$4)+SUMIF('Deferred Revenue'!$E$6:$E$579,$A225,'Deferred Revenue'!$Q$6:$Q$579)</f>
        <v/>
      </c>
      <c r="E225" s="55">
        <f>C225+D225</f>
        <v/>
      </c>
      <c r="F225" s="56">
        <f>IF(ROUND(C225,2)+ROUND(D225,2)=0,"","yes")</f>
        <v/>
      </c>
      <c r="G225" s="57" t="n"/>
      <c r="H225" s="55">
        <f>IF($G225="","",$E225-$G225)</f>
        <v/>
      </c>
    </row>
    <row r="226">
      <c r="A226" s="54" t="inlineStr">
        <is>
          <t>26061108V</t>
        </is>
      </c>
      <c r="B226" s="54" t="inlineStr">
        <is>
          <t>APA - Qtly All Hands FYR26 - 20.8.26</t>
        </is>
      </c>
      <c r="C226" s="55">
        <f>SUMIFS(tbl_WIP[Amount],tbl_WIP[Job Number],$A226,tbl_WIP[Month],"&lt;&gt;",tbl_WIP[Month],"&lt;"&amp;$C$4)+SUMIF('Deferred Revenue'!$E$6:$E$579,$A226,'Deferred Revenue'!$P$6:$P$579)</f>
        <v/>
      </c>
      <c r="D226" s="55">
        <f>SUMIFS(tbl_WIP[Amount],tbl_WIP[Job Number],$A226,tbl_WIP[Month],$C$4)+SUMIF('Deferred Revenue'!$E$6:$E$579,$A226,'Deferred Revenue'!$Q$6:$Q$579)</f>
        <v/>
      </c>
      <c r="E226" s="55">
        <f>C226+D226</f>
        <v/>
      </c>
      <c r="F226" s="56">
        <f>IF(ROUND(C226,2)+ROUND(D226,2)=0,"","yes")</f>
        <v/>
      </c>
      <c r="G226" s="57" t="n"/>
      <c r="H226" s="55">
        <f>IF($G226="","",$E226-$G226)</f>
        <v/>
      </c>
    </row>
    <row r="227">
      <c r="A227" s="54" t="inlineStr">
        <is>
          <t>26061109</t>
        </is>
      </c>
      <c r="B227" s="54" t="inlineStr">
        <is>
          <t>Ventia - FYR26 - 24.8.26</t>
        </is>
      </c>
      <c r="C227" s="55">
        <f>SUMIFS(tbl_WIP[Amount],tbl_WIP[Job Number],$A227,tbl_WIP[Month],"&lt;&gt;",tbl_WIP[Month],"&lt;"&amp;$C$4)+SUMIF('Deferred Revenue'!$E$6:$E$579,$A227,'Deferred Revenue'!$P$6:$P$579)</f>
        <v/>
      </c>
      <c r="D227" s="55">
        <f>SUMIFS(tbl_WIP[Amount],tbl_WIP[Job Number],$A227,tbl_WIP[Month],$C$4)+SUMIF('Deferred Revenue'!$E$6:$E$579,$A227,'Deferred Revenue'!$Q$6:$Q$579)</f>
        <v/>
      </c>
      <c r="E227" s="55">
        <f>C227+D227</f>
        <v/>
      </c>
      <c r="F227" s="56">
        <f>IF(ROUND(C227,2)+ROUND(D227,2)=0,"","yes")</f>
        <v/>
      </c>
      <c r="G227" s="57" t="n"/>
      <c r="H227" s="55">
        <f>IF($G227="","",$E227-$G227)</f>
        <v/>
      </c>
    </row>
    <row r="228">
      <c r="A228" s="54" t="inlineStr">
        <is>
          <t>26061109V</t>
        </is>
      </c>
      <c r="B228" s="54" t="inlineStr">
        <is>
          <t>Ventia - FYR26 - 24.8.26</t>
        </is>
      </c>
      <c r="C228" s="55">
        <f>SUMIFS(tbl_WIP[Amount],tbl_WIP[Job Number],$A228,tbl_WIP[Month],"&lt;&gt;",tbl_WIP[Month],"&lt;"&amp;$C$4)+SUMIF('Deferred Revenue'!$E$6:$E$579,$A228,'Deferred Revenue'!$P$6:$P$579)</f>
        <v/>
      </c>
      <c r="D228" s="55">
        <f>SUMIFS(tbl_WIP[Amount],tbl_WIP[Job Number],$A228,tbl_WIP[Month],$C$4)+SUMIF('Deferred Revenue'!$E$6:$E$579,$A228,'Deferred Revenue'!$Q$6:$Q$579)</f>
        <v/>
      </c>
      <c r="E228" s="55">
        <f>C228+D228</f>
        <v/>
      </c>
      <c r="F228" s="56">
        <f>IF(ROUND(C228,2)+ROUND(D228,2)=0,"","yes")</f>
        <v/>
      </c>
      <c r="G228" s="57" t="n"/>
      <c r="H228" s="55">
        <f>IF($G228="","",$E228-$G228)</f>
        <v/>
      </c>
    </row>
    <row r="229">
      <c r="A229" s="54" t="inlineStr">
        <is>
          <t>26061201</t>
        </is>
      </c>
      <c r="B229" s="54" t="inlineStr">
        <is>
          <t>PWC - Firmwide Webcast - 30.6.26</t>
        </is>
      </c>
      <c r="C229" s="55">
        <f>SUMIFS(tbl_WIP[Amount],tbl_WIP[Job Number],$A229,tbl_WIP[Month],"&lt;&gt;",tbl_WIP[Month],"&lt;"&amp;$C$4)+SUMIF('Deferred Revenue'!$E$6:$E$579,$A229,'Deferred Revenue'!$P$6:$P$579)</f>
        <v/>
      </c>
      <c r="D229" s="55">
        <f>SUMIFS(tbl_WIP[Amount],tbl_WIP[Job Number],$A229,tbl_WIP[Month],$C$4)+SUMIF('Deferred Revenue'!$E$6:$E$579,$A229,'Deferred Revenue'!$Q$6:$Q$579)</f>
        <v/>
      </c>
      <c r="E229" s="55">
        <f>C229+D229</f>
        <v/>
      </c>
      <c r="F229" s="56">
        <f>IF(ROUND(C229,2)+ROUND(D229,2)=0,"","yes")</f>
        <v/>
      </c>
      <c r="G229" s="57" t="n"/>
      <c r="H229" s="55">
        <f>IF($G229="","",$E229-$G229)</f>
        <v/>
      </c>
    </row>
    <row r="230">
      <c r="A230" s="54" t="inlineStr">
        <is>
          <t>26061201V</t>
        </is>
      </c>
      <c r="B230" s="54" t="inlineStr">
        <is>
          <t>PWC - Firmwide Webcast - 30.6.26</t>
        </is>
      </c>
      <c r="C230" s="55">
        <f>SUMIFS(tbl_WIP[Amount],tbl_WIP[Job Number],$A230,tbl_WIP[Month],"&lt;&gt;",tbl_WIP[Month],"&lt;"&amp;$C$4)+SUMIF('Deferred Revenue'!$E$6:$E$579,$A230,'Deferred Revenue'!$P$6:$P$579)</f>
        <v/>
      </c>
      <c r="D230" s="55">
        <f>SUMIFS(tbl_WIP[Amount],tbl_WIP[Job Number],$A230,tbl_WIP[Month],$C$4)+SUMIF('Deferred Revenue'!$E$6:$E$579,$A230,'Deferred Revenue'!$Q$6:$Q$579)</f>
        <v/>
      </c>
      <c r="E230" s="55">
        <f>C230+D230</f>
        <v/>
      </c>
      <c r="F230" s="56">
        <f>IF(ROUND(C230,2)+ROUND(D230,2)=0,"","yes")</f>
        <v/>
      </c>
      <c r="G230" s="57" t="n"/>
      <c r="H230" s="55">
        <f>IF($G230="","",$E230-$G230)</f>
        <v/>
      </c>
    </row>
    <row r="231">
      <c r="A231" s="54" t="inlineStr">
        <is>
          <t>26061202</t>
        </is>
      </c>
      <c r="B231" s="54" t="inlineStr">
        <is>
          <t>CBA AGM 2027</t>
        </is>
      </c>
      <c r="C231" s="55">
        <f>SUMIFS(tbl_WIP[Amount],tbl_WIP[Job Number],$A231,tbl_WIP[Month],"&lt;&gt;",tbl_WIP[Month],"&lt;"&amp;$C$4)+SUMIF('Deferred Revenue'!$E$6:$E$579,$A231,'Deferred Revenue'!$P$6:$P$579)</f>
        <v/>
      </c>
      <c r="D231" s="55">
        <f>SUMIFS(tbl_WIP[Amount],tbl_WIP[Job Number],$A231,tbl_WIP[Month],$C$4)+SUMIF('Deferred Revenue'!$E$6:$E$579,$A231,'Deferred Revenue'!$Q$6:$Q$579)</f>
        <v/>
      </c>
      <c r="E231" s="55">
        <f>C231+D231</f>
        <v/>
      </c>
      <c r="F231" s="56">
        <f>IF(ROUND(C231,2)+ROUND(D231,2)=0,"","yes")</f>
        <v/>
      </c>
      <c r="G231" s="57" t="n"/>
      <c r="H231" s="55">
        <f>IF($G231="","",$E231-$G231)</f>
        <v/>
      </c>
    </row>
    <row r="232">
      <c r="A232" s="54" t="inlineStr">
        <is>
          <t>26061202V</t>
        </is>
      </c>
      <c r="B232" s="54" t="inlineStr">
        <is>
          <t>CBA AGM 2027</t>
        </is>
      </c>
      <c r="C232" s="55">
        <f>SUMIFS(tbl_WIP[Amount],tbl_WIP[Job Number],$A232,tbl_WIP[Month],"&lt;&gt;",tbl_WIP[Month],"&lt;"&amp;$C$4)+SUMIF('Deferred Revenue'!$E$6:$E$579,$A232,'Deferred Revenue'!$P$6:$P$579)</f>
        <v/>
      </c>
      <c r="D232" s="55">
        <f>SUMIFS(tbl_WIP[Amount],tbl_WIP[Job Number],$A232,tbl_WIP[Month],$C$4)+SUMIF('Deferred Revenue'!$E$6:$E$579,$A232,'Deferred Revenue'!$Q$6:$Q$579)</f>
        <v/>
      </c>
      <c r="E232" s="55">
        <f>C232+D232</f>
        <v/>
      </c>
      <c r="F232" s="56">
        <f>IF(ROUND(C232,2)+ROUND(D232,2)=0,"","yes")</f>
        <v/>
      </c>
      <c r="G232" s="57" t="n"/>
      <c r="H232" s="55">
        <f>IF($G232="","",$E232-$G232)</f>
        <v/>
      </c>
    </row>
    <row r="233">
      <c r="A233" s="54" t="inlineStr">
        <is>
          <t>26061501</t>
        </is>
      </c>
      <c r="B233" s="54" t="inlineStr">
        <is>
          <t>DTTL MEL Lv29 Display Supply</t>
        </is>
      </c>
      <c r="C233" s="55">
        <f>SUMIFS(tbl_WIP[Amount],tbl_WIP[Job Number],$A233,tbl_WIP[Month],"&lt;&gt;",tbl_WIP[Month],"&lt;"&amp;$C$4)+SUMIF('Deferred Revenue'!$E$6:$E$579,$A233,'Deferred Revenue'!$P$6:$P$579)</f>
        <v/>
      </c>
      <c r="D233" s="55">
        <f>SUMIFS(tbl_WIP[Amount],tbl_WIP[Job Number],$A233,tbl_WIP[Month],$C$4)+SUMIF('Deferred Revenue'!$E$6:$E$579,$A233,'Deferred Revenue'!$Q$6:$Q$579)</f>
        <v/>
      </c>
      <c r="E233" s="55">
        <f>C233+D233</f>
        <v/>
      </c>
      <c r="F233" s="56">
        <f>IF(ROUND(C233,2)+ROUND(D233,2)=0,"","yes")</f>
        <v/>
      </c>
      <c r="G233" s="57" t="n"/>
      <c r="H233" s="55">
        <f>IF($G233="","",$E233-$G233)</f>
        <v/>
      </c>
    </row>
    <row r="234">
      <c r="A234" s="54" t="inlineStr">
        <is>
          <t>26061602</t>
        </is>
      </c>
      <c r="B234" s="54" t="inlineStr">
        <is>
          <t>ASX - CEO Connect (Extended) - 1.9.26</t>
        </is>
      </c>
      <c r="C234" s="55">
        <f>SUMIFS(tbl_WIP[Amount],tbl_WIP[Job Number],$A234,tbl_WIP[Month],"&lt;&gt;",tbl_WIP[Month],"&lt;"&amp;$C$4)+SUMIF('Deferred Revenue'!$E$6:$E$579,$A234,'Deferred Revenue'!$P$6:$P$579)</f>
        <v/>
      </c>
      <c r="D234" s="55">
        <f>SUMIFS(tbl_WIP[Amount],tbl_WIP[Job Number],$A234,tbl_WIP[Month],$C$4)+SUMIF('Deferred Revenue'!$E$6:$E$579,$A234,'Deferred Revenue'!$Q$6:$Q$579)</f>
        <v/>
      </c>
      <c r="E234" s="55">
        <f>C234+D234</f>
        <v/>
      </c>
      <c r="F234" s="56">
        <f>IF(ROUND(C234,2)+ROUND(D234,2)=0,"","yes")</f>
        <v/>
      </c>
      <c r="G234" s="57" t="n"/>
      <c r="H234" s="55">
        <f>IF($G234="","",$E234-$G234)</f>
        <v/>
      </c>
    </row>
    <row r="235">
      <c r="A235" s="54" t="inlineStr">
        <is>
          <t>26061602V</t>
        </is>
      </c>
      <c r="B235" s="54" t="inlineStr">
        <is>
          <t>ASX - CEO Connect (Extended) - 1.9.26</t>
        </is>
      </c>
      <c r="C235" s="55">
        <f>SUMIFS(tbl_WIP[Amount],tbl_WIP[Job Number],$A235,tbl_WIP[Month],"&lt;&gt;",tbl_WIP[Month],"&lt;"&amp;$C$4)+SUMIF('Deferred Revenue'!$E$6:$E$579,$A235,'Deferred Revenue'!$P$6:$P$579)</f>
        <v/>
      </c>
      <c r="D235" s="55">
        <f>SUMIFS(tbl_WIP[Amount],tbl_WIP[Job Number],$A235,tbl_WIP[Month],$C$4)+SUMIF('Deferred Revenue'!$E$6:$E$579,$A235,'Deferred Revenue'!$Q$6:$Q$579)</f>
        <v/>
      </c>
      <c r="E235" s="55">
        <f>C235+D235</f>
        <v/>
      </c>
      <c r="F235" s="56">
        <f>IF(ROUND(C235,2)+ROUND(D235,2)=0,"","yes")</f>
        <v/>
      </c>
      <c r="G235" s="57" t="n"/>
      <c r="H235" s="55">
        <f>IF($G235="","",$E235-$G235)</f>
        <v/>
      </c>
    </row>
    <row r="236">
      <c r="A236" s="54" t="inlineStr">
        <is>
          <t>26061605</t>
        </is>
      </c>
      <c r="B236" s="54" t="inlineStr">
        <is>
          <t>MUFG - IBM Ltd AGM - 27.10.26</t>
        </is>
      </c>
      <c r="C236" s="55">
        <f>SUMIFS(tbl_WIP[Amount],tbl_WIP[Job Number],$A236,tbl_WIP[Month],"&lt;&gt;",tbl_WIP[Month],"&lt;"&amp;$C$4)+SUMIF('Deferred Revenue'!$E$6:$E$579,$A236,'Deferred Revenue'!$P$6:$P$579)</f>
        <v/>
      </c>
      <c r="D236" s="55">
        <f>SUMIFS(tbl_WIP[Amount],tbl_WIP[Job Number],$A236,tbl_WIP[Month],$C$4)+SUMIF('Deferred Revenue'!$E$6:$E$579,$A236,'Deferred Revenue'!$Q$6:$Q$579)</f>
        <v/>
      </c>
      <c r="E236" s="55">
        <f>C236+D236</f>
        <v/>
      </c>
      <c r="F236" s="56">
        <f>IF(ROUND(C236,2)+ROUND(D236,2)=0,"","yes")</f>
        <v/>
      </c>
      <c r="G236" s="57" t="n"/>
      <c r="H236" s="55">
        <f>IF($G236="","",$E236-$G236)</f>
        <v/>
      </c>
    </row>
    <row r="237">
      <c r="A237" s="54" t="inlineStr">
        <is>
          <t>26061605V</t>
        </is>
      </c>
      <c r="B237" s="54" t="inlineStr">
        <is>
          <t>MUFG - IBM Ltd AGM - 27.10.26</t>
        </is>
      </c>
      <c r="C237" s="55">
        <f>SUMIFS(tbl_WIP[Amount],tbl_WIP[Job Number],$A237,tbl_WIP[Month],"&lt;&gt;",tbl_WIP[Month],"&lt;"&amp;$C$4)+SUMIF('Deferred Revenue'!$E$6:$E$579,$A237,'Deferred Revenue'!$P$6:$P$579)</f>
        <v/>
      </c>
      <c r="D237" s="55">
        <f>SUMIFS(tbl_WIP[Amount],tbl_WIP[Job Number],$A237,tbl_WIP[Month],$C$4)+SUMIF('Deferred Revenue'!$E$6:$E$579,$A237,'Deferred Revenue'!$Q$6:$Q$579)</f>
        <v/>
      </c>
      <c r="E237" s="55">
        <f>C237+D237</f>
        <v/>
      </c>
      <c r="F237" s="56">
        <f>IF(ROUND(C237,2)+ROUND(D237,2)=0,"","yes")</f>
        <v/>
      </c>
      <c r="G237" s="57" t="n"/>
      <c r="H237" s="55">
        <f>IF($G237="","",$E237-$G237)</f>
        <v/>
      </c>
    </row>
    <row r="238">
      <c r="A238" s="54" t="inlineStr">
        <is>
          <t>26061606</t>
        </is>
      </c>
      <c r="B238" s="54" t="inlineStr">
        <is>
          <t>MUFG - Endeavour AGM - 30.10.26</t>
        </is>
      </c>
      <c r="C238" s="55">
        <f>SUMIFS(tbl_WIP[Amount],tbl_WIP[Job Number],$A238,tbl_WIP[Month],"&lt;&gt;",tbl_WIP[Month],"&lt;"&amp;$C$4)+SUMIF('Deferred Revenue'!$E$6:$E$579,$A238,'Deferred Revenue'!$P$6:$P$579)</f>
        <v/>
      </c>
      <c r="D238" s="55">
        <f>SUMIFS(tbl_WIP[Amount],tbl_WIP[Job Number],$A238,tbl_WIP[Month],$C$4)+SUMIF('Deferred Revenue'!$E$6:$E$579,$A238,'Deferred Revenue'!$Q$6:$Q$579)</f>
        <v/>
      </c>
      <c r="E238" s="55">
        <f>C238+D238</f>
        <v/>
      </c>
      <c r="F238" s="56">
        <f>IF(ROUND(C238,2)+ROUND(D238,2)=0,"","yes")</f>
        <v/>
      </c>
      <c r="G238" s="57" t="n"/>
      <c r="H238" s="55">
        <f>IF($G238="","",$E238-$G238)</f>
        <v/>
      </c>
    </row>
    <row r="239">
      <c r="A239" s="54" t="inlineStr">
        <is>
          <t>26061606V</t>
        </is>
      </c>
      <c r="B239" s="54" t="inlineStr">
        <is>
          <t>MUFG - Endeavour AGM - 30.10.26</t>
        </is>
      </c>
      <c r="C239" s="55">
        <f>SUMIFS(tbl_WIP[Amount],tbl_WIP[Job Number],$A239,tbl_WIP[Month],"&lt;&gt;",tbl_WIP[Month],"&lt;"&amp;$C$4)+SUMIF('Deferred Revenue'!$E$6:$E$579,$A239,'Deferred Revenue'!$P$6:$P$579)</f>
        <v/>
      </c>
      <c r="D239" s="55">
        <f>SUMIFS(tbl_WIP[Amount],tbl_WIP[Job Number],$A239,tbl_WIP[Month],$C$4)+SUMIF('Deferred Revenue'!$E$6:$E$579,$A239,'Deferred Revenue'!$Q$6:$Q$579)</f>
        <v/>
      </c>
      <c r="E239" s="55">
        <f>C239+D239</f>
        <v/>
      </c>
      <c r="F239" s="56">
        <f>IF(ROUND(C239,2)+ROUND(D239,2)=0,"","yes")</f>
        <v/>
      </c>
      <c r="G239" s="57" t="n"/>
      <c r="H239" s="55">
        <f>IF($G239="","",$E239-$G239)</f>
        <v/>
      </c>
    </row>
    <row r="240">
      <c r="A240" s="54" t="inlineStr">
        <is>
          <t>26061607</t>
        </is>
      </c>
      <c r="B240" s="54" t="inlineStr">
        <is>
          <t>APA - Qtly All Hands (BNE) - 4.11.26</t>
        </is>
      </c>
      <c r="C240" s="55">
        <f>SUMIFS(tbl_WIP[Amount],tbl_WIP[Job Number],$A240,tbl_WIP[Month],"&lt;&gt;",tbl_WIP[Month],"&lt;"&amp;$C$4)+SUMIF('Deferred Revenue'!$E$6:$E$579,$A240,'Deferred Revenue'!$P$6:$P$579)</f>
        <v/>
      </c>
      <c r="D240" s="55">
        <f>SUMIFS(tbl_WIP[Amount],tbl_WIP[Job Number],$A240,tbl_WIP[Month],$C$4)+SUMIF('Deferred Revenue'!$E$6:$E$579,$A240,'Deferred Revenue'!$Q$6:$Q$579)</f>
        <v/>
      </c>
      <c r="E240" s="55">
        <f>C240+D240</f>
        <v/>
      </c>
      <c r="F240" s="56">
        <f>IF(ROUND(C240,2)+ROUND(D240,2)=0,"","yes")</f>
        <v/>
      </c>
      <c r="G240" s="57" t="n"/>
      <c r="H240" s="55">
        <f>IF($G240="","",$E240-$G240)</f>
        <v/>
      </c>
    </row>
    <row r="241">
      <c r="A241" s="54" t="inlineStr">
        <is>
          <t>26061607V</t>
        </is>
      </c>
      <c r="B241" s="54" t="inlineStr">
        <is>
          <t>APA - Qtly All Hands (BNE) - 4.11.26</t>
        </is>
      </c>
      <c r="C241" s="55">
        <f>SUMIFS(tbl_WIP[Amount],tbl_WIP[Job Number],$A241,tbl_WIP[Month],"&lt;&gt;",tbl_WIP[Month],"&lt;"&amp;$C$4)+SUMIF('Deferred Revenue'!$E$6:$E$579,$A241,'Deferred Revenue'!$P$6:$P$579)</f>
        <v/>
      </c>
      <c r="D241" s="55">
        <f>SUMIFS(tbl_WIP[Amount],tbl_WIP[Job Number],$A241,tbl_WIP[Month],$C$4)+SUMIF('Deferred Revenue'!$E$6:$E$579,$A241,'Deferred Revenue'!$Q$6:$Q$579)</f>
        <v/>
      </c>
      <c r="E241" s="55">
        <f>C241+D241</f>
        <v/>
      </c>
      <c r="F241" s="56">
        <f>IF(ROUND(C241,2)+ROUND(D241,2)=0,"","yes")</f>
        <v/>
      </c>
      <c r="G241" s="57" t="n"/>
      <c r="H241" s="55">
        <f>IF($G241="","",$E241-$G241)</f>
        <v/>
      </c>
    </row>
    <row r="242">
      <c r="A242" s="54" t="inlineStr">
        <is>
          <t>26061608</t>
        </is>
      </c>
      <c r="B242" s="54" t="inlineStr">
        <is>
          <t>APA - Qtly All Hands Sydney - Feb 27</t>
        </is>
      </c>
      <c r="C242" s="55">
        <f>SUMIFS(tbl_WIP[Amount],tbl_WIP[Job Number],$A242,tbl_WIP[Month],"&lt;&gt;",tbl_WIP[Month],"&lt;"&amp;$C$4)+SUMIF('Deferred Revenue'!$E$6:$E$579,$A242,'Deferred Revenue'!$P$6:$P$579)</f>
        <v/>
      </c>
      <c r="D242" s="55">
        <f>SUMIFS(tbl_WIP[Amount],tbl_WIP[Job Number],$A242,tbl_WIP[Month],$C$4)+SUMIF('Deferred Revenue'!$E$6:$E$579,$A242,'Deferred Revenue'!$Q$6:$Q$579)</f>
        <v/>
      </c>
      <c r="E242" s="55">
        <f>C242+D242</f>
        <v/>
      </c>
      <c r="F242" s="56">
        <f>IF(ROUND(C242,2)+ROUND(D242,2)=0,"","yes")</f>
        <v/>
      </c>
      <c r="G242" s="57" t="n"/>
      <c r="H242" s="55">
        <f>IF($G242="","",$E242-$G242)</f>
        <v/>
      </c>
    </row>
    <row r="243">
      <c r="A243" s="54" t="inlineStr">
        <is>
          <t>26061608V</t>
        </is>
      </c>
      <c r="B243" s="54" t="inlineStr">
        <is>
          <t>APA - Qtly All Hands Sydney - Feb 27</t>
        </is>
      </c>
      <c r="C243" s="55">
        <f>SUMIFS(tbl_WIP[Amount],tbl_WIP[Job Number],$A243,tbl_WIP[Month],"&lt;&gt;",tbl_WIP[Month],"&lt;"&amp;$C$4)+SUMIF('Deferred Revenue'!$E$6:$E$579,$A243,'Deferred Revenue'!$P$6:$P$579)</f>
        <v/>
      </c>
      <c r="D243" s="55">
        <f>SUMIFS(tbl_WIP[Amount],tbl_WIP[Job Number],$A243,tbl_WIP[Month],$C$4)+SUMIF('Deferred Revenue'!$E$6:$E$579,$A243,'Deferred Revenue'!$Q$6:$Q$579)</f>
        <v/>
      </c>
      <c r="E243" s="55">
        <f>C243+D243</f>
        <v/>
      </c>
      <c r="F243" s="56">
        <f>IF(ROUND(C243,2)+ROUND(D243,2)=0,"","yes")</f>
        <v/>
      </c>
      <c r="G243" s="57" t="n"/>
      <c r="H243" s="55">
        <f>IF($G243="","",$E243-$G243)</f>
        <v/>
      </c>
    </row>
    <row r="244">
      <c r="A244" s="54" t="inlineStr">
        <is>
          <t>26061609</t>
        </is>
      </c>
      <c r="B244" s="54" t="inlineStr">
        <is>
          <t>APA Qtly All Hands Perth - May 2027</t>
        </is>
      </c>
      <c r="C244" s="55">
        <f>SUMIFS(tbl_WIP[Amount],tbl_WIP[Job Number],$A244,tbl_WIP[Month],"&lt;&gt;",tbl_WIP[Month],"&lt;"&amp;$C$4)+SUMIF('Deferred Revenue'!$E$6:$E$579,$A244,'Deferred Revenue'!$P$6:$P$579)</f>
        <v/>
      </c>
      <c r="D244" s="55">
        <f>SUMIFS(tbl_WIP[Amount],tbl_WIP[Job Number],$A244,tbl_WIP[Month],$C$4)+SUMIF('Deferred Revenue'!$E$6:$E$579,$A244,'Deferred Revenue'!$Q$6:$Q$579)</f>
        <v/>
      </c>
      <c r="E244" s="55">
        <f>C244+D244</f>
        <v/>
      </c>
      <c r="F244" s="56">
        <f>IF(ROUND(C244,2)+ROUND(D244,2)=0,"","yes")</f>
        <v/>
      </c>
      <c r="G244" s="57" t="n"/>
      <c r="H244" s="55">
        <f>IF($G244="","",$E244-$G244)</f>
        <v/>
      </c>
    </row>
    <row r="245">
      <c r="A245" s="54" t="inlineStr">
        <is>
          <t>26061609V</t>
        </is>
      </c>
      <c r="B245" s="54" t="inlineStr">
        <is>
          <t>APA Qtly All Hands Perth - May 2027</t>
        </is>
      </c>
      <c r="C245" s="55">
        <f>SUMIFS(tbl_WIP[Amount],tbl_WIP[Job Number],$A245,tbl_WIP[Month],"&lt;&gt;",tbl_WIP[Month],"&lt;"&amp;$C$4)+SUMIF('Deferred Revenue'!$E$6:$E$579,$A245,'Deferred Revenue'!$P$6:$P$579)</f>
        <v/>
      </c>
      <c r="D245" s="55">
        <f>SUMIFS(tbl_WIP[Amount],tbl_WIP[Job Number],$A245,tbl_WIP[Month],$C$4)+SUMIF('Deferred Revenue'!$E$6:$E$579,$A245,'Deferred Revenue'!$Q$6:$Q$579)</f>
        <v/>
      </c>
      <c r="E245" s="55">
        <f>C245+D245</f>
        <v/>
      </c>
      <c r="F245" s="56">
        <f>IF(ROUND(C245,2)+ROUND(D245,2)=0,"","yes")</f>
        <v/>
      </c>
      <c r="G245" s="57" t="n"/>
      <c r="H245" s="55">
        <f>IF($G245="","",$E245-$G245)</f>
        <v/>
      </c>
    </row>
    <row r="246">
      <c r="A246" s="54" t="inlineStr">
        <is>
          <t>26061611</t>
        </is>
      </c>
      <c r="B246" s="54" t="inlineStr">
        <is>
          <t>QBE - Keynote Event - 27.10.26</t>
        </is>
      </c>
      <c r="C246" s="55">
        <f>SUMIFS(tbl_WIP[Amount],tbl_WIP[Job Number],$A246,tbl_WIP[Month],"&lt;&gt;",tbl_WIP[Month],"&lt;"&amp;$C$4)+SUMIF('Deferred Revenue'!$E$6:$E$579,$A246,'Deferred Revenue'!$P$6:$P$579)</f>
        <v/>
      </c>
      <c r="D246" s="55">
        <f>SUMIFS(tbl_WIP[Amount],tbl_WIP[Job Number],$A246,tbl_WIP[Month],$C$4)+SUMIF('Deferred Revenue'!$E$6:$E$579,$A246,'Deferred Revenue'!$Q$6:$Q$579)</f>
        <v/>
      </c>
      <c r="E246" s="55">
        <f>C246+D246</f>
        <v/>
      </c>
      <c r="F246" s="56">
        <f>IF(ROUND(C246,2)+ROUND(D246,2)=0,"","yes")</f>
        <v/>
      </c>
      <c r="G246" s="57" t="n"/>
      <c r="H246" s="55">
        <f>IF($G246="","",$E246-$G246)</f>
        <v/>
      </c>
    </row>
    <row r="247">
      <c r="A247" s="54" t="inlineStr">
        <is>
          <t>26061611V</t>
        </is>
      </c>
      <c r="B247" s="54" t="inlineStr">
        <is>
          <t>QBE - Keynote Event - 27.10.26</t>
        </is>
      </c>
      <c r="C247" s="55">
        <f>SUMIFS(tbl_WIP[Amount],tbl_WIP[Job Number],$A247,tbl_WIP[Month],"&lt;&gt;",tbl_WIP[Month],"&lt;"&amp;$C$4)+SUMIF('Deferred Revenue'!$E$6:$E$579,$A247,'Deferred Revenue'!$P$6:$P$579)</f>
        <v/>
      </c>
      <c r="D247" s="55">
        <f>SUMIFS(tbl_WIP[Amount],tbl_WIP[Job Number],$A247,tbl_WIP[Month],$C$4)+SUMIF('Deferred Revenue'!$E$6:$E$579,$A247,'Deferred Revenue'!$Q$6:$Q$579)</f>
        <v/>
      </c>
      <c r="E247" s="55">
        <f>C247+D247</f>
        <v/>
      </c>
      <c r="F247" s="56">
        <f>IF(ROUND(C247,2)+ROUND(D247,2)=0,"","yes")</f>
        <v/>
      </c>
      <c r="G247" s="57" t="n"/>
      <c r="H247" s="55">
        <f>IF($G247="","",$E247-$G247)</f>
        <v/>
      </c>
    </row>
    <row r="248">
      <c r="A248" s="54" t="inlineStr">
        <is>
          <t>26061612</t>
        </is>
      </c>
      <c r="B248" s="54" t="inlineStr">
        <is>
          <t>Chorus Call - Redox AGM - 7.10.26</t>
        </is>
      </c>
      <c r="C248" s="55">
        <f>SUMIFS(tbl_WIP[Amount],tbl_WIP[Job Number],$A248,tbl_WIP[Month],"&lt;&gt;",tbl_WIP[Month],"&lt;"&amp;$C$4)+SUMIF('Deferred Revenue'!$E$6:$E$579,$A248,'Deferred Revenue'!$P$6:$P$579)</f>
        <v/>
      </c>
      <c r="D248" s="55">
        <f>SUMIFS(tbl_WIP[Amount],tbl_WIP[Job Number],$A248,tbl_WIP[Month],$C$4)+SUMIF('Deferred Revenue'!$E$6:$E$579,$A248,'Deferred Revenue'!$Q$6:$Q$579)</f>
        <v/>
      </c>
      <c r="E248" s="55">
        <f>C248+D248</f>
        <v/>
      </c>
      <c r="F248" s="56">
        <f>IF(ROUND(C248,2)+ROUND(D248,2)=0,"","yes")</f>
        <v/>
      </c>
      <c r="G248" s="57" t="n"/>
      <c r="H248" s="55">
        <f>IF($G248="","",$E248-$G248)</f>
        <v/>
      </c>
    </row>
    <row r="249">
      <c r="A249" s="54" t="inlineStr">
        <is>
          <t>26061612V</t>
        </is>
      </c>
      <c r="B249" s="54" t="inlineStr">
        <is>
          <t>Chorus Call - Redox AGM - 7.10.26</t>
        </is>
      </c>
      <c r="C249" s="55">
        <f>SUMIFS(tbl_WIP[Amount],tbl_WIP[Job Number],$A249,tbl_WIP[Month],"&lt;&gt;",tbl_WIP[Month],"&lt;"&amp;$C$4)+SUMIF('Deferred Revenue'!$E$6:$E$579,$A249,'Deferred Revenue'!$P$6:$P$579)</f>
        <v/>
      </c>
      <c r="D249" s="55">
        <f>SUMIFS(tbl_WIP[Amount],tbl_WIP[Job Number],$A249,tbl_WIP[Month],$C$4)+SUMIF('Deferred Revenue'!$E$6:$E$579,$A249,'Deferred Revenue'!$Q$6:$Q$579)</f>
        <v/>
      </c>
      <c r="E249" s="55">
        <f>C249+D249</f>
        <v/>
      </c>
      <c r="F249" s="56">
        <f>IF(ROUND(C249,2)+ROUND(D249,2)=0,"","yes")</f>
        <v/>
      </c>
      <c r="G249" s="57" t="n"/>
      <c r="H249" s="55">
        <f>IF($G249="","",$E249-$G249)</f>
        <v/>
      </c>
    </row>
    <row r="250">
      <c r="A250" s="54" t="inlineStr">
        <is>
          <t>26061701</t>
        </is>
      </c>
      <c r="B250" s="54" t="inlineStr">
        <is>
          <t>CBA - LES - July 2026</t>
        </is>
      </c>
      <c r="C250" s="55">
        <f>SUMIFS(tbl_WIP[Amount],tbl_WIP[Job Number],$A250,tbl_WIP[Month],"&lt;&gt;",tbl_WIP[Month],"&lt;"&amp;$C$4)+SUMIF('Deferred Revenue'!$E$6:$E$579,$A250,'Deferred Revenue'!$P$6:$P$579)</f>
        <v/>
      </c>
      <c r="D250" s="55">
        <f>SUMIFS(tbl_WIP[Amount],tbl_WIP[Job Number],$A250,tbl_WIP[Month],$C$4)+SUMIF('Deferred Revenue'!$E$6:$E$579,$A250,'Deferred Revenue'!$Q$6:$Q$579)</f>
        <v/>
      </c>
      <c r="E250" s="55">
        <f>C250+D250</f>
        <v/>
      </c>
      <c r="F250" s="56">
        <f>IF(ROUND(C250,2)+ROUND(D250,2)=0,"","yes")</f>
        <v/>
      </c>
      <c r="G250" s="57" t="n"/>
      <c r="H250" s="55">
        <f>IF($G250="","",$E250-$G250)</f>
        <v/>
      </c>
    </row>
    <row r="251">
      <c r="A251" s="54" t="inlineStr">
        <is>
          <t>26061702</t>
        </is>
      </c>
      <c r="B251" s="54" t="inlineStr">
        <is>
          <t>Garvan - Morning Tea Event - 31.7.26</t>
        </is>
      </c>
      <c r="C251" s="55">
        <f>SUMIFS(tbl_WIP[Amount],tbl_WIP[Job Number],$A251,tbl_WIP[Month],"&lt;&gt;",tbl_WIP[Month],"&lt;"&amp;$C$4)+SUMIF('Deferred Revenue'!$E$6:$E$579,$A251,'Deferred Revenue'!$P$6:$P$579)</f>
        <v/>
      </c>
      <c r="D251" s="55">
        <f>SUMIFS(tbl_WIP[Amount],tbl_WIP[Job Number],$A251,tbl_WIP[Month],$C$4)+SUMIF('Deferred Revenue'!$E$6:$E$579,$A251,'Deferred Revenue'!$Q$6:$Q$579)</f>
        <v/>
      </c>
      <c r="E251" s="55">
        <f>C251+D251</f>
        <v/>
      </c>
      <c r="F251" s="56">
        <f>IF(ROUND(C251,2)+ROUND(D251,2)=0,"","yes")</f>
        <v/>
      </c>
      <c r="G251" s="57" t="n"/>
      <c r="H251" s="55">
        <f>IF($G251="","",$E251-$G251)</f>
        <v/>
      </c>
    </row>
    <row r="252">
      <c r="A252" s="54" t="inlineStr">
        <is>
          <t>26061801</t>
        </is>
      </c>
      <c r="B252" s="54" t="inlineStr">
        <is>
          <t>APA - Investor Briefing FYR26 - 20.8.26</t>
        </is>
      </c>
      <c r="C252" s="55">
        <f>SUMIFS(tbl_WIP[Amount],tbl_WIP[Job Number],$A252,tbl_WIP[Month],"&lt;&gt;",tbl_WIP[Month],"&lt;"&amp;$C$4)+SUMIF('Deferred Revenue'!$E$6:$E$579,$A252,'Deferred Revenue'!$P$6:$P$579)</f>
        <v/>
      </c>
      <c r="D252" s="55">
        <f>SUMIFS(tbl_WIP[Amount],tbl_WIP[Job Number],$A252,tbl_WIP[Month],$C$4)+SUMIF('Deferred Revenue'!$E$6:$E$579,$A252,'Deferred Revenue'!$Q$6:$Q$579)</f>
        <v/>
      </c>
      <c r="E252" s="55">
        <f>C252+D252</f>
        <v/>
      </c>
      <c r="F252" s="56">
        <f>IF(ROUND(C252,2)+ROUND(D252,2)=0,"","yes")</f>
        <v/>
      </c>
      <c r="G252" s="57" t="n"/>
      <c r="H252" s="55">
        <f>IF($G252="","",$E252-$G252)</f>
        <v/>
      </c>
    </row>
    <row r="253">
      <c r="A253" s="54" t="inlineStr">
        <is>
          <t>26061801V</t>
        </is>
      </c>
      <c r="B253" s="54" t="inlineStr">
        <is>
          <t>APA - Investor Briefing FYR26 - 20.8.26</t>
        </is>
      </c>
      <c r="C253" s="55">
        <f>SUMIFS(tbl_WIP[Amount],tbl_WIP[Job Number],$A253,tbl_WIP[Month],"&lt;&gt;",tbl_WIP[Month],"&lt;"&amp;$C$4)+SUMIF('Deferred Revenue'!$E$6:$E$579,$A253,'Deferred Revenue'!$P$6:$P$579)</f>
        <v/>
      </c>
      <c r="D253" s="55">
        <f>SUMIFS(tbl_WIP[Amount],tbl_WIP[Job Number],$A253,tbl_WIP[Month],$C$4)+SUMIF('Deferred Revenue'!$E$6:$E$579,$A253,'Deferred Revenue'!$Q$6:$Q$579)</f>
        <v/>
      </c>
      <c r="E253" s="55">
        <f>C253+D253</f>
        <v/>
      </c>
      <c r="F253" s="56">
        <f>IF(ROUND(C253,2)+ROUND(D253,2)=0,"","yes")</f>
        <v/>
      </c>
      <c r="G253" s="57" t="n"/>
      <c r="H253" s="55">
        <f>IF($G253="","",$E253-$G253)</f>
        <v/>
      </c>
    </row>
    <row r="254">
      <c r="A254" s="54" t="inlineStr">
        <is>
          <t>26062201</t>
        </is>
      </c>
      <c r="B254" s="54" t="inlineStr">
        <is>
          <t>PWC - Tax &amp; Legal Webcast 02.07.26</t>
        </is>
      </c>
      <c r="C254" s="55">
        <f>SUMIFS(tbl_WIP[Amount],tbl_WIP[Job Number],$A254,tbl_WIP[Month],"&lt;&gt;",tbl_WIP[Month],"&lt;"&amp;$C$4)+SUMIF('Deferred Revenue'!$E$6:$E$579,$A254,'Deferred Revenue'!$P$6:$P$579)</f>
        <v/>
      </c>
      <c r="D254" s="55">
        <f>SUMIFS(tbl_WIP[Amount],tbl_WIP[Job Number],$A254,tbl_WIP[Month],$C$4)+SUMIF('Deferred Revenue'!$E$6:$E$579,$A254,'Deferred Revenue'!$Q$6:$Q$579)</f>
        <v/>
      </c>
      <c r="E254" s="55">
        <f>C254+D254</f>
        <v/>
      </c>
      <c r="F254" s="56">
        <f>IF(ROUND(C254,2)+ROUND(D254,2)=0,"","yes")</f>
        <v/>
      </c>
      <c r="G254" s="57" t="n"/>
      <c r="H254" s="55">
        <f>IF($G254="","",$E254-$G254)</f>
        <v/>
      </c>
    </row>
    <row r="255">
      <c r="A255" s="54" t="inlineStr">
        <is>
          <t>26062201V</t>
        </is>
      </c>
      <c r="B255" s="54" t="inlineStr">
        <is>
          <t>PWC - Tax &amp; Legal Webcast 02.07.26</t>
        </is>
      </c>
      <c r="C255" s="55">
        <f>SUMIFS(tbl_WIP[Amount],tbl_WIP[Job Number],$A255,tbl_WIP[Month],"&lt;&gt;",tbl_WIP[Month],"&lt;"&amp;$C$4)+SUMIF('Deferred Revenue'!$E$6:$E$579,$A255,'Deferred Revenue'!$P$6:$P$579)</f>
        <v/>
      </c>
      <c r="D255" s="55">
        <f>SUMIFS(tbl_WIP[Amount],tbl_WIP[Job Number],$A255,tbl_WIP[Month],$C$4)+SUMIF('Deferred Revenue'!$E$6:$E$579,$A255,'Deferred Revenue'!$Q$6:$Q$579)</f>
        <v/>
      </c>
      <c r="E255" s="55">
        <f>C255+D255</f>
        <v/>
      </c>
      <c r="F255" s="56">
        <f>IF(ROUND(C255,2)+ROUND(D255,2)=0,"","yes")</f>
        <v/>
      </c>
      <c r="G255" s="57" t="n"/>
      <c r="H255" s="55">
        <f>IF($G255="","",$E255-$G255)</f>
        <v/>
      </c>
    </row>
    <row r="256">
      <c r="A256" s="54" t="inlineStr">
        <is>
          <t>26062202</t>
        </is>
      </c>
      <c r="B256" s="54" t="inlineStr">
        <is>
          <t>PWC - Early Careers Webcast - 29.7.26</t>
        </is>
      </c>
      <c r="C256" s="55">
        <f>SUMIFS(tbl_WIP[Amount],tbl_WIP[Job Number],$A256,tbl_WIP[Month],"&lt;&gt;",tbl_WIP[Month],"&lt;"&amp;$C$4)+SUMIF('Deferred Revenue'!$E$6:$E$579,$A256,'Deferred Revenue'!$P$6:$P$579)</f>
        <v/>
      </c>
      <c r="D256" s="55">
        <f>SUMIFS(tbl_WIP[Amount],tbl_WIP[Job Number],$A256,tbl_WIP[Month],$C$4)+SUMIF('Deferred Revenue'!$E$6:$E$579,$A256,'Deferred Revenue'!$Q$6:$Q$579)</f>
        <v/>
      </c>
      <c r="E256" s="55">
        <f>C256+D256</f>
        <v/>
      </c>
      <c r="F256" s="56">
        <f>IF(ROUND(C256,2)+ROUND(D256,2)=0,"","yes")</f>
        <v/>
      </c>
      <c r="G256" s="57" t="n"/>
      <c r="H256" s="55">
        <f>IF($G256="","",$E256-$G256)</f>
        <v/>
      </c>
    </row>
    <row r="257">
      <c r="A257" s="54" t="inlineStr">
        <is>
          <t>26062202V</t>
        </is>
      </c>
      <c r="B257" s="54" t="inlineStr">
        <is>
          <t>PWC - Early Careers Webcast - 29.7.26</t>
        </is>
      </c>
      <c r="C257" s="55">
        <f>SUMIFS(tbl_WIP[Amount],tbl_WIP[Job Number],$A257,tbl_WIP[Month],"&lt;&gt;",tbl_WIP[Month],"&lt;"&amp;$C$4)+SUMIF('Deferred Revenue'!$E$6:$E$579,$A257,'Deferred Revenue'!$P$6:$P$579)</f>
        <v/>
      </c>
      <c r="D257" s="55">
        <f>SUMIFS(tbl_WIP[Amount],tbl_WIP[Job Number],$A257,tbl_WIP[Month],$C$4)+SUMIF('Deferred Revenue'!$E$6:$E$579,$A257,'Deferred Revenue'!$Q$6:$Q$579)</f>
        <v/>
      </c>
      <c r="E257" s="55">
        <f>C257+D257</f>
        <v/>
      </c>
      <c r="F257" s="56">
        <f>IF(ROUND(C257,2)+ROUND(D257,2)=0,"","yes")</f>
        <v/>
      </c>
      <c r="G257" s="57" t="n"/>
      <c r="H257" s="55">
        <f>IF($G257="","",$E257-$G257)</f>
        <v/>
      </c>
    </row>
    <row r="258">
      <c r="A258" s="54" t="inlineStr">
        <is>
          <t>26062403</t>
        </is>
      </c>
      <c r="B258" s="54" t="inlineStr">
        <is>
          <t>CBA - CommBank Private Hosting 25.6.26</t>
        </is>
      </c>
      <c r="C258" s="55">
        <f>SUMIFS(tbl_WIP[Amount],tbl_WIP[Job Number],$A258,tbl_WIP[Month],"&lt;&gt;",tbl_WIP[Month],"&lt;"&amp;$C$4)+SUMIF('Deferred Revenue'!$E$6:$E$579,$A258,'Deferred Revenue'!$P$6:$P$579)</f>
        <v/>
      </c>
      <c r="D258" s="55">
        <f>SUMIFS(tbl_WIP[Amount],tbl_WIP[Job Number],$A258,tbl_WIP[Month],$C$4)+SUMIF('Deferred Revenue'!$E$6:$E$579,$A258,'Deferred Revenue'!$Q$6:$Q$579)</f>
        <v/>
      </c>
      <c r="E258" s="55">
        <f>C258+D258</f>
        <v/>
      </c>
      <c r="F258" s="56">
        <f>IF(ROUND(C258,2)+ROUND(D258,2)=0,"","yes")</f>
        <v/>
      </c>
      <c r="G258" s="57" t="n"/>
      <c r="H258" s="55">
        <f>IF($G258="","",$E258-$G258)</f>
        <v/>
      </c>
    </row>
    <row r="259">
      <c r="A259" s="54" t="inlineStr">
        <is>
          <t>26062403V</t>
        </is>
      </c>
      <c r="B259" s="54" t="inlineStr">
        <is>
          <t>CBA - CommBank Private Hosting 25.6.26</t>
        </is>
      </c>
      <c r="C259" s="55">
        <f>SUMIFS(tbl_WIP[Amount],tbl_WIP[Job Number],$A259,tbl_WIP[Month],"&lt;&gt;",tbl_WIP[Month],"&lt;"&amp;$C$4)+SUMIF('Deferred Revenue'!$E$6:$E$579,$A259,'Deferred Revenue'!$P$6:$P$579)</f>
        <v/>
      </c>
      <c r="D259" s="55">
        <f>SUMIFS(tbl_WIP[Amount],tbl_WIP[Job Number],$A259,tbl_WIP[Month],$C$4)+SUMIF('Deferred Revenue'!$E$6:$E$579,$A259,'Deferred Revenue'!$Q$6:$Q$579)</f>
        <v/>
      </c>
      <c r="E259" s="55">
        <f>C259+D259</f>
        <v/>
      </c>
      <c r="F259" s="56">
        <f>IF(ROUND(C259,2)+ROUND(D259,2)=0,"","yes")</f>
        <v/>
      </c>
      <c r="G259" s="57" t="n"/>
      <c r="H259" s="55">
        <f>IF($G259="","",$E259-$G259)</f>
        <v/>
      </c>
    </row>
    <row r="260">
      <c r="A260" s="54" t="inlineStr">
        <is>
          <t>26062501</t>
        </is>
      </c>
      <c r="B260" s="54" t="inlineStr">
        <is>
          <t>DTTL STL Travel (SYD-MEL Return)</t>
        </is>
      </c>
      <c r="C260" s="55">
        <f>SUMIFS(tbl_WIP[Amount],tbl_WIP[Job Number],$A260,tbl_WIP[Month],"&lt;&gt;",tbl_WIP[Month],"&lt;"&amp;$C$4)+SUMIF('Deferred Revenue'!$E$6:$E$579,$A260,'Deferred Revenue'!$P$6:$P$579)</f>
        <v/>
      </c>
      <c r="D260" s="55">
        <f>SUMIFS(tbl_WIP[Amount],tbl_WIP[Job Number],$A260,tbl_WIP[Month],$C$4)+SUMIF('Deferred Revenue'!$E$6:$E$579,$A260,'Deferred Revenue'!$Q$6:$Q$579)</f>
        <v/>
      </c>
      <c r="E260" s="55">
        <f>C260+D260</f>
        <v/>
      </c>
      <c r="F260" s="56">
        <f>IF(ROUND(C260,2)+ROUND(D260,2)=0,"","yes")</f>
        <v/>
      </c>
      <c r="G260" s="57" t="n"/>
      <c r="H260" s="55">
        <f>IF($G260="","",$E260-$G260)</f>
        <v/>
      </c>
    </row>
    <row r="261">
      <c r="A261" s="54" t="inlineStr">
        <is>
          <t>26062503</t>
        </is>
      </c>
      <c r="B261" s="54" t="inlineStr">
        <is>
          <t>Aware Super 24.16 UC Engine Replacement</t>
        </is>
      </c>
      <c r="C261" s="55">
        <f>SUMIFS(tbl_WIP[Amount],tbl_WIP[Job Number],$A261,tbl_WIP[Month],"&lt;&gt;",tbl_WIP[Month],"&lt;"&amp;$C$4)+SUMIF('Deferred Revenue'!$E$6:$E$579,$A261,'Deferred Revenue'!$P$6:$P$579)</f>
        <v/>
      </c>
      <c r="D261" s="55">
        <f>SUMIFS(tbl_WIP[Amount],tbl_WIP[Job Number],$A261,tbl_WIP[Month],$C$4)+SUMIF('Deferred Revenue'!$E$6:$E$579,$A261,'Deferred Revenue'!$Q$6:$Q$579)</f>
        <v/>
      </c>
      <c r="E261" s="55">
        <f>C261+D261</f>
        <v/>
      </c>
      <c r="F261" s="56">
        <f>IF(ROUND(C261,2)+ROUND(D261,2)=0,"","yes")</f>
        <v/>
      </c>
      <c r="G261" s="57" t="n"/>
      <c r="H261" s="55">
        <f>IF($G261="","",$E261-$G261)</f>
        <v/>
      </c>
    </row>
    <row r="262">
      <c r="A262" s="54" t="inlineStr">
        <is>
          <t>26062601</t>
        </is>
      </c>
      <c r="B262" s="54" t="inlineStr">
        <is>
          <t>Ventia - XELT Event - 29.6.26</t>
        </is>
      </c>
      <c r="C262" s="55">
        <f>SUMIFS(tbl_WIP[Amount],tbl_WIP[Job Number],$A262,tbl_WIP[Month],"&lt;&gt;",tbl_WIP[Month],"&lt;"&amp;$C$4)+SUMIF('Deferred Revenue'!$E$6:$E$579,$A262,'Deferred Revenue'!$P$6:$P$579)</f>
        <v/>
      </c>
      <c r="D262" s="55">
        <f>SUMIFS(tbl_WIP[Amount],tbl_WIP[Job Number],$A262,tbl_WIP[Month],$C$4)+SUMIF('Deferred Revenue'!$E$6:$E$579,$A262,'Deferred Revenue'!$Q$6:$Q$579)</f>
        <v/>
      </c>
      <c r="E262" s="55">
        <f>C262+D262</f>
        <v/>
      </c>
      <c r="F262" s="56">
        <f>IF(ROUND(C262,2)+ROUND(D262,2)=0,"","yes")</f>
        <v/>
      </c>
      <c r="G262" s="57" t="n"/>
      <c r="H262" s="55">
        <f>IF($G262="","",$E262-$G262)</f>
        <v/>
      </c>
    </row>
    <row r="263">
      <c r="A263" s="54" t="inlineStr">
        <is>
          <t>26062601V</t>
        </is>
      </c>
      <c r="B263" s="54" t="inlineStr">
        <is>
          <t>Ventia - XELT Event - 29.6.26</t>
        </is>
      </c>
      <c r="C263" s="55">
        <f>SUMIFS(tbl_WIP[Amount],tbl_WIP[Job Number],$A263,tbl_WIP[Month],"&lt;&gt;",tbl_WIP[Month],"&lt;"&amp;$C$4)+SUMIF('Deferred Revenue'!$E$6:$E$579,$A263,'Deferred Revenue'!$P$6:$P$579)</f>
        <v/>
      </c>
      <c r="D263" s="55">
        <f>SUMIFS(tbl_WIP[Amount],tbl_WIP[Job Number],$A263,tbl_WIP[Month],$C$4)+SUMIF('Deferred Revenue'!$E$6:$E$579,$A263,'Deferred Revenue'!$Q$6:$Q$579)</f>
        <v/>
      </c>
      <c r="E263" s="55">
        <f>C263+D263</f>
        <v/>
      </c>
      <c r="F263" s="56">
        <f>IF(ROUND(C263,2)+ROUND(D263,2)=0,"","yes")</f>
        <v/>
      </c>
      <c r="G263" s="57" t="n"/>
      <c r="H263" s="55">
        <f>IF($G263="","",$E263-$G263)</f>
        <v/>
      </c>
    </row>
    <row r="264">
      <c r="A264" s="54" t="inlineStr">
        <is>
          <t>26062901</t>
        </is>
      </c>
      <c r="B264" s="54" t="inlineStr">
        <is>
          <t>Aware | SYD 28.06 Services</t>
        </is>
      </c>
      <c r="C264" s="55">
        <f>SUMIFS(tbl_WIP[Amount],tbl_WIP[Job Number],$A264,tbl_WIP[Month],"&lt;&gt;",tbl_WIP[Month],"&lt;"&amp;$C$4)+SUMIF('Deferred Revenue'!$E$6:$E$579,$A264,'Deferred Revenue'!$P$6:$P$579)</f>
        <v/>
      </c>
      <c r="D264" s="55">
        <f>SUMIFS(tbl_WIP[Amount],tbl_WIP[Job Number],$A264,tbl_WIP[Month],$C$4)+SUMIF('Deferred Revenue'!$E$6:$E$579,$A264,'Deferred Revenue'!$Q$6:$Q$579)</f>
        <v/>
      </c>
      <c r="E264" s="55">
        <f>C264+D264</f>
        <v/>
      </c>
      <c r="F264" s="56">
        <f>IF(ROUND(C264,2)+ROUND(D264,2)=0,"","yes")</f>
        <v/>
      </c>
      <c r="G264" s="57" t="n"/>
      <c r="H264" s="55">
        <f>IF($G264="","",$E264-$G264)</f>
        <v/>
      </c>
    </row>
    <row r="265">
      <c r="A265" s="54" t="inlineStr">
        <is>
          <t>26062902</t>
        </is>
      </c>
      <c r="B265" s="54" t="inlineStr">
        <is>
          <t>Aware | SYD Occupancy Sensors</t>
        </is>
      </c>
      <c r="C265" s="55">
        <f>SUMIFS(tbl_WIP[Amount],tbl_WIP[Job Number],$A265,tbl_WIP[Month],"&lt;&gt;",tbl_WIP[Month],"&lt;"&amp;$C$4)+SUMIF('Deferred Revenue'!$E$6:$E$579,$A265,'Deferred Revenue'!$P$6:$P$579)</f>
        <v/>
      </c>
      <c r="D265" s="55">
        <f>SUMIFS(tbl_WIP[Amount],tbl_WIP[Job Number],$A265,tbl_WIP[Month],$C$4)+SUMIF('Deferred Revenue'!$E$6:$E$579,$A265,'Deferred Revenue'!$Q$6:$Q$579)</f>
        <v/>
      </c>
      <c r="E265" s="55">
        <f>C265+D265</f>
        <v/>
      </c>
      <c r="F265" s="56">
        <f>IF(ROUND(C265,2)+ROUND(D265,2)=0,"","yes")</f>
        <v/>
      </c>
      <c r="G265" s="57" t="n"/>
      <c r="H265" s="55">
        <f>IF($G265="","",$E265-$G265)</f>
        <v/>
      </c>
    </row>
    <row r="266">
      <c r="A266" s="54" t="inlineStr">
        <is>
          <t>26063002</t>
        </is>
      </c>
      <c r="B266" s="54" t="inlineStr">
        <is>
          <t>CEOi - CEO Connect - 11.8.26</t>
        </is>
      </c>
      <c r="C266" s="55">
        <f>SUMIFS(tbl_WIP[Amount],tbl_WIP[Job Number],$A266,tbl_WIP[Month],"&lt;&gt;",tbl_WIP[Month],"&lt;"&amp;$C$4)+SUMIF('Deferred Revenue'!$E$6:$E$579,$A266,'Deferred Revenue'!$P$6:$P$579)</f>
        <v/>
      </c>
      <c r="D266" s="55">
        <f>SUMIFS(tbl_WIP[Amount],tbl_WIP[Job Number],$A266,tbl_WIP[Month],$C$4)+SUMIF('Deferred Revenue'!$E$6:$E$579,$A266,'Deferred Revenue'!$Q$6:$Q$579)</f>
        <v/>
      </c>
      <c r="E266" s="55">
        <f>C266+D266</f>
        <v/>
      </c>
      <c r="F266" s="56">
        <f>IF(ROUND(C266,2)+ROUND(D266,2)=0,"","yes")</f>
        <v/>
      </c>
      <c r="G266" s="57" t="n"/>
      <c r="H266" s="55">
        <f>IF($G266="","",$E266-$G266)</f>
        <v/>
      </c>
    </row>
    <row r="267">
      <c r="A267" s="54" t="inlineStr">
        <is>
          <t>26063002V</t>
        </is>
      </c>
      <c r="B267" s="54" t="inlineStr">
        <is>
          <t>CEOi - CEO Connect - 11.8.26</t>
        </is>
      </c>
      <c r="C267" s="55">
        <f>SUMIFS(tbl_WIP[Amount],tbl_WIP[Job Number],$A267,tbl_WIP[Month],"&lt;&gt;",tbl_WIP[Month],"&lt;"&amp;$C$4)+SUMIF('Deferred Revenue'!$E$6:$E$579,$A267,'Deferred Revenue'!$P$6:$P$579)</f>
        <v/>
      </c>
      <c r="D267" s="55">
        <f>SUMIFS(tbl_WIP[Amount],tbl_WIP[Job Number],$A267,tbl_WIP[Month],$C$4)+SUMIF('Deferred Revenue'!$E$6:$E$579,$A267,'Deferred Revenue'!$Q$6:$Q$579)</f>
        <v/>
      </c>
      <c r="E267" s="55">
        <f>C267+D267</f>
        <v/>
      </c>
      <c r="F267" s="56">
        <f>IF(ROUND(C267,2)+ROUND(D267,2)=0,"","yes")</f>
        <v/>
      </c>
      <c r="G267" s="57" t="n"/>
      <c r="H267" s="55">
        <f>IF($G267="","",$E267-$G267)</f>
        <v/>
      </c>
    </row>
    <row r="268">
      <c r="A268" s="54" t="inlineStr">
        <is>
          <t>2606401V</t>
        </is>
      </c>
      <c r="B268" s="54" t="inlineStr">
        <is>
          <t>PWC - NRW Webcast - 11.6.26</t>
        </is>
      </c>
      <c r="C268" s="55">
        <f>SUMIFS(tbl_WIP[Amount],tbl_WIP[Job Number],$A268,tbl_WIP[Month],"&lt;&gt;",tbl_WIP[Month],"&lt;"&amp;$C$4)+SUMIF('Deferred Revenue'!$E$6:$E$579,$A268,'Deferred Revenue'!$P$6:$P$579)</f>
        <v/>
      </c>
      <c r="D268" s="55">
        <f>SUMIFS(tbl_WIP[Amount],tbl_WIP[Job Number],$A268,tbl_WIP[Month],$C$4)+SUMIF('Deferred Revenue'!$E$6:$E$579,$A268,'Deferred Revenue'!$Q$6:$Q$579)</f>
        <v/>
      </c>
      <c r="E268" s="55">
        <f>C268+D268</f>
        <v/>
      </c>
      <c r="F268" s="56">
        <f>IF(ROUND(C268,2)+ROUND(D268,2)=0,"","yes")</f>
        <v/>
      </c>
      <c r="G268" s="57" t="n"/>
      <c r="H268" s="55">
        <f>IF($G268="","",$E268-$G268)</f>
        <v/>
      </c>
    </row>
    <row r="269">
      <c r="A269" s="54" t="inlineStr">
        <is>
          <t>2606901</t>
        </is>
      </c>
      <c r="B269" s="54" t="inlineStr">
        <is>
          <t>PwC | Syd Studio Equipment</t>
        </is>
      </c>
      <c r="C269" s="55">
        <f>SUMIFS(tbl_WIP[Amount],tbl_WIP[Job Number],$A269,tbl_WIP[Month],"&lt;&gt;",tbl_WIP[Month],"&lt;"&amp;$C$4)+SUMIF('Deferred Revenue'!$E$6:$E$579,$A269,'Deferred Revenue'!$P$6:$P$579)</f>
        <v/>
      </c>
      <c r="D269" s="55">
        <f>SUMIFS(tbl_WIP[Amount],tbl_WIP[Job Number],$A269,tbl_WIP[Month],$C$4)+SUMIF('Deferred Revenue'!$E$6:$E$579,$A269,'Deferred Revenue'!$Q$6:$Q$579)</f>
        <v/>
      </c>
      <c r="E269" s="55">
        <f>C269+D269</f>
        <v/>
      </c>
      <c r="F269" s="56">
        <f>IF(ROUND(C269,2)+ROUND(D269,2)=0,"","yes")</f>
        <v/>
      </c>
      <c r="G269" s="57" t="n"/>
      <c r="H269" s="55">
        <f>IF($G269="","",$E269-$G269)</f>
        <v/>
      </c>
    </row>
    <row r="270">
      <c r="A270" s="54" t="inlineStr">
        <is>
          <t>2606902</t>
        </is>
      </c>
      <c r="B270" s="54" t="inlineStr">
        <is>
          <t>AVIT - Taronga AV Support - 9-11.6.26</t>
        </is>
      </c>
      <c r="C270" s="55">
        <f>SUMIFS(tbl_WIP[Amount],tbl_WIP[Job Number],$A270,tbl_WIP[Month],"&lt;&gt;",tbl_WIP[Month],"&lt;"&amp;$C$4)+SUMIF('Deferred Revenue'!$E$6:$E$579,$A270,'Deferred Revenue'!$P$6:$P$579)</f>
        <v/>
      </c>
      <c r="D270" s="55">
        <f>SUMIFS(tbl_WIP[Amount],tbl_WIP[Job Number],$A270,tbl_WIP[Month],$C$4)+SUMIF('Deferred Revenue'!$E$6:$E$579,$A270,'Deferred Revenue'!$Q$6:$Q$579)</f>
        <v/>
      </c>
      <c r="E270" s="55">
        <f>C270+D270</f>
        <v/>
      </c>
      <c r="F270" s="56">
        <f>IF(ROUND(C270,2)+ROUND(D270,2)=0,"","yes")</f>
        <v/>
      </c>
      <c r="G270" s="57" t="n"/>
      <c r="H270" s="55">
        <f>IF($G270="","",$E270-$G270)</f>
        <v/>
      </c>
    </row>
    <row r="271">
      <c r="A271" s="54" t="inlineStr">
        <is>
          <t>2606903</t>
        </is>
      </c>
      <c r="B271" s="54" t="inlineStr">
        <is>
          <t>Virgin FY26 Results</t>
        </is>
      </c>
      <c r="C271" s="55">
        <f>SUMIFS(tbl_WIP[Amount],tbl_WIP[Job Number],$A271,tbl_WIP[Month],"&lt;&gt;",tbl_WIP[Month],"&lt;"&amp;$C$4)+SUMIF('Deferred Revenue'!$E$6:$E$579,$A271,'Deferred Revenue'!$P$6:$P$579)</f>
        <v/>
      </c>
      <c r="D271" s="55">
        <f>SUMIFS(tbl_WIP[Amount],tbl_WIP[Job Number],$A271,tbl_WIP[Month],$C$4)+SUMIF('Deferred Revenue'!$E$6:$E$579,$A271,'Deferred Revenue'!$Q$6:$Q$579)</f>
        <v/>
      </c>
      <c r="E271" s="55">
        <f>C271+D271</f>
        <v/>
      </c>
      <c r="F271" s="56">
        <f>IF(ROUND(C271,2)+ROUND(D271,2)=0,"","yes")</f>
        <v/>
      </c>
      <c r="G271" s="57" t="n"/>
      <c r="H271" s="55">
        <f>IF($G271="","",$E271-$G271)</f>
        <v/>
      </c>
    </row>
    <row r="272">
      <c r="A272" s="54" t="inlineStr">
        <is>
          <t>2606903V</t>
        </is>
      </c>
      <c r="B272" s="54" t="inlineStr">
        <is>
          <t>Virgin FY26 Results</t>
        </is>
      </c>
      <c r="C272" s="55">
        <f>SUMIFS(tbl_WIP[Amount],tbl_WIP[Job Number],$A272,tbl_WIP[Month],"&lt;&gt;",tbl_WIP[Month],"&lt;"&amp;$C$4)+SUMIF('Deferred Revenue'!$E$6:$E$579,$A272,'Deferred Revenue'!$P$6:$P$579)</f>
        <v/>
      </c>
      <c r="D272" s="55">
        <f>SUMIFS(tbl_WIP[Amount],tbl_WIP[Job Number],$A272,tbl_WIP[Month],$C$4)+SUMIF('Deferred Revenue'!$E$6:$E$579,$A272,'Deferred Revenue'!$Q$6:$Q$579)</f>
        <v/>
      </c>
      <c r="E272" s="55">
        <f>C272+D272</f>
        <v/>
      </c>
      <c r="F272" s="56">
        <f>IF(ROUND(C272,2)+ROUND(D272,2)=0,"","yes")</f>
        <v/>
      </c>
      <c r="G272" s="57" t="n"/>
      <c r="H272" s="55">
        <f>IF($G272="","",$E272-$G272)</f>
        <v/>
      </c>
    </row>
    <row r="273">
      <c r="A273" s="54" t="inlineStr">
        <is>
          <t>2606904</t>
        </is>
      </c>
      <c r="B273" s="54" t="inlineStr">
        <is>
          <t>Symal - FYR26 (Melb) - 24.8.26</t>
        </is>
      </c>
      <c r="C273" s="55">
        <f>SUMIFS(tbl_WIP[Amount],tbl_WIP[Job Number],$A273,tbl_WIP[Month],"&lt;&gt;",tbl_WIP[Month],"&lt;"&amp;$C$4)+SUMIF('Deferred Revenue'!$E$6:$E$579,$A273,'Deferred Revenue'!$P$6:$P$579)</f>
        <v/>
      </c>
      <c r="D273" s="55">
        <f>SUMIFS(tbl_WIP[Amount],tbl_WIP[Job Number],$A273,tbl_WIP[Month],$C$4)+SUMIF('Deferred Revenue'!$E$6:$E$579,$A273,'Deferred Revenue'!$Q$6:$Q$579)</f>
        <v/>
      </c>
      <c r="E273" s="55">
        <f>C273+D273</f>
        <v/>
      </c>
      <c r="F273" s="56">
        <f>IF(ROUND(C273,2)+ROUND(D273,2)=0,"","yes")</f>
        <v/>
      </c>
      <c r="G273" s="57" t="n"/>
      <c r="H273" s="55">
        <f>IF($G273="","",$E273-$G273)</f>
        <v/>
      </c>
    </row>
    <row r="274">
      <c r="A274" s="54" t="inlineStr">
        <is>
          <t>2606904V</t>
        </is>
      </c>
      <c r="B274" s="54" t="inlineStr">
        <is>
          <t>Symal - FYR26 (Melb) - 24.8.26</t>
        </is>
      </c>
      <c r="C274" s="55">
        <f>SUMIFS(tbl_WIP[Amount],tbl_WIP[Job Number],$A274,tbl_WIP[Month],"&lt;&gt;",tbl_WIP[Month],"&lt;"&amp;$C$4)+SUMIF('Deferred Revenue'!$E$6:$E$579,$A274,'Deferred Revenue'!$P$6:$P$579)</f>
        <v/>
      </c>
      <c r="D274" s="55">
        <f>SUMIFS(tbl_WIP[Amount],tbl_WIP[Job Number],$A274,tbl_WIP[Month],$C$4)+SUMIF('Deferred Revenue'!$E$6:$E$579,$A274,'Deferred Revenue'!$Q$6:$Q$579)</f>
        <v/>
      </c>
      <c r="E274" s="55">
        <f>C274+D274</f>
        <v/>
      </c>
      <c r="F274" s="56">
        <f>IF(ROUND(C274,2)+ROUND(D274,2)=0,"","yes")</f>
        <v/>
      </c>
      <c r="G274" s="57" t="n"/>
      <c r="H274" s="55">
        <f>IF($G274="","",$E274-$G274)</f>
        <v/>
      </c>
    </row>
    <row r="275">
      <c r="A275" s="54" t="inlineStr">
        <is>
          <t>2606905</t>
        </is>
      </c>
      <c r="B275" s="54" t="inlineStr">
        <is>
          <t>Dimensional - Audio Tech Support - 22.6.26</t>
        </is>
      </c>
      <c r="C275" s="55">
        <f>SUMIFS(tbl_WIP[Amount],tbl_WIP[Job Number],$A275,tbl_WIP[Month],"&lt;&gt;",tbl_WIP[Month],"&lt;"&amp;$C$4)+SUMIF('Deferred Revenue'!$E$6:$E$579,$A275,'Deferred Revenue'!$P$6:$P$579)</f>
        <v/>
      </c>
      <c r="D275" s="55">
        <f>SUMIFS(tbl_WIP[Amount],tbl_WIP[Job Number],$A275,tbl_WIP[Month],$C$4)+SUMIF('Deferred Revenue'!$E$6:$E$579,$A275,'Deferred Revenue'!$Q$6:$Q$579)</f>
        <v/>
      </c>
      <c r="E275" s="55">
        <f>C275+D275</f>
        <v/>
      </c>
      <c r="F275" s="56">
        <f>IF(ROUND(C275,2)+ROUND(D275,2)=0,"","yes")</f>
        <v/>
      </c>
      <c r="G275" s="57" t="n"/>
      <c r="H275" s="55">
        <f>IF($G275="","",$E275-$G275)</f>
        <v/>
      </c>
    </row>
    <row r="276">
      <c r="A276" s="54" t="inlineStr">
        <is>
          <t>2606906</t>
        </is>
      </c>
      <c r="B276" s="54" t="inlineStr">
        <is>
          <t>St Catherines Case Study Video Non-Chrgable</t>
        </is>
      </c>
      <c r="C276" s="55">
        <f>SUMIFS(tbl_WIP[Amount],tbl_WIP[Job Number],$A276,tbl_WIP[Month],"&lt;&gt;",tbl_WIP[Month],"&lt;"&amp;$C$4)+SUMIF('Deferred Revenue'!$E$6:$E$579,$A276,'Deferred Revenue'!$P$6:$P$579)</f>
        <v/>
      </c>
      <c r="D276" s="55">
        <f>SUMIFS(tbl_WIP[Amount],tbl_WIP[Job Number],$A276,tbl_WIP[Month],$C$4)+SUMIF('Deferred Revenue'!$E$6:$E$579,$A276,'Deferred Revenue'!$Q$6:$Q$579)</f>
        <v/>
      </c>
      <c r="E276" s="55">
        <f>C276+D276</f>
        <v/>
      </c>
      <c r="F276" s="56">
        <f>IF(ROUND(C276,2)+ROUND(D276,2)=0,"","yes")</f>
        <v/>
      </c>
      <c r="G276" s="57" t="n"/>
      <c r="H276" s="55">
        <f>IF($G276="","",$E276-$G276)</f>
        <v/>
      </c>
    </row>
    <row r="277">
      <c r="A277" s="54" t="inlineStr">
        <is>
          <t>26071303</t>
        </is>
      </c>
      <c r="B277" s="54" t="inlineStr">
        <is>
          <t>Ventia - Melbourne Office Event - 30.7.26</t>
        </is>
      </c>
      <c r="C277" s="55">
        <f>SUMIFS(tbl_WIP[Amount],tbl_WIP[Job Number],$A277,tbl_WIP[Month],"&lt;&gt;",tbl_WIP[Month],"&lt;"&amp;$C$4)+SUMIF('Deferred Revenue'!$E$6:$E$579,$A277,'Deferred Revenue'!$P$6:$P$579)</f>
        <v/>
      </c>
      <c r="D277" s="55">
        <f>SUMIFS(tbl_WIP[Amount],tbl_WIP[Job Number],$A277,tbl_WIP[Month],$C$4)+SUMIF('Deferred Revenue'!$E$6:$E$579,$A277,'Deferred Revenue'!$Q$6:$Q$579)</f>
        <v/>
      </c>
      <c r="E277" s="55">
        <f>C277+D277</f>
        <v/>
      </c>
      <c r="F277" s="56">
        <f>IF(ROUND(C277,2)+ROUND(D277,2)=0,"","yes")</f>
        <v/>
      </c>
      <c r="G277" s="57" t="n"/>
      <c r="H277" s="55">
        <f>IF($G277="","",$E277-$G277)</f>
        <v/>
      </c>
    </row>
    <row r="278">
      <c r="A278" s="54" t="inlineStr">
        <is>
          <t>26071304</t>
        </is>
      </c>
      <c r="B278" s="54" t="inlineStr">
        <is>
          <t>YSG | Orange Room Upgrade</t>
        </is>
      </c>
      <c r="C278" s="55">
        <f>SUMIFS(tbl_WIP[Amount],tbl_WIP[Job Number],$A278,tbl_WIP[Month],"&lt;&gt;",tbl_WIP[Month],"&lt;"&amp;$C$4)+SUMIF('Deferred Revenue'!$E$6:$E$579,$A278,'Deferred Revenue'!$P$6:$P$579)</f>
        <v/>
      </c>
      <c r="D278" s="55">
        <f>SUMIFS(tbl_WIP[Amount],tbl_WIP[Job Number],$A278,tbl_WIP[Month],$C$4)+SUMIF('Deferred Revenue'!$E$6:$E$579,$A278,'Deferred Revenue'!$Q$6:$Q$579)</f>
        <v/>
      </c>
      <c r="E278" s="55">
        <f>C278+D278</f>
        <v/>
      </c>
      <c r="F278" s="56">
        <f>IF(ROUND(C278,2)+ROUND(D278,2)=0,"","yes")</f>
        <v/>
      </c>
      <c r="G278" s="57" t="n"/>
      <c r="H278" s="55">
        <f>IF($G278="","",$E278-$G278)</f>
        <v/>
      </c>
    </row>
    <row r="279">
      <c r="A279" s="54" t="inlineStr">
        <is>
          <t>26071403</t>
        </is>
      </c>
      <c r="B279" s="54" t="inlineStr">
        <is>
          <t>Elkiem - Studio Support - 4.11.26</t>
        </is>
      </c>
      <c r="C279" s="55">
        <f>SUMIFS(tbl_WIP[Amount],tbl_WIP[Job Number],$A279,tbl_WIP[Month],"&lt;&gt;",tbl_WIP[Month],"&lt;"&amp;$C$4)+SUMIF('Deferred Revenue'!$E$6:$E$579,$A279,'Deferred Revenue'!$P$6:$P$579)</f>
        <v/>
      </c>
      <c r="D279" s="55">
        <f>SUMIFS(tbl_WIP[Amount],tbl_WIP[Job Number],$A279,tbl_WIP[Month],$C$4)+SUMIF('Deferred Revenue'!$E$6:$E$579,$A279,'Deferred Revenue'!$Q$6:$Q$579)</f>
        <v/>
      </c>
      <c r="E279" s="55">
        <f>C279+D279</f>
        <v/>
      </c>
      <c r="F279" s="56">
        <f>IF(ROUND(C279,2)+ROUND(D279,2)=0,"","yes")</f>
        <v/>
      </c>
      <c r="G279" s="57" t="n"/>
      <c r="H279" s="55">
        <f>IF($G279="","",$E279-$G279)</f>
        <v/>
      </c>
    </row>
    <row r="280">
      <c r="A280" s="54" t="inlineStr">
        <is>
          <t>26071404</t>
        </is>
      </c>
      <c r="B280" s="54" t="inlineStr">
        <is>
          <t>Elkiem - Studio Support - 9.12.26</t>
        </is>
      </c>
      <c r="C280" s="55">
        <f>SUMIFS(tbl_WIP[Amount],tbl_WIP[Job Number],$A280,tbl_WIP[Month],"&lt;&gt;",tbl_WIP[Month],"&lt;"&amp;$C$4)+SUMIF('Deferred Revenue'!$E$6:$E$579,$A280,'Deferred Revenue'!$P$6:$P$579)</f>
        <v/>
      </c>
      <c r="D280" s="55">
        <f>SUMIFS(tbl_WIP[Amount],tbl_WIP[Job Number],$A280,tbl_WIP[Month],$C$4)+SUMIF('Deferred Revenue'!$E$6:$E$579,$A280,'Deferred Revenue'!$Q$6:$Q$579)</f>
        <v/>
      </c>
      <c r="E280" s="55">
        <f>C280+D280</f>
        <v/>
      </c>
      <c r="F280" s="56">
        <f>IF(ROUND(C280,2)+ROUND(D280,2)=0,"","yes")</f>
        <v/>
      </c>
      <c r="G280" s="57" t="n"/>
      <c r="H280" s="55">
        <f>IF($G280="","",$E280-$G280)</f>
        <v/>
      </c>
    </row>
    <row r="281">
      <c r="A281" s="54" t="inlineStr">
        <is>
          <t>26071405</t>
        </is>
      </c>
      <c r="B281" s="54" t="inlineStr">
        <is>
          <t>PWC - Event Technician - 29.7.26</t>
        </is>
      </c>
      <c r="C281" s="55">
        <f>SUMIFS(tbl_WIP[Amount],tbl_WIP[Job Number],$A281,tbl_WIP[Month],"&lt;&gt;",tbl_WIP[Month],"&lt;"&amp;$C$4)+SUMIF('Deferred Revenue'!$E$6:$E$579,$A281,'Deferred Revenue'!$P$6:$P$579)</f>
        <v/>
      </c>
      <c r="D281" s="55">
        <f>SUMIFS(tbl_WIP[Amount],tbl_WIP[Job Number],$A281,tbl_WIP[Month],$C$4)+SUMIF('Deferred Revenue'!$E$6:$E$579,$A281,'Deferred Revenue'!$Q$6:$Q$579)</f>
        <v/>
      </c>
      <c r="E281" s="55">
        <f>C281+D281</f>
        <v/>
      </c>
      <c r="F281" s="56">
        <f>IF(ROUND(C281,2)+ROUND(D281,2)=0,"","yes")</f>
        <v/>
      </c>
      <c r="G281" s="57" t="n"/>
      <c r="H281" s="55">
        <f>IF($G281="","",$E281-$G281)</f>
        <v/>
      </c>
    </row>
    <row r="282">
      <c r="A282" s="54" t="inlineStr">
        <is>
          <t>26071501</t>
        </is>
      </c>
      <c r="B282" s="54" t="inlineStr">
        <is>
          <t>Ventia - Half Year Results Briefing - 24.8.26</t>
        </is>
      </c>
      <c r="C282" s="55">
        <f>SUMIFS(tbl_WIP[Amount],tbl_WIP[Job Number],$A282,tbl_WIP[Month],"&lt;&gt;",tbl_WIP[Month],"&lt;"&amp;$C$4)+SUMIF('Deferred Revenue'!$E$6:$E$579,$A282,'Deferred Revenue'!$P$6:$P$579)</f>
        <v/>
      </c>
      <c r="D282" s="55">
        <f>SUMIFS(tbl_WIP[Amount],tbl_WIP[Job Number],$A282,tbl_WIP[Month],$C$4)+SUMIF('Deferred Revenue'!$E$6:$E$579,$A282,'Deferred Revenue'!$Q$6:$Q$579)</f>
        <v/>
      </c>
      <c r="E282" s="55">
        <f>C282+D282</f>
        <v/>
      </c>
      <c r="F282" s="56">
        <f>IF(ROUND(C282,2)+ROUND(D282,2)=0,"","yes")</f>
        <v/>
      </c>
      <c r="G282" s="57" t="n"/>
      <c r="H282" s="55">
        <f>IF($G282="","",$E282-$G282)</f>
        <v/>
      </c>
    </row>
    <row r="283">
      <c r="A283" s="54" t="inlineStr">
        <is>
          <t>26071501V</t>
        </is>
      </c>
      <c r="B283" s="54" t="inlineStr">
        <is>
          <t>Ventia - Half Year Results Briefing - 24.8.26</t>
        </is>
      </c>
      <c r="C283" s="55">
        <f>SUMIFS(tbl_WIP[Amount],tbl_WIP[Job Number],$A283,tbl_WIP[Month],"&lt;&gt;",tbl_WIP[Month],"&lt;"&amp;$C$4)+SUMIF('Deferred Revenue'!$E$6:$E$579,$A283,'Deferred Revenue'!$P$6:$P$579)</f>
        <v/>
      </c>
      <c r="D283" s="55">
        <f>SUMIFS(tbl_WIP[Amount],tbl_WIP[Job Number],$A283,tbl_WIP[Month],$C$4)+SUMIF('Deferred Revenue'!$E$6:$E$579,$A283,'Deferred Revenue'!$Q$6:$Q$579)</f>
        <v/>
      </c>
      <c r="E283" s="55">
        <f>C283+D283</f>
        <v/>
      </c>
      <c r="F283" s="56">
        <f>IF(ROUND(C283,2)+ROUND(D283,2)=0,"","yes")</f>
        <v/>
      </c>
      <c r="G283" s="57" t="n"/>
      <c r="H283" s="55">
        <f>IF($G283="","",$E283-$G283)</f>
        <v/>
      </c>
    </row>
    <row r="284">
      <c r="A284" s="54" t="inlineStr">
        <is>
          <t>26071601</t>
        </is>
      </c>
      <c r="B284" s="54" t="inlineStr">
        <is>
          <t>Aware | PER | Barry Marshall and Albany Rooms BYOD USB-C Replcmnt</t>
        </is>
      </c>
      <c r="C284" s="55">
        <f>SUMIFS(tbl_WIP[Amount],tbl_WIP[Job Number],$A284,tbl_WIP[Month],"&lt;&gt;",tbl_WIP[Month],"&lt;"&amp;$C$4)+SUMIF('Deferred Revenue'!$E$6:$E$579,$A284,'Deferred Revenue'!$P$6:$P$579)</f>
        <v/>
      </c>
      <c r="D284" s="55">
        <f>SUMIFS(tbl_WIP[Amount],tbl_WIP[Job Number],$A284,tbl_WIP[Month],$C$4)+SUMIF('Deferred Revenue'!$E$6:$E$579,$A284,'Deferred Revenue'!$Q$6:$Q$579)</f>
        <v/>
      </c>
      <c r="E284" s="55">
        <f>C284+D284</f>
        <v/>
      </c>
      <c r="F284" s="56">
        <f>IF(ROUND(C284,2)+ROUND(D284,2)=0,"","yes")</f>
        <v/>
      </c>
      <c r="G284" s="57" t="n"/>
      <c r="H284" s="55">
        <f>IF($G284="","",$E284-$G284)</f>
        <v/>
      </c>
    </row>
    <row r="285">
      <c r="A285" s="54" t="inlineStr">
        <is>
          <t>26071701</t>
        </is>
      </c>
      <c r="B285" s="54" t="inlineStr">
        <is>
          <t>ASX Live - 9.9.26</t>
        </is>
      </c>
      <c r="C285" s="55">
        <f>SUMIFS(tbl_WIP[Amount],tbl_WIP[Job Number],$A285,tbl_WIP[Month],"&lt;&gt;",tbl_WIP[Month],"&lt;"&amp;$C$4)+SUMIF('Deferred Revenue'!$E$6:$E$579,$A285,'Deferred Revenue'!$P$6:$P$579)</f>
        <v/>
      </c>
      <c r="D285" s="55">
        <f>SUMIFS(tbl_WIP[Amount],tbl_WIP[Job Number],$A285,tbl_WIP[Month],$C$4)+SUMIF('Deferred Revenue'!$E$6:$E$579,$A285,'Deferred Revenue'!$Q$6:$Q$579)</f>
        <v/>
      </c>
      <c r="E285" s="55">
        <f>C285+D285</f>
        <v/>
      </c>
      <c r="F285" s="56">
        <f>IF(ROUND(C285,2)+ROUND(D285,2)=0,"","yes")</f>
        <v/>
      </c>
      <c r="G285" s="57" t="n"/>
      <c r="H285" s="55">
        <f>IF($G285="","",$E285-$G285)</f>
        <v/>
      </c>
    </row>
    <row r="286">
      <c r="A286" s="54" t="inlineStr">
        <is>
          <t>26071701V</t>
        </is>
      </c>
      <c r="B286" s="54" t="inlineStr">
        <is>
          <t>ASX Live - 9.9.26</t>
        </is>
      </c>
      <c r="C286" s="55">
        <f>SUMIFS(tbl_WIP[Amount],tbl_WIP[Job Number],$A286,tbl_WIP[Month],"&lt;&gt;",tbl_WIP[Month],"&lt;"&amp;$C$4)+SUMIF('Deferred Revenue'!$E$6:$E$579,$A286,'Deferred Revenue'!$P$6:$P$579)</f>
        <v/>
      </c>
      <c r="D286" s="55">
        <f>SUMIFS(tbl_WIP[Amount],tbl_WIP[Job Number],$A286,tbl_WIP[Month],$C$4)+SUMIF('Deferred Revenue'!$E$6:$E$579,$A286,'Deferred Revenue'!$Q$6:$Q$579)</f>
        <v/>
      </c>
      <c r="E286" s="55">
        <f>C286+D286</f>
        <v/>
      </c>
      <c r="F286" s="56">
        <f>IF(ROUND(C286,2)+ROUND(D286,2)=0,"","yes")</f>
        <v/>
      </c>
      <c r="G286" s="57" t="n"/>
      <c r="H286" s="55">
        <f>IF($G286="","",$E286-$G286)</f>
        <v/>
      </c>
    </row>
    <row r="287">
      <c r="A287" s="54" t="inlineStr">
        <is>
          <t>26071901</t>
        </is>
      </c>
      <c r="B287" s="54" t="inlineStr">
        <is>
          <t>Elkiem - Studio Support - 11.8.26</t>
        </is>
      </c>
      <c r="C287" s="55">
        <f>SUMIFS(tbl_WIP[Amount],tbl_WIP[Job Number],$A287,tbl_WIP[Month],"&lt;&gt;",tbl_WIP[Month],"&lt;"&amp;$C$4)+SUMIF('Deferred Revenue'!$E$6:$E$579,$A287,'Deferred Revenue'!$P$6:$P$579)</f>
        <v/>
      </c>
      <c r="D287" s="55">
        <f>SUMIFS(tbl_WIP[Amount],tbl_WIP[Job Number],$A287,tbl_WIP[Month],$C$4)+SUMIF('Deferred Revenue'!$E$6:$E$579,$A287,'Deferred Revenue'!$Q$6:$Q$579)</f>
        <v/>
      </c>
      <c r="E287" s="55">
        <f>C287+D287</f>
        <v/>
      </c>
      <c r="F287" s="56">
        <f>IF(ROUND(C287,2)+ROUND(D287,2)=0,"","yes")</f>
        <v/>
      </c>
      <c r="G287" s="57" t="n"/>
      <c r="H287" s="55">
        <f>IF($G287="","",$E287-$G287)</f>
        <v/>
      </c>
    </row>
    <row r="288">
      <c r="A288" s="54" t="inlineStr">
        <is>
          <t>26072003</t>
        </is>
      </c>
      <c r="B288" s="54" t="inlineStr">
        <is>
          <t>CBA Live Event Support August 2026</t>
        </is>
      </c>
      <c r="C288" s="55">
        <f>SUMIFS(tbl_WIP[Amount],tbl_WIP[Job Number],$A288,tbl_WIP[Month],"&lt;&gt;",tbl_WIP[Month],"&lt;"&amp;$C$4)+SUMIF('Deferred Revenue'!$E$6:$E$579,$A288,'Deferred Revenue'!$P$6:$P$579)</f>
        <v/>
      </c>
      <c r="D288" s="55">
        <f>SUMIFS(tbl_WIP[Amount],tbl_WIP[Job Number],$A288,tbl_WIP[Month],$C$4)+SUMIF('Deferred Revenue'!$E$6:$E$579,$A288,'Deferred Revenue'!$Q$6:$Q$579)</f>
        <v/>
      </c>
      <c r="E288" s="55">
        <f>C288+D288</f>
        <v/>
      </c>
      <c r="F288" s="56">
        <f>IF(ROUND(C288,2)+ROUND(D288,2)=0,"","yes")</f>
        <v/>
      </c>
      <c r="G288" s="57" t="n"/>
      <c r="H288" s="55">
        <f>IF($G288="","",$E288-$G288)</f>
        <v/>
      </c>
    </row>
    <row r="289">
      <c r="A289" s="54" t="inlineStr">
        <is>
          <t>26072101</t>
        </is>
      </c>
      <c r="B289" s="54" t="inlineStr">
        <is>
          <t>Aware MEL 17.02 Amp Replacement</t>
        </is>
      </c>
      <c r="C289" s="55">
        <f>SUMIFS(tbl_WIP[Amount],tbl_WIP[Job Number],$A289,tbl_WIP[Month],"&lt;&gt;",tbl_WIP[Month],"&lt;"&amp;$C$4)+SUMIF('Deferred Revenue'!$E$6:$E$579,$A289,'Deferred Revenue'!$P$6:$P$579)</f>
        <v/>
      </c>
      <c r="D289" s="55">
        <f>SUMIFS(tbl_WIP[Amount],tbl_WIP[Job Number],$A289,tbl_WIP[Month],$C$4)+SUMIF('Deferred Revenue'!$E$6:$E$579,$A289,'Deferred Revenue'!$Q$6:$Q$579)</f>
        <v/>
      </c>
      <c r="E289" s="55">
        <f>C289+D289</f>
        <v/>
      </c>
      <c r="F289" s="56">
        <f>IF(ROUND(C289,2)+ROUND(D289,2)=0,"","yes")</f>
        <v/>
      </c>
      <c r="G289" s="57" t="n"/>
      <c r="H289" s="55">
        <f>IF($G289="","",$E289-$G289)</f>
        <v/>
      </c>
    </row>
    <row r="290">
      <c r="A290" s="54" t="inlineStr">
        <is>
          <t>26072101</t>
        </is>
      </c>
      <c r="B290" s="54" t="inlineStr">
        <is>
          <t>Aware_Mel 17.02 Amp Replacement</t>
        </is>
      </c>
      <c r="C290" s="55">
        <f>SUMIFS(tbl_WIP[Amount],tbl_WIP[Job Number],$A290,tbl_WIP[Month],"&lt;&gt;",tbl_WIP[Month],"&lt;"&amp;$C$4)+SUMIF('Deferred Revenue'!$E$6:$E$579,$A290,'Deferred Revenue'!$P$6:$P$579)</f>
        <v/>
      </c>
      <c r="D290" s="55">
        <f>SUMIFS(tbl_WIP[Amount],tbl_WIP[Job Number],$A290,tbl_WIP[Month],$C$4)+SUMIF('Deferred Revenue'!$E$6:$E$579,$A290,'Deferred Revenue'!$Q$6:$Q$579)</f>
        <v/>
      </c>
      <c r="E290" s="55">
        <f>C290+D290</f>
        <v/>
      </c>
      <c r="F290" s="56">
        <f>IF(ROUND(C290,2)+ROUND(D290,2)=0,"","yes")</f>
        <v/>
      </c>
      <c r="G290" s="57" t="n"/>
      <c r="H290" s="55">
        <f>IF($G290="","",$E290-$G290)</f>
        <v/>
      </c>
    </row>
    <row r="291">
      <c r="A291" s="54" t="inlineStr">
        <is>
          <t>26072102</t>
        </is>
      </c>
      <c r="B291" s="54" t="inlineStr">
        <is>
          <t>Ventia - RUOK? Day - 10.09.2026</t>
        </is>
      </c>
      <c r="C291" s="55">
        <f>SUMIFS(tbl_WIP[Amount],tbl_WIP[Job Number],$A291,tbl_WIP[Month],"&lt;&gt;",tbl_WIP[Month],"&lt;"&amp;$C$4)+SUMIF('Deferred Revenue'!$E$6:$E$579,$A291,'Deferred Revenue'!$P$6:$P$579)</f>
        <v/>
      </c>
      <c r="D291" s="55">
        <f>SUMIFS(tbl_WIP[Amount],tbl_WIP[Job Number],$A291,tbl_WIP[Month],$C$4)+SUMIF('Deferred Revenue'!$E$6:$E$579,$A291,'Deferred Revenue'!$Q$6:$Q$579)</f>
        <v/>
      </c>
      <c r="E291" s="55">
        <f>C291+D291</f>
        <v/>
      </c>
      <c r="F291" s="56">
        <f>IF(ROUND(C291,2)+ROUND(D291,2)=0,"","yes")</f>
        <v/>
      </c>
      <c r="G291" s="57" t="n"/>
      <c r="H291" s="55">
        <f>IF($G291="","",$E291-$G291)</f>
        <v/>
      </c>
    </row>
    <row r="292">
      <c r="A292" s="54" t="inlineStr">
        <is>
          <t>26072102V</t>
        </is>
      </c>
      <c r="B292" s="54" t="inlineStr">
        <is>
          <t>Ventia - RUOK? Day - 10.09.2026</t>
        </is>
      </c>
      <c r="C292" s="55">
        <f>SUMIFS(tbl_WIP[Amount],tbl_WIP[Job Number],$A292,tbl_WIP[Month],"&lt;&gt;",tbl_WIP[Month],"&lt;"&amp;$C$4)+SUMIF('Deferred Revenue'!$E$6:$E$579,$A292,'Deferred Revenue'!$P$6:$P$579)</f>
        <v/>
      </c>
      <c r="D292" s="55">
        <f>SUMIFS(tbl_WIP[Amount],tbl_WIP[Job Number],$A292,tbl_WIP[Month],$C$4)+SUMIF('Deferred Revenue'!$E$6:$E$579,$A292,'Deferred Revenue'!$Q$6:$Q$579)</f>
        <v/>
      </c>
      <c r="E292" s="55">
        <f>C292+D292</f>
        <v/>
      </c>
      <c r="F292" s="56">
        <f>IF(ROUND(C292,2)+ROUND(D292,2)=0,"","yes")</f>
        <v/>
      </c>
      <c r="G292" s="57" t="n"/>
      <c r="H292" s="55">
        <f>IF($G292="","",$E292-$G292)</f>
        <v/>
      </c>
    </row>
    <row r="293">
      <c r="A293" s="54" t="inlineStr">
        <is>
          <t>26072802</t>
        </is>
      </c>
      <c r="B293" s="54" t="inlineStr">
        <is>
          <t>ON24 KWM Sydney Event - 18.08.2026</t>
        </is>
      </c>
      <c r="C293" s="55">
        <f>SUMIFS(tbl_WIP[Amount],tbl_WIP[Job Number],$A293,tbl_WIP[Month],"&lt;&gt;",tbl_WIP[Month],"&lt;"&amp;$C$4)+SUMIF('Deferred Revenue'!$E$6:$E$579,$A293,'Deferred Revenue'!$P$6:$P$579)</f>
        <v/>
      </c>
      <c r="D293" s="55">
        <f>SUMIFS(tbl_WIP[Amount],tbl_WIP[Job Number],$A293,tbl_WIP[Month],$C$4)+SUMIF('Deferred Revenue'!$E$6:$E$579,$A293,'Deferred Revenue'!$Q$6:$Q$579)</f>
        <v/>
      </c>
      <c r="E293" s="55">
        <f>C293+D293</f>
        <v/>
      </c>
      <c r="F293" s="56">
        <f>IF(ROUND(C293,2)+ROUND(D293,2)=0,"","yes")</f>
        <v/>
      </c>
      <c r="G293" s="57" t="n"/>
      <c r="H293" s="55">
        <f>IF($G293="","",$E293-$G293)</f>
        <v/>
      </c>
    </row>
    <row r="294">
      <c r="A294" s="54" t="inlineStr">
        <is>
          <t>26072802V</t>
        </is>
      </c>
      <c r="B294" s="54" t="inlineStr">
        <is>
          <t>ON24 KWM Sydney Event - 18.08.2026</t>
        </is>
      </c>
      <c r="C294" s="55">
        <f>SUMIFS(tbl_WIP[Amount],tbl_WIP[Job Number],$A294,tbl_WIP[Month],"&lt;&gt;",tbl_WIP[Month],"&lt;"&amp;$C$4)+SUMIF('Deferred Revenue'!$E$6:$E$579,$A294,'Deferred Revenue'!$P$6:$P$579)</f>
        <v/>
      </c>
      <c r="D294" s="55">
        <f>SUMIFS(tbl_WIP[Amount],tbl_WIP[Job Number],$A294,tbl_WIP[Month],$C$4)+SUMIF('Deferred Revenue'!$E$6:$E$579,$A294,'Deferred Revenue'!$Q$6:$Q$579)</f>
        <v/>
      </c>
      <c r="E294" s="55">
        <f>C294+D294</f>
        <v/>
      </c>
      <c r="F294" s="56">
        <f>IF(ROUND(C294,2)+ROUND(D294,2)=0,"","yes")</f>
        <v/>
      </c>
      <c r="G294" s="57" t="n"/>
      <c r="H294" s="55">
        <f>IF($G294="","",$E294-$G294)</f>
        <v/>
      </c>
    </row>
    <row r="295">
      <c r="A295" s="54" t="inlineStr">
        <is>
          <t>26072902</t>
        </is>
      </c>
      <c r="B295" s="54" t="inlineStr">
        <is>
          <t>PWC AI Townhall 6.8.26</t>
        </is>
      </c>
      <c r="C295" s="55">
        <f>SUMIFS(tbl_WIP[Amount],tbl_WIP[Job Number],$A295,tbl_WIP[Month],"&lt;&gt;",tbl_WIP[Month],"&lt;"&amp;$C$4)+SUMIF('Deferred Revenue'!$E$6:$E$579,$A295,'Deferred Revenue'!$P$6:$P$579)</f>
        <v/>
      </c>
      <c r="D295" s="55">
        <f>SUMIFS(tbl_WIP[Amount],tbl_WIP[Job Number],$A295,tbl_WIP[Month],$C$4)+SUMIF('Deferred Revenue'!$E$6:$E$579,$A295,'Deferred Revenue'!$Q$6:$Q$579)</f>
        <v/>
      </c>
      <c r="E295" s="55">
        <f>C295+D295</f>
        <v/>
      </c>
      <c r="F295" s="56">
        <f>IF(ROUND(C295,2)+ROUND(D295,2)=0,"","yes")</f>
        <v/>
      </c>
      <c r="G295" s="57" t="n"/>
      <c r="H295" s="55">
        <f>IF($G295="","",$E295-$G295)</f>
        <v/>
      </c>
    </row>
    <row r="296">
      <c r="A296" s="54" t="inlineStr">
        <is>
          <t>26072902V</t>
        </is>
      </c>
      <c r="B296" s="54" t="inlineStr">
        <is>
          <t>PWC AI Townhall 6.8.26</t>
        </is>
      </c>
      <c r="C296" s="55">
        <f>SUMIFS(tbl_WIP[Amount],tbl_WIP[Job Number],$A296,tbl_WIP[Month],"&lt;&gt;",tbl_WIP[Month],"&lt;"&amp;$C$4)+SUMIF('Deferred Revenue'!$E$6:$E$579,$A296,'Deferred Revenue'!$P$6:$P$579)</f>
        <v/>
      </c>
      <c r="D296" s="55">
        <f>SUMIFS(tbl_WIP[Amount],tbl_WIP[Job Number],$A296,tbl_WIP[Month],$C$4)+SUMIF('Deferred Revenue'!$E$6:$E$579,$A296,'Deferred Revenue'!$Q$6:$Q$579)</f>
        <v/>
      </c>
      <c r="E296" s="55">
        <f>C296+D296</f>
        <v/>
      </c>
      <c r="F296" s="56">
        <f>IF(ROUND(C296,2)+ROUND(D296,2)=0,"","yes")</f>
        <v/>
      </c>
      <c r="G296" s="57" t="n"/>
      <c r="H296" s="55">
        <f>IF($G296="","",$E296-$G296)</f>
        <v/>
      </c>
    </row>
    <row r="297">
      <c r="A297" s="54" t="inlineStr">
        <is>
          <t>26072903</t>
        </is>
      </c>
      <c r="B297" s="54" t="inlineStr">
        <is>
          <t>PWC - GB Webcast - 11.8.26</t>
        </is>
      </c>
      <c r="C297" s="55">
        <f>SUMIFS(tbl_WIP[Amount],tbl_WIP[Job Number],$A297,tbl_WIP[Month],"&lt;&gt;",tbl_WIP[Month],"&lt;"&amp;$C$4)+SUMIF('Deferred Revenue'!$E$6:$E$579,$A297,'Deferred Revenue'!$P$6:$P$579)</f>
        <v/>
      </c>
      <c r="D297" s="55">
        <f>SUMIFS(tbl_WIP[Amount],tbl_WIP[Job Number],$A297,tbl_WIP[Month],$C$4)+SUMIF('Deferred Revenue'!$E$6:$E$579,$A297,'Deferred Revenue'!$Q$6:$Q$579)</f>
        <v/>
      </c>
      <c r="E297" s="55">
        <f>C297+D297</f>
        <v/>
      </c>
      <c r="F297" s="56">
        <f>IF(ROUND(C297,2)+ROUND(D297,2)=0,"","yes")</f>
        <v/>
      </c>
      <c r="G297" s="57" t="n"/>
      <c r="H297" s="55">
        <f>IF($G297="","",$E297-$G297)</f>
        <v/>
      </c>
    </row>
    <row r="298">
      <c r="A298" s="54" t="inlineStr">
        <is>
          <t>26072903V</t>
        </is>
      </c>
      <c r="B298" s="54" t="inlineStr">
        <is>
          <t>PWC - GB Webcast - 11.8.26</t>
        </is>
      </c>
      <c r="C298" s="55">
        <f>SUMIFS(tbl_WIP[Amount],tbl_WIP[Job Number],$A298,tbl_WIP[Month],"&lt;&gt;",tbl_WIP[Month],"&lt;"&amp;$C$4)+SUMIF('Deferred Revenue'!$E$6:$E$579,$A298,'Deferred Revenue'!$P$6:$P$579)</f>
        <v/>
      </c>
      <c r="D298" s="55">
        <f>SUMIFS(tbl_WIP[Amount],tbl_WIP[Job Number],$A298,tbl_WIP[Month],$C$4)+SUMIF('Deferred Revenue'!$E$6:$E$579,$A298,'Deferred Revenue'!$Q$6:$Q$579)</f>
        <v/>
      </c>
      <c r="E298" s="55">
        <f>C298+D298</f>
        <v/>
      </c>
      <c r="F298" s="56">
        <f>IF(ROUND(C298,2)+ROUND(D298,2)=0,"","yes")</f>
        <v/>
      </c>
      <c r="G298" s="57" t="n"/>
      <c r="H298" s="55">
        <f>IF($G298="","",$E298-$G298)</f>
        <v/>
      </c>
    </row>
    <row r="299">
      <c r="A299" s="54" t="inlineStr">
        <is>
          <t>26072906</t>
        </is>
      </c>
      <c r="B299" s="54" t="inlineStr">
        <is>
          <t>ASX Advisory Group on Corporate Governance</t>
        </is>
      </c>
      <c r="C299" s="55">
        <f>SUMIFS(tbl_WIP[Amount],tbl_WIP[Job Number],$A299,tbl_WIP[Month],"&lt;&gt;",tbl_WIP[Month],"&lt;"&amp;$C$4)+SUMIF('Deferred Revenue'!$E$6:$E$579,$A299,'Deferred Revenue'!$P$6:$P$579)</f>
        <v/>
      </c>
      <c r="D299" s="55">
        <f>SUMIFS(tbl_WIP[Amount],tbl_WIP[Job Number],$A299,tbl_WIP[Month],$C$4)+SUMIF('Deferred Revenue'!$E$6:$E$579,$A299,'Deferred Revenue'!$Q$6:$Q$579)</f>
        <v/>
      </c>
      <c r="E299" s="55">
        <f>C299+D299</f>
        <v/>
      </c>
      <c r="F299" s="56">
        <f>IF(ROUND(C299,2)+ROUND(D299,2)=0,"","yes")</f>
        <v/>
      </c>
      <c r="G299" s="57" t="n"/>
      <c r="H299" s="55">
        <f>IF($G299="","",$E299-$G299)</f>
        <v/>
      </c>
    </row>
    <row r="300">
      <c r="A300" s="54" t="inlineStr">
        <is>
          <t>26072906V</t>
        </is>
      </c>
      <c r="B300" s="54" t="inlineStr">
        <is>
          <t>ASX Advisory Group on Corporate Governance</t>
        </is>
      </c>
      <c r="C300" s="55">
        <f>SUMIFS(tbl_WIP[Amount],tbl_WIP[Job Number],$A300,tbl_WIP[Month],"&lt;&gt;",tbl_WIP[Month],"&lt;"&amp;$C$4)+SUMIF('Deferred Revenue'!$E$6:$E$579,$A300,'Deferred Revenue'!$P$6:$P$579)</f>
        <v/>
      </c>
      <c r="D300" s="55">
        <f>SUMIFS(tbl_WIP[Amount],tbl_WIP[Job Number],$A300,tbl_WIP[Month],$C$4)+SUMIF('Deferred Revenue'!$E$6:$E$579,$A300,'Deferred Revenue'!$Q$6:$Q$579)</f>
        <v/>
      </c>
      <c r="E300" s="55">
        <f>C300+D300</f>
        <v/>
      </c>
      <c r="F300" s="56">
        <f>IF(ROUND(C300,2)+ROUND(D300,2)=0,"","yes")</f>
        <v/>
      </c>
      <c r="G300" s="57" t="n"/>
      <c r="H300" s="55">
        <f>IF($G300="","",$E300-$G300)</f>
        <v/>
      </c>
    </row>
    <row r="301">
      <c r="A301" s="54" t="inlineStr">
        <is>
          <t>26073103</t>
        </is>
      </c>
      <c r="B301" s="54" t="inlineStr">
        <is>
          <t>DTTL PER AV &amp; Hospitality Tech (SEP26-FEB27)</t>
        </is>
      </c>
      <c r="C301" s="55">
        <f>SUMIFS(tbl_WIP[Amount],tbl_WIP[Job Number],$A301,tbl_WIP[Month],"&lt;&gt;",tbl_WIP[Month],"&lt;"&amp;$C$4)+SUMIF('Deferred Revenue'!$E$6:$E$579,$A301,'Deferred Revenue'!$P$6:$P$579)</f>
        <v/>
      </c>
      <c r="D301" s="55">
        <f>SUMIFS(tbl_WIP[Amount],tbl_WIP[Job Number],$A301,tbl_WIP[Month],$C$4)+SUMIF('Deferred Revenue'!$E$6:$E$579,$A301,'Deferred Revenue'!$Q$6:$Q$579)</f>
        <v/>
      </c>
      <c r="E301" s="55">
        <f>C301+D301</f>
        <v/>
      </c>
      <c r="F301" s="56">
        <f>IF(ROUND(C301,2)+ROUND(D301,2)=0,"","yes")</f>
        <v/>
      </c>
      <c r="G301" s="57" t="n"/>
      <c r="H301" s="55">
        <f>IF($G301="","",$E301-$G301)</f>
        <v/>
      </c>
    </row>
    <row r="302">
      <c r="A302" s="54" t="inlineStr">
        <is>
          <t>26073103N</t>
        </is>
      </c>
      <c r="B302" s="54" t="inlineStr">
        <is>
          <t>DTTL PER AV &amp; Hospitality Tech (SEP26-FEB27) [ONS] non-chargeable</t>
        </is>
      </c>
      <c r="C302" s="55">
        <f>SUMIFS(tbl_WIP[Amount],tbl_WIP[Job Number],$A302,tbl_WIP[Month],"&lt;&gt;",tbl_WIP[Month],"&lt;"&amp;$C$4)+SUMIF('Deferred Revenue'!$E$6:$E$579,$A302,'Deferred Revenue'!$P$6:$P$579)</f>
        <v/>
      </c>
      <c r="D302" s="55">
        <f>SUMIFS(tbl_WIP[Amount],tbl_WIP[Job Number],$A302,tbl_WIP[Month],$C$4)+SUMIF('Deferred Revenue'!$E$6:$E$579,$A302,'Deferred Revenue'!$Q$6:$Q$579)</f>
        <v/>
      </c>
      <c r="E302" s="55">
        <f>C302+D302</f>
        <v/>
      </c>
      <c r="F302" s="56">
        <f>IF(ROUND(C302,2)+ROUND(D302,2)=0,"","yes")</f>
        <v/>
      </c>
      <c r="G302" s="57" t="n"/>
      <c r="H302" s="55">
        <f>IF($G302="","",$E302-$G302)</f>
        <v/>
      </c>
    </row>
    <row r="303">
      <c r="A303" s="54" t="inlineStr">
        <is>
          <t>26073105</t>
        </is>
      </c>
      <c r="B303" s="54" t="inlineStr">
        <is>
          <t>Elkiem - Studio Support - 25.8.26</t>
        </is>
      </c>
      <c r="C303" s="55">
        <f>SUMIFS(tbl_WIP[Amount],tbl_WIP[Job Number],$A303,tbl_WIP[Month],"&lt;&gt;",tbl_WIP[Month],"&lt;"&amp;$C$4)+SUMIF('Deferred Revenue'!$E$6:$E$579,$A303,'Deferred Revenue'!$P$6:$P$579)</f>
        <v/>
      </c>
      <c r="D303" s="55">
        <f>SUMIFS(tbl_WIP[Amount],tbl_WIP[Job Number],$A303,tbl_WIP[Month],$C$4)+SUMIF('Deferred Revenue'!$E$6:$E$579,$A303,'Deferred Revenue'!$Q$6:$Q$579)</f>
        <v/>
      </c>
      <c r="E303" s="55">
        <f>C303+D303</f>
        <v/>
      </c>
      <c r="F303" s="56">
        <f>IF(ROUND(C303,2)+ROUND(D303,2)=0,"","yes")</f>
        <v/>
      </c>
      <c r="G303" s="57" t="n"/>
      <c r="H303" s="55">
        <f>IF($G303="","",$E303-$G303)</f>
        <v/>
      </c>
    </row>
    <row r="304">
      <c r="A304" s="54" t="inlineStr">
        <is>
          <t>26073106</t>
        </is>
      </c>
      <c r="B304" s="54" t="inlineStr">
        <is>
          <t>Elkiem - Studio Support - 18.9.26</t>
        </is>
      </c>
      <c r="C304" s="55">
        <f>SUMIFS(tbl_WIP[Amount],tbl_WIP[Job Number],$A304,tbl_WIP[Month],"&lt;&gt;",tbl_WIP[Month],"&lt;"&amp;$C$4)+SUMIF('Deferred Revenue'!$E$6:$E$579,$A304,'Deferred Revenue'!$P$6:$P$579)</f>
        <v/>
      </c>
      <c r="D304" s="55">
        <f>SUMIFS(tbl_WIP[Amount],tbl_WIP[Job Number],$A304,tbl_WIP[Month],$C$4)+SUMIF('Deferred Revenue'!$E$6:$E$579,$A304,'Deferred Revenue'!$Q$6:$Q$579)</f>
        <v/>
      </c>
      <c r="E304" s="55">
        <f>C304+D304</f>
        <v/>
      </c>
      <c r="F304" s="56">
        <f>IF(ROUND(C304,2)+ROUND(D304,2)=0,"","yes")</f>
        <v/>
      </c>
      <c r="G304" s="57" t="n"/>
      <c r="H304" s="55">
        <f>IF($G304="","",$E304-$G304)</f>
        <v/>
      </c>
    </row>
    <row r="305">
      <c r="A305" s="54" t="inlineStr">
        <is>
          <t>26073107</t>
        </is>
      </c>
      <c r="B305" s="54" t="inlineStr">
        <is>
          <t>DTTL Travel for Technician &amp; Coverage ADL-HOB</t>
        </is>
      </c>
      <c r="C305" s="55">
        <f>SUMIFS(tbl_WIP[Amount],tbl_WIP[Job Number],$A305,tbl_WIP[Month],"&lt;&gt;",tbl_WIP[Month],"&lt;"&amp;$C$4)+SUMIF('Deferred Revenue'!$E$6:$E$579,$A305,'Deferred Revenue'!$P$6:$P$579)</f>
        <v/>
      </c>
      <c r="D305" s="55">
        <f>SUMIFS(tbl_WIP[Amount],tbl_WIP[Job Number],$A305,tbl_WIP[Month],$C$4)+SUMIF('Deferred Revenue'!$E$6:$E$579,$A305,'Deferred Revenue'!$Q$6:$Q$579)</f>
        <v/>
      </c>
      <c r="E305" s="55">
        <f>C305+D305</f>
        <v/>
      </c>
      <c r="F305" s="56">
        <f>IF(ROUND(C305,2)+ROUND(D305,2)=0,"","yes")</f>
        <v/>
      </c>
      <c r="G305" s="57" t="n"/>
      <c r="H305" s="55">
        <f>IF($G305="","",$E305-$G305)</f>
        <v/>
      </c>
    </row>
    <row r="306">
      <c r="A306" s="54" t="inlineStr">
        <is>
          <t>26073110</t>
        </is>
      </c>
      <c r="B306" s="54" t="inlineStr">
        <is>
          <t>Garvan - Weizmann Dinner Event - 20.8.26</t>
        </is>
      </c>
      <c r="C306" s="55">
        <f>SUMIFS(tbl_WIP[Amount],tbl_WIP[Job Number],$A306,tbl_WIP[Month],"&lt;&gt;",tbl_WIP[Month],"&lt;"&amp;$C$4)+SUMIF('Deferred Revenue'!$E$6:$E$579,$A306,'Deferred Revenue'!$P$6:$P$579)</f>
        <v/>
      </c>
      <c r="D306" s="55">
        <f>SUMIFS(tbl_WIP[Amount],tbl_WIP[Job Number],$A306,tbl_WIP[Month],$C$4)+SUMIF('Deferred Revenue'!$E$6:$E$579,$A306,'Deferred Revenue'!$Q$6:$Q$579)</f>
        <v/>
      </c>
      <c r="E306" s="55">
        <f>C306+D306</f>
        <v/>
      </c>
      <c r="F306" s="56">
        <f>IF(ROUND(C306,2)+ROUND(D306,2)=0,"","yes")</f>
        <v/>
      </c>
      <c r="G306" s="57" t="n"/>
      <c r="H306" s="55">
        <f>IF($G306="","",$E306-$G306)</f>
        <v/>
      </c>
    </row>
    <row r="307">
      <c r="A307" s="54" t="inlineStr">
        <is>
          <t>26073110V</t>
        </is>
      </c>
      <c r="B307" s="54" t="inlineStr">
        <is>
          <t>Garvan - Weizmann Dinner Event - 20.8.26</t>
        </is>
      </c>
      <c r="C307" s="55">
        <f>SUMIFS(tbl_WIP[Amount],tbl_WIP[Job Number],$A307,tbl_WIP[Month],"&lt;&gt;",tbl_WIP[Month],"&lt;"&amp;$C$4)+SUMIF('Deferred Revenue'!$E$6:$E$579,$A307,'Deferred Revenue'!$P$6:$P$579)</f>
        <v/>
      </c>
      <c r="D307" s="55">
        <f>SUMIFS(tbl_WIP[Amount],tbl_WIP[Job Number],$A307,tbl_WIP[Month],$C$4)+SUMIF('Deferred Revenue'!$E$6:$E$579,$A307,'Deferred Revenue'!$Q$6:$Q$579)</f>
        <v/>
      </c>
      <c r="E307" s="55">
        <f>C307+D307</f>
        <v/>
      </c>
      <c r="F307" s="56">
        <f>IF(ROUND(C307,2)+ROUND(D307,2)=0,"","yes")</f>
        <v/>
      </c>
      <c r="G307" s="57" t="n"/>
      <c r="H307" s="55">
        <f>IF($G307="","",$E307-$G307)</f>
        <v/>
      </c>
    </row>
    <row r="308">
      <c r="A308" s="54" t="inlineStr">
        <is>
          <t>26073111</t>
        </is>
      </c>
      <c r="B308" s="54" t="inlineStr">
        <is>
          <t>Downer - FYR &amp; Employee Webcast - 25.8.26</t>
        </is>
      </c>
      <c r="C308" s="55">
        <f>SUMIFS(tbl_WIP[Amount],tbl_WIP[Job Number],$A308,tbl_WIP[Month],"&lt;&gt;",tbl_WIP[Month],"&lt;"&amp;$C$4)+SUMIF('Deferred Revenue'!$E$6:$E$579,$A308,'Deferred Revenue'!$P$6:$P$579)</f>
        <v/>
      </c>
      <c r="D308" s="55">
        <f>SUMIFS(tbl_WIP[Amount],tbl_WIP[Job Number],$A308,tbl_WIP[Month],$C$4)+SUMIF('Deferred Revenue'!$E$6:$E$579,$A308,'Deferred Revenue'!$Q$6:$Q$579)</f>
        <v/>
      </c>
      <c r="E308" s="55">
        <f>C308+D308</f>
        <v/>
      </c>
      <c r="F308" s="56">
        <f>IF(ROUND(C308,2)+ROUND(D308,2)=0,"","yes")</f>
        <v/>
      </c>
      <c r="G308" s="57" t="n"/>
      <c r="H308" s="55">
        <f>IF($G308="","",$E308-$G308)</f>
        <v/>
      </c>
    </row>
    <row r="309">
      <c r="A309" s="54" t="inlineStr">
        <is>
          <t>26073111V</t>
        </is>
      </c>
      <c r="B309" s="54" t="inlineStr">
        <is>
          <t>Downer - FYR &amp; Employee Webcast - 25.8.26</t>
        </is>
      </c>
      <c r="C309" s="55">
        <f>SUMIFS(tbl_WIP[Amount],tbl_WIP[Job Number],$A309,tbl_WIP[Month],"&lt;&gt;",tbl_WIP[Month],"&lt;"&amp;$C$4)+SUMIF('Deferred Revenue'!$E$6:$E$579,$A309,'Deferred Revenue'!$P$6:$P$579)</f>
        <v/>
      </c>
      <c r="D309" s="55">
        <f>SUMIFS(tbl_WIP[Amount],tbl_WIP[Job Number],$A309,tbl_WIP[Month],$C$4)+SUMIF('Deferred Revenue'!$E$6:$E$579,$A309,'Deferred Revenue'!$Q$6:$Q$579)</f>
        <v/>
      </c>
      <c r="E309" s="55">
        <f>C309+D309</f>
        <v/>
      </c>
      <c r="F309" s="56">
        <f>IF(ROUND(C309,2)+ROUND(D309,2)=0,"","yes")</f>
        <v/>
      </c>
      <c r="G309" s="57" t="n"/>
      <c r="H309" s="55">
        <f>IF($G309="","",$E309-$G309)</f>
        <v/>
      </c>
    </row>
    <row r="310">
      <c r="A310" s="54" t="inlineStr">
        <is>
          <t>2607703</t>
        </is>
      </c>
      <c r="B310" s="54" t="inlineStr">
        <is>
          <t>Garvan - YPO Event - 6.8.2026</t>
        </is>
      </c>
      <c r="C310" s="55">
        <f>SUMIFS(tbl_WIP[Amount],tbl_WIP[Job Number],$A310,tbl_WIP[Month],"&lt;&gt;",tbl_WIP[Month],"&lt;"&amp;$C$4)+SUMIF('Deferred Revenue'!$E$6:$E$579,$A310,'Deferred Revenue'!$P$6:$P$579)</f>
        <v/>
      </c>
      <c r="D310" s="55">
        <f>SUMIFS(tbl_WIP[Amount],tbl_WIP[Job Number],$A310,tbl_WIP[Month],$C$4)+SUMIF('Deferred Revenue'!$E$6:$E$579,$A310,'Deferred Revenue'!$Q$6:$Q$579)</f>
        <v/>
      </c>
      <c r="E310" s="55">
        <f>C310+D310</f>
        <v/>
      </c>
      <c r="F310" s="56">
        <f>IF(ROUND(C310,2)+ROUND(D310,2)=0,"","yes")</f>
        <v/>
      </c>
      <c r="G310" s="57" t="n"/>
      <c r="H310" s="55">
        <f>IF($G310="","",$E310-$G310)</f>
        <v/>
      </c>
    </row>
    <row r="311">
      <c r="A311" s="54" t="inlineStr">
        <is>
          <t>2607703V</t>
        </is>
      </c>
      <c r="B311" s="54" t="inlineStr">
        <is>
          <t>Garvan - YPO Event - 6.8.2026</t>
        </is>
      </c>
      <c r="C311" s="55">
        <f>SUMIFS(tbl_WIP[Amount],tbl_WIP[Job Number],$A311,tbl_WIP[Month],"&lt;&gt;",tbl_WIP[Month],"&lt;"&amp;$C$4)+SUMIF('Deferred Revenue'!$E$6:$E$579,$A311,'Deferred Revenue'!$P$6:$P$579)</f>
        <v/>
      </c>
      <c r="D311" s="55">
        <f>SUMIFS(tbl_WIP[Amount],tbl_WIP[Job Number],$A311,tbl_WIP[Month],$C$4)+SUMIF('Deferred Revenue'!$E$6:$E$579,$A311,'Deferred Revenue'!$Q$6:$Q$579)</f>
        <v/>
      </c>
      <c r="E311" s="55">
        <f>C311+D311</f>
        <v/>
      </c>
      <c r="F311" s="56">
        <f>IF(ROUND(C311,2)+ROUND(D311,2)=0,"","yes")</f>
        <v/>
      </c>
      <c r="G311" s="57" t="n"/>
      <c r="H311" s="55">
        <f>IF($G311="","",$E311-$G311)</f>
        <v/>
      </c>
    </row>
    <row r="312">
      <c r="A312" s="54" t="inlineStr">
        <is>
          <t>2608101</t>
        </is>
      </c>
      <c r="B312" s="54" t="inlineStr">
        <is>
          <t>ART - AMM Captioning - 25.11.26</t>
        </is>
      </c>
      <c r="C312" s="55">
        <f>SUMIFS(tbl_WIP[Amount],tbl_WIP[Job Number],$A312,tbl_WIP[Month],"&lt;&gt;",tbl_WIP[Month],"&lt;"&amp;$C$4)+SUMIF('Deferred Revenue'!$E$6:$E$579,$A312,'Deferred Revenue'!$P$6:$P$579)</f>
        <v/>
      </c>
      <c r="D312" s="55">
        <f>SUMIFS(tbl_WIP[Amount],tbl_WIP[Job Number],$A312,tbl_WIP[Month],$C$4)+SUMIF('Deferred Revenue'!$E$6:$E$579,$A312,'Deferred Revenue'!$Q$6:$Q$579)</f>
        <v/>
      </c>
      <c r="E312" s="55">
        <f>C312+D312</f>
        <v/>
      </c>
      <c r="F312" s="56">
        <f>IF(ROUND(C312,2)+ROUND(D312,2)=0,"","yes")</f>
        <v/>
      </c>
      <c r="G312" s="57" t="n"/>
      <c r="H312" s="55">
        <f>IF($G312="","",$E312-$G312)</f>
        <v/>
      </c>
    </row>
    <row r="313">
      <c r="A313" s="54" t="inlineStr">
        <is>
          <t>2608101V</t>
        </is>
      </c>
      <c r="B313" s="54" t="inlineStr">
        <is>
          <t>ART - AMM Captioning - 25.11.26</t>
        </is>
      </c>
      <c r="C313" s="55">
        <f>SUMIFS(tbl_WIP[Amount],tbl_WIP[Job Number],$A313,tbl_WIP[Month],"&lt;&gt;",tbl_WIP[Month],"&lt;"&amp;$C$4)+SUMIF('Deferred Revenue'!$E$6:$E$579,$A313,'Deferred Revenue'!$P$6:$P$579)</f>
        <v/>
      </c>
      <c r="D313" s="55">
        <f>SUMIFS(tbl_WIP[Amount],tbl_WIP[Job Number],$A313,tbl_WIP[Month],$C$4)+SUMIF('Deferred Revenue'!$E$6:$E$579,$A313,'Deferred Revenue'!$Q$6:$Q$579)</f>
        <v/>
      </c>
      <c r="E313" s="55">
        <f>C313+D313</f>
        <v/>
      </c>
      <c r="F313" s="56">
        <f>IF(ROUND(C313,2)+ROUND(D313,2)=0,"","yes")</f>
        <v/>
      </c>
      <c r="G313" s="57" t="n"/>
      <c r="H313" s="55">
        <f>IF($G313="","",$E313-$G313)</f>
        <v/>
      </c>
    </row>
    <row r="314">
      <c r="A314" s="54" t="inlineStr">
        <is>
          <t>2608102</t>
        </is>
      </c>
      <c r="B314" s="54" t="inlineStr">
        <is>
          <t>ART - Education Session Captioning - 25.11.26</t>
        </is>
      </c>
      <c r="C314" s="55">
        <f>SUMIFS(tbl_WIP[Amount],tbl_WIP[Job Number],$A314,tbl_WIP[Month],"&lt;&gt;",tbl_WIP[Month],"&lt;"&amp;$C$4)+SUMIF('Deferred Revenue'!$E$6:$E$579,$A314,'Deferred Revenue'!$P$6:$P$579)</f>
        <v/>
      </c>
      <c r="D314" s="55">
        <f>SUMIFS(tbl_WIP[Amount],tbl_WIP[Job Number],$A314,tbl_WIP[Month],$C$4)+SUMIF('Deferred Revenue'!$E$6:$E$579,$A314,'Deferred Revenue'!$Q$6:$Q$579)</f>
        <v/>
      </c>
      <c r="E314" s="55">
        <f>C314+D314</f>
        <v/>
      </c>
      <c r="F314" s="56">
        <f>IF(ROUND(C314,2)+ROUND(D314,2)=0,"","yes")</f>
        <v/>
      </c>
      <c r="G314" s="57" t="n"/>
      <c r="H314" s="55">
        <f>IF($G314="","",$E314-$G314)</f>
        <v/>
      </c>
    </row>
    <row r="315">
      <c r="A315" s="54" t="inlineStr">
        <is>
          <t>26081101</t>
        </is>
      </c>
      <c r="B315" s="54" t="inlineStr">
        <is>
          <t>Vega Global - Payments Forum - 17.9.26</t>
        </is>
      </c>
      <c r="C315" s="55">
        <f>SUMIFS(tbl_WIP[Amount],tbl_WIP[Job Number],$A315,tbl_WIP[Month],"&lt;&gt;",tbl_WIP[Month],"&lt;"&amp;$C$4)+SUMIF('Deferred Revenue'!$E$6:$E$579,$A315,'Deferred Revenue'!$P$6:$P$579)</f>
        <v/>
      </c>
      <c r="D315" s="55">
        <f>SUMIFS(tbl_WIP[Amount],tbl_WIP[Job Number],$A315,tbl_WIP[Month],$C$4)+SUMIF('Deferred Revenue'!$E$6:$E$579,$A315,'Deferred Revenue'!$Q$6:$Q$579)</f>
        <v/>
      </c>
      <c r="E315" s="55">
        <f>C315+D315</f>
        <v/>
      </c>
      <c r="F315" s="56">
        <f>IF(ROUND(C315,2)+ROUND(D315,2)=0,"","yes")</f>
        <v/>
      </c>
      <c r="G315" s="57" t="n"/>
      <c r="H315" s="55">
        <f>IF($G315="","",$E315-$G315)</f>
        <v/>
      </c>
    </row>
    <row r="316">
      <c r="A316" s="54" t="inlineStr">
        <is>
          <t>26081302</t>
        </is>
      </c>
      <c r="B316" s="54" t="inlineStr">
        <is>
          <t>Ubank - Volunteer Day - 11.11.26</t>
        </is>
      </c>
      <c r="C316" s="55">
        <f>SUMIFS(tbl_WIP[Amount],tbl_WIP[Job Number],$A316,tbl_WIP[Month],"&lt;&gt;",tbl_WIP[Month],"&lt;"&amp;$C$4)+SUMIF('Deferred Revenue'!$E$6:$E$579,$A316,'Deferred Revenue'!$P$6:$P$579)</f>
        <v/>
      </c>
      <c r="D316" s="55">
        <f>SUMIFS(tbl_WIP[Amount],tbl_WIP[Job Number],$A316,tbl_WIP[Month],$C$4)+SUMIF('Deferred Revenue'!$E$6:$E$579,$A316,'Deferred Revenue'!$Q$6:$Q$579)</f>
        <v/>
      </c>
      <c r="E316" s="55">
        <f>C316+D316</f>
        <v/>
      </c>
      <c r="F316" s="56">
        <f>IF(ROUND(C316,2)+ROUND(D316,2)=0,"","yes")</f>
        <v/>
      </c>
      <c r="G316" s="57" t="n"/>
      <c r="H316" s="55">
        <f>IF($G316="","",$E316-$G316)</f>
        <v/>
      </c>
    </row>
    <row r="317">
      <c r="A317" s="54" t="inlineStr">
        <is>
          <t>26081302V</t>
        </is>
      </c>
      <c r="B317" s="54" t="inlineStr">
        <is>
          <t>Ubank - Volunteer Day - 11.11.26</t>
        </is>
      </c>
      <c r="C317" s="55">
        <f>SUMIFS(tbl_WIP[Amount],tbl_WIP[Job Number],$A317,tbl_WIP[Month],"&lt;&gt;",tbl_WIP[Month],"&lt;"&amp;$C$4)+SUMIF('Deferred Revenue'!$E$6:$E$579,$A317,'Deferred Revenue'!$P$6:$P$579)</f>
        <v/>
      </c>
      <c r="D317" s="55">
        <f>SUMIFS(tbl_WIP[Amount],tbl_WIP[Job Number],$A317,tbl_WIP[Month],$C$4)+SUMIF('Deferred Revenue'!$E$6:$E$579,$A317,'Deferred Revenue'!$Q$6:$Q$579)</f>
        <v/>
      </c>
      <c r="E317" s="55">
        <f>C317+D317</f>
        <v/>
      </c>
      <c r="F317" s="56">
        <f>IF(ROUND(C317,2)+ROUND(D317,2)=0,"","yes")</f>
        <v/>
      </c>
      <c r="G317" s="57" t="n"/>
      <c r="H317" s="55">
        <f>IF($G317="","",$E317-$G317)</f>
        <v/>
      </c>
    </row>
    <row r="318">
      <c r="A318" s="54" t="inlineStr">
        <is>
          <t>26081402</t>
        </is>
      </c>
      <c r="B318" s="54" t="inlineStr">
        <is>
          <t>Dimensional - AV Support - 19.8.26</t>
        </is>
      </c>
      <c r="C318" s="55">
        <f>SUMIFS(tbl_WIP[Amount],tbl_WIP[Job Number],$A318,tbl_WIP[Month],"&lt;&gt;",tbl_WIP[Month],"&lt;"&amp;$C$4)+SUMIF('Deferred Revenue'!$E$6:$E$579,$A318,'Deferred Revenue'!$P$6:$P$579)</f>
        <v/>
      </c>
      <c r="D318" s="55">
        <f>SUMIFS(tbl_WIP[Amount],tbl_WIP[Job Number],$A318,tbl_WIP[Month],$C$4)+SUMIF('Deferred Revenue'!$E$6:$E$579,$A318,'Deferred Revenue'!$Q$6:$Q$579)</f>
        <v/>
      </c>
      <c r="E318" s="55">
        <f>C318+D318</f>
        <v/>
      </c>
      <c r="F318" s="56">
        <f>IF(ROUND(C318,2)+ROUND(D318,2)=0,"","yes")</f>
        <v/>
      </c>
      <c r="G318" s="57" t="n"/>
      <c r="H318" s="55">
        <f>IF($G318="","",$E318-$G318)</f>
        <v/>
      </c>
    </row>
    <row r="319">
      <c r="A319" s="54" t="inlineStr">
        <is>
          <t>26081801</t>
        </is>
      </c>
      <c r="B319" s="54" t="inlineStr">
        <is>
          <t>Microsoft - SME&amp;C Town Hall 14.10.2026</t>
        </is>
      </c>
      <c r="C319" s="55">
        <f>SUMIFS(tbl_WIP[Amount],tbl_WIP[Job Number],$A319,tbl_WIP[Month],"&lt;&gt;",tbl_WIP[Month],"&lt;"&amp;$C$4)+SUMIF('Deferred Revenue'!$E$6:$E$579,$A319,'Deferred Revenue'!$P$6:$P$579)</f>
        <v/>
      </c>
      <c r="D319" s="55">
        <f>SUMIFS(tbl_WIP[Amount],tbl_WIP[Job Number],$A319,tbl_WIP[Month],$C$4)+SUMIF('Deferred Revenue'!$E$6:$E$579,$A319,'Deferred Revenue'!$Q$6:$Q$579)</f>
        <v/>
      </c>
      <c r="E319" s="55">
        <f>C319+D319</f>
        <v/>
      </c>
      <c r="F319" s="56">
        <f>IF(ROUND(C319,2)+ROUND(D319,2)=0,"","yes")</f>
        <v/>
      </c>
      <c r="G319" s="57" t="n"/>
      <c r="H319" s="55">
        <f>IF($G319="","",$E319-$G319)</f>
        <v/>
      </c>
    </row>
    <row r="320">
      <c r="A320" s="54" t="inlineStr">
        <is>
          <t>26081801V</t>
        </is>
      </c>
      <c r="B320" s="54" t="inlineStr">
        <is>
          <t>Microsoft - SME&amp;C Town Hall 14.10.2026</t>
        </is>
      </c>
      <c r="C320" s="55">
        <f>SUMIFS(tbl_WIP[Amount],tbl_WIP[Job Number],$A320,tbl_WIP[Month],"&lt;&gt;",tbl_WIP[Month],"&lt;"&amp;$C$4)+SUMIF('Deferred Revenue'!$E$6:$E$579,$A320,'Deferred Revenue'!$P$6:$P$579)</f>
        <v/>
      </c>
      <c r="D320" s="55">
        <f>SUMIFS(tbl_WIP[Amount],tbl_WIP[Job Number],$A320,tbl_WIP[Month],$C$4)+SUMIF('Deferred Revenue'!$E$6:$E$579,$A320,'Deferred Revenue'!$Q$6:$Q$579)</f>
        <v/>
      </c>
      <c r="E320" s="55">
        <f>C320+D320</f>
        <v/>
      </c>
      <c r="F320" s="56">
        <f>IF(ROUND(C320,2)+ROUND(D320,2)=0,"","yes")</f>
        <v/>
      </c>
      <c r="G320" s="57" t="n"/>
      <c r="H320" s="55">
        <f>IF($G320="","",$E320-$G320)</f>
        <v/>
      </c>
    </row>
    <row r="321">
      <c r="A321" s="54" t="inlineStr">
        <is>
          <t>26081901</t>
        </is>
      </c>
      <c r="B321" s="54" t="inlineStr">
        <is>
          <t>AusPayNet Logitech Essentials for Room License Renewal</t>
        </is>
      </c>
      <c r="C321" s="55">
        <f>SUMIFS(tbl_WIP[Amount],tbl_WIP[Job Number],$A321,tbl_WIP[Month],"&lt;&gt;",tbl_WIP[Month],"&lt;"&amp;$C$4)+SUMIF('Deferred Revenue'!$E$6:$E$579,$A321,'Deferred Revenue'!$P$6:$P$579)</f>
        <v/>
      </c>
      <c r="D321" s="55">
        <f>SUMIFS(tbl_WIP[Amount],tbl_WIP[Job Number],$A321,tbl_WIP[Month],$C$4)+SUMIF('Deferred Revenue'!$E$6:$E$579,$A321,'Deferred Revenue'!$Q$6:$Q$579)</f>
        <v/>
      </c>
      <c r="E321" s="55">
        <f>C321+D321</f>
        <v/>
      </c>
      <c r="F321" s="56">
        <f>IF(ROUND(C321,2)+ROUND(D321,2)=0,"","yes")</f>
        <v/>
      </c>
      <c r="G321" s="57" t="n"/>
      <c r="H321" s="55">
        <f>IF($G321="","",$E321-$G321)</f>
        <v/>
      </c>
    </row>
    <row r="322">
      <c r="A322" s="54" t="inlineStr">
        <is>
          <t>26081904</t>
        </is>
      </c>
      <c r="B322" s="54" t="inlineStr">
        <is>
          <t>Garvan - AllClear Program Meeting - 2.9.26</t>
        </is>
      </c>
      <c r="C322" s="55">
        <f>SUMIFS(tbl_WIP[Amount],tbl_WIP[Job Number],$A322,tbl_WIP[Month],"&lt;&gt;",tbl_WIP[Month],"&lt;"&amp;$C$4)+SUMIF('Deferred Revenue'!$E$6:$E$579,$A322,'Deferred Revenue'!$P$6:$P$579)</f>
        <v/>
      </c>
      <c r="D322" s="55">
        <f>SUMIFS(tbl_WIP[Amount],tbl_WIP[Job Number],$A322,tbl_WIP[Month],$C$4)+SUMIF('Deferred Revenue'!$E$6:$E$579,$A322,'Deferred Revenue'!$Q$6:$Q$579)</f>
        <v/>
      </c>
      <c r="E322" s="55">
        <f>C322+D322</f>
        <v/>
      </c>
      <c r="F322" s="56">
        <f>IF(ROUND(C322,2)+ROUND(D322,2)=0,"","yes")</f>
        <v/>
      </c>
      <c r="G322" s="57" t="n"/>
      <c r="H322" s="55">
        <f>IF($G322="","",$E322-$G322)</f>
        <v/>
      </c>
    </row>
    <row r="323">
      <c r="A323" s="54" t="inlineStr">
        <is>
          <t>26082402</t>
        </is>
      </c>
      <c r="B323" s="54" t="inlineStr">
        <is>
          <t>TLC - 2026 AGM - 14.10.26</t>
        </is>
      </c>
      <c r="C323" s="55">
        <f>SUMIFS(tbl_WIP[Amount],tbl_WIP[Job Number],$A323,tbl_WIP[Month],"&lt;&gt;",tbl_WIP[Month],"&lt;"&amp;$C$4)+SUMIF('Deferred Revenue'!$E$6:$E$579,$A323,'Deferred Revenue'!$P$6:$P$579)</f>
        <v/>
      </c>
      <c r="D323" s="55">
        <f>SUMIFS(tbl_WIP[Amount],tbl_WIP[Job Number],$A323,tbl_WIP[Month],$C$4)+SUMIF('Deferred Revenue'!$E$6:$E$579,$A323,'Deferred Revenue'!$Q$6:$Q$579)</f>
        <v/>
      </c>
      <c r="E323" s="55">
        <f>C323+D323</f>
        <v/>
      </c>
      <c r="F323" s="56">
        <f>IF(ROUND(C323,2)+ROUND(D323,2)=0,"","yes")</f>
        <v/>
      </c>
      <c r="G323" s="57" t="n"/>
      <c r="H323" s="55">
        <f>IF($G323="","",$E323-$G323)</f>
        <v/>
      </c>
    </row>
    <row r="324">
      <c r="A324" s="54" t="inlineStr">
        <is>
          <t>26082402V</t>
        </is>
      </c>
      <c r="B324" s="54" t="inlineStr">
        <is>
          <t>TLC - 2026 AGM - 14.10.26</t>
        </is>
      </c>
      <c r="C324" s="55">
        <f>SUMIFS(tbl_WIP[Amount],tbl_WIP[Job Number],$A324,tbl_WIP[Month],"&lt;&gt;",tbl_WIP[Month],"&lt;"&amp;$C$4)+SUMIF('Deferred Revenue'!$E$6:$E$579,$A324,'Deferred Revenue'!$P$6:$P$579)</f>
        <v/>
      </c>
      <c r="D324" s="55">
        <f>SUMIFS(tbl_WIP[Amount],tbl_WIP[Job Number],$A324,tbl_WIP[Month],$C$4)+SUMIF('Deferred Revenue'!$E$6:$E$579,$A324,'Deferred Revenue'!$Q$6:$Q$579)</f>
        <v/>
      </c>
      <c r="E324" s="55">
        <f>C324+D324</f>
        <v/>
      </c>
      <c r="F324" s="56">
        <f>IF(ROUND(C324,2)+ROUND(D324,2)=0,"","yes")</f>
        <v/>
      </c>
      <c r="G324" s="57" t="n"/>
      <c r="H324" s="55">
        <f>IF($G324="","",$E324-$G324)</f>
        <v/>
      </c>
    </row>
    <row r="325">
      <c r="A325" s="54" t="inlineStr">
        <is>
          <t>26082501</t>
        </is>
      </c>
      <c r="B325" s="54" t="inlineStr">
        <is>
          <t>CBA - LES - September 2026</t>
        </is>
      </c>
      <c r="C325" s="55">
        <f>SUMIFS(tbl_WIP[Amount],tbl_WIP[Job Number],$A325,tbl_WIP[Month],"&lt;&gt;",tbl_WIP[Month],"&lt;"&amp;$C$4)+SUMIF('Deferred Revenue'!$E$6:$E$579,$A325,'Deferred Revenue'!$P$6:$P$579)</f>
        <v/>
      </c>
      <c r="D325" s="55">
        <f>SUMIFS(tbl_WIP[Amount],tbl_WIP[Job Number],$A325,tbl_WIP[Month],$C$4)+SUMIF('Deferred Revenue'!$E$6:$E$579,$A325,'Deferred Revenue'!$Q$6:$Q$579)</f>
        <v/>
      </c>
      <c r="E325" s="55">
        <f>C325+D325</f>
        <v/>
      </c>
      <c r="F325" s="56">
        <f>IF(ROUND(C325,2)+ROUND(D325,2)=0,"","yes")</f>
        <v/>
      </c>
      <c r="G325" s="57" t="n"/>
      <c r="H325" s="55">
        <f>IF($G325="","",$E325-$G325)</f>
        <v/>
      </c>
    </row>
    <row r="326">
      <c r="A326" s="54" t="inlineStr">
        <is>
          <t>26082502</t>
        </is>
      </c>
      <c r="B326" s="54" t="inlineStr">
        <is>
          <t>ICC - Presenter &amp; Speaker Preparation - September 2026</t>
        </is>
      </c>
      <c r="C326" s="55">
        <f>SUMIFS(tbl_WIP[Amount],tbl_WIP[Job Number],$A326,tbl_WIP[Month],"&lt;&gt;",tbl_WIP[Month],"&lt;"&amp;$C$4)+SUMIF('Deferred Revenue'!$E$6:$E$579,$A326,'Deferred Revenue'!$P$6:$P$579)</f>
        <v/>
      </c>
      <c r="D326" s="55">
        <f>SUMIFS(tbl_WIP[Amount],tbl_WIP[Job Number],$A326,tbl_WIP[Month],$C$4)+SUMIF('Deferred Revenue'!$E$6:$E$579,$A326,'Deferred Revenue'!$Q$6:$Q$579)</f>
        <v/>
      </c>
      <c r="E326" s="55">
        <f>C326+D326</f>
        <v/>
      </c>
      <c r="F326" s="56">
        <f>IF(ROUND(C326,2)+ROUND(D326,2)=0,"","yes")</f>
        <v/>
      </c>
      <c r="G326" s="57" t="n"/>
      <c r="H326" s="55">
        <f>IF($G326="","",$E326-$G326)</f>
        <v/>
      </c>
    </row>
    <row r="327">
      <c r="A327" s="54" t="inlineStr">
        <is>
          <t>26082502V</t>
        </is>
      </c>
      <c r="B327" s="54" t="inlineStr">
        <is>
          <t>ICC - Presenter &amp; Speaker Preparation - September 2026</t>
        </is>
      </c>
      <c r="C327" s="55">
        <f>SUMIFS(tbl_WIP[Amount],tbl_WIP[Job Number],$A327,tbl_WIP[Month],"&lt;&gt;",tbl_WIP[Month],"&lt;"&amp;$C$4)+SUMIF('Deferred Revenue'!$E$6:$E$579,$A327,'Deferred Revenue'!$P$6:$P$579)</f>
        <v/>
      </c>
      <c r="D327" s="55">
        <f>SUMIFS(tbl_WIP[Amount],tbl_WIP[Job Number],$A327,tbl_WIP[Month],$C$4)+SUMIF('Deferred Revenue'!$E$6:$E$579,$A327,'Deferred Revenue'!$Q$6:$Q$579)</f>
        <v/>
      </c>
      <c r="E327" s="55">
        <f>C327+D327</f>
        <v/>
      </c>
      <c r="F327" s="56">
        <f>IF(ROUND(C327,2)+ROUND(D327,2)=0,"","yes")</f>
        <v/>
      </c>
      <c r="G327" s="57" t="n"/>
      <c r="H327" s="55">
        <f>IF($G327="","",$E327-$G327)</f>
        <v/>
      </c>
    </row>
    <row r="328">
      <c r="A328" s="54" t="inlineStr">
        <is>
          <t>26082702</t>
        </is>
      </c>
      <c r="B328" s="54" t="inlineStr">
        <is>
          <t>Garvan - Breast Cancer Public Lecture - 1.10.26</t>
        </is>
      </c>
      <c r="C328" s="55">
        <f>SUMIFS(tbl_WIP[Amount],tbl_WIP[Job Number],$A328,tbl_WIP[Month],"&lt;&gt;",tbl_WIP[Month],"&lt;"&amp;$C$4)+SUMIF('Deferred Revenue'!$E$6:$E$579,$A328,'Deferred Revenue'!$P$6:$P$579)</f>
        <v/>
      </c>
      <c r="D328" s="55">
        <f>SUMIFS(tbl_WIP[Amount],tbl_WIP[Job Number],$A328,tbl_WIP[Month],$C$4)+SUMIF('Deferred Revenue'!$E$6:$E$579,$A328,'Deferred Revenue'!$Q$6:$Q$579)</f>
        <v/>
      </c>
      <c r="E328" s="55">
        <f>C328+D328</f>
        <v/>
      </c>
      <c r="F328" s="56">
        <f>IF(ROUND(C328,2)+ROUND(D328,2)=0,"","yes")</f>
        <v/>
      </c>
      <c r="G328" s="57" t="n"/>
      <c r="H328" s="55">
        <f>IF($G328="","",$E328-$G328)</f>
        <v/>
      </c>
    </row>
    <row r="329">
      <c r="A329" s="54" t="inlineStr">
        <is>
          <t>26082703</t>
        </is>
      </c>
      <c r="B329" s="54" t="inlineStr">
        <is>
          <t>APA - RUOK Day - 10.9.26</t>
        </is>
      </c>
      <c r="C329" s="55">
        <f>SUMIFS(tbl_WIP[Amount],tbl_WIP[Job Number],$A329,tbl_WIP[Month],"&lt;&gt;",tbl_WIP[Month],"&lt;"&amp;$C$4)+SUMIF('Deferred Revenue'!$E$6:$E$579,$A329,'Deferred Revenue'!$P$6:$P$579)</f>
        <v/>
      </c>
      <c r="D329" s="55">
        <f>SUMIFS(tbl_WIP[Amount],tbl_WIP[Job Number],$A329,tbl_WIP[Month],$C$4)+SUMIF('Deferred Revenue'!$E$6:$E$579,$A329,'Deferred Revenue'!$Q$6:$Q$579)</f>
        <v/>
      </c>
      <c r="E329" s="55">
        <f>C329+D329</f>
        <v/>
      </c>
      <c r="F329" s="56">
        <f>IF(ROUND(C329,2)+ROUND(D329,2)=0,"","yes")</f>
        <v/>
      </c>
      <c r="G329" s="57" t="n"/>
      <c r="H329" s="55">
        <f>IF($G329="","",$E329-$G329)</f>
        <v/>
      </c>
    </row>
    <row r="330">
      <c r="A330" s="54" t="inlineStr">
        <is>
          <t>26082703V</t>
        </is>
      </c>
      <c r="B330" s="54" t="inlineStr">
        <is>
          <t>APA - RUOK Day - 10.9.26</t>
        </is>
      </c>
      <c r="C330" s="55">
        <f>SUMIFS(tbl_WIP[Amount],tbl_WIP[Job Number],$A330,tbl_WIP[Month],"&lt;&gt;",tbl_WIP[Month],"&lt;"&amp;$C$4)+SUMIF('Deferred Revenue'!$E$6:$E$579,$A330,'Deferred Revenue'!$P$6:$P$579)</f>
        <v/>
      </c>
      <c r="D330" s="55">
        <f>SUMIFS(tbl_WIP[Amount],tbl_WIP[Job Number],$A330,tbl_WIP[Month],$C$4)+SUMIF('Deferred Revenue'!$E$6:$E$579,$A330,'Deferred Revenue'!$Q$6:$Q$579)</f>
        <v/>
      </c>
      <c r="E330" s="55">
        <f>C330+D330</f>
        <v/>
      </c>
      <c r="F330" s="56">
        <f>IF(ROUND(C330,2)+ROUND(D330,2)=0,"","yes")</f>
        <v/>
      </c>
      <c r="G330" s="57" t="n"/>
      <c r="H330" s="55">
        <f>IF($G330="","",$E330-$G330)</f>
        <v/>
      </c>
    </row>
    <row r="331">
      <c r="A331" s="54" t="inlineStr">
        <is>
          <t>26082704</t>
        </is>
      </c>
      <c r="B331" s="54" t="inlineStr">
        <is>
          <t>DTTL Travel for National STL &amp; Coverage SYD-PER</t>
        </is>
      </c>
      <c r="C331" s="55">
        <f>SUMIFS(tbl_WIP[Amount],tbl_WIP[Job Number],$A331,tbl_WIP[Month],"&lt;&gt;",tbl_WIP[Month],"&lt;"&amp;$C$4)+SUMIF('Deferred Revenue'!$E$6:$E$579,$A331,'Deferred Revenue'!$P$6:$P$579)</f>
        <v/>
      </c>
      <c r="D331" s="55">
        <f>SUMIFS(tbl_WIP[Amount],tbl_WIP[Job Number],$A331,tbl_WIP[Month],$C$4)+SUMIF('Deferred Revenue'!$E$6:$E$579,$A331,'Deferred Revenue'!$Q$6:$Q$579)</f>
        <v/>
      </c>
      <c r="E331" s="55">
        <f>C331+D331</f>
        <v/>
      </c>
      <c r="F331" s="56">
        <f>IF(ROUND(C331,2)+ROUND(D331,2)=0,"","yes")</f>
        <v/>
      </c>
      <c r="G331" s="57" t="n"/>
      <c r="H331" s="55">
        <f>IF($G331="","",$E331-$G331)</f>
        <v/>
      </c>
    </row>
    <row r="332">
      <c r="A332" s="54" t="inlineStr">
        <is>
          <t>26082801</t>
        </is>
      </c>
      <c r="B332" s="54" t="inlineStr">
        <is>
          <t>Ricoh Australia - SHELL AV Support</t>
        </is>
      </c>
      <c r="C332" s="55">
        <f>SUMIFS(tbl_WIP[Amount],tbl_WIP[Job Number],$A332,tbl_WIP[Month],"&lt;&gt;",tbl_WIP[Month],"&lt;"&amp;$C$4)+SUMIF('Deferred Revenue'!$E$6:$E$579,$A332,'Deferred Revenue'!$P$6:$P$579)</f>
        <v/>
      </c>
      <c r="D332" s="55">
        <f>SUMIFS(tbl_WIP[Amount],tbl_WIP[Job Number],$A332,tbl_WIP[Month],$C$4)+SUMIF('Deferred Revenue'!$E$6:$E$579,$A332,'Deferred Revenue'!$Q$6:$Q$579)</f>
        <v/>
      </c>
      <c r="E332" s="55">
        <f>C332+D332</f>
        <v/>
      </c>
      <c r="F332" s="56">
        <f>IF(ROUND(C332,2)+ROUND(D332,2)=0,"","yes")</f>
        <v/>
      </c>
      <c r="G332" s="57" t="n"/>
      <c r="H332" s="55">
        <f>IF($G332="","",$E332-$G332)</f>
        <v/>
      </c>
    </row>
    <row r="333">
      <c r="A333" s="54" t="inlineStr">
        <is>
          <t>2608402</t>
        </is>
      </c>
      <c r="B333" s="54" t="inlineStr">
        <is>
          <t>Garvan - Suttons Event - 15.10.26</t>
        </is>
      </c>
      <c r="C333" s="55">
        <f>SUMIFS(tbl_WIP[Amount],tbl_WIP[Job Number],$A333,tbl_WIP[Month],"&lt;&gt;",tbl_WIP[Month],"&lt;"&amp;$C$4)+SUMIF('Deferred Revenue'!$E$6:$E$579,$A333,'Deferred Revenue'!$P$6:$P$579)</f>
        <v/>
      </c>
      <c r="D333" s="55">
        <f>SUMIFS(tbl_WIP[Amount],tbl_WIP[Job Number],$A333,tbl_WIP[Month],$C$4)+SUMIF('Deferred Revenue'!$E$6:$E$579,$A333,'Deferred Revenue'!$Q$6:$Q$579)</f>
        <v/>
      </c>
      <c r="E333" s="55">
        <f>C333+D333</f>
        <v/>
      </c>
      <c r="F333" s="56">
        <f>IF(ROUND(C333,2)+ROUND(D333,2)=0,"","yes")</f>
        <v/>
      </c>
      <c r="G333" s="57" t="n"/>
      <c r="H333" s="55">
        <f>IF($G333="","",$E333-$G333)</f>
        <v/>
      </c>
    </row>
    <row r="334">
      <c r="A334" s="54" t="inlineStr">
        <is>
          <t>2608404</t>
        </is>
      </c>
      <c r="B334" s="54" t="inlineStr">
        <is>
          <t>St Vincents Public Hospital - Awards Night - 26.8.25</t>
        </is>
      </c>
      <c r="C334" s="55">
        <f>SUMIFS(tbl_WIP[Amount],tbl_WIP[Job Number],$A334,tbl_WIP[Month],"&lt;&gt;",tbl_WIP[Month],"&lt;"&amp;$C$4)+SUMIF('Deferred Revenue'!$E$6:$E$579,$A334,'Deferred Revenue'!$P$6:$P$579)</f>
        <v/>
      </c>
      <c r="D334" s="55">
        <f>SUMIFS(tbl_WIP[Amount],tbl_WIP[Job Number],$A334,tbl_WIP[Month],$C$4)+SUMIF('Deferred Revenue'!$E$6:$E$579,$A334,'Deferred Revenue'!$Q$6:$Q$579)</f>
        <v/>
      </c>
      <c r="E334" s="55">
        <f>C334+D334</f>
        <v/>
      </c>
      <c r="F334" s="56">
        <f>IF(ROUND(C334,2)+ROUND(D334,2)=0,"","yes")</f>
        <v/>
      </c>
      <c r="G334" s="57" t="n"/>
      <c r="H334" s="55">
        <f>IF($G334="","",$E334-$G334)</f>
        <v/>
      </c>
    </row>
    <row r="335">
      <c r="A335" s="54" t="inlineStr">
        <is>
          <t>2608404V</t>
        </is>
      </c>
      <c r="B335" s="54" t="inlineStr">
        <is>
          <t>St Vincents Public Hospital - Awards Night - 26.8.25</t>
        </is>
      </c>
      <c r="C335" s="55">
        <f>SUMIFS(tbl_WIP[Amount],tbl_WIP[Job Number],$A335,tbl_WIP[Month],"&lt;&gt;",tbl_WIP[Month],"&lt;"&amp;$C$4)+SUMIF('Deferred Revenue'!$E$6:$E$579,$A335,'Deferred Revenue'!$P$6:$P$579)</f>
        <v/>
      </c>
      <c r="D335" s="55">
        <f>SUMIFS(tbl_WIP[Amount],tbl_WIP[Job Number],$A335,tbl_WIP[Month],$C$4)+SUMIF('Deferred Revenue'!$E$6:$E$579,$A335,'Deferred Revenue'!$Q$6:$Q$579)</f>
        <v/>
      </c>
      <c r="E335" s="55">
        <f>C335+D335</f>
        <v/>
      </c>
      <c r="F335" s="56">
        <f>IF(ROUND(C335,2)+ROUND(D335,2)=0,"","yes")</f>
        <v/>
      </c>
      <c r="G335" s="57" t="n"/>
      <c r="H335" s="55">
        <f>IF($G335="","",$E335-$G335)</f>
        <v/>
      </c>
    </row>
    <row r="336">
      <c r="A336" s="54" t="inlineStr">
        <is>
          <t>2608604</t>
        </is>
      </c>
      <c r="B336" s="54" t="inlineStr">
        <is>
          <t>ASX - FYR Employee Town Hall - 13.8.26</t>
        </is>
      </c>
      <c r="C336" s="55">
        <f>SUMIFS(tbl_WIP[Amount],tbl_WIP[Job Number],$A336,tbl_WIP[Month],"&lt;&gt;",tbl_WIP[Month],"&lt;"&amp;$C$4)+SUMIF('Deferred Revenue'!$E$6:$E$579,$A336,'Deferred Revenue'!$P$6:$P$579)</f>
        <v/>
      </c>
      <c r="D336" s="55">
        <f>SUMIFS(tbl_WIP[Amount],tbl_WIP[Job Number],$A336,tbl_WIP[Month],$C$4)+SUMIF('Deferred Revenue'!$E$6:$E$579,$A336,'Deferred Revenue'!$Q$6:$Q$579)</f>
        <v/>
      </c>
      <c r="E336" s="55">
        <f>C336+D336</f>
        <v/>
      </c>
      <c r="F336" s="56">
        <f>IF(ROUND(C336,2)+ROUND(D336,2)=0,"","yes")</f>
        <v/>
      </c>
      <c r="G336" s="57" t="n"/>
      <c r="H336" s="55">
        <f>IF($G336="","",$E336-$G336)</f>
        <v/>
      </c>
    </row>
    <row r="337">
      <c r="A337" s="54" t="inlineStr">
        <is>
          <t>2608604V</t>
        </is>
      </c>
      <c r="B337" s="54" t="inlineStr">
        <is>
          <t>ASX - FYR Employee Town Hall - 13.8.26</t>
        </is>
      </c>
      <c r="C337" s="55">
        <f>SUMIFS(tbl_WIP[Amount],tbl_WIP[Job Number],$A337,tbl_WIP[Month],"&lt;&gt;",tbl_WIP[Month],"&lt;"&amp;$C$4)+SUMIF('Deferred Revenue'!$E$6:$E$579,$A337,'Deferred Revenue'!$P$6:$P$579)</f>
        <v/>
      </c>
      <c r="D337" s="55">
        <f>SUMIFS(tbl_WIP[Amount],tbl_WIP[Job Number],$A337,tbl_WIP[Month],$C$4)+SUMIF('Deferred Revenue'!$E$6:$E$579,$A337,'Deferred Revenue'!$Q$6:$Q$579)</f>
        <v/>
      </c>
      <c r="E337" s="55">
        <f>C337+D337</f>
        <v/>
      </c>
      <c r="F337" s="56">
        <f>IF(ROUND(C337,2)+ROUND(D337,2)=0,"","yes")</f>
        <v/>
      </c>
      <c r="G337" s="57" t="n"/>
      <c r="H337" s="55">
        <f>IF($G337="","",$E337-$G337)</f>
        <v/>
      </c>
    </row>
    <row r="338">
      <c r="A338" s="54" t="inlineStr">
        <is>
          <t>2608701</t>
        </is>
      </c>
      <c r="B338" s="54" t="inlineStr">
        <is>
          <t>Elkeim - Studio Support - 10.9.26</t>
        </is>
      </c>
      <c r="C338" s="55">
        <f>SUMIFS(tbl_WIP[Amount],tbl_WIP[Job Number],$A338,tbl_WIP[Month],"&lt;&gt;",tbl_WIP[Month],"&lt;"&amp;$C$4)+SUMIF('Deferred Revenue'!$E$6:$E$579,$A338,'Deferred Revenue'!$P$6:$P$579)</f>
        <v/>
      </c>
      <c r="D338" s="55">
        <f>SUMIFS(tbl_WIP[Amount],tbl_WIP[Job Number],$A338,tbl_WIP[Month],$C$4)+SUMIF('Deferred Revenue'!$E$6:$E$579,$A338,'Deferred Revenue'!$Q$6:$Q$579)</f>
        <v/>
      </c>
      <c r="E338" s="55">
        <f>C338+D338</f>
        <v/>
      </c>
      <c r="F338" s="56">
        <f>IF(ROUND(C338,2)+ROUND(D338,2)=0,"","yes")</f>
        <v/>
      </c>
      <c r="G338" s="57" t="n"/>
      <c r="H338" s="55">
        <f>IF($G338="","",$E338-$G338)</f>
        <v/>
      </c>
    </row>
    <row r="339">
      <c r="A339" s="54" t="inlineStr">
        <is>
          <t>2608702</t>
        </is>
      </c>
      <c r="B339" s="54" t="inlineStr">
        <is>
          <t>APA - Qtly All Hands SYD Screen Hire - 20.8.26</t>
        </is>
      </c>
      <c r="C339" s="55">
        <f>SUMIFS(tbl_WIP[Amount],tbl_WIP[Job Number],$A339,tbl_WIP[Month],"&lt;&gt;",tbl_WIP[Month],"&lt;"&amp;$C$4)+SUMIF('Deferred Revenue'!$E$6:$E$579,$A339,'Deferred Revenue'!$P$6:$P$579)</f>
        <v/>
      </c>
      <c r="D339" s="55">
        <f>SUMIFS(tbl_WIP[Amount],tbl_WIP[Job Number],$A339,tbl_WIP[Month],$C$4)+SUMIF('Deferred Revenue'!$E$6:$E$579,$A339,'Deferred Revenue'!$Q$6:$Q$579)</f>
        <v/>
      </c>
      <c r="E339" s="55">
        <f>C339+D339</f>
        <v/>
      </c>
      <c r="F339" s="56">
        <f>IF(ROUND(C339,2)+ROUND(D339,2)=0,"","yes")</f>
        <v/>
      </c>
      <c r="G339" s="57" t="n"/>
      <c r="H339" s="55">
        <f>IF($G339="","",$E339-$G339)</f>
        <v/>
      </c>
    </row>
    <row r="340">
      <c r="A340" s="54" t="inlineStr">
        <is>
          <t>26091002</t>
        </is>
      </c>
      <c r="B340" s="54" t="inlineStr">
        <is>
          <t>GP - Talking Philanthropy - Event Videography 18.9.26</t>
        </is>
      </c>
      <c r="C340" s="55">
        <f>SUMIFS(tbl_WIP[Amount],tbl_WIP[Job Number],$A340,tbl_WIP[Month],"&lt;&gt;",tbl_WIP[Month],"&lt;"&amp;$C$4)+SUMIF('Deferred Revenue'!$E$6:$E$579,$A340,'Deferred Revenue'!$P$6:$P$579)</f>
        <v/>
      </c>
      <c r="D340" s="55">
        <f>SUMIFS(tbl_WIP[Amount],tbl_WIP[Job Number],$A340,tbl_WIP[Month],$C$4)+SUMIF('Deferred Revenue'!$E$6:$E$579,$A340,'Deferred Revenue'!$Q$6:$Q$579)</f>
        <v/>
      </c>
      <c r="E340" s="55">
        <f>C340+D340</f>
        <v/>
      </c>
      <c r="F340" s="56">
        <f>IF(ROUND(C340,2)+ROUND(D340,2)=0,"","yes")</f>
        <v/>
      </c>
      <c r="G340" s="57" t="n"/>
      <c r="H340" s="55">
        <f>IF($G340="","",$E340-$G340)</f>
        <v/>
      </c>
    </row>
    <row r="341">
      <c r="A341" s="54" t="inlineStr">
        <is>
          <t>26091002V</t>
        </is>
      </c>
      <c r="B341" s="54" t="inlineStr">
        <is>
          <t>GP - Talking Philanthropy - Event Videography 18.9.26</t>
        </is>
      </c>
      <c r="C341" s="55">
        <f>SUMIFS(tbl_WIP[Amount],tbl_WIP[Job Number],$A341,tbl_WIP[Month],"&lt;&gt;",tbl_WIP[Month],"&lt;"&amp;$C$4)+SUMIF('Deferred Revenue'!$E$6:$E$579,$A341,'Deferred Revenue'!$P$6:$P$579)</f>
        <v/>
      </c>
      <c r="D341" s="55">
        <f>SUMIFS(tbl_WIP[Amount],tbl_WIP[Job Number],$A341,tbl_WIP[Month],$C$4)+SUMIF('Deferred Revenue'!$E$6:$E$579,$A341,'Deferred Revenue'!$Q$6:$Q$579)</f>
        <v/>
      </c>
      <c r="E341" s="55">
        <f>C341+D341</f>
        <v/>
      </c>
      <c r="F341" s="56">
        <f>IF(ROUND(C341,2)+ROUND(D341,2)=0,"","yes")</f>
        <v/>
      </c>
      <c r="G341" s="57" t="n"/>
      <c r="H341" s="55">
        <f>IF($G341="","",$E341-$G341)</f>
        <v/>
      </c>
    </row>
    <row r="342">
      <c r="A342" s="54" t="inlineStr">
        <is>
          <t>26091601</t>
        </is>
      </c>
      <c r="B342" s="54" t="inlineStr">
        <is>
          <t>Automic - September All Hands - 25.9.26</t>
        </is>
      </c>
      <c r="C342" s="55">
        <f>SUMIFS(tbl_WIP[Amount],tbl_WIP[Job Number],$A342,tbl_WIP[Month],"&lt;&gt;",tbl_WIP[Month],"&lt;"&amp;$C$4)+SUMIF('Deferred Revenue'!$E$6:$E$579,$A342,'Deferred Revenue'!$P$6:$P$579)</f>
        <v/>
      </c>
      <c r="D342" s="55">
        <f>SUMIFS(tbl_WIP[Amount],tbl_WIP[Job Number],$A342,tbl_WIP[Month],$C$4)+SUMIF('Deferred Revenue'!$E$6:$E$579,$A342,'Deferred Revenue'!$Q$6:$Q$579)</f>
        <v/>
      </c>
      <c r="E342" s="55">
        <f>C342+D342</f>
        <v/>
      </c>
      <c r="F342" s="56">
        <f>IF(ROUND(C342,2)+ROUND(D342,2)=0,"","yes")</f>
        <v/>
      </c>
      <c r="G342" s="57" t="n"/>
      <c r="H342" s="55">
        <f>IF($G342="","",$E342-$G342)</f>
        <v/>
      </c>
    </row>
    <row r="343">
      <c r="A343" s="54" t="inlineStr">
        <is>
          <t>26091601V</t>
        </is>
      </c>
      <c r="B343" s="54" t="inlineStr">
        <is>
          <t>Automic - September All Hands - 25.9.26</t>
        </is>
      </c>
      <c r="C343" s="55">
        <f>SUMIFS(tbl_WIP[Amount],tbl_WIP[Job Number],$A343,tbl_WIP[Month],"&lt;&gt;",tbl_WIP[Month],"&lt;"&amp;$C$4)+SUMIF('Deferred Revenue'!$E$6:$E$579,$A343,'Deferred Revenue'!$P$6:$P$579)</f>
        <v/>
      </c>
      <c r="D343" s="55">
        <f>SUMIFS(tbl_WIP[Amount],tbl_WIP[Job Number],$A343,tbl_WIP[Month],$C$4)+SUMIF('Deferred Revenue'!$E$6:$E$579,$A343,'Deferred Revenue'!$Q$6:$Q$579)</f>
        <v/>
      </c>
      <c r="E343" s="55">
        <f>C343+D343</f>
        <v/>
      </c>
      <c r="F343" s="56">
        <f>IF(ROUND(C343,2)+ROUND(D343,2)=0,"","yes")</f>
        <v/>
      </c>
      <c r="G343" s="57" t="n"/>
      <c r="H343" s="55">
        <f>IF($G343="","",$E343-$G343)</f>
        <v/>
      </c>
    </row>
    <row r="344">
      <c r="A344" s="54" t="inlineStr">
        <is>
          <t>26091604</t>
        </is>
      </c>
      <c r="B344" s="54" t="inlineStr">
        <is>
          <t>The George Institute - SYD CV Symposium - 29-30.10.26</t>
        </is>
      </c>
      <c r="C344" s="55">
        <f>SUMIFS(tbl_WIP[Amount],tbl_WIP[Job Number],$A344,tbl_WIP[Month],"&lt;&gt;",tbl_WIP[Month],"&lt;"&amp;$C$4)+SUMIF('Deferred Revenue'!$E$6:$E$579,$A344,'Deferred Revenue'!$P$6:$P$579)</f>
        <v/>
      </c>
      <c r="D344" s="55">
        <f>SUMIFS(tbl_WIP[Amount],tbl_WIP[Job Number],$A344,tbl_WIP[Month],$C$4)+SUMIF('Deferred Revenue'!$E$6:$E$579,$A344,'Deferred Revenue'!$Q$6:$Q$579)</f>
        <v/>
      </c>
      <c r="E344" s="55">
        <f>C344+D344</f>
        <v/>
      </c>
      <c r="F344" s="56">
        <f>IF(ROUND(C344,2)+ROUND(D344,2)=0,"","yes")</f>
        <v/>
      </c>
      <c r="G344" s="57" t="n"/>
      <c r="H344" s="55">
        <f>IF($G344="","",$E344-$G344)</f>
        <v/>
      </c>
    </row>
    <row r="345">
      <c r="A345" s="54" t="inlineStr">
        <is>
          <t>26091604V</t>
        </is>
      </c>
      <c r="B345" s="54" t="inlineStr">
        <is>
          <t>The George Institute - SYD CV Symposium - 29-30.10.26</t>
        </is>
      </c>
      <c r="C345" s="55">
        <f>SUMIFS(tbl_WIP[Amount],tbl_WIP[Job Number],$A345,tbl_WIP[Month],"&lt;&gt;",tbl_WIP[Month],"&lt;"&amp;$C$4)+SUMIF('Deferred Revenue'!$E$6:$E$579,$A345,'Deferred Revenue'!$P$6:$P$579)</f>
        <v/>
      </c>
      <c r="D345" s="55">
        <f>SUMIFS(tbl_WIP[Amount],tbl_WIP[Job Number],$A345,tbl_WIP[Month],$C$4)+SUMIF('Deferred Revenue'!$E$6:$E$579,$A345,'Deferred Revenue'!$Q$6:$Q$579)</f>
        <v/>
      </c>
      <c r="E345" s="55">
        <f>C345+D345</f>
        <v/>
      </c>
      <c r="F345" s="56">
        <f>IF(ROUND(C345,2)+ROUND(D345,2)=0,"","yes")</f>
        <v/>
      </c>
      <c r="G345" s="57" t="n"/>
      <c r="H345" s="55">
        <f>IF($G345="","",$E345-$G345)</f>
        <v/>
      </c>
    </row>
    <row r="346">
      <c r="A346" s="54" t="inlineStr">
        <is>
          <t>2609402</t>
        </is>
      </c>
      <c r="B346" s="54" t="inlineStr">
        <is>
          <t>MUFG - SUN Investor Day - 29.10.26</t>
        </is>
      </c>
      <c r="C346" s="55">
        <f>SUMIFS(tbl_WIP[Amount],tbl_WIP[Job Number],$A346,tbl_WIP[Month],"&lt;&gt;",tbl_WIP[Month],"&lt;"&amp;$C$4)+SUMIF('Deferred Revenue'!$E$6:$E$579,$A346,'Deferred Revenue'!$P$6:$P$579)</f>
        <v/>
      </c>
      <c r="D346" s="55">
        <f>SUMIFS(tbl_WIP[Amount],tbl_WIP[Job Number],$A346,tbl_WIP[Month],$C$4)+SUMIF('Deferred Revenue'!$E$6:$E$579,$A346,'Deferred Revenue'!$Q$6:$Q$579)</f>
        <v/>
      </c>
      <c r="E346" s="55">
        <f>C346+D346</f>
        <v/>
      </c>
      <c r="F346" s="56">
        <f>IF(ROUND(C346,2)+ROUND(D346,2)=0,"","yes")</f>
        <v/>
      </c>
      <c r="G346" s="57" t="n"/>
      <c r="H346" s="55">
        <f>IF($G346="","",$E346-$G346)</f>
        <v/>
      </c>
    </row>
    <row r="347">
      <c r="A347" s="54" t="inlineStr">
        <is>
          <t>2609402V</t>
        </is>
      </c>
      <c r="B347" s="54" t="inlineStr">
        <is>
          <t>MUFG - SUN Investor Day - 29.10.26</t>
        </is>
      </c>
      <c r="C347" s="55">
        <f>SUMIFS(tbl_WIP[Amount],tbl_WIP[Job Number],$A347,tbl_WIP[Month],"&lt;&gt;",tbl_WIP[Month],"&lt;"&amp;$C$4)+SUMIF('Deferred Revenue'!$E$6:$E$579,$A347,'Deferred Revenue'!$P$6:$P$579)</f>
        <v/>
      </c>
      <c r="D347" s="55">
        <f>SUMIFS(tbl_WIP[Amount],tbl_WIP[Job Number],$A347,tbl_WIP[Month],$C$4)+SUMIF('Deferred Revenue'!$E$6:$E$579,$A347,'Deferred Revenue'!$Q$6:$Q$579)</f>
        <v/>
      </c>
      <c r="E347" s="55">
        <f>C347+D347</f>
        <v/>
      </c>
      <c r="F347" s="56">
        <f>IF(ROUND(C347,2)+ROUND(D347,2)=0,"","yes")</f>
        <v/>
      </c>
      <c r="G347" s="57" t="n"/>
      <c r="H347" s="55">
        <f>IF($G347="","",$E347-$G347)</f>
        <v/>
      </c>
    </row>
    <row r="348">
      <c r="A348" s="54" t="inlineStr">
        <is>
          <t>2609801</t>
        </is>
      </c>
      <c r="B348" s="54" t="inlineStr">
        <is>
          <t>Elkiem - Studio Support - 16.9.26</t>
        </is>
      </c>
      <c r="C348" s="55">
        <f>SUMIFS(tbl_WIP[Amount],tbl_WIP[Job Number],$A348,tbl_WIP[Month],"&lt;&gt;",tbl_WIP[Month],"&lt;"&amp;$C$4)+SUMIF('Deferred Revenue'!$E$6:$E$579,$A348,'Deferred Revenue'!$P$6:$P$579)</f>
        <v/>
      </c>
      <c r="D348" s="55">
        <f>SUMIFS(tbl_WIP[Amount],tbl_WIP[Job Number],$A348,tbl_WIP[Month],$C$4)+SUMIF('Deferred Revenue'!$E$6:$E$579,$A348,'Deferred Revenue'!$Q$6:$Q$579)</f>
        <v/>
      </c>
      <c r="E348" s="55">
        <f>C348+D348</f>
        <v/>
      </c>
      <c r="F348" s="56">
        <f>IF(ROUND(C348,2)+ROUND(D348,2)=0,"","yes")</f>
        <v/>
      </c>
      <c r="G348" s="57" t="n"/>
      <c r="H348" s="55">
        <f>IF($G348="","",$E348-$G348)</f>
        <v/>
      </c>
    </row>
    <row r="349">
      <c r="A349" s="54" t="inlineStr">
        <is>
          <t>2645</t>
        </is>
      </c>
      <c r="B349" s="54" t="inlineStr">
        <is>
          <t>EY SYD Tech Support</t>
        </is>
      </c>
      <c r="C349" s="55">
        <f>SUMIFS(tbl_WIP[Amount],tbl_WIP[Job Number],$A349,tbl_WIP[Month],"&lt;&gt;",tbl_WIP[Month],"&lt;"&amp;$C$4)+SUMIF('Deferred Revenue'!$E$6:$E$579,$A349,'Deferred Revenue'!$P$6:$P$579)</f>
        <v/>
      </c>
      <c r="D349" s="55">
        <f>SUMIFS(tbl_WIP[Amount],tbl_WIP[Job Number],$A349,tbl_WIP[Month],$C$4)+SUMIF('Deferred Revenue'!$E$6:$E$579,$A349,'Deferred Revenue'!$Q$6:$Q$579)</f>
        <v/>
      </c>
      <c r="E349" s="55">
        <f>C349+D349</f>
        <v/>
      </c>
      <c r="F349" s="56">
        <f>IF(ROUND(C349,2)+ROUND(D349,2)=0,"","yes")</f>
        <v/>
      </c>
      <c r="G349" s="57" t="n"/>
      <c r="H349" s="55">
        <f>IF($G349="","",$E349-$G349)</f>
        <v/>
      </c>
    </row>
    <row r="350">
      <c r="A350" s="54" t="inlineStr">
        <is>
          <t>2648</t>
        </is>
      </c>
      <c r="B350" s="54" t="inlineStr">
        <is>
          <t>DTTL MEL Additional Tech</t>
        </is>
      </c>
      <c r="C350" s="55">
        <f>SUMIFS(tbl_WIP[Amount],tbl_WIP[Job Number],$A350,tbl_WIP[Month],"&lt;&gt;",tbl_WIP[Month],"&lt;"&amp;$C$4)+SUMIF('Deferred Revenue'!$E$6:$E$579,$A350,'Deferred Revenue'!$P$6:$P$579)</f>
        <v/>
      </c>
      <c r="D350" s="55">
        <f>SUMIFS(tbl_WIP[Amount],tbl_WIP[Job Number],$A350,tbl_WIP[Month],$C$4)+SUMIF('Deferred Revenue'!$E$6:$E$579,$A350,'Deferred Revenue'!$Q$6:$Q$579)</f>
        <v/>
      </c>
      <c r="E350" s="55">
        <f>C350+D350</f>
        <v/>
      </c>
      <c r="F350" s="56">
        <f>IF(ROUND(C350,2)+ROUND(D350,2)=0,"","yes")</f>
        <v/>
      </c>
      <c r="G350" s="57" t="n"/>
      <c r="H350" s="55">
        <f>IF($G350="","",$E350-$G350)</f>
        <v/>
      </c>
    </row>
    <row r="351">
      <c r="A351" s="54" t="inlineStr">
        <is>
          <t>2658</t>
        </is>
      </c>
      <c r="B351" s="54" t="inlineStr">
        <is>
          <t>EY MELB Tech</t>
        </is>
      </c>
      <c r="C351" s="55">
        <f>SUMIFS(tbl_WIP[Amount],tbl_WIP[Job Number],$A351,tbl_WIP[Month],"&lt;&gt;",tbl_WIP[Month],"&lt;"&amp;$C$4)+SUMIF('Deferred Revenue'!$E$6:$E$579,$A351,'Deferred Revenue'!$P$6:$P$579)</f>
        <v/>
      </c>
      <c r="D351" s="55">
        <f>SUMIFS(tbl_WIP[Amount],tbl_WIP[Job Number],$A351,tbl_WIP[Month],$C$4)+SUMIF('Deferred Revenue'!$E$6:$E$579,$A351,'Deferred Revenue'!$Q$6:$Q$579)</f>
        <v/>
      </c>
      <c r="E351" s="55">
        <f>C351+D351</f>
        <v/>
      </c>
      <c r="F351" s="56">
        <f>IF(ROUND(C351,2)+ROUND(D351,2)=0,"","yes")</f>
        <v/>
      </c>
      <c r="G351" s="57" t="n"/>
      <c r="H351" s="55">
        <f>IF($G351="","",$E351-$G351)</f>
        <v/>
      </c>
    </row>
    <row r="352">
      <c r="A352" s="54" t="inlineStr">
        <is>
          <t>2675</t>
        </is>
      </c>
      <c r="B352" s="54" t="inlineStr">
        <is>
          <t>ONS EY (non-chargeable)</t>
        </is>
      </c>
      <c r="C352" s="55">
        <f>SUMIFS(tbl_WIP[Amount],tbl_WIP[Job Number],$A352,tbl_WIP[Month],"&lt;&gt;",tbl_WIP[Month],"&lt;"&amp;$C$4)+SUMIF('Deferred Revenue'!$E$6:$E$579,$A352,'Deferred Revenue'!$P$6:$P$579)</f>
        <v/>
      </c>
      <c r="D352" s="55">
        <f>SUMIFS(tbl_WIP[Amount],tbl_WIP[Job Number],$A352,tbl_WIP[Month],$C$4)+SUMIF('Deferred Revenue'!$E$6:$E$579,$A352,'Deferred Revenue'!$Q$6:$Q$579)</f>
        <v/>
      </c>
      <c r="E352" s="55">
        <f>C352+D352</f>
        <v/>
      </c>
      <c r="F352" s="56">
        <f>IF(ROUND(C352,2)+ROUND(D352,2)=0,"","yes")</f>
        <v/>
      </c>
      <c r="G352" s="57" t="n"/>
      <c r="H352" s="55">
        <f>IF($G352="","",$E352-$G352)</f>
        <v/>
      </c>
    </row>
    <row r="353">
      <c r="A353" s="54" t="inlineStr">
        <is>
          <t>2685</t>
        </is>
      </c>
      <c r="B353" s="54" t="inlineStr">
        <is>
          <t>APA Proxyclick BNE &amp; DRW</t>
        </is>
      </c>
      <c r="C353" s="55">
        <f>SUMIFS(tbl_WIP[Amount],tbl_WIP[Job Number],$A353,tbl_WIP[Month],"&lt;&gt;",tbl_WIP[Month],"&lt;"&amp;$C$4)+SUMIF('Deferred Revenue'!$E$6:$E$579,$A353,'Deferred Revenue'!$P$6:$P$579)</f>
        <v/>
      </c>
      <c r="D353" s="55">
        <f>SUMIFS(tbl_WIP[Amount],tbl_WIP[Job Number],$A353,tbl_WIP[Month],$C$4)+SUMIF('Deferred Revenue'!$E$6:$E$579,$A353,'Deferred Revenue'!$Q$6:$Q$579)</f>
        <v/>
      </c>
      <c r="E353" s="55">
        <f>C353+D353</f>
        <v/>
      </c>
      <c r="F353" s="56">
        <f>IF(ROUND(C353,2)+ROUND(D353,2)=0,"","yes")</f>
        <v/>
      </c>
      <c r="G353" s="57" t="n"/>
      <c r="H353" s="55">
        <f>IF($G353="","",$E353-$G353)</f>
        <v/>
      </c>
    </row>
    <row r="354">
      <c r="A354" s="54" t="inlineStr">
        <is>
          <t>2706</t>
        </is>
      </c>
      <c r="B354" s="54" t="inlineStr">
        <is>
          <t>EPA 6PSQ Proxyclick VMS</t>
        </is>
      </c>
      <c r="C354" s="55">
        <f>SUMIFS(tbl_WIP[Amount],tbl_WIP[Job Number],$A354,tbl_WIP[Month],"&lt;&gt;",tbl_WIP[Month],"&lt;"&amp;$C$4)+SUMIF('Deferred Revenue'!$E$6:$E$579,$A354,'Deferred Revenue'!$P$6:$P$579)</f>
        <v/>
      </c>
      <c r="D354" s="55">
        <f>SUMIFS(tbl_WIP[Amount],tbl_WIP[Job Number],$A354,tbl_WIP[Month],$C$4)+SUMIF('Deferred Revenue'!$E$6:$E$579,$A354,'Deferred Revenue'!$Q$6:$Q$579)</f>
        <v/>
      </c>
      <c r="E354" s="55">
        <f>C354+D354</f>
        <v/>
      </c>
      <c r="F354" s="56">
        <f>IF(ROUND(C354,2)+ROUND(D354,2)=0,"","yes")</f>
        <v/>
      </c>
      <c r="G354" s="57" t="n"/>
      <c r="H354" s="55">
        <f>IF($G354="","",$E354-$G354)</f>
        <v/>
      </c>
    </row>
    <row r="355">
      <c r="A355" s="54" t="inlineStr">
        <is>
          <t>2719</t>
        </is>
      </c>
      <c r="B355" s="54" t="inlineStr">
        <is>
          <t>GSP - 6PSQProxyclickOnb</t>
        </is>
      </c>
      <c r="C355" s="55">
        <f>SUMIFS(tbl_WIP[Amount],tbl_WIP[Job Number],$A355,tbl_WIP[Month],"&lt;&gt;",tbl_WIP[Month],"&lt;"&amp;$C$4)+SUMIF('Deferred Revenue'!$E$6:$E$579,$A355,'Deferred Revenue'!$P$6:$P$579)</f>
        <v/>
      </c>
      <c r="D355" s="55">
        <f>SUMIFS(tbl_WIP[Amount],tbl_WIP[Job Number],$A355,tbl_WIP[Month],$C$4)+SUMIF('Deferred Revenue'!$E$6:$E$579,$A355,'Deferred Revenue'!$Q$6:$Q$579)</f>
        <v/>
      </c>
      <c r="E355" s="55">
        <f>C355+D355</f>
        <v/>
      </c>
      <c r="F355" s="56">
        <f>IF(ROUND(C355,2)+ROUND(D355,2)=0,"","yes")</f>
        <v/>
      </c>
      <c r="G355" s="57" t="n"/>
      <c r="H355" s="55">
        <f>IF($G355="","",$E355-$G355)</f>
        <v/>
      </c>
    </row>
    <row r="356">
      <c r="A356" s="54" t="inlineStr">
        <is>
          <t>2722</t>
        </is>
      </c>
      <c r="B356" s="54" t="inlineStr">
        <is>
          <t>PWC Monthly Consulting</t>
        </is>
      </c>
      <c r="C356" s="55">
        <f>SUMIFS(tbl_WIP[Amount],tbl_WIP[Job Number],$A356,tbl_WIP[Month],"&lt;&gt;",tbl_WIP[Month],"&lt;"&amp;$C$4)+SUMIF('Deferred Revenue'!$E$6:$E$579,$A356,'Deferred Revenue'!$P$6:$P$579)</f>
        <v/>
      </c>
      <c r="D356" s="55">
        <f>SUMIFS(tbl_WIP[Amount],tbl_WIP[Job Number],$A356,tbl_WIP[Month],$C$4)+SUMIF('Deferred Revenue'!$E$6:$E$579,$A356,'Deferred Revenue'!$Q$6:$Q$579)</f>
        <v/>
      </c>
      <c r="E356" s="55">
        <f>C356+D356</f>
        <v/>
      </c>
      <c r="F356" s="56">
        <f>IF(ROUND(C356,2)+ROUND(D356,2)=0,"","yes")</f>
        <v/>
      </c>
      <c r="G356" s="57" t="n"/>
      <c r="H356" s="55">
        <f>IF($G356="","",$E356-$G356)</f>
        <v/>
      </c>
    </row>
    <row r="357">
      <c r="A357" s="54" t="inlineStr">
        <is>
          <t>2726</t>
        </is>
      </c>
      <c r="B357" s="54" t="inlineStr">
        <is>
          <t>KPMG MEL Tech</t>
        </is>
      </c>
      <c r="C357" s="55">
        <f>SUMIFS(tbl_WIP[Amount],tbl_WIP[Job Number],$A357,tbl_WIP[Month],"&lt;&gt;",tbl_WIP[Month],"&lt;"&amp;$C$4)+SUMIF('Deferred Revenue'!$E$6:$E$579,$A357,'Deferred Revenue'!$P$6:$P$579)</f>
        <v/>
      </c>
      <c r="D357" s="55">
        <f>SUMIFS(tbl_WIP[Amount],tbl_WIP[Job Number],$A357,tbl_WIP[Month],$C$4)+SUMIF('Deferred Revenue'!$E$6:$E$579,$A357,'Deferred Revenue'!$Q$6:$Q$579)</f>
        <v/>
      </c>
      <c r="E357" s="55">
        <f>C357+D357</f>
        <v/>
      </c>
      <c r="F357" s="56">
        <f>IF(ROUND(C357,2)+ROUND(D357,2)=0,"","yes")</f>
        <v/>
      </c>
      <c r="G357" s="57" t="n"/>
      <c r="H357" s="55">
        <f>IF($G357="","",$E357-$G357)</f>
        <v/>
      </c>
    </row>
    <row r="358">
      <c r="A358" s="54" t="inlineStr">
        <is>
          <t>2756</t>
        </is>
      </c>
      <c r="B358" s="54" t="inlineStr">
        <is>
          <t>CTS Mgmt Meetings</t>
        </is>
      </c>
      <c r="C358" s="55">
        <f>SUMIFS(tbl_WIP[Amount],tbl_WIP[Job Number],$A358,tbl_WIP[Month],"&lt;&gt;",tbl_WIP[Month],"&lt;"&amp;$C$4)+SUMIF('Deferred Revenue'!$E$6:$E$579,$A358,'Deferred Revenue'!$P$6:$P$579)</f>
        <v/>
      </c>
      <c r="D358" s="55">
        <f>SUMIFS(tbl_WIP[Amount],tbl_WIP[Job Number],$A358,tbl_WIP[Month],$C$4)+SUMIF('Deferred Revenue'!$E$6:$E$579,$A358,'Deferred Revenue'!$Q$6:$Q$579)</f>
        <v/>
      </c>
      <c r="E358" s="55">
        <f>C358+D358</f>
        <v/>
      </c>
      <c r="F358" s="56">
        <f>IF(ROUND(C358,2)+ROUND(D358,2)=0,"","yes")</f>
        <v/>
      </c>
      <c r="G358" s="57" t="n"/>
      <c r="H358" s="55">
        <f>IF($G358="","",$E358-$G358)</f>
        <v/>
      </c>
    </row>
    <row r="359">
      <c r="A359" s="54" t="inlineStr">
        <is>
          <t>2834</t>
        </is>
      </c>
      <c r="B359" s="54" t="inlineStr">
        <is>
          <t>APA Young - Visitor Mgmt</t>
        </is>
      </c>
      <c r="C359" s="55">
        <f>SUMIFS(tbl_WIP[Amount],tbl_WIP[Job Number],$A359,tbl_WIP[Month],"&lt;&gt;",tbl_WIP[Month],"&lt;"&amp;$C$4)+SUMIF('Deferred Revenue'!$E$6:$E$579,$A359,'Deferred Revenue'!$P$6:$P$579)</f>
        <v/>
      </c>
      <c r="D359" s="55">
        <f>SUMIFS(tbl_WIP[Amount],tbl_WIP[Job Number],$A359,tbl_WIP[Month],$C$4)+SUMIF('Deferred Revenue'!$E$6:$E$579,$A359,'Deferred Revenue'!$Q$6:$Q$579)</f>
        <v/>
      </c>
      <c r="E359" s="55">
        <f>C359+D359</f>
        <v/>
      </c>
      <c r="F359" s="56">
        <f>IF(ROUND(C359,2)+ROUND(D359,2)=0,"","yes")</f>
        <v/>
      </c>
      <c r="G359" s="57" t="n"/>
      <c r="H359" s="55">
        <f>IF($G359="","",$E359-$G359)</f>
        <v/>
      </c>
    </row>
    <row r="360">
      <c r="A360" s="54" t="inlineStr">
        <is>
          <t>2838</t>
        </is>
      </c>
      <c r="B360" s="54" t="inlineStr">
        <is>
          <t>KPMG SYD Tech</t>
        </is>
      </c>
      <c r="C360" s="55">
        <f>SUMIFS(tbl_WIP[Amount],tbl_WIP[Job Number],$A360,tbl_WIP[Month],"&lt;&gt;",tbl_WIP[Month],"&lt;"&amp;$C$4)+SUMIF('Deferred Revenue'!$E$6:$E$579,$A360,'Deferred Revenue'!$P$6:$P$579)</f>
        <v/>
      </c>
      <c r="D360" s="55">
        <f>SUMIFS(tbl_WIP[Amount],tbl_WIP[Job Number],$A360,tbl_WIP[Month],$C$4)+SUMIF('Deferred Revenue'!$E$6:$E$579,$A360,'Deferred Revenue'!$Q$6:$Q$579)</f>
        <v/>
      </c>
      <c r="E360" s="55">
        <f>C360+D360</f>
        <v/>
      </c>
      <c r="F360" s="56">
        <f>IF(ROUND(C360,2)+ROUND(D360,2)=0,"","yes")</f>
        <v/>
      </c>
      <c r="G360" s="57" t="n"/>
      <c r="H360" s="55">
        <f>IF($G360="","",$E360-$G360)</f>
        <v/>
      </c>
    </row>
    <row r="361">
      <c r="A361" s="54" t="inlineStr">
        <is>
          <t>2846</t>
        </is>
      </c>
      <c r="B361" s="54" t="inlineStr">
        <is>
          <t>DTTL National STL</t>
        </is>
      </c>
      <c r="C361" s="55">
        <f>SUMIFS(tbl_WIP[Amount],tbl_WIP[Job Number],$A361,tbl_WIP[Month],"&lt;&gt;",tbl_WIP[Month],"&lt;"&amp;$C$4)+SUMIF('Deferred Revenue'!$E$6:$E$579,$A361,'Deferred Revenue'!$P$6:$P$579)</f>
        <v/>
      </c>
      <c r="D361" s="55">
        <f>SUMIFS(tbl_WIP[Amount],tbl_WIP[Job Number],$A361,tbl_WIP[Month],$C$4)+SUMIF('Deferred Revenue'!$E$6:$E$579,$A361,'Deferred Revenue'!$Q$6:$Q$579)</f>
        <v/>
      </c>
      <c r="E361" s="55">
        <f>C361+D361</f>
        <v/>
      </c>
      <c r="F361" s="56">
        <f>IF(ROUND(C361,2)+ROUND(D361,2)=0,"","yes")</f>
        <v/>
      </c>
      <c r="G361" s="57" t="n"/>
      <c r="H361" s="55">
        <f>IF($G361="","",$E361-$G361)</f>
        <v/>
      </c>
    </row>
    <row r="362">
      <c r="A362" s="54" t="inlineStr">
        <is>
          <t>2848</t>
        </is>
      </c>
      <c r="B362" s="54" t="inlineStr">
        <is>
          <t>APA ADL Visitor Mgmt</t>
        </is>
      </c>
      <c r="C362" s="55">
        <f>SUMIFS(tbl_WIP[Amount],tbl_WIP[Job Number],$A362,tbl_WIP[Month],"&lt;&gt;",tbl_WIP[Month],"&lt;"&amp;$C$4)+SUMIF('Deferred Revenue'!$E$6:$E$579,$A362,'Deferred Revenue'!$P$6:$P$579)</f>
        <v/>
      </c>
      <c r="D362" s="55">
        <f>SUMIFS(tbl_WIP[Amount],tbl_WIP[Job Number],$A362,tbl_WIP[Month],$C$4)+SUMIF('Deferred Revenue'!$E$6:$E$579,$A362,'Deferred Revenue'!$Q$6:$Q$579)</f>
        <v/>
      </c>
      <c r="E362" s="55">
        <f>C362+D362</f>
        <v/>
      </c>
      <c r="F362" s="56">
        <f>IF(ROUND(C362,2)+ROUND(D362,2)=0,"","yes")</f>
        <v/>
      </c>
      <c r="G362" s="57" t="n"/>
      <c r="H362" s="55">
        <f>IF($G362="","",$E362-$G362)</f>
        <v/>
      </c>
    </row>
    <row r="363">
      <c r="A363" s="54" t="inlineStr">
        <is>
          <t>2849</t>
        </is>
      </c>
      <c r="B363" s="54" t="inlineStr">
        <is>
          <t>DTTL SYD Internal</t>
        </is>
      </c>
      <c r="C363" s="55">
        <f>SUMIFS(tbl_WIP[Amount],tbl_WIP[Job Number],$A363,tbl_WIP[Month],"&lt;&gt;",tbl_WIP[Month],"&lt;"&amp;$C$4)+SUMIF('Deferred Revenue'!$E$6:$E$579,$A363,'Deferred Revenue'!$P$6:$P$579)</f>
        <v/>
      </c>
      <c r="D363" s="55">
        <f>SUMIFS(tbl_WIP[Amount],tbl_WIP[Job Number],$A363,tbl_WIP[Month],$C$4)+SUMIF('Deferred Revenue'!$E$6:$E$579,$A363,'Deferred Revenue'!$Q$6:$Q$579)</f>
        <v/>
      </c>
      <c r="E363" s="55">
        <f>C363+D363</f>
        <v/>
      </c>
      <c r="F363" s="56">
        <f>IF(ROUND(C363,2)+ROUND(D363,2)=0,"","yes")</f>
        <v/>
      </c>
      <c r="G363" s="57" t="n"/>
      <c r="H363" s="55">
        <f>IF($G363="","",$E363-$G363)</f>
        <v/>
      </c>
    </row>
    <row r="364">
      <c r="A364" s="54" t="inlineStr">
        <is>
          <t>2855</t>
        </is>
      </c>
      <c r="B364" s="54" t="inlineStr">
        <is>
          <t>APA Melbourne VMS</t>
        </is>
      </c>
      <c r="C364" s="55">
        <f>SUMIFS(tbl_WIP[Amount],tbl_WIP[Job Number],$A364,tbl_WIP[Month],"&lt;&gt;",tbl_WIP[Month],"&lt;"&amp;$C$4)+SUMIF('Deferred Revenue'!$E$6:$E$579,$A364,'Deferred Revenue'!$P$6:$P$579)</f>
        <v/>
      </c>
      <c r="D364" s="55">
        <f>SUMIFS(tbl_WIP[Amount],tbl_WIP[Job Number],$A364,tbl_WIP[Month],$C$4)+SUMIF('Deferred Revenue'!$E$6:$E$579,$A364,'Deferred Revenue'!$Q$6:$Q$579)</f>
        <v/>
      </c>
      <c r="E364" s="55">
        <f>C364+D364</f>
        <v/>
      </c>
      <c r="F364" s="56">
        <f>IF(ROUND(C364,2)+ROUND(D364,2)=0,"","yes")</f>
        <v/>
      </c>
      <c r="G364" s="57" t="n"/>
      <c r="H364" s="55">
        <f>IF($G364="","",$E364-$G364)</f>
        <v/>
      </c>
    </row>
    <row r="365">
      <c r="A365" s="54" t="inlineStr">
        <is>
          <t>2857</t>
        </is>
      </c>
      <c r="B365" s="54" t="inlineStr">
        <is>
          <t>APA Sydney Visitor Mgmt</t>
        </is>
      </c>
      <c r="C365" s="55">
        <f>SUMIFS(tbl_WIP[Amount],tbl_WIP[Job Number],$A365,tbl_WIP[Month],"&lt;&gt;",tbl_WIP[Month],"&lt;"&amp;$C$4)+SUMIF('Deferred Revenue'!$E$6:$E$579,$A365,'Deferred Revenue'!$P$6:$P$579)</f>
        <v/>
      </c>
      <c r="D365" s="55">
        <f>SUMIFS(tbl_WIP[Amount],tbl_WIP[Job Number],$A365,tbl_WIP[Month],$C$4)+SUMIF('Deferred Revenue'!$E$6:$E$579,$A365,'Deferred Revenue'!$Q$6:$Q$579)</f>
        <v/>
      </c>
      <c r="E365" s="55">
        <f>C365+D365</f>
        <v/>
      </c>
      <c r="F365" s="56">
        <f>IF(ROUND(C365,2)+ROUND(D365,2)=0,"","yes")</f>
        <v/>
      </c>
      <c r="G365" s="57" t="n"/>
      <c r="H365" s="55">
        <f>IF($G365="","",$E365-$G365)</f>
        <v/>
      </c>
    </row>
    <row r="366">
      <c r="A366" s="54" t="inlineStr">
        <is>
          <t>2877</t>
        </is>
      </c>
      <c r="B366" s="54" t="inlineStr">
        <is>
          <t>DEWR Maintenance Ext</t>
        </is>
      </c>
      <c r="C366" s="55">
        <f>SUMIFS(tbl_WIP[Amount],tbl_WIP[Job Number],$A366,tbl_WIP[Month],"&lt;&gt;",tbl_WIP[Month],"&lt;"&amp;$C$4)+SUMIF('Deferred Revenue'!$E$6:$E$579,$A366,'Deferred Revenue'!$P$6:$P$579)</f>
        <v/>
      </c>
      <c r="D366" s="55">
        <f>SUMIFS(tbl_WIP[Amount],tbl_WIP[Job Number],$A366,tbl_WIP[Month],$C$4)+SUMIF('Deferred Revenue'!$E$6:$E$579,$A366,'Deferred Revenue'!$Q$6:$Q$579)</f>
        <v/>
      </c>
      <c r="E366" s="55">
        <f>C366+D366</f>
        <v/>
      </c>
      <c r="F366" s="56">
        <f>IF(ROUND(C366,2)+ROUND(D366,2)=0,"","yes")</f>
        <v/>
      </c>
      <c r="G366" s="57" t="n"/>
      <c r="H366" s="55">
        <f>IF($G366="","",$E366-$G366)</f>
        <v/>
      </c>
    </row>
    <row r="367">
      <c r="A367" s="54" t="inlineStr">
        <is>
          <t>2879</t>
        </is>
      </c>
      <c r="B367" s="54" t="inlineStr">
        <is>
          <t>ONS Ricoh-QANTAS (non-chgble)</t>
        </is>
      </c>
      <c r="C367" s="55">
        <f>SUMIFS(tbl_WIP[Amount],tbl_WIP[Job Number],$A367,tbl_WIP[Month],"&lt;&gt;",tbl_WIP[Month],"&lt;"&amp;$C$4)+SUMIF('Deferred Revenue'!$E$6:$E$579,$A367,'Deferred Revenue'!$P$6:$P$579)</f>
        <v/>
      </c>
      <c r="D367" s="55">
        <f>SUMIFS(tbl_WIP[Amount],tbl_WIP[Job Number],$A367,tbl_WIP[Month],$C$4)+SUMIF('Deferred Revenue'!$E$6:$E$579,$A367,'Deferred Revenue'!$Q$6:$Q$579)</f>
        <v/>
      </c>
      <c r="E367" s="55">
        <f>C367+D367</f>
        <v/>
      </c>
      <c r="F367" s="56">
        <f>IF(ROUND(C367,2)+ROUND(D367,2)=0,"","yes")</f>
        <v/>
      </c>
      <c r="G367" s="57" t="n"/>
      <c r="H367" s="55">
        <f>IF($G367="","",$E367-$G367)</f>
        <v/>
      </c>
    </row>
    <row r="368">
      <c r="A368" s="54" t="inlineStr">
        <is>
          <t>2880</t>
        </is>
      </c>
      <c r="B368" s="54" t="inlineStr">
        <is>
          <t>Ricoh - QANTAS</t>
        </is>
      </c>
      <c r="C368" s="55">
        <f>SUMIFS(tbl_WIP[Amount],tbl_WIP[Job Number],$A368,tbl_WIP[Month],"&lt;&gt;",tbl_WIP[Month],"&lt;"&amp;$C$4)+SUMIF('Deferred Revenue'!$E$6:$E$579,$A368,'Deferred Revenue'!$P$6:$P$579)</f>
        <v/>
      </c>
      <c r="D368" s="55">
        <f>SUMIFS(tbl_WIP[Amount],tbl_WIP[Job Number],$A368,tbl_WIP[Month],$C$4)+SUMIF('Deferred Revenue'!$E$6:$E$579,$A368,'Deferred Revenue'!$Q$6:$Q$579)</f>
        <v/>
      </c>
      <c r="E368" s="55">
        <f>C368+D368</f>
        <v/>
      </c>
      <c r="F368" s="56">
        <f>IF(ROUND(C368,2)+ROUND(D368,2)=0,"","yes")</f>
        <v/>
      </c>
      <c r="G368" s="57" t="n"/>
      <c r="H368" s="55">
        <f>IF($G368="","",$E368-$G368)</f>
        <v/>
      </c>
    </row>
    <row r="369">
      <c r="A369" s="54" t="inlineStr">
        <is>
          <t>2892</t>
        </is>
      </c>
      <c r="B369" s="54" t="inlineStr">
        <is>
          <t>JP Morgan Onsite Tech</t>
        </is>
      </c>
      <c r="C369" s="55">
        <f>SUMIFS(tbl_WIP[Amount],tbl_WIP[Job Number],$A369,tbl_WIP[Month],"&lt;&gt;",tbl_WIP[Month],"&lt;"&amp;$C$4)+SUMIF('Deferred Revenue'!$E$6:$E$579,$A369,'Deferred Revenue'!$P$6:$P$579)</f>
        <v/>
      </c>
      <c r="D369" s="55">
        <f>SUMIFS(tbl_WIP[Amount],tbl_WIP[Job Number],$A369,tbl_WIP[Month],$C$4)+SUMIF('Deferred Revenue'!$E$6:$E$579,$A369,'Deferred Revenue'!$Q$6:$Q$579)</f>
        <v/>
      </c>
      <c r="E369" s="55">
        <f>C369+D369</f>
        <v/>
      </c>
      <c r="F369" s="56">
        <f>IF(ROUND(C369,2)+ROUND(D369,2)=0,"","yes")</f>
        <v/>
      </c>
      <c r="G369" s="57" t="n"/>
      <c r="H369" s="55">
        <f>IF($G369="","",$E369-$G369)</f>
        <v/>
      </c>
    </row>
    <row r="370">
      <c r="A370" s="54" t="inlineStr">
        <is>
          <t>2896</t>
        </is>
      </c>
      <c r="B370" s="54" t="inlineStr">
        <is>
          <t>ONS KPMG (non-chargeable)</t>
        </is>
      </c>
      <c r="C370" s="55">
        <f>SUMIFS(tbl_WIP[Amount],tbl_WIP[Job Number],$A370,tbl_WIP[Month],"&lt;&gt;",tbl_WIP[Month],"&lt;"&amp;$C$4)+SUMIF('Deferred Revenue'!$E$6:$E$579,$A370,'Deferred Revenue'!$P$6:$P$579)</f>
        <v/>
      </c>
      <c r="D370" s="55">
        <f>SUMIFS(tbl_WIP[Amount],tbl_WIP[Job Number],$A370,tbl_WIP[Month],$C$4)+SUMIF('Deferred Revenue'!$E$6:$E$579,$A370,'Deferred Revenue'!$Q$6:$Q$579)</f>
        <v/>
      </c>
      <c r="E370" s="55">
        <f>C370+D370</f>
        <v/>
      </c>
      <c r="F370" s="56">
        <f>IF(ROUND(C370,2)+ROUND(D370,2)=0,"","yes")</f>
        <v/>
      </c>
      <c r="G370" s="57" t="n"/>
      <c r="H370" s="55">
        <f>IF($G370="","",$E370-$G370)</f>
        <v/>
      </c>
    </row>
    <row r="371">
      <c r="A371" s="54" t="inlineStr">
        <is>
          <t>2897</t>
        </is>
      </c>
      <c r="B371" s="54" t="inlineStr">
        <is>
          <t>ONS JPM (non-chargeable)</t>
        </is>
      </c>
      <c r="C371" s="55">
        <f>SUMIFS(tbl_WIP[Amount],tbl_WIP[Job Number],$A371,tbl_WIP[Month],"&lt;&gt;",tbl_WIP[Month],"&lt;"&amp;$C$4)+SUMIF('Deferred Revenue'!$E$6:$E$579,$A371,'Deferred Revenue'!$P$6:$P$579)</f>
        <v/>
      </c>
      <c r="D371" s="55">
        <f>SUMIFS(tbl_WIP[Amount],tbl_WIP[Job Number],$A371,tbl_WIP[Month],$C$4)+SUMIF('Deferred Revenue'!$E$6:$E$579,$A371,'Deferred Revenue'!$Q$6:$Q$579)</f>
        <v/>
      </c>
      <c r="E371" s="55">
        <f>C371+D371</f>
        <v/>
      </c>
      <c r="F371" s="56">
        <f>IF(ROUND(C371,2)+ROUND(D371,2)=0,"","yes")</f>
        <v/>
      </c>
      <c r="G371" s="57" t="n"/>
      <c r="H371" s="55">
        <f>IF($G371="","",$E371-$G371)</f>
        <v/>
      </c>
    </row>
    <row r="372">
      <c r="A372" s="54" t="inlineStr">
        <is>
          <t>2900</t>
        </is>
      </c>
      <c r="B372" s="54" t="inlineStr">
        <is>
          <t>ONS Ammacus-Woolworths (non-chargeable)</t>
        </is>
      </c>
      <c r="C372" s="55">
        <f>SUMIFS(tbl_WIP[Amount],tbl_WIP[Job Number],$A372,tbl_WIP[Month],"&lt;&gt;",tbl_WIP[Month],"&lt;"&amp;$C$4)+SUMIF('Deferred Revenue'!$E$6:$E$579,$A372,'Deferred Revenue'!$P$6:$P$579)</f>
        <v/>
      </c>
      <c r="D372" s="55">
        <f>SUMIFS(tbl_WIP[Amount],tbl_WIP[Job Number],$A372,tbl_WIP[Month],$C$4)+SUMIF('Deferred Revenue'!$E$6:$E$579,$A372,'Deferred Revenue'!$Q$6:$Q$579)</f>
        <v/>
      </c>
      <c r="E372" s="55">
        <f>C372+D372</f>
        <v/>
      </c>
      <c r="F372" s="56">
        <f>IF(ROUND(C372,2)+ROUND(D372,2)=0,"","yes")</f>
        <v/>
      </c>
      <c r="G372" s="57" t="n"/>
      <c r="H372" s="55">
        <f>IF($G372="","",$E372-$G372)</f>
        <v/>
      </c>
    </row>
    <row r="373">
      <c r="A373" s="54" t="inlineStr">
        <is>
          <t>2906</t>
        </is>
      </c>
      <c r="B373" s="54" t="inlineStr">
        <is>
          <t>KPMG BNE Tech</t>
        </is>
      </c>
      <c r="C373" s="55">
        <f>SUMIFS(tbl_WIP[Amount],tbl_WIP[Job Number],$A373,tbl_WIP[Month],"&lt;&gt;",tbl_WIP[Month],"&lt;"&amp;$C$4)+SUMIF('Deferred Revenue'!$E$6:$E$579,$A373,'Deferred Revenue'!$P$6:$P$579)</f>
        <v/>
      </c>
      <c r="D373" s="55">
        <f>SUMIFS(tbl_WIP[Amount],tbl_WIP[Job Number],$A373,tbl_WIP[Month],$C$4)+SUMIF('Deferred Revenue'!$E$6:$E$579,$A373,'Deferred Revenue'!$Q$6:$Q$579)</f>
        <v/>
      </c>
      <c r="E373" s="55">
        <f>C373+D373</f>
        <v/>
      </c>
      <c r="F373" s="56">
        <f>IF(ROUND(C373,2)+ROUND(D373,2)=0,"","yes")</f>
        <v/>
      </c>
      <c r="G373" s="57" t="n"/>
      <c r="H373" s="55">
        <f>IF($G373="","",$E373-$G373)</f>
        <v/>
      </c>
    </row>
    <row r="374">
      <c r="A374" s="54" t="inlineStr">
        <is>
          <t>2907</t>
        </is>
      </c>
      <c r="B374" s="54" t="inlineStr">
        <is>
          <t>Ammacus-Woolworths Tech</t>
        </is>
      </c>
      <c r="C374" s="55">
        <f>SUMIFS(tbl_WIP[Amount],tbl_WIP[Job Number],$A374,tbl_WIP[Month],"&lt;&gt;",tbl_WIP[Month],"&lt;"&amp;$C$4)+SUMIF('Deferred Revenue'!$E$6:$E$579,$A374,'Deferred Revenue'!$P$6:$P$579)</f>
        <v/>
      </c>
      <c r="D374" s="55">
        <f>SUMIFS(tbl_WIP[Amount],tbl_WIP[Job Number],$A374,tbl_WIP[Month],$C$4)+SUMIF('Deferred Revenue'!$E$6:$E$579,$A374,'Deferred Revenue'!$Q$6:$Q$579)</f>
        <v/>
      </c>
      <c r="E374" s="55">
        <f>C374+D374</f>
        <v/>
      </c>
      <c r="F374" s="56">
        <f>IF(ROUND(C374,2)+ROUND(D374,2)=0,"","yes")</f>
        <v/>
      </c>
      <c r="G374" s="57" t="n"/>
      <c r="H374" s="55">
        <f>IF($G374="","",$E374-$G374)</f>
        <v/>
      </c>
    </row>
    <row r="375">
      <c r="A375" s="54" t="inlineStr">
        <is>
          <t>2910</t>
        </is>
      </c>
      <c r="B375" s="54" t="inlineStr">
        <is>
          <t>Office Move 2024</t>
        </is>
      </c>
      <c r="C375" s="55">
        <f>SUMIFS(tbl_WIP[Amount],tbl_WIP[Job Number],$A375,tbl_WIP[Month],"&lt;&gt;",tbl_WIP[Month],"&lt;"&amp;$C$4)+SUMIF('Deferred Revenue'!$E$6:$E$579,$A375,'Deferred Revenue'!$P$6:$P$579)</f>
        <v/>
      </c>
      <c r="D375" s="55">
        <f>SUMIFS(tbl_WIP[Amount],tbl_WIP[Job Number],$A375,tbl_WIP[Month],$C$4)+SUMIF('Deferred Revenue'!$E$6:$E$579,$A375,'Deferred Revenue'!$Q$6:$Q$579)</f>
        <v/>
      </c>
      <c r="E375" s="55">
        <f>C375+D375</f>
        <v/>
      </c>
      <c r="F375" s="56">
        <f>IF(ROUND(C375,2)+ROUND(D375,2)=0,"","yes")</f>
        <v/>
      </c>
      <c r="G375" s="57" t="n"/>
      <c r="H375" s="55">
        <f>IF($G375="","",$E375-$G375)</f>
        <v/>
      </c>
    </row>
    <row r="376">
      <c r="A376" s="54" t="inlineStr">
        <is>
          <t>2977</t>
        </is>
      </c>
      <c r="B376" s="54" t="inlineStr">
        <is>
          <t>St Catherine's School (CONS)</t>
        </is>
      </c>
      <c r="C376" s="55">
        <f>SUMIFS(tbl_WIP[Amount],tbl_WIP[Job Number],$A376,tbl_WIP[Month],"&lt;&gt;",tbl_WIP[Month],"&lt;"&amp;$C$4)+SUMIF('Deferred Revenue'!$E$6:$E$579,$A376,'Deferred Revenue'!$P$6:$P$579)</f>
        <v/>
      </c>
      <c r="D376" s="55">
        <f>SUMIFS(tbl_WIP[Amount],tbl_WIP[Job Number],$A376,tbl_WIP[Month],$C$4)+SUMIF('Deferred Revenue'!$E$6:$E$579,$A376,'Deferred Revenue'!$Q$6:$Q$579)</f>
        <v/>
      </c>
      <c r="E376" s="55">
        <f>C376+D376</f>
        <v/>
      </c>
      <c r="F376" s="56">
        <f>IF(ROUND(C376,2)+ROUND(D376,2)=0,"","yes")</f>
        <v/>
      </c>
      <c r="G376" s="57" t="n"/>
      <c r="H376" s="55">
        <f>IF($G376="","",$E376-$G376)</f>
        <v/>
      </c>
    </row>
    <row r="377">
      <c r="A377" s="54" t="inlineStr">
        <is>
          <t>3014</t>
        </is>
      </c>
      <c r="B377" s="54" t="inlineStr">
        <is>
          <t>ONS Ricoh/Campari (Chargeable)</t>
        </is>
      </c>
      <c r="C377" s="55">
        <f>SUMIFS(tbl_WIP[Amount],tbl_WIP[Job Number],$A377,tbl_WIP[Month],"&lt;&gt;",tbl_WIP[Month],"&lt;"&amp;$C$4)+SUMIF('Deferred Revenue'!$E$6:$E$579,$A377,'Deferred Revenue'!$P$6:$P$579)</f>
        <v/>
      </c>
      <c r="D377" s="55">
        <f>SUMIFS(tbl_WIP[Amount],tbl_WIP[Job Number],$A377,tbl_WIP[Month],$C$4)+SUMIF('Deferred Revenue'!$E$6:$E$579,$A377,'Deferred Revenue'!$Q$6:$Q$579)</f>
        <v/>
      </c>
      <c r="E377" s="55">
        <f>C377+D377</f>
        <v/>
      </c>
      <c r="F377" s="56">
        <f>IF(ROUND(C377,2)+ROUND(D377,2)=0,"","yes")</f>
        <v/>
      </c>
      <c r="G377" s="57" t="n"/>
      <c r="H377" s="55">
        <f>IF($G377="","",$E377-$G377)</f>
        <v/>
      </c>
    </row>
    <row r="378">
      <c r="A378" s="54" t="inlineStr">
        <is>
          <t>3015</t>
        </is>
      </c>
      <c r="B378" s="54" t="inlineStr">
        <is>
          <t>ONS Ricoh/Campari (Non Chgble)</t>
        </is>
      </c>
      <c r="C378" s="55">
        <f>SUMIFS(tbl_WIP[Amount],tbl_WIP[Job Number],$A378,tbl_WIP[Month],"&lt;&gt;",tbl_WIP[Month],"&lt;"&amp;$C$4)+SUMIF('Deferred Revenue'!$E$6:$E$579,$A378,'Deferred Revenue'!$P$6:$P$579)</f>
        <v/>
      </c>
      <c r="D378" s="55">
        <f>SUMIFS(tbl_WIP[Amount],tbl_WIP[Job Number],$A378,tbl_WIP[Month],$C$4)+SUMIF('Deferred Revenue'!$E$6:$E$579,$A378,'Deferred Revenue'!$Q$6:$Q$579)</f>
        <v/>
      </c>
      <c r="E378" s="55">
        <f>C378+D378</f>
        <v/>
      </c>
      <c r="F378" s="56">
        <f>IF(ROUND(C378,2)+ROUND(D378,2)=0,"","yes")</f>
        <v/>
      </c>
      <c r="G378" s="57" t="n"/>
      <c r="H378" s="55">
        <f>IF($G378="","",$E378-$G378)</f>
        <v/>
      </c>
    </row>
    <row r="379">
      <c r="A379" s="54" t="inlineStr">
        <is>
          <t>3027</t>
        </is>
      </c>
      <c r="B379" s="54" t="inlineStr">
        <is>
          <t>DPIE Elizabeth St Booking</t>
        </is>
      </c>
      <c r="C379" s="55">
        <f>SUMIFS(tbl_WIP[Amount],tbl_WIP[Job Number],$A379,tbl_WIP[Month],"&lt;&gt;",tbl_WIP[Month],"&lt;"&amp;$C$4)+SUMIF('Deferred Revenue'!$E$6:$E$579,$A379,'Deferred Revenue'!$P$6:$P$579)</f>
        <v/>
      </c>
      <c r="D379" s="55">
        <f>SUMIFS(tbl_WIP[Amount],tbl_WIP[Job Number],$A379,tbl_WIP[Month],$C$4)+SUMIF('Deferred Revenue'!$E$6:$E$579,$A379,'Deferred Revenue'!$Q$6:$Q$579)</f>
        <v/>
      </c>
      <c r="E379" s="55">
        <f>C379+D379</f>
        <v/>
      </c>
      <c r="F379" s="56">
        <f>IF(ROUND(C379,2)+ROUND(D379,2)=0,"","yes")</f>
        <v/>
      </c>
      <c r="G379" s="57" t="n"/>
      <c r="H379" s="55">
        <f>IF($G379="","",$E379-$G379)</f>
        <v/>
      </c>
    </row>
    <row r="380">
      <c r="A380" s="54" t="inlineStr">
        <is>
          <t>3028</t>
        </is>
      </c>
      <c r="B380" s="54" t="inlineStr">
        <is>
          <t>APA Kidman Park VMS</t>
        </is>
      </c>
      <c r="C380" s="55">
        <f>SUMIFS(tbl_WIP[Amount],tbl_WIP[Job Number],$A380,tbl_WIP[Month],"&lt;&gt;",tbl_WIP[Month],"&lt;"&amp;$C$4)+SUMIF('Deferred Revenue'!$E$6:$E$579,$A380,'Deferred Revenue'!$P$6:$P$579)</f>
        <v/>
      </c>
      <c r="D380" s="55">
        <f>SUMIFS(tbl_WIP[Amount],tbl_WIP[Job Number],$A380,tbl_WIP[Month],$C$4)+SUMIF('Deferred Revenue'!$E$6:$E$579,$A380,'Deferred Revenue'!$Q$6:$Q$579)</f>
        <v/>
      </c>
      <c r="E380" s="55">
        <f>C380+D380</f>
        <v/>
      </c>
      <c r="F380" s="56">
        <f>IF(ROUND(C380,2)+ROUND(D380,2)=0,"","yes")</f>
        <v/>
      </c>
      <c r="G380" s="57" t="n"/>
      <c r="H380" s="55">
        <f>IF($G380="","",$E380-$G380)</f>
        <v/>
      </c>
    </row>
    <row r="381">
      <c r="A381" s="54" t="inlineStr">
        <is>
          <t>3034</t>
        </is>
      </c>
      <c r="B381" s="54" t="inlineStr">
        <is>
          <t>ARUP ONS (non-chargeable)</t>
        </is>
      </c>
      <c r="C381" s="55">
        <f>SUMIFS(tbl_WIP[Amount],tbl_WIP[Job Number],$A381,tbl_WIP[Month],"&lt;&gt;",tbl_WIP[Month],"&lt;"&amp;$C$4)+SUMIF('Deferred Revenue'!$E$6:$E$579,$A381,'Deferred Revenue'!$P$6:$P$579)</f>
        <v/>
      </c>
      <c r="D381" s="55">
        <f>SUMIFS(tbl_WIP[Amount],tbl_WIP[Job Number],$A381,tbl_WIP[Month],$C$4)+SUMIF('Deferred Revenue'!$E$6:$E$579,$A381,'Deferred Revenue'!$Q$6:$Q$579)</f>
        <v/>
      </c>
      <c r="E381" s="55">
        <f>C381+D381</f>
        <v/>
      </c>
      <c r="F381" s="56">
        <f>IF(ROUND(C381,2)+ROUND(D381,2)=0,"","yes")</f>
        <v/>
      </c>
      <c r="G381" s="57" t="n"/>
      <c r="H381" s="55">
        <f>IF($G381="","",$E381-$G381)</f>
        <v/>
      </c>
    </row>
    <row r="382">
      <c r="A382" s="54" t="inlineStr">
        <is>
          <t>3035</t>
        </is>
      </c>
      <c r="B382" s="54" t="inlineStr">
        <is>
          <t>ARUP ONS National (Chargeable)</t>
        </is>
      </c>
      <c r="C382" s="55">
        <f>SUMIFS(tbl_WIP[Amount],tbl_WIP[Job Number],$A382,tbl_WIP[Month],"&lt;&gt;",tbl_WIP[Month],"&lt;"&amp;$C$4)+SUMIF('Deferred Revenue'!$E$6:$E$579,$A382,'Deferred Revenue'!$P$6:$P$579)</f>
        <v/>
      </c>
      <c r="D382" s="55">
        <f>SUMIFS(tbl_WIP[Amount],tbl_WIP[Job Number],$A382,tbl_WIP[Month],$C$4)+SUMIF('Deferred Revenue'!$E$6:$E$579,$A382,'Deferred Revenue'!$Q$6:$Q$579)</f>
        <v/>
      </c>
      <c r="E382" s="55">
        <f>C382+D382</f>
        <v/>
      </c>
      <c r="F382" s="56">
        <f>IF(ROUND(C382,2)+ROUND(D382,2)=0,"","yes")</f>
        <v/>
      </c>
      <c r="G382" s="57" t="n"/>
      <c r="H382" s="55">
        <f>IF($G382="","",$E382-$G382)</f>
        <v/>
      </c>
    </row>
    <row r="383">
      <c r="A383" s="54" t="inlineStr">
        <is>
          <t>3040</t>
        </is>
      </c>
      <c r="B383" s="54" t="inlineStr">
        <is>
          <t>Corrs MELB Office Reloc</t>
        </is>
      </c>
      <c r="C383" s="55">
        <f>SUMIFS(tbl_WIP[Amount],tbl_WIP[Job Number],$A383,tbl_WIP[Month],"&lt;&gt;",tbl_WIP[Month],"&lt;"&amp;$C$4)+SUMIF('Deferred Revenue'!$E$6:$E$579,$A383,'Deferred Revenue'!$P$6:$P$579)</f>
        <v/>
      </c>
      <c r="D383" s="55">
        <f>SUMIFS(tbl_WIP[Amount],tbl_WIP[Job Number],$A383,tbl_WIP[Month],$C$4)+SUMIF('Deferred Revenue'!$E$6:$E$579,$A383,'Deferred Revenue'!$Q$6:$Q$579)</f>
        <v/>
      </c>
      <c r="E383" s="55">
        <f>C383+D383</f>
        <v/>
      </c>
      <c r="F383" s="56">
        <f>IF(ROUND(C383,2)+ROUND(D383,2)=0,"","yes")</f>
        <v/>
      </c>
      <c r="G383" s="57" t="n"/>
      <c r="H383" s="55">
        <f>IF($G383="","",$E383-$G383)</f>
        <v/>
      </c>
    </row>
    <row r="384">
      <c r="A384" s="54" t="inlineStr">
        <is>
          <t>3042</t>
        </is>
      </c>
      <c r="B384" s="54" t="inlineStr">
        <is>
          <t>Corrs-PER Office Reloc</t>
        </is>
      </c>
      <c r="C384" s="55">
        <f>SUMIFS(tbl_WIP[Amount],tbl_WIP[Job Number],$A384,tbl_WIP[Month],"&lt;&gt;",tbl_WIP[Month],"&lt;"&amp;$C$4)+SUMIF('Deferred Revenue'!$E$6:$E$579,$A384,'Deferred Revenue'!$P$6:$P$579)</f>
        <v/>
      </c>
      <c r="D384" s="55">
        <f>SUMIFS(tbl_WIP[Amount],tbl_WIP[Job Number],$A384,tbl_WIP[Month],$C$4)+SUMIF('Deferred Revenue'!$E$6:$E$579,$A384,'Deferred Revenue'!$Q$6:$Q$579)</f>
        <v/>
      </c>
      <c r="E384" s="55">
        <f>C384+D384</f>
        <v/>
      </c>
      <c r="F384" s="56">
        <f>IF(ROUND(C384,2)+ROUND(D384,2)=0,"","yes")</f>
        <v/>
      </c>
      <c r="G384" s="57" t="n"/>
      <c r="H384" s="55">
        <f>IF($G384="","",$E384-$G384)</f>
        <v/>
      </c>
    </row>
    <row r="385">
      <c r="A385" s="54" t="inlineStr">
        <is>
          <t>3046</t>
        </is>
      </c>
      <c r="B385" s="54" t="inlineStr">
        <is>
          <t>Stone&amp;Chalk ONS [chargeable]</t>
        </is>
      </c>
      <c r="C385" s="55">
        <f>SUMIFS(tbl_WIP[Amount],tbl_WIP[Job Number],$A385,tbl_WIP[Month],"&lt;&gt;",tbl_WIP[Month],"&lt;"&amp;$C$4)+SUMIF('Deferred Revenue'!$E$6:$E$579,$A385,'Deferred Revenue'!$P$6:$P$579)</f>
        <v/>
      </c>
      <c r="D385" s="55">
        <f>SUMIFS(tbl_WIP[Amount],tbl_WIP[Job Number],$A385,tbl_WIP[Month],$C$4)+SUMIF('Deferred Revenue'!$E$6:$E$579,$A385,'Deferred Revenue'!$Q$6:$Q$579)</f>
        <v/>
      </c>
      <c r="E385" s="55">
        <f>C385+D385</f>
        <v/>
      </c>
      <c r="F385" s="56">
        <f>IF(ROUND(C385,2)+ROUND(D385,2)=0,"","yes")</f>
        <v/>
      </c>
      <c r="G385" s="57" t="n"/>
      <c r="H385" s="55">
        <f>IF($G385="","",$E385-$G385)</f>
        <v/>
      </c>
    </row>
    <row r="386">
      <c r="A386" s="54" t="inlineStr">
        <is>
          <t>3047</t>
        </is>
      </c>
      <c r="B386" s="54" t="inlineStr">
        <is>
          <t>Stone&amp;Chalk ONS [non-chargable]</t>
        </is>
      </c>
      <c r="C386" s="55">
        <f>SUMIFS(tbl_WIP[Amount],tbl_WIP[Job Number],$A386,tbl_WIP[Month],"&lt;&gt;",tbl_WIP[Month],"&lt;"&amp;$C$4)+SUMIF('Deferred Revenue'!$E$6:$E$579,$A386,'Deferred Revenue'!$P$6:$P$579)</f>
        <v/>
      </c>
      <c r="D386" s="55">
        <f>SUMIFS(tbl_WIP[Amount],tbl_WIP[Job Number],$A386,tbl_WIP[Month],$C$4)+SUMIF('Deferred Revenue'!$E$6:$E$579,$A386,'Deferred Revenue'!$Q$6:$Q$579)</f>
        <v/>
      </c>
      <c r="E386" s="55">
        <f>C386+D386</f>
        <v/>
      </c>
      <c r="F386" s="56">
        <f>IF(ROUND(C386,2)+ROUND(D386,2)=0,"","yes")</f>
        <v/>
      </c>
      <c r="G386" s="57" t="n"/>
      <c r="H386" s="55">
        <f>IF($G386="","",$E386-$G386)</f>
        <v/>
      </c>
    </row>
    <row r="387">
      <c r="A387" s="54" t="inlineStr">
        <is>
          <t>3048</t>
        </is>
      </c>
      <c r="B387" s="54" t="inlineStr">
        <is>
          <t>Stone &amp; Chalk Audit 2</t>
        </is>
      </c>
      <c r="C387" s="55">
        <f>SUMIFS(tbl_WIP[Amount],tbl_WIP[Job Number],$A387,tbl_WIP[Month],"&lt;&gt;",tbl_WIP[Month],"&lt;"&amp;$C$4)+SUMIF('Deferred Revenue'!$E$6:$E$579,$A387,'Deferred Revenue'!$P$6:$P$579)</f>
        <v/>
      </c>
      <c r="D387" s="55">
        <f>SUMIFS(tbl_WIP[Amount],tbl_WIP[Job Number],$A387,tbl_WIP[Month],$C$4)+SUMIF('Deferred Revenue'!$E$6:$E$579,$A387,'Deferred Revenue'!$Q$6:$Q$579)</f>
        <v/>
      </c>
      <c r="E387" s="55">
        <f>C387+D387</f>
        <v/>
      </c>
      <c r="F387" s="56">
        <f>IF(ROUND(C387,2)+ROUND(D387,2)=0,"","yes")</f>
        <v/>
      </c>
      <c r="G387" s="57" t="n"/>
      <c r="H387" s="55">
        <f>IF($G387="","",$E387-$G387)</f>
        <v/>
      </c>
    </row>
    <row r="388">
      <c r="A388" s="54" t="inlineStr">
        <is>
          <t>3056</t>
        </is>
      </c>
      <c r="B388" s="54" t="inlineStr">
        <is>
          <t>AusPayNet Onsite [Chargeable]</t>
        </is>
      </c>
      <c r="C388" s="55">
        <f>SUMIFS(tbl_WIP[Amount],tbl_WIP[Job Number],$A388,tbl_WIP[Month],"&lt;&gt;",tbl_WIP[Month],"&lt;"&amp;$C$4)+SUMIF('Deferred Revenue'!$E$6:$E$579,$A388,'Deferred Revenue'!$P$6:$P$579)</f>
        <v/>
      </c>
      <c r="D388" s="55">
        <f>SUMIFS(tbl_WIP[Amount],tbl_WIP[Job Number],$A388,tbl_WIP[Month],$C$4)+SUMIF('Deferred Revenue'!$E$6:$E$579,$A388,'Deferred Revenue'!$Q$6:$Q$579)</f>
        <v/>
      </c>
      <c r="E388" s="55">
        <f>C388+D388</f>
        <v/>
      </c>
      <c r="F388" s="56">
        <f>IF(ROUND(C388,2)+ROUND(D388,2)=0,"","yes")</f>
        <v/>
      </c>
      <c r="G388" s="57" t="n"/>
      <c r="H388" s="55">
        <f>IF($G388="","",$E388-$G388)</f>
        <v/>
      </c>
    </row>
    <row r="389">
      <c r="A389" s="54" t="inlineStr">
        <is>
          <t>3057</t>
        </is>
      </c>
      <c r="B389" s="54" t="inlineStr">
        <is>
          <t>AusPayNet ONS[Non-Chargeable]</t>
        </is>
      </c>
      <c r="C389" s="55">
        <f>SUMIFS(tbl_WIP[Amount],tbl_WIP[Job Number],$A389,tbl_WIP[Month],"&lt;&gt;",tbl_WIP[Month],"&lt;"&amp;$C$4)+SUMIF('Deferred Revenue'!$E$6:$E$579,$A389,'Deferred Revenue'!$P$6:$P$579)</f>
        <v/>
      </c>
      <c r="D389" s="55">
        <f>SUMIFS(tbl_WIP[Amount],tbl_WIP[Job Number],$A389,tbl_WIP[Month],$C$4)+SUMIF('Deferred Revenue'!$E$6:$E$579,$A389,'Deferred Revenue'!$Q$6:$Q$579)</f>
        <v/>
      </c>
      <c r="E389" s="55">
        <f>C389+D389</f>
        <v/>
      </c>
      <c r="F389" s="56">
        <f>IF(ROUND(C389,2)+ROUND(D389,2)=0,"","yes")</f>
        <v/>
      </c>
      <c r="G389" s="57" t="n"/>
      <c r="H389" s="55">
        <f>IF($G389="","",$E389-$G389)</f>
        <v/>
      </c>
    </row>
    <row r="390">
      <c r="A390" s="54" t="inlineStr">
        <is>
          <t>3059</t>
        </is>
      </c>
      <c r="B390" s="54" t="inlineStr">
        <is>
          <t>CBA AGM 2025</t>
        </is>
      </c>
      <c r="C390" s="55">
        <f>SUMIFS(tbl_WIP[Amount],tbl_WIP[Job Number],$A390,tbl_WIP[Month],"&lt;&gt;",tbl_WIP[Month],"&lt;"&amp;$C$4)+SUMIF('Deferred Revenue'!$E$6:$E$579,$A390,'Deferred Revenue'!$P$6:$P$579)</f>
        <v/>
      </c>
      <c r="D390" s="55">
        <f>SUMIFS(tbl_WIP[Amount],tbl_WIP[Job Number],$A390,tbl_WIP[Month],$C$4)+SUMIF('Deferred Revenue'!$E$6:$E$579,$A390,'Deferred Revenue'!$Q$6:$Q$579)</f>
        <v/>
      </c>
      <c r="E390" s="55">
        <f>C390+D390</f>
        <v/>
      </c>
      <c r="F390" s="56">
        <f>IF(ROUND(C390,2)+ROUND(D390,2)=0,"","yes")</f>
        <v/>
      </c>
      <c r="G390" s="57" t="n"/>
      <c r="H390" s="55">
        <f>IF($G390="","",$E390-$G390)</f>
        <v/>
      </c>
    </row>
    <row r="391">
      <c r="A391" s="54" t="inlineStr">
        <is>
          <t>3068</t>
        </is>
      </c>
      <c r="B391" s="54" t="inlineStr">
        <is>
          <t>DPIE Pitt and Penrith</t>
        </is>
      </c>
      <c r="C391" s="55">
        <f>SUMIFS(tbl_WIP[Amount],tbl_WIP[Job Number],$A391,tbl_WIP[Month],"&lt;&gt;",tbl_WIP[Month],"&lt;"&amp;$C$4)+SUMIF('Deferred Revenue'!$E$6:$E$579,$A391,'Deferred Revenue'!$P$6:$P$579)</f>
        <v/>
      </c>
      <c r="D391" s="55">
        <f>SUMIFS(tbl_WIP[Amount],tbl_WIP[Job Number],$A391,tbl_WIP[Month],$C$4)+SUMIF('Deferred Revenue'!$E$6:$E$579,$A391,'Deferred Revenue'!$Q$6:$Q$579)</f>
        <v/>
      </c>
      <c r="E391" s="55">
        <f>C391+D391</f>
        <v/>
      </c>
      <c r="F391" s="56">
        <f>IF(ROUND(C391,2)+ROUND(D391,2)=0,"","yes")</f>
        <v/>
      </c>
      <c r="G391" s="57" t="n"/>
      <c r="H391" s="55">
        <f>IF($G391="","",$E391-$G391)</f>
        <v/>
      </c>
    </row>
    <row r="392">
      <c r="A392" s="54" t="inlineStr">
        <is>
          <t>3072</t>
        </is>
      </c>
      <c r="B392" s="54" t="inlineStr">
        <is>
          <t>APA Thomastown</t>
        </is>
      </c>
      <c r="C392" s="55">
        <f>SUMIFS(tbl_WIP[Amount],tbl_WIP[Job Number],$A392,tbl_WIP[Month],"&lt;&gt;",tbl_WIP[Month],"&lt;"&amp;$C$4)+SUMIF('Deferred Revenue'!$E$6:$E$579,$A392,'Deferred Revenue'!$P$6:$P$579)</f>
        <v/>
      </c>
      <c r="D392" s="55">
        <f>SUMIFS(tbl_WIP[Amount],tbl_WIP[Job Number],$A392,tbl_WIP[Month],$C$4)+SUMIF('Deferred Revenue'!$E$6:$E$579,$A392,'Deferred Revenue'!$Q$6:$Q$579)</f>
        <v/>
      </c>
      <c r="E392" s="55">
        <f>C392+D392</f>
        <v/>
      </c>
      <c r="F392" s="56">
        <f>IF(ROUND(C392,2)+ROUND(D392,2)=0,"","yes")</f>
        <v/>
      </c>
      <c r="G392" s="57" t="n"/>
      <c r="H392" s="55">
        <f>IF($G392="","",$E392-$G392)</f>
        <v/>
      </c>
    </row>
    <row r="393">
      <c r="A393" s="54" t="inlineStr">
        <is>
          <t>585</t>
        </is>
      </c>
      <c r="B393" s="54" t="inlineStr">
        <is>
          <t>CBA Team Leader</t>
        </is>
      </c>
      <c r="C393" s="55">
        <f>SUMIFS(tbl_WIP[Amount],tbl_WIP[Job Number],$A393,tbl_WIP[Month],"&lt;&gt;",tbl_WIP[Month],"&lt;"&amp;$C$4)+SUMIF('Deferred Revenue'!$E$6:$E$579,$A393,'Deferred Revenue'!$P$6:$P$579)</f>
        <v/>
      </c>
      <c r="D393" s="55">
        <f>SUMIFS(tbl_WIP[Amount],tbl_WIP[Job Number],$A393,tbl_WIP[Month],$C$4)+SUMIF('Deferred Revenue'!$E$6:$E$579,$A393,'Deferred Revenue'!$Q$6:$Q$579)</f>
        <v/>
      </c>
      <c r="E393" s="55">
        <f>C393+D393</f>
        <v/>
      </c>
      <c r="F393" s="56">
        <f>IF(ROUND(C393,2)+ROUND(D393,2)=0,"","yes")</f>
        <v/>
      </c>
      <c r="G393" s="57" t="n"/>
      <c r="H393" s="55">
        <f>IF($G393="","",$E393-$G393)</f>
        <v/>
      </c>
    </row>
    <row r="394">
      <c r="A394" s="54" t="inlineStr">
        <is>
          <t>586</t>
        </is>
      </c>
      <c r="B394" s="54" t="inlineStr">
        <is>
          <t>CBA Tech NP</t>
        </is>
      </c>
      <c r="C394" s="55">
        <f>SUMIFS(tbl_WIP[Amount],tbl_WIP[Job Number],$A394,tbl_WIP[Month],"&lt;&gt;",tbl_WIP[Month],"&lt;"&amp;$C$4)+SUMIF('Deferred Revenue'!$E$6:$E$579,$A394,'Deferred Revenue'!$P$6:$P$579)</f>
        <v/>
      </c>
      <c r="D394" s="55">
        <f>SUMIFS(tbl_WIP[Amount],tbl_WIP[Job Number],$A394,tbl_WIP[Month],$C$4)+SUMIF('Deferred Revenue'!$E$6:$E$579,$A394,'Deferred Revenue'!$Q$6:$Q$579)</f>
        <v/>
      </c>
      <c r="E394" s="55">
        <f>C394+D394</f>
        <v/>
      </c>
      <c r="F394" s="56">
        <f>IF(ROUND(C394,2)+ROUND(D394,2)=0,"","yes")</f>
        <v/>
      </c>
      <c r="G394" s="57" t="n"/>
      <c r="H394" s="55">
        <f>IF($G394="","",$E394-$G394)</f>
        <v/>
      </c>
    </row>
    <row r="395">
      <c r="A395" s="54" t="inlineStr">
        <is>
          <t>587</t>
        </is>
      </c>
      <c r="B395" s="54" t="inlineStr">
        <is>
          <t>CBA Tech TN</t>
        </is>
      </c>
      <c r="C395" s="55">
        <f>SUMIFS(tbl_WIP[Amount],tbl_WIP[Job Number],$A395,tbl_WIP[Month],"&lt;&gt;",tbl_WIP[Month],"&lt;"&amp;$C$4)+SUMIF('Deferred Revenue'!$E$6:$E$579,$A395,'Deferred Revenue'!$P$6:$P$579)</f>
        <v/>
      </c>
      <c r="D395" s="55">
        <f>SUMIFS(tbl_WIP[Amount],tbl_WIP[Job Number],$A395,tbl_WIP[Month],$C$4)+SUMIF('Deferred Revenue'!$E$6:$E$579,$A395,'Deferred Revenue'!$Q$6:$Q$579)</f>
        <v/>
      </c>
      <c r="E395" s="55">
        <f>C395+D395</f>
        <v/>
      </c>
      <c r="F395" s="56">
        <f>IF(ROUND(C395,2)+ROUND(D395,2)=0,"","yes")</f>
        <v/>
      </c>
      <c r="G395" s="57" t="n"/>
      <c r="H395" s="55">
        <f>IF($G395="","",$E395-$G395)</f>
        <v/>
      </c>
    </row>
    <row r="396">
      <c r="A396" s="54" t="inlineStr">
        <is>
          <t>724</t>
        </is>
      </c>
      <c r="B396" s="54" t="inlineStr">
        <is>
          <t>DTTL SYD NTSL</t>
        </is>
      </c>
      <c r="C396" s="55">
        <f>SUMIFS(tbl_WIP[Amount],tbl_WIP[Job Number],$A396,tbl_WIP[Month],"&lt;&gt;",tbl_WIP[Month],"&lt;"&amp;$C$4)+SUMIF('Deferred Revenue'!$E$6:$E$579,$A396,'Deferred Revenue'!$P$6:$P$579)</f>
        <v/>
      </c>
      <c r="D396" s="55">
        <f>SUMIFS(tbl_WIP[Amount],tbl_WIP[Job Number],$A396,tbl_WIP[Month],$C$4)+SUMIF('Deferred Revenue'!$E$6:$E$579,$A396,'Deferred Revenue'!$Q$6:$Q$579)</f>
        <v/>
      </c>
      <c r="E396" s="55">
        <f>C396+D396</f>
        <v/>
      </c>
      <c r="F396" s="56">
        <f>IF(ROUND(C396,2)+ROUND(D396,2)=0,"","yes")</f>
        <v/>
      </c>
      <c r="G396" s="57" t="n"/>
      <c r="H396" s="55">
        <f>IF($G396="","",$E396-$G396)</f>
        <v/>
      </c>
    </row>
    <row r="397">
      <c r="A397" s="54" t="inlineStr">
        <is>
          <t>725</t>
        </is>
      </c>
      <c r="B397" s="54" t="inlineStr">
        <is>
          <t>DTTL Mel Tech FT 1</t>
        </is>
      </c>
      <c r="C397" s="55">
        <f>SUMIFS(tbl_WIP[Amount],tbl_WIP[Job Number],$A397,tbl_WIP[Month],"&lt;&gt;",tbl_WIP[Month],"&lt;"&amp;$C$4)+SUMIF('Deferred Revenue'!$E$6:$E$579,$A397,'Deferred Revenue'!$P$6:$P$579)</f>
        <v/>
      </c>
      <c r="D397" s="55">
        <f>SUMIFS(tbl_WIP[Amount],tbl_WIP[Job Number],$A397,tbl_WIP[Month],$C$4)+SUMIF('Deferred Revenue'!$E$6:$E$579,$A397,'Deferred Revenue'!$Q$6:$Q$579)</f>
        <v/>
      </c>
      <c r="E397" s="55">
        <f>C397+D397</f>
        <v/>
      </c>
      <c r="F397" s="56">
        <f>IF(ROUND(C397,2)+ROUND(D397,2)=0,"","yes")</f>
        <v/>
      </c>
      <c r="G397" s="57" t="n"/>
      <c r="H397" s="55">
        <f>IF($G397="","",$E397-$G397)</f>
        <v/>
      </c>
    </row>
    <row r="398">
      <c r="A398" s="54" t="inlineStr">
        <is>
          <t>729</t>
        </is>
      </c>
      <c r="B398" s="54" t="inlineStr">
        <is>
          <t>DTTL Consulting</t>
        </is>
      </c>
      <c r="C398" s="55">
        <f>SUMIFS(tbl_WIP[Amount],tbl_WIP[Job Number],$A398,tbl_WIP[Month],"&lt;&gt;",tbl_WIP[Month],"&lt;"&amp;$C$4)+SUMIF('Deferred Revenue'!$E$6:$E$579,$A398,'Deferred Revenue'!$P$6:$P$579)</f>
        <v/>
      </c>
      <c r="D398" s="55">
        <f>SUMIFS(tbl_WIP[Amount],tbl_WIP[Job Number],$A398,tbl_WIP[Month],$C$4)+SUMIF('Deferred Revenue'!$E$6:$E$579,$A398,'Deferred Revenue'!$Q$6:$Q$579)</f>
        <v/>
      </c>
      <c r="E398" s="55">
        <f>C398+D398</f>
        <v/>
      </c>
      <c r="F398" s="56">
        <f>IF(ROUND(C398,2)+ROUND(D398,2)=0,"","yes")</f>
        <v/>
      </c>
      <c r="G398" s="57" t="n"/>
      <c r="H398" s="55">
        <f>IF($G398="","",$E398-$G398)</f>
        <v/>
      </c>
    </row>
    <row r="399">
      <c r="A399" s="54" t="inlineStr">
        <is>
          <t>732</t>
        </is>
      </c>
      <c r="B399" s="54" t="inlineStr">
        <is>
          <t>Bank West Contract</t>
        </is>
      </c>
      <c r="C399" s="55">
        <f>SUMIFS(tbl_WIP[Amount],tbl_WIP[Job Number],$A399,tbl_WIP[Month],"&lt;&gt;",tbl_WIP[Month],"&lt;"&amp;$C$4)+SUMIF('Deferred Revenue'!$E$6:$E$579,$A399,'Deferred Revenue'!$P$6:$P$579)</f>
        <v/>
      </c>
      <c r="D399" s="55">
        <f>SUMIFS(tbl_WIP[Amount],tbl_WIP[Job Number],$A399,tbl_WIP[Month],$C$4)+SUMIF('Deferred Revenue'!$E$6:$E$579,$A399,'Deferred Revenue'!$Q$6:$Q$579)</f>
        <v/>
      </c>
      <c r="E399" s="55">
        <f>C399+D399</f>
        <v/>
      </c>
      <c r="F399" s="56">
        <f>IF(ROUND(C399,2)+ROUND(D399,2)=0,"","yes")</f>
        <v/>
      </c>
      <c r="G399" s="57" t="n"/>
      <c r="H399" s="55">
        <f>IF($G399="","",$E399-$G399)</f>
        <v/>
      </c>
    </row>
    <row r="400">
      <c r="A400" s="54" t="inlineStr">
        <is>
          <t>9000</t>
        </is>
      </c>
      <c r="B400" s="54" t="inlineStr">
        <is>
          <t>OFFICE / ADMIN</t>
        </is>
      </c>
      <c r="C400" s="55">
        <f>SUMIFS(tbl_WIP[Amount],tbl_WIP[Job Number],$A400,tbl_WIP[Month],"&lt;&gt;",tbl_WIP[Month],"&lt;"&amp;$C$4)+SUMIF('Deferred Revenue'!$E$6:$E$579,$A400,'Deferred Revenue'!$P$6:$P$579)</f>
        <v/>
      </c>
      <c r="D400" s="55">
        <f>SUMIFS(tbl_WIP[Amount],tbl_WIP[Job Number],$A400,tbl_WIP[Month],$C$4)+SUMIF('Deferred Revenue'!$E$6:$E$579,$A400,'Deferred Revenue'!$Q$6:$Q$579)</f>
        <v/>
      </c>
      <c r="E400" s="55">
        <f>C400+D400</f>
        <v/>
      </c>
      <c r="F400" s="56">
        <f>IF(ROUND(C400,2)+ROUND(D400,2)=0,"","yes")</f>
        <v/>
      </c>
      <c r="G400" s="57" t="n"/>
      <c r="H400" s="55">
        <f>IF($G400="","",$E400-$G400)</f>
        <v/>
      </c>
    </row>
    <row r="401">
      <c r="A401" s="54" t="inlineStr">
        <is>
          <t>9001</t>
        </is>
      </c>
      <c r="B401" s="54" t="inlineStr">
        <is>
          <t>OFFICE/ADMIN Orientation</t>
        </is>
      </c>
      <c r="C401" s="55">
        <f>SUMIFS(tbl_WIP[Amount],tbl_WIP[Job Number],$A401,tbl_WIP[Month],"&lt;&gt;",tbl_WIP[Month],"&lt;"&amp;$C$4)+SUMIF('Deferred Revenue'!$E$6:$E$579,$A401,'Deferred Revenue'!$P$6:$P$579)</f>
        <v/>
      </c>
      <c r="D401" s="55">
        <f>SUMIFS(tbl_WIP[Amount],tbl_WIP[Job Number],$A401,tbl_WIP[Month],$C$4)+SUMIF('Deferred Revenue'!$E$6:$E$579,$A401,'Deferred Revenue'!$Q$6:$Q$579)</f>
        <v/>
      </c>
      <c r="E401" s="55">
        <f>C401+D401</f>
        <v/>
      </c>
      <c r="F401" s="56">
        <f>IF(ROUND(C401,2)+ROUND(D401,2)=0,"","yes")</f>
        <v/>
      </c>
      <c r="G401" s="57" t="n"/>
      <c r="H401" s="55">
        <f>IF($G401="","",$E401-$G401)</f>
        <v/>
      </c>
    </row>
    <row r="402">
      <c r="A402" s="54" t="inlineStr">
        <is>
          <t>9050</t>
        </is>
      </c>
      <c r="B402" s="54" t="inlineStr">
        <is>
          <t>OFFICE ASSETS</t>
        </is>
      </c>
      <c r="C402" s="55">
        <f>SUMIFS(tbl_WIP[Amount],tbl_WIP[Job Number],$A402,tbl_WIP[Month],"&lt;&gt;",tbl_WIP[Month],"&lt;"&amp;$C$4)+SUMIF('Deferred Revenue'!$E$6:$E$579,$A402,'Deferred Revenue'!$P$6:$P$579)</f>
        <v/>
      </c>
      <c r="D402" s="55">
        <f>SUMIFS(tbl_WIP[Amount],tbl_WIP[Job Number],$A402,tbl_WIP[Month],$C$4)+SUMIF('Deferred Revenue'!$E$6:$E$579,$A402,'Deferred Revenue'!$Q$6:$Q$579)</f>
        <v/>
      </c>
      <c r="E402" s="55">
        <f>C402+D402</f>
        <v/>
      </c>
      <c r="F402" s="56">
        <f>IF(ROUND(C402,2)+ROUND(D402,2)=0,"","yes")</f>
        <v/>
      </c>
      <c r="G402" s="57" t="n"/>
      <c r="H402" s="55">
        <f>IF($G402="","",$E402-$G402)</f>
        <v/>
      </c>
    </row>
    <row r="403">
      <c r="A403" s="54" t="inlineStr">
        <is>
          <t>9100</t>
        </is>
      </c>
      <c r="B403" s="54" t="inlineStr">
        <is>
          <t>PRODUCTION</t>
        </is>
      </c>
      <c r="C403" s="55">
        <f>SUMIFS(tbl_WIP[Amount],tbl_WIP[Job Number],$A403,tbl_WIP[Month],"&lt;&gt;",tbl_WIP[Month],"&lt;"&amp;$C$4)+SUMIF('Deferred Revenue'!$E$6:$E$579,$A403,'Deferred Revenue'!$P$6:$P$579)</f>
        <v/>
      </c>
      <c r="D403" s="55">
        <f>SUMIFS(tbl_WIP[Amount],tbl_WIP[Job Number],$A403,tbl_WIP[Month],$C$4)+SUMIF('Deferred Revenue'!$E$6:$E$579,$A403,'Deferred Revenue'!$Q$6:$Q$579)</f>
        <v/>
      </c>
      <c r="E403" s="55">
        <f>C403+D403</f>
        <v/>
      </c>
      <c r="F403" s="56">
        <f>IF(ROUND(C403,2)+ROUND(D403,2)=0,"","yes")</f>
        <v/>
      </c>
      <c r="G403" s="57" t="n"/>
      <c r="H403" s="55">
        <f>IF($G403="","",$E403-$G403)</f>
        <v/>
      </c>
    </row>
    <row r="404">
      <c r="A404" s="54" t="inlineStr">
        <is>
          <t>9101</t>
        </is>
      </c>
      <c r="B404" s="54" t="inlineStr">
        <is>
          <t>PRODUCTION - Orientation</t>
        </is>
      </c>
      <c r="C404" s="55">
        <f>SUMIFS(tbl_WIP[Amount],tbl_WIP[Job Number],$A404,tbl_WIP[Month],"&lt;&gt;",tbl_WIP[Month],"&lt;"&amp;$C$4)+SUMIF('Deferred Revenue'!$E$6:$E$579,$A404,'Deferred Revenue'!$P$6:$P$579)</f>
        <v/>
      </c>
      <c r="D404" s="55">
        <f>SUMIFS(tbl_WIP[Amount],tbl_WIP[Job Number],$A404,tbl_WIP[Month],$C$4)+SUMIF('Deferred Revenue'!$E$6:$E$579,$A404,'Deferred Revenue'!$Q$6:$Q$579)</f>
        <v/>
      </c>
      <c r="E404" s="55">
        <f>C404+D404</f>
        <v/>
      </c>
      <c r="F404" s="56">
        <f>IF(ROUND(C404,2)+ROUND(D404,2)=0,"","yes")</f>
        <v/>
      </c>
      <c r="G404" s="57" t="n"/>
      <c r="H404" s="55">
        <f>IF($G404="","",$E404-$G404)</f>
        <v/>
      </c>
    </row>
    <row r="405">
      <c r="A405" s="54" t="inlineStr">
        <is>
          <t>9102</t>
        </is>
      </c>
      <c r="B405" s="54" t="inlineStr">
        <is>
          <t>Production - Training</t>
        </is>
      </c>
      <c r="C405" s="55">
        <f>SUMIFS(tbl_WIP[Amount],tbl_WIP[Job Number],$A405,tbl_WIP[Month],"&lt;&gt;",tbl_WIP[Month],"&lt;"&amp;$C$4)+SUMIF('Deferred Revenue'!$E$6:$E$579,$A405,'Deferred Revenue'!$P$6:$P$579)</f>
        <v/>
      </c>
      <c r="D405" s="55">
        <f>SUMIFS(tbl_WIP[Amount],tbl_WIP[Job Number],$A405,tbl_WIP[Month],$C$4)+SUMIF('Deferred Revenue'!$E$6:$E$579,$A405,'Deferred Revenue'!$Q$6:$Q$579)</f>
        <v/>
      </c>
      <c r="E405" s="55">
        <f>C405+D405</f>
        <v/>
      </c>
      <c r="F405" s="56">
        <f>IF(ROUND(C405,2)+ROUND(D405,2)=0,"","yes")</f>
        <v/>
      </c>
      <c r="G405" s="57" t="n"/>
      <c r="H405" s="55">
        <f>IF($G405="","",$E405-$G405)</f>
        <v/>
      </c>
    </row>
    <row r="406">
      <c r="A406" s="54" t="inlineStr">
        <is>
          <t>9105</t>
        </is>
      </c>
      <c r="B406" s="54" t="inlineStr">
        <is>
          <t>ONSITE (including PROD backup)</t>
        </is>
      </c>
      <c r="C406" s="55">
        <f>SUMIFS(tbl_WIP[Amount],tbl_WIP[Job Number],$A406,tbl_WIP[Month],"&lt;&gt;",tbl_WIP[Month],"&lt;"&amp;$C$4)+SUMIF('Deferred Revenue'!$E$6:$E$579,$A406,'Deferred Revenue'!$P$6:$P$579)</f>
        <v/>
      </c>
      <c r="D406" s="55">
        <f>SUMIFS(tbl_WIP[Amount],tbl_WIP[Job Number],$A406,tbl_WIP[Month],$C$4)+SUMIF('Deferred Revenue'!$E$6:$E$579,$A406,'Deferred Revenue'!$Q$6:$Q$579)</f>
        <v/>
      </c>
      <c r="E406" s="55">
        <f>C406+D406</f>
        <v/>
      </c>
      <c r="F406" s="56">
        <f>IF(ROUND(C406,2)+ROUND(D406,2)=0,"","yes")</f>
        <v/>
      </c>
      <c r="G406" s="57" t="n"/>
      <c r="H406" s="55">
        <f>IF($G406="","",$E406-$G406)</f>
        <v/>
      </c>
    </row>
    <row r="407">
      <c r="A407" s="54" t="inlineStr">
        <is>
          <t>9106</t>
        </is>
      </c>
      <c r="B407" s="54" t="inlineStr">
        <is>
          <t>ONSITE - Orientation</t>
        </is>
      </c>
      <c r="C407" s="55">
        <f>SUMIFS(tbl_WIP[Amount],tbl_WIP[Job Number],$A407,tbl_WIP[Month],"&lt;&gt;",tbl_WIP[Month],"&lt;"&amp;$C$4)+SUMIF('Deferred Revenue'!$E$6:$E$579,$A407,'Deferred Revenue'!$P$6:$P$579)</f>
        <v/>
      </c>
      <c r="D407" s="55">
        <f>SUMIFS(tbl_WIP[Amount],tbl_WIP[Job Number],$A407,tbl_WIP[Month],$C$4)+SUMIF('Deferred Revenue'!$E$6:$E$579,$A407,'Deferred Revenue'!$Q$6:$Q$579)</f>
        <v/>
      </c>
      <c r="E407" s="55">
        <f>C407+D407</f>
        <v/>
      </c>
      <c r="F407" s="56">
        <f>IF(ROUND(C407,2)+ROUND(D407,2)=0,"","yes")</f>
        <v/>
      </c>
      <c r="G407" s="57" t="n"/>
      <c r="H407" s="55">
        <f>IF($G407="","",$E407-$G407)</f>
        <v/>
      </c>
    </row>
    <row r="408">
      <c r="A408" s="54" t="inlineStr">
        <is>
          <t>9107</t>
        </is>
      </c>
      <c r="B408" s="54" t="inlineStr">
        <is>
          <t>ONSITE - Assets</t>
        </is>
      </c>
      <c r="C408" s="55">
        <f>SUMIFS(tbl_WIP[Amount],tbl_WIP[Job Number],$A408,tbl_WIP[Month],"&lt;&gt;",tbl_WIP[Month],"&lt;"&amp;$C$4)+SUMIF('Deferred Revenue'!$E$6:$E$579,$A408,'Deferred Revenue'!$P$6:$P$579)</f>
        <v/>
      </c>
      <c r="D408" s="55">
        <f>SUMIFS(tbl_WIP[Amount],tbl_WIP[Job Number],$A408,tbl_WIP[Month],$C$4)+SUMIF('Deferred Revenue'!$E$6:$E$579,$A408,'Deferred Revenue'!$Q$6:$Q$579)</f>
        <v/>
      </c>
      <c r="E408" s="55">
        <f>C408+D408</f>
        <v/>
      </c>
      <c r="F408" s="56">
        <f>IF(ROUND(C408,2)+ROUND(D408,2)=0,"","yes")</f>
        <v/>
      </c>
      <c r="G408" s="57" t="n"/>
      <c r="H408" s="55">
        <f>IF($G408="","",$E408-$G408)</f>
        <v/>
      </c>
    </row>
    <row r="409">
      <c r="A409" s="54" t="inlineStr">
        <is>
          <t>9108</t>
        </is>
      </c>
      <c r="B409" s="54" t="inlineStr">
        <is>
          <t>ONSITE - Sales</t>
        </is>
      </c>
      <c r="C409" s="55">
        <f>SUMIFS(tbl_WIP[Amount],tbl_WIP[Job Number],$A409,tbl_WIP[Month],"&lt;&gt;",tbl_WIP[Month],"&lt;"&amp;$C$4)+SUMIF('Deferred Revenue'!$E$6:$E$579,$A409,'Deferred Revenue'!$P$6:$P$579)</f>
        <v/>
      </c>
      <c r="D409" s="55">
        <f>SUMIFS(tbl_WIP[Amount],tbl_WIP[Job Number],$A409,tbl_WIP[Month],$C$4)+SUMIF('Deferred Revenue'!$E$6:$E$579,$A409,'Deferred Revenue'!$Q$6:$Q$579)</f>
        <v/>
      </c>
      <c r="E409" s="55">
        <f>C409+D409</f>
        <v/>
      </c>
      <c r="F409" s="56">
        <f>IF(ROUND(C409,2)+ROUND(D409,2)=0,"","yes")</f>
        <v/>
      </c>
      <c r="G409" s="57" t="n"/>
      <c r="H409" s="55">
        <f>IF($G409="","",$E409-$G409)</f>
        <v/>
      </c>
    </row>
    <row r="410">
      <c r="A410" s="54" t="inlineStr">
        <is>
          <t>9109</t>
        </is>
      </c>
      <c r="B410" s="54" t="inlineStr">
        <is>
          <t>ONSITE - Marketing</t>
        </is>
      </c>
      <c r="C410" s="55">
        <f>SUMIFS(tbl_WIP[Amount],tbl_WIP[Job Number],$A410,tbl_WIP[Month],"&lt;&gt;",tbl_WIP[Month],"&lt;"&amp;$C$4)+SUMIF('Deferred Revenue'!$E$6:$E$579,$A410,'Deferred Revenue'!$P$6:$P$579)</f>
        <v/>
      </c>
      <c r="D410" s="55">
        <f>SUMIFS(tbl_WIP[Amount],tbl_WIP[Job Number],$A410,tbl_WIP[Month],$C$4)+SUMIF('Deferred Revenue'!$E$6:$E$579,$A410,'Deferred Revenue'!$Q$6:$Q$579)</f>
        <v/>
      </c>
      <c r="E410" s="55">
        <f>C410+D410</f>
        <v/>
      </c>
      <c r="F410" s="56">
        <f>IF(ROUND(C410,2)+ROUND(D410,2)=0,"","yes")</f>
        <v/>
      </c>
      <c r="G410" s="57" t="n"/>
      <c r="H410" s="55">
        <f>IF($G410="","",$E410-$G410)</f>
        <v/>
      </c>
    </row>
    <row r="411">
      <c r="A411" s="54" t="inlineStr">
        <is>
          <t>9125</t>
        </is>
      </c>
      <c r="B411" s="54" t="inlineStr">
        <is>
          <t>VIDEO DEPT</t>
        </is>
      </c>
      <c r="C411" s="55">
        <f>SUMIFS(tbl_WIP[Amount],tbl_WIP[Job Number],$A411,tbl_WIP[Month],"&lt;&gt;",tbl_WIP[Month],"&lt;"&amp;$C$4)+SUMIF('Deferred Revenue'!$E$6:$E$579,$A411,'Deferred Revenue'!$P$6:$P$579)</f>
        <v/>
      </c>
      <c r="D411" s="55">
        <f>SUMIFS(tbl_WIP[Amount],tbl_WIP[Job Number],$A411,tbl_WIP[Month],$C$4)+SUMIF('Deferred Revenue'!$E$6:$E$579,$A411,'Deferred Revenue'!$Q$6:$Q$579)</f>
        <v/>
      </c>
      <c r="E411" s="55">
        <f>C411+D411</f>
        <v/>
      </c>
      <c r="F411" s="56">
        <f>IF(ROUND(C411,2)+ROUND(D411,2)=0,"","yes")</f>
        <v/>
      </c>
      <c r="G411" s="57" t="n"/>
      <c r="H411" s="55">
        <f>IF($G411="","",$E411-$G411)</f>
        <v/>
      </c>
    </row>
    <row r="412">
      <c r="A412" s="54" t="inlineStr">
        <is>
          <t>9126</t>
        </is>
      </c>
      <c r="B412" s="54" t="inlineStr">
        <is>
          <t>VIDEO - Orientation</t>
        </is>
      </c>
      <c r="C412" s="55">
        <f>SUMIFS(tbl_WIP[Amount],tbl_WIP[Job Number],$A412,tbl_WIP[Month],"&lt;&gt;",tbl_WIP[Month],"&lt;"&amp;$C$4)+SUMIF('Deferred Revenue'!$E$6:$E$579,$A412,'Deferred Revenue'!$P$6:$P$579)</f>
        <v/>
      </c>
      <c r="D412" s="55">
        <f>SUMIFS(tbl_WIP[Amount],tbl_WIP[Job Number],$A412,tbl_WIP[Month],$C$4)+SUMIF('Deferred Revenue'!$E$6:$E$579,$A412,'Deferred Revenue'!$Q$6:$Q$579)</f>
        <v/>
      </c>
      <c r="E412" s="55">
        <f>C412+D412</f>
        <v/>
      </c>
      <c r="F412" s="56">
        <f>IF(ROUND(C412,2)+ROUND(D412,2)=0,"","yes")</f>
        <v/>
      </c>
      <c r="G412" s="57" t="n"/>
      <c r="H412" s="55">
        <f>IF($G412="","",$E412-$G412)</f>
        <v/>
      </c>
    </row>
    <row r="413">
      <c r="A413" s="54" t="inlineStr">
        <is>
          <t>9127</t>
        </is>
      </c>
      <c r="B413" s="54" t="inlineStr">
        <is>
          <t>VIDEO - Assets</t>
        </is>
      </c>
      <c r="C413" s="55">
        <f>SUMIFS(tbl_WIP[Amount],tbl_WIP[Job Number],$A413,tbl_WIP[Month],"&lt;&gt;",tbl_WIP[Month],"&lt;"&amp;$C$4)+SUMIF('Deferred Revenue'!$E$6:$E$579,$A413,'Deferred Revenue'!$P$6:$P$579)</f>
        <v/>
      </c>
      <c r="D413" s="55">
        <f>SUMIFS(tbl_WIP[Amount],tbl_WIP[Job Number],$A413,tbl_WIP[Month],$C$4)+SUMIF('Deferred Revenue'!$E$6:$E$579,$A413,'Deferred Revenue'!$Q$6:$Q$579)</f>
        <v/>
      </c>
      <c r="E413" s="55">
        <f>C413+D413</f>
        <v/>
      </c>
      <c r="F413" s="56">
        <f>IF(ROUND(C413,2)+ROUND(D413,2)=0,"","yes")</f>
        <v/>
      </c>
      <c r="G413" s="57" t="n"/>
      <c r="H413" s="55">
        <f>IF($G413="","",$E413-$G413)</f>
        <v/>
      </c>
    </row>
    <row r="414">
      <c r="A414" s="54" t="inlineStr">
        <is>
          <t>9128</t>
        </is>
      </c>
      <c r="B414" s="54" t="inlineStr">
        <is>
          <t>VIDEO - Sales</t>
        </is>
      </c>
      <c r="C414" s="55">
        <f>SUMIFS(tbl_WIP[Amount],tbl_WIP[Job Number],$A414,tbl_WIP[Month],"&lt;&gt;",tbl_WIP[Month],"&lt;"&amp;$C$4)+SUMIF('Deferred Revenue'!$E$6:$E$579,$A414,'Deferred Revenue'!$P$6:$P$579)</f>
        <v/>
      </c>
      <c r="D414" s="55">
        <f>SUMIFS(tbl_WIP[Amount],tbl_WIP[Job Number],$A414,tbl_WIP[Month],$C$4)+SUMIF('Deferred Revenue'!$E$6:$E$579,$A414,'Deferred Revenue'!$Q$6:$Q$579)</f>
        <v/>
      </c>
      <c r="E414" s="55">
        <f>C414+D414</f>
        <v/>
      </c>
      <c r="F414" s="56">
        <f>IF(ROUND(C414,2)+ROUND(D414,2)=0,"","yes")</f>
        <v/>
      </c>
      <c r="G414" s="57" t="n"/>
      <c r="H414" s="55">
        <f>IF($G414="","",$E414-$G414)</f>
        <v/>
      </c>
    </row>
    <row r="415">
      <c r="A415" s="54" t="inlineStr">
        <is>
          <t>9129</t>
        </is>
      </c>
      <c r="B415" s="54" t="inlineStr">
        <is>
          <t>VIDEO - Marketing</t>
        </is>
      </c>
      <c r="C415" s="55">
        <f>SUMIFS(tbl_WIP[Amount],tbl_WIP[Job Number],$A415,tbl_WIP[Month],"&lt;&gt;",tbl_WIP[Month],"&lt;"&amp;$C$4)+SUMIF('Deferred Revenue'!$E$6:$E$579,$A415,'Deferred Revenue'!$P$6:$P$579)</f>
        <v/>
      </c>
      <c r="D415" s="55">
        <f>SUMIFS(tbl_WIP[Amount],tbl_WIP[Job Number],$A415,tbl_WIP[Month],$C$4)+SUMIF('Deferred Revenue'!$E$6:$E$579,$A415,'Deferred Revenue'!$Q$6:$Q$579)</f>
        <v/>
      </c>
      <c r="E415" s="55">
        <f>C415+D415</f>
        <v/>
      </c>
      <c r="F415" s="56">
        <f>IF(ROUND(C415,2)+ROUND(D415,2)=0,"","yes")</f>
        <v/>
      </c>
      <c r="G415" s="57" t="n"/>
      <c r="H415" s="55">
        <f>IF($G415="","",$E415-$G415)</f>
        <v/>
      </c>
    </row>
    <row r="416">
      <c r="A416" s="54" t="inlineStr">
        <is>
          <t>9150</t>
        </is>
      </c>
      <c r="B416" s="54" t="inlineStr">
        <is>
          <t>PRODUCTION - Assets</t>
        </is>
      </c>
      <c r="C416" s="55">
        <f>SUMIFS(tbl_WIP[Amount],tbl_WIP[Job Number],$A416,tbl_WIP[Month],"&lt;&gt;",tbl_WIP[Month],"&lt;"&amp;$C$4)+SUMIF('Deferred Revenue'!$E$6:$E$579,$A416,'Deferred Revenue'!$P$6:$P$579)</f>
        <v/>
      </c>
      <c r="D416" s="55">
        <f>SUMIFS(tbl_WIP[Amount],tbl_WIP[Job Number],$A416,tbl_WIP[Month],$C$4)+SUMIF('Deferred Revenue'!$E$6:$E$579,$A416,'Deferred Revenue'!$Q$6:$Q$579)</f>
        <v/>
      </c>
      <c r="E416" s="55">
        <f>C416+D416</f>
        <v/>
      </c>
      <c r="F416" s="56">
        <f>IF(ROUND(C416,2)+ROUND(D416,2)=0,"","yes")</f>
        <v/>
      </c>
      <c r="G416" s="57" t="n"/>
      <c r="H416" s="55">
        <f>IF($G416="","",$E416-$G416)</f>
        <v/>
      </c>
    </row>
    <row r="417">
      <c r="A417" s="54" t="inlineStr">
        <is>
          <t>9175</t>
        </is>
      </c>
      <c r="B417" s="54" t="inlineStr">
        <is>
          <t>PRODUCTION - Sales</t>
        </is>
      </c>
      <c r="C417" s="55">
        <f>SUMIFS(tbl_WIP[Amount],tbl_WIP[Job Number],$A417,tbl_WIP[Month],"&lt;&gt;",tbl_WIP[Month],"&lt;"&amp;$C$4)+SUMIF('Deferred Revenue'!$E$6:$E$579,$A417,'Deferred Revenue'!$P$6:$P$579)</f>
        <v/>
      </c>
      <c r="D417" s="55">
        <f>SUMIFS(tbl_WIP[Amount],tbl_WIP[Job Number],$A417,tbl_WIP[Month],$C$4)+SUMIF('Deferred Revenue'!$E$6:$E$579,$A417,'Deferred Revenue'!$Q$6:$Q$579)</f>
        <v/>
      </c>
      <c r="E417" s="55">
        <f>C417+D417</f>
        <v/>
      </c>
      <c r="F417" s="56">
        <f>IF(ROUND(C417,2)+ROUND(D417,2)=0,"","yes")</f>
        <v/>
      </c>
      <c r="G417" s="57" t="n"/>
      <c r="H417" s="55">
        <f>IF($G417="","",$E417-$G417)</f>
        <v/>
      </c>
    </row>
    <row r="418">
      <c r="A418" s="54" t="inlineStr">
        <is>
          <t>9176</t>
        </is>
      </c>
      <c r="B418" s="54" t="inlineStr">
        <is>
          <t>Production - Marketing</t>
        </is>
      </c>
      <c r="C418" s="55">
        <f>SUMIFS(tbl_WIP[Amount],tbl_WIP[Job Number],$A418,tbl_WIP[Month],"&lt;&gt;",tbl_WIP[Month],"&lt;"&amp;$C$4)+SUMIF('Deferred Revenue'!$E$6:$E$579,$A418,'Deferred Revenue'!$P$6:$P$579)</f>
        <v/>
      </c>
      <c r="D418" s="55">
        <f>SUMIFS(tbl_WIP[Amount],tbl_WIP[Job Number],$A418,tbl_WIP[Month],$C$4)+SUMIF('Deferred Revenue'!$E$6:$E$579,$A418,'Deferred Revenue'!$Q$6:$Q$579)</f>
        <v/>
      </c>
      <c r="E418" s="55">
        <f>C418+D418</f>
        <v/>
      </c>
      <c r="F418" s="56">
        <f>IF(ROUND(C418,2)+ROUND(D418,2)=0,"","yes")</f>
        <v/>
      </c>
      <c r="G418" s="57" t="n"/>
      <c r="H418" s="55">
        <f>IF($G418="","",$E418-$G418)</f>
        <v/>
      </c>
    </row>
    <row r="419">
      <c r="A419" s="54" t="inlineStr">
        <is>
          <t>9178</t>
        </is>
      </c>
      <c r="B419" s="54" t="inlineStr">
        <is>
          <t>Production – Webcasts</t>
        </is>
      </c>
      <c r="C419" s="55">
        <f>SUMIFS(tbl_WIP[Amount],tbl_WIP[Job Number],$A419,tbl_WIP[Month],"&lt;&gt;",tbl_WIP[Month],"&lt;"&amp;$C$4)+SUMIF('Deferred Revenue'!$E$6:$E$579,$A419,'Deferred Revenue'!$P$6:$P$579)</f>
        <v/>
      </c>
      <c r="D419" s="55">
        <f>SUMIFS(tbl_WIP[Amount],tbl_WIP[Job Number],$A419,tbl_WIP[Month],$C$4)+SUMIF('Deferred Revenue'!$E$6:$E$579,$A419,'Deferred Revenue'!$Q$6:$Q$579)</f>
        <v/>
      </c>
      <c r="E419" s="55">
        <f>C419+D419</f>
        <v/>
      </c>
      <c r="F419" s="56">
        <f>IF(ROUND(C419,2)+ROUND(D419,2)=0,"","yes")</f>
        <v/>
      </c>
      <c r="G419" s="57" t="n"/>
      <c r="H419" s="55">
        <f>IF($G419="","",$E419-$G419)</f>
        <v/>
      </c>
    </row>
    <row r="420">
      <c r="A420" s="54" t="inlineStr">
        <is>
          <t>9200</t>
        </is>
      </c>
      <c r="B420" s="54" t="inlineStr">
        <is>
          <t>INTEGRATION</t>
        </is>
      </c>
      <c r="C420" s="55">
        <f>SUMIFS(tbl_WIP[Amount],tbl_WIP[Job Number],$A420,tbl_WIP[Month],"&lt;&gt;",tbl_WIP[Month],"&lt;"&amp;$C$4)+SUMIF('Deferred Revenue'!$E$6:$E$579,$A420,'Deferred Revenue'!$P$6:$P$579)</f>
        <v/>
      </c>
      <c r="D420" s="55">
        <f>SUMIFS(tbl_WIP[Amount],tbl_WIP[Job Number],$A420,tbl_WIP[Month],$C$4)+SUMIF('Deferred Revenue'!$E$6:$E$579,$A420,'Deferred Revenue'!$Q$6:$Q$579)</f>
        <v/>
      </c>
      <c r="E420" s="55">
        <f>C420+D420</f>
        <v/>
      </c>
      <c r="F420" s="56">
        <f>IF(ROUND(C420,2)+ROUND(D420,2)=0,"","yes")</f>
        <v/>
      </c>
      <c r="G420" s="57" t="n"/>
      <c r="H420" s="55">
        <f>IF($G420="","",$E420-$G420)</f>
        <v/>
      </c>
    </row>
    <row r="421">
      <c r="A421" s="54" t="inlineStr">
        <is>
          <t>9201</t>
        </is>
      </c>
      <c r="B421" s="54" t="inlineStr">
        <is>
          <t>INTEGRATION - Orientation [INT</t>
        </is>
      </c>
      <c r="C421" s="55">
        <f>SUMIFS(tbl_WIP[Amount],tbl_WIP[Job Number],$A421,tbl_WIP[Month],"&lt;&gt;",tbl_WIP[Month],"&lt;"&amp;$C$4)+SUMIF('Deferred Revenue'!$E$6:$E$579,$A421,'Deferred Revenue'!$P$6:$P$579)</f>
        <v/>
      </c>
      <c r="D421" s="55">
        <f>SUMIFS(tbl_WIP[Amount],tbl_WIP[Job Number],$A421,tbl_WIP[Month],$C$4)+SUMIF('Deferred Revenue'!$E$6:$E$579,$A421,'Deferred Revenue'!$Q$6:$Q$579)</f>
        <v/>
      </c>
      <c r="E421" s="55">
        <f>C421+D421</f>
        <v/>
      </c>
      <c r="F421" s="56">
        <f>IF(ROUND(C421,2)+ROUND(D421,2)=0,"","yes")</f>
        <v/>
      </c>
      <c r="G421" s="57" t="n"/>
      <c r="H421" s="55">
        <f>IF($G421="","",$E421-$G421)</f>
        <v/>
      </c>
    </row>
    <row r="422">
      <c r="A422" s="54" t="inlineStr">
        <is>
          <t>9202</t>
        </is>
      </c>
      <c r="B422" s="54" t="inlineStr">
        <is>
          <t>INTEGRATION - Quotes</t>
        </is>
      </c>
      <c r="C422" s="55">
        <f>SUMIFS(tbl_WIP[Amount],tbl_WIP[Job Number],$A422,tbl_WIP[Month],"&lt;&gt;",tbl_WIP[Month],"&lt;"&amp;$C$4)+SUMIF('Deferred Revenue'!$E$6:$E$579,$A422,'Deferred Revenue'!$P$6:$P$579)</f>
        <v/>
      </c>
      <c r="D422" s="55">
        <f>SUMIFS(tbl_WIP[Amount],tbl_WIP[Job Number],$A422,tbl_WIP[Month],$C$4)+SUMIF('Deferred Revenue'!$E$6:$E$579,$A422,'Deferred Revenue'!$Q$6:$Q$579)</f>
        <v/>
      </c>
      <c r="E422" s="55">
        <f>C422+D422</f>
        <v/>
      </c>
      <c r="F422" s="56">
        <f>IF(ROUND(C422,2)+ROUND(D422,2)=0,"","yes")</f>
        <v/>
      </c>
      <c r="G422" s="57" t="n"/>
      <c r="H422" s="55">
        <f>IF($G422="","",$E422-$G422)</f>
        <v/>
      </c>
    </row>
    <row r="423">
      <c r="A423" s="54" t="inlineStr">
        <is>
          <t>9225</t>
        </is>
      </c>
      <c r="B423" s="54" t="inlineStr">
        <is>
          <t>Integration - SALES</t>
        </is>
      </c>
      <c r="C423" s="55">
        <f>SUMIFS(tbl_WIP[Amount],tbl_WIP[Job Number],$A423,tbl_WIP[Month],"&lt;&gt;",tbl_WIP[Month],"&lt;"&amp;$C$4)+SUMIF('Deferred Revenue'!$E$6:$E$579,$A423,'Deferred Revenue'!$P$6:$P$579)</f>
        <v/>
      </c>
      <c r="D423" s="55">
        <f>SUMIFS(tbl_WIP[Amount],tbl_WIP[Job Number],$A423,tbl_WIP[Month],$C$4)+SUMIF('Deferred Revenue'!$E$6:$E$579,$A423,'Deferred Revenue'!$Q$6:$Q$579)</f>
        <v/>
      </c>
      <c r="E423" s="55">
        <f>C423+D423</f>
        <v/>
      </c>
      <c r="F423" s="56">
        <f>IF(ROUND(C423,2)+ROUND(D423,2)=0,"","yes")</f>
        <v/>
      </c>
      <c r="G423" s="57" t="n"/>
      <c r="H423" s="55">
        <f>IF($G423="","",$E423-$G423)</f>
        <v/>
      </c>
    </row>
    <row r="424">
      <c r="A424" s="54" t="inlineStr">
        <is>
          <t>9226</t>
        </is>
      </c>
      <c r="B424" s="54" t="inlineStr">
        <is>
          <t>Integration - Marketing</t>
        </is>
      </c>
      <c r="C424" s="55">
        <f>SUMIFS(tbl_WIP[Amount],tbl_WIP[Job Number],$A424,tbl_WIP[Month],"&lt;&gt;",tbl_WIP[Month],"&lt;"&amp;$C$4)+SUMIF('Deferred Revenue'!$E$6:$E$579,$A424,'Deferred Revenue'!$P$6:$P$579)</f>
        <v/>
      </c>
      <c r="D424" s="55">
        <f>SUMIFS(tbl_WIP[Amount],tbl_WIP[Job Number],$A424,tbl_WIP[Month],$C$4)+SUMIF('Deferred Revenue'!$E$6:$E$579,$A424,'Deferred Revenue'!$Q$6:$Q$579)</f>
        <v/>
      </c>
      <c r="E424" s="55">
        <f>C424+D424</f>
        <v/>
      </c>
      <c r="F424" s="56">
        <f>IF(ROUND(C424,2)+ROUND(D424,2)=0,"","yes")</f>
        <v/>
      </c>
      <c r="G424" s="57" t="n"/>
      <c r="H424" s="55">
        <f>IF($G424="","",$E424-$G424)</f>
        <v/>
      </c>
    </row>
    <row r="425">
      <c r="A425" s="54" t="inlineStr">
        <is>
          <t>9300</t>
        </is>
      </c>
      <c r="B425" s="54" t="inlineStr">
        <is>
          <t>HUMAN RESOURCES</t>
        </is>
      </c>
      <c r="C425" s="55">
        <f>SUMIFS(tbl_WIP[Amount],tbl_WIP[Job Number],$A425,tbl_WIP[Month],"&lt;&gt;",tbl_WIP[Month],"&lt;"&amp;$C$4)+SUMIF('Deferred Revenue'!$E$6:$E$579,$A425,'Deferred Revenue'!$P$6:$P$579)</f>
        <v/>
      </c>
      <c r="D425" s="55">
        <f>SUMIFS(tbl_WIP[Amount],tbl_WIP[Job Number],$A425,tbl_WIP[Month],$C$4)+SUMIF('Deferred Revenue'!$E$6:$E$579,$A425,'Deferred Revenue'!$Q$6:$Q$579)</f>
        <v/>
      </c>
      <c r="E425" s="55">
        <f>C425+D425</f>
        <v/>
      </c>
      <c r="F425" s="56">
        <f>IF(ROUND(C425,2)+ROUND(D425,2)=0,"","yes")</f>
        <v/>
      </c>
      <c r="G425" s="57" t="n"/>
      <c r="H425" s="55">
        <f>IF($G425="","",$E425-$G425)</f>
        <v/>
      </c>
    </row>
    <row r="426">
      <c r="A426" s="54" t="inlineStr">
        <is>
          <t>9301</t>
        </is>
      </c>
      <c r="B426" s="54" t="inlineStr">
        <is>
          <t>Recruitment</t>
        </is>
      </c>
      <c r="C426" s="55">
        <f>SUMIFS(tbl_WIP[Amount],tbl_WIP[Job Number],$A426,tbl_WIP[Month],"&lt;&gt;",tbl_WIP[Month],"&lt;"&amp;$C$4)+SUMIF('Deferred Revenue'!$E$6:$E$579,$A426,'Deferred Revenue'!$P$6:$P$579)</f>
        <v/>
      </c>
      <c r="D426" s="55">
        <f>SUMIFS(tbl_WIP[Amount],tbl_WIP[Job Number],$A426,tbl_WIP[Month],$C$4)+SUMIF('Deferred Revenue'!$E$6:$E$579,$A426,'Deferred Revenue'!$Q$6:$Q$579)</f>
        <v/>
      </c>
      <c r="E426" s="55">
        <f>C426+D426</f>
        <v/>
      </c>
      <c r="F426" s="56">
        <f>IF(ROUND(C426,2)+ROUND(D426,2)=0,"","yes")</f>
        <v/>
      </c>
      <c r="G426" s="57" t="n"/>
      <c r="H426" s="55">
        <f>IF($G426="","",$E426-$G426)</f>
        <v/>
      </c>
    </row>
    <row r="427">
      <c r="A427" s="54" t="inlineStr">
        <is>
          <t>9350</t>
        </is>
      </c>
      <c r="B427" s="54" t="inlineStr">
        <is>
          <t>MARKETING (external)</t>
        </is>
      </c>
      <c r="C427" s="55">
        <f>SUMIFS(tbl_WIP[Amount],tbl_WIP[Job Number],$A427,tbl_WIP[Month],"&lt;&gt;",tbl_WIP[Month],"&lt;"&amp;$C$4)+SUMIF('Deferred Revenue'!$E$6:$E$579,$A427,'Deferred Revenue'!$P$6:$P$579)</f>
        <v/>
      </c>
      <c r="D427" s="55">
        <f>SUMIFS(tbl_WIP[Amount],tbl_WIP[Job Number],$A427,tbl_WIP[Month],$C$4)+SUMIF('Deferred Revenue'!$E$6:$E$579,$A427,'Deferred Revenue'!$Q$6:$Q$579)</f>
        <v/>
      </c>
      <c r="E427" s="55">
        <f>C427+D427</f>
        <v/>
      </c>
      <c r="F427" s="56">
        <f>IF(ROUND(C427,2)+ROUND(D427,2)=0,"","yes")</f>
        <v/>
      </c>
      <c r="G427" s="57" t="n"/>
      <c r="H427" s="55">
        <f>IF($G427="","",$E427-$G427)</f>
        <v/>
      </c>
    </row>
    <row r="428">
      <c r="A428" s="54" t="inlineStr">
        <is>
          <t>9375</t>
        </is>
      </c>
      <c r="B428" s="54" t="inlineStr">
        <is>
          <t>MARKETING / COMMS</t>
        </is>
      </c>
      <c r="C428" s="55">
        <f>SUMIFS(tbl_WIP[Amount],tbl_WIP[Job Number],$A428,tbl_WIP[Month],"&lt;&gt;",tbl_WIP[Month],"&lt;"&amp;$C$4)+SUMIF('Deferred Revenue'!$E$6:$E$579,$A428,'Deferred Revenue'!$P$6:$P$579)</f>
        <v/>
      </c>
      <c r="D428" s="55">
        <f>SUMIFS(tbl_WIP[Amount],tbl_WIP[Job Number],$A428,tbl_WIP[Month],$C$4)+SUMIF('Deferred Revenue'!$E$6:$E$579,$A428,'Deferred Revenue'!$Q$6:$Q$579)</f>
        <v/>
      </c>
      <c r="E428" s="55">
        <f>C428+D428</f>
        <v/>
      </c>
      <c r="F428" s="56">
        <f>IF(ROUND(C428,2)+ROUND(D428,2)=0,"","yes")</f>
        <v/>
      </c>
      <c r="G428" s="57" t="n"/>
      <c r="H428" s="55">
        <f>IF($G428="","",$E428-$G428)</f>
        <v/>
      </c>
    </row>
    <row r="429">
      <c r="A429" s="54" t="inlineStr">
        <is>
          <t>9400</t>
        </is>
      </c>
      <c r="B429" s="54" t="inlineStr">
        <is>
          <t>CONSULTING</t>
        </is>
      </c>
      <c r="C429" s="55">
        <f>SUMIFS(tbl_WIP[Amount],tbl_WIP[Job Number],$A429,tbl_WIP[Month],"&lt;&gt;",tbl_WIP[Month],"&lt;"&amp;$C$4)+SUMIF('Deferred Revenue'!$E$6:$E$579,$A429,'Deferred Revenue'!$P$6:$P$579)</f>
        <v/>
      </c>
      <c r="D429" s="55">
        <f>SUMIFS(tbl_WIP[Amount],tbl_WIP[Job Number],$A429,tbl_WIP[Month],$C$4)+SUMIF('Deferred Revenue'!$E$6:$E$579,$A429,'Deferred Revenue'!$Q$6:$Q$579)</f>
        <v/>
      </c>
      <c r="E429" s="55">
        <f>C429+D429</f>
        <v/>
      </c>
      <c r="F429" s="56">
        <f>IF(ROUND(C429,2)+ROUND(D429,2)=0,"","yes")</f>
        <v/>
      </c>
      <c r="G429" s="57" t="n"/>
      <c r="H429" s="55">
        <f>IF($G429="","",$E429-$G429)</f>
        <v/>
      </c>
    </row>
    <row r="430">
      <c r="A430" s="54" t="inlineStr">
        <is>
          <t>9402</t>
        </is>
      </c>
      <c r="B430" s="54" t="inlineStr">
        <is>
          <t>CONSULTING - Assets</t>
        </is>
      </c>
      <c r="C430" s="55">
        <f>SUMIFS(tbl_WIP[Amount],tbl_WIP[Job Number],$A430,tbl_WIP[Month],"&lt;&gt;",tbl_WIP[Month],"&lt;"&amp;$C$4)+SUMIF('Deferred Revenue'!$E$6:$E$579,$A430,'Deferred Revenue'!$P$6:$P$579)</f>
        <v/>
      </c>
      <c r="D430" s="55">
        <f>SUMIFS(tbl_WIP[Amount],tbl_WIP[Job Number],$A430,tbl_WIP[Month],$C$4)+SUMIF('Deferred Revenue'!$E$6:$E$579,$A430,'Deferred Revenue'!$Q$6:$Q$579)</f>
        <v/>
      </c>
      <c r="E430" s="55">
        <f>C430+D430</f>
        <v/>
      </c>
      <c r="F430" s="56">
        <f>IF(ROUND(C430,2)+ROUND(D430,2)=0,"","yes")</f>
        <v/>
      </c>
      <c r="G430" s="57" t="n"/>
      <c r="H430" s="55">
        <f>IF($G430="","",$E430-$G430)</f>
        <v/>
      </c>
    </row>
    <row r="431">
      <c r="A431" s="54" t="inlineStr">
        <is>
          <t>9403</t>
        </is>
      </c>
      <c r="B431" s="54" t="inlineStr">
        <is>
          <t>CONSULTING - Sales</t>
        </is>
      </c>
      <c r="C431" s="55">
        <f>SUMIFS(tbl_WIP[Amount],tbl_WIP[Job Number],$A431,tbl_WIP[Month],"&lt;&gt;",tbl_WIP[Month],"&lt;"&amp;$C$4)+SUMIF('Deferred Revenue'!$E$6:$E$579,$A431,'Deferred Revenue'!$P$6:$P$579)</f>
        <v/>
      </c>
      <c r="D431" s="55">
        <f>SUMIFS(tbl_WIP[Amount],tbl_WIP[Job Number],$A431,tbl_WIP[Month],$C$4)+SUMIF('Deferred Revenue'!$E$6:$E$579,$A431,'Deferred Revenue'!$Q$6:$Q$579)</f>
        <v/>
      </c>
      <c r="E431" s="55">
        <f>C431+D431</f>
        <v/>
      </c>
      <c r="F431" s="56">
        <f>IF(ROUND(C431,2)+ROUND(D431,2)=0,"","yes")</f>
        <v/>
      </c>
      <c r="G431" s="57" t="n"/>
      <c r="H431" s="55">
        <f>IF($G431="","",$E431-$G431)</f>
        <v/>
      </c>
    </row>
    <row r="432">
      <c r="A432" s="54" t="inlineStr">
        <is>
          <t>9405</t>
        </is>
      </c>
      <c r="B432" s="54" t="inlineStr">
        <is>
          <t>CONSULTING - Marketing</t>
        </is>
      </c>
      <c r="C432" s="55">
        <f>SUMIFS(tbl_WIP[Amount],tbl_WIP[Job Number],$A432,tbl_WIP[Month],"&lt;&gt;",tbl_WIP[Month],"&lt;"&amp;$C$4)+SUMIF('Deferred Revenue'!$E$6:$E$579,$A432,'Deferred Revenue'!$P$6:$P$579)</f>
        <v/>
      </c>
      <c r="D432" s="55">
        <f>SUMIFS(tbl_WIP[Amount],tbl_WIP[Job Number],$A432,tbl_WIP[Month],$C$4)+SUMIF('Deferred Revenue'!$E$6:$E$579,$A432,'Deferred Revenue'!$Q$6:$Q$579)</f>
        <v/>
      </c>
      <c r="E432" s="55">
        <f>C432+D432</f>
        <v/>
      </c>
      <c r="F432" s="56">
        <f>IF(ROUND(C432,2)+ROUND(D432,2)=0,"","yes")</f>
        <v/>
      </c>
      <c r="G432" s="57" t="n"/>
      <c r="H432" s="55">
        <f>IF($G432="","",$E432-$G432)</f>
        <v/>
      </c>
    </row>
    <row r="433">
      <c r="A433" s="54" t="inlineStr">
        <is>
          <t>9407</t>
        </is>
      </c>
      <c r="B433" s="54" t="inlineStr">
        <is>
          <t>CONSULTING - Training</t>
        </is>
      </c>
      <c r="C433" s="55">
        <f>SUMIFS(tbl_WIP[Amount],tbl_WIP[Job Number],$A433,tbl_WIP[Month],"&lt;&gt;",tbl_WIP[Month],"&lt;"&amp;$C$4)+SUMIF('Deferred Revenue'!$E$6:$E$579,$A433,'Deferred Revenue'!$P$6:$P$579)</f>
        <v/>
      </c>
      <c r="D433" s="55">
        <f>SUMIFS(tbl_WIP[Amount],tbl_WIP[Job Number],$A433,tbl_WIP[Month],$C$4)+SUMIF('Deferred Revenue'!$E$6:$E$579,$A433,'Deferred Revenue'!$Q$6:$Q$579)</f>
        <v/>
      </c>
      <c r="E433" s="55">
        <f>C433+D433</f>
        <v/>
      </c>
      <c r="F433" s="56">
        <f>IF(ROUND(C433,2)+ROUND(D433,2)=0,"","yes")</f>
        <v/>
      </c>
      <c r="G433" s="57" t="n"/>
      <c r="H433" s="55">
        <f>IF($G433="","",$E433-$G433)</f>
        <v/>
      </c>
    </row>
    <row r="434">
      <c r="A434" s="54" t="inlineStr">
        <is>
          <t>974</t>
        </is>
      </c>
      <c r="B434" s="54" t="inlineStr">
        <is>
          <t>DTTL 1300 Number</t>
        </is>
      </c>
      <c r="C434" s="55">
        <f>SUMIFS(tbl_WIP[Amount],tbl_WIP[Job Number],$A434,tbl_WIP[Month],"&lt;&gt;",tbl_WIP[Month],"&lt;"&amp;$C$4)+SUMIF('Deferred Revenue'!$E$6:$E$579,$A434,'Deferred Revenue'!$P$6:$P$579)</f>
        <v/>
      </c>
      <c r="D434" s="55">
        <f>SUMIFS(tbl_WIP[Amount],tbl_WIP[Job Number],$A434,tbl_WIP[Month],$C$4)+SUMIF('Deferred Revenue'!$E$6:$E$579,$A434,'Deferred Revenue'!$Q$6:$Q$579)</f>
        <v/>
      </c>
      <c r="E434" s="55">
        <f>C434+D434</f>
        <v/>
      </c>
      <c r="F434" s="56">
        <f>IF(ROUND(C434,2)+ROUND(D434,2)=0,"","yes")</f>
        <v/>
      </c>
      <c r="G434" s="57" t="n"/>
      <c r="H434" s="55">
        <f>IF($G434="","",$E434-$G434)</f>
        <v/>
      </c>
    </row>
  </sheetData>
  <autoFilter ref="A11:H434"/>
  <conditionalFormatting sqref="B9">
    <cfRule type="expression" priority="1" dxfId="1">
      <formula>ROUND(B9,2)&lt;&gt;0</formula>
    </cfRule>
  </conditionalFormatting>
  <conditionalFormatting sqref="H12:H434">
    <cfRule type="expression" priority="2" dxfId="1">
      <formula>AND(H12&lt;&gt;"",ROUND(H12,2)&lt;&gt;0)</formula>
    </cfRule>
  </conditionalFormatting>
  <pageMargins left="0.75" right="0.75" top="1" bottom="1" header="0.5" footer="0.5"/>
</worksheet>
</file>

<file path=xl/worksheets/sheet6.xml><?xml version="1.0" encoding="utf-8"?>
<worksheet xmlns="http://schemas.openxmlformats.org/spreadsheetml/2006/main">
  <sheetPr>
    <tabColor rgb="008B6A2B"/>
    <outlinePr summaryBelow="1" summaryRight="1"/>
    <pageSetUpPr/>
  </sheetPr>
  <dimension ref="A1:R579"/>
  <sheetViews>
    <sheetView showGridLines="0" tabSelected="0" zoomScale="9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5" customWidth="1" min="3" max="3"/>
    <col width="22" customWidth="1" min="4" max="4"/>
    <col width="14" customWidth="1" min="5" max="5"/>
    <col width="14" customWidth="1" min="6" max="6"/>
    <col width="14" customWidth="1" min="7" max="7"/>
    <col width="12" customWidth="1" min="8" max="8"/>
    <col width="12" customWidth="1" min="9" max="9"/>
    <col width="9" customWidth="1" min="10" max="10"/>
    <col width="14" customWidth="1" min="11" max="11"/>
    <col width="17" customWidth="1" min="12" max="12"/>
    <col width="18" customWidth="1" min="13" max="13"/>
    <col width="16" customWidth="1" min="14" max="14"/>
    <col width="17" customWidth="1" min="15" max="15"/>
    <col width="14" customWidth="1" min="16" max="16"/>
    <col width="14" customWidth="1" min="17" max="17"/>
    <col width="14" customWidth="1" min="18" max="18"/>
  </cols>
  <sheetData>
    <row r="1" ht="24" customHeight="1">
      <c r="A1" s="18" t="inlineStr">
        <is>
          <t>Deferred Revenue - released automatically</t>
        </is>
      </c>
    </row>
    <row r="2" ht="16" customHeight="1">
      <c r="A2" s="2" t="inlineStr">
        <is>
          <t>Every Finance line that carries a Defer Start and a Defer End. The revenue spreads evenly across those months and the WIP movement works itself out. Nothing is typed on this sheet - fill the two dates on Finance and this follows.</t>
        </is>
      </c>
    </row>
    <row r="3" ht="6" customHeight="1">
      <c r="A3" s="30" t="inlineStr">
        <is>
          <t>Month</t>
        </is>
      </c>
      <c r="C3" s="52">
        <f>'Month-End'!C4</f>
        <v/>
      </c>
      <c r="D3" s="32" t="inlineStr">
        <is>
          <t>&lt;- set on the Month-End sheet</t>
        </is>
      </c>
    </row>
    <row r="5" ht="32" customHeight="1">
      <c r="A5" s="58" t="inlineStr">
        <is>
          <t>Line</t>
        </is>
      </c>
      <c r="B5" s="58" t="inlineStr">
        <is>
          <t>Date</t>
        </is>
      </c>
      <c r="C5" s="58" t="inlineStr">
        <is>
          <t>Xero Invoice No</t>
        </is>
      </c>
      <c r="D5" s="58" t="inlineStr">
        <is>
          <t>Client</t>
        </is>
      </c>
      <c r="E5" s="58" t="inlineStr">
        <is>
          <t>Job Number</t>
        </is>
      </c>
      <c r="F5" s="58" t="inlineStr">
        <is>
          <t>Cost Centre</t>
        </is>
      </c>
      <c r="G5" s="58" t="inlineStr">
        <is>
          <t>Ex GST</t>
        </is>
      </c>
      <c r="H5" s="58" t="inlineStr">
        <is>
          <t>Defer Start</t>
        </is>
      </c>
      <c r="I5" s="58" t="inlineStr">
        <is>
          <t>Defer End</t>
        </is>
      </c>
      <c r="J5" s="58" t="inlineStr">
        <is>
          <t>Months</t>
        </is>
      </c>
      <c r="K5" s="58" t="inlineStr">
        <is>
          <t>Per Month</t>
        </is>
      </c>
      <c r="L5" s="58" t="inlineStr">
        <is>
          <t>Recognised to date</t>
        </is>
      </c>
      <c r="M5" s="58" t="inlineStr">
        <is>
          <t>Recognised to prior</t>
        </is>
      </c>
      <c r="N5" s="58" t="inlineStr">
        <is>
          <t>Invoiced to date</t>
        </is>
      </c>
      <c r="O5" s="58" t="inlineStr">
        <is>
          <t>Invoiced to prior</t>
        </is>
      </c>
      <c r="P5" s="58" t="inlineStr">
        <is>
          <t>Opening WIP</t>
        </is>
      </c>
      <c r="Q5" s="58" t="inlineStr">
        <is>
          <t>Movement</t>
        </is>
      </c>
      <c r="R5" s="58" t="inlineStr">
        <is>
          <t>Closing WIP</t>
        </is>
      </c>
    </row>
    <row r="6">
      <c r="A6" s="59">
        <f>ROW()-5</f>
        <v/>
      </c>
      <c r="B6" s="60">
        <f>IFERROR(INDEX(tbl_Finance[Date],$A6),"")</f>
        <v/>
      </c>
      <c r="C6" s="61">
        <f>IFERROR(INDEX(tbl_Finance[Xero Invoice No],$A6),"")</f>
        <v/>
      </c>
      <c r="D6" s="61">
        <f>IFERROR(INDEX(tbl_Finance[Client],$A6),"")</f>
        <v/>
      </c>
      <c r="E6" s="61">
        <f>IFERROR(INDEX(tbl_Finance[Job Number],$A6),"")</f>
        <v/>
      </c>
      <c r="F6" s="61">
        <f>IFERROR(INDEX(tbl_Finance[Cost Centre],$A6),"")</f>
        <v/>
      </c>
      <c r="G6" s="62">
        <f>IFERROR(INDEX(tbl_Finance[Ex GST],$A6),"")</f>
        <v/>
      </c>
      <c r="H6" s="60">
        <f>IFERROR(INDEX(tbl_Finance[Defer Start],$A6),"")</f>
        <v/>
      </c>
      <c r="I6" s="60">
        <f>IFERROR(INDEX(tbl_Finance[Defer End],$A6),"")</f>
        <v/>
      </c>
      <c r="J6" s="59">
        <f>IF(OR($H6="",$I6="",$G6=""),"",MAX(1,(YEAR($I6)-YEAR($H6))*12+MONTH($I6)-MONTH($H6)+1))</f>
        <v/>
      </c>
      <c r="K6" s="62">
        <f>IF($J6="","",$G6/$J6)</f>
        <v/>
      </c>
      <c r="L6" s="62">
        <f>IF($J6="",0,$K6*MAX(0,MIN(YEAR($C$3)*12+MONTH($C$3),YEAR($I6)*12+MONTH($I6))-(YEAR($H6)*12+MONTH($H6))+1))</f>
        <v/>
      </c>
      <c r="M6" s="62">
        <f>IF($J6="",0,$K6*MAX(0,MIN(YEAR($C$3)*12+MONTH($C$3)-1,YEAR($I6)*12+MONTH($I6))-(YEAR($H6)*12+MONTH($H6))+1))</f>
        <v/>
      </c>
      <c r="N6" s="62">
        <f>IF(OR($J6="",$B6=""),0,IF(YEAR($B6)*12+MONTH($B6)&lt;=YEAR($C$3)*12+MONTH($C$3),$G6,0))</f>
        <v/>
      </c>
      <c r="O6" s="62">
        <f>IF(OR($J6="",$B6=""),0,IF(YEAR($B6)*12+MONTH($B6)&lt;=YEAR($C$3)*12+MONTH($C$3)-1,$G6,0))</f>
        <v/>
      </c>
      <c r="P6" s="62">
        <f>$M6-$O6</f>
        <v/>
      </c>
      <c r="Q6" s="62">
        <f>($L6-$M6)-($N6-$O6)</f>
        <v/>
      </c>
      <c r="R6" s="62">
        <f>$L6-$N6</f>
        <v/>
      </c>
    </row>
    <row r="7">
      <c r="A7" s="59">
        <f>ROW()-5</f>
        <v/>
      </c>
      <c r="B7" s="60">
        <f>IFERROR(INDEX(tbl_Finance[Date],$A7),"")</f>
        <v/>
      </c>
      <c r="C7" s="61">
        <f>IFERROR(INDEX(tbl_Finance[Xero Invoice No],$A7),"")</f>
        <v/>
      </c>
      <c r="D7" s="61">
        <f>IFERROR(INDEX(tbl_Finance[Client],$A7),"")</f>
        <v/>
      </c>
      <c r="E7" s="61">
        <f>IFERROR(INDEX(tbl_Finance[Job Number],$A7),"")</f>
        <v/>
      </c>
      <c r="F7" s="61">
        <f>IFERROR(INDEX(tbl_Finance[Cost Centre],$A7),"")</f>
        <v/>
      </c>
      <c r="G7" s="62">
        <f>IFERROR(INDEX(tbl_Finance[Ex GST],$A7),"")</f>
        <v/>
      </c>
      <c r="H7" s="60">
        <f>IFERROR(INDEX(tbl_Finance[Defer Start],$A7),"")</f>
        <v/>
      </c>
      <c r="I7" s="60">
        <f>IFERROR(INDEX(tbl_Finance[Defer End],$A7),"")</f>
        <v/>
      </c>
      <c r="J7" s="59">
        <f>IF(OR($H7="",$I7="",$G7=""),"",MAX(1,(YEAR($I7)-YEAR($H7))*12+MONTH($I7)-MONTH($H7)+1))</f>
        <v/>
      </c>
      <c r="K7" s="62">
        <f>IF($J7="","",$G7/$J7)</f>
        <v/>
      </c>
      <c r="L7" s="62">
        <f>IF($J7="",0,$K7*MAX(0,MIN(YEAR($C$3)*12+MONTH($C$3),YEAR($I7)*12+MONTH($I7))-(YEAR($H7)*12+MONTH($H7))+1))</f>
        <v/>
      </c>
      <c r="M7" s="62">
        <f>IF($J7="",0,$K7*MAX(0,MIN(YEAR($C$3)*12+MONTH($C$3)-1,YEAR($I7)*12+MONTH($I7))-(YEAR($H7)*12+MONTH($H7))+1))</f>
        <v/>
      </c>
      <c r="N7" s="62">
        <f>IF(OR($J7="",$B7=""),0,IF(YEAR($B7)*12+MONTH($B7)&lt;=YEAR($C$3)*12+MONTH($C$3),$G7,0))</f>
        <v/>
      </c>
      <c r="O7" s="62">
        <f>IF(OR($J7="",$B7=""),0,IF(YEAR($B7)*12+MONTH($B7)&lt;=YEAR($C$3)*12+MONTH($C$3)-1,$G7,0))</f>
        <v/>
      </c>
      <c r="P7" s="62">
        <f>$M7-$O7</f>
        <v/>
      </c>
      <c r="Q7" s="62">
        <f>($L7-$M7)-($N7-$O7)</f>
        <v/>
      </c>
      <c r="R7" s="62">
        <f>$L7-$N7</f>
        <v/>
      </c>
    </row>
    <row r="8">
      <c r="A8" s="59">
        <f>ROW()-5</f>
        <v/>
      </c>
      <c r="B8" s="60">
        <f>IFERROR(INDEX(tbl_Finance[Date],$A8),"")</f>
        <v/>
      </c>
      <c r="C8" s="61">
        <f>IFERROR(INDEX(tbl_Finance[Xero Invoice No],$A8),"")</f>
        <v/>
      </c>
      <c r="D8" s="61">
        <f>IFERROR(INDEX(tbl_Finance[Client],$A8),"")</f>
        <v/>
      </c>
      <c r="E8" s="61">
        <f>IFERROR(INDEX(tbl_Finance[Job Number],$A8),"")</f>
        <v/>
      </c>
      <c r="F8" s="61">
        <f>IFERROR(INDEX(tbl_Finance[Cost Centre],$A8),"")</f>
        <v/>
      </c>
      <c r="G8" s="62">
        <f>IFERROR(INDEX(tbl_Finance[Ex GST],$A8),"")</f>
        <v/>
      </c>
      <c r="H8" s="60">
        <f>IFERROR(INDEX(tbl_Finance[Defer Start],$A8),"")</f>
        <v/>
      </c>
      <c r="I8" s="60">
        <f>IFERROR(INDEX(tbl_Finance[Defer End],$A8),"")</f>
        <v/>
      </c>
      <c r="J8" s="59">
        <f>IF(OR($H8="",$I8="",$G8=""),"",MAX(1,(YEAR($I8)-YEAR($H8))*12+MONTH($I8)-MONTH($H8)+1))</f>
        <v/>
      </c>
      <c r="K8" s="62">
        <f>IF($J8="","",$G8/$J8)</f>
        <v/>
      </c>
      <c r="L8" s="62">
        <f>IF($J8="",0,$K8*MAX(0,MIN(YEAR($C$3)*12+MONTH($C$3),YEAR($I8)*12+MONTH($I8))-(YEAR($H8)*12+MONTH($H8))+1))</f>
        <v/>
      </c>
      <c r="M8" s="62">
        <f>IF($J8="",0,$K8*MAX(0,MIN(YEAR($C$3)*12+MONTH($C$3)-1,YEAR($I8)*12+MONTH($I8))-(YEAR($H8)*12+MONTH($H8))+1))</f>
        <v/>
      </c>
      <c r="N8" s="62">
        <f>IF(OR($J8="",$B8=""),0,IF(YEAR($B8)*12+MONTH($B8)&lt;=YEAR($C$3)*12+MONTH($C$3),$G8,0))</f>
        <v/>
      </c>
      <c r="O8" s="62">
        <f>IF(OR($J8="",$B8=""),0,IF(YEAR($B8)*12+MONTH($B8)&lt;=YEAR($C$3)*12+MONTH($C$3)-1,$G8,0))</f>
        <v/>
      </c>
      <c r="P8" s="62">
        <f>$M8-$O8</f>
        <v/>
      </c>
      <c r="Q8" s="62">
        <f>($L8-$M8)-($N8-$O8)</f>
        <v/>
      </c>
      <c r="R8" s="62">
        <f>$L8-$N8</f>
        <v/>
      </c>
    </row>
    <row r="9">
      <c r="A9" s="59">
        <f>ROW()-5</f>
        <v/>
      </c>
      <c r="B9" s="60">
        <f>IFERROR(INDEX(tbl_Finance[Date],$A9),"")</f>
        <v/>
      </c>
      <c r="C9" s="61">
        <f>IFERROR(INDEX(tbl_Finance[Xero Invoice No],$A9),"")</f>
        <v/>
      </c>
      <c r="D9" s="61">
        <f>IFERROR(INDEX(tbl_Finance[Client],$A9),"")</f>
        <v/>
      </c>
      <c r="E9" s="61">
        <f>IFERROR(INDEX(tbl_Finance[Job Number],$A9),"")</f>
        <v/>
      </c>
      <c r="F9" s="61">
        <f>IFERROR(INDEX(tbl_Finance[Cost Centre],$A9),"")</f>
        <v/>
      </c>
      <c r="G9" s="62">
        <f>IFERROR(INDEX(tbl_Finance[Ex GST],$A9),"")</f>
        <v/>
      </c>
      <c r="H9" s="60">
        <f>IFERROR(INDEX(tbl_Finance[Defer Start],$A9),"")</f>
        <v/>
      </c>
      <c r="I9" s="60">
        <f>IFERROR(INDEX(tbl_Finance[Defer End],$A9),"")</f>
        <v/>
      </c>
      <c r="J9" s="59">
        <f>IF(OR($H9="",$I9="",$G9=""),"",MAX(1,(YEAR($I9)-YEAR($H9))*12+MONTH($I9)-MONTH($H9)+1))</f>
        <v/>
      </c>
      <c r="K9" s="62">
        <f>IF($J9="","",$G9/$J9)</f>
        <v/>
      </c>
      <c r="L9" s="62">
        <f>IF($J9="",0,$K9*MAX(0,MIN(YEAR($C$3)*12+MONTH($C$3),YEAR($I9)*12+MONTH($I9))-(YEAR($H9)*12+MONTH($H9))+1))</f>
        <v/>
      </c>
      <c r="M9" s="62">
        <f>IF($J9="",0,$K9*MAX(0,MIN(YEAR($C$3)*12+MONTH($C$3)-1,YEAR($I9)*12+MONTH($I9))-(YEAR($H9)*12+MONTH($H9))+1))</f>
        <v/>
      </c>
      <c r="N9" s="62">
        <f>IF(OR($J9="",$B9=""),0,IF(YEAR($B9)*12+MONTH($B9)&lt;=YEAR($C$3)*12+MONTH($C$3),$G9,0))</f>
        <v/>
      </c>
      <c r="O9" s="62">
        <f>IF(OR($J9="",$B9=""),0,IF(YEAR($B9)*12+MONTH($B9)&lt;=YEAR($C$3)*12+MONTH($C$3)-1,$G9,0))</f>
        <v/>
      </c>
      <c r="P9" s="62">
        <f>$M9-$O9</f>
        <v/>
      </c>
      <c r="Q9" s="62">
        <f>($L9-$M9)-($N9-$O9)</f>
        <v/>
      </c>
      <c r="R9" s="62">
        <f>$L9-$N9</f>
        <v/>
      </c>
    </row>
    <row r="10">
      <c r="A10" s="59">
        <f>ROW()-5</f>
        <v/>
      </c>
      <c r="B10" s="60">
        <f>IFERROR(INDEX(tbl_Finance[Date],$A10),"")</f>
        <v/>
      </c>
      <c r="C10" s="61">
        <f>IFERROR(INDEX(tbl_Finance[Xero Invoice No],$A10),"")</f>
        <v/>
      </c>
      <c r="D10" s="61">
        <f>IFERROR(INDEX(tbl_Finance[Client],$A10),"")</f>
        <v/>
      </c>
      <c r="E10" s="61">
        <f>IFERROR(INDEX(tbl_Finance[Job Number],$A10),"")</f>
        <v/>
      </c>
      <c r="F10" s="61">
        <f>IFERROR(INDEX(tbl_Finance[Cost Centre],$A10),"")</f>
        <v/>
      </c>
      <c r="G10" s="62">
        <f>IFERROR(INDEX(tbl_Finance[Ex GST],$A10),"")</f>
        <v/>
      </c>
      <c r="H10" s="60">
        <f>IFERROR(INDEX(tbl_Finance[Defer Start],$A10),"")</f>
        <v/>
      </c>
      <c r="I10" s="60">
        <f>IFERROR(INDEX(tbl_Finance[Defer End],$A10),"")</f>
        <v/>
      </c>
      <c r="J10" s="59">
        <f>IF(OR($H10="",$I10="",$G10=""),"",MAX(1,(YEAR($I10)-YEAR($H10))*12+MONTH($I10)-MONTH($H10)+1))</f>
        <v/>
      </c>
      <c r="K10" s="62">
        <f>IF($J10="","",$G10/$J10)</f>
        <v/>
      </c>
      <c r="L10" s="62">
        <f>IF($J10="",0,$K10*MAX(0,MIN(YEAR($C$3)*12+MONTH($C$3),YEAR($I10)*12+MONTH($I10))-(YEAR($H10)*12+MONTH($H10))+1))</f>
        <v/>
      </c>
      <c r="M10" s="62">
        <f>IF($J10="",0,$K10*MAX(0,MIN(YEAR($C$3)*12+MONTH($C$3)-1,YEAR($I10)*12+MONTH($I10))-(YEAR($H10)*12+MONTH($H10))+1))</f>
        <v/>
      </c>
      <c r="N10" s="62">
        <f>IF(OR($J10="",$B10=""),0,IF(YEAR($B10)*12+MONTH($B10)&lt;=YEAR($C$3)*12+MONTH($C$3),$G10,0))</f>
        <v/>
      </c>
      <c r="O10" s="62">
        <f>IF(OR($J10="",$B10=""),0,IF(YEAR($B10)*12+MONTH($B10)&lt;=YEAR($C$3)*12+MONTH($C$3)-1,$G10,0))</f>
        <v/>
      </c>
      <c r="P10" s="62">
        <f>$M10-$O10</f>
        <v/>
      </c>
      <c r="Q10" s="62">
        <f>($L10-$M10)-($N10-$O10)</f>
        <v/>
      </c>
      <c r="R10" s="62">
        <f>$L10-$N10</f>
        <v/>
      </c>
    </row>
    <row r="11">
      <c r="A11" s="59">
        <f>ROW()-5</f>
        <v/>
      </c>
      <c r="B11" s="60">
        <f>IFERROR(INDEX(tbl_Finance[Date],$A11),"")</f>
        <v/>
      </c>
      <c r="C11" s="61">
        <f>IFERROR(INDEX(tbl_Finance[Xero Invoice No],$A11),"")</f>
        <v/>
      </c>
      <c r="D11" s="61">
        <f>IFERROR(INDEX(tbl_Finance[Client],$A11),"")</f>
        <v/>
      </c>
      <c r="E11" s="61">
        <f>IFERROR(INDEX(tbl_Finance[Job Number],$A11),"")</f>
        <v/>
      </c>
      <c r="F11" s="61">
        <f>IFERROR(INDEX(tbl_Finance[Cost Centre],$A11),"")</f>
        <v/>
      </c>
      <c r="G11" s="62">
        <f>IFERROR(INDEX(tbl_Finance[Ex GST],$A11),"")</f>
        <v/>
      </c>
      <c r="H11" s="60">
        <f>IFERROR(INDEX(tbl_Finance[Defer Start],$A11),"")</f>
        <v/>
      </c>
      <c r="I11" s="60">
        <f>IFERROR(INDEX(tbl_Finance[Defer End],$A11),"")</f>
        <v/>
      </c>
      <c r="J11" s="59">
        <f>IF(OR($H11="",$I11="",$G11=""),"",MAX(1,(YEAR($I11)-YEAR($H11))*12+MONTH($I11)-MONTH($H11)+1))</f>
        <v/>
      </c>
      <c r="K11" s="62">
        <f>IF($J11="","",$G11/$J11)</f>
        <v/>
      </c>
      <c r="L11" s="62">
        <f>IF($J11="",0,$K11*MAX(0,MIN(YEAR($C$3)*12+MONTH($C$3),YEAR($I11)*12+MONTH($I11))-(YEAR($H11)*12+MONTH($H11))+1))</f>
        <v/>
      </c>
      <c r="M11" s="62">
        <f>IF($J11="",0,$K11*MAX(0,MIN(YEAR($C$3)*12+MONTH($C$3)-1,YEAR($I11)*12+MONTH($I11))-(YEAR($H11)*12+MONTH($H11))+1))</f>
        <v/>
      </c>
      <c r="N11" s="62">
        <f>IF(OR($J11="",$B11=""),0,IF(YEAR($B11)*12+MONTH($B11)&lt;=YEAR($C$3)*12+MONTH($C$3),$G11,0))</f>
        <v/>
      </c>
      <c r="O11" s="62">
        <f>IF(OR($J11="",$B11=""),0,IF(YEAR($B11)*12+MONTH($B11)&lt;=YEAR($C$3)*12+MONTH($C$3)-1,$G11,0))</f>
        <v/>
      </c>
      <c r="P11" s="62">
        <f>$M11-$O11</f>
        <v/>
      </c>
      <c r="Q11" s="62">
        <f>($L11-$M11)-($N11-$O11)</f>
        <v/>
      </c>
      <c r="R11" s="62">
        <f>$L11-$N11</f>
        <v/>
      </c>
    </row>
    <row r="12">
      <c r="A12" s="59">
        <f>ROW()-5</f>
        <v/>
      </c>
      <c r="B12" s="60">
        <f>IFERROR(INDEX(tbl_Finance[Date],$A12),"")</f>
        <v/>
      </c>
      <c r="C12" s="61">
        <f>IFERROR(INDEX(tbl_Finance[Xero Invoice No],$A12),"")</f>
        <v/>
      </c>
      <c r="D12" s="61">
        <f>IFERROR(INDEX(tbl_Finance[Client],$A12),"")</f>
        <v/>
      </c>
      <c r="E12" s="61">
        <f>IFERROR(INDEX(tbl_Finance[Job Number],$A12),"")</f>
        <v/>
      </c>
      <c r="F12" s="61">
        <f>IFERROR(INDEX(tbl_Finance[Cost Centre],$A12),"")</f>
        <v/>
      </c>
      <c r="G12" s="62">
        <f>IFERROR(INDEX(tbl_Finance[Ex GST],$A12),"")</f>
        <v/>
      </c>
      <c r="H12" s="60">
        <f>IFERROR(INDEX(tbl_Finance[Defer Start],$A12),"")</f>
        <v/>
      </c>
      <c r="I12" s="60">
        <f>IFERROR(INDEX(tbl_Finance[Defer End],$A12),"")</f>
        <v/>
      </c>
      <c r="J12" s="59">
        <f>IF(OR($H12="",$I12="",$G12=""),"",MAX(1,(YEAR($I12)-YEAR($H12))*12+MONTH($I12)-MONTH($H12)+1))</f>
        <v/>
      </c>
      <c r="K12" s="62">
        <f>IF($J12="","",$G12/$J12)</f>
        <v/>
      </c>
      <c r="L12" s="62">
        <f>IF($J12="",0,$K12*MAX(0,MIN(YEAR($C$3)*12+MONTH($C$3),YEAR($I12)*12+MONTH($I12))-(YEAR($H12)*12+MONTH($H12))+1))</f>
        <v/>
      </c>
      <c r="M12" s="62">
        <f>IF($J12="",0,$K12*MAX(0,MIN(YEAR($C$3)*12+MONTH($C$3)-1,YEAR($I12)*12+MONTH($I12))-(YEAR($H12)*12+MONTH($H12))+1))</f>
        <v/>
      </c>
      <c r="N12" s="62">
        <f>IF(OR($J12="",$B12=""),0,IF(YEAR($B12)*12+MONTH($B12)&lt;=YEAR($C$3)*12+MONTH($C$3),$G12,0))</f>
        <v/>
      </c>
      <c r="O12" s="62">
        <f>IF(OR($J12="",$B12=""),0,IF(YEAR($B12)*12+MONTH($B12)&lt;=YEAR($C$3)*12+MONTH($C$3)-1,$G12,0))</f>
        <v/>
      </c>
      <c r="P12" s="62">
        <f>$M12-$O12</f>
        <v/>
      </c>
      <c r="Q12" s="62">
        <f>($L12-$M12)-($N12-$O12)</f>
        <v/>
      </c>
      <c r="R12" s="62">
        <f>$L12-$N12</f>
        <v/>
      </c>
    </row>
    <row r="13">
      <c r="A13" s="59">
        <f>ROW()-5</f>
        <v/>
      </c>
      <c r="B13" s="60">
        <f>IFERROR(INDEX(tbl_Finance[Date],$A13),"")</f>
        <v/>
      </c>
      <c r="C13" s="61">
        <f>IFERROR(INDEX(tbl_Finance[Xero Invoice No],$A13),"")</f>
        <v/>
      </c>
      <c r="D13" s="61">
        <f>IFERROR(INDEX(tbl_Finance[Client],$A13),"")</f>
        <v/>
      </c>
      <c r="E13" s="61">
        <f>IFERROR(INDEX(tbl_Finance[Job Number],$A13),"")</f>
        <v/>
      </c>
      <c r="F13" s="61">
        <f>IFERROR(INDEX(tbl_Finance[Cost Centre],$A13),"")</f>
        <v/>
      </c>
      <c r="G13" s="62">
        <f>IFERROR(INDEX(tbl_Finance[Ex GST],$A13),"")</f>
        <v/>
      </c>
      <c r="H13" s="60">
        <f>IFERROR(INDEX(tbl_Finance[Defer Start],$A13),"")</f>
        <v/>
      </c>
      <c r="I13" s="60">
        <f>IFERROR(INDEX(tbl_Finance[Defer End],$A13),"")</f>
        <v/>
      </c>
      <c r="J13" s="59">
        <f>IF(OR($H13="",$I13="",$G13=""),"",MAX(1,(YEAR($I13)-YEAR($H13))*12+MONTH($I13)-MONTH($H13)+1))</f>
        <v/>
      </c>
      <c r="K13" s="62">
        <f>IF($J13="","",$G13/$J13)</f>
        <v/>
      </c>
      <c r="L13" s="62">
        <f>IF($J13="",0,$K13*MAX(0,MIN(YEAR($C$3)*12+MONTH($C$3),YEAR($I13)*12+MONTH($I13))-(YEAR($H13)*12+MONTH($H13))+1))</f>
        <v/>
      </c>
      <c r="M13" s="62">
        <f>IF($J13="",0,$K13*MAX(0,MIN(YEAR($C$3)*12+MONTH($C$3)-1,YEAR($I13)*12+MONTH($I13))-(YEAR($H13)*12+MONTH($H13))+1))</f>
        <v/>
      </c>
      <c r="N13" s="62">
        <f>IF(OR($J13="",$B13=""),0,IF(YEAR($B13)*12+MONTH($B13)&lt;=YEAR($C$3)*12+MONTH($C$3),$G13,0))</f>
        <v/>
      </c>
      <c r="O13" s="62">
        <f>IF(OR($J13="",$B13=""),0,IF(YEAR($B13)*12+MONTH($B13)&lt;=YEAR($C$3)*12+MONTH($C$3)-1,$G13,0))</f>
        <v/>
      </c>
      <c r="P13" s="62">
        <f>$M13-$O13</f>
        <v/>
      </c>
      <c r="Q13" s="62">
        <f>($L13-$M13)-($N13-$O13)</f>
        <v/>
      </c>
      <c r="R13" s="62">
        <f>$L13-$N13</f>
        <v/>
      </c>
    </row>
    <row r="14">
      <c r="A14" s="59">
        <f>ROW()-5</f>
        <v/>
      </c>
      <c r="B14" s="60">
        <f>IFERROR(INDEX(tbl_Finance[Date],$A14),"")</f>
        <v/>
      </c>
      <c r="C14" s="61">
        <f>IFERROR(INDEX(tbl_Finance[Xero Invoice No],$A14),"")</f>
        <v/>
      </c>
      <c r="D14" s="61">
        <f>IFERROR(INDEX(tbl_Finance[Client],$A14),"")</f>
        <v/>
      </c>
      <c r="E14" s="61">
        <f>IFERROR(INDEX(tbl_Finance[Job Number],$A14),"")</f>
        <v/>
      </c>
      <c r="F14" s="61">
        <f>IFERROR(INDEX(tbl_Finance[Cost Centre],$A14),"")</f>
        <v/>
      </c>
      <c r="G14" s="62">
        <f>IFERROR(INDEX(tbl_Finance[Ex GST],$A14),"")</f>
        <v/>
      </c>
      <c r="H14" s="60">
        <f>IFERROR(INDEX(tbl_Finance[Defer Start],$A14),"")</f>
        <v/>
      </c>
      <c r="I14" s="60">
        <f>IFERROR(INDEX(tbl_Finance[Defer End],$A14),"")</f>
        <v/>
      </c>
      <c r="J14" s="59">
        <f>IF(OR($H14="",$I14="",$G14=""),"",MAX(1,(YEAR($I14)-YEAR($H14))*12+MONTH($I14)-MONTH($H14)+1))</f>
        <v/>
      </c>
      <c r="K14" s="62">
        <f>IF($J14="","",$G14/$J14)</f>
        <v/>
      </c>
      <c r="L14" s="62">
        <f>IF($J14="",0,$K14*MAX(0,MIN(YEAR($C$3)*12+MONTH($C$3),YEAR($I14)*12+MONTH($I14))-(YEAR($H14)*12+MONTH($H14))+1))</f>
        <v/>
      </c>
      <c r="M14" s="62">
        <f>IF($J14="",0,$K14*MAX(0,MIN(YEAR($C$3)*12+MONTH($C$3)-1,YEAR($I14)*12+MONTH($I14))-(YEAR($H14)*12+MONTH($H14))+1))</f>
        <v/>
      </c>
      <c r="N14" s="62">
        <f>IF(OR($J14="",$B14=""),0,IF(YEAR($B14)*12+MONTH($B14)&lt;=YEAR($C$3)*12+MONTH($C$3),$G14,0))</f>
        <v/>
      </c>
      <c r="O14" s="62">
        <f>IF(OR($J14="",$B14=""),0,IF(YEAR($B14)*12+MONTH($B14)&lt;=YEAR($C$3)*12+MONTH($C$3)-1,$G14,0))</f>
        <v/>
      </c>
      <c r="P14" s="62">
        <f>$M14-$O14</f>
        <v/>
      </c>
      <c r="Q14" s="62">
        <f>($L14-$M14)-($N14-$O14)</f>
        <v/>
      </c>
      <c r="R14" s="62">
        <f>$L14-$N14</f>
        <v/>
      </c>
    </row>
    <row r="15">
      <c r="A15" s="59">
        <f>ROW()-5</f>
        <v/>
      </c>
      <c r="B15" s="60">
        <f>IFERROR(INDEX(tbl_Finance[Date],$A15),"")</f>
        <v/>
      </c>
      <c r="C15" s="61">
        <f>IFERROR(INDEX(tbl_Finance[Xero Invoice No],$A15),"")</f>
        <v/>
      </c>
      <c r="D15" s="61">
        <f>IFERROR(INDEX(tbl_Finance[Client],$A15),"")</f>
        <v/>
      </c>
      <c r="E15" s="61">
        <f>IFERROR(INDEX(tbl_Finance[Job Number],$A15),"")</f>
        <v/>
      </c>
      <c r="F15" s="61">
        <f>IFERROR(INDEX(tbl_Finance[Cost Centre],$A15),"")</f>
        <v/>
      </c>
      <c r="G15" s="62">
        <f>IFERROR(INDEX(tbl_Finance[Ex GST],$A15),"")</f>
        <v/>
      </c>
      <c r="H15" s="60">
        <f>IFERROR(INDEX(tbl_Finance[Defer Start],$A15),"")</f>
        <v/>
      </c>
      <c r="I15" s="60">
        <f>IFERROR(INDEX(tbl_Finance[Defer End],$A15),"")</f>
        <v/>
      </c>
      <c r="J15" s="59">
        <f>IF(OR($H15="",$I15="",$G15=""),"",MAX(1,(YEAR($I15)-YEAR($H15))*12+MONTH($I15)-MONTH($H15)+1))</f>
        <v/>
      </c>
      <c r="K15" s="62">
        <f>IF($J15="","",$G15/$J15)</f>
        <v/>
      </c>
      <c r="L15" s="62">
        <f>IF($J15="",0,$K15*MAX(0,MIN(YEAR($C$3)*12+MONTH($C$3),YEAR($I15)*12+MONTH($I15))-(YEAR($H15)*12+MONTH($H15))+1))</f>
        <v/>
      </c>
      <c r="M15" s="62">
        <f>IF($J15="",0,$K15*MAX(0,MIN(YEAR($C$3)*12+MONTH($C$3)-1,YEAR($I15)*12+MONTH($I15))-(YEAR($H15)*12+MONTH($H15))+1))</f>
        <v/>
      </c>
      <c r="N15" s="62">
        <f>IF(OR($J15="",$B15=""),0,IF(YEAR($B15)*12+MONTH($B15)&lt;=YEAR($C$3)*12+MONTH($C$3),$G15,0))</f>
        <v/>
      </c>
      <c r="O15" s="62">
        <f>IF(OR($J15="",$B15=""),0,IF(YEAR($B15)*12+MONTH($B15)&lt;=YEAR($C$3)*12+MONTH($C$3)-1,$G15,0))</f>
        <v/>
      </c>
      <c r="P15" s="62">
        <f>$M15-$O15</f>
        <v/>
      </c>
      <c r="Q15" s="62">
        <f>($L15-$M15)-($N15-$O15)</f>
        <v/>
      </c>
      <c r="R15" s="62">
        <f>$L15-$N15</f>
        <v/>
      </c>
    </row>
    <row r="16">
      <c r="A16" s="59">
        <f>ROW()-5</f>
        <v/>
      </c>
      <c r="B16" s="60">
        <f>IFERROR(INDEX(tbl_Finance[Date],$A16),"")</f>
        <v/>
      </c>
      <c r="C16" s="61">
        <f>IFERROR(INDEX(tbl_Finance[Xero Invoice No],$A16),"")</f>
        <v/>
      </c>
      <c r="D16" s="61">
        <f>IFERROR(INDEX(tbl_Finance[Client],$A16),"")</f>
        <v/>
      </c>
      <c r="E16" s="61">
        <f>IFERROR(INDEX(tbl_Finance[Job Number],$A16),"")</f>
        <v/>
      </c>
      <c r="F16" s="61">
        <f>IFERROR(INDEX(tbl_Finance[Cost Centre],$A16),"")</f>
        <v/>
      </c>
      <c r="G16" s="62">
        <f>IFERROR(INDEX(tbl_Finance[Ex GST],$A16),"")</f>
        <v/>
      </c>
      <c r="H16" s="60">
        <f>IFERROR(INDEX(tbl_Finance[Defer Start],$A16),"")</f>
        <v/>
      </c>
      <c r="I16" s="60">
        <f>IFERROR(INDEX(tbl_Finance[Defer End],$A16),"")</f>
        <v/>
      </c>
      <c r="J16" s="59">
        <f>IF(OR($H16="",$I16="",$G16=""),"",MAX(1,(YEAR($I16)-YEAR($H16))*12+MONTH($I16)-MONTH($H16)+1))</f>
        <v/>
      </c>
      <c r="K16" s="62">
        <f>IF($J16="","",$G16/$J16)</f>
        <v/>
      </c>
      <c r="L16" s="62">
        <f>IF($J16="",0,$K16*MAX(0,MIN(YEAR($C$3)*12+MONTH($C$3),YEAR($I16)*12+MONTH($I16))-(YEAR($H16)*12+MONTH($H16))+1))</f>
        <v/>
      </c>
      <c r="M16" s="62">
        <f>IF($J16="",0,$K16*MAX(0,MIN(YEAR($C$3)*12+MONTH($C$3)-1,YEAR($I16)*12+MONTH($I16))-(YEAR($H16)*12+MONTH($H16))+1))</f>
        <v/>
      </c>
      <c r="N16" s="62">
        <f>IF(OR($J16="",$B16=""),0,IF(YEAR($B16)*12+MONTH($B16)&lt;=YEAR($C$3)*12+MONTH($C$3),$G16,0))</f>
        <v/>
      </c>
      <c r="O16" s="62">
        <f>IF(OR($J16="",$B16=""),0,IF(YEAR($B16)*12+MONTH($B16)&lt;=YEAR($C$3)*12+MONTH($C$3)-1,$G16,0))</f>
        <v/>
      </c>
      <c r="P16" s="62">
        <f>$M16-$O16</f>
        <v/>
      </c>
      <c r="Q16" s="62">
        <f>($L16-$M16)-($N16-$O16)</f>
        <v/>
      </c>
      <c r="R16" s="62">
        <f>$L16-$N16</f>
        <v/>
      </c>
    </row>
    <row r="17">
      <c r="A17" s="59">
        <f>ROW()-5</f>
        <v/>
      </c>
      <c r="B17" s="60">
        <f>IFERROR(INDEX(tbl_Finance[Date],$A17),"")</f>
        <v/>
      </c>
      <c r="C17" s="61">
        <f>IFERROR(INDEX(tbl_Finance[Xero Invoice No],$A17),"")</f>
        <v/>
      </c>
      <c r="D17" s="61">
        <f>IFERROR(INDEX(tbl_Finance[Client],$A17),"")</f>
        <v/>
      </c>
      <c r="E17" s="61">
        <f>IFERROR(INDEX(tbl_Finance[Job Number],$A17),"")</f>
        <v/>
      </c>
      <c r="F17" s="61">
        <f>IFERROR(INDEX(tbl_Finance[Cost Centre],$A17),"")</f>
        <v/>
      </c>
      <c r="G17" s="62">
        <f>IFERROR(INDEX(tbl_Finance[Ex GST],$A17),"")</f>
        <v/>
      </c>
      <c r="H17" s="60">
        <f>IFERROR(INDEX(tbl_Finance[Defer Start],$A17),"")</f>
        <v/>
      </c>
      <c r="I17" s="60">
        <f>IFERROR(INDEX(tbl_Finance[Defer End],$A17),"")</f>
        <v/>
      </c>
      <c r="J17" s="59">
        <f>IF(OR($H17="",$I17="",$G17=""),"",MAX(1,(YEAR($I17)-YEAR($H17))*12+MONTH($I17)-MONTH($H17)+1))</f>
        <v/>
      </c>
      <c r="K17" s="62">
        <f>IF($J17="","",$G17/$J17)</f>
        <v/>
      </c>
      <c r="L17" s="62">
        <f>IF($J17="",0,$K17*MAX(0,MIN(YEAR($C$3)*12+MONTH($C$3),YEAR($I17)*12+MONTH($I17))-(YEAR($H17)*12+MONTH($H17))+1))</f>
        <v/>
      </c>
      <c r="M17" s="62">
        <f>IF($J17="",0,$K17*MAX(0,MIN(YEAR($C$3)*12+MONTH($C$3)-1,YEAR($I17)*12+MONTH($I17))-(YEAR($H17)*12+MONTH($H17))+1))</f>
        <v/>
      </c>
      <c r="N17" s="62">
        <f>IF(OR($J17="",$B17=""),0,IF(YEAR($B17)*12+MONTH($B17)&lt;=YEAR($C$3)*12+MONTH($C$3),$G17,0))</f>
        <v/>
      </c>
      <c r="O17" s="62">
        <f>IF(OR($J17="",$B17=""),0,IF(YEAR($B17)*12+MONTH($B17)&lt;=YEAR($C$3)*12+MONTH($C$3)-1,$G17,0))</f>
        <v/>
      </c>
      <c r="P17" s="62">
        <f>$M17-$O17</f>
        <v/>
      </c>
      <c r="Q17" s="62">
        <f>($L17-$M17)-($N17-$O17)</f>
        <v/>
      </c>
      <c r="R17" s="62">
        <f>$L17-$N17</f>
        <v/>
      </c>
    </row>
    <row r="18">
      <c r="A18" s="59">
        <f>ROW()-5</f>
        <v/>
      </c>
      <c r="B18" s="60">
        <f>IFERROR(INDEX(tbl_Finance[Date],$A18),"")</f>
        <v/>
      </c>
      <c r="C18" s="61">
        <f>IFERROR(INDEX(tbl_Finance[Xero Invoice No],$A18),"")</f>
        <v/>
      </c>
      <c r="D18" s="61">
        <f>IFERROR(INDEX(tbl_Finance[Client],$A18),"")</f>
        <v/>
      </c>
      <c r="E18" s="61">
        <f>IFERROR(INDEX(tbl_Finance[Job Number],$A18),"")</f>
        <v/>
      </c>
      <c r="F18" s="61">
        <f>IFERROR(INDEX(tbl_Finance[Cost Centre],$A18),"")</f>
        <v/>
      </c>
      <c r="G18" s="62">
        <f>IFERROR(INDEX(tbl_Finance[Ex GST],$A18),"")</f>
        <v/>
      </c>
      <c r="H18" s="60">
        <f>IFERROR(INDEX(tbl_Finance[Defer Start],$A18),"")</f>
        <v/>
      </c>
      <c r="I18" s="60">
        <f>IFERROR(INDEX(tbl_Finance[Defer End],$A18),"")</f>
        <v/>
      </c>
      <c r="J18" s="59">
        <f>IF(OR($H18="",$I18="",$G18=""),"",MAX(1,(YEAR($I18)-YEAR($H18))*12+MONTH($I18)-MONTH($H18)+1))</f>
        <v/>
      </c>
      <c r="K18" s="62">
        <f>IF($J18="","",$G18/$J18)</f>
        <v/>
      </c>
      <c r="L18" s="62">
        <f>IF($J18="",0,$K18*MAX(0,MIN(YEAR($C$3)*12+MONTH($C$3),YEAR($I18)*12+MONTH($I18))-(YEAR($H18)*12+MONTH($H18))+1))</f>
        <v/>
      </c>
      <c r="M18" s="62">
        <f>IF($J18="",0,$K18*MAX(0,MIN(YEAR($C$3)*12+MONTH($C$3)-1,YEAR($I18)*12+MONTH($I18))-(YEAR($H18)*12+MONTH($H18))+1))</f>
        <v/>
      </c>
      <c r="N18" s="62">
        <f>IF(OR($J18="",$B18=""),0,IF(YEAR($B18)*12+MONTH($B18)&lt;=YEAR($C$3)*12+MONTH($C$3),$G18,0))</f>
        <v/>
      </c>
      <c r="O18" s="62">
        <f>IF(OR($J18="",$B18=""),0,IF(YEAR($B18)*12+MONTH($B18)&lt;=YEAR($C$3)*12+MONTH($C$3)-1,$G18,0))</f>
        <v/>
      </c>
      <c r="P18" s="62">
        <f>$M18-$O18</f>
        <v/>
      </c>
      <c r="Q18" s="62">
        <f>($L18-$M18)-($N18-$O18)</f>
        <v/>
      </c>
      <c r="R18" s="62">
        <f>$L18-$N18</f>
        <v/>
      </c>
    </row>
    <row r="19">
      <c r="A19" s="59">
        <f>ROW()-5</f>
        <v/>
      </c>
      <c r="B19" s="60">
        <f>IFERROR(INDEX(tbl_Finance[Date],$A19),"")</f>
        <v/>
      </c>
      <c r="C19" s="61">
        <f>IFERROR(INDEX(tbl_Finance[Xero Invoice No],$A19),"")</f>
        <v/>
      </c>
      <c r="D19" s="61">
        <f>IFERROR(INDEX(tbl_Finance[Client],$A19),"")</f>
        <v/>
      </c>
      <c r="E19" s="61">
        <f>IFERROR(INDEX(tbl_Finance[Job Number],$A19),"")</f>
        <v/>
      </c>
      <c r="F19" s="61">
        <f>IFERROR(INDEX(tbl_Finance[Cost Centre],$A19),"")</f>
        <v/>
      </c>
      <c r="G19" s="62">
        <f>IFERROR(INDEX(tbl_Finance[Ex GST],$A19),"")</f>
        <v/>
      </c>
      <c r="H19" s="60">
        <f>IFERROR(INDEX(tbl_Finance[Defer Start],$A19),"")</f>
        <v/>
      </c>
      <c r="I19" s="60">
        <f>IFERROR(INDEX(tbl_Finance[Defer End],$A19),"")</f>
        <v/>
      </c>
      <c r="J19" s="59">
        <f>IF(OR($H19="",$I19="",$G19=""),"",MAX(1,(YEAR($I19)-YEAR($H19))*12+MONTH($I19)-MONTH($H19)+1))</f>
        <v/>
      </c>
      <c r="K19" s="62">
        <f>IF($J19="","",$G19/$J19)</f>
        <v/>
      </c>
      <c r="L19" s="62">
        <f>IF($J19="",0,$K19*MAX(0,MIN(YEAR($C$3)*12+MONTH($C$3),YEAR($I19)*12+MONTH($I19))-(YEAR($H19)*12+MONTH($H19))+1))</f>
        <v/>
      </c>
      <c r="M19" s="62">
        <f>IF($J19="",0,$K19*MAX(0,MIN(YEAR($C$3)*12+MONTH($C$3)-1,YEAR($I19)*12+MONTH($I19))-(YEAR($H19)*12+MONTH($H19))+1))</f>
        <v/>
      </c>
      <c r="N19" s="62">
        <f>IF(OR($J19="",$B19=""),0,IF(YEAR($B19)*12+MONTH($B19)&lt;=YEAR($C$3)*12+MONTH($C$3),$G19,0))</f>
        <v/>
      </c>
      <c r="O19" s="62">
        <f>IF(OR($J19="",$B19=""),0,IF(YEAR($B19)*12+MONTH($B19)&lt;=YEAR($C$3)*12+MONTH($C$3)-1,$G19,0))</f>
        <v/>
      </c>
      <c r="P19" s="62">
        <f>$M19-$O19</f>
        <v/>
      </c>
      <c r="Q19" s="62">
        <f>($L19-$M19)-($N19-$O19)</f>
        <v/>
      </c>
      <c r="R19" s="62">
        <f>$L19-$N19</f>
        <v/>
      </c>
    </row>
    <row r="20">
      <c r="A20" s="59">
        <f>ROW()-5</f>
        <v/>
      </c>
      <c r="B20" s="60">
        <f>IFERROR(INDEX(tbl_Finance[Date],$A20),"")</f>
        <v/>
      </c>
      <c r="C20" s="61">
        <f>IFERROR(INDEX(tbl_Finance[Xero Invoice No],$A20),"")</f>
        <v/>
      </c>
      <c r="D20" s="61">
        <f>IFERROR(INDEX(tbl_Finance[Client],$A20),"")</f>
        <v/>
      </c>
      <c r="E20" s="61">
        <f>IFERROR(INDEX(tbl_Finance[Job Number],$A20),"")</f>
        <v/>
      </c>
      <c r="F20" s="61">
        <f>IFERROR(INDEX(tbl_Finance[Cost Centre],$A20),"")</f>
        <v/>
      </c>
      <c r="G20" s="62">
        <f>IFERROR(INDEX(tbl_Finance[Ex GST],$A20),"")</f>
        <v/>
      </c>
      <c r="H20" s="60">
        <f>IFERROR(INDEX(tbl_Finance[Defer Start],$A20),"")</f>
        <v/>
      </c>
      <c r="I20" s="60">
        <f>IFERROR(INDEX(tbl_Finance[Defer End],$A20),"")</f>
        <v/>
      </c>
      <c r="J20" s="59">
        <f>IF(OR($H20="",$I20="",$G20=""),"",MAX(1,(YEAR($I20)-YEAR($H20))*12+MONTH($I20)-MONTH($H20)+1))</f>
        <v/>
      </c>
      <c r="K20" s="62">
        <f>IF($J20="","",$G20/$J20)</f>
        <v/>
      </c>
      <c r="L20" s="62">
        <f>IF($J20="",0,$K20*MAX(0,MIN(YEAR($C$3)*12+MONTH($C$3),YEAR($I20)*12+MONTH($I20))-(YEAR($H20)*12+MONTH($H20))+1))</f>
        <v/>
      </c>
      <c r="M20" s="62">
        <f>IF($J20="",0,$K20*MAX(0,MIN(YEAR($C$3)*12+MONTH($C$3)-1,YEAR($I20)*12+MONTH($I20))-(YEAR($H20)*12+MONTH($H20))+1))</f>
        <v/>
      </c>
      <c r="N20" s="62">
        <f>IF(OR($J20="",$B20=""),0,IF(YEAR($B20)*12+MONTH($B20)&lt;=YEAR($C$3)*12+MONTH($C$3),$G20,0))</f>
        <v/>
      </c>
      <c r="O20" s="62">
        <f>IF(OR($J20="",$B20=""),0,IF(YEAR($B20)*12+MONTH($B20)&lt;=YEAR($C$3)*12+MONTH($C$3)-1,$G20,0))</f>
        <v/>
      </c>
      <c r="P20" s="62">
        <f>$M20-$O20</f>
        <v/>
      </c>
      <c r="Q20" s="62">
        <f>($L20-$M20)-($N20-$O20)</f>
        <v/>
      </c>
      <c r="R20" s="62">
        <f>$L20-$N20</f>
        <v/>
      </c>
    </row>
    <row r="21">
      <c r="A21" s="59">
        <f>ROW()-5</f>
        <v/>
      </c>
      <c r="B21" s="60">
        <f>IFERROR(INDEX(tbl_Finance[Date],$A21),"")</f>
        <v/>
      </c>
      <c r="C21" s="61">
        <f>IFERROR(INDEX(tbl_Finance[Xero Invoice No],$A21),"")</f>
        <v/>
      </c>
      <c r="D21" s="61">
        <f>IFERROR(INDEX(tbl_Finance[Client],$A21),"")</f>
        <v/>
      </c>
      <c r="E21" s="61">
        <f>IFERROR(INDEX(tbl_Finance[Job Number],$A21),"")</f>
        <v/>
      </c>
      <c r="F21" s="61">
        <f>IFERROR(INDEX(tbl_Finance[Cost Centre],$A21),"")</f>
        <v/>
      </c>
      <c r="G21" s="62">
        <f>IFERROR(INDEX(tbl_Finance[Ex GST],$A21),"")</f>
        <v/>
      </c>
      <c r="H21" s="60">
        <f>IFERROR(INDEX(tbl_Finance[Defer Start],$A21),"")</f>
        <v/>
      </c>
      <c r="I21" s="60">
        <f>IFERROR(INDEX(tbl_Finance[Defer End],$A21),"")</f>
        <v/>
      </c>
      <c r="J21" s="59">
        <f>IF(OR($H21="",$I21="",$G21=""),"",MAX(1,(YEAR($I21)-YEAR($H21))*12+MONTH($I21)-MONTH($H21)+1))</f>
        <v/>
      </c>
      <c r="K21" s="62">
        <f>IF($J21="","",$G21/$J21)</f>
        <v/>
      </c>
      <c r="L21" s="62">
        <f>IF($J21="",0,$K21*MAX(0,MIN(YEAR($C$3)*12+MONTH($C$3),YEAR($I21)*12+MONTH($I21))-(YEAR($H21)*12+MONTH($H21))+1))</f>
        <v/>
      </c>
      <c r="M21" s="62">
        <f>IF($J21="",0,$K21*MAX(0,MIN(YEAR($C$3)*12+MONTH($C$3)-1,YEAR($I21)*12+MONTH($I21))-(YEAR($H21)*12+MONTH($H21))+1))</f>
        <v/>
      </c>
      <c r="N21" s="62">
        <f>IF(OR($J21="",$B21=""),0,IF(YEAR($B21)*12+MONTH($B21)&lt;=YEAR($C$3)*12+MONTH($C$3),$G21,0))</f>
        <v/>
      </c>
      <c r="O21" s="62">
        <f>IF(OR($J21="",$B21=""),0,IF(YEAR($B21)*12+MONTH($B21)&lt;=YEAR($C$3)*12+MONTH($C$3)-1,$G21,0))</f>
        <v/>
      </c>
      <c r="P21" s="62">
        <f>$M21-$O21</f>
        <v/>
      </c>
      <c r="Q21" s="62">
        <f>($L21-$M21)-($N21-$O21)</f>
        <v/>
      </c>
      <c r="R21" s="62">
        <f>$L21-$N21</f>
        <v/>
      </c>
    </row>
    <row r="22">
      <c r="A22" s="59">
        <f>ROW()-5</f>
        <v/>
      </c>
      <c r="B22" s="60">
        <f>IFERROR(INDEX(tbl_Finance[Date],$A22),"")</f>
        <v/>
      </c>
      <c r="C22" s="61">
        <f>IFERROR(INDEX(tbl_Finance[Xero Invoice No],$A22),"")</f>
        <v/>
      </c>
      <c r="D22" s="61">
        <f>IFERROR(INDEX(tbl_Finance[Client],$A22),"")</f>
        <v/>
      </c>
      <c r="E22" s="61">
        <f>IFERROR(INDEX(tbl_Finance[Job Number],$A22),"")</f>
        <v/>
      </c>
      <c r="F22" s="61">
        <f>IFERROR(INDEX(tbl_Finance[Cost Centre],$A22),"")</f>
        <v/>
      </c>
      <c r="G22" s="62">
        <f>IFERROR(INDEX(tbl_Finance[Ex GST],$A22),"")</f>
        <v/>
      </c>
      <c r="H22" s="60">
        <f>IFERROR(INDEX(tbl_Finance[Defer Start],$A22),"")</f>
        <v/>
      </c>
      <c r="I22" s="60">
        <f>IFERROR(INDEX(tbl_Finance[Defer End],$A22),"")</f>
        <v/>
      </c>
      <c r="J22" s="59">
        <f>IF(OR($H22="",$I22="",$G22=""),"",MAX(1,(YEAR($I22)-YEAR($H22))*12+MONTH($I22)-MONTH($H22)+1))</f>
        <v/>
      </c>
      <c r="K22" s="62">
        <f>IF($J22="","",$G22/$J22)</f>
        <v/>
      </c>
      <c r="L22" s="62">
        <f>IF($J22="",0,$K22*MAX(0,MIN(YEAR($C$3)*12+MONTH($C$3),YEAR($I22)*12+MONTH($I22))-(YEAR($H22)*12+MONTH($H22))+1))</f>
        <v/>
      </c>
      <c r="M22" s="62">
        <f>IF($J22="",0,$K22*MAX(0,MIN(YEAR($C$3)*12+MONTH($C$3)-1,YEAR($I22)*12+MONTH($I22))-(YEAR($H22)*12+MONTH($H22))+1))</f>
        <v/>
      </c>
      <c r="N22" s="62">
        <f>IF(OR($J22="",$B22=""),0,IF(YEAR($B22)*12+MONTH($B22)&lt;=YEAR($C$3)*12+MONTH($C$3),$G22,0))</f>
        <v/>
      </c>
      <c r="O22" s="62">
        <f>IF(OR($J22="",$B22=""),0,IF(YEAR($B22)*12+MONTH($B22)&lt;=YEAR($C$3)*12+MONTH($C$3)-1,$G22,0))</f>
        <v/>
      </c>
      <c r="P22" s="62">
        <f>$M22-$O22</f>
        <v/>
      </c>
      <c r="Q22" s="62">
        <f>($L22-$M22)-($N22-$O22)</f>
        <v/>
      </c>
      <c r="R22" s="62">
        <f>$L22-$N22</f>
        <v/>
      </c>
    </row>
    <row r="23">
      <c r="A23" s="59">
        <f>ROW()-5</f>
        <v/>
      </c>
      <c r="B23" s="60">
        <f>IFERROR(INDEX(tbl_Finance[Date],$A23),"")</f>
        <v/>
      </c>
      <c r="C23" s="61">
        <f>IFERROR(INDEX(tbl_Finance[Xero Invoice No],$A23),"")</f>
        <v/>
      </c>
      <c r="D23" s="61">
        <f>IFERROR(INDEX(tbl_Finance[Client],$A23),"")</f>
        <v/>
      </c>
      <c r="E23" s="61">
        <f>IFERROR(INDEX(tbl_Finance[Job Number],$A23),"")</f>
        <v/>
      </c>
      <c r="F23" s="61">
        <f>IFERROR(INDEX(tbl_Finance[Cost Centre],$A23),"")</f>
        <v/>
      </c>
      <c r="G23" s="62">
        <f>IFERROR(INDEX(tbl_Finance[Ex GST],$A23),"")</f>
        <v/>
      </c>
      <c r="H23" s="60">
        <f>IFERROR(INDEX(tbl_Finance[Defer Start],$A23),"")</f>
        <v/>
      </c>
      <c r="I23" s="60">
        <f>IFERROR(INDEX(tbl_Finance[Defer End],$A23),"")</f>
        <v/>
      </c>
      <c r="J23" s="59">
        <f>IF(OR($H23="",$I23="",$G23=""),"",MAX(1,(YEAR($I23)-YEAR($H23))*12+MONTH($I23)-MONTH($H23)+1))</f>
        <v/>
      </c>
      <c r="K23" s="62">
        <f>IF($J23="","",$G23/$J23)</f>
        <v/>
      </c>
      <c r="L23" s="62">
        <f>IF($J23="",0,$K23*MAX(0,MIN(YEAR($C$3)*12+MONTH($C$3),YEAR($I23)*12+MONTH($I23))-(YEAR($H23)*12+MONTH($H23))+1))</f>
        <v/>
      </c>
      <c r="M23" s="62">
        <f>IF($J23="",0,$K23*MAX(0,MIN(YEAR($C$3)*12+MONTH($C$3)-1,YEAR($I23)*12+MONTH($I23))-(YEAR($H23)*12+MONTH($H23))+1))</f>
        <v/>
      </c>
      <c r="N23" s="62">
        <f>IF(OR($J23="",$B23=""),0,IF(YEAR($B23)*12+MONTH($B23)&lt;=YEAR($C$3)*12+MONTH($C$3),$G23,0))</f>
        <v/>
      </c>
      <c r="O23" s="62">
        <f>IF(OR($J23="",$B23=""),0,IF(YEAR($B23)*12+MONTH($B23)&lt;=YEAR($C$3)*12+MONTH($C$3)-1,$G23,0))</f>
        <v/>
      </c>
      <c r="P23" s="62">
        <f>$M23-$O23</f>
        <v/>
      </c>
      <c r="Q23" s="62">
        <f>($L23-$M23)-($N23-$O23)</f>
        <v/>
      </c>
      <c r="R23" s="62">
        <f>$L23-$N23</f>
        <v/>
      </c>
    </row>
    <row r="24">
      <c r="A24" s="59">
        <f>ROW()-5</f>
        <v/>
      </c>
      <c r="B24" s="60">
        <f>IFERROR(INDEX(tbl_Finance[Date],$A24),"")</f>
        <v/>
      </c>
      <c r="C24" s="61">
        <f>IFERROR(INDEX(tbl_Finance[Xero Invoice No],$A24),"")</f>
        <v/>
      </c>
      <c r="D24" s="61">
        <f>IFERROR(INDEX(tbl_Finance[Client],$A24),"")</f>
        <v/>
      </c>
      <c r="E24" s="61">
        <f>IFERROR(INDEX(tbl_Finance[Job Number],$A24),"")</f>
        <v/>
      </c>
      <c r="F24" s="61">
        <f>IFERROR(INDEX(tbl_Finance[Cost Centre],$A24),"")</f>
        <v/>
      </c>
      <c r="G24" s="62">
        <f>IFERROR(INDEX(tbl_Finance[Ex GST],$A24),"")</f>
        <v/>
      </c>
      <c r="H24" s="60">
        <f>IFERROR(INDEX(tbl_Finance[Defer Start],$A24),"")</f>
        <v/>
      </c>
      <c r="I24" s="60">
        <f>IFERROR(INDEX(tbl_Finance[Defer End],$A24),"")</f>
        <v/>
      </c>
      <c r="J24" s="59">
        <f>IF(OR($H24="",$I24="",$G24=""),"",MAX(1,(YEAR($I24)-YEAR($H24))*12+MONTH($I24)-MONTH($H24)+1))</f>
        <v/>
      </c>
      <c r="K24" s="62">
        <f>IF($J24="","",$G24/$J24)</f>
        <v/>
      </c>
      <c r="L24" s="62">
        <f>IF($J24="",0,$K24*MAX(0,MIN(YEAR($C$3)*12+MONTH($C$3),YEAR($I24)*12+MONTH($I24))-(YEAR($H24)*12+MONTH($H24))+1))</f>
        <v/>
      </c>
      <c r="M24" s="62">
        <f>IF($J24="",0,$K24*MAX(0,MIN(YEAR($C$3)*12+MONTH($C$3)-1,YEAR($I24)*12+MONTH($I24))-(YEAR($H24)*12+MONTH($H24))+1))</f>
        <v/>
      </c>
      <c r="N24" s="62">
        <f>IF(OR($J24="",$B24=""),0,IF(YEAR($B24)*12+MONTH($B24)&lt;=YEAR($C$3)*12+MONTH($C$3),$G24,0))</f>
        <v/>
      </c>
      <c r="O24" s="62">
        <f>IF(OR($J24="",$B24=""),0,IF(YEAR($B24)*12+MONTH($B24)&lt;=YEAR($C$3)*12+MONTH($C$3)-1,$G24,0))</f>
        <v/>
      </c>
      <c r="P24" s="62">
        <f>$M24-$O24</f>
        <v/>
      </c>
      <c r="Q24" s="62">
        <f>($L24-$M24)-($N24-$O24)</f>
        <v/>
      </c>
      <c r="R24" s="62">
        <f>$L24-$N24</f>
        <v/>
      </c>
    </row>
    <row r="25">
      <c r="A25" s="59">
        <f>ROW()-5</f>
        <v/>
      </c>
      <c r="B25" s="60">
        <f>IFERROR(INDEX(tbl_Finance[Date],$A25),"")</f>
        <v/>
      </c>
      <c r="C25" s="61">
        <f>IFERROR(INDEX(tbl_Finance[Xero Invoice No],$A25),"")</f>
        <v/>
      </c>
      <c r="D25" s="61">
        <f>IFERROR(INDEX(tbl_Finance[Client],$A25),"")</f>
        <v/>
      </c>
      <c r="E25" s="61">
        <f>IFERROR(INDEX(tbl_Finance[Job Number],$A25),"")</f>
        <v/>
      </c>
      <c r="F25" s="61">
        <f>IFERROR(INDEX(tbl_Finance[Cost Centre],$A25),"")</f>
        <v/>
      </c>
      <c r="G25" s="62">
        <f>IFERROR(INDEX(tbl_Finance[Ex GST],$A25),"")</f>
        <v/>
      </c>
      <c r="H25" s="60">
        <f>IFERROR(INDEX(tbl_Finance[Defer Start],$A25),"")</f>
        <v/>
      </c>
      <c r="I25" s="60">
        <f>IFERROR(INDEX(tbl_Finance[Defer End],$A25),"")</f>
        <v/>
      </c>
      <c r="J25" s="59">
        <f>IF(OR($H25="",$I25="",$G25=""),"",MAX(1,(YEAR($I25)-YEAR($H25))*12+MONTH($I25)-MONTH($H25)+1))</f>
        <v/>
      </c>
      <c r="K25" s="62">
        <f>IF($J25="","",$G25/$J25)</f>
        <v/>
      </c>
      <c r="L25" s="62">
        <f>IF($J25="",0,$K25*MAX(0,MIN(YEAR($C$3)*12+MONTH($C$3),YEAR($I25)*12+MONTH($I25))-(YEAR($H25)*12+MONTH($H25))+1))</f>
        <v/>
      </c>
      <c r="M25" s="62">
        <f>IF($J25="",0,$K25*MAX(0,MIN(YEAR($C$3)*12+MONTH($C$3)-1,YEAR($I25)*12+MONTH($I25))-(YEAR($H25)*12+MONTH($H25))+1))</f>
        <v/>
      </c>
      <c r="N25" s="62">
        <f>IF(OR($J25="",$B25=""),0,IF(YEAR($B25)*12+MONTH($B25)&lt;=YEAR($C$3)*12+MONTH($C$3),$G25,0))</f>
        <v/>
      </c>
      <c r="O25" s="62">
        <f>IF(OR($J25="",$B25=""),0,IF(YEAR($B25)*12+MONTH($B25)&lt;=YEAR($C$3)*12+MONTH($C$3)-1,$G25,0))</f>
        <v/>
      </c>
      <c r="P25" s="62">
        <f>$M25-$O25</f>
        <v/>
      </c>
      <c r="Q25" s="62">
        <f>($L25-$M25)-($N25-$O25)</f>
        <v/>
      </c>
      <c r="R25" s="62">
        <f>$L25-$N25</f>
        <v/>
      </c>
    </row>
    <row r="26">
      <c r="A26" s="59">
        <f>ROW()-5</f>
        <v/>
      </c>
      <c r="B26" s="60">
        <f>IFERROR(INDEX(tbl_Finance[Date],$A26),"")</f>
        <v/>
      </c>
      <c r="C26" s="61">
        <f>IFERROR(INDEX(tbl_Finance[Xero Invoice No],$A26),"")</f>
        <v/>
      </c>
      <c r="D26" s="61">
        <f>IFERROR(INDEX(tbl_Finance[Client],$A26),"")</f>
        <v/>
      </c>
      <c r="E26" s="61">
        <f>IFERROR(INDEX(tbl_Finance[Job Number],$A26),"")</f>
        <v/>
      </c>
      <c r="F26" s="61">
        <f>IFERROR(INDEX(tbl_Finance[Cost Centre],$A26),"")</f>
        <v/>
      </c>
      <c r="G26" s="62">
        <f>IFERROR(INDEX(tbl_Finance[Ex GST],$A26),"")</f>
        <v/>
      </c>
      <c r="H26" s="60">
        <f>IFERROR(INDEX(tbl_Finance[Defer Start],$A26),"")</f>
        <v/>
      </c>
      <c r="I26" s="60">
        <f>IFERROR(INDEX(tbl_Finance[Defer End],$A26),"")</f>
        <v/>
      </c>
      <c r="J26" s="59">
        <f>IF(OR($H26="",$I26="",$G26=""),"",MAX(1,(YEAR($I26)-YEAR($H26))*12+MONTH($I26)-MONTH($H26)+1))</f>
        <v/>
      </c>
      <c r="K26" s="62">
        <f>IF($J26="","",$G26/$J26)</f>
        <v/>
      </c>
      <c r="L26" s="62">
        <f>IF($J26="",0,$K26*MAX(0,MIN(YEAR($C$3)*12+MONTH($C$3),YEAR($I26)*12+MONTH($I26))-(YEAR($H26)*12+MONTH($H26))+1))</f>
        <v/>
      </c>
      <c r="M26" s="62">
        <f>IF($J26="",0,$K26*MAX(0,MIN(YEAR($C$3)*12+MONTH($C$3)-1,YEAR($I26)*12+MONTH($I26))-(YEAR($H26)*12+MONTH($H26))+1))</f>
        <v/>
      </c>
      <c r="N26" s="62">
        <f>IF(OR($J26="",$B26=""),0,IF(YEAR($B26)*12+MONTH($B26)&lt;=YEAR($C$3)*12+MONTH($C$3),$G26,0))</f>
        <v/>
      </c>
      <c r="O26" s="62">
        <f>IF(OR($J26="",$B26=""),0,IF(YEAR($B26)*12+MONTH($B26)&lt;=YEAR($C$3)*12+MONTH($C$3)-1,$G26,0))</f>
        <v/>
      </c>
      <c r="P26" s="62">
        <f>$M26-$O26</f>
        <v/>
      </c>
      <c r="Q26" s="62">
        <f>($L26-$M26)-($N26-$O26)</f>
        <v/>
      </c>
      <c r="R26" s="62">
        <f>$L26-$N26</f>
        <v/>
      </c>
    </row>
    <row r="27">
      <c r="A27" s="59">
        <f>ROW()-5</f>
        <v/>
      </c>
      <c r="B27" s="60">
        <f>IFERROR(INDEX(tbl_Finance[Date],$A27),"")</f>
        <v/>
      </c>
      <c r="C27" s="61">
        <f>IFERROR(INDEX(tbl_Finance[Xero Invoice No],$A27),"")</f>
        <v/>
      </c>
      <c r="D27" s="61">
        <f>IFERROR(INDEX(tbl_Finance[Client],$A27),"")</f>
        <v/>
      </c>
      <c r="E27" s="61">
        <f>IFERROR(INDEX(tbl_Finance[Job Number],$A27),"")</f>
        <v/>
      </c>
      <c r="F27" s="61">
        <f>IFERROR(INDEX(tbl_Finance[Cost Centre],$A27),"")</f>
        <v/>
      </c>
      <c r="G27" s="62">
        <f>IFERROR(INDEX(tbl_Finance[Ex GST],$A27),"")</f>
        <v/>
      </c>
      <c r="H27" s="60">
        <f>IFERROR(INDEX(tbl_Finance[Defer Start],$A27),"")</f>
        <v/>
      </c>
      <c r="I27" s="60">
        <f>IFERROR(INDEX(tbl_Finance[Defer End],$A27),"")</f>
        <v/>
      </c>
      <c r="J27" s="59">
        <f>IF(OR($H27="",$I27="",$G27=""),"",MAX(1,(YEAR($I27)-YEAR($H27))*12+MONTH($I27)-MONTH($H27)+1))</f>
        <v/>
      </c>
      <c r="K27" s="62">
        <f>IF($J27="","",$G27/$J27)</f>
        <v/>
      </c>
      <c r="L27" s="62">
        <f>IF($J27="",0,$K27*MAX(0,MIN(YEAR($C$3)*12+MONTH($C$3),YEAR($I27)*12+MONTH($I27))-(YEAR($H27)*12+MONTH($H27))+1))</f>
        <v/>
      </c>
      <c r="M27" s="62">
        <f>IF($J27="",0,$K27*MAX(0,MIN(YEAR($C$3)*12+MONTH($C$3)-1,YEAR($I27)*12+MONTH($I27))-(YEAR($H27)*12+MONTH($H27))+1))</f>
        <v/>
      </c>
      <c r="N27" s="62">
        <f>IF(OR($J27="",$B27=""),0,IF(YEAR($B27)*12+MONTH($B27)&lt;=YEAR($C$3)*12+MONTH($C$3),$G27,0))</f>
        <v/>
      </c>
      <c r="O27" s="62">
        <f>IF(OR($J27="",$B27=""),0,IF(YEAR($B27)*12+MONTH($B27)&lt;=YEAR($C$3)*12+MONTH($C$3)-1,$G27,0))</f>
        <v/>
      </c>
      <c r="P27" s="62">
        <f>$M27-$O27</f>
        <v/>
      </c>
      <c r="Q27" s="62">
        <f>($L27-$M27)-($N27-$O27)</f>
        <v/>
      </c>
      <c r="R27" s="62">
        <f>$L27-$N27</f>
        <v/>
      </c>
    </row>
    <row r="28">
      <c r="A28" s="59">
        <f>ROW()-5</f>
        <v/>
      </c>
      <c r="B28" s="60">
        <f>IFERROR(INDEX(tbl_Finance[Date],$A28),"")</f>
        <v/>
      </c>
      <c r="C28" s="61">
        <f>IFERROR(INDEX(tbl_Finance[Xero Invoice No],$A28),"")</f>
        <v/>
      </c>
      <c r="D28" s="61">
        <f>IFERROR(INDEX(tbl_Finance[Client],$A28),"")</f>
        <v/>
      </c>
      <c r="E28" s="61">
        <f>IFERROR(INDEX(tbl_Finance[Job Number],$A28),"")</f>
        <v/>
      </c>
      <c r="F28" s="61">
        <f>IFERROR(INDEX(tbl_Finance[Cost Centre],$A28),"")</f>
        <v/>
      </c>
      <c r="G28" s="62">
        <f>IFERROR(INDEX(tbl_Finance[Ex GST],$A28),"")</f>
        <v/>
      </c>
      <c r="H28" s="60">
        <f>IFERROR(INDEX(tbl_Finance[Defer Start],$A28),"")</f>
        <v/>
      </c>
      <c r="I28" s="60">
        <f>IFERROR(INDEX(tbl_Finance[Defer End],$A28),"")</f>
        <v/>
      </c>
      <c r="J28" s="59">
        <f>IF(OR($H28="",$I28="",$G28=""),"",MAX(1,(YEAR($I28)-YEAR($H28))*12+MONTH($I28)-MONTH($H28)+1))</f>
        <v/>
      </c>
      <c r="K28" s="62">
        <f>IF($J28="","",$G28/$J28)</f>
        <v/>
      </c>
      <c r="L28" s="62">
        <f>IF($J28="",0,$K28*MAX(0,MIN(YEAR($C$3)*12+MONTH($C$3),YEAR($I28)*12+MONTH($I28))-(YEAR($H28)*12+MONTH($H28))+1))</f>
        <v/>
      </c>
      <c r="M28" s="62">
        <f>IF($J28="",0,$K28*MAX(0,MIN(YEAR($C$3)*12+MONTH($C$3)-1,YEAR($I28)*12+MONTH($I28))-(YEAR($H28)*12+MONTH($H28))+1))</f>
        <v/>
      </c>
      <c r="N28" s="62">
        <f>IF(OR($J28="",$B28=""),0,IF(YEAR($B28)*12+MONTH($B28)&lt;=YEAR($C$3)*12+MONTH($C$3),$G28,0))</f>
        <v/>
      </c>
      <c r="O28" s="62">
        <f>IF(OR($J28="",$B28=""),0,IF(YEAR($B28)*12+MONTH($B28)&lt;=YEAR($C$3)*12+MONTH($C$3)-1,$G28,0))</f>
        <v/>
      </c>
      <c r="P28" s="62">
        <f>$M28-$O28</f>
        <v/>
      </c>
      <c r="Q28" s="62">
        <f>($L28-$M28)-($N28-$O28)</f>
        <v/>
      </c>
      <c r="R28" s="62">
        <f>$L28-$N28</f>
        <v/>
      </c>
    </row>
    <row r="29">
      <c r="A29" s="59">
        <f>ROW()-5</f>
        <v/>
      </c>
      <c r="B29" s="60">
        <f>IFERROR(INDEX(tbl_Finance[Date],$A29),"")</f>
        <v/>
      </c>
      <c r="C29" s="61">
        <f>IFERROR(INDEX(tbl_Finance[Xero Invoice No],$A29),"")</f>
        <v/>
      </c>
      <c r="D29" s="61">
        <f>IFERROR(INDEX(tbl_Finance[Client],$A29),"")</f>
        <v/>
      </c>
      <c r="E29" s="61">
        <f>IFERROR(INDEX(tbl_Finance[Job Number],$A29),"")</f>
        <v/>
      </c>
      <c r="F29" s="61">
        <f>IFERROR(INDEX(tbl_Finance[Cost Centre],$A29),"")</f>
        <v/>
      </c>
      <c r="G29" s="62">
        <f>IFERROR(INDEX(tbl_Finance[Ex GST],$A29),"")</f>
        <v/>
      </c>
      <c r="H29" s="60">
        <f>IFERROR(INDEX(tbl_Finance[Defer Start],$A29),"")</f>
        <v/>
      </c>
      <c r="I29" s="60">
        <f>IFERROR(INDEX(tbl_Finance[Defer End],$A29),"")</f>
        <v/>
      </c>
      <c r="J29" s="59">
        <f>IF(OR($H29="",$I29="",$G29=""),"",MAX(1,(YEAR($I29)-YEAR($H29))*12+MONTH($I29)-MONTH($H29)+1))</f>
        <v/>
      </c>
      <c r="K29" s="62">
        <f>IF($J29="","",$G29/$J29)</f>
        <v/>
      </c>
      <c r="L29" s="62">
        <f>IF($J29="",0,$K29*MAX(0,MIN(YEAR($C$3)*12+MONTH($C$3),YEAR($I29)*12+MONTH($I29))-(YEAR($H29)*12+MONTH($H29))+1))</f>
        <v/>
      </c>
      <c r="M29" s="62">
        <f>IF($J29="",0,$K29*MAX(0,MIN(YEAR($C$3)*12+MONTH($C$3)-1,YEAR($I29)*12+MONTH($I29))-(YEAR($H29)*12+MONTH($H29))+1))</f>
        <v/>
      </c>
      <c r="N29" s="62">
        <f>IF(OR($J29="",$B29=""),0,IF(YEAR($B29)*12+MONTH($B29)&lt;=YEAR($C$3)*12+MONTH($C$3),$G29,0))</f>
        <v/>
      </c>
      <c r="O29" s="62">
        <f>IF(OR($J29="",$B29=""),0,IF(YEAR($B29)*12+MONTH($B29)&lt;=YEAR($C$3)*12+MONTH($C$3)-1,$G29,0))</f>
        <v/>
      </c>
      <c r="P29" s="62">
        <f>$M29-$O29</f>
        <v/>
      </c>
      <c r="Q29" s="62">
        <f>($L29-$M29)-($N29-$O29)</f>
        <v/>
      </c>
      <c r="R29" s="62">
        <f>$L29-$N29</f>
        <v/>
      </c>
    </row>
    <row r="30">
      <c r="A30" s="59">
        <f>ROW()-5</f>
        <v/>
      </c>
      <c r="B30" s="60">
        <f>IFERROR(INDEX(tbl_Finance[Date],$A30),"")</f>
        <v/>
      </c>
      <c r="C30" s="61">
        <f>IFERROR(INDEX(tbl_Finance[Xero Invoice No],$A30),"")</f>
        <v/>
      </c>
      <c r="D30" s="61">
        <f>IFERROR(INDEX(tbl_Finance[Client],$A30),"")</f>
        <v/>
      </c>
      <c r="E30" s="61">
        <f>IFERROR(INDEX(tbl_Finance[Job Number],$A30),"")</f>
        <v/>
      </c>
      <c r="F30" s="61">
        <f>IFERROR(INDEX(tbl_Finance[Cost Centre],$A30),"")</f>
        <v/>
      </c>
      <c r="G30" s="62">
        <f>IFERROR(INDEX(tbl_Finance[Ex GST],$A30),"")</f>
        <v/>
      </c>
      <c r="H30" s="60">
        <f>IFERROR(INDEX(tbl_Finance[Defer Start],$A30),"")</f>
        <v/>
      </c>
      <c r="I30" s="60">
        <f>IFERROR(INDEX(tbl_Finance[Defer End],$A30),"")</f>
        <v/>
      </c>
      <c r="J30" s="59">
        <f>IF(OR($H30="",$I30="",$G30=""),"",MAX(1,(YEAR($I30)-YEAR($H30))*12+MONTH($I30)-MONTH($H30)+1))</f>
        <v/>
      </c>
      <c r="K30" s="62">
        <f>IF($J30="","",$G30/$J30)</f>
        <v/>
      </c>
      <c r="L30" s="62">
        <f>IF($J30="",0,$K30*MAX(0,MIN(YEAR($C$3)*12+MONTH($C$3),YEAR($I30)*12+MONTH($I30))-(YEAR($H30)*12+MONTH($H30))+1))</f>
        <v/>
      </c>
      <c r="M30" s="62">
        <f>IF($J30="",0,$K30*MAX(0,MIN(YEAR($C$3)*12+MONTH($C$3)-1,YEAR($I30)*12+MONTH($I30))-(YEAR($H30)*12+MONTH($H30))+1))</f>
        <v/>
      </c>
      <c r="N30" s="62">
        <f>IF(OR($J30="",$B30=""),0,IF(YEAR($B30)*12+MONTH($B30)&lt;=YEAR($C$3)*12+MONTH($C$3),$G30,0))</f>
        <v/>
      </c>
      <c r="O30" s="62">
        <f>IF(OR($J30="",$B30=""),0,IF(YEAR($B30)*12+MONTH($B30)&lt;=YEAR($C$3)*12+MONTH($C$3)-1,$G30,0))</f>
        <v/>
      </c>
      <c r="P30" s="62">
        <f>$M30-$O30</f>
        <v/>
      </c>
      <c r="Q30" s="62">
        <f>($L30-$M30)-($N30-$O30)</f>
        <v/>
      </c>
      <c r="R30" s="62">
        <f>$L30-$N30</f>
        <v/>
      </c>
    </row>
    <row r="31">
      <c r="A31" s="59">
        <f>ROW()-5</f>
        <v/>
      </c>
      <c r="B31" s="60">
        <f>IFERROR(INDEX(tbl_Finance[Date],$A31),"")</f>
        <v/>
      </c>
      <c r="C31" s="61">
        <f>IFERROR(INDEX(tbl_Finance[Xero Invoice No],$A31),"")</f>
        <v/>
      </c>
      <c r="D31" s="61">
        <f>IFERROR(INDEX(tbl_Finance[Client],$A31),"")</f>
        <v/>
      </c>
      <c r="E31" s="61">
        <f>IFERROR(INDEX(tbl_Finance[Job Number],$A31),"")</f>
        <v/>
      </c>
      <c r="F31" s="61">
        <f>IFERROR(INDEX(tbl_Finance[Cost Centre],$A31),"")</f>
        <v/>
      </c>
      <c r="G31" s="62">
        <f>IFERROR(INDEX(tbl_Finance[Ex GST],$A31),"")</f>
        <v/>
      </c>
      <c r="H31" s="60">
        <f>IFERROR(INDEX(tbl_Finance[Defer Start],$A31),"")</f>
        <v/>
      </c>
      <c r="I31" s="60">
        <f>IFERROR(INDEX(tbl_Finance[Defer End],$A31),"")</f>
        <v/>
      </c>
      <c r="J31" s="59">
        <f>IF(OR($H31="",$I31="",$G31=""),"",MAX(1,(YEAR($I31)-YEAR($H31))*12+MONTH($I31)-MONTH($H31)+1))</f>
        <v/>
      </c>
      <c r="K31" s="62">
        <f>IF($J31="","",$G31/$J31)</f>
        <v/>
      </c>
      <c r="L31" s="62">
        <f>IF($J31="",0,$K31*MAX(0,MIN(YEAR($C$3)*12+MONTH($C$3),YEAR($I31)*12+MONTH($I31))-(YEAR($H31)*12+MONTH($H31))+1))</f>
        <v/>
      </c>
      <c r="M31" s="62">
        <f>IF($J31="",0,$K31*MAX(0,MIN(YEAR($C$3)*12+MONTH($C$3)-1,YEAR($I31)*12+MONTH($I31))-(YEAR($H31)*12+MONTH($H31))+1))</f>
        <v/>
      </c>
      <c r="N31" s="62">
        <f>IF(OR($J31="",$B31=""),0,IF(YEAR($B31)*12+MONTH($B31)&lt;=YEAR($C$3)*12+MONTH($C$3),$G31,0))</f>
        <v/>
      </c>
      <c r="O31" s="62">
        <f>IF(OR($J31="",$B31=""),0,IF(YEAR($B31)*12+MONTH($B31)&lt;=YEAR($C$3)*12+MONTH($C$3)-1,$G31,0))</f>
        <v/>
      </c>
      <c r="P31" s="62">
        <f>$M31-$O31</f>
        <v/>
      </c>
      <c r="Q31" s="62">
        <f>($L31-$M31)-($N31-$O31)</f>
        <v/>
      </c>
      <c r="R31" s="62">
        <f>$L31-$N31</f>
        <v/>
      </c>
    </row>
    <row r="32">
      <c r="A32" s="59">
        <f>ROW()-5</f>
        <v/>
      </c>
      <c r="B32" s="60">
        <f>IFERROR(INDEX(tbl_Finance[Date],$A32),"")</f>
        <v/>
      </c>
      <c r="C32" s="61">
        <f>IFERROR(INDEX(tbl_Finance[Xero Invoice No],$A32),"")</f>
        <v/>
      </c>
      <c r="D32" s="61">
        <f>IFERROR(INDEX(tbl_Finance[Client],$A32),"")</f>
        <v/>
      </c>
      <c r="E32" s="61">
        <f>IFERROR(INDEX(tbl_Finance[Job Number],$A32),"")</f>
        <v/>
      </c>
      <c r="F32" s="61">
        <f>IFERROR(INDEX(tbl_Finance[Cost Centre],$A32),"")</f>
        <v/>
      </c>
      <c r="G32" s="62">
        <f>IFERROR(INDEX(tbl_Finance[Ex GST],$A32),"")</f>
        <v/>
      </c>
      <c r="H32" s="60">
        <f>IFERROR(INDEX(tbl_Finance[Defer Start],$A32),"")</f>
        <v/>
      </c>
      <c r="I32" s="60">
        <f>IFERROR(INDEX(tbl_Finance[Defer End],$A32),"")</f>
        <v/>
      </c>
      <c r="J32" s="59">
        <f>IF(OR($H32="",$I32="",$G32=""),"",MAX(1,(YEAR($I32)-YEAR($H32))*12+MONTH($I32)-MONTH($H32)+1))</f>
        <v/>
      </c>
      <c r="K32" s="62">
        <f>IF($J32="","",$G32/$J32)</f>
        <v/>
      </c>
      <c r="L32" s="62">
        <f>IF($J32="",0,$K32*MAX(0,MIN(YEAR($C$3)*12+MONTH($C$3),YEAR($I32)*12+MONTH($I32))-(YEAR($H32)*12+MONTH($H32))+1))</f>
        <v/>
      </c>
      <c r="M32" s="62">
        <f>IF($J32="",0,$K32*MAX(0,MIN(YEAR($C$3)*12+MONTH($C$3)-1,YEAR($I32)*12+MONTH($I32))-(YEAR($H32)*12+MONTH($H32))+1))</f>
        <v/>
      </c>
      <c r="N32" s="62">
        <f>IF(OR($J32="",$B32=""),0,IF(YEAR($B32)*12+MONTH($B32)&lt;=YEAR($C$3)*12+MONTH($C$3),$G32,0))</f>
        <v/>
      </c>
      <c r="O32" s="62">
        <f>IF(OR($J32="",$B32=""),0,IF(YEAR($B32)*12+MONTH($B32)&lt;=YEAR($C$3)*12+MONTH($C$3)-1,$G32,0))</f>
        <v/>
      </c>
      <c r="P32" s="62">
        <f>$M32-$O32</f>
        <v/>
      </c>
      <c r="Q32" s="62">
        <f>($L32-$M32)-($N32-$O32)</f>
        <v/>
      </c>
      <c r="R32" s="62">
        <f>$L32-$N32</f>
        <v/>
      </c>
    </row>
    <row r="33">
      <c r="A33" s="59">
        <f>ROW()-5</f>
        <v/>
      </c>
      <c r="B33" s="60">
        <f>IFERROR(INDEX(tbl_Finance[Date],$A33),"")</f>
        <v/>
      </c>
      <c r="C33" s="61">
        <f>IFERROR(INDEX(tbl_Finance[Xero Invoice No],$A33),"")</f>
        <v/>
      </c>
      <c r="D33" s="61">
        <f>IFERROR(INDEX(tbl_Finance[Client],$A33),"")</f>
        <v/>
      </c>
      <c r="E33" s="61">
        <f>IFERROR(INDEX(tbl_Finance[Job Number],$A33),"")</f>
        <v/>
      </c>
      <c r="F33" s="61">
        <f>IFERROR(INDEX(tbl_Finance[Cost Centre],$A33),"")</f>
        <v/>
      </c>
      <c r="G33" s="62">
        <f>IFERROR(INDEX(tbl_Finance[Ex GST],$A33),"")</f>
        <v/>
      </c>
      <c r="H33" s="60">
        <f>IFERROR(INDEX(tbl_Finance[Defer Start],$A33),"")</f>
        <v/>
      </c>
      <c r="I33" s="60">
        <f>IFERROR(INDEX(tbl_Finance[Defer End],$A33),"")</f>
        <v/>
      </c>
      <c r="J33" s="59">
        <f>IF(OR($H33="",$I33="",$G33=""),"",MAX(1,(YEAR($I33)-YEAR($H33))*12+MONTH($I33)-MONTH($H33)+1))</f>
        <v/>
      </c>
      <c r="K33" s="62">
        <f>IF($J33="","",$G33/$J33)</f>
        <v/>
      </c>
      <c r="L33" s="62">
        <f>IF($J33="",0,$K33*MAX(0,MIN(YEAR($C$3)*12+MONTH($C$3),YEAR($I33)*12+MONTH($I33))-(YEAR($H33)*12+MONTH($H33))+1))</f>
        <v/>
      </c>
      <c r="M33" s="62">
        <f>IF($J33="",0,$K33*MAX(0,MIN(YEAR($C$3)*12+MONTH($C$3)-1,YEAR($I33)*12+MONTH($I33))-(YEAR($H33)*12+MONTH($H33))+1))</f>
        <v/>
      </c>
      <c r="N33" s="62">
        <f>IF(OR($J33="",$B33=""),0,IF(YEAR($B33)*12+MONTH($B33)&lt;=YEAR($C$3)*12+MONTH($C$3),$G33,0))</f>
        <v/>
      </c>
      <c r="O33" s="62">
        <f>IF(OR($J33="",$B33=""),0,IF(YEAR($B33)*12+MONTH($B33)&lt;=YEAR($C$3)*12+MONTH($C$3)-1,$G33,0))</f>
        <v/>
      </c>
      <c r="P33" s="62">
        <f>$M33-$O33</f>
        <v/>
      </c>
      <c r="Q33" s="62">
        <f>($L33-$M33)-($N33-$O33)</f>
        <v/>
      </c>
      <c r="R33" s="62">
        <f>$L33-$N33</f>
        <v/>
      </c>
    </row>
    <row r="34">
      <c r="A34" s="59">
        <f>ROW()-5</f>
        <v/>
      </c>
      <c r="B34" s="60">
        <f>IFERROR(INDEX(tbl_Finance[Date],$A34),"")</f>
        <v/>
      </c>
      <c r="C34" s="61">
        <f>IFERROR(INDEX(tbl_Finance[Xero Invoice No],$A34),"")</f>
        <v/>
      </c>
      <c r="D34" s="61">
        <f>IFERROR(INDEX(tbl_Finance[Client],$A34),"")</f>
        <v/>
      </c>
      <c r="E34" s="61">
        <f>IFERROR(INDEX(tbl_Finance[Job Number],$A34),"")</f>
        <v/>
      </c>
      <c r="F34" s="61">
        <f>IFERROR(INDEX(tbl_Finance[Cost Centre],$A34),"")</f>
        <v/>
      </c>
      <c r="G34" s="62">
        <f>IFERROR(INDEX(tbl_Finance[Ex GST],$A34),"")</f>
        <v/>
      </c>
      <c r="H34" s="60">
        <f>IFERROR(INDEX(tbl_Finance[Defer Start],$A34),"")</f>
        <v/>
      </c>
      <c r="I34" s="60">
        <f>IFERROR(INDEX(tbl_Finance[Defer End],$A34),"")</f>
        <v/>
      </c>
      <c r="J34" s="59">
        <f>IF(OR($H34="",$I34="",$G34=""),"",MAX(1,(YEAR($I34)-YEAR($H34))*12+MONTH($I34)-MONTH($H34)+1))</f>
        <v/>
      </c>
      <c r="K34" s="62">
        <f>IF($J34="","",$G34/$J34)</f>
        <v/>
      </c>
      <c r="L34" s="62">
        <f>IF($J34="",0,$K34*MAX(0,MIN(YEAR($C$3)*12+MONTH($C$3),YEAR($I34)*12+MONTH($I34))-(YEAR($H34)*12+MONTH($H34))+1))</f>
        <v/>
      </c>
      <c r="M34" s="62">
        <f>IF($J34="",0,$K34*MAX(0,MIN(YEAR($C$3)*12+MONTH($C$3)-1,YEAR($I34)*12+MONTH($I34))-(YEAR($H34)*12+MONTH($H34))+1))</f>
        <v/>
      </c>
      <c r="N34" s="62">
        <f>IF(OR($J34="",$B34=""),0,IF(YEAR($B34)*12+MONTH($B34)&lt;=YEAR($C$3)*12+MONTH($C$3),$G34,0))</f>
        <v/>
      </c>
      <c r="O34" s="62">
        <f>IF(OR($J34="",$B34=""),0,IF(YEAR($B34)*12+MONTH($B34)&lt;=YEAR($C$3)*12+MONTH($C$3)-1,$G34,0))</f>
        <v/>
      </c>
      <c r="P34" s="62">
        <f>$M34-$O34</f>
        <v/>
      </c>
      <c r="Q34" s="62">
        <f>($L34-$M34)-($N34-$O34)</f>
        <v/>
      </c>
      <c r="R34" s="62">
        <f>$L34-$N34</f>
        <v/>
      </c>
    </row>
    <row r="35">
      <c r="A35" s="59">
        <f>ROW()-5</f>
        <v/>
      </c>
      <c r="B35" s="60">
        <f>IFERROR(INDEX(tbl_Finance[Date],$A35),"")</f>
        <v/>
      </c>
      <c r="C35" s="61">
        <f>IFERROR(INDEX(tbl_Finance[Xero Invoice No],$A35),"")</f>
        <v/>
      </c>
      <c r="D35" s="61">
        <f>IFERROR(INDEX(tbl_Finance[Client],$A35),"")</f>
        <v/>
      </c>
      <c r="E35" s="61">
        <f>IFERROR(INDEX(tbl_Finance[Job Number],$A35),"")</f>
        <v/>
      </c>
      <c r="F35" s="61">
        <f>IFERROR(INDEX(tbl_Finance[Cost Centre],$A35),"")</f>
        <v/>
      </c>
      <c r="G35" s="62">
        <f>IFERROR(INDEX(tbl_Finance[Ex GST],$A35),"")</f>
        <v/>
      </c>
      <c r="H35" s="60">
        <f>IFERROR(INDEX(tbl_Finance[Defer Start],$A35),"")</f>
        <v/>
      </c>
      <c r="I35" s="60">
        <f>IFERROR(INDEX(tbl_Finance[Defer End],$A35),"")</f>
        <v/>
      </c>
      <c r="J35" s="59">
        <f>IF(OR($H35="",$I35="",$G35=""),"",MAX(1,(YEAR($I35)-YEAR($H35))*12+MONTH($I35)-MONTH($H35)+1))</f>
        <v/>
      </c>
      <c r="K35" s="62">
        <f>IF($J35="","",$G35/$J35)</f>
        <v/>
      </c>
      <c r="L35" s="62">
        <f>IF($J35="",0,$K35*MAX(0,MIN(YEAR($C$3)*12+MONTH($C$3),YEAR($I35)*12+MONTH($I35))-(YEAR($H35)*12+MONTH($H35))+1))</f>
        <v/>
      </c>
      <c r="M35" s="62">
        <f>IF($J35="",0,$K35*MAX(0,MIN(YEAR($C$3)*12+MONTH($C$3)-1,YEAR($I35)*12+MONTH($I35))-(YEAR($H35)*12+MONTH($H35))+1))</f>
        <v/>
      </c>
      <c r="N35" s="62">
        <f>IF(OR($J35="",$B35=""),0,IF(YEAR($B35)*12+MONTH($B35)&lt;=YEAR($C$3)*12+MONTH($C$3),$G35,0))</f>
        <v/>
      </c>
      <c r="O35" s="62">
        <f>IF(OR($J35="",$B35=""),0,IF(YEAR($B35)*12+MONTH($B35)&lt;=YEAR($C$3)*12+MONTH($C$3)-1,$G35,0))</f>
        <v/>
      </c>
      <c r="P35" s="62">
        <f>$M35-$O35</f>
        <v/>
      </c>
      <c r="Q35" s="62">
        <f>($L35-$M35)-($N35-$O35)</f>
        <v/>
      </c>
      <c r="R35" s="62">
        <f>$L35-$N35</f>
        <v/>
      </c>
    </row>
    <row r="36">
      <c r="A36" s="59">
        <f>ROW()-5</f>
        <v/>
      </c>
      <c r="B36" s="60">
        <f>IFERROR(INDEX(tbl_Finance[Date],$A36),"")</f>
        <v/>
      </c>
      <c r="C36" s="61">
        <f>IFERROR(INDEX(tbl_Finance[Xero Invoice No],$A36),"")</f>
        <v/>
      </c>
      <c r="D36" s="61">
        <f>IFERROR(INDEX(tbl_Finance[Client],$A36),"")</f>
        <v/>
      </c>
      <c r="E36" s="61">
        <f>IFERROR(INDEX(tbl_Finance[Job Number],$A36),"")</f>
        <v/>
      </c>
      <c r="F36" s="61">
        <f>IFERROR(INDEX(tbl_Finance[Cost Centre],$A36),"")</f>
        <v/>
      </c>
      <c r="G36" s="62">
        <f>IFERROR(INDEX(tbl_Finance[Ex GST],$A36),"")</f>
        <v/>
      </c>
      <c r="H36" s="60">
        <f>IFERROR(INDEX(tbl_Finance[Defer Start],$A36),"")</f>
        <v/>
      </c>
      <c r="I36" s="60">
        <f>IFERROR(INDEX(tbl_Finance[Defer End],$A36),"")</f>
        <v/>
      </c>
      <c r="J36" s="59">
        <f>IF(OR($H36="",$I36="",$G36=""),"",MAX(1,(YEAR($I36)-YEAR($H36))*12+MONTH($I36)-MONTH($H36)+1))</f>
        <v/>
      </c>
      <c r="K36" s="62">
        <f>IF($J36="","",$G36/$J36)</f>
        <v/>
      </c>
      <c r="L36" s="62">
        <f>IF($J36="",0,$K36*MAX(0,MIN(YEAR($C$3)*12+MONTH($C$3),YEAR($I36)*12+MONTH($I36))-(YEAR($H36)*12+MONTH($H36))+1))</f>
        <v/>
      </c>
      <c r="M36" s="62">
        <f>IF($J36="",0,$K36*MAX(0,MIN(YEAR($C$3)*12+MONTH($C$3)-1,YEAR($I36)*12+MONTH($I36))-(YEAR($H36)*12+MONTH($H36))+1))</f>
        <v/>
      </c>
      <c r="N36" s="62">
        <f>IF(OR($J36="",$B36=""),0,IF(YEAR($B36)*12+MONTH($B36)&lt;=YEAR($C$3)*12+MONTH($C$3),$G36,0))</f>
        <v/>
      </c>
      <c r="O36" s="62">
        <f>IF(OR($J36="",$B36=""),0,IF(YEAR($B36)*12+MONTH($B36)&lt;=YEAR($C$3)*12+MONTH($C$3)-1,$G36,0))</f>
        <v/>
      </c>
      <c r="P36" s="62">
        <f>$M36-$O36</f>
        <v/>
      </c>
      <c r="Q36" s="62">
        <f>($L36-$M36)-($N36-$O36)</f>
        <v/>
      </c>
      <c r="R36" s="62">
        <f>$L36-$N36</f>
        <v/>
      </c>
    </row>
    <row r="37">
      <c r="A37" s="59">
        <f>ROW()-5</f>
        <v/>
      </c>
      <c r="B37" s="60">
        <f>IFERROR(INDEX(tbl_Finance[Date],$A37),"")</f>
        <v/>
      </c>
      <c r="C37" s="61">
        <f>IFERROR(INDEX(tbl_Finance[Xero Invoice No],$A37),"")</f>
        <v/>
      </c>
      <c r="D37" s="61">
        <f>IFERROR(INDEX(tbl_Finance[Client],$A37),"")</f>
        <v/>
      </c>
      <c r="E37" s="61">
        <f>IFERROR(INDEX(tbl_Finance[Job Number],$A37),"")</f>
        <v/>
      </c>
      <c r="F37" s="61">
        <f>IFERROR(INDEX(tbl_Finance[Cost Centre],$A37),"")</f>
        <v/>
      </c>
      <c r="G37" s="62">
        <f>IFERROR(INDEX(tbl_Finance[Ex GST],$A37),"")</f>
        <v/>
      </c>
      <c r="H37" s="60">
        <f>IFERROR(INDEX(tbl_Finance[Defer Start],$A37),"")</f>
        <v/>
      </c>
      <c r="I37" s="60">
        <f>IFERROR(INDEX(tbl_Finance[Defer End],$A37),"")</f>
        <v/>
      </c>
      <c r="J37" s="59">
        <f>IF(OR($H37="",$I37="",$G37=""),"",MAX(1,(YEAR($I37)-YEAR($H37))*12+MONTH($I37)-MONTH($H37)+1))</f>
        <v/>
      </c>
      <c r="K37" s="62">
        <f>IF($J37="","",$G37/$J37)</f>
        <v/>
      </c>
      <c r="L37" s="62">
        <f>IF($J37="",0,$K37*MAX(0,MIN(YEAR($C$3)*12+MONTH($C$3),YEAR($I37)*12+MONTH($I37))-(YEAR($H37)*12+MONTH($H37))+1))</f>
        <v/>
      </c>
      <c r="M37" s="62">
        <f>IF($J37="",0,$K37*MAX(0,MIN(YEAR($C$3)*12+MONTH($C$3)-1,YEAR($I37)*12+MONTH($I37))-(YEAR($H37)*12+MONTH($H37))+1))</f>
        <v/>
      </c>
      <c r="N37" s="62">
        <f>IF(OR($J37="",$B37=""),0,IF(YEAR($B37)*12+MONTH($B37)&lt;=YEAR($C$3)*12+MONTH($C$3),$G37,0))</f>
        <v/>
      </c>
      <c r="O37" s="62">
        <f>IF(OR($J37="",$B37=""),0,IF(YEAR($B37)*12+MONTH($B37)&lt;=YEAR($C$3)*12+MONTH($C$3)-1,$G37,0))</f>
        <v/>
      </c>
      <c r="P37" s="62">
        <f>$M37-$O37</f>
        <v/>
      </c>
      <c r="Q37" s="62">
        <f>($L37-$M37)-($N37-$O37)</f>
        <v/>
      </c>
      <c r="R37" s="62">
        <f>$L37-$N37</f>
        <v/>
      </c>
    </row>
    <row r="38">
      <c r="A38" s="59">
        <f>ROW()-5</f>
        <v/>
      </c>
      <c r="B38" s="60">
        <f>IFERROR(INDEX(tbl_Finance[Date],$A38),"")</f>
        <v/>
      </c>
      <c r="C38" s="61">
        <f>IFERROR(INDEX(tbl_Finance[Xero Invoice No],$A38),"")</f>
        <v/>
      </c>
      <c r="D38" s="61">
        <f>IFERROR(INDEX(tbl_Finance[Client],$A38),"")</f>
        <v/>
      </c>
      <c r="E38" s="61">
        <f>IFERROR(INDEX(tbl_Finance[Job Number],$A38),"")</f>
        <v/>
      </c>
      <c r="F38" s="61">
        <f>IFERROR(INDEX(tbl_Finance[Cost Centre],$A38),"")</f>
        <v/>
      </c>
      <c r="G38" s="62">
        <f>IFERROR(INDEX(tbl_Finance[Ex GST],$A38),"")</f>
        <v/>
      </c>
      <c r="H38" s="60">
        <f>IFERROR(INDEX(tbl_Finance[Defer Start],$A38),"")</f>
        <v/>
      </c>
      <c r="I38" s="60">
        <f>IFERROR(INDEX(tbl_Finance[Defer End],$A38),"")</f>
        <v/>
      </c>
      <c r="J38" s="59">
        <f>IF(OR($H38="",$I38="",$G38=""),"",MAX(1,(YEAR($I38)-YEAR($H38))*12+MONTH($I38)-MONTH($H38)+1))</f>
        <v/>
      </c>
      <c r="K38" s="62">
        <f>IF($J38="","",$G38/$J38)</f>
        <v/>
      </c>
      <c r="L38" s="62">
        <f>IF($J38="",0,$K38*MAX(0,MIN(YEAR($C$3)*12+MONTH($C$3),YEAR($I38)*12+MONTH($I38))-(YEAR($H38)*12+MONTH($H38))+1))</f>
        <v/>
      </c>
      <c r="M38" s="62">
        <f>IF($J38="",0,$K38*MAX(0,MIN(YEAR($C$3)*12+MONTH($C$3)-1,YEAR($I38)*12+MONTH($I38))-(YEAR($H38)*12+MONTH($H38))+1))</f>
        <v/>
      </c>
      <c r="N38" s="62">
        <f>IF(OR($J38="",$B38=""),0,IF(YEAR($B38)*12+MONTH($B38)&lt;=YEAR($C$3)*12+MONTH($C$3),$G38,0))</f>
        <v/>
      </c>
      <c r="O38" s="62">
        <f>IF(OR($J38="",$B38=""),0,IF(YEAR($B38)*12+MONTH($B38)&lt;=YEAR($C$3)*12+MONTH($C$3)-1,$G38,0))</f>
        <v/>
      </c>
      <c r="P38" s="62">
        <f>$M38-$O38</f>
        <v/>
      </c>
      <c r="Q38" s="62">
        <f>($L38-$M38)-($N38-$O38)</f>
        <v/>
      </c>
      <c r="R38" s="62">
        <f>$L38-$N38</f>
        <v/>
      </c>
    </row>
    <row r="39">
      <c r="A39" s="59">
        <f>ROW()-5</f>
        <v/>
      </c>
      <c r="B39" s="60">
        <f>IFERROR(INDEX(tbl_Finance[Date],$A39),"")</f>
        <v/>
      </c>
      <c r="C39" s="61">
        <f>IFERROR(INDEX(tbl_Finance[Xero Invoice No],$A39),"")</f>
        <v/>
      </c>
      <c r="D39" s="61">
        <f>IFERROR(INDEX(tbl_Finance[Client],$A39),"")</f>
        <v/>
      </c>
      <c r="E39" s="61">
        <f>IFERROR(INDEX(tbl_Finance[Job Number],$A39),"")</f>
        <v/>
      </c>
      <c r="F39" s="61">
        <f>IFERROR(INDEX(tbl_Finance[Cost Centre],$A39),"")</f>
        <v/>
      </c>
      <c r="G39" s="62">
        <f>IFERROR(INDEX(tbl_Finance[Ex GST],$A39),"")</f>
        <v/>
      </c>
      <c r="H39" s="60">
        <f>IFERROR(INDEX(tbl_Finance[Defer Start],$A39),"")</f>
        <v/>
      </c>
      <c r="I39" s="60">
        <f>IFERROR(INDEX(tbl_Finance[Defer End],$A39),"")</f>
        <v/>
      </c>
      <c r="J39" s="59">
        <f>IF(OR($H39="",$I39="",$G39=""),"",MAX(1,(YEAR($I39)-YEAR($H39))*12+MONTH($I39)-MONTH($H39)+1))</f>
        <v/>
      </c>
      <c r="K39" s="62">
        <f>IF($J39="","",$G39/$J39)</f>
        <v/>
      </c>
      <c r="L39" s="62">
        <f>IF($J39="",0,$K39*MAX(0,MIN(YEAR($C$3)*12+MONTH($C$3),YEAR($I39)*12+MONTH($I39))-(YEAR($H39)*12+MONTH($H39))+1))</f>
        <v/>
      </c>
      <c r="M39" s="62">
        <f>IF($J39="",0,$K39*MAX(0,MIN(YEAR($C$3)*12+MONTH($C$3)-1,YEAR($I39)*12+MONTH($I39))-(YEAR($H39)*12+MONTH($H39))+1))</f>
        <v/>
      </c>
      <c r="N39" s="62">
        <f>IF(OR($J39="",$B39=""),0,IF(YEAR($B39)*12+MONTH($B39)&lt;=YEAR($C$3)*12+MONTH($C$3),$G39,0))</f>
        <v/>
      </c>
      <c r="O39" s="62">
        <f>IF(OR($J39="",$B39=""),0,IF(YEAR($B39)*12+MONTH($B39)&lt;=YEAR($C$3)*12+MONTH($C$3)-1,$G39,0))</f>
        <v/>
      </c>
      <c r="P39" s="62">
        <f>$M39-$O39</f>
        <v/>
      </c>
      <c r="Q39" s="62">
        <f>($L39-$M39)-($N39-$O39)</f>
        <v/>
      </c>
      <c r="R39" s="62">
        <f>$L39-$N39</f>
        <v/>
      </c>
    </row>
    <row r="40">
      <c r="A40" s="59">
        <f>ROW()-5</f>
        <v/>
      </c>
      <c r="B40" s="60">
        <f>IFERROR(INDEX(tbl_Finance[Date],$A40),"")</f>
        <v/>
      </c>
      <c r="C40" s="61">
        <f>IFERROR(INDEX(tbl_Finance[Xero Invoice No],$A40),"")</f>
        <v/>
      </c>
      <c r="D40" s="61">
        <f>IFERROR(INDEX(tbl_Finance[Client],$A40),"")</f>
        <v/>
      </c>
      <c r="E40" s="61">
        <f>IFERROR(INDEX(tbl_Finance[Job Number],$A40),"")</f>
        <v/>
      </c>
      <c r="F40" s="61">
        <f>IFERROR(INDEX(tbl_Finance[Cost Centre],$A40),"")</f>
        <v/>
      </c>
      <c r="G40" s="62">
        <f>IFERROR(INDEX(tbl_Finance[Ex GST],$A40),"")</f>
        <v/>
      </c>
      <c r="H40" s="60">
        <f>IFERROR(INDEX(tbl_Finance[Defer Start],$A40),"")</f>
        <v/>
      </c>
      <c r="I40" s="60">
        <f>IFERROR(INDEX(tbl_Finance[Defer End],$A40),"")</f>
        <v/>
      </c>
      <c r="J40" s="59">
        <f>IF(OR($H40="",$I40="",$G40=""),"",MAX(1,(YEAR($I40)-YEAR($H40))*12+MONTH($I40)-MONTH($H40)+1))</f>
        <v/>
      </c>
      <c r="K40" s="62">
        <f>IF($J40="","",$G40/$J40)</f>
        <v/>
      </c>
      <c r="L40" s="62">
        <f>IF($J40="",0,$K40*MAX(0,MIN(YEAR($C$3)*12+MONTH($C$3),YEAR($I40)*12+MONTH($I40))-(YEAR($H40)*12+MONTH($H40))+1))</f>
        <v/>
      </c>
      <c r="M40" s="62">
        <f>IF($J40="",0,$K40*MAX(0,MIN(YEAR($C$3)*12+MONTH($C$3)-1,YEAR($I40)*12+MONTH($I40))-(YEAR($H40)*12+MONTH($H40))+1))</f>
        <v/>
      </c>
      <c r="N40" s="62">
        <f>IF(OR($J40="",$B40=""),0,IF(YEAR($B40)*12+MONTH($B40)&lt;=YEAR($C$3)*12+MONTH($C$3),$G40,0))</f>
        <v/>
      </c>
      <c r="O40" s="62">
        <f>IF(OR($J40="",$B40=""),0,IF(YEAR($B40)*12+MONTH($B40)&lt;=YEAR($C$3)*12+MONTH($C$3)-1,$G40,0))</f>
        <v/>
      </c>
      <c r="P40" s="62">
        <f>$M40-$O40</f>
        <v/>
      </c>
      <c r="Q40" s="62">
        <f>($L40-$M40)-($N40-$O40)</f>
        <v/>
      </c>
      <c r="R40" s="62">
        <f>$L40-$N40</f>
        <v/>
      </c>
    </row>
    <row r="41">
      <c r="A41" s="59">
        <f>ROW()-5</f>
        <v/>
      </c>
      <c r="B41" s="60">
        <f>IFERROR(INDEX(tbl_Finance[Date],$A41),"")</f>
        <v/>
      </c>
      <c r="C41" s="61">
        <f>IFERROR(INDEX(tbl_Finance[Xero Invoice No],$A41),"")</f>
        <v/>
      </c>
      <c r="D41" s="61">
        <f>IFERROR(INDEX(tbl_Finance[Client],$A41),"")</f>
        <v/>
      </c>
      <c r="E41" s="61">
        <f>IFERROR(INDEX(tbl_Finance[Job Number],$A41),"")</f>
        <v/>
      </c>
      <c r="F41" s="61">
        <f>IFERROR(INDEX(tbl_Finance[Cost Centre],$A41),"")</f>
        <v/>
      </c>
      <c r="G41" s="62">
        <f>IFERROR(INDEX(tbl_Finance[Ex GST],$A41),"")</f>
        <v/>
      </c>
      <c r="H41" s="60">
        <f>IFERROR(INDEX(tbl_Finance[Defer Start],$A41),"")</f>
        <v/>
      </c>
      <c r="I41" s="60">
        <f>IFERROR(INDEX(tbl_Finance[Defer End],$A41),"")</f>
        <v/>
      </c>
      <c r="J41" s="59">
        <f>IF(OR($H41="",$I41="",$G41=""),"",MAX(1,(YEAR($I41)-YEAR($H41))*12+MONTH($I41)-MONTH($H41)+1))</f>
        <v/>
      </c>
      <c r="K41" s="62">
        <f>IF($J41="","",$G41/$J41)</f>
        <v/>
      </c>
      <c r="L41" s="62">
        <f>IF($J41="",0,$K41*MAX(0,MIN(YEAR($C$3)*12+MONTH($C$3),YEAR($I41)*12+MONTH($I41))-(YEAR($H41)*12+MONTH($H41))+1))</f>
        <v/>
      </c>
      <c r="M41" s="62">
        <f>IF($J41="",0,$K41*MAX(0,MIN(YEAR($C$3)*12+MONTH($C$3)-1,YEAR($I41)*12+MONTH($I41))-(YEAR($H41)*12+MONTH($H41))+1))</f>
        <v/>
      </c>
      <c r="N41" s="62">
        <f>IF(OR($J41="",$B41=""),0,IF(YEAR($B41)*12+MONTH($B41)&lt;=YEAR($C$3)*12+MONTH($C$3),$G41,0))</f>
        <v/>
      </c>
      <c r="O41" s="62">
        <f>IF(OR($J41="",$B41=""),0,IF(YEAR($B41)*12+MONTH($B41)&lt;=YEAR($C$3)*12+MONTH($C$3)-1,$G41,0))</f>
        <v/>
      </c>
      <c r="P41" s="62">
        <f>$M41-$O41</f>
        <v/>
      </c>
      <c r="Q41" s="62">
        <f>($L41-$M41)-($N41-$O41)</f>
        <v/>
      </c>
      <c r="R41" s="62">
        <f>$L41-$N41</f>
        <v/>
      </c>
    </row>
    <row r="42">
      <c r="A42" s="59">
        <f>ROW()-5</f>
        <v/>
      </c>
      <c r="B42" s="60">
        <f>IFERROR(INDEX(tbl_Finance[Date],$A42),"")</f>
        <v/>
      </c>
      <c r="C42" s="61">
        <f>IFERROR(INDEX(tbl_Finance[Xero Invoice No],$A42),"")</f>
        <v/>
      </c>
      <c r="D42" s="61">
        <f>IFERROR(INDEX(tbl_Finance[Client],$A42),"")</f>
        <v/>
      </c>
      <c r="E42" s="61">
        <f>IFERROR(INDEX(tbl_Finance[Job Number],$A42),"")</f>
        <v/>
      </c>
      <c r="F42" s="61">
        <f>IFERROR(INDEX(tbl_Finance[Cost Centre],$A42),"")</f>
        <v/>
      </c>
      <c r="G42" s="62">
        <f>IFERROR(INDEX(tbl_Finance[Ex GST],$A42),"")</f>
        <v/>
      </c>
      <c r="H42" s="60">
        <f>IFERROR(INDEX(tbl_Finance[Defer Start],$A42),"")</f>
        <v/>
      </c>
      <c r="I42" s="60">
        <f>IFERROR(INDEX(tbl_Finance[Defer End],$A42),"")</f>
        <v/>
      </c>
      <c r="J42" s="59">
        <f>IF(OR($H42="",$I42="",$G42=""),"",MAX(1,(YEAR($I42)-YEAR($H42))*12+MONTH($I42)-MONTH($H42)+1))</f>
        <v/>
      </c>
      <c r="K42" s="62">
        <f>IF($J42="","",$G42/$J42)</f>
        <v/>
      </c>
      <c r="L42" s="62">
        <f>IF($J42="",0,$K42*MAX(0,MIN(YEAR($C$3)*12+MONTH($C$3),YEAR($I42)*12+MONTH($I42))-(YEAR($H42)*12+MONTH($H42))+1))</f>
        <v/>
      </c>
      <c r="M42" s="62">
        <f>IF($J42="",0,$K42*MAX(0,MIN(YEAR($C$3)*12+MONTH($C$3)-1,YEAR($I42)*12+MONTH($I42))-(YEAR($H42)*12+MONTH($H42))+1))</f>
        <v/>
      </c>
      <c r="N42" s="62">
        <f>IF(OR($J42="",$B42=""),0,IF(YEAR($B42)*12+MONTH($B42)&lt;=YEAR($C$3)*12+MONTH($C$3),$G42,0))</f>
        <v/>
      </c>
      <c r="O42" s="62">
        <f>IF(OR($J42="",$B42=""),0,IF(YEAR($B42)*12+MONTH($B42)&lt;=YEAR($C$3)*12+MONTH($C$3)-1,$G42,0))</f>
        <v/>
      </c>
      <c r="P42" s="62">
        <f>$M42-$O42</f>
        <v/>
      </c>
      <c r="Q42" s="62">
        <f>($L42-$M42)-($N42-$O42)</f>
        <v/>
      </c>
      <c r="R42" s="62">
        <f>$L42-$N42</f>
        <v/>
      </c>
    </row>
    <row r="43">
      <c r="A43" s="59">
        <f>ROW()-5</f>
        <v/>
      </c>
      <c r="B43" s="60">
        <f>IFERROR(INDEX(tbl_Finance[Date],$A43),"")</f>
        <v/>
      </c>
      <c r="C43" s="61">
        <f>IFERROR(INDEX(tbl_Finance[Xero Invoice No],$A43),"")</f>
        <v/>
      </c>
      <c r="D43" s="61">
        <f>IFERROR(INDEX(tbl_Finance[Client],$A43),"")</f>
        <v/>
      </c>
      <c r="E43" s="61">
        <f>IFERROR(INDEX(tbl_Finance[Job Number],$A43),"")</f>
        <v/>
      </c>
      <c r="F43" s="61">
        <f>IFERROR(INDEX(tbl_Finance[Cost Centre],$A43),"")</f>
        <v/>
      </c>
      <c r="G43" s="62">
        <f>IFERROR(INDEX(tbl_Finance[Ex GST],$A43),"")</f>
        <v/>
      </c>
      <c r="H43" s="60">
        <f>IFERROR(INDEX(tbl_Finance[Defer Start],$A43),"")</f>
        <v/>
      </c>
      <c r="I43" s="60">
        <f>IFERROR(INDEX(tbl_Finance[Defer End],$A43),"")</f>
        <v/>
      </c>
      <c r="J43" s="59">
        <f>IF(OR($H43="",$I43="",$G43=""),"",MAX(1,(YEAR($I43)-YEAR($H43))*12+MONTH($I43)-MONTH($H43)+1))</f>
        <v/>
      </c>
      <c r="K43" s="62">
        <f>IF($J43="","",$G43/$J43)</f>
        <v/>
      </c>
      <c r="L43" s="62">
        <f>IF($J43="",0,$K43*MAX(0,MIN(YEAR($C$3)*12+MONTH($C$3),YEAR($I43)*12+MONTH($I43))-(YEAR($H43)*12+MONTH($H43))+1))</f>
        <v/>
      </c>
      <c r="M43" s="62">
        <f>IF($J43="",0,$K43*MAX(0,MIN(YEAR($C$3)*12+MONTH($C$3)-1,YEAR($I43)*12+MONTH($I43))-(YEAR($H43)*12+MONTH($H43))+1))</f>
        <v/>
      </c>
      <c r="N43" s="62">
        <f>IF(OR($J43="",$B43=""),0,IF(YEAR($B43)*12+MONTH($B43)&lt;=YEAR($C$3)*12+MONTH($C$3),$G43,0))</f>
        <v/>
      </c>
      <c r="O43" s="62">
        <f>IF(OR($J43="",$B43=""),0,IF(YEAR($B43)*12+MONTH($B43)&lt;=YEAR($C$3)*12+MONTH($C$3)-1,$G43,0))</f>
        <v/>
      </c>
      <c r="P43" s="62">
        <f>$M43-$O43</f>
        <v/>
      </c>
      <c r="Q43" s="62">
        <f>($L43-$M43)-($N43-$O43)</f>
        <v/>
      </c>
      <c r="R43" s="62">
        <f>$L43-$N43</f>
        <v/>
      </c>
    </row>
    <row r="44">
      <c r="A44" s="59">
        <f>ROW()-5</f>
        <v/>
      </c>
      <c r="B44" s="60">
        <f>IFERROR(INDEX(tbl_Finance[Date],$A44),"")</f>
        <v/>
      </c>
      <c r="C44" s="61">
        <f>IFERROR(INDEX(tbl_Finance[Xero Invoice No],$A44),"")</f>
        <v/>
      </c>
      <c r="D44" s="61">
        <f>IFERROR(INDEX(tbl_Finance[Client],$A44),"")</f>
        <v/>
      </c>
      <c r="E44" s="61">
        <f>IFERROR(INDEX(tbl_Finance[Job Number],$A44),"")</f>
        <v/>
      </c>
      <c r="F44" s="61">
        <f>IFERROR(INDEX(tbl_Finance[Cost Centre],$A44),"")</f>
        <v/>
      </c>
      <c r="G44" s="62">
        <f>IFERROR(INDEX(tbl_Finance[Ex GST],$A44),"")</f>
        <v/>
      </c>
      <c r="H44" s="60">
        <f>IFERROR(INDEX(tbl_Finance[Defer Start],$A44),"")</f>
        <v/>
      </c>
      <c r="I44" s="60">
        <f>IFERROR(INDEX(tbl_Finance[Defer End],$A44),"")</f>
        <v/>
      </c>
      <c r="J44" s="59">
        <f>IF(OR($H44="",$I44="",$G44=""),"",MAX(1,(YEAR($I44)-YEAR($H44))*12+MONTH($I44)-MONTH($H44)+1))</f>
        <v/>
      </c>
      <c r="K44" s="62">
        <f>IF($J44="","",$G44/$J44)</f>
        <v/>
      </c>
      <c r="L44" s="62">
        <f>IF($J44="",0,$K44*MAX(0,MIN(YEAR($C$3)*12+MONTH($C$3),YEAR($I44)*12+MONTH($I44))-(YEAR($H44)*12+MONTH($H44))+1))</f>
        <v/>
      </c>
      <c r="M44" s="62">
        <f>IF($J44="",0,$K44*MAX(0,MIN(YEAR($C$3)*12+MONTH($C$3)-1,YEAR($I44)*12+MONTH($I44))-(YEAR($H44)*12+MONTH($H44))+1))</f>
        <v/>
      </c>
      <c r="N44" s="62">
        <f>IF(OR($J44="",$B44=""),0,IF(YEAR($B44)*12+MONTH($B44)&lt;=YEAR($C$3)*12+MONTH($C$3),$G44,0))</f>
        <v/>
      </c>
      <c r="O44" s="62">
        <f>IF(OR($J44="",$B44=""),0,IF(YEAR($B44)*12+MONTH($B44)&lt;=YEAR($C$3)*12+MONTH($C$3)-1,$G44,0))</f>
        <v/>
      </c>
      <c r="P44" s="62">
        <f>$M44-$O44</f>
        <v/>
      </c>
      <c r="Q44" s="62">
        <f>($L44-$M44)-($N44-$O44)</f>
        <v/>
      </c>
      <c r="R44" s="62">
        <f>$L44-$N44</f>
        <v/>
      </c>
    </row>
    <row r="45">
      <c r="A45" s="59">
        <f>ROW()-5</f>
        <v/>
      </c>
      <c r="B45" s="60">
        <f>IFERROR(INDEX(tbl_Finance[Date],$A45),"")</f>
        <v/>
      </c>
      <c r="C45" s="61">
        <f>IFERROR(INDEX(tbl_Finance[Xero Invoice No],$A45),"")</f>
        <v/>
      </c>
      <c r="D45" s="61">
        <f>IFERROR(INDEX(tbl_Finance[Client],$A45),"")</f>
        <v/>
      </c>
      <c r="E45" s="61">
        <f>IFERROR(INDEX(tbl_Finance[Job Number],$A45),"")</f>
        <v/>
      </c>
      <c r="F45" s="61">
        <f>IFERROR(INDEX(tbl_Finance[Cost Centre],$A45),"")</f>
        <v/>
      </c>
      <c r="G45" s="62">
        <f>IFERROR(INDEX(tbl_Finance[Ex GST],$A45),"")</f>
        <v/>
      </c>
      <c r="H45" s="60">
        <f>IFERROR(INDEX(tbl_Finance[Defer Start],$A45),"")</f>
        <v/>
      </c>
      <c r="I45" s="60">
        <f>IFERROR(INDEX(tbl_Finance[Defer End],$A45),"")</f>
        <v/>
      </c>
      <c r="J45" s="59">
        <f>IF(OR($H45="",$I45="",$G45=""),"",MAX(1,(YEAR($I45)-YEAR($H45))*12+MONTH($I45)-MONTH($H45)+1))</f>
        <v/>
      </c>
      <c r="K45" s="62">
        <f>IF($J45="","",$G45/$J45)</f>
        <v/>
      </c>
      <c r="L45" s="62">
        <f>IF($J45="",0,$K45*MAX(0,MIN(YEAR($C$3)*12+MONTH($C$3),YEAR($I45)*12+MONTH($I45))-(YEAR($H45)*12+MONTH($H45))+1))</f>
        <v/>
      </c>
      <c r="M45" s="62">
        <f>IF($J45="",0,$K45*MAX(0,MIN(YEAR($C$3)*12+MONTH($C$3)-1,YEAR($I45)*12+MONTH($I45))-(YEAR($H45)*12+MONTH($H45))+1))</f>
        <v/>
      </c>
      <c r="N45" s="62">
        <f>IF(OR($J45="",$B45=""),0,IF(YEAR($B45)*12+MONTH($B45)&lt;=YEAR($C$3)*12+MONTH($C$3),$G45,0))</f>
        <v/>
      </c>
      <c r="O45" s="62">
        <f>IF(OR($J45="",$B45=""),0,IF(YEAR($B45)*12+MONTH($B45)&lt;=YEAR($C$3)*12+MONTH($C$3)-1,$G45,0))</f>
        <v/>
      </c>
      <c r="P45" s="62">
        <f>$M45-$O45</f>
        <v/>
      </c>
      <c r="Q45" s="62">
        <f>($L45-$M45)-($N45-$O45)</f>
        <v/>
      </c>
      <c r="R45" s="62">
        <f>$L45-$N45</f>
        <v/>
      </c>
    </row>
    <row r="46">
      <c r="A46" s="59">
        <f>ROW()-5</f>
        <v/>
      </c>
      <c r="B46" s="60">
        <f>IFERROR(INDEX(tbl_Finance[Date],$A46),"")</f>
        <v/>
      </c>
      <c r="C46" s="61">
        <f>IFERROR(INDEX(tbl_Finance[Xero Invoice No],$A46),"")</f>
        <v/>
      </c>
      <c r="D46" s="61">
        <f>IFERROR(INDEX(tbl_Finance[Client],$A46),"")</f>
        <v/>
      </c>
      <c r="E46" s="61">
        <f>IFERROR(INDEX(tbl_Finance[Job Number],$A46),"")</f>
        <v/>
      </c>
      <c r="F46" s="61">
        <f>IFERROR(INDEX(tbl_Finance[Cost Centre],$A46),"")</f>
        <v/>
      </c>
      <c r="G46" s="62">
        <f>IFERROR(INDEX(tbl_Finance[Ex GST],$A46),"")</f>
        <v/>
      </c>
      <c r="H46" s="60">
        <f>IFERROR(INDEX(tbl_Finance[Defer Start],$A46),"")</f>
        <v/>
      </c>
      <c r="I46" s="60">
        <f>IFERROR(INDEX(tbl_Finance[Defer End],$A46),"")</f>
        <v/>
      </c>
      <c r="J46" s="59">
        <f>IF(OR($H46="",$I46="",$G46=""),"",MAX(1,(YEAR($I46)-YEAR($H46))*12+MONTH($I46)-MONTH($H46)+1))</f>
        <v/>
      </c>
      <c r="K46" s="62">
        <f>IF($J46="","",$G46/$J46)</f>
        <v/>
      </c>
      <c r="L46" s="62">
        <f>IF($J46="",0,$K46*MAX(0,MIN(YEAR($C$3)*12+MONTH($C$3),YEAR($I46)*12+MONTH($I46))-(YEAR($H46)*12+MONTH($H46))+1))</f>
        <v/>
      </c>
      <c r="M46" s="62">
        <f>IF($J46="",0,$K46*MAX(0,MIN(YEAR($C$3)*12+MONTH($C$3)-1,YEAR($I46)*12+MONTH($I46))-(YEAR($H46)*12+MONTH($H46))+1))</f>
        <v/>
      </c>
      <c r="N46" s="62">
        <f>IF(OR($J46="",$B46=""),0,IF(YEAR($B46)*12+MONTH($B46)&lt;=YEAR($C$3)*12+MONTH($C$3),$G46,0))</f>
        <v/>
      </c>
      <c r="O46" s="62">
        <f>IF(OR($J46="",$B46=""),0,IF(YEAR($B46)*12+MONTH($B46)&lt;=YEAR($C$3)*12+MONTH($C$3)-1,$G46,0))</f>
        <v/>
      </c>
      <c r="P46" s="62">
        <f>$M46-$O46</f>
        <v/>
      </c>
      <c r="Q46" s="62">
        <f>($L46-$M46)-($N46-$O46)</f>
        <v/>
      </c>
      <c r="R46" s="62">
        <f>$L46-$N46</f>
        <v/>
      </c>
    </row>
    <row r="47">
      <c r="A47" s="59">
        <f>ROW()-5</f>
        <v/>
      </c>
      <c r="B47" s="60">
        <f>IFERROR(INDEX(tbl_Finance[Date],$A47),"")</f>
        <v/>
      </c>
      <c r="C47" s="61">
        <f>IFERROR(INDEX(tbl_Finance[Xero Invoice No],$A47),"")</f>
        <v/>
      </c>
      <c r="D47" s="61">
        <f>IFERROR(INDEX(tbl_Finance[Client],$A47),"")</f>
        <v/>
      </c>
      <c r="E47" s="61">
        <f>IFERROR(INDEX(tbl_Finance[Job Number],$A47),"")</f>
        <v/>
      </c>
      <c r="F47" s="61">
        <f>IFERROR(INDEX(tbl_Finance[Cost Centre],$A47),"")</f>
        <v/>
      </c>
      <c r="G47" s="62">
        <f>IFERROR(INDEX(tbl_Finance[Ex GST],$A47),"")</f>
        <v/>
      </c>
      <c r="H47" s="60">
        <f>IFERROR(INDEX(tbl_Finance[Defer Start],$A47),"")</f>
        <v/>
      </c>
      <c r="I47" s="60">
        <f>IFERROR(INDEX(tbl_Finance[Defer End],$A47),"")</f>
        <v/>
      </c>
      <c r="J47" s="59">
        <f>IF(OR($H47="",$I47="",$G47=""),"",MAX(1,(YEAR($I47)-YEAR($H47))*12+MONTH($I47)-MONTH($H47)+1))</f>
        <v/>
      </c>
      <c r="K47" s="62">
        <f>IF($J47="","",$G47/$J47)</f>
        <v/>
      </c>
      <c r="L47" s="62">
        <f>IF($J47="",0,$K47*MAX(0,MIN(YEAR($C$3)*12+MONTH($C$3),YEAR($I47)*12+MONTH($I47))-(YEAR($H47)*12+MONTH($H47))+1))</f>
        <v/>
      </c>
      <c r="M47" s="62">
        <f>IF($J47="",0,$K47*MAX(0,MIN(YEAR($C$3)*12+MONTH($C$3)-1,YEAR($I47)*12+MONTH($I47))-(YEAR($H47)*12+MONTH($H47))+1))</f>
        <v/>
      </c>
      <c r="N47" s="62">
        <f>IF(OR($J47="",$B47=""),0,IF(YEAR($B47)*12+MONTH($B47)&lt;=YEAR($C$3)*12+MONTH($C$3),$G47,0))</f>
        <v/>
      </c>
      <c r="O47" s="62">
        <f>IF(OR($J47="",$B47=""),0,IF(YEAR($B47)*12+MONTH($B47)&lt;=YEAR($C$3)*12+MONTH($C$3)-1,$G47,0))</f>
        <v/>
      </c>
      <c r="P47" s="62">
        <f>$M47-$O47</f>
        <v/>
      </c>
      <c r="Q47" s="62">
        <f>($L47-$M47)-($N47-$O47)</f>
        <v/>
      </c>
      <c r="R47" s="62">
        <f>$L47-$N47</f>
        <v/>
      </c>
    </row>
    <row r="48">
      <c r="A48" s="59">
        <f>ROW()-5</f>
        <v/>
      </c>
      <c r="B48" s="60">
        <f>IFERROR(INDEX(tbl_Finance[Date],$A48),"")</f>
        <v/>
      </c>
      <c r="C48" s="61">
        <f>IFERROR(INDEX(tbl_Finance[Xero Invoice No],$A48),"")</f>
        <v/>
      </c>
      <c r="D48" s="61">
        <f>IFERROR(INDEX(tbl_Finance[Client],$A48),"")</f>
        <v/>
      </c>
      <c r="E48" s="61">
        <f>IFERROR(INDEX(tbl_Finance[Job Number],$A48),"")</f>
        <v/>
      </c>
      <c r="F48" s="61">
        <f>IFERROR(INDEX(tbl_Finance[Cost Centre],$A48),"")</f>
        <v/>
      </c>
      <c r="G48" s="62">
        <f>IFERROR(INDEX(tbl_Finance[Ex GST],$A48),"")</f>
        <v/>
      </c>
      <c r="H48" s="60">
        <f>IFERROR(INDEX(tbl_Finance[Defer Start],$A48),"")</f>
        <v/>
      </c>
      <c r="I48" s="60">
        <f>IFERROR(INDEX(tbl_Finance[Defer End],$A48),"")</f>
        <v/>
      </c>
      <c r="J48" s="59">
        <f>IF(OR($H48="",$I48="",$G48=""),"",MAX(1,(YEAR($I48)-YEAR($H48))*12+MONTH($I48)-MONTH($H48)+1))</f>
        <v/>
      </c>
      <c r="K48" s="62">
        <f>IF($J48="","",$G48/$J48)</f>
        <v/>
      </c>
      <c r="L48" s="62">
        <f>IF($J48="",0,$K48*MAX(0,MIN(YEAR($C$3)*12+MONTH($C$3),YEAR($I48)*12+MONTH($I48))-(YEAR($H48)*12+MONTH($H48))+1))</f>
        <v/>
      </c>
      <c r="M48" s="62">
        <f>IF($J48="",0,$K48*MAX(0,MIN(YEAR($C$3)*12+MONTH($C$3)-1,YEAR($I48)*12+MONTH($I48))-(YEAR($H48)*12+MONTH($H48))+1))</f>
        <v/>
      </c>
      <c r="N48" s="62">
        <f>IF(OR($J48="",$B48=""),0,IF(YEAR($B48)*12+MONTH($B48)&lt;=YEAR($C$3)*12+MONTH($C$3),$G48,0))</f>
        <v/>
      </c>
      <c r="O48" s="62">
        <f>IF(OR($J48="",$B48=""),0,IF(YEAR($B48)*12+MONTH($B48)&lt;=YEAR($C$3)*12+MONTH($C$3)-1,$G48,0))</f>
        <v/>
      </c>
      <c r="P48" s="62">
        <f>$M48-$O48</f>
        <v/>
      </c>
      <c r="Q48" s="62">
        <f>($L48-$M48)-($N48-$O48)</f>
        <v/>
      </c>
      <c r="R48" s="62">
        <f>$L48-$N48</f>
        <v/>
      </c>
    </row>
    <row r="49">
      <c r="A49" s="59">
        <f>ROW()-5</f>
        <v/>
      </c>
      <c r="B49" s="60">
        <f>IFERROR(INDEX(tbl_Finance[Date],$A49),"")</f>
        <v/>
      </c>
      <c r="C49" s="61">
        <f>IFERROR(INDEX(tbl_Finance[Xero Invoice No],$A49),"")</f>
        <v/>
      </c>
      <c r="D49" s="61">
        <f>IFERROR(INDEX(tbl_Finance[Client],$A49),"")</f>
        <v/>
      </c>
      <c r="E49" s="61">
        <f>IFERROR(INDEX(tbl_Finance[Job Number],$A49),"")</f>
        <v/>
      </c>
      <c r="F49" s="61">
        <f>IFERROR(INDEX(tbl_Finance[Cost Centre],$A49),"")</f>
        <v/>
      </c>
      <c r="G49" s="62">
        <f>IFERROR(INDEX(tbl_Finance[Ex GST],$A49),"")</f>
        <v/>
      </c>
      <c r="H49" s="60">
        <f>IFERROR(INDEX(tbl_Finance[Defer Start],$A49),"")</f>
        <v/>
      </c>
      <c r="I49" s="60">
        <f>IFERROR(INDEX(tbl_Finance[Defer End],$A49),"")</f>
        <v/>
      </c>
      <c r="J49" s="59">
        <f>IF(OR($H49="",$I49="",$G49=""),"",MAX(1,(YEAR($I49)-YEAR($H49))*12+MONTH($I49)-MONTH($H49)+1))</f>
        <v/>
      </c>
      <c r="K49" s="62">
        <f>IF($J49="","",$G49/$J49)</f>
        <v/>
      </c>
      <c r="L49" s="62">
        <f>IF($J49="",0,$K49*MAX(0,MIN(YEAR($C$3)*12+MONTH($C$3),YEAR($I49)*12+MONTH($I49))-(YEAR($H49)*12+MONTH($H49))+1))</f>
        <v/>
      </c>
      <c r="M49" s="62">
        <f>IF($J49="",0,$K49*MAX(0,MIN(YEAR($C$3)*12+MONTH($C$3)-1,YEAR($I49)*12+MONTH($I49))-(YEAR($H49)*12+MONTH($H49))+1))</f>
        <v/>
      </c>
      <c r="N49" s="62">
        <f>IF(OR($J49="",$B49=""),0,IF(YEAR($B49)*12+MONTH($B49)&lt;=YEAR($C$3)*12+MONTH($C$3),$G49,0))</f>
        <v/>
      </c>
      <c r="O49" s="62">
        <f>IF(OR($J49="",$B49=""),0,IF(YEAR($B49)*12+MONTH($B49)&lt;=YEAR($C$3)*12+MONTH($C$3)-1,$G49,0))</f>
        <v/>
      </c>
      <c r="P49" s="62">
        <f>$M49-$O49</f>
        <v/>
      </c>
      <c r="Q49" s="62">
        <f>($L49-$M49)-($N49-$O49)</f>
        <v/>
      </c>
      <c r="R49" s="62">
        <f>$L49-$N49</f>
        <v/>
      </c>
    </row>
    <row r="50">
      <c r="A50" s="59">
        <f>ROW()-5</f>
        <v/>
      </c>
      <c r="B50" s="60">
        <f>IFERROR(INDEX(tbl_Finance[Date],$A50),"")</f>
        <v/>
      </c>
      <c r="C50" s="61">
        <f>IFERROR(INDEX(tbl_Finance[Xero Invoice No],$A50),"")</f>
        <v/>
      </c>
      <c r="D50" s="61">
        <f>IFERROR(INDEX(tbl_Finance[Client],$A50),"")</f>
        <v/>
      </c>
      <c r="E50" s="61">
        <f>IFERROR(INDEX(tbl_Finance[Job Number],$A50),"")</f>
        <v/>
      </c>
      <c r="F50" s="61">
        <f>IFERROR(INDEX(tbl_Finance[Cost Centre],$A50),"")</f>
        <v/>
      </c>
      <c r="G50" s="62">
        <f>IFERROR(INDEX(tbl_Finance[Ex GST],$A50),"")</f>
        <v/>
      </c>
      <c r="H50" s="60">
        <f>IFERROR(INDEX(tbl_Finance[Defer Start],$A50),"")</f>
        <v/>
      </c>
      <c r="I50" s="60">
        <f>IFERROR(INDEX(tbl_Finance[Defer End],$A50),"")</f>
        <v/>
      </c>
      <c r="J50" s="59">
        <f>IF(OR($H50="",$I50="",$G50=""),"",MAX(1,(YEAR($I50)-YEAR($H50))*12+MONTH($I50)-MONTH($H50)+1))</f>
        <v/>
      </c>
      <c r="K50" s="62">
        <f>IF($J50="","",$G50/$J50)</f>
        <v/>
      </c>
      <c r="L50" s="62">
        <f>IF($J50="",0,$K50*MAX(0,MIN(YEAR($C$3)*12+MONTH($C$3),YEAR($I50)*12+MONTH($I50))-(YEAR($H50)*12+MONTH($H50))+1))</f>
        <v/>
      </c>
      <c r="M50" s="62">
        <f>IF($J50="",0,$K50*MAX(0,MIN(YEAR($C$3)*12+MONTH($C$3)-1,YEAR($I50)*12+MONTH($I50))-(YEAR($H50)*12+MONTH($H50))+1))</f>
        <v/>
      </c>
      <c r="N50" s="62">
        <f>IF(OR($J50="",$B50=""),0,IF(YEAR($B50)*12+MONTH($B50)&lt;=YEAR($C$3)*12+MONTH($C$3),$G50,0))</f>
        <v/>
      </c>
      <c r="O50" s="62">
        <f>IF(OR($J50="",$B50=""),0,IF(YEAR($B50)*12+MONTH($B50)&lt;=YEAR($C$3)*12+MONTH($C$3)-1,$G50,0))</f>
        <v/>
      </c>
      <c r="P50" s="62">
        <f>$M50-$O50</f>
        <v/>
      </c>
      <c r="Q50" s="62">
        <f>($L50-$M50)-($N50-$O50)</f>
        <v/>
      </c>
      <c r="R50" s="62">
        <f>$L50-$N50</f>
        <v/>
      </c>
    </row>
    <row r="51">
      <c r="A51" s="59">
        <f>ROW()-5</f>
        <v/>
      </c>
      <c r="B51" s="60">
        <f>IFERROR(INDEX(tbl_Finance[Date],$A51),"")</f>
        <v/>
      </c>
      <c r="C51" s="61">
        <f>IFERROR(INDEX(tbl_Finance[Xero Invoice No],$A51),"")</f>
        <v/>
      </c>
      <c r="D51" s="61">
        <f>IFERROR(INDEX(tbl_Finance[Client],$A51),"")</f>
        <v/>
      </c>
      <c r="E51" s="61">
        <f>IFERROR(INDEX(tbl_Finance[Job Number],$A51),"")</f>
        <v/>
      </c>
      <c r="F51" s="61">
        <f>IFERROR(INDEX(tbl_Finance[Cost Centre],$A51),"")</f>
        <v/>
      </c>
      <c r="G51" s="62">
        <f>IFERROR(INDEX(tbl_Finance[Ex GST],$A51),"")</f>
        <v/>
      </c>
      <c r="H51" s="60">
        <f>IFERROR(INDEX(tbl_Finance[Defer Start],$A51),"")</f>
        <v/>
      </c>
      <c r="I51" s="60">
        <f>IFERROR(INDEX(tbl_Finance[Defer End],$A51),"")</f>
        <v/>
      </c>
      <c r="J51" s="59">
        <f>IF(OR($H51="",$I51="",$G51=""),"",MAX(1,(YEAR($I51)-YEAR($H51))*12+MONTH($I51)-MONTH($H51)+1))</f>
        <v/>
      </c>
      <c r="K51" s="62">
        <f>IF($J51="","",$G51/$J51)</f>
        <v/>
      </c>
      <c r="L51" s="62">
        <f>IF($J51="",0,$K51*MAX(0,MIN(YEAR($C$3)*12+MONTH($C$3),YEAR($I51)*12+MONTH($I51))-(YEAR($H51)*12+MONTH($H51))+1))</f>
        <v/>
      </c>
      <c r="M51" s="62">
        <f>IF($J51="",0,$K51*MAX(0,MIN(YEAR($C$3)*12+MONTH($C$3)-1,YEAR($I51)*12+MONTH($I51))-(YEAR($H51)*12+MONTH($H51))+1))</f>
        <v/>
      </c>
      <c r="N51" s="62">
        <f>IF(OR($J51="",$B51=""),0,IF(YEAR($B51)*12+MONTH($B51)&lt;=YEAR($C$3)*12+MONTH($C$3),$G51,0))</f>
        <v/>
      </c>
      <c r="O51" s="62">
        <f>IF(OR($J51="",$B51=""),0,IF(YEAR($B51)*12+MONTH($B51)&lt;=YEAR($C$3)*12+MONTH($C$3)-1,$G51,0))</f>
        <v/>
      </c>
      <c r="P51" s="62">
        <f>$M51-$O51</f>
        <v/>
      </c>
      <c r="Q51" s="62">
        <f>($L51-$M51)-($N51-$O51)</f>
        <v/>
      </c>
      <c r="R51" s="62">
        <f>$L51-$N51</f>
        <v/>
      </c>
    </row>
    <row r="52">
      <c r="A52" s="59">
        <f>ROW()-5</f>
        <v/>
      </c>
      <c r="B52" s="60">
        <f>IFERROR(INDEX(tbl_Finance[Date],$A52),"")</f>
        <v/>
      </c>
      <c r="C52" s="61">
        <f>IFERROR(INDEX(tbl_Finance[Xero Invoice No],$A52),"")</f>
        <v/>
      </c>
      <c r="D52" s="61">
        <f>IFERROR(INDEX(tbl_Finance[Client],$A52),"")</f>
        <v/>
      </c>
      <c r="E52" s="61">
        <f>IFERROR(INDEX(tbl_Finance[Job Number],$A52),"")</f>
        <v/>
      </c>
      <c r="F52" s="61">
        <f>IFERROR(INDEX(tbl_Finance[Cost Centre],$A52),"")</f>
        <v/>
      </c>
      <c r="G52" s="62">
        <f>IFERROR(INDEX(tbl_Finance[Ex GST],$A52),"")</f>
        <v/>
      </c>
      <c r="H52" s="60">
        <f>IFERROR(INDEX(tbl_Finance[Defer Start],$A52),"")</f>
        <v/>
      </c>
      <c r="I52" s="60">
        <f>IFERROR(INDEX(tbl_Finance[Defer End],$A52),"")</f>
        <v/>
      </c>
      <c r="J52" s="59">
        <f>IF(OR($H52="",$I52="",$G52=""),"",MAX(1,(YEAR($I52)-YEAR($H52))*12+MONTH($I52)-MONTH($H52)+1))</f>
        <v/>
      </c>
      <c r="K52" s="62">
        <f>IF($J52="","",$G52/$J52)</f>
        <v/>
      </c>
      <c r="L52" s="62">
        <f>IF($J52="",0,$K52*MAX(0,MIN(YEAR($C$3)*12+MONTH($C$3),YEAR($I52)*12+MONTH($I52))-(YEAR($H52)*12+MONTH($H52))+1))</f>
        <v/>
      </c>
      <c r="M52" s="62">
        <f>IF($J52="",0,$K52*MAX(0,MIN(YEAR($C$3)*12+MONTH($C$3)-1,YEAR($I52)*12+MONTH($I52))-(YEAR($H52)*12+MONTH($H52))+1))</f>
        <v/>
      </c>
      <c r="N52" s="62">
        <f>IF(OR($J52="",$B52=""),0,IF(YEAR($B52)*12+MONTH($B52)&lt;=YEAR($C$3)*12+MONTH($C$3),$G52,0))</f>
        <v/>
      </c>
      <c r="O52" s="62">
        <f>IF(OR($J52="",$B52=""),0,IF(YEAR($B52)*12+MONTH($B52)&lt;=YEAR($C$3)*12+MONTH($C$3)-1,$G52,0))</f>
        <v/>
      </c>
      <c r="P52" s="62">
        <f>$M52-$O52</f>
        <v/>
      </c>
      <c r="Q52" s="62">
        <f>($L52-$M52)-($N52-$O52)</f>
        <v/>
      </c>
      <c r="R52" s="62">
        <f>$L52-$N52</f>
        <v/>
      </c>
    </row>
    <row r="53">
      <c r="A53" s="59">
        <f>ROW()-5</f>
        <v/>
      </c>
      <c r="B53" s="60">
        <f>IFERROR(INDEX(tbl_Finance[Date],$A53),"")</f>
        <v/>
      </c>
      <c r="C53" s="61">
        <f>IFERROR(INDEX(tbl_Finance[Xero Invoice No],$A53),"")</f>
        <v/>
      </c>
      <c r="D53" s="61">
        <f>IFERROR(INDEX(tbl_Finance[Client],$A53),"")</f>
        <v/>
      </c>
      <c r="E53" s="61">
        <f>IFERROR(INDEX(tbl_Finance[Job Number],$A53),"")</f>
        <v/>
      </c>
      <c r="F53" s="61">
        <f>IFERROR(INDEX(tbl_Finance[Cost Centre],$A53),"")</f>
        <v/>
      </c>
      <c r="G53" s="62">
        <f>IFERROR(INDEX(tbl_Finance[Ex GST],$A53),"")</f>
        <v/>
      </c>
      <c r="H53" s="60">
        <f>IFERROR(INDEX(tbl_Finance[Defer Start],$A53),"")</f>
        <v/>
      </c>
      <c r="I53" s="60">
        <f>IFERROR(INDEX(tbl_Finance[Defer End],$A53),"")</f>
        <v/>
      </c>
      <c r="J53" s="59">
        <f>IF(OR($H53="",$I53="",$G53=""),"",MAX(1,(YEAR($I53)-YEAR($H53))*12+MONTH($I53)-MONTH($H53)+1))</f>
        <v/>
      </c>
      <c r="K53" s="62">
        <f>IF($J53="","",$G53/$J53)</f>
        <v/>
      </c>
      <c r="L53" s="62">
        <f>IF($J53="",0,$K53*MAX(0,MIN(YEAR($C$3)*12+MONTH($C$3),YEAR($I53)*12+MONTH($I53))-(YEAR($H53)*12+MONTH($H53))+1))</f>
        <v/>
      </c>
      <c r="M53" s="62">
        <f>IF($J53="",0,$K53*MAX(0,MIN(YEAR($C$3)*12+MONTH($C$3)-1,YEAR($I53)*12+MONTH($I53))-(YEAR($H53)*12+MONTH($H53))+1))</f>
        <v/>
      </c>
      <c r="N53" s="62">
        <f>IF(OR($J53="",$B53=""),0,IF(YEAR($B53)*12+MONTH($B53)&lt;=YEAR($C$3)*12+MONTH($C$3),$G53,0))</f>
        <v/>
      </c>
      <c r="O53" s="62">
        <f>IF(OR($J53="",$B53=""),0,IF(YEAR($B53)*12+MONTH($B53)&lt;=YEAR($C$3)*12+MONTH($C$3)-1,$G53,0))</f>
        <v/>
      </c>
      <c r="P53" s="62">
        <f>$M53-$O53</f>
        <v/>
      </c>
      <c r="Q53" s="62">
        <f>($L53-$M53)-($N53-$O53)</f>
        <v/>
      </c>
      <c r="R53" s="62">
        <f>$L53-$N53</f>
        <v/>
      </c>
    </row>
    <row r="54">
      <c r="A54" s="59">
        <f>ROW()-5</f>
        <v/>
      </c>
      <c r="B54" s="60">
        <f>IFERROR(INDEX(tbl_Finance[Date],$A54),"")</f>
        <v/>
      </c>
      <c r="C54" s="61">
        <f>IFERROR(INDEX(tbl_Finance[Xero Invoice No],$A54),"")</f>
        <v/>
      </c>
      <c r="D54" s="61">
        <f>IFERROR(INDEX(tbl_Finance[Client],$A54),"")</f>
        <v/>
      </c>
      <c r="E54" s="61">
        <f>IFERROR(INDEX(tbl_Finance[Job Number],$A54),"")</f>
        <v/>
      </c>
      <c r="F54" s="61">
        <f>IFERROR(INDEX(tbl_Finance[Cost Centre],$A54),"")</f>
        <v/>
      </c>
      <c r="G54" s="62">
        <f>IFERROR(INDEX(tbl_Finance[Ex GST],$A54),"")</f>
        <v/>
      </c>
      <c r="H54" s="60">
        <f>IFERROR(INDEX(tbl_Finance[Defer Start],$A54),"")</f>
        <v/>
      </c>
      <c r="I54" s="60">
        <f>IFERROR(INDEX(tbl_Finance[Defer End],$A54),"")</f>
        <v/>
      </c>
      <c r="J54" s="59">
        <f>IF(OR($H54="",$I54="",$G54=""),"",MAX(1,(YEAR($I54)-YEAR($H54))*12+MONTH($I54)-MONTH($H54)+1))</f>
        <v/>
      </c>
      <c r="K54" s="62">
        <f>IF($J54="","",$G54/$J54)</f>
        <v/>
      </c>
      <c r="L54" s="62">
        <f>IF($J54="",0,$K54*MAX(0,MIN(YEAR($C$3)*12+MONTH($C$3),YEAR($I54)*12+MONTH($I54))-(YEAR($H54)*12+MONTH($H54))+1))</f>
        <v/>
      </c>
      <c r="M54" s="62">
        <f>IF($J54="",0,$K54*MAX(0,MIN(YEAR($C$3)*12+MONTH($C$3)-1,YEAR($I54)*12+MONTH($I54))-(YEAR($H54)*12+MONTH($H54))+1))</f>
        <v/>
      </c>
      <c r="N54" s="62">
        <f>IF(OR($J54="",$B54=""),0,IF(YEAR($B54)*12+MONTH($B54)&lt;=YEAR($C$3)*12+MONTH($C$3),$G54,0))</f>
        <v/>
      </c>
      <c r="O54" s="62">
        <f>IF(OR($J54="",$B54=""),0,IF(YEAR($B54)*12+MONTH($B54)&lt;=YEAR($C$3)*12+MONTH($C$3)-1,$G54,0))</f>
        <v/>
      </c>
      <c r="P54" s="62">
        <f>$M54-$O54</f>
        <v/>
      </c>
      <c r="Q54" s="62">
        <f>($L54-$M54)-($N54-$O54)</f>
        <v/>
      </c>
      <c r="R54" s="62">
        <f>$L54-$N54</f>
        <v/>
      </c>
    </row>
    <row r="55">
      <c r="A55" s="59">
        <f>ROW()-5</f>
        <v/>
      </c>
      <c r="B55" s="60">
        <f>IFERROR(INDEX(tbl_Finance[Date],$A55),"")</f>
        <v/>
      </c>
      <c r="C55" s="61">
        <f>IFERROR(INDEX(tbl_Finance[Xero Invoice No],$A55),"")</f>
        <v/>
      </c>
      <c r="D55" s="61">
        <f>IFERROR(INDEX(tbl_Finance[Client],$A55),"")</f>
        <v/>
      </c>
      <c r="E55" s="61">
        <f>IFERROR(INDEX(tbl_Finance[Job Number],$A55),"")</f>
        <v/>
      </c>
      <c r="F55" s="61">
        <f>IFERROR(INDEX(tbl_Finance[Cost Centre],$A55),"")</f>
        <v/>
      </c>
      <c r="G55" s="62">
        <f>IFERROR(INDEX(tbl_Finance[Ex GST],$A55),"")</f>
        <v/>
      </c>
      <c r="H55" s="60">
        <f>IFERROR(INDEX(tbl_Finance[Defer Start],$A55),"")</f>
        <v/>
      </c>
      <c r="I55" s="60">
        <f>IFERROR(INDEX(tbl_Finance[Defer End],$A55),"")</f>
        <v/>
      </c>
      <c r="J55" s="59">
        <f>IF(OR($H55="",$I55="",$G55=""),"",MAX(1,(YEAR($I55)-YEAR($H55))*12+MONTH($I55)-MONTH($H55)+1))</f>
        <v/>
      </c>
      <c r="K55" s="62">
        <f>IF($J55="","",$G55/$J55)</f>
        <v/>
      </c>
      <c r="L55" s="62">
        <f>IF($J55="",0,$K55*MAX(0,MIN(YEAR($C$3)*12+MONTH($C$3),YEAR($I55)*12+MONTH($I55))-(YEAR($H55)*12+MONTH($H55))+1))</f>
        <v/>
      </c>
      <c r="M55" s="62">
        <f>IF($J55="",0,$K55*MAX(0,MIN(YEAR($C$3)*12+MONTH($C$3)-1,YEAR($I55)*12+MONTH($I55))-(YEAR($H55)*12+MONTH($H55))+1))</f>
        <v/>
      </c>
      <c r="N55" s="62">
        <f>IF(OR($J55="",$B55=""),0,IF(YEAR($B55)*12+MONTH($B55)&lt;=YEAR($C$3)*12+MONTH($C$3),$G55,0))</f>
        <v/>
      </c>
      <c r="O55" s="62">
        <f>IF(OR($J55="",$B55=""),0,IF(YEAR($B55)*12+MONTH($B55)&lt;=YEAR($C$3)*12+MONTH($C$3)-1,$G55,0))</f>
        <v/>
      </c>
      <c r="P55" s="62">
        <f>$M55-$O55</f>
        <v/>
      </c>
      <c r="Q55" s="62">
        <f>($L55-$M55)-($N55-$O55)</f>
        <v/>
      </c>
      <c r="R55" s="62">
        <f>$L55-$N55</f>
        <v/>
      </c>
    </row>
    <row r="56">
      <c r="A56" s="59">
        <f>ROW()-5</f>
        <v/>
      </c>
      <c r="B56" s="60">
        <f>IFERROR(INDEX(tbl_Finance[Date],$A56),"")</f>
        <v/>
      </c>
      <c r="C56" s="61">
        <f>IFERROR(INDEX(tbl_Finance[Xero Invoice No],$A56),"")</f>
        <v/>
      </c>
      <c r="D56" s="61">
        <f>IFERROR(INDEX(tbl_Finance[Client],$A56),"")</f>
        <v/>
      </c>
      <c r="E56" s="61">
        <f>IFERROR(INDEX(tbl_Finance[Job Number],$A56),"")</f>
        <v/>
      </c>
      <c r="F56" s="61">
        <f>IFERROR(INDEX(tbl_Finance[Cost Centre],$A56),"")</f>
        <v/>
      </c>
      <c r="G56" s="62">
        <f>IFERROR(INDEX(tbl_Finance[Ex GST],$A56),"")</f>
        <v/>
      </c>
      <c r="H56" s="60">
        <f>IFERROR(INDEX(tbl_Finance[Defer Start],$A56),"")</f>
        <v/>
      </c>
      <c r="I56" s="60">
        <f>IFERROR(INDEX(tbl_Finance[Defer End],$A56),"")</f>
        <v/>
      </c>
      <c r="J56" s="59">
        <f>IF(OR($H56="",$I56="",$G56=""),"",MAX(1,(YEAR($I56)-YEAR($H56))*12+MONTH($I56)-MONTH($H56)+1))</f>
        <v/>
      </c>
      <c r="K56" s="62">
        <f>IF($J56="","",$G56/$J56)</f>
        <v/>
      </c>
      <c r="L56" s="62">
        <f>IF($J56="",0,$K56*MAX(0,MIN(YEAR($C$3)*12+MONTH($C$3),YEAR($I56)*12+MONTH($I56))-(YEAR($H56)*12+MONTH($H56))+1))</f>
        <v/>
      </c>
      <c r="M56" s="62">
        <f>IF($J56="",0,$K56*MAX(0,MIN(YEAR($C$3)*12+MONTH($C$3)-1,YEAR($I56)*12+MONTH($I56))-(YEAR($H56)*12+MONTH($H56))+1))</f>
        <v/>
      </c>
      <c r="N56" s="62">
        <f>IF(OR($J56="",$B56=""),0,IF(YEAR($B56)*12+MONTH($B56)&lt;=YEAR($C$3)*12+MONTH($C$3),$G56,0))</f>
        <v/>
      </c>
      <c r="O56" s="62">
        <f>IF(OR($J56="",$B56=""),0,IF(YEAR($B56)*12+MONTH($B56)&lt;=YEAR($C$3)*12+MONTH($C$3)-1,$G56,0))</f>
        <v/>
      </c>
      <c r="P56" s="62">
        <f>$M56-$O56</f>
        <v/>
      </c>
      <c r="Q56" s="62">
        <f>($L56-$M56)-($N56-$O56)</f>
        <v/>
      </c>
      <c r="R56" s="62">
        <f>$L56-$N56</f>
        <v/>
      </c>
    </row>
    <row r="57">
      <c r="A57" s="59">
        <f>ROW()-5</f>
        <v/>
      </c>
      <c r="B57" s="60">
        <f>IFERROR(INDEX(tbl_Finance[Date],$A57),"")</f>
        <v/>
      </c>
      <c r="C57" s="61">
        <f>IFERROR(INDEX(tbl_Finance[Xero Invoice No],$A57),"")</f>
        <v/>
      </c>
      <c r="D57" s="61">
        <f>IFERROR(INDEX(tbl_Finance[Client],$A57),"")</f>
        <v/>
      </c>
      <c r="E57" s="61">
        <f>IFERROR(INDEX(tbl_Finance[Job Number],$A57),"")</f>
        <v/>
      </c>
      <c r="F57" s="61">
        <f>IFERROR(INDEX(tbl_Finance[Cost Centre],$A57),"")</f>
        <v/>
      </c>
      <c r="G57" s="62">
        <f>IFERROR(INDEX(tbl_Finance[Ex GST],$A57),"")</f>
        <v/>
      </c>
      <c r="H57" s="60">
        <f>IFERROR(INDEX(tbl_Finance[Defer Start],$A57),"")</f>
        <v/>
      </c>
      <c r="I57" s="60">
        <f>IFERROR(INDEX(tbl_Finance[Defer End],$A57),"")</f>
        <v/>
      </c>
      <c r="J57" s="59">
        <f>IF(OR($H57="",$I57="",$G57=""),"",MAX(1,(YEAR($I57)-YEAR($H57))*12+MONTH($I57)-MONTH($H57)+1))</f>
        <v/>
      </c>
      <c r="K57" s="62">
        <f>IF($J57="","",$G57/$J57)</f>
        <v/>
      </c>
      <c r="L57" s="62">
        <f>IF($J57="",0,$K57*MAX(0,MIN(YEAR($C$3)*12+MONTH($C$3),YEAR($I57)*12+MONTH($I57))-(YEAR($H57)*12+MONTH($H57))+1))</f>
        <v/>
      </c>
      <c r="M57" s="62">
        <f>IF($J57="",0,$K57*MAX(0,MIN(YEAR($C$3)*12+MONTH($C$3)-1,YEAR($I57)*12+MONTH($I57))-(YEAR($H57)*12+MONTH($H57))+1))</f>
        <v/>
      </c>
      <c r="N57" s="62">
        <f>IF(OR($J57="",$B57=""),0,IF(YEAR($B57)*12+MONTH($B57)&lt;=YEAR($C$3)*12+MONTH($C$3),$G57,0))</f>
        <v/>
      </c>
      <c r="O57" s="62">
        <f>IF(OR($J57="",$B57=""),0,IF(YEAR($B57)*12+MONTH($B57)&lt;=YEAR($C$3)*12+MONTH($C$3)-1,$G57,0))</f>
        <v/>
      </c>
      <c r="P57" s="62">
        <f>$M57-$O57</f>
        <v/>
      </c>
      <c r="Q57" s="62">
        <f>($L57-$M57)-($N57-$O57)</f>
        <v/>
      </c>
      <c r="R57" s="62">
        <f>$L57-$N57</f>
        <v/>
      </c>
    </row>
    <row r="58">
      <c r="A58" s="59">
        <f>ROW()-5</f>
        <v/>
      </c>
      <c r="B58" s="60">
        <f>IFERROR(INDEX(tbl_Finance[Date],$A58),"")</f>
        <v/>
      </c>
      <c r="C58" s="61">
        <f>IFERROR(INDEX(tbl_Finance[Xero Invoice No],$A58),"")</f>
        <v/>
      </c>
      <c r="D58" s="61">
        <f>IFERROR(INDEX(tbl_Finance[Client],$A58),"")</f>
        <v/>
      </c>
      <c r="E58" s="61">
        <f>IFERROR(INDEX(tbl_Finance[Job Number],$A58),"")</f>
        <v/>
      </c>
      <c r="F58" s="61">
        <f>IFERROR(INDEX(tbl_Finance[Cost Centre],$A58),"")</f>
        <v/>
      </c>
      <c r="G58" s="62">
        <f>IFERROR(INDEX(tbl_Finance[Ex GST],$A58),"")</f>
        <v/>
      </c>
      <c r="H58" s="60">
        <f>IFERROR(INDEX(tbl_Finance[Defer Start],$A58),"")</f>
        <v/>
      </c>
      <c r="I58" s="60">
        <f>IFERROR(INDEX(tbl_Finance[Defer End],$A58),"")</f>
        <v/>
      </c>
      <c r="J58" s="59">
        <f>IF(OR($H58="",$I58="",$G58=""),"",MAX(1,(YEAR($I58)-YEAR($H58))*12+MONTH($I58)-MONTH($H58)+1))</f>
        <v/>
      </c>
      <c r="K58" s="62">
        <f>IF($J58="","",$G58/$J58)</f>
        <v/>
      </c>
      <c r="L58" s="62">
        <f>IF($J58="",0,$K58*MAX(0,MIN(YEAR($C$3)*12+MONTH($C$3),YEAR($I58)*12+MONTH($I58))-(YEAR($H58)*12+MONTH($H58))+1))</f>
        <v/>
      </c>
      <c r="M58" s="62">
        <f>IF($J58="",0,$K58*MAX(0,MIN(YEAR($C$3)*12+MONTH($C$3)-1,YEAR($I58)*12+MONTH($I58))-(YEAR($H58)*12+MONTH($H58))+1))</f>
        <v/>
      </c>
      <c r="N58" s="62">
        <f>IF(OR($J58="",$B58=""),0,IF(YEAR($B58)*12+MONTH($B58)&lt;=YEAR($C$3)*12+MONTH($C$3),$G58,0))</f>
        <v/>
      </c>
      <c r="O58" s="62">
        <f>IF(OR($J58="",$B58=""),0,IF(YEAR($B58)*12+MONTH($B58)&lt;=YEAR($C$3)*12+MONTH($C$3)-1,$G58,0))</f>
        <v/>
      </c>
      <c r="P58" s="62">
        <f>$M58-$O58</f>
        <v/>
      </c>
      <c r="Q58" s="62">
        <f>($L58-$M58)-($N58-$O58)</f>
        <v/>
      </c>
      <c r="R58" s="62">
        <f>$L58-$N58</f>
        <v/>
      </c>
    </row>
    <row r="59">
      <c r="A59" s="59">
        <f>ROW()-5</f>
        <v/>
      </c>
      <c r="B59" s="60">
        <f>IFERROR(INDEX(tbl_Finance[Date],$A59),"")</f>
        <v/>
      </c>
      <c r="C59" s="61">
        <f>IFERROR(INDEX(tbl_Finance[Xero Invoice No],$A59),"")</f>
        <v/>
      </c>
      <c r="D59" s="61">
        <f>IFERROR(INDEX(tbl_Finance[Client],$A59),"")</f>
        <v/>
      </c>
      <c r="E59" s="61">
        <f>IFERROR(INDEX(tbl_Finance[Job Number],$A59),"")</f>
        <v/>
      </c>
      <c r="F59" s="61">
        <f>IFERROR(INDEX(tbl_Finance[Cost Centre],$A59),"")</f>
        <v/>
      </c>
      <c r="G59" s="62">
        <f>IFERROR(INDEX(tbl_Finance[Ex GST],$A59),"")</f>
        <v/>
      </c>
      <c r="H59" s="60">
        <f>IFERROR(INDEX(tbl_Finance[Defer Start],$A59),"")</f>
        <v/>
      </c>
      <c r="I59" s="60">
        <f>IFERROR(INDEX(tbl_Finance[Defer End],$A59),"")</f>
        <v/>
      </c>
      <c r="J59" s="59">
        <f>IF(OR($H59="",$I59="",$G59=""),"",MAX(1,(YEAR($I59)-YEAR($H59))*12+MONTH($I59)-MONTH($H59)+1))</f>
        <v/>
      </c>
      <c r="K59" s="62">
        <f>IF($J59="","",$G59/$J59)</f>
        <v/>
      </c>
      <c r="L59" s="62">
        <f>IF($J59="",0,$K59*MAX(0,MIN(YEAR($C$3)*12+MONTH($C$3),YEAR($I59)*12+MONTH($I59))-(YEAR($H59)*12+MONTH($H59))+1))</f>
        <v/>
      </c>
      <c r="M59" s="62">
        <f>IF($J59="",0,$K59*MAX(0,MIN(YEAR($C$3)*12+MONTH($C$3)-1,YEAR($I59)*12+MONTH($I59))-(YEAR($H59)*12+MONTH($H59))+1))</f>
        <v/>
      </c>
      <c r="N59" s="62">
        <f>IF(OR($J59="",$B59=""),0,IF(YEAR($B59)*12+MONTH($B59)&lt;=YEAR($C$3)*12+MONTH($C$3),$G59,0))</f>
        <v/>
      </c>
      <c r="O59" s="62">
        <f>IF(OR($J59="",$B59=""),0,IF(YEAR($B59)*12+MONTH($B59)&lt;=YEAR($C$3)*12+MONTH($C$3)-1,$G59,0))</f>
        <v/>
      </c>
      <c r="P59" s="62">
        <f>$M59-$O59</f>
        <v/>
      </c>
      <c r="Q59" s="62">
        <f>($L59-$M59)-($N59-$O59)</f>
        <v/>
      </c>
      <c r="R59" s="62">
        <f>$L59-$N59</f>
        <v/>
      </c>
    </row>
    <row r="60">
      <c r="A60" s="59">
        <f>ROW()-5</f>
        <v/>
      </c>
      <c r="B60" s="60">
        <f>IFERROR(INDEX(tbl_Finance[Date],$A60),"")</f>
        <v/>
      </c>
      <c r="C60" s="61">
        <f>IFERROR(INDEX(tbl_Finance[Xero Invoice No],$A60),"")</f>
        <v/>
      </c>
      <c r="D60" s="61">
        <f>IFERROR(INDEX(tbl_Finance[Client],$A60),"")</f>
        <v/>
      </c>
      <c r="E60" s="61">
        <f>IFERROR(INDEX(tbl_Finance[Job Number],$A60),"")</f>
        <v/>
      </c>
      <c r="F60" s="61">
        <f>IFERROR(INDEX(tbl_Finance[Cost Centre],$A60),"")</f>
        <v/>
      </c>
      <c r="G60" s="62">
        <f>IFERROR(INDEX(tbl_Finance[Ex GST],$A60),"")</f>
        <v/>
      </c>
      <c r="H60" s="60">
        <f>IFERROR(INDEX(tbl_Finance[Defer Start],$A60),"")</f>
        <v/>
      </c>
      <c r="I60" s="60">
        <f>IFERROR(INDEX(tbl_Finance[Defer End],$A60),"")</f>
        <v/>
      </c>
      <c r="J60" s="59">
        <f>IF(OR($H60="",$I60="",$G60=""),"",MAX(1,(YEAR($I60)-YEAR($H60))*12+MONTH($I60)-MONTH($H60)+1))</f>
        <v/>
      </c>
      <c r="K60" s="62">
        <f>IF($J60="","",$G60/$J60)</f>
        <v/>
      </c>
      <c r="L60" s="62">
        <f>IF($J60="",0,$K60*MAX(0,MIN(YEAR($C$3)*12+MONTH($C$3),YEAR($I60)*12+MONTH($I60))-(YEAR($H60)*12+MONTH($H60))+1))</f>
        <v/>
      </c>
      <c r="M60" s="62">
        <f>IF($J60="",0,$K60*MAX(0,MIN(YEAR($C$3)*12+MONTH($C$3)-1,YEAR($I60)*12+MONTH($I60))-(YEAR($H60)*12+MONTH($H60))+1))</f>
        <v/>
      </c>
      <c r="N60" s="62">
        <f>IF(OR($J60="",$B60=""),0,IF(YEAR($B60)*12+MONTH($B60)&lt;=YEAR($C$3)*12+MONTH($C$3),$G60,0))</f>
        <v/>
      </c>
      <c r="O60" s="62">
        <f>IF(OR($J60="",$B60=""),0,IF(YEAR($B60)*12+MONTH($B60)&lt;=YEAR($C$3)*12+MONTH($C$3)-1,$G60,0))</f>
        <v/>
      </c>
      <c r="P60" s="62">
        <f>$M60-$O60</f>
        <v/>
      </c>
      <c r="Q60" s="62">
        <f>($L60-$M60)-($N60-$O60)</f>
        <v/>
      </c>
      <c r="R60" s="62">
        <f>$L60-$N60</f>
        <v/>
      </c>
    </row>
    <row r="61">
      <c r="A61" s="59">
        <f>ROW()-5</f>
        <v/>
      </c>
      <c r="B61" s="60">
        <f>IFERROR(INDEX(tbl_Finance[Date],$A61),"")</f>
        <v/>
      </c>
      <c r="C61" s="61">
        <f>IFERROR(INDEX(tbl_Finance[Xero Invoice No],$A61),"")</f>
        <v/>
      </c>
      <c r="D61" s="61">
        <f>IFERROR(INDEX(tbl_Finance[Client],$A61),"")</f>
        <v/>
      </c>
      <c r="E61" s="61">
        <f>IFERROR(INDEX(tbl_Finance[Job Number],$A61),"")</f>
        <v/>
      </c>
      <c r="F61" s="61">
        <f>IFERROR(INDEX(tbl_Finance[Cost Centre],$A61),"")</f>
        <v/>
      </c>
      <c r="G61" s="62">
        <f>IFERROR(INDEX(tbl_Finance[Ex GST],$A61),"")</f>
        <v/>
      </c>
      <c r="H61" s="60">
        <f>IFERROR(INDEX(tbl_Finance[Defer Start],$A61),"")</f>
        <v/>
      </c>
      <c r="I61" s="60">
        <f>IFERROR(INDEX(tbl_Finance[Defer End],$A61),"")</f>
        <v/>
      </c>
      <c r="J61" s="59">
        <f>IF(OR($H61="",$I61="",$G61=""),"",MAX(1,(YEAR($I61)-YEAR($H61))*12+MONTH($I61)-MONTH($H61)+1))</f>
        <v/>
      </c>
      <c r="K61" s="62">
        <f>IF($J61="","",$G61/$J61)</f>
        <v/>
      </c>
      <c r="L61" s="62">
        <f>IF($J61="",0,$K61*MAX(0,MIN(YEAR($C$3)*12+MONTH($C$3),YEAR($I61)*12+MONTH($I61))-(YEAR($H61)*12+MONTH($H61))+1))</f>
        <v/>
      </c>
      <c r="M61" s="62">
        <f>IF($J61="",0,$K61*MAX(0,MIN(YEAR($C$3)*12+MONTH($C$3)-1,YEAR($I61)*12+MONTH($I61))-(YEAR($H61)*12+MONTH($H61))+1))</f>
        <v/>
      </c>
      <c r="N61" s="62">
        <f>IF(OR($J61="",$B61=""),0,IF(YEAR($B61)*12+MONTH($B61)&lt;=YEAR($C$3)*12+MONTH($C$3),$G61,0))</f>
        <v/>
      </c>
      <c r="O61" s="62">
        <f>IF(OR($J61="",$B61=""),0,IF(YEAR($B61)*12+MONTH($B61)&lt;=YEAR($C$3)*12+MONTH($C$3)-1,$G61,0))</f>
        <v/>
      </c>
      <c r="P61" s="62">
        <f>$M61-$O61</f>
        <v/>
      </c>
      <c r="Q61" s="62">
        <f>($L61-$M61)-($N61-$O61)</f>
        <v/>
      </c>
      <c r="R61" s="62">
        <f>$L61-$N61</f>
        <v/>
      </c>
    </row>
    <row r="62">
      <c r="A62" s="59">
        <f>ROW()-5</f>
        <v/>
      </c>
      <c r="B62" s="60">
        <f>IFERROR(INDEX(tbl_Finance[Date],$A62),"")</f>
        <v/>
      </c>
      <c r="C62" s="61">
        <f>IFERROR(INDEX(tbl_Finance[Xero Invoice No],$A62),"")</f>
        <v/>
      </c>
      <c r="D62" s="61">
        <f>IFERROR(INDEX(tbl_Finance[Client],$A62),"")</f>
        <v/>
      </c>
      <c r="E62" s="61">
        <f>IFERROR(INDEX(tbl_Finance[Job Number],$A62),"")</f>
        <v/>
      </c>
      <c r="F62" s="61">
        <f>IFERROR(INDEX(tbl_Finance[Cost Centre],$A62),"")</f>
        <v/>
      </c>
      <c r="G62" s="62">
        <f>IFERROR(INDEX(tbl_Finance[Ex GST],$A62),"")</f>
        <v/>
      </c>
      <c r="H62" s="60">
        <f>IFERROR(INDEX(tbl_Finance[Defer Start],$A62),"")</f>
        <v/>
      </c>
      <c r="I62" s="60">
        <f>IFERROR(INDEX(tbl_Finance[Defer End],$A62),"")</f>
        <v/>
      </c>
      <c r="J62" s="59">
        <f>IF(OR($H62="",$I62="",$G62=""),"",MAX(1,(YEAR($I62)-YEAR($H62))*12+MONTH($I62)-MONTH($H62)+1))</f>
        <v/>
      </c>
      <c r="K62" s="62">
        <f>IF($J62="","",$G62/$J62)</f>
        <v/>
      </c>
      <c r="L62" s="62">
        <f>IF($J62="",0,$K62*MAX(0,MIN(YEAR($C$3)*12+MONTH($C$3),YEAR($I62)*12+MONTH($I62))-(YEAR($H62)*12+MONTH($H62))+1))</f>
        <v/>
      </c>
      <c r="M62" s="62">
        <f>IF($J62="",0,$K62*MAX(0,MIN(YEAR($C$3)*12+MONTH($C$3)-1,YEAR($I62)*12+MONTH($I62))-(YEAR($H62)*12+MONTH($H62))+1))</f>
        <v/>
      </c>
      <c r="N62" s="62">
        <f>IF(OR($J62="",$B62=""),0,IF(YEAR($B62)*12+MONTH($B62)&lt;=YEAR($C$3)*12+MONTH($C$3),$G62,0))</f>
        <v/>
      </c>
      <c r="O62" s="62">
        <f>IF(OR($J62="",$B62=""),0,IF(YEAR($B62)*12+MONTH($B62)&lt;=YEAR($C$3)*12+MONTH($C$3)-1,$G62,0))</f>
        <v/>
      </c>
      <c r="P62" s="62">
        <f>$M62-$O62</f>
        <v/>
      </c>
      <c r="Q62" s="62">
        <f>($L62-$M62)-($N62-$O62)</f>
        <v/>
      </c>
      <c r="R62" s="62">
        <f>$L62-$N62</f>
        <v/>
      </c>
    </row>
    <row r="63">
      <c r="A63" s="59">
        <f>ROW()-5</f>
        <v/>
      </c>
      <c r="B63" s="60">
        <f>IFERROR(INDEX(tbl_Finance[Date],$A63),"")</f>
        <v/>
      </c>
      <c r="C63" s="61">
        <f>IFERROR(INDEX(tbl_Finance[Xero Invoice No],$A63),"")</f>
        <v/>
      </c>
      <c r="D63" s="61">
        <f>IFERROR(INDEX(tbl_Finance[Client],$A63),"")</f>
        <v/>
      </c>
      <c r="E63" s="61">
        <f>IFERROR(INDEX(tbl_Finance[Job Number],$A63),"")</f>
        <v/>
      </c>
      <c r="F63" s="61">
        <f>IFERROR(INDEX(tbl_Finance[Cost Centre],$A63),"")</f>
        <v/>
      </c>
      <c r="G63" s="62">
        <f>IFERROR(INDEX(tbl_Finance[Ex GST],$A63),"")</f>
        <v/>
      </c>
      <c r="H63" s="60">
        <f>IFERROR(INDEX(tbl_Finance[Defer Start],$A63),"")</f>
        <v/>
      </c>
      <c r="I63" s="60">
        <f>IFERROR(INDEX(tbl_Finance[Defer End],$A63),"")</f>
        <v/>
      </c>
      <c r="J63" s="59">
        <f>IF(OR($H63="",$I63="",$G63=""),"",MAX(1,(YEAR($I63)-YEAR($H63))*12+MONTH($I63)-MONTH($H63)+1))</f>
        <v/>
      </c>
      <c r="K63" s="62">
        <f>IF($J63="","",$G63/$J63)</f>
        <v/>
      </c>
      <c r="L63" s="62">
        <f>IF($J63="",0,$K63*MAX(0,MIN(YEAR($C$3)*12+MONTH($C$3),YEAR($I63)*12+MONTH($I63))-(YEAR($H63)*12+MONTH($H63))+1))</f>
        <v/>
      </c>
      <c r="M63" s="62">
        <f>IF($J63="",0,$K63*MAX(0,MIN(YEAR($C$3)*12+MONTH($C$3)-1,YEAR($I63)*12+MONTH($I63))-(YEAR($H63)*12+MONTH($H63))+1))</f>
        <v/>
      </c>
      <c r="N63" s="62">
        <f>IF(OR($J63="",$B63=""),0,IF(YEAR($B63)*12+MONTH($B63)&lt;=YEAR($C$3)*12+MONTH($C$3),$G63,0))</f>
        <v/>
      </c>
      <c r="O63" s="62">
        <f>IF(OR($J63="",$B63=""),0,IF(YEAR($B63)*12+MONTH($B63)&lt;=YEAR($C$3)*12+MONTH($C$3)-1,$G63,0))</f>
        <v/>
      </c>
      <c r="P63" s="62">
        <f>$M63-$O63</f>
        <v/>
      </c>
      <c r="Q63" s="62">
        <f>($L63-$M63)-($N63-$O63)</f>
        <v/>
      </c>
      <c r="R63" s="62">
        <f>$L63-$N63</f>
        <v/>
      </c>
    </row>
    <row r="64">
      <c r="A64" s="59">
        <f>ROW()-5</f>
        <v/>
      </c>
      <c r="B64" s="60">
        <f>IFERROR(INDEX(tbl_Finance[Date],$A64),"")</f>
        <v/>
      </c>
      <c r="C64" s="61">
        <f>IFERROR(INDEX(tbl_Finance[Xero Invoice No],$A64),"")</f>
        <v/>
      </c>
      <c r="D64" s="61">
        <f>IFERROR(INDEX(tbl_Finance[Client],$A64),"")</f>
        <v/>
      </c>
      <c r="E64" s="61">
        <f>IFERROR(INDEX(tbl_Finance[Job Number],$A64),"")</f>
        <v/>
      </c>
      <c r="F64" s="61">
        <f>IFERROR(INDEX(tbl_Finance[Cost Centre],$A64),"")</f>
        <v/>
      </c>
      <c r="G64" s="62">
        <f>IFERROR(INDEX(tbl_Finance[Ex GST],$A64),"")</f>
        <v/>
      </c>
      <c r="H64" s="60">
        <f>IFERROR(INDEX(tbl_Finance[Defer Start],$A64),"")</f>
        <v/>
      </c>
      <c r="I64" s="60">
        <f>IFERROR(INDEX(tbl_Finance[Defer End],$A64),"")</f>
        <v/>
      </c>
      <c r="J64" s="59">
        <f>IF(OR($H64="",$I64="",$G64=""),"",MAX(1,(YEAR($I64)-YEAR($H64))*12+MONTH($I64)-MONTH($H64)+1))</f>
        <v/>
      </c>
      <c r="K64" s="62">
        <f>IF($J64="","",$G64/$J64)</f>
        <v/>
      </c>
      <c r="L64" s="62">
        <f>IF($J64="",0,$K64*MAX(0,MIN(YEAR($C$3)*12+MONTH($C$3),YEAR($I64)*12+MONTH($I64))-(YEAR($H64)*12+MONTH($H64))+1))</f>
        <v/>
      </c>
      <c r="M64" s="62">
        <f>IF($J64="",0,$K64*MAX(0,MIN(YEAR($C$3)*12+MONTH($C$3)-1,YEAR($I64)*12+MONTH($I64))-(YEAR($H64)*12+MONTH($H64))+1))</f>
        <v/>
      </c>
      <c r="N64" s="62">
        <f>IF(OR($J64="",$B64=""),0,IF(YEAR($B64)*12+MONTH($B64)&lt;=YEAR($C$3)*12+MONTH($C$3),$G64,0))</f>
        <v/>
      </c>
      <c r="O64" s="62">
        <f>IF(OR($J64="",$B64=""),0,IF(YEAR($B64)*12+MONTH($B64)&lt;=YEAR($C$3)*12+MONTH($C$3)-1,$G64,0))</f>
        <v/>
      </c>
      <c r="P64" s="62">
        <f>$M64-$O64</f>
        <v/>
      </c>
      <c r="Q64" s="62">
        <f>($L64-$M64)-($N64-$O64)</f>
        <v/>
      </c>
      <c r="R64" s="62">
        <f>$L64-$N64</f>
        <v/>
      </c>
    </row>
    <row r="65">
      <c r="A65" s="59">
        <f>ROW()-5</f>
        <v/>
      </c>
      <c r="B65" s="60">
        <f>IFERROR(INDEX(tbl_Finance[Date],$A65),"")</f>
        <v/>
      </c>
      <c r="C65" s="61">
        <f>IFERROR(INDEX(tbl_Finance[Xero Invoice No],$A65),"")</f>
        <v/>
      </c>
      <c r="D65" s="61">
        <f>IFERROR(INDEX(tbl_Finance[Client],$A65),"")</f>
        <v/>
      </c>
      <c r="E65" s="61">
        <f>IFERROR(INDEX(tbl_Finance[Job Number],$A65),"")</f>
        <v/>
      </c>
      <c r="F65" s="61">
        <f>IFERROR(INDEX(tbl_Finance[Cost Centre],$A65),"")</f>
        <v/>
      </c>
      <c r="G65" s="62">
        <f>IFERROR(INDEX(tbl_Finance[Ex GST],$A65),"")</f>
        <v/>
      </c>
      <c r="H65" s="60">
        <f>IFERROR(INDEX(tbl_Finance[Defer Start],$A65),"")</f>
        <v/>
      </c>
      <c r="I65" s="60">
        <f>IFERROR(INDEX(tbl_Finance[Defer End],$A65),"")</f>
        <v/>
      </c>
      <c r="J65" s="59">
        <f>IF(OR($H65="",$I65="",$G65=""),"",MAX(1,(YEAR($I65)-YEAR($H65))*12+MONTH($I65)-MONTH($H65)+1))</f>
        <v/>
      </c>
      <c r="K65" s="62">
        <f>IF($J65="","",$G65/$J65)</f>
        <v/>
      </c>
      <c r="L65" s="62">
        <f>IF($J65="",0,$K65*MAX(0,MIN(YEAR($C$3)*12+MONTH($C$3),YEAR($I65)*12+MONTH($I65))-(YEAR($H65)*12+MONTH($H65))+1))</f>
        <v/>
      </c>
      <c r="M65" s="62">
        <f>IF($J65="",0,$K65*MAX(0,MIN(YEAR($C$3)*12+MONTH($C$3)-1,YEAR($I65)*12+MONTH($I65))-(YEAR($H65)*12+MONTH($H65))+1))</f>
        <v/>
      </c>
      <c r="N65" s="62">
        <f>IF(OR($J65="",$B65=""),0,IF(YEAR($B65)*12+MONTH($B65)&lt;=YEAR($C$3)*12+MONTH($C$3),$G65,0))</f>
        <v/>
      </c>
      <c r="O65" s="62">
        <f>IF(OR($J65="",$B65=""),0,IF(YEAR($B65)*12+MONTH($B65)&lt;=YEAR($C$3)*12+MONTH($C$3)-1,$G65,0))</f>
        <v/>
      </c>
      <c r="P65" s="62">
        <f>$M65-$O65</f>
        <v/>
      </c>
      <c r="Q65" s="62">
        <f>($L65-$M65)-($N65-$O65)</f>
        <v/>
      </c>
      <c r="R65" s="62">
        <f>$L65-$N65</f>
        <v/>
      </c>
    </row>
    <row r="66">
      <c r="A66" s="59">
        <f>ROW()-5</f>
        <v/>
      </c>
      <c r="B66" s="60">
        <f>IFERROR(INDEX(tbl_Finance[Date],$A66),"")</f>
        <v/>
      </c>
      <c r="C66" s="61">
        <f>IFERROR(INDEX(tbl_Finance[Xero Invoice No],$A66),"")</f>
        <v/>
      </c>
      <c r="D66" s="61">
        <f>IFERROR(INDEX(tbl_Finance[Client],$A66),"")</f>
        <v/>
      </c>
      <c r="E66" s="61">
        <f>IFERROR(INDEX(tbl_Finance[Job Number],$A66),"")</f>
        <v/>
      </c>
      <c r="F66" s="61">
        <f>IFERROR(INDEX(tbl_Finance[Cost Centre],$A66),"")</f>
        <v/>
      </c>
      <c r="G66" s="62">
        <f>IFERROR(INDEX(tbl_Finance[Ex GST],$A66),"")</f>
        <v/>
      </c>
      <c r="H66" s="60">
        <f>IFERROR(INDEX(tbl_Finance[Defer Start],$A66),"")</f>
        <v/>
      </c>
      <c r="I66" s="60">
        <f>IFERROR(INDEX(tbl_Finance[Defer End],$A66),"")</f>
        <v/>
      </c>
      <c r="J66" s="59">
        <f>IF(OR($H66="",$I66="",$G66=""),"",MAX(1,(YEAR($I66)-YEAR($H66))*12+MONTH($I66)-MONTH($H66)+1))</f>
        <v/>
      </c>
      <c r="K66" s="62">
        <f>IF($J66="","",$G66/$J66)</f>
        <v/>
      </c>
      <c r="L66" s="62">
        <f>IF($J66="",0,$K66*MAX(0,MIN(YEAR($C$3)*12+MONTH($C$3),YEAR($I66)*12+MONTH($I66))-(YEAR($H66)*12+MONTH($H66))+1))</f>
        <v/>
      </c>
      <c r="M66" s="62">
        <f>IF($J66="",0,$K66*MAX(0,MIN(YEAR($C$3)*12+MONTH($C$3)-1,YEAR($I66)*12+MONTH($I66))-(YEAR($H66)*12+MONTH($H66))+1))</f>
        <v/>
      </c>
      <c r="N66" s="62">
        <f>IF(OR($J66="",$B66=""),0,IF(YEAR($B66)*12+MONTH($B66)&lt;=YEAR($C$3)*12+MONTH($C$3),$G66,0))</f>
        <v/>
      </c>
      <c r="O66" s="62">
        <f>IF(OR($J66="",$B66=""),0,IF(YEAR($B66)*12+MONTH($B66)&lt;=YEAR($C$3)*12+MONTH($C$3)-1,$G66,0))</f>
        <v/>
      </c>
      <c r="P66" s="62">
        <f>$M66-$O66</f>
        <v/>
      </c>
      <c r="Q66" s="62">
        <f>($L66-$M66)-($N66-$O66)</f>
        <v/>
      </c>
      <c r="R66" s="62">
        <f>$L66-$N66</f>
        <v/>
      </c>
    </row>
    <row r="67">
      <c r="A67" s="59">
        <f>ROW()-5</f>
        <v/>
      </c>
      <c r="B67" s="60">
        <f>IFERROR(INDEX(tbl_Finance[Date],$A67),"")</f>
        <v/>
      </c>
      <c r="C67" s="61">
        <f>IFERROR(INDEX(tbl_Finance[Xero Invoice No],$A67),"")</f>
        <v/>
      </c>
      <c r="D67" s="61">
        <f>IFERROR(INDEX(tbl_Finance[Client],$A67),"")</f>
        <v/>
      </c>
      <c r="E67" s="61">
        <f>IFERROR(INDEX(tbl_Finance[Job Number],$A67),"")</f>
        <v/>
      </c>
      <c r="F67" s="61">
        <f>IFERROR(INDEX(tbl_Finance[Cost Centre],$A67),"")</f>
        <v/>
      </c>
      <c r="G67" s="62">
        <f>IFERROR(INDEX(tbl_Finance[Ex GST],$A67),"")</f>
        <v/>
      </c>
      <c r="H67" s="60">
        <f>IFERROR(INDEX(tbl_Finance[Defer Start],$A67),"")</f>
        <v/>
      </c>
      <c r="I67" s="60">
        <f>IFERROR(INDEX(tbl_Finance[Defer End],$A67),"")</f>
        <v/>
      </c>
      <c r="J67" s="59">
        <f>IF(OR($H67="",$I67="",$G67=""),"",MAX(1,(YEAR($I67)-YEAR($H67))*12+MONTH($I67)-MONTH($H67)+1))</f>
        <v/>
      </c>
      <c r="K67" s="62">
        <f>IF($J67="","",$G67/$J67)</f>
        <v/>
      </c>
      <c r="L67" s="62">
        <f>IF($J67="",0,$K67*MAX(0,MIN(YEAR($C$3)*12+MONTH($C$3),YEAR($I67)*12+MONTH($I67))-(YEAR($H67)*12+MONTH($H67))+1))</f>
        <v/>
      </c>
      <c r="M67" s="62">
        <f>IF($J67="",0,$K67*MAX(0,MIN(YEAR($C$3)*12+MONTH($C$3)-1,YEAR($I67)*12+MONTH($I67))-(YEAR($H67)*12+MONTH($H67))+1))</f>
        <v/>
      </c>
      <c r="N67" s="62">
        <f>IF(OR($J67="",$B67=""),0,IF(YEAR($B67)*12+MONTH($B67)&lt;=YEAR($C$3)*12+MONTH($C$3),$G67,0))</f>
        <v/>
      </c>
      <c r="O67" s="62">
        <f>IF(OR($J67="",$B67=""),0,IF(YEAR($B67)*12+MONTH($B67)&lt;=YEAR($C$3)*12+MONTH($C$3)-1,$G67,0))</f>
        <v/>
      </c>
      <c r="P67" s="62">
        <f>$M67-$O67</f>
        <v/>
      </c>
      <c r="Q67" s="62">
        <f>($L67-$M67)-($N67-$O67)</f>
        <v/>
      </c>
      <c r="R67" s="62">
        <f>$L67-$N67</f>
        <v/>
      </c>
    </row>
    <row r="68">
      <c r="A68" s="59">
        <f>ROW()-5</f>
        <v/>
      </c>
      <c r="B68" s="60">
        <f>IFERROR(INDEX(tbl_Finance[Date],$A68),"")</f>
        <v/>
      </c>
      <c r="C68" s="61">
        <f>IFERROR(INDEX(tbl_Finance[Xero Invoice No],$A68),"")</f>
        <v/>
      </c>
      <c r="D68" s="61">
        <f>IFERROR(INDEX(tbl_Finance[Client],$A68),"")</f>
        <v/>
      </c>
      <c r="E68" s="61">
        <f>IFERROR(INDEX(tbl_Finance[Job Number],$A68),"")</f>
        <v/>
      </c>
      <c r="F68" s="61">
        <f>IFERROR(INDEX(tbl_Finance[Cost Centre],$A68),"")</f>
        <v/>
      </c>
      <c r="G68" s="62">
        <f>IFERROR(INDEX(tbl_Finance[Ex GST],$A68),"")</f>
        <v/>
      </c>
      <c r="H68" s="60">
        <f>IFERROR(INDEX(tbl_Finance[Defer Start],$A68),"")</f>
        <v/>
      </c>
      <c r="I68" s="60">
        <f>IFERROR(INDEX(tbl_Finance[Defer End],$A68),"")</f>
        <v/>
      </c>
      <c r="J68" s="59">
        <f>IF(OR($H68="",$I68="",$G68=""),"",MAX(1,(YEAR($I68)-YEAR($H68))*12+MONTH($I68)-MONTH($H68)+1))</f>
        <v/>
      </c>
      <c r="K68" s="62">
        <f>IF($J68="","",$G68/$J68)</f>
        <v/>
      </c>
      <c r="L68" s="62">
        <f>IF($J68="",0,$K68*MAX(0,MIN(YEAR($C$3)*12+MONTH($C$3),YEAR($I68)*12+MONTH($I68))-(YEAR($H68)*12+MONTH($H68))+1))</f>
        <v/>
      </c>
      <c r="M68" s="62">
        <f>IF($J68="",0,$K68*MAX(0,MIN(YEAR($C$3)*12+MONTH($C$3)-1,YEAR($I68)*12+MONTH($I68))-(YEAR($H68)*12+MONTH($H68))+1))</f>
        <v/>
      </c>
      <c r="N68" s="62">
        <f>IF(OR($J68="",$B68=""),0,IF(YEAR($B68)*12+MONTH($B68)&lt;=YEAR($C$3)*12+MONTH($C$3),$G68,0))</f>
        <v/>
      </c>
      <c r="O68" s="62">
        <f>IF(OR($J68="",$B68=""),0,IF(YEAR($B68)*12+MONTH($B68)&lt;=YEAR($C$3)*12+MONTH($C$3)-1,$G68,0))</f>
        <v/>
      </c>
      <c r="P68" s="62">
        <f>$M68-$O68</f>
        <v/>
      </c>
      <c r="Q68" s="62">
        <f>($L68-$M68)-($N68-$O68)</f>
        <v/>
      </c>
      <c r="R68" s="62">
        <f>$L68-$N68</f>
        <v/>
      </c>
    </row>
    <row r="69">
      <c r="A69" s="59">
        <f>ROW()-5</f>
        <v/>
      </c>
      <c r="B69" s="60">
        <f>IFERROR(INDEX(tbl_Finance[Date],$A69),"")</f>
        <v/>
      </c>
      <c r="C69" s="61">
        <f>IFERROR(INDEX(tbl_Finance[Xero Invoice No],$A69),"")</f>
        <v/>
      </c>
      <c r="D69" s="61">
        <f>IFERROR(INDEX(tbl_Finance[Client],$A69),"")</f>
        <v/>
      </c>
      <c r="E69" s="61">
        <f>IFERROR(INDEX(tbl_Finance[Job Number],$A69),"")</f>
        <v/>
      </c>
      <c r="F69" s="61">
        <f>IFERROR(INDEX(tbl_Finance[Cost Centre],$A69),"")</f>
        <v/>
      </c>
      <c r="G69" s="62">
        <f>IFERROR(INDEX(tbl_Finance[Ex GST],$A69),"")</f>
        <v/>
      </c>
      <c r="H69" s="60">
        <f>IFERROR(INDEX(tbl_Finance[Defer Start],$A69),"")</f>
        <v/>
      </c>
      <c r="I69" s="60">
        <f>IFERROR(INDEX(tbl_Finance[Defer End],$A69),"")</f>
        <v/>
      </c>
      <c r="J69" s="59">
        <f>IF(OR($H69="",$I69="",$G69=""),"",MAX(1,(YEAR($I69)-YEAR($H69))*12+MONTH($I69)-MONTH($H69)+1))</f>
        <v/>
      </c>
      <c r="K69" s="62">
        <f>IF($J69="","",$G69/$J69)</f>
        <v/>
      </c>
      <c r="L69" s="62">
        <f>IF($J69="",0,$K69*MAX(0,MIN(YEAR($C$3)*12+MONTH($C$3),YEAR($I69)*12+MONTH($I69))-(YEAR($H69)*12+MONTH($H69))+1))</f>
        <v/>
      </c>
      <c r="M69" s="62">
        <f>IF($J69="",0,$K69*MAX(0,MIN(YEAR($C$3)*12+MONTH($C$3)-1,YEAR($I69)*12+MONTH($I69))-(YEAR($H69)*12+MONTH($H69))+1))</f>
        <v/>
      </c>
      <c r="N69" s="62">
        <f>IF(OR($J69="",$B69=""),0,IF(YEAR($B69)*12+MONTH($B69)&lt;=YEAR($C$3)*12+MONTH($C$3),$G69,0))</f>
        <v/>
      </c>
      <c r="O69" s="62">
        <f>IF(OR($J69="",$B69=""),0,IF(YEAR($B69)*12+MONTH($B69)&lt;=YEAR($C$3)*12+MONTH($C$3)-1,$G69,0))</f>
        <v/>
      </c>
      <c r="P69" s="62">
        <f>$M69-$O69</f>
        <v/>
      </c>
      <c r="Q69" s="62">
        <f>($L69-$M69)-($N69-$O69)</f>
        <v/>
      </c>
      <c r="R69" s="62">
        <f>$L69-$N69</f>
        <v/>
      </c>
    </row>
    <row r="70">
      <c r="A70" s="59">
        <f>ROW()-5</f>
        <v/>
      </c>
      <c r="B70" s="60">
        <f>IFERROR(INDEX(tbl_Finance[Date],$A70),"")</f>
        <v/>
      </c>
      <c r="C70" s="61">
        <f>IFERROR(INDEX(tbl_Finance[Xero Invoice No],$A70),"")</f>
        <v/>
      </c>
      <c r="D70" s="61">
        <f>IFERROR(INDEX(tbl_Finance[Client],$A70),"")</f>
        <v/>
      </c>
      <c r="E70" s="61">
        <f>IFERROR(INDEX(tbl_Finance[Job Number],$A70),"")</f>
        <v/>
      </c>
      <c r="F70" s="61">
        <f>IFERROR(INDEX(tbl_Finance[Cost Centre],$A70),"")</f>
        <v/>
      </c>
      <c r="G70" s="62">
        <f>IFERROR(INDEX(tbl_Finance[Ex GST],$A70),"")</f>
        <v/>
      </c>
      <c r="H70" s="60">
        <f>IFERROR(INDEX(tbl_Finance[Defer Start],$A70),"")</f>
        <v/>
      </c>
      <c r="I70" s="60">
        <f>IFERROR(INDEX(tbl_Finance[Defer End],$A70),"")</f>
        <v/>
      </c>
      <c r="J70" s="59">
        <f>IF(OR($H70="",$I70="",$G70=""),"",MAX(1,(YEAR($I70)-YEAR($H70))*12+MONTH($I70)-MONTH($H70)+1))</f>
        <v/>
      </c>
      <c r="K70" s="62">
        <f>IF($J70="","",$G70/$J70)</f>
        <v/>
      </c>
      <c r="L70" s="62">
        <f>IF($J70="",0,$K70*MAX(0,MIN(YEAR($C$3)*12+MONTH($C$3),YEAR($I70)*12+MONTH($I70))-(YEAR($H70)*12+MONTH($H70))+1))</f>
        <v/>
      </c>
      <c r="M70" s="62">
        <f>IF($J70="",0,$K70*MAX(0,MIN(YEAR($C$3)*12+MONTH($C$3)-1,YEAR($I70)*12+MONTH($I70))-(YEAR($H70)*12+MONTH($H70))+1))</f>
        <v/>
      </c>
      <c r="N70" s="62">
        <f>IF(OR($J70="",$B70=""),0,IF(YEAR($B70)*12+MONTH($B70)&lt;=YEAR($C$3)*12+MONTH($C$3),$G70,0))</f>
        <v/>
      </c>
      <c r="O70" s="62">
        <f>IF(OR($J70="",$B70=""),0,IF(YEAR($B70)*12+MONTH($B70)&lt;=YEAR($C$3)*12+MONTH($C$3)-1,$G70,0))</f>
        <v/>
      </c>
      <c r="P70" s="62">
        <f>$M70-$O70</f>
        <v/>
      </c>
      <c r="Q70" s="62">
        <f>($L70-$M70)-($N70-$O70)</f>
        <v/>
      </c>
      <c r="R70" s="62">
        <f>$L70-$N70</f>
        <v/>
      </c>
    </row>
    <row r="71">
      <c r="A71" s="59">
        <f>ROW()-5</f>
        <v/>
      </c>
      <c r="B71" s="60">
        <f>IFERROR(INDEX(tbl_Finance[Date],$A71),"")</f>
        <v/>
      </c>
      <c r="C71" s="61">
        <f>IFERROR(INDEX(tbl_Finance[Xero Invoice No],$A71),"")</f>
        <v/>
      </c>
      <c r="D71" s="61">
        <f>IFERROR(INDEX(tbl_Finance[Client],$A71),"")</f>
        <v/>
      </c>
      <c r="E71" s="61">
        <f>IFERROR(INDEX(tbl_Finance[Job Number],$A71),"")</f>
        <v/>
      </c>
      <c r="F71" s="61">
        <f>IFERROR(INDEX(tbl_Finance[Cost Centre],$A71),"")</f>
        <v/>
      </c>
      <c r="G71" s="62">
        <f>IFERROR(INDEX(tbl_Finance[Ex GST],$A71),"")</f>
        <v/>
      </c>
      <c r="H71" s="60">
        <f>IFERROR(INDEX(tbl_Finance[Defer Start],$A71),"")</f>
        <v/>
      </c>
      <c r="I71" s="60">
        <f>IFERROR(INDEX(tbl_Finance[Defer End],$A71),"")</f>
        <v/>
      </c>
      <c r="J71" s="59">
        <f>IF(OR($H71="",$I71="",$G71=""),"",MAX(1,(YEAR($I71)-YEAR($H71))*12+MONTH($I71)-MONTH($H71)+1))</f>
        <v/>
      </c>
      <c r="K71" s="62">
        <f>IF($J71="","",$G71/$J71)</f>
        <v/>
      </c>
      <c r="L71" s="62">
        <f>IF($J71="",0,$K71*MAX(0,MIN(YEAR($C$3)*12+MONTH($C$3),YEAR($I71)*12+MONTH($I71))-(YEAR($H71)*12+MONTH($H71))+1))</f>
        <v/>
      </c>
      <c r="M71" s="62">
        <f>IF($J71="",0,$K71*MAX(0,MIN(YEAR($C$3)*12+MONTH($C$3)-1,YEAR($I71)*12+MONTH($I71))-(YEAR($H71)*12+MONTH($H71))+1))</f>
        <v/>
      </c>
      <c r="N71" s="62">
        <f>IF(OR($J71="",$B71=""),0,IF(YEAR($B71)*12+MONTH($B71)&lt;=YEAR($C$3)*12+MONTH($C$3),$G71,0))</f>
        <v/>
      </c>
      <c r="O71" s="62">
        <f>IF(OR($J71="",$B71=""),0,IF(YEAR($B71)*12+MONTH($B71)&lt;=YEAR($C$3)*12+MONTH($C$3)-1,$G71,0))</f>
        <v/>
      </c>
      <c r="P71" s="62">
        <f>$M71-$O71</f>
        <v/>
      </c>
      <c r="Q71" s="62">
        <f>($L71-$M71)-($N71-$O71)</f>
        <v/>
      </c>
      <c r="R71" s="62">
        <f>$L71-$N71</f>
        <v/>
      </c>
    </row>
    <row r="72">
      <c r="A72" s="59">
        <f>ROW()-5</f>
        <v/>
      </c>
      <c r="B72" s="60">
        <f>IFERROR(INDEX(tbl_Finance[Date],$A72),"")</f>
        <v/>
      </c>
      <c r="C72" s="61">
        <f>IFERROR(INDEX(tbl_Finance[Xero Invoice No],$A72),"")</f>
        <v/>
      </c>
      <c r="D72" s="61">
        <f>IFERROR(INDEX(tbl_Finance[Client],$A72),"")</f>
        <v/>
      </c>
      <c r="E72" s="61">
        <f>IFERROR(INDEX(tbl_Finance[Job Number],$A72),"")</f>
        <v/>
      </c>
      <c r="F72" s="61">
        <f>IFERROR(INDEX(tbl_Finance[Cost Centre],$A72),"")</f>
        <v/>
      </c>
      <c r="G72" s="62">
        <f>IFERROR(INDEX(tbl_Finance[Ex GST],$A72),"")</f>
        <v/>
      </c>
      <c r="H72" s="60">
        <f>IFERROR(INDEX(tbl_Finance[Defer Start],$A72),"")</f>
        <v/>
      </c>
      <c r="I72" s="60">
        <f>IFERROR(INDEX(tbl_Finance[Defer End],$A72),"")</f>
        <v/>
      </c>
      <c r="J72" s="59">
        <f>IF(OR($H72="",$I72="",$G72=""),"",MAX(1,(YEAR($I72)-YEAR($H72))*12+MONTH($I72)-MONTH($H72)+1))</f>
        <v/>
      </c>
      <c r="K72" s="62">
        <f>IF($J72="","",$G72/$J72)</f>
        <v/>
      </c>
      <c r="L72" s="62">
        <f>IF($J72="",0,$K72*MAX(0,MIN(YEAR($C$3)*12+MONTH($C$3),YEAR($I72)*12+MONTH($I72))-(YEAR($H72)*12+MONTH($H72))+1))</f>
        <v/>
      </c>
      <c r="M72" s="62">
        <f>IF($J72="",0,$K72*MAX(0,MIN(YEAR($C$3)*12+MONTH($C$3)-1,YEAR($I72)*12+MONTH($I72))-(YEAR($H72)*12+MONTH($H72))+1))</f>
        <v/>
      </c>
      <c r="N72" s="62">
        <f>IF(OR($J72="",$B72=""),0,IF(YEAR($B72)*12+MONTH($B72)&lt;=YEAR($C$3)*12+MONTH($C$3),$G72,0))</f>
        <v/>
      </c>
      <c r="O72" s="62">
        <f>IF(OR($J72="",$B72=""),0,IF(YEAR($B72)*12+MONTH($B72)&lt;=YEAR($C$3)*12+MONTH($C$3)-1,$G72,0))</f>
        <v/>
      </c>
      <c r="P72" s="62">
        <f>$M72-$O72</f>
        <v/>
      </c>
      <c r="Q72" s="62">
        <f>($L72-$M72)-($N72-$O72)</f>
        <v/>
      </c>
      <c r="R72" s="62">
        <f>$L72-$N72</f>
        <v/>
      </c>
    </row>
    <row r="73">
      <c r="A73" s="59">
        <f>ROW()-5</f>
        <v/>
      </c>
      <c r="B73" s="60">
        <f>IFERROR(INDEX(tbl_Finance[Date],$A73),"")</f>
        <v/>
      </c>
      <c r="C73" s="61">
        <f>IFERROR(INDEX(tbl_Finance[Xero Invoice No],$A73),"")</f>
        <v/>
      </c>
      <c r="D73" s="61">
        <f>IFERROR(INDEX(tbl_Finance[Client],$A73),"")</f>
        <v/>
      </c>
      <c r="E73" s="61">
        <f>IFERROR(INDEX(tbl_Finance[Job Number],$A73),"")</f>
        <v/>
      </c>
      <c r="F73" s="61">
        <f>IFERROR(INDEX(tbl_Finance[Cost Centre],$A73),"")</f>
        <v/>
      </c>
      <c r="G73" s="62">
        <f>IFERROR(INDEX(tbl_Finance[Ex GST],$A73),"")</f>
        <v/>
      </c>
      <c r="H73" s="60">
        <f>IFERROR(INDEX(tbl_Finance[Defer Start],$A73),"")</f>
        <v/>
      </c>
      <c r="I73" s="60">
        <f>IFERROR(INDEX(tbl_Finance[Defer End],$A73),"")</f>
        <v/>
      </c>
      <c r="J73" s="59">
        <f>IF(OR($H73="",$I73="",$G73=""),"",MAX(1,(YEAR($I73)-YEAR($H73))*12+MONTH($I73)-MONTH($H73)+1))</f>
        <v/>
      </c>
      <c r="K73" s="62">
        <f>IF($J73="","",$G73/$J73)</f>
        <v/>
      </c>
      <c r="L73" s="62">
        <f>IF($J73="",0,$K73*MAX(0,MIN(YEAR($C$3)*12+MONTH($C$3),YEAR($I73)*12+MONTH($I73))-(YEAR($H73)*12+MONTH($H73))+1))</f>
        <v/>
      </c>
      <c r="M73" s="62">
        <f>IF($J73="",0,$K73*MAX(0,MIN(YEAR($C$3)*12+MONTH($C$3)-1,YEAR($I73)*12+MONTH($I73))-(YEAR($H73)*12+MONTH($H73))+1))</f>
        <v/>
      </c>
      <c r="N73" s="62">
        <f>IF(OR($J73="",$B73=""),0,IF(YEAR($B73)*12+MONTH($B73)&lt;=YEAR($C$3)*12+MONTH($C$3),$G73,0))</f>
        <v/>
      </c>
      <c r="O73" s="62">
        <f>IF(OR($J73="",$B73=""),0,IF(YEAR($B73)*12+MONTH($B73)&lt;=YEAR($C$3)*12+MONTH($C$3)-1,$G73,0))</f>
        <v/>
      </c>
      <c r="P73" s="62">
        <f>$M73-$O73</f>
        <v/>
      </c>
      <c r="Q73" s="62">
        <f>($L73-$M73)-($N73-$O73)</f>
        <v/>
      </c>
      <c r="R73" s="62">
        <f>$L73-$N73</f>
        <v/>
      </c>
    </row>
    <row r="74">
      <c r="A74" s="59">
        <f>ROW()-5</f>
        <v/>
      </c>
      <c r="B74" s="60">
        <f>IFERROR(INDEX(tbl_Finance[Date],$A74),"")</f>
        <v/>
      </c>
      <c r="C74" s="61">
        <f>IFERROR(INDEX(tbl_Finance[Xero Invoice No],$A74),"")</f>
        <v/>
      </c>
      <c r="D74" s="61">
        <f>IFERROR(INDEX(tbl_Finance[Client],$A74),"")</f>
        <v/>
      </c>
      <c r="E74" s="61">
        <f>IFERROR(INDEX(tbl_Finance[Job Number],$A74),"")</f>
        <v/>
      </c>
      <c r="F74" s="61">
        <f>IFERROR(INDEX(tbl_Finance[Cost Centre],$A74),"")</f>
        <v/>
      </c>
      <c r="G74" s="62">
        <f>IFERROR(INDEX(tbl_Finance[Ex GST],$A74),"")</f>
        <v/>
      </c>
      <c r="H74" s="60">
        <f>IFERROR(INDEX(tbl_Finance[Defer Start],$A74),"")</f>
        <v/>
      </c>
      <c r="I74" s="60">
        <f>IFERROR(INDEX(tbl_Finance[Defer End],$A74),"")</f>
        <v/>
      </c>
      <c r="J74" s="59">
        <f>IF(OR($H74="",$I74="",$G74=""),"",MAX(1,(YEAR($I74)-YEAR($H74))*12+MONTH($I74)-MONTH($H74)+1))</f>
        <v/>
      </c>
      <c r="K74" s="62">
        <f>IF($J74="","",$G74/$J74)</f>
        <v/>
      </c>
      <c r="L74" s="62">
        <f>IF($J74="",0,$K74*MAX(0,MIN(YEAR($C$3)*12+MONTH($C$3),YEAR($I74)*12+MONTH($I74))-(YEAR($H74)*12+MONTH($H74))+1))</f>
        <v/>
      </c>
      <c r="M74" s="62">
        <f>IF($J74="",0,$K74*MAX(0,MIN(YEAR($C$3)*12+MONTH($C$3)-1,YEAR($I74)*12+MONTH($I74))-(YEAR($H74)*12+MONTH($H74))+1))</f>
        <v/>
      </c>
      <c r="N74" s="62">
        <f>IF(OR($J74="",$B74=""),0,IF(YEAR($B74)*12+MONTH($B74)&lt;=YEAR($C$3)*12+MONTH($C$3),$G74,0))</f>
        <v/>
      </c>
      <c r="O74" s="62">
        <f>IF(OR($J74="",$B74=""),0,IF(YEAR($B74)*12+MONTH($B74)&lt;=YEAR($C$3)*12+MONTH($C$3)-1,$G74,0))</f>
        <v/>
      </c>
      <c r="P74" s="62">
        <f>$M74-$O74</f>
        <v/>
      </c>
      <c r="Q74" s="62">
        <f>($L74-$M74)-($N74-$O74)</f>
        <v/>
      </c>
      <c r="R74" s="62">
        <f>$L74-$N74</f>
        <v/>
      </c>
    </row>
    <row r="75">
      <c r="A75" s="59">
        <f>ROW()-5</f>
        <v/>
      </c>
      <c r="B75" s="60">
        <f>IFERROR(INDEX(tbl_Finance[Date],$A75),"")</f>
        <v/>
      </c>
      <c r="C75" s="61">
        <f>IFERROR(INDEX(tbl_Finance[Xero Invoice No],$A75),"")</f>
        <v/>
      </c>
      <c r="D75" s="61">
        <f>IFERROR(INDEX(tbl_Finance[Client],$A75),"")</f>
        <v/>
      </c>
      <c r="E75" s="61">
        <f>IFERROR(INDEX(tbl_Finance[Job Number],$A75),"")</f>
        <v/>
      </c>
      <c r="F75" s="61">
        <f>IFERROR(INDEX(tbl_Finance[Cost Centre],$A75),"")</f>
        <v/>
      </c>
      <c r="G75" s="62">
        <f>IFERROR(INDEX(tbl_Finance[Ex GST],$A75),"")</f>
        <v/>
      </c>
      <c r="H75" s="60">
        <f>IFERROR(INDEX(tbl_Finance[Defer Start],$A75),"")</f>
        <v/>
      </c>
      <c r="I75" s="60">
        <f>IFERROR(INDEX(tbl_Finance[Defer End],$A75),"")</f>
        <v/>
      </c>
      <c r="J75" s="59">
        <f>IF(OR($H75="",$I75="",$G75=""),"",MAX(1,(YEAR($I75)-YEAR($H75))*12+MONTH($I75)-MONTH($H75)+1))</f>
        <v/>
      </c>
      <c r="K75" s="62">
        <f>IF($J75="","",$G75/$J75)</f>
        <v/>
      </c>
      <c r="L75" s="62">
        <f>IF($J75="",0,$K75*MAX(0,MIN(YEAR($C$3)*12+MONTH($C$3),YEAR($I75)*12+MONTH($I75))-(YEAR($H75)*12+MONTH($H75))+1))</f>
        <v/>
      </c>
      <c r="M75" s="62">
        <f>IF($J75="",0,$K75*MAX(0,MIN(YEAR($C$3)*12+MONTH($C$3)-1,YEAR($I75)*12+MONTH($I75))-(YEAR($H75)*12+MONTH($H75))+1))</f>
        <v/>
      </c>
      <c r="N75" s="62">
        <f>IF(OR($J75="",$B75=""),0,IF(YEAR($B75)*12+MONTH($B75)&lt;=YEAR($C$3)*12+MONTH($C$3),$G75,0))</f>
        <v/>
      </c>
      <c r="O75" s="62">
        <f>IF(OR($J75="",$B75=""),0,IF(YEAR($B75)*12+MONTH($B75)&lt;=YEAR($C$3)*12+MONTH($C$3)-1,$G75,0))</f>
        <v/>
      </c>
      <c r="P75" s="62">
        <f>$M75-$O75</f>
        <v/>
      </c>
      <c r="Q75" s="62">
        <f>($L75-$M75)-($N75-$O75)</f>
        <v/>
      </c>
      <c r="R75" s="62">
        <f>$L75-$N75</f>
        <v/>
      </c>
    </row>
    <row r="76">
      <c r="A76" s="59">
        <f>ROW()-5</f>
        <v/>
      </c>
      <c r="B76" s="60">
        <f>IFERROR(INDEX(tbl_Finance[Date],$A76),"")</f>
        <v/>
      </c>
      <c r="C76" s="61">
        <f>IFERROR(INDEX(tbl_Finance[Xero Invoice No],$A76),"")</f>
        <v/>
      </c>
      <c r="D76" s="61">
        <f>IFERROR(INDEX(tbl_Finance[Client],$A76),"")</f>
        <v/>
      </c>
      <c r="E76" s="61">
        <f>IFERROR(INDEX(tbl_Finance[Job Number],$A76),"")</f>
        <v/>
      </c>
      <c r="F76" s="61">
        <f>IFERROR(INDEX(tbl_Finance[Cost Centre],$A76),"")</f>
        <v/>
      </c>
      <c r="G76" s="62">
        <f>IFERROR(INDEX(tbl_Finance[Ex GST],$A76),"")</f>
        <v/>
      </c>
      <c r="H76" s="60">
        <f>IFERROR(INDEX(tbl_Finance[Defer Start],$A76),"")</f>
        <v/>
      </c>
      <c r="I76" s="60">
        <f>IFERROR(INDEX(tbl_Finance[Defer End],$A76),"")</f>
        <v/>
      </c>
      <c r="J76" s="59">
        <f>IF(OR($H76="",$I76="",$G76=""),"",MAX(1,(YEAR($I76)-YEAR($H76))*12+MONTH($I76)-MONTH($H76)+1))</f>
        <v/>
      </c>
      <c r="K76" s="62">
        <f>IF($J76="","",$G76/$J76)</f>
        <v/>
      </c>
      <c r="L76" s="62">
        <f>IF($J76="",0,$K76*MAX(0,MIN(YEAR($C$3)*12+MONTH($C$3),YEAR($I76)*12+MONTH($I76))-(YEAR($H76)*12+MONTH($H76))+1))</f>
        <v/>
      </c>
      <c r="M76" s="62">
        <f>IF($J76="",0,$K76*MAX(0,MIN(YEAR($C$3)*12+MONTH($C$3)-1,YEAR($I76)*12+MONTH($I76))-(YEAR($H76)*12+MONTH($H76))+1))</f>
        <v/>
      </c>
      <c r="N76" s="62">
        <f>IF(OR($J76="",$B76=""),0,IF(YEAR($B76)*12+MONTH($B76)&lt;=YEAR($C$3)*12+MONTH($C$3),$G76,0))</f>
        <v/>
      </c>
      <c r="O76" s="62">
        <f>IF(OR($J76="",$B76=""),0,IF(YEAR($B76)*12+MONTH($B76)&lt;=YEAR($C$3)*12+MONTH($C$3)-1,$G76,0))</f>
        <v/>
      </c>
      <c r="P76" s="62">
        <f>$M76-$O76</f>
        <v/>
      </c>
      <c r="Q76" s="62">
        <f>($L76-$M76)-($N76-$O76)</f>
        <v/>
      </c>
      <c r="R76" s="62">
        <f>$L76-$N76</f>
        <v/>
      </c>
    </row>
    <row r="77">
      <c r="A77" s="59">
        <f>ROW()-5</f>
        <v/>
      </c>
      <c r="B77" s="60">
        <f>IFERROR(INDEX(tbl_Finance[Date],$A77),"")</f>
        <v/>
      </c>
      <c r="C77" s="61">
        <f>IFERROR(INDEX(tbl_Finance[Xero Invoice No],$A77),"")</f>
        <v/>
      </c>
      <c r="D77" s="61">
        <f>IFERROR(INDEX(tbl_Finance[Client],$A77),"")</f>
        <v/>
      </c>
      <c r="E77" s="61">
        <f>IFERROR(INDEX(tbl_Finance[Job Number],$A77),"")</f>
        <v/>
      </c>
      <c r="F77" s="61">
        <f>IFERROR(INDEX(tbl_Finance[Cost Centre],$A77),"")</f>
        <v/>
      </c>
      <c r="G77" s="62">
        <f>IFERROR(INDEX(tbl_Finance[Ex GST],$A77),"")</f>
        <v/>
      </c>
      <c r="H77" s="60">
        <f>IFERROR(INDEX(tbl_Finance[Defer Start],$A77),"")</f>
        <v/>
      </c>
      <c r="I77" s="60">
        <f>IFERROR(INDEX(tbl_Finance[Defer End],$A77),"")</f>
        <v/>
      </c>
      <c r="J77" s="59">
        <f>IF(OR($H77="",$I77="",$G77=""),"",MAX(1,(YEAR($I77)-YEAR($H77))*12+MONTH($I77)-MONTH($H77)+1))</f>
        <v/>
      </c>
      <c r="K77" s="62">
        <f>IF($J77="","",$G77/$J77)</f>
        <v/>
      </c>
      <c r="L77" s="62">
        <f>IF($J77="",0,$K77*MAX(0,MIN(YEAR($C$3)*12+MONTH($C$3),YEAR($I77)*12+MONTH($I77))-(YEAR($H77)*12+MONTH($H77))+1))</f>
        <v/>
      </c>
      <c r="M77" s="62">
        <f>IF($J77="",0,$K77*MAX(0,MIN(YEAR($C$3)*12+MONTH($C$3)-1,YEAR($I77)*12+MONTH($I77))-(YEAR($H77)*12+MONTH($H77))+1))</f>
        <v/>
      </c>
      <c r="N77" s="62">
        <f>IF(OR($J77="",$B77=""),0,IF(YEAR($B77)*12+MONTH($B77)&lt;=YEAR($C$3)*12+MONTH($C$3),$G77,0))</f>
        <v/>
      </c>
      <c r="O77" s="62">
        <f>IF(OR($J77="",$B77=""),0,IF(YEAR($B77)*12+MONTH($B77)&lt;=YEAR($C$3)*12+MONTH($C$3)-1,$G77,0))</f>
        <v/>
      </c>
      <c r="P77" s="62">
        <f>$M77-$O77</f>
        <v/>
      </c>
      <c r="Q77" s="62">
        <f>($L77-$M77)-($N77-$O77)</f>
        <v/>
      </c>
      <c r="R77" s="62">
        <f>$L77-$N77</f>
        <v/>
      </c>
    </row>
    <row r="78">
      <c r="A78" s="59">
        <f>ROW()-5</f>
        <v/>
      </c>
      <c r="B78" s="60">
        <f>IFERROR(INDEX(tbl_Finance[Date],$A78),"")</f>
        <v/>
      </c>
      <c r="C78" s="61">
        <f>IFERROR(INDEX(tbl_Finance[Xero Invoice No],$A78),"")</f>
        <v/>
      </c>
      <c r="D78" s="61">
        <f>IFERROR(INDEX(tbl_Finance[Client],$A78),"")</f>
        <v/>
      </c>
      <c r="E78" s="61">
        <f>IFERROR(INDEX(tbl_Finance[Job Number],$A78),"")</f>
        <v/>
      </c>
      <c r="F78" s="61">
        <f>IFERROR(INDEX(tbl_Finance[Cost Centre],$A78),"")</f>
        <v/>
      </c>
      <c r="G78" s="62">
        <f>IFERROR(INDEX(tbl_Finance[Ex GST],$A78),"")</f>
        <v/>
      </c>
      <c r="H78" s="60">
        <f>IFERROR(INDEX(tbl_Finance[Defer Start],$A78),"")</f>
        <v/>
      </c>
      <c r="I78" s="60">
        <f>IFERROR(INDEX(tbl_Finance[Defer End],$A78),"")</f>
        <v/>
      </c>
      <c r="J78" s="59">
        <f>IF(OR($H78="",$I78="",$G78=""),"",MAX(1,(YEAR($I78)-YEAR($H78))*12+MONTH($I78)-MONTH($H78)+1))</f>
        <v/>
      </c>
      <c r="K78" s="62">
        <f>IF($J78="","",$G78/$J78)</f>
        <v/>
      </c>
      <c r="L78" s="62">
        <f>IF($J78="",0,$K78*MAX(0,MIN(YEAR($C$3)*12+MONTH($C$3),YEAR($I78)*12+MONTH($I78))-(YEAR($H78)*12+MONTH($H78))+1))</f>
        <v/>
      </c>
      <c r="M78" s="62">
        <f>IF($J78="",0,$K78*MAX(0,MIN(YEAR($C$3)*12+MONTH($C$3)-1,YEAR($I78)*12+MONTH($I78))-(YEAR($H78)*12+MONTH($H78))+1))</f>
        <v/>
      </c>
      <c r="N78" s="62">
        <f>IF(OR($J78="",$B78=""),0,IF(YEAR($B78)*12+MONTH($B78)&lt;=YEAR($C$3)*12+MONTH($C$3),$G78,0))</f>
        <v/>
      </c>
      <c r="O78" s="62">
        <f>IF(OR($J78="",$B78=""),0,IF(YEAR($B78)*12+MONTH($B78)&lt;=YEAR($C$3)*12+MONTH($C$3)-1,$G78,0))</f>
        <v/>
      </c>
      <c r="P78" s="62">
        <f>$M78-$O78</f>
        <v/>
      </c>
      <c r="Q78" s="62">
        <f>($L78-$M78)-($N78-$O78)</f>
        <v/>
      </c>
      <c r="R78" s="62">
        <f>$L78-$N78</f>
        <v/>
      </c>
    </row>
    <row r="79">
      <c r="A79" s="59">
        <f>ROW()-5</f>
        <v/>
      </c>
      <c r="B79" s="60">
        <f>IFERROR(INDEX(tbl_Finance[Date],$A79),"")</f>
        <v/>
      </c>
      <c r="C79" s="61">
        <f>IFERROR(INDEX(tbl_Finance[Xero Invoice No],$A79),"")</f>
        <v/>
      </c>
      <c r="D79" s="61">
        <f>IFERROR(INDEX(tbl_Finance[Client],$A79),"")</f>
        <v/>
      </c>
      <c r="E79" s="61">
        <f>IFERROR(INDEX(tbl_Finance[Job Number],$A79),"")</f>
        <v/>
      </c>
      <c r="F79" s="61">
        <f>IFERROR(INDEX(tbl_Finance[Cost Centre],$A79),"")</f>
        <v/>
      </c>
      <c r="G79" s="62">
        <f>IFERROR(INDEX(tbl_Finance[Ex GST],$A79),"")</f>
        <v/>
      </c>
      <c r="H79" s="60">
        <f>IFERROR(INDEX(tbl_Finance[Defer Start],$A79),"")</f>
        <v/>
      </c>
      <c r="I79" s="60">
        <f>IFERROR(INDEX(tbl_Finance[Defer End],$A79),"")</f>
        <v/>
      </c>
      <c r="J79" s="59">
        <f>IF(OR($H79="",$I79="",$G79=""),"",MAX(1,(YEAR($I79)-YEAR($H79))*12+MONTH($I79)-MONTH($H79)+1))</f>
        <v/>
      </c>
      <c r="K79" s="62">
        <f>IF($J79="","",$G79/$J79)</f>
        <v/>
      </c>
      <c r="L79" s="62">
        <f>IF($J79="",0,$K79*MAX(0,MIN(YEAR($C$3)*12+MONTH($C$3),YEAR($I79)*12+MONTH($I79))-(YEAR($H79)*12+MONTH($H79))+1))</f>
        <v/>
      </c>
      <c r="M79" s="62">
        <f>IF($J79="",0,$K79*MAX(0,MIN(YEAR($C$3)*12+MONTH($C$3)-1,YEAR($I79)*12+MONTH($I79))-(YEAR($H79)*12+MONTH($H79))+1))</f>
        <v/>
      </c>
      <c r="N79" s="62">
        <f>IF(OR($J79="",$B79=""),0,IF(YEAR($B79)*12+MONTH($B79)&lt;=YEAR($C$3)*12+MONTH($C$3),$G79,0))</f>
        <v/>
      </c>
      <c r="O79" s="62">
        <f>IF(OR($J79="",$B79=""),0,IF(YEAR($B79)*12+MONTH($B79)&lt;=YEAR($C$3)*12+MONTH($C$3)-1,$G79,0))</f>
        <v/>
      </c>
      <c r="P79" s="62">
        <f>$M79-$O79</f>
        <v/>
      </c>
      <c r="Q79" s="62">
        <f>($L79-$M79)-($N79-$O79)</f>
        <v/>
      </c>
      <c r="R79" s="62">
        <f>$L79-$N79</f>
        <v/>
      </c>
    </row>
    <row r="80">
      <c r="A80" s="59">
        <f>ROW()-5</f>
        <v/>
      </c>
      <c r="B80" s="60">
        <f>IFERROR(INDEX(tbl_Finance[Date],$A80),"")</f>
        <v/>
      </c>
      <c r="C80" s="61">
        <f>IFERROR(INDEX(tbl_Finance[Xero Invoice No],$A80),"")</f>
        <v/>
      </c>
      <c r="D80" s="61">
        <f>IFERROR(INDEX(tbl_Finance[Client],$A80),"")</f>
        <v/>
      </c>
      <c r="E80" s="61">
        <f>IFERROR(INDEX(tbl_Finance[Job Number],$A80),"")</f>
        <v/>
      </c>
      <c r="F80" s="61">
        <f>IFERROR(INDEX(tbl_Finance[Cost Centre],$A80),"")</f>
        <v/>
      </c>
      <c r="G80" s="62">
        <f>IFERROR(INDEX(tbl_Finance[Ex GST],$A80),"")</f>
        <v/>
      </c>
      <c r="H80" s="60">
        <f>IFERROR(INDEX(tbl_Finance[Defer Start],$A80),"")</f>
        <v/>
      </c>
      <c r="I80" s="60">
        <f>IFERROR(INDEX(tbl_Finance[Defer End],$A80),"")</f>
        <v/>
      </c>
      <c r="J80" s="59">
        <f>IF(OR($H80="",$I80="",$G80=""),"",MAX(1,(YEAR($I80)-YEAR($H80))*12+MONTH($I80)-MONTH($H80)+1))</f>
        <v/>
      </c>
      <c r="K80" s="62">
        <f>IF($J80="","",$G80/$J80)</f>
        <v/>
      </c>
      <c r="L80" s="62">
        <f>IF($J80="",0,$K80*MAX(0,MIN(YEAR($C$3)*12+MONTH($C$3),YEAR($I80)*12+MONTH($I80))-(YEAR($H80)*12+MONTH($H80))+1))</f>
        <v/>
      </c>
      <c r="M80" s="62">
        <f>IF($J80="",0,$K80*MAX(0,MIN(YEAR($C$3)*12+MONTH($C$3)-1,YEAR($I80)*12+MONTH($I80))-(YEAR($H80)*12+MONTH($H80))+1))</f>
        <v/>
      </c>
      <c r="N80" s="62">
        <f>IF(OR($J80="",$B80=""),0,IF(YEAR($B80)*12+MONTH($B80)&lt;=YEAR($C$3)*12+MONTH($C$3),$G80,0))</f>
        <v/>
      </c>
      <c r="O80" s="62">
        <f>IF(OR($J80="",$B80=""),0,IF(YEAR($B80)*12+MONTH($B80)&lt;=YEAR($C$3)*12+MONTH($C$3)-1,$G80,0))</f>
        <v/>
      </c>
      <c r="P80" s="62">
        <f>$M80-$O80</f>
        <v/>
      </c>
      <c r="Q80" s="62">
        <f>($L80-$M80)-($N80-$O80)</f>
        <v/>
      </c>
      <c r="R80" s="62">
        <f>$L80-$N80</f>
        <v/>
      </c>
    </row>
    <row r="81">
      <c r="A81" s="59">
        <f>ROW()-5</f>
        <v/>
      </c>
      <c r="B81" s="60">
        <f>IFERROR(INDEX(tbl_Finance[Date],$A81),"")</f>
        <v/>
      </c>
      <c r="C81" s="61">
        <f>IFERROR(INDEX(tbl_Finance[Xero Invoice No],$A81),"")</f>
        <v/>
      </c>
      <c r="D81" s="61">
        <f>IFERROR(INDEX(tbl_Finance[Client],$A81),"")</f>
        <v/>
      </c>
      <c r="E81" s="61">
        <f>IFERROR(INDEX(tbl_Finance[Job Number],$A81),"")</f>
        <v/>
      </c>
      <c r="F81" s="61">
        <f>IFERROR(INDEX(tbl_Finance[Cost Centre],$A81),"")</f>
        <v/>
      </c>
      <c r="G81" s="62">
        <f>IFERROR(INDEX(tbl_Finance[Ex GST],$A81),"")</f>
        <v/>
      </c>
      <c r="H81" s="60">
        <f>IFERROR(INDEX(tbl_Finance[Defer Start],$A81),"")</f>
        <v/>
      </c>
      <c r="I81" s="60">
        <f>IFERROR(INDEX(tbl_Finance[Defer End],$A81),"")</f>
        <v/>
      </c>
      <c r="J81" s="59">
        <f>IF(OR($H81="",$I81="",$G81=""),"",MAX(1,(YEAR($I81)-YEAR($H81))*12+MONTH($I81)-MONTH($H81)+1))</f>
        <v/>
      </c>
      <c r="K81" s="62">
        <f>IF($J81="","",$G81/$J81)</f>
        <v/>
      </c>
      <c r="L81" s="62">
        <f>IF($J81="",0,$K81*MAX(0,MIN(YEAR($C$3)*12+MONTH($C$3),YEAR($I81)*12+MONTH($I81))-(YEAR($H81)*12+MONTH($H81))+1))</f>
        <v/>
      </c>
      <c r="M81" s="62">
        <f>IF($J81="",0,$K81*MAX(0,MIN(YEAR($C$3)*12+MONTH($C$3)-1,YEAR($I81)*12+MONTH($I81))-(YEAR($H81)*12+MONTH($H81))+1))</f>
        <v/>
      </c>
      <c r="N81" s="62">
        <f>IF(OR($J81="",$B81=""),0,IF(YEAR($B81)*12+MONTH($B81)&lt;=YEAR($C$3)*12+MONTH($C$3),$G81,0))</f>
        <v/>
      </c>
      <c r="O81" s="62">
        <f>IF(OR($J81="",$B81=""),0,IF(YEAR($B81)*12+MONTH($B81)&lt;=YEAR($C$3)*12+MONTH($C$3)-1,$G81,0))</f>
        <v/>
      </c>
      <c r="P81" s="62">
        <f>$M81-$O81</f>
        <v/>
      </c>
      <c r="Q81" s="62">
        <f>($L81-$M81)-($N81-$O81)</f>
        <v/>
      </c>
      <c r="R81" s="62">
        <f>$L81-$N81</f>
        <v/>
      </c>
    </row>
    <row r="82">
      <c r="A82" s="59">
        <f>ROW()-5</f>
        <v/>
      </c>
      <c r="B82" s="60">
        <f>IFERROR(INDEX(tbl_Finance[Date],$A82),"")</f>
        <v/>
      </c>
      <c r="C82" s="61">
        <f>IFERROR(INDEX(tbl_Finance[Xero Invoice No],$A82),"")</f>
        <v/>
      </c>
      <c r="D82" s="61">
        <f>IFERROR(INDEX(tbl_Finance[Client],$A82),"")</f>
        <v/>
      </c>
      <c r="E82" s="61">
        <f>IFERROR(INDEX(tbl_Finance[Job Number],$A82),"")</f>
        <v/>
      </c>
      <c r="F82" s="61">
        <f>IFERROR(INDEX(tbl_Finance[Cost Centre],$A82),"")</f>
        <v/>
      </c>
      <c r="G82" s="62">
        <f>IFERROR(INDEX(tbl_Finance[Ex GST],$A82),"")</f>
        <v/>
      </c>
      <c r="H82" s="60">
        <f>IFERROR(INDEX(tbl_Finance[Defer Start],$A82),"")</f>
        <v/>
      </c>
      <c r="I82" s="60">
        <f>IFERROR(INDEX(tbl_Finance[Defer End],$A82),"")</f>
        <v/>
      </c>
      <c r="J82" s="59">
        <f>IF(OR($H82="",$I82="",$G82=""),"",MAX(1,(YEAR($I82)-YEAR($H82))*12+MONTH($I82)-MONTH($H82)+1))</f>
        <v/>
      </c>
      <c r="K82" s="62">
        <f>IF($J82="","",$G82/$J82)</f>
        <v/>
      </c>
      <c r="L82" s="62">
        <f>IF($J82="",0,$K82*MAX(0,MIN(YEAR($C$3)*12+MONTH($C$3),YEAR($I82)*12+MONTH($I82))-(YEAR($H82)*12+MONTH($H82))+1))</f>
        <v/>
      </c>
      <c r="M82" s="62">
        <f>IF($J82="",0,$K82*MAX(0,MIN(YEAR($C$3)*12+MONTH($C$3)-1,YEAR($I82)*12+MONTH($I82))-(YEAR($H82)*12+MONTH($H82))+1))</f>
        <v/>
      </c>
      <c r="N82" s="62">
        <f>IF(OR($J82="",$B82=""),0,IF(YEAR($B82)*12+MONTH($B82)&lt;=YEAR($C$3)*12+MONTH($C$3),$G82,0))</f>
        <v/>
      </c>
      <c r="O82" s="62">
        <f>IF(OR($J82="",$B82=""),0,IF(YEAR($B82)*12+MONTH($B82)&lt;=YEAR($C$3)*12+MONTH($C$3)-1,$G82,0))</f>
        <v/>
      </c>
      <c r="P82" s="62">
        <f>$M82-$O82</f>
        <v/>
      </c>
      <c r="Q82" s="62">
        <f>($L82-$M82)-($N82-$O82)</f>
        <v/>
      </c>
      <c r="R82" s="62">
        <f>$L82-$N82</f>
        <v/>
      </c>
    </row>
    <row r="83">
      <c r="A83" s="59">
        <f>ROW()-5</f>
        <v/>
      </c>
      <c r="B83" s="60">
        <f>IFERROR(INDEX(tbl_Finance[Date],$A83),"")</f>
        <v/>
      </c>
      <c r="C83" s="61">
        <f>IFERROR(INDEX(tbl_Finance[Xero Invoice No],$A83),"")</f>
        <v/>
      </c>
      <c r="D83" s="61">
        <f>IFERROR(INDEX(tbl_Finance[Client],$A83),"")</f>
        <v/>
      </c>
      <c r="E83" s="61">
        <f>IFERROR(INDEX(tbl_Finance[Job Number],$A83),"")</f>
        <v/>
      </c>
      <c r="F83" s="61">
        <f>IFERROR(INDEX(tbl_Finance[Cost Centre],$A83),"")</f>
        <v/>
      </c>
      <c r="G83" s="62">
        <f>IFERROR(INDEX(tbl_Finance[Ex GST],$A83),"")</f>
        <v/>
      </c>
      <c r="H83" s="60">
        <f>IFERROR(INDEX(tbl_Finance[Defer Start],$A83),"")</f>
        <v/>
      </c>
      <c r="I83" s="60">
        <f>IFERROR(INDEX(tbl_Finance[Defer End],$A83),"")</f>
        <v/>
      </c>
      <c r="J83" s="59">
        <f>IF(OR($H83="",$I83="",$G83=""),"",MAX(1,(YEAR($I83)-YEAR($H83))*12+MONTH($I83)-MONTH($H83)+1))</f>
        <v/>
      </c>
      <c r="K83" s="62">
        <f>IF($J83="","",$G83/$J83)</f>
        <v/>
      </c>
      <c r="L83" s="62">
        <f>IF($J83="",0,$K83*MAX(0,MIN(YEAR($C$3)*12+MONTH($C$3),YEAR($I83)*12+MONTH($I83))-(YEAR($H83)*12+MONTH($H83))+1))</f>
        <v/>
      </c>
      <c r="M83" s="62">
        <f>IF($J83="",0,$K83*MAX(0,MIN(YEAR($C$3)*12+MONTH($C$3)-1,YEAR($I83)*12+MONTH($I83))-(YEAR($H83)*12+MONTH($H83))+1))</f>
        <v/>
      </c>
      <c r="N83" s="62">
        <f>IF(OR($J83="",$B83=""),0,IF(YEAR($B83)*12+MONTH($B83)&lt;=YEAR($C$3)*12+MONTH($C$3),$G83,0))</f>
        <v/>
      </c>
      <c r="O83" s="62">
        <f>IF(OR($J83="",$B83=""),0,IF(YEAR($B83)*12+MONTH($B83)&lt;=YEAR($C$3)*12+MONTH($C$3)-1,$G83,0))</f>
        <v/>
      </c>
      <c r="P83" s="62">
        <f>$M83-$O83</f>
        <v/>
      </c>
      <c r="Q83" s="62">
        <f>($L83-$M83)-($N83-$O83)</f>
        <v/>
      </c>
      <c r="R83" s="62">
        <f>$L83-$N83</f>
        <v/>
      </c>
    </row>
    <row r="84">
      <c r="A84" s="59">
        <f>ROW()-5</f>
        <v/>
      </c>
      <c r="B84" s="60">
        <f>IFERROR(INDEX(tbl_Finance[Date],$A84),"")</f>
        <v/>
      </c>
      <c r="C84" s="61">
        <f>IFERROR(INDEX(tbl_Finance[Xero Invoice No],$A84),"")</f>
        <v/>
      </c>
      <c r="D84" s="61">
        <f>IFERROR(INDEX(tbl_Finance[Client],$A84),"")</f>
        <v/>
      </c>
      <c r="E84" s="61">
        <f>IFERROR(INDEX(tbl_Finance[Job Number],$A84),"")</f>
        <v/>
      </c>
      <c r="F84" s="61">
        <f>IFERROR(INDEX(tbl_Finance[Cost Centre],$A84),"")</f>
        <v/>
      </c>
      <c r="G84" s="62">
        <f>IFERROR(INDEX(tbl_Finance[Ex GST],$A84),"")</f>
        <v/>
      </c>
      <c r="H84" s="60">
        <f>IFERROR(INDEX(tbl_Finance[Defer Start],$A84),"")</f>
        <v/>
      </c>
      <c r="I84" s="60">
        <f>IFERROR(INDEX(tbl_Finance[Defer End],$A84),"")</f>
        <v/>
      </c>
      <c r="J84" s="59">
        <f>IF(OR($H84="",$I84="",$G84=""),"",MAX(1,(YEAR($I84)-YEAR($H84))*12+MONTH($I84)-MONTH($H84)+1))</f>
        <v/>
      </c>
      <c r="K84" s="62">
        <f>IF($J84="","",$G84/$J84)</f>
        <v/>
      </c>
      <c r="L84" s="62">
        <f>IF($J84="",0,$K84*MAX(0,MIN(YEAR($C$3)*12+MONTH($C$3),YEAR($I84)*12+MONTH($I84))-(YEAR($H84)*12+MONTH($H84))+1))</f>
        <v/>
      </c>
      <c r="M84" s="62">
        <f>IF($J84="",0,$K84*MAX(0,MIN(YEAR($C$3)*12+MONTH($C$3)-1,YEAR($I84)*12+MONTH($I84))-(YEAR($H84)*12+MONTH($H84))+1))</f>
        <v/>
      </c>
      <c r="N84" s="62">
        <f>IF(OR($J84="",$B84=""),0,IF(YEAR($B84)*12+MONTH($B84)&lt;=YEAR($C$3)*12+MONTH($C$3),$G84,0))</f>
        <v/>
      </c>
      <c r="O84" s="62">
        <f>IF(OR($J84="",$B84=""),0,IF(YEAR($B84)*12+MONTH($B84)&lt;=YEAR($C$3)*12+MONTH($C$3)-1,$G84,0))</f>
        <v/>
      </c>
      <c r="P84" s="62">
        <f>$M84-$O84</f>
        <v/>
      </c>
      <c r="Q84" s="62">
        <f>($L84-$M84)-($N84-$O84)</f>
        <v/>
      </c>
      <c r="R84" s="62">
        <f>$L84-$N84</f>
        <v/>
      </c>
    </row>
    <row r="85">
      <c r="A85" s="59">
        <f>ROW()-5</f>
        <v/>
      </c>
      <c r="B85" s="60">
        <f>IFERROR(INDEX(tbl_Finance[Date],$A85),"")</f>
        <v/>
      </c>
      <c r="C85" s="61">
        <f>IFERROR(INDEX(tbl_Finance[Xero Invoice No],$A85),"")</f>
        <v/>
      </c>
      <c r="D85" s="61">
        <f>IFERROR(INDEX(tbl_Finance[Client],$A85),"")</f>
        <v/>
      </c>
      <c r="E85" s="61">
        <f>IFERROR(INDEX(tbl_Finance[Job Number],$A85),"")</f>
        <v/>
      </c>
      <c r="F85" s="61">
        <f>IFERROR(INDEX(tbl_Finance[Cost Centre],$A85),"")</f>
        <v/>
      </c>
      <c r="G85" s="62">
        <f>IFERROR(INDEX(tbl_Finance[Ex GST],$A85),"")</f>
        <v/>
      </c>
      <c r="H85" s="60">
        <f>IFERROR(INDEX(tbl_Finance[Defer Start],$A85),"")</f>
        <v/>
      </c>
      <c r="I85" s="60">
        <f>IFERROR(INDEX(tbl_Finance[Defer End],$A85),"")</f>
        <v/>
      </c>
      <c r="J85" s="59">
        <f>IF(OR($H85="",$I85="",$G85=""),"",MAX(1,(YEAR($I85)-YEAR($H85))*12+MONTH($I85)-MONTH($H85)+1))</f>
        <v/>
      </c>
      <c r="K85" s="62">
        <f>IF($J85="","",$G85/$J85)</f>
        <v/>
      </c>
      <c r="L85" s="62">
        <f>IF($J85="",0,$K85*MAX(0,MIN(YEAR($C$3)*12+MONTH($C$3),YEAR($I85)*12+MONTH($I85))-(YEAR($H85)*12+MONTH($H85))+1))</f>
        <v/>
      </c>
      <c r="M85" s="62">
        <f>IF($J85="",0,$K85*MAX(0,MIN(YEAR($C$3)*12+MONTH($C$3)-1,YEAR($I85)*12+MONTH($I85))-(YEAR($H85)*12+MONTH($H85))+1))</f>
        <v/>
      </c>
      <c r="N85" s="62">
        <f>IF(OR($J85="",$B85=""),0,IF(YEAR($B85)*12+MONTH($B85)&lt;=YEAR($C$3)*12+MONTH($C$3),$G85,0))</f>
        <v/>
      </c>
      <c r="O85" s="62">
        <f>IF(OR($J85="",$B85=""),0,IF(YEAR($B85)*12+MONTH($B85)&lt;=YEAR($C$3)*12+MONTH($C$3)-1,$G85,0))</f>
        <v/>
      </c>
      <c r="P85" s="62">
        <f>$M85-$O85</f>
        <v/>
      </c>
      <c r="Q85" s="62">
        <f>($L85-$M85)-($N85-$O85)</f>
        <v/>
      </c>
      <c r="R85" s="62">
        <f>$L85-$N85</f>
        <v/>
      </c>
    </row>
    <row r="86">
      <c r="A86" s="59">
        <f>ROW()-5</f>
        <v/>
      </c>
      <c r="B86" s="60">
        <f>IFERROR(INDEX(tbl_Finance[Date],$A86),"")</f>
        <v/>
      </c>
      <c r="C86" s="61">
        <f>IFERROR(INDEX(tbl_Finance[Xero Invoice No],$A86),"")</f>
        <v/>
      </c>
      <c r="D86" s="61">
        <f>IFERROR(INDEX(tbl_Finance[Client],$A86),"")</f>
        <v/>
      </c>
      <c r="E86" s="61">
        <f>IFERROR(INDEX(tbl_Finance[Job Number],$A86),"")</f>
        <v/>
      </c>
      <c r="F86" s="61">
        <f>IFERROR(INDEX(tbl_Finance[Cost Centre],$A86),"")</f>
        <v/>
      </c>
      <c r="G86" s="62">
        <f>IFERROR(INDEX(tbl_Finance[Ex GST],$A86),"")</f>
        <v/>
      </c>
      <c r="H86" s="60">
        <f>IFERROR(INDEX(tbl_Finance[Defer Start],$A86),"")</f>
        <v/>
      </c>
      <c r="I86" s="60">
        <f>IFERROR(INDEX(tbl_Finance[Defer End],$A86),"")</f>
        <v/>
      </c>
      <c r="J86" s="59">
        <f>IF(OR($H86="",$I86="",$G86=""),"",MAX(1,(YEAR($I86)-YEAR($H86))*12+MONTH($I86)-MONTH($H86)+1))</f>
        <v/>
      </c>
      <c r="K86" s="62">
        <f>IF($J86="","",$G86/$J86)</f>
        <v/>
      </c>
      <c r="L86" s="62">
        <f>IF($J86="",0,$K86*MAX(0,MIN(YEAR($C$3)*12+MONTH($C$3),YEAR($I86)*12+MONTH($I86))-(YEAR($H86)*12+MONTH($H86))+1))</f>
        <v/>
      </c>
      <c r="M86" s="62">
        <f>IF($J86="",0,$K86*MAX(0,MIN(YEAR($C$3)*12+MONTH($C$3)-1,YEAR($I86)*12+MONTH($I86))-(YEAR($H86)*12+MONTH($H86))+1))</f>
        <v/>
      </c>
      <c r="N86" s="62">
        <f>IF(OR($J86="",$B86=""),0,IF(YEAR($B86)*12+MONTH($B86)&lt;=YEAR($C$3)*12+MONTH($C$3),$G86,0))</f>
        <v/>
      </c>
      <c r="O86" s="62">
        <f>IF(OR($J86="",$B86=""),0,IF(YEAR($B86)*12+MONTH($B86)&lt;=YEAR($C$3)*12+MONTH($C$3)-1,$G86,0))</f>
        <v/>
      </c>
      <c r="P86" s="62">
        <f>$M86-$O86</f>
        <v/>
      </c>
      <c r="Q86" s="62">
        <f>($L86-$M86)-($N86-$O86)</f>
        <v/>
      </c>
      <c r="R86" s="62">
        <f>$L86-$N86</f>
        <v/>
      </c>
    </row>
    <row r="87">
      <c r="A87" s="59">
        <f>ROW()-5</f>
        <v/>
      </c>
      <c r="B87" s="60">
        <f>IFERROR(INDEX(tbl_Finance[Date],$A87),"")</f>
        <v/>
      </c>
      <c r="C87" s="61">
        <f>IFERROR(INDEX(tbl_Finance[Xero Invoice No],$A87),"")</f>
        <v/>
      </c>
      <c r="D87" s="61">
        <f>IFERROR(INDEX(tbl_Finance[Client],$A87),"")</f>
        <v/>
      </c>
      <c r="E87" s="61">
        <f>IFERROR(INDEX(tbl_Finance[Job Number],$A87),"")</f>
        <v/>
      </c>
      <c r="F87" s="61">
        <f>IFERROR(INDEX(tbl_Finance[Cost Centre],$A87),"")</f>
        <v/>
      </c>
      <c r="G87" s="62">
        <f>IFERROR(INDEX(tbl_Finance[Ex GST],$A87),"")</f>
        <v/>
      </c>
      <c r="H87" s="60">
        <f>IFERROR(INDEX(tbl_Finance[Defer Start],$A87),"")</f>
        <v/>
      </c>
      <c r="I87" s="60">
        <f>IFERROR(INDEX(tbl_Finance[Defer End],$A87),"")</f>
        <v/>
      </c>
      <c r="J87" s="59">
        <f>IF(OR($H87="",$I87="",$G87=""),"",MAX(1,(YEAR($I87)-YEAR($H87))*12+MONTH($I87)-MONTH($H87)+1))</f>
        <v/>
      </c>
      <c r="K87" s="62">
        <f>IF($J87="","",$G87/$J87)</f>
        <v/>
      </c>
      <c r="L87" s="62">
        <f>IF($J87="",0,$K87*MAX(0,MIN(YEAR($C$3)*12+MONTH($C$3),YEAR($I87)*12+MONTH($I87))-(YEAR($H87)*12+MONTH($H87))+1))</f>
        <v/>
      </c>
      <c r="M87" s="62">
        <f>IF($J87="",0,$K87*MAX(0,MIN(YEAR($C$3)*12+MONTH($C$3)-1,YEAR($I87)*12+MONTH($I87))-(YEAR($H87)*12+MONTH($H87))+1))</f>
        <v/>
      </c>
      <c r="N87" s="62">
        <f>IF(OR($J87="",$B87=""),0,IF(YEAR($B87)*12+MONTH($B87)&lt;=YEAR($C$3)*12+MONTH($C$3),$G87,0))</f>
        <v/>
      </c>
      <c r="O87" s="62">
        <f>IF(OR($J87="",$B87=""),0,IF(YEAR($B87)*12+MONTH($B87)&lt;=YEAR($C$3)*12+MONTH($C$3)-1,$G87,0))</f>
        <v/>
      </c>
      <c r="P87" s="62">
        <f>$M87-$O87</f>
        <v/>
      </c>
      <c r="Q87" s="62">
        <f>($L87-$M87)-($N87-$O87)</f>
        <v/>
      </c>
      <c r="R87" s="62">
        <f>$L87-$N87</f>
        <v/>
      </c>
    </row>
    <row r="88">
      <c r="A88" s="59">
        <f>ROW()-5</f>
        <v/>
      </c>
      <c r="B88" s="60">
        <f>IFERROR(INDEX(tbl_Finance[Date],$A88),"")</f>
        <v/>
      </c>
      <c r="C88" s="61">
        <f>IFERROR(INDEX(tbl_Finance[Xero Invoice No],$A88),"")</f>
        <v/>
      </c>
      <c r="D88" s="61">
        <f>IFERROR(INDEX(tbl_Finance[Client],$A88),"")</f>
        <v/>
      </c>
      <c r="E88" s="61">
        <f>IFERROR(INDEX(tbl_Finance[Job Number],$A88),"")</f>
        <v/>
      </c>
      <c r="F88" s="61">
        <f>IFERROR(INDEX(tbl_Finance[Cost Centre],$A88),"")</f>
        <v/>
      </c>
      <c r="G88" s="62">
        <f>IFERROR(INDEX(tbl_Finance[Ex GST],$A88),"")</f>
        <v/>
      </c>
      <c r="H88" s="60">
        <f>IFERROR(INDEX(tbl_Finance[Defer Start],$A88),"")</f>
        <v/>
      </c>
      <c r="I88" s="60">
        <f>IFERROR(INDEX(tbl_Finance[Defer End],$A88),"")</f>
        <v/>
      </c>
      <c r="J88" s="59">
        <f>IF(OR($H88="",$I88="",$G88=""),"",MAX(1,(YEAR($I88)-YEAR($H88))*12+MONTH($I88)-MONTH($H88)+1))</f>
        <v/>
      </c>
      <c r="K88" s="62">
        <f>IF($J88="","",$G88/$J88)</f>
        <v/>
      </c>
      <c r="L88" s="62">
        <f>IF($J88="",0,$K88*MAX(0,MIN(YEAR($C$3)*12+MONTH($C$3),YEAR($I88)*12+MONTH($I88))-(YEAR($H88)*12+MONTH($H88))+1))</f>
        <v/>
      </c>
      <c r="M88" s="62">
        <f>IF($J88="",0,$K88*MAX(0,MIN(YEAR($C$3)*12+MONTH($C$3)-1,YEAR($I88)*12+MONTH($I88))-(YEAR($H88)*12+MONTH($H88))+1))</f>
        <v/>
      </c>
      <c r="N88" s="62">
        <f>IF(OR($J88="",$B88=""),0,IF(YEAR($B88)*12+MONTH($B88)&lt;=YEAR($C$3)*12+MONTH($C$3),$G88,0))</f>
        <v/>
      </c>
      <c r="O88" s="62">
        <f>IF(OR($J88="",$B88=""),0,IF(YEAR($B88)*12+MONTH($B88)&lt;=YEAR($C$3)*12+MONTH($C$3)-1,$G88,0))</f>
        <v/>
      </c>
      <c r="P88" s="62">
        <f>$M88-$O88</f>
        <v/>
      </c>
      <c r="Q88" s="62">
        <f>($L88-$M88)-($N88-$O88)</f>
        <v/>
      </c>
      <c r="R88" s="62">
        <f>$L88-$N88</f>
        <v/>
      </c>
    </row>
    <row r="89">
      <c r="A89" s="59">
        <f>ROW()-5</f>
        <v/>
      </c>
      <c r="B89" s="60">
        <f>IFERROR(INDEX(tbl_Finance[Date],$A89),"")</f>
        <v/>
      </c>
      <c r="C89" s="61">
        <f>IFERROR(INDEX(tbl_Finance[Xero Invoice No],$A89),"")</f>
        <v/>
      </c>
      <c r="D89" s="61">
        <f>IFERROR(INDEX(tbl_Finance[Client],$A89),"")</f>
        <v/>
      </c>
      <c r="E89" s="61">
        <f>IFERROR(INDEX(tbl_Finance[Job Number],$A89),"")</f>
        <v/>
      </c>
      <c r="F89" s="61">
        <f>IFERROR(INDEX(tbl_Finance[Cost Centre],$A89),"")</f>
        <v/>
      </c>
      <c r="G89" s="62">
        <f>IFERROR(INDEX(tbl_Finance[Ex GST],$A89),"")</f>
        <v/>
      </c>
      <c r="H89" s="60">
        <f>IFERROR(INDEX(tbl_Finance[Defer Start],$A89),"")</f>
        <v/>
      </c>
      <c r="I89" s="60">
        <f>IFERROR(INDEX(tbl_Finance[Defer End],$A89),"")</f>
        <v/>
      </c>
      <c r="J89" s="59">
        <f>IF(OR($H89="",$I89="",$G89=""),"",MAX(1,(YEAR($I89)-YEAR($H89))*12+MONTH($I89)-MONTH($H89)+1))</f>
        <v/>
      </c>
      <c r="K89" s="62">
        <f>IF($J89="","",$G89/$J89)</f>
        <v/>
      </c>
      <c r="L89" s="62">
        <f>IF($J89="",0,$K89*MAX(0,MIN(YEAR($C$3)*12+MONTH($C$3),YEAR($I89)*12+MONTH($I89))-(YEAR($H89)*12+MONTH($H89))+1))</f>
        <v/>
      </c>
      <c r="M89" s="62">
        <f>IF($J89="",0,$K89*MAX(0,MIN(YEAR($C$3)*12+MONTH($C$3)-1,YEAR($I89)*12+MONTH($I89))-(YEAR($H89)*12+MONTH($H89))+1))</f>
        <v/>
      </c>
      <c r="N89" s="62">
        <f>IF(OR($J89="",$B89=""),0,IF(YEAR($B89)*12+MONTH($B89)&lt;=YEAR($C$3)*12+MONTH($C$3),$G89,0))</f>
        <v/>
      </c>
      <c r="O89" s="62">
        <f>IF(OR($J89="",$B89=""),0,IF(YEAR($B89)*12+MONTH($B89)&lt;=YEAR($C$3)*12+MONTH($C$3)-1,$G89,0))</f>
        <v/>
      </c>
      <c r="P89" s="62">
        <f>$M89-$O89</f>
        <v/>
      </c>
      <c r="Q89" s="62">
        <f>($L89-$M89)-($N89-$O89)</f>
        <v/>
      </c>
      <c r="R89" s="62">
        <f>$L89-$N89</f>
        <v/>
      </c>
    </row>
    <row r="90">
      <c r="A90" s="59">
        <f>ROW()-5</f>
        <v/>
      </c>
      <c r="B90" s="60">
        <f>IFERROR(INDEX(tbl_Finance[Date],$A90),"")</f>
        <v/>
      </c>
      <c r="C90" s="61">
        <f>IFERROR(INDEX(tbl_Finance[Xero Invoice No],$A90),"")</f>
        <v/>
      </c>
      <c r="D90" s="61">
        <f>IFERROR(INDEX(tbl_Finance[Client],$A90),"")</f>
        <v/>
      </c>
      <c r="E90" s="61">
        <f>IFERROR(INDEX(tbl_Finance[Job Number],$A90),"")</f>
        <v/>
      </c>
      <c r="F90" s="61">
        <f>IFERROR(INDEX(tbl_Finance[Cost Centre],$A90),"")</f>
        <v/>
      </c>
      <c r="G90" s="62">
        <f>IFERROR(INDEX(tbl_Finance[Ex GST],$A90),"")</f>
        <v/>
      </c>
      <c r="H90" s="60">
        <f>IFERROR(INDEX(tbl_Finance[Defer Start],$A90),"")</f>
        <v/>
      </c>
      <c r="I90" s="60">
        <f>IFERROR(INDEX(tbl_Finance[Defer End],$A90),"")</f>
        <v/>
      </c>
      <c r="J90" s="59">
        <f>IF(OR($H90="",$I90="",$G90=""),"",MAX(1,(YEAR($I90)-YEAR($H90))*12+MONTH($I90)-MONTH($H90)+1))</f>
        <v/>
      </c>
      <c r="K90" s="62">
        <f>IF($J90="","",$G90/$J90)</f>
        <v/>
      </c>
      <c r="L90" s="62">
        <f>IF($J90="",0,$K90*MAX(0,MIN(YEAR($C$3)*12+MONTH($C$3),YEAR($I90)*12+MONTH($I90))-(YEAR($H90)*12+MONTH($H90))+1))</f>
        <v/>
      </c>
      <c r="M90" s="62">
        <f>IF($J90="",0,$K90*MAX(0,MIN(YEAR($C$3)*12+MONTH($C$3)-1,YEAR($I90)*12+MONTH($I90))-(YEAR($H90)*12+MONTH($H90))+1))</f>
        <v/>
      </c>
      <c r="N90" s="62">
        <f>IF(OR($J90="",$B90=""),0,IF(YEAR($B90)*12+MONTH($B90)&lt;=YEAR($C$3)*12+MONTH($C$3),$G90,0))</f>
        <v/>
      </c>
      <c r="O90" s="62">
        <f>IF(OR($J90="",$B90=""),0,IF(YEAR($B90)*12+MONTH($B90)&lt;=YEAR($C$3)*12+MONTH($C$3)-1,$G90,0))</f>
        <v/>
      </c>
      <c r="P90" s="62">
        <f>$M90-$O90</f>
        <v/>
      </c>
      <c r="Q90" s="62">
        <f>($L90-$M90)-($N90-$O90)</f>
        <v/>
      </c>
      <c r="R90" s="62">
        <f>$L90-$N90</f>
        <v/>
      </c>
    </row>
    <row r="91">
      <c r="A91" s="59">
        <f>ROW()-5</f>
        <v/>
      </c>
      <c r="B91" s="60">
        <f>IFERROR(INDEX(tbl_Finance[Date],$A91),"")</f>
        <v/>
      </c>
      <c r="C91" s="61">
        <f>IFERROR(INDEX(tbl_Finance[Xero Invoice No],$A91),"")</f>
        <v/>
      </c>
      <c r="D91" s="61">
        <f>IFERROR(INDEX(tbl_Finance[Client],$A91),"")</f>
        <v/>
      </c>
      <c r="E91" s="61">
        <f>IFERROR(INDEX(tbl_Finance[Job Number],$A91),"")</f>
        <v/>
      </c>
      <c r="F91" s="61">
        <f>IFERROR(INDEX(tbl_Finance[Cost Centre],$A91),"")</f>
        <v/>
      </c>
      <c r="G91" s="62">
        <f>IFERROR(INDEX(tbl_Finance[Ex GST],$A91),"")</f>
        <v/>
      </c>
      <c r="H91" s="60">
        <f>IFERROR(INDEX(tbl_Finance[Defer Start],$A91),"")</f>
        <v/>
      </c>
      <c r="I91" s="60">
        <f>IFERROR(INDEX(tbl_Finance[Defer End],$A91),"")</f>
        <v/>
      </c>
      <c r="J91" s="59">
        <f>IF(OR($H91="",$I91="",$G91=""),"",MAX(1,(YEAR($I91)-YEAR($H91))*12+MONTH($I91)-MONTH($H91)+1))</f>
        <v/>
      </c>
      <c r="K91" s="62">
        <f>IF($J91="","",$G91/$J91)</f>
        <v/>
      </c>
      <c r="L91" s="62">
        <f>IF($J91="",0,$K91*MAX(0,MIN(YEAR($C$3)*12+MONTH($C$3),YEAR($I91)*12+MONTH($I91))-(YEAR($H91)*12+MONTH($H91))+1))</f>
        <v/>
      </c>
      <c r="M91" s="62">
        <f>IF($J91="",0,$K91*MAX(0,MIN(YEAR($C$3)*12+MONTH($C$3)-1,YEAR($I91)*12+MONTH($I91))-(YEAR($H91)*12+MONTH($H91))+1))</f>
        <v/>
      </c>
      <c r="N91" s="62">
        <f>IF(OR($J91="",$B91=""),0,IF(YEAR($B91)*12+MONTH($B91)&lt;=YEAR($C$3)*12+MONTH($C$3),$G91,0))</f>
        <v/>
      </c>
      <c r="O91" s="62">
        <f>IF(OR($J91="",$B91=""),0,IF(YEAR($B91)*12+MONTH($B91)&lt;=YEAR($C$3)*12+MONTH($C$3)-1,$G91,0))</f>
        <v/>
      </c>
      <c r="P91" s="62">
        <f>$M91-$O91</f>
        <v/>
      </c>
      <c r="Q91" s="62">
        <f>($L91-$M91)-($N91-$O91)</f>
        <v/>
      </c>
      <c r="R91" s="62">
        <f>$L91-$N91</f>
        <v/>
      </c>
    </row>
    <row r="92">
      <c r="A92" s="59">
        <f>ROW()-5</f>
        <v/>
      </c>
      <c r="B92" s="60">
        <f>IFERROR(INDEX(tbl_Finance[Date],$A92),"")</f>
        <v/>
      </c>
      <c r="C92" s="61">
        <f>IFERROR(INDEX(tbl_Finance[Xero Invoice No],$A92),"")</f>
        <v/>
      </c>
      <c r="D92" s="61">
        <f>IFERROR(INDEX(tbl_Finance[Client],$A92),"")</f>
        <v/>
      </c>
      <c r="E92" s="61">
        <f>IFERROR(INDEX(tbl_Finance[Job Number],$A92),"")</f>
        <v/>
      </c>
      <c r="F92" s="61">
        <f>IFERROR(INDEX(tbl_Finance[Cost Centre],$A92),"")</f>
        <v/>
      </c>
      <c r="G92" s="62">
        <f>IFERROR(INDEX(tbl_Finance[Ex GST],$A92),"")</f>
        <v/>
      </c>
      <c r="H92" s="60">
        <f>IFERROR(INDEX(tbl_Finance[Defer Start],$A92),"")</f>
        <v/>
      </c>
      <c r="I92" s="60">
        <f>IFERROR(INDEX(tbl_Finance[Defer End],$A92),"")</f>
        <v/>
      </c>
      <c r="J92" s="59">
        <f>IF(OR($H92="",$I92="",$G92=""),"",MAX(1,(YEAR($I92)-YEAR($H92))*12+MONTH($I92)-MONTH($H92)+1))</f>
        <v/>
      </c>
      <c r="K92" s="62">
        <f>IF($J92="","",$G92/$J92)</f>
        <v/>
      </c>
      <c r="L92" s="62">
        <f>IF($J92="",0,$K92*MAX(0,MIN(YEAR($C$3)*12+MONTH($C$3),YEAR($I92)*12+MONTH($I92))-(YEAR($H92)*12+MONTH($H92))+1))</f>
        <v/>
      </c>
      <c r="M92" s="62">
        <f>IF($J92="",0,$K92*MAX(0,MIN(YEAR($C$3)*12+MONTH($C$3)-1,YEAR($I92)*12+MONTH($I92))-(YEAR($H92)*12+MONTH($H92))+1))</f>
        <v/>
      </c>
      <c r="N92" s="62">
        <f>IF(OR($J92="",$B92=""),0,IF(YEAR($B92)*12+MONTH($B92)&lt;=YEAR($C$3)*12+MONTH($C$3),$G92,0))</f>
        <v/>
      </c>
      <c r="O92" s="62">
        <f>IF(OR($J92="",$B92=""),0,IF(YEAR($B92)*12+MONTH($B92)&lt;=YEAR($C$3)*12+MONTH($C$3)-1,$G92,0))</f>
        <v/>
      </c>
      <c r="P92" s="62">
        <f>$M92-$O92</f>
        <v/>
      </c>
      <c r="Q92" s="62">
        <f>($L92-$M92)-($N92-$O92)</f>
        <v/>
      </c>
      <c r="R92" s="62">
        <f>$L92-$N92</f>
        <v/>
      </c>
    </row>
    <row r="93">
      <c r="A93" s="59">
        <f>ROW()-5</f>
        <v/>
      </c>
      <c r="B93" s="60">
        <f>IFERROR(INDEX(tbl_Finance[Date],$A93),"")</f>
        <v/>
      </c>
      <c r="C93" s="61">
        <f>IFERROR(INDEX(tbl_Finance[Xero Invoice No],$A93),"")</f>
        <v/>
      </c>
      <c r="D93" s="61">
        <f>IFERROR(INDEX(tbl_Finance[Client],$A93),"")</f>
        <v/>
      </c>
      <c r="E93" s="61">
        <f>IFERROR(INDEX(tbl_Finance[Job Number],$A93),"")</f>
        <v/>
      </c>
      <c r="F93" s="61">
        <f>IFERROR(INDEX(tbl_Finance[Cost Centre],$A93),"")</f>
        <v/>
      </c>
      <c r="G93" s="62">
        <f>IFERROR(INDEX(tbl_Finance[Ex GST],$A93),"")</f>
        <v/>
      </c>
      <c r="H93" s="60">
        <f>IFERROR(INDEX(tbl_Finance[Defer Start],$A93),"")</f>
        <v/>
      </c>
      <c r="I93" s="60">
        <f>IFERROR(INDEX(tbl_Finance[Defer End],$A93),"")</f>
        <v/>
      </c>
      <c r="J93" s="59">
        <f>IF(OR($H93="",$I93="",$G93=""),"",MAX(1,(YEAR($I93)-YEAR($H93))*12+MONTH($I93)-MONTH($H93)+1))</f>
        <v/>
      </c>
      <c r="K93" s="62">
        <f>IF($J93="","",$G93/$J93)</f>
        <v/>
      </c>
      <c r="L93" s="62">
        <f>IF($J93="",0,$K93*MAX(0,MIN(YEAR($C$3)*12+MONTH($C$3),YEAR($I93)*12+MONTH($I93))-(YEAR($H93)*12+MONTH($H93))+1))</f>
        <v/>
      </c>
      <c r="M93" s="62">
        <f>IF($J93="",0,$K93*MAX(0,MIN(YEAR($C$3)*12+MONTH($C$3)-1,YEAR($I93)*12+MONTH($I93))-(YEAR($H93)*12+MONTH($H93))+1))</f>
        <v/>
      </c>
      <c r="N93" s="62">
        <f>IF(OR($J93="",$B93=""),0,IF(YEAR($B93)*12+MONTH($B93)&lt;=YEAR($C$3)*12+MONTH($C$3),$G93,0))</f>
        <v/>
      </c>
      <c r="O93" s="62">
        <f>IF(OR($J93="",$B93=""),0,IF(YEAR($B93)*12+MONTH($B93)&lt;=YEAR($C$3)*12+MONTH($C$3)-1,$G93,0))</f>
        <v/>
      </c>
      <c r="P93" s="62">
        <f>$M93-$O93</f>
        <v/>
      </c>
      <c r="Q93" s="62">
        <f>($L93-$M93)-($N93-$O93)</f>
        <v/>
      </c>
      <c r="R93" s="62">
        <f>$L93-$N93</f>
        <v/>
      </c>
    </row>
    <row r="94">
      <c r="A94" s="59">
        <f>ROW()-5</f>
        <v/>
      </c>
      <c r="B94" s="60">
        <f>IFERROR(INDEX(tbl_Finance[Date],$A94),"")</f>
        <v/>
      </c>
      <c r="C94" s="61">
        <f>IFERROR(INDEX(tbl_Finance[Xero Invoice No],$A94),"")</f>
        <v/>
      </c>
      <c r="D94" s="61">
        <f>IFERROR(INDEX(tbl_Finance[Client],$A94),"")</f>
        <v/>
      </c>
      <c r="E94" s="61">
        <f>IFERROR(INDEX(tbl_Finance[Job Number],$A94),"")</f>
        <v/>
      </c>
      <c r="F94" s="61">
        <f>IFERROR(INDEX(tbl_Finance[Cost Centre],$A94),"")</f>
        <v/>
      </c>
      <c r="G94" s="62">
        <f>IFERROR(INDEX(tbl_Finance[Ex GST],$A94),"")</f>
        <v/>
      </c>
      <c r="H94" s="60">
        <f>IFERROR(INDEX(tbl_Finance[Defer Start],$A94),"")</f>
        <v/>
      </c>
      <c r="I94" s="60">
        <f>IFERROR(INDEX(tbl_Finance[Defer End],$A94),"")</f>
        <v/>
      </c>
      <c r="J94" s="59">
        <f>IF(OR($H94="",$I94="",$G94=""),"",MAX(1,(YEAR($I94)-YEAR($H94))*12+MONTH($I94)-MONTH($H94)+1))</f>
        <v/>
      </c>
      <c r="K94" s="62">
        <f>IF($J94="","",$G94/$J94)</f>
        <v/>
      </c>
      <c r="L94" s="62">
        <f>IF($J94="",0,$K94*MAX(0,MIN(YEAR($C$3)*12+MONTH($C$3),YEAR($I94)*12+MONTH($I94))-(YEAR($H94)*12+MONTH($H94))+1))</f>
        <v/>
      </c>
      <c r="M94" s="62">
        <f>IF($J94="",0,$K94*MAX(0,MIN(YEAR($C$3)*12+MONTH($C$3)-1,YEAR($I94)*12+MONTH($I94))-(YEAR($H94)*12+MONTH($H94))+1))</f>
        <v/>
      </c>
      <c r="N94" s="62">
        <f>IF(OR($J94="",$B94=""),0,IF(YEAR($B94)*12+MONTH($B94)&lt;=YEAR($C$3)*12+MONTH($C$3),$G94,0))</f>
        <v/>
      </c>
      <c r="O94" s="62">
        <f>IF(OR($J94="",$B94=""),0,IF(YEAR($B94)*12+MONTH($B94)&lt;=YEAR($C$3)*12+MONTH($C$3)-1,$G94,0))</f>
        <v/>
      </c>
      <c r="P94" s="62">
        <f>$M94-$O94</f>
        <v/>
      </c>
      <c r="Q94" s="62">
        <f>($L94-$M94)-($N94-$O94)</f>
        <v/>
      </c>
      <c r="R94" s="62">
        <f>$L94-$N94</f>
        <v/>
      </c>
    </row>
    <row r="95">
      <c r="A95" s="59">
        <f>ROW()-5</f>
        <v/>
      </c>
      <c r="B95" s="60">
        <f>IFERROR(INDEX(tbl_Finance[Date],$A95),"")</f>
        <v/>
      </c>
      <c r="C95" s="61">
        <f>IFERROR(INDEX(tbl_Finance[Xero Invoice No],$A95),"")</f>
        <v/>
      </c>
      <c r="D95" s="61">
        <f>IFERROR(INDEX(tbl_Finance[Client],$A95),"")</f>
        <v/>
      </c>
      <c r="E95" s="61">
        <f>IFERROR(INDEX(tbl_Finance[Job Number],$A95),"")</f>
        <v/>
      </c>
      <c r="F95" s="61">
        <f>IFERROR(INDEX(tbl_Finance[Cost Centre],$A95),"")</f>
        <v/>
      </c>
      <c r="G95" s="62">
        <f>IFERROR(INDEX(tbl_Finance[Ex GST],$A95),"")</f>
        <v/>
      </c>
      <c r="H95" s="60">
        <f>IFERROR(INDEX(tbl_Finance[Defer Start],$A95),"")</f>
        <v/>
      </c>
      <c r="I95" s="60">
        <f>IFERROR(INDEX(tbl_Finance[Defer End],$A95),"")</f>
        <v/>
      </c>
      <c r="J95" s="59">
        <f>IF(OR($H95="",$I95="",$G95=""),"",MAX(1,(YEAR($I95)-YEAR($H95))*12+MONTH($I95)-MONTH($H95)+1))</f>
        <v/>
      </c>
      <c r="K95" s="62">
        <f>IF($J95="","",$G95/$J95)</f>
        <v/>
      </c>
      <c r="L95" s="62">
        <f>IF($J95="",0,$K95*MAX(0,MIN(YEAR($C$3)*12+MONTH($C$3),YEAR($I95)*12+MONTH($I95))-(YEAR($H95)*12+MONTH($H95))+1))</f>
        <v/>
      </c>
      <c r="M95" s="62">
        <f>IF($J95="",0,$K95*MAX(0,MIN(YEAR($C$3)*12+MONTH($C$3)-1,YEAR($I95)*12+MONTH($I95))-(YEAR($H95)*12+MONTH($H95))+1))</f>
        <v/>
      </c>
      <c r="N95" s="62">
        <f>IF(OR($J95="",$B95=""),0,IF(YEAR($B95)*12+MONTH($B95)&lt;=YEAR($C$3)*12+MONTH($C$3),$G95,0))</f>
        <v/>
      </c>
      <c r="O95" s="62">
        <f>IF(OR($J95="",$B95=""),0,IF(YEAR($B95)*12+MONTH($B95)&lt;=YEAR($C$3)*12+MONTH($C$3)-1,$G95,0))</f>
        <v/>
      </c>
      <c r="P95" s="62">
        <f>$M95-$O95</f>
        <v/>
      </c>
      <c r="Q95" s="62">
        <f>($L95-$M95)-($N95-$O95)</f>
        <v/>
      </c>
      <c r="R95" s="62">
        <f>$L95-$N95</f>
        <v/>
      </c>
    </row>
    <row r="96">
      <c r="A96" s="59">
        <f>ROW()-5</f>
        <v/>
      </c>
      <c r="B96" s="60">
        <f>IFERROR(INDEX(tbl_Finance[Date],$A96),"")</f>
        <v/>
      </c>
      <c r="C96" s="61">
        <f>IFERROR(INDEX(tbl_Finance[Xero Invoice No],$A96),"")</f>
        <v/>
      </c>
      <c r="D96" s="61">
        <f>IFERROR(INDEX(tbl_Finance[Client],$A96),"")</f>
        <v/>
      </c>
      <c r="E96" s="61">
        <f>IFERROR(INDEX(tbl_Finance[Job Number],$A96),"")</f>
        <v/>
      </c>
      <c r="F96" s="61">
        <f>IFERROR(INDEX(tbl_Finance[Cost Centre],$A96),"")</f>
        <v/>
      </c>
      <c r="G96" s="62">
        <f>IFERROR(INDEX(tbl_Finance[Ex GST],$A96),"")</f>
        <v/>
      </c>
      <c r="H96" s="60">
        <f>IFERROR(INDEX(tbl_Finance[Defer Start],$A96),"")</f>
        <v/>
      </c>
      <c r="I96" s="60">
        <f>IFERROR(INDEX(tbl_Finance[Defer End],$A96),"")</f>
        <v/>
      </c>
      <c r="J96" s="59">
        <f>IF(OR($H96="",$I96="",$G96=""),"",MAX(1,(YEAR($I96)-YEAR($H96))*12+MONTH($I96)-MONTH($H96)+1))</f>
        <v/>
      </c>
      <c r="K96" s="62">
        <f>IF($J96="","",$G96/$J96)</f>
        <v/>
      </c>
      <c r="L96" s="62">
        <f>IF($J96="",0,$K96*MAX(0,MIN(YEAR($C$3)*12+MONTH($C$3),YEAR($I96)*12+MONTH($I96))-(YEAR($H96)*12+MONTH($H96))+1))</f>
        <v/>
      </c>
      <c r="M96" s="62">
        <f>IF($J96="",0,$K96*MAX(0,MIN(YEAR($C$3)*12+MONTH($C$3)-1,YEAR($I96)*12+MONTH($I96))-(YEAR($H96)*12+MONTH($H96))+1))</f>
        <v/>
      </c>
      <c r="N96" s="62">
        <f>IF(OR($J96="",$B96=""),0,IF(YEAR($B96)*12+MONTH($B96)&lt;=YEAR($C$3)*12+MONTH($C$3),$G96,0))</f>
        <v/>
      </c>
      <c r="O96" s="62">
        <f>IF(OR($J96="",$B96=""),0,IF(YEAR($B96)*12+MONTH($B96)&lt;=YEAR($C$3)*12+MONTH($C$3)-1,$G96,0))</f>
        <v/>
      </c>
      <c r="P96" s="62">
        <f>$M96-$O96</f>
        <v/>
      </c>
      <c r="Q96" s="62">
        <f>($L96-$M96)-($N96-$O96)</f>
        <v/>
      </c>
      <c r="R96" s="62">
        <f>$L96-$N96</f>
        <v/>
      </c>
    </row>
    <row r="97">
      <c r="A97" s="59">
        <f>ROW()-5</f>
        <v/>
      </c>
      <c r="B97" s="60">
        <f>IFERROR(INDEX(tbl_Finance[Date],$A97),"")</f>
        <v/>
      </c>
      <c r="C97" s="61">
        <f>IFERROR(INDEX(tbl_Finance[Xero Invoice No],$A97),"")</f>
        <v/>
      </c>
      <c r="D97" s="61">
        <f>IFERROR(INDEX(tbl_Finance[Client],$A97),"")</f>
        <v/>
      </c>
      <c r="E97" s="61">
        <f>IFERROR(INDEX(tbl_Finance[Job Number],$A97),"")</f>
        <v/>
      </c>
      <c r="F97" s="61">
        <f>IFERROR(INDEX(tbl_Finance[Cost Centre],$A97),"")</f>
        <v/>
      </c>
      <c r="G97" s="62">
        <f>IFERROR(INDEX(tbl_Finance[Ex GST],$A97),"")</f>
        <v/>
      </c>
      <c r="H97" s="60">
        <f>IFERROR(INDEX(tbl_Finance[Defer Start],$A97),"")</f>
        <v/>
      </c>
      <c r="I97" s="60">
        <f>IFERROR(INDEX(tbl_Finance[Defer End],$A97),"")</f>
        <v/>
      </c>
      <c r="J97" s="59">
        <f>IF(OR($H97="",$I97="",$G97=""),"",MAX(1,(YEAR($I97)-YEAR($H97))*12+MONTH($I97)-MONTH($H97)+1))</f>
        <v/>
      </c>
      <c r="K97" s="62">
        <f>IF($J97="","",$G97/$J97)</f>
        <v/>
      </c>
      <c r="L97" s="62">
        <f>IF($J97="",0,$K97*MAX(0,MIN(YEAR($C$3)*12+MONTH($C$3),YEAR($I97)*12+MONTH($I97))-(YEAR($H97)*12+MONTH($H97))+1))</f>
        <v/>
      </c>
      <c r="M97" s="62">
        <f>IF($J97="",0,$K97*MAX(0,MIN(YEAR($C$3)*12+MONTH($C$3)-1,YEAR($I97)*12+MONTH($I97))-(YEAR($H97)*12+MONTH($H97))+1))</f>
        <v/>
      </c>
      <c r="N97" s="62">
        <f>IF(OR($J97="",$B97=""),0,IF(YEAR($B97)*12+MONTH($B97)&lt;=YEAR($C$3)*12+MONTH($C$3),$G97,0))</f>
        <v/>
      </c>
      <c r="O97" s="62">
        <f>IF(OR($J97="",$B97=""),0,IF(YEAR($B97)*12+MONTH($B97)&lt;=YEAR($C$3)*12+MONTH($C$3)-1,$G97,0))</f>
        <v/>
      </c>
      <c r="P97" s="62">
        <f>$M97-$O97</f>
        <v/>
      </c>
      <c r="Q97" s="62">
        <f>($L97-$M97)-($N97-$O97)</f>
        <v/>
      </c>
      <c r="R97" s="62">
        <f>$L97-$N97</f>
        <v/>
      </c>
    </row>
    <row r="98">
      <c r="A98" s="59">
        <f>ROW()-5</f>
        <v/>
      </c>
      <c r="B98" s="60">
        <f>IFERROR(INDEX(tbl_Finance[Date],$A98),"")</f>
        <v/>
      </c>
      <c r="C98" s="61">
        <f>IFERROR(INDEX(tbl_Finance[Xero Invoice No],$A98),"")</f>
        <v/>
      </c>
      <c r="D98" s="61">
        <f>IFERROR(INDEX(tbl_Finance[Client],$A98),"")</f>
        <v/>
      </c>
      <c r="E98" s="61">
        <f>IFERROR(INDEX(tbl_Finance[Job Number],$A98),"")</f>
        <v/>
      </c>
      <c r="F98" s="61">
        <f>IFERROR(INDEX(tbl_Finance[Cost Centre],$A98),"")</f>
        <v/>
      </c>
      <c r="G98" s="62">
        <f>IFERROR(INDEX(tbl_Finance[Ex GST],$A98),"")</f>
        <v/>
      </c>
      <c r="H98" s="60">
        <f>IFERROR(INDEX(tbl_Finance[Defer Start],$A98),"")</f>
        <v/>
      </c>
      <c r="I98" s="60">
        <f>IFERROR(INDEX(tbl_Finance[Defer End],$A98),"")</f>
        <v/>
      </c>
      <c r="J98" s="59">
        <f>IF(OR($H98="",$I98="",$G98=""),"",MAX(1,(YEAR($I98)-YEAR($H98))*12+MONTH($I98)-MONTH($H98)+1))</f>
        <v/>
      </c>
      <c r="K98" s="62">
        <f>IF($J98="","",$G98/$J98)</f>
        <v/>
      </c>
      <c r="L98" s="62">
        <f>IF($J98="",0,$K98*MAX(0,MIN(YEAR($C$3)*12+MONTH($C$3),YEAR($I98)*12+MONTH($I98))-(YEAR($H98)*12+MONTH($H98))+1))</f>
        <v/>
      </c>
      <c r="M98" s="62">
        <f>IF($J98="",0,$K98*MAX(0,MIN(YEAR($C$3)*12+MONTH($C$3)-1,YEAR($I98)*12+MONTH($I98))-(YEAR($H98)*12+MONTH($H98))+1))</f>
        <v/>
      </c>
      <c r="N98" s="62">
        <f>IF(OR($J98="",$B98=""),0,IF(YEAR($B98)*12+MONTH($B98)&lt;=YEAR($C$3)*12+MONTH($C$3),$G98,0))</f>
        <v/>
      </c>
      <c r="O98" s="62">
        <f>IF(OR($J98="",$B98=""),0,IF(YEAR($B98)*12+MONTH($B98)&lt;=YEAR($C$3)*12+MONTH($C$3)-1,$G98,0))</f>
        <v/>
      </c>
      <c r="P98" s="62">
        <f>$M98-$O98</f>
        <v/>
      </c>
      <c r="Q98" s="62">
        <f>($L98-$M98)-($N98-$O98)</f>
        <v/>
      </c>
      <c r="R98" s="62">
        <f>$L98-$N98</f>
        <v/>
      </c>
    </row>
    <row r="99">
      <c r="A99" s="59">
        <f>ROW()-5</f>
        <v/>
      </c>
      <c r="B99" s="60">
        <f>IFERROR(INDEX(tbl_Finance[Date],$A99),"")</f>
        <v/>
      </c>
      <c r="C99" s="61">
        <f>IFERROR(INDEX(tbl_Finance[Xero Invoice No],$A99),"")</f>
        <v/>
      </c>
      <c r="D99" s="61">
        <f>IFERROR(INDEX(tbl_Finance[Client],$A99),"")</f>
        <v/>
      </c>
      <c r="E99" s="61">
        <f>IFERROR(INDEX(tbl_Finance[Job Number],$A99),"")</f>
        <v/>
      </c>
      <c r="F99" s="61">
        <f>IFERROR(INDEX(tbl_Finance[Cost Centre],$A99),"")</f>
        <v/>
      </c>
      <c r="G99" s="62">
        <f>IFERROR(INDEX(tbl_Finance[Ex GST],$A99),"")</f>
        <v/>
      </c>
      <c r="H99" s="60">
        <f>IFERROR(INDEX(tbl_Finance[Defer Start],$A99),"")</f>
        <v/>
      </c>
      <c r="I99" s="60">
        <f>IFERROR(INDEX(tbl_Finance[Defer End],$A99),"")</f>
        <v/>
      </c>
      <c r="J99" s="59">
        <f>IF(OR($H99="",$I99="",$G99=""),"",MAX(1,(YEAR($I99)-YEAR($H99))*12+MONTH($I99)-MONTH($H99)+1))</f>
        <v/>
      </c>
      <c r="K99" s="62">
        <f>IF($J99="","",$G99/$J99)</f>
        <v/>
      </c>
      <c r="L99" s="62">
        <f>IF($J99="",0,$K99*MAX(0,MIN(YEAR($C$3)*12+MONTH($C$3),YEAR($I99)*12+MONTH($I99))-(YEAR($H99)*12+MONTH($H99))+1))</f>
        <v/>
      </c>
      <c r="M99" s="62">
        <f>IF($J99="",0,$K99*MAX(0,MIN(YEAR($C$3)*12+MONTH($C$3)-1,YEAR($I99)*12+MONTH($I99))-(YEAR($H99)*12+MONTH($H99))+1))</f>
        <v/>
      </c>
      <c r="N99" s="62">
        <f>IF(OR($J99="",$B99=""),0,IF(YEAR($B99)*12+MONTH($B99)&lt;=YEAR($C$3)*12+MONTH($C$3),$G99,0))</f>
        <v/>
      </c>
      <c r="O99" s="62">
        <f>IF(OR($J99="",$B99=""),0,IF(YEAR($B99)*12+MONTH($B99)&lt;=YEAR($C$3)*12+MONTH($C$3)-1,$G99,0))</f>
        <v/>
      </c>
      <c r="P99" s="62">
        <f>$M99-$O99</f>
        <v/>
      </c>
      <c r="Q99" s="62">
        <f>($L99-$M99)-($N99-$O99)</f>
        <v/>
      </c>
      <c r="R99" s="62">
        <f>$L99-$N99</f>
        <v/>
      </c>
    </row>
    <row r="100">
      <c r="A100" s="59">
        <f>ROW()-5</f>
        <v/>
      </c>
      <c r="B100" s="60">
        <f>IFERROR(INDEX(tbl_Finance[Date],$A100),"")</f>
        <v/>
      </c>
      <c r="C100" s="61">
        <f>IFERROR(INDEX(tbl_Finance[Xero Invoice No],$A100),"")</f>
        <v/>
      </c>
      <c r="D100" s="61">
        <f>IFERROR(INDEX(tbl_Finance[Client],$A100),"")</f>
        <v/>
      </c>
      <c r="E100" s="61">
        <f>IFERROR(INDEX(tbl_Finance[Job Number],$A100),"")</f>
        <v/>
      </c>
      <c r="F100" s="61">
        <f>IFERROR(INDEX(tbl_Finance[Cost Centre],$A100),"")</f>
        <v/>
      </c>
      <c r="G100" s="62">
        <f>IFERROR(INDEX(tbl_Finance[Ex GST],$A100),"")</f>
        <v/>
      </c>
      <c r="H100" s="60">
        <f>IFERROR(INDEX(tbl_Finance[Defer Start],$A100),"")</f>
        <v/>
      </c>
      <c r="I100" s="60">
        <f>IFERROR(INDEX(tbl_Finance[Defer End],$A100),"")</f>
        <v/>
      </c>
      <c r="J100" s="59">
        <f>IF(OR($H100="",$I100="",$G100=""),"",MAX(1,(YEAR($I100)-YEAR($H100))*12+MONTH($I100)-MONTH($H100)+1))</f>
        <v/>
      </c>
      <c r="K100" s="62">
        <f>IF($J100="","",$G100/$J100)</f>
        <v/>
      </c>
      <c r="L100" s="62">
        <f>IF($J100="",0,$K100*MAX(0,MIN(YEAR($C$3)*12+MONTH($C$3),YEAR($I100)*12+MONTH($I100))-(YEAR($H100)*12+MONTH($H100))+1))</f>
        <v/>
      </c>
      <c r="M100" s="62">
        <f>IF($J100="",0,$K100*MAX(0,MIN(YEAR($C$3)*12+MONTH($C$3)-1,YEAR($I100)*12+MONTH($I100))-(YEAR($H100)*12+MONTH($H100))+1))</f>
        <v/>
      </c>
      <c r="N100" s="62">
        <f>IF(OR($J100="",$B100=""),0,IF(YEAR($B100)*12+MONTH($B100)&lt;=YEAR($C$3)*12+MONTH($C$3),$G100,0))</f>
        <v/>
      </c>
      <c r="O100" s="62">
        <f>IF(OR($J100="",$B100=""),0,IF(YEAR($B100)*12+MONTH($B100)&lt;=YEAR($C$3)*12+MONTH($C$3)-1,$G100,0))</f>
        <v/>
      </c>
      <c r="P100" s="62">
        <f>$M100-$O100</f>
        <v/>
      </c>
      <c r="Q100" s="62">
        <f>($L100-$M100)-($N100-$O100)</f>
        <v/>
      </c>
      <c r="R100" s="62">
        <f>$L100-$N100</f>
        <v/>
      </c>
    </row>
    <row r="101">
      <c r="A101" s="59">
        <f>ROW()-5</f>
        <v/>
      </c>
      <c r="B101" s="60">
        <f>IFERROR(INDEX(tbl_Finance[Date],$A101),"")</f>
        <v/>
      </c>
      <c r="C101" s="61">
        <f>IFERROR(INDEX(tbl_Finance[Xero Invoice No],$A101),"")</f>
        <v/>
      </c>
      <c r="D101" s="61">
        <f>IFERROR(INDEX(tbl_Finance[Client],$A101),"")</f>
        <v/>
      </c>
      <c r="E101" s="61">
        <f>IFERROR(INDEX(tbl_Finance[Job Number],$A101),"")</f>
        <v/>
      </c>
      <c r="F101" s="61">
        <f>IFERROR(INDEX(tbl_Finance[Cost Centre],$A101),"")</f>
        <v/>
      </c>
      <c r="G101" s="62">
        <f>IFERROR(INDEX(tbl_Finance[Ex GST],$A101),"")</f>
        <v/>
      </c>
      <c r="H101" s="60">
        <f>IFERROR(INDEX(tbl_Finance[Defer Start],$A101),"")</f>
        <v/>
      </c>
      <c r="I101" s="60">
        <f>IFERROR(INDEX(tbl_Finance[Defer End],$A101),"")</f>
        <v/>
      </c>
      <c r="J101" s="59">
        <f>IF(OR($H101="",$I101="",$G101=""),"",MAX(1,(YEAR($I101)-YEAR($H101))*12+MONTH($I101)-MONTH($H101)+1))</f>
        <v/>
      </c>
      <c r="K101" s="62">
        <f>IF($J101="","",$G101/$J101)</f>
        <v/>
      </c>
      <c r="L101" s="62">
        <f>IF($J101="",0,$K101*MAX(0,MIN(YEAR($C$3)*12+MONTH($C$3),YEAR($I101)*12+MONTH($I101))-(YEAR($H101)*12+MONTH($H101))+1))</f>
        <v/>
      </c>
      <c r="M101" s="62">
        <f>IF($J101="",0,$K101*MAX(0,MIN(YEAR($C$3)*12+MONTH($C$3)-1,YEAR($I101)*12+MONTH($I101))-(YEAR($H101)*12+MONTH($H101))+1))</f>
        <v/>
      </c>
      <c r="N101" s="62">
        <f>IF(OR($J101="",$B101=""),0,IF(YEAR($B101)*12+MONTH($B101)&lt;=YEAR($C$3)*12+MONTH($C$3),$G101,0))</f>
        <v/>
      </c>
      <c r="O101" s="62">
        <f>IF(OR($J101="",$B101=""),0,IF(YEAR($B101)*12+MONTH($B101)&lt;=YEAR($C$3)*12+MONTH($C$3)-1,$G101,0))</f>
        <v/>
      </c>
      <c r="P101" s="62">
        <f>$M101-$O101</f>
        <v/>
      </c>
      <c r="Q101" s="62">
        <f>($L101-$M101)-($N101-$O101)</f>
        <v/>
      </c>
      <c r="R101" s="62">
        <f>$L101-$N101</f>
        <v/>
      </c>
    </row>
    <row r="102">
      <c r="A102" s="59">
        <f>ROW()-5</f>
        <v/>
      </c>
      <c r="B102" s="60">
        <f>IFERROR(INDEX(tbl_Finance[Date],$A102),"")</f>
        <v/>
      </c>
      <c r="C102" s="61">
        <f>IFERROR(INDEX(tbl_Finance[Xero Invoice No],$A102),"")</f>
        <v/>
      </c>
      <c r="D102" s="61">
        <f>IFERROR(INDEX(tbl_Finance[Client],$A102),"")</f>
        <v/>
      </c>
      <c r="E102" s="61">
        <f>IFERROR(INDEX(tbl_Finance[Job Number],$A102),"")</f>
        <v/>
      </c>
      <c r="F102" s="61">
        <f>IFERROR(INDEX(tbl_Finance[Cost Centre],$A102),"")</f>
        <v/>
      </c>
      <c r="G102" s="62">
        <f>IFERROR(INDEX(tbl_Finance[Ex GST],$A102),"")</f>
        <v/>
      </c>
      <c r="H102" s="60">
        <f>IFERROR(INDEX(tbl_Finance[Defer Start],$A102),"")</f>
        <v/>
      </c>
      <c r="I102" s="60">
        <f>IFERROR(INDEX(tbl_Finance[Defer End],$A102),"")</f>
        <v/>
      </c>
      <c r="J102" s="59">
        <f>IF(OR($H102="",$I102="",$G102=""),"",MAX(1,(YEAR($I102)-YEAR($H102))*12+MONTH($I102)-MONTH($H102)+1))</f>
        <v/>
      </c>
      <c r="K102" s="62">
        <f>IF($J102="","",$G102/$J102)</f>
        <v/>
      </c>
      <c r="L102" s="62">
        <f>IF($J102="",0,$K102*MAX(0,MIN(YEAR($C$3)*12+MONTH($C$3),YEAR($I102)*12+MONTH($I102))-(YEAR($H102)*12+MONTH($H102))+1))</f>
        <v/>
      </c>
      <c r="M102" s="62">
        <f>IF($J102="",0,$K102*MAX(0,MIN(YEAR($C$3)*12+MONTH($C$3)-1,YEAR($I102)*12+MONTH($I102))-(YEAR($H102)*12+MONTH($H102))+1))</f>
        <v/>
      </c>
      <c r="N102" s="62">
        <f>IF(OR($J102="",$B102=""),0,IF(YEAR($B102)*12+MONTH($B102)&lt;=YEAR($C$3)*12+MONTH($C$3),$G102,0))</f>
        <v/>
      </c>
      <c r="O102" s="62">
        <f>IF(OR($J102="",$B102=""),0,IF(YEAR($B102)*12+MONTH($B102)&lt;=YEAR($C$3)*12+MONTH($C$3)-1,$G102,0))</f>
        <v/>
      </c>
      <c r="P102" s="62">
        <f>$M102-$O102</f>
        <v/>
      </c>
      <c r="Q102" s="62">
        <f>($L102-$M102)-($N102-$O102)</f>
        <v/>
      </c>
      <c r="R102" s="62">
        <f>$L102-$N102</f>
        <v/>
      </c>
    </row>
    <row r="103">
      <c r="A103" s="59">
        <f>ROW()-5</f>
        <v/>
      </c>
      <c r="B103" s="60">
        <f>IFERROR(INDEX(tbl_Finance[Date],$A103),"")</f>
        <v/>
      </c>
      <c r="C103" s="61">
        <f>IFERROR(INDEX(tbl_Finance[Xero Invoice No],$A103),"")</f>
        <v/>
      </c>
      <c r="D103" s="61">
        <f>IFERROR(INDEX(tbl_Finance[Client],$A103),"")</f>
        <v/>
      </c>
      <c r="E103" s="61">
        <f>IFERROR(INDEX(tbl_Finance[Job Number],$A103),"")</f>
        <v/>
      </c>
      <c r="F103" s="61">
        <f>IFERROR(INDEX(tbl_Finance[Cost Centre],$A103),"")</f>
        <v/>
      </c>
      <c r="G103" s="62">
        <f>IFERROR(INDEX(tbl_Finance[Ex GST],$A103),"")</f>
        <v/>
      </c>
      <c r="H103" s="60">
        <f>IFERROR(INDEX(tbl_Finance[Defer Start],$A103),"")</f>
        <v/>
      </c>
      <c r="I103" s="60">
        <f>IFERROR(INDEX(tbl_Finance[Defer End],$A103),"")</f>
        <v/>
      </c>
      <c r="J103" s="59">
        <f>IF(OR($H103="",$I103="",$G103=""),"",MAX(1,(YEAR($I103)-YEAR($H103))*12+MONTH($I103)-MONTH($H103)+1))</f>
        <v/>
      </c>
      <c r="K103" s="62">
        <f>IF($J103="","",$G103/$J103)</f>
        <v/>
      </c>
      <c r="L103" s="62">
        <f>IF($J103="",0,$K103*MAX(0,MIN(YEAR($C$3)*12+MONTH($C$3),YEAR($I103)*12+MONTH($I103))-(YEAR($H103)*12+MONTH($H103))+1))</f>
        <v/>
      </c>
      <c r="M103" s="62">
        <f>IF($J103="",0,$K103*MAX(0,MIN(YEAR($C$3)*12+MONTH($C$3)-1,YEAR($I103)*12+MONTH($I103))-(YEAR($H103)*12+MONTH($H103))+1))</f>
        <v/>
      </c>
      <c r="N103" s="62">
        <f>IF(OR($J103="",$B103=""),0,IF(YEAR($B103)*12+MONTH($B103)&lt;=YEAR($C$3)*12+MONTH($C$3),$G103,0))</f>
        <v/>
      </c>
      <c r="O103" s="62">
        <f>IF(OR($J103="",$B103=""),0,IF(YEAR($B103)*12+MONTH($B103)&lt;=YEAR($C$3)*12+MONTH($C$3)-1,$G103,0))</f>
        <v/>
      </c>
      <c r="P103" s="62">
        <f>$M103-$O103</f>
        <v/>
      </c>
      <c r="Q103" s="62">
        <f>($L103-$M103)-($N103-$O103)</f>
        <v/>
      </c>
      <c r="R103" s="62">
        <f>$L103-$N103</f>
        <v/>
      </c>
    </row>
    <row r="104">
      <c r="A104" s="59">
        <f>ROW()-5</f>
        <v/>
      </c>
      <c r="B104" s="60">
        <f>IFERROR(INDEX(tbl_Finance[Date],$A104),"")</f>
        <v/>
      </c>
      <c r="C104" s="61">
        <f>IFERROR(INDEX(tbl_Finance[Xero Invoice No],$A104),"")</f>
        <v/>
      </c>
      <c r="D104" s="61">
        <f>IFERROR(INDEX(tbl_Finance[Client],$A104),"")</f>
        <v/>
      </c>
      <c r="E104" s="61">
        <f>IFERROR(INDEX(tbl_Finance[Job Number],$A104),"")</f>
        <v/>
      </c>
      <c r="F104" s="61">
        <f>IFERROR(INDEX(tbl_Finance[Cost Centre],$A104),"")</f>
        <v/>
      </c>
      <c r="G104" s="62">
        <f>IFERROR(INDEX(tbl_Finance[Ex GST],$A104),"")</f>
        <v/>
      </c>
      <c r="H104" s="60">
        <f>IFERROR(INDEX(tbl_Finance[Defer Start],$A104),"")</f>
        <v/>
      </c>
      <c r="I104" s="60">
        <f>IFERROR(INDEX(tbl_Finance[Defer End],$A104),"")</f>
        <v/>
      </c>
      <c r="J104" s="59">
        <f>IF(OR($H104="",$I104="",$G104=""),"",MAX(1,(YEAR($I104)-YEAR($H104))*12+MONTH($I104)-MONTH($H104)+1))</f>
        <v/>
      </c>
      <c r="K104" s="62">
        <f>IF($J104="","",$G104/$J104)</f>
        <v/>
      </c>
      <c r="L104" s="62">
        <f>IF($J104="",0,$K104*MAX(0,MIN(YEAR($C$3)*12+MONTH($C$3),YEAR($I104)*12+MONTH($I104))-(YEAR($H104)*12+MONTH($H104))+1))</f>
        <v/>
      </c>
      <c r="M104" s="62">
        <f>IF($J104="",0,$K104*MAX(0,MIN(YEAR($C$3)*12+MONTH($C$3)-1,YEAR($I104)*12+MONTH($I104))-(YEAR($H104)*12+MONTH($H104))+1))</f>
        <v/>
      </c>
      <c r="N104" s="62">
        <f>IF(OR($J104="",$B104=""),0,IF(YEAR($B104)*12+MONTH($B104)&lt;=YEAR($C$3)*12+MONTH($C$3),$G104,0))</f>
        <v/>
      </c>
      <c r="O104" s="62">
        <f>IF(OR($J104="",$B104=""),0,IF(YEAR($B104)*12+MONTH($B104)&lt;=YEAR($C$3)*12+MONTH($C$3)-1,$G104,0))</f>
        <v/>
      </c>
      <c r="P104" s="62">
        <f>$M104-$O104</f>
        <v/>
      </c>
      <c r="Q104" s="62">
        <f>($L104-$M104)-($N104-$O104)</f>
        <v/>
      </c>
      <c r="R104" s="62">
        <f>$L104-$N104</f>
        <v/>
      </c>
    </row>
    <row r="105">
      <c r="A105" s="59">
        <f>ROW()-5</f>
        <v/>
      </c>
      <c r="B105" s="60">
        <f>IFERROR(INDEX(tbl_Finance[Date],$A105),"")</f>
        <v/>
      </c>
      <c r="C105" s="61">
        <f>IFERROR(INDEX(tbl_Finance[Xero Invoice No],$A105),"")</f>
        <v/>
      </c>
      <c r="D105" s="61">
        <f>IFERROR(INDEX(tbl_Finance[Client],$A105),"")</f>
        <v/>
      </c>
      <c r="E105" s="61">
        <f>IFERROR(INDEX(tbl_Finance[Job Number],$A105),"")</f>
        <v/>
      </c>
      <c r="F105" s="61">
        <f>IFERROR(INDEX(tbl_Finance[Cost Centre],$A105),"")</f>
        <v/>
      </c>
      <c r="G105" s="62">
        <f>IFERROR(INDEX(tbl_Finance[Ex GST],$A105),"")</f>
        <v/>
      </c>
      <c r="H105" s="60">
        <f>IFERROR(INDEX(tbl_Finance[Defer Start],$A105),"")</f>
        <v/>
      </c>
      <c r="I105" s="60">
        <f>IFERROR(INDEX(tbl_Finance[Defer End],$A105),"")</f>
        <v/>
      </c>
      <c r="J105" s="59">
        <f>IF(OR($H105="",$I105="",$G105=""),"",MAX(1,(YEAR($I105)-YEAR($H105))*12+MONTH($I105)-MONTH($H105)+1))</f>
        <v/>
      </c>
      <c r="K105" s="62">
        <f>IF($J105="","",$G105/$J105)</f>
        <v/>
      </c>
      <c r="L105" s="62">
        <f>IF($J105="",0,$K105*MAX(0,MIN(YEAR($C$3)*12+MONTH($C$3),YEAR($I105)*12+MONTH($I105))-(YEAR($H105)*12+MONTH($H105))+1))</f>
        <v/>
      </c>
      <c r="M105" s="62">
        <f>IF($J105="",0,$K105*MAX(0,MIN(YEAR($C$3)*12+MONTH($C$3)-1,YEAR($I105)*12+MONTH($I105))-(YEAR($H105)*12+MONTH($H105))+1))</f>
        <v/>
      </c>
      <c r="N105" s="62">
        <f>IF(OR($J105="",$B105=""),0,IF(YEAR($B105)*12+MONTH($B105)&lt;=YEAR($C$3)*12+MONTH($C$3),$G105,0))</f>
        <v/>
      </c>
      <c r="O105" s="62">
        <f>IF(OR($J105="",$B105=""),0,IF(YEAR($B105)*12+MONTH($B105)&lt;=YEAR($C$3)*12+MONTH($C$3)-1,$G105,0))</f>
        <v/>
      </c>
      <c r="P105" s="62">
        <f>$M105-$O105</f>
        <v/>
      </c>
      <c r="Q105" s="62">
        <f>($L105-$M105)-($N105-$O105)</f>
        <v/>
      </c>
      <c r="R105" s="62">
        <f>$L105-$N105</f>
        <v/>
      </c>
    </row>
    <row r="106">
      <c r="A106" s="59">
        <f>ROW()-5</f>
        <v/>
      </c>
      <c r="B106" s="60">
        <f>IFERROR(INDEX(tbl_Finance[Date],$A106),"")</f>
        <v/>
      </c>
      <c r="C106" s="61">
        <f>IFERROR(INDEX(tbl_Finance[Xero Invoice No],$A106),"")</f>
        <v/>
      </c>
      <c r="D106" s="61">
        <f>IFERROR(INDEX(tbl_Finance[Client],$A106),"")</f>
        <v/>
      </c>
      <c r="E106" s="61">
        <f>IFERROR(INDEX(tbl_Finance[Job Number],$A106),"")</f>
        <v/>
      </c>
      <c r="F106" s="61">
        <f>IFERROR(INDEX(tbl_Finance[Cost Centre],$A106),"")</f>
        <v/>
      </c>
      <c r="G106" s="62">
        <f>IFERROR(INDEX(tbl_Finance[Ex GST],$A106),"")</f>
        <v/>
      </c>
      <c r="H106" s="60">
        <f>IFERROR(INDEX(tbl_Finance[Defer Start],$A106),"")</f>
        <v/>
      </c>
      <c r="I106" s="60">
        <f>IFERROR(INDEX(tbl_Finance[Defer End],$A106),"")</f>
        <v/>
      </c>
      <c r="J106" s="59">
        <f>IF(OR($H106="",$I106="",$G106=""),"",MAX(1,(YEAR($I106)-YEAR($H106))*12+MONTH($I106)-MONTH($H106)+1))</f>
        <v/>
      </c>
      <c r="K106" s="62">
        <f>IF($J106="","",$G106/$J106)</f>
        <v/>
      </c>
      <c r="L106" s="62">
        <f>IF($J106="",0,$K106*MAX(0,MIN(YEAR($C$3)*12+MONTH($C$3),YEAR($I106)*12+MONTH($I106))-(YEAR($H106)*12+MONTH($H106))+1))</f>
        <v/>
      </c>
      <c r="M106" s="62">
        <f>IF($J106="",0,$K106*MAX(0,MIN(YEAR($C$3)*12+MONTH($C$3)-1,YEAR($I106)*12+MONTH($I106))-(YEAR($H106)*12+MONTH($H106))+1))</f>
        <v/>
      </c>
      <c r="N106" s="62">
        <f>IF(OR($J106="",$B106=""),0,IF(YEAR($B106)*12+MONTH($B106)&lt;=YEAR($C$3)*12+MONTH($C$3),$G106,0))</f>
        <v/>
      </c>
      <c r="O106" s="62">
        <f>IF(OR($J106="",$B106=""),0,IF(YEAR($B106)*12+MONTH($B106)&lt;=YEAR($C$3)*12+MONTH($C$3)-1,$G106,0))</f>
        <v/>
      </c>
      <c r="P106" s="62">
        <f>$M106-$O106</f>
        <v/>
      </c>
      <c r="Q106" s="62">
        <f>($L106-$M106)-($N106-$O106)</f>
        <v/>
      </c>
      <c r="R106" s="62">
        <f>$L106-$N106</f>
        <v/>
      </c>
    </row>
    <row r="107">
      <c r="A107" s="59">
        <f>ROW()-5</f>
        <v/>
      </c>
      <c r="B107" s="60">
        <f>IFERROR(INDEX(tbl_Finance[Date],$A107),"")</f>
        <v/>
      </c>
      <c r="C107" s="61">
        <f>IFERROR(INDEX(tbl_Finance[Xero Invoice No],$A107),"")</f>
        <v/>
      </c>
      <c r="D107" s="61">
        <f>IFERROR(INDEX(tbl_Finance[Client],$A107),"")</f>
        <v/>
      </c>
      <c r="E107" s="61">
        <f>IFERROR(INDEX(tbl_Finance[Job Number],$A107),"")</f>
        <v/>
      </c>
      <c r="F107" s="61">
        <f>IFERROR(INDEX(tbl_Finance[Cost Centre],$A107),"")</f>
        <v/>
      </c>
      <c r="G107" s="62">
        <f>IFERROR(INDEX(tbl_Finance[Ex GST],$A107),"")</f>
        <v/>
      </c>
      <c r="H107" s="60">
        <f>IFERROR(INDEX(tbl_Finance[Defer Start],$A107),"")</f>
        <v/>
      </c>
      <c r="I107" s="60">
        <f>IFERROR(INDEX(tbl_Finance[Defer End],$A107),"")</f>
        <v/>
      </c>
      <c r="J107" s="59">
        <f>IF(OR($H107="",$I107="",$G107=""),"",MAX(1,(YEAR($I107)-YEAR($H107))*12+MONTH($I107)-MONTH($H107)+1))</f>
        <v/>
      </c>
      <c r="K107" s="62">
        <f>IF($J107="","",$G107/$J107)</f>
        <v/>
      </c>
      <c r="L107" s="62">
        <f>IF($J107="",0,$K107*MAX(0,MIN(YEAR($C$3)*12+MONTH($C$3),YEAR($I107)*12+MONTH($I107))-(YEAR($H107)*12+MONTH($H107))+1))</f>
        <v/>
      </c>
      <c r="M107" s="62">
        <f>IF($J107="",0,$K107*MAX(0,MIN(YEAR($C$3)*12+MONTH($C$3)-1,YEAR($I107)*12+MONTH($I107))-(YEAR($H107)*12+MONTH($H107))+1))</f>
        <v/>
      </c>
      <c r="N107" s="62">
        <f>IF(OR($J107="",$B107=""),0,IF(YEAR($B107)*12+MONTH($B107)&lt;=YEAR($C$3)*12+MONTH($C$3),$G107,0))</f>
        <v/>
      </c>
      <c r="O107" s="62">
        <f>IF(OR($J107="",$B107=""),0,IF(YEAR($B107)*12+MONTH($B107)&lt;=YEAR($C$3)*12+MONTH($C$3)-1,$G107,0))</f>
        <v/>
      </c>
      <c r="P107" s="62">
        <f>$M107-$O107</f>
        <v/>
      </c>
      <c r="Q107" s="62">
        <f>($L107-$M107)-($N107-$O107)</f>
        <v/>
      </c>
      <c r="R107" s="62">
        <f>$L107-$N107</f>
        <v/>
      </c>
    </row>
    <row r="108">
      <c r="A108" s="59">
        <f>ROW()-5</f>
        <v/>
      </c>
      <c r="B108" s="60">
        <f>IFERROR(INDEX(tbl_Finance[Date],$A108),"")</f>
        <v/>
      </c>
      <c r="C108" s="61">
        <f>IFERROR(INDEX(tbl_Finance[Xero Invoice No],$A108),"")</f>
        <v/>
      </c>
      <c r="D108" s="61">
        <f>IFERROR(INDEX(tbl_Finance[Client],$A108),"")</f>
        <v/>
      </c>
      <c r="E108" s="61">
        <f>IFERROR(INDEX(tbl_Finance[Job Number],$A108),"")</f>
        <v/>
      </c>
      <c r="F108" s="61">
        <f>IFERROR(INDEX(tbl_Finance[Cost Centre],$A108),"")</f>
        <v/>
      </c>
      <c r="G108" s="62">
        <f>IFERROR(INDEX(tbl_Finance[Ex GST],$A108),"")</f>
        <v/>
      </c>
      <c r="H108" s="60">
        <f>IFERROR(INDEX(tbl_Finance[Defer Start],$A108),"")</f>
        <v/>
      </c>
      <c r="I108" s="60">
        <f>IFERROR(INDEX(tbl_Finance[Defer End],$A108),"")</f>
        <v/>
      </c>
      <c r="J108" s="59">
        <f>IF(OR($H108="",$I108="",$G108=""),"",MAX(1,(YEAR($I108)-YEAR($H108))*12+MONTH($I108)-MONTH($H108)+1))</f>
        <v/>
      </c>
      <c r="K108" s="62">
        <f>IF($J108="","",$G108/$J108)</f>
        <v/>
      </c>
      <c r="L108" s="62">
        <f>IF($J108="",0,$K108*MAX(0,MIN(YEAR($C$3)*12+MONTH($C$3),YEAR($I108)*12+MONTH($I108))-(YEAR($H108)*12+MONTH($H108))+1))</f>
        <v/>
      </c>
      <c r="M108" s="62">
        <f>IF($J108="",0,$K108*MAX(0,MIN(YEAR($C$3)*12+MONTH($C$3)-1,YEAR($I108)*12+MONTH($I108))-(YEAR($H108)*12+MONTH($H108))+1))</f>
        <v/>
      </c>
      <c r="N108" s="62">
        <f>IF(OR($J108="",$B108=""),0,IF(YEAR($B108)*12+MONTH($B108)&lt;=YEAR($C$3)*12+MONTH($C$3),$G108,0))</f>
        <v/>
      </c>
      <c r="O108" s="62">
        <f>IF(OR($J108="",$B108=""),0,IF(YEAR($B108)*12+MONTH($B108)&lt;=YEAR($C$3)*12+MONTH($C$3)-1,$G108,0))</f>
        <v/>
      </c>
      <c r="P108" s="62">
        <f>$M108-$O108</f>
        <v/>
      </c>
      <c r="Q108" s="62">
        <f>($L108-$M108)-($N108-$O108)</f>
        <v/>
      </c>
      <c r="R108" s="62">
        <f>$L108-$N108</f>
        <v/>
      </c>
    </row>
    <row r="109">
      <c r="A109" s="59">
        <f>ROW()-5</f>
        <v/>
      </c>
      <c r="B109" s="60">
        <f>IFERROR(INDEX(tbl_Finance[Date],$A109),"")</f>
        <v/>
      </c>
      <c r="C109" s="61">
        <f>IFERROR(INDEX(tbl_Finance[Xero Invoice No],$A109),"")</f>
        <v/>
      </c>
      <c r="D109" s="61">
        <f>IFERROR(INDEX(tbl_Finance[Client],$A109),"")</f>
        <v/>
      </c>
      <c r="E109" s="61">
        <f>IFERROR(INDEX(tbl_Finance[Job Number],$A109),"")</f>
        <v/>
      </c>
      <c r="F109" s="61">
        <f>IFERROR(INDEX(tbl_Finance[Cost Centre],$A109),"")</f>
        <v/>
      </c>
      <c r="G109" s="62">
        <f>IFERROR(INDEX(tbl_Finance[Ex GST],$A109),"")</f>
        <v/>
      </c>
      <c r="H109" s="60">
        <f>IFERROR(INDEX(tbl_Finance[Defer Start],$A109),"")</f>
        <v/>
      </c>
      <c r="I109" s="60">
        <f>IFERROR(INDEX(tbl_Finance[Defer End],$A109),"")</f>
        <v/>
      </c>
      <c r="J109" s="59">
        <f>IF(OR($H109="",$I109="",$G109=""),"",MAX(1,(YEAR($I109)-YEAR($H109))*12+MONTH($I109)-MONTH($H109)+1))</f>
        <v/>
      </c>
      <c r="K109" s="62">
        <f>IF($J109="","",$G109/$J109)</f>
        <v/>
      </c>
      <c r="L109" s="62">
        <f>IF($J109="",0,$K109*MAX(0,MIN(YEAR($C$3)*12+MONTH($C$3),YEAR($I109)*12+MONTH($I109))-(YEAR($H109)*12+MONTH($H109))+1))</f>
        <v/>
      </c>
      <c r="M109" s="62">
        <f>IF($J109="",0,$K109*MAX(0,MIN(YEAR($C$3)*12+MONTH($C$3)-1,YEAR($I109)*12+MONTH($I109))-(YEAR($H109)*12+MONTH($H109))+1))</f>
        <v/>
      </c>
      <c r="N109" s="62">
        <f>IF(OR($J109="",$B109=""),0,IF(YEAR($B109)*12+MONTH($B109)&lt;=YEAR($C$3)*12+MONTH($C$3),$G109,0))</f>
        <v/>
      </c>
      <c r="O109" s="62">
        <f>IF(OR($J109="",$B109=""),0,IF(YEAR($B109)*12+MONTH($B109)&lt;=YEAR($C$3)*12+MONTH($C$3)-1,$G109,0))</f>
        <v/>
      </c>
      <c r="P109" s="62">
        <f>$M109-$O109</f>
        <v/>
      </c>
      <c r="Q109" s="62">
        <f>($L109-$M109)-($N109-$O109)</f>
        <v/>
      </c>
      <c r="R109" s="62">
        <f>$L109-$N109</f>
        <v/>
      </c>
    </row>
    <row r="110">
      <c r="A110" s="59">
        <f>ROW()-5</f>
        <v/>
      </c>
      <c r="B110" s="60">
        <f>IFERROR(INDEX(tbl_Finance[Date],$A110),"")</f>
        <v/>
      </c>
      <c r="C110" s="61">
        <f>IFERROR(INDEX(tbl_Finance[Xero Invoice No],$A110),"")</f>
        <v/>
      </c>
      <c r="D110" s="61">
        <f>IFERROR(INDEX(tbl_Finance[Client],$A110),"")</f>
        <v/>
      </c>
      <c r="E110" s="61">
        <f>IFERROR(INDEX(tbl_Finance[Job Number],$A110),"")</f>
        <v/>
      </c>
      <c r="F110" s="61">
        <f>IFERROR(INDEX(tbl_Finance[Cost Centre],$A110),"")</f>
        <v/>
      </c>
      <c r="G110" s="62">
        <f>IFERROR(INDEX(tbl_Finance[Ex GST],$A110),"")</f>
        <v/>
      </c>
      <c r="H110" s="60">
        <f>IFERROR(INDEX(tbl_Finance[Defer Start],$A110),"")</f>
        <v/>
      </c>
      <c r="I110" s="60">
        <f>IFERROR(INDEX(tbl_Finance[Defer End],$A110),"")</f>
        <v/>
      </c>
      <c r="J110" s="59">
        <f>IF(OR($H110="",$I110="",$G110=""),"",MAX(1,(YEAR($I110)-YEAR($H110))*12+MONTH($I110)-MONTH($H110)+1))</f>
        <v/>
      </c>
      <c r="K110" s="62">
        <f>IF($J110="","",$G110/$J110)</f>
        <v/>
      </c>
      <c r="L110" s="62">
        <f>IF($J110="",0,$K110*MAX(0,MIN(YEAR($C$3)*12+MONTH($C$3),YEAR($I110)*12+MONTH($I110))-(YEAR($H110)*12+MONTH($H110))+1))</f>
        <v/>
      </c>
      <c r="M110" s="62">
        <f>IF($J110="",0,$K110*MAX(0,MIN(YEAR($C$3)*12+MONTH($C$3)-1,YEAR($I110)*12+MONTH($I110))-(YEAR($H110)*12+MONTH($H110))+1))</f>
        <v/>
      </c>
      <c r="N110" s="62">
        <f>IF(OR($J110="",$B110=""),0,IF(YEAR($B110)*12+MONTH($B110)&lt;=YEAR($C$3)*12+MONTH($C$3),$G110,0))</f>
        <v/>
      </c>
      <c r="O110" s="62">
        <f>IF(OR($J110="",$B110=""),0,IF(YEAR($B110)*12+MONTH($B110)&lt;=YEAR($C$3)*12+MONTH($C$3)-1,$G110,0))</f>
        <v/>
      </c>
      <c r="P110" s="62">
        <f>$M110-$O110</f>
        <v/>
      </c>
      <c r="Q110" s="62">
        <f>($L110-$M110)-($N110-$O110)</f>
        <v/>
      </c>
      <c r="R110" s="62">
        <f>$L110-$N110</f>
        <v/>
      </c>
    </row>
    <row r="111">
      <c r="A111" s="59">
        <f>ROW()-5</f>
        <v/>
      </c>
      <c r="B111" s="60">
        <f>IFERROR(INDEX(tbl_Finance[Date],$A111),"")</f>
        <v/>
      </c>
      <c r="C111" s="61">
        <f>IFERROR(INDEX(tbl_Finance[Xero Invoice No],$A111),"")</f>
        <v/>
      </c>
      <c r="D111" s="61">
        <f>IFERROR(INDEX(tbl_Finance[Client],$A111),"")</f>
        <v/>
      </c>
      <c r="E111" s="61">
        <f>IFERROR(INDEX(tbl_Finance[Job Number],$A111),"")</f>
        <v/>
      </c>
      <c r="F111" s="61">
        <f>IFERROR(INDEX(tbl_Finance[Cost Centre],$A111),"")</f>
        <v/>
      </c>
      <c r="G111" s="62">
        <f>IFERROR(INDEX(tbl_Finance[Ex GST],$A111),"")</f>
        <v/>
      </c>
      <c r="H111" s="60">
        <f>IFERROR(INDEX(tbl_Finance[Defer Start],$A111),"")</f>
        <v/>
      </c>
      <c r="I111" s="60">
        <f>IFERROR(INDEX(tbl_Finance[Defer End],$A111),"")</f>
        <v/>
      </c>
      <c r="J111" s="59">
        <f>IF(OR($H111="",$I111="",$G111=""),"",MAX(1,(YEAR($I111)-YEAR($H111))*12+MONTH($I111)-MONTH($H111)+1))</f>
        <v/>
      </c>
      <c r="K111" s="62">
        <f>IF($J111="","",$G111/$J111)</f>
        <v/>
      </c>
      <c r="L111" s="62">
        <f>IF($J111="",0,$K111*MAX(0,MIN(YEAR($C$3)*12+MONTH($C$3),YEAR($I111)*12+MONTH($I111))-(YEAR($H111)*12+MONTH($H111))+1))</f>
        <v/>
      </c>
      <c r="M111" s="62">
        <f>IF($J111="",0,$K111*MAX(0,MIN(YEAR($C$3)*12+MONTH($C$3)-1,YEAR($I111)*12+MONTH($I111))-(YEAR($H111)*12+MONTH($H111))+1))</f>
        <v/>
      </c>
      <c r="N111" s="62">
        <f>IF(OR($J111="",$B111=""),0,IF(YEAR($B111)*12+MONTH($B111)&lt;=YEAR($C$3)*12+MONTH($C$3),$G111,0))</f>
        <v/>
      </c>
      <c r="O111" s="62">
        <f>IF(OR($J111="",$B111=""),0,IF(YEAR($B111)*12+MONTH($B111)&lt;=YEAR($C$3)*12+MONTH($C$3)-1,$G111,0))</f>
        <v/>
      </c>
      <c r="P111" s="62">
        <f>$M111-$O111</f>
        <v/>
      </c>
      <c r="Q111" s="62">
        <f>($L111-$M111)-($N111-$O111)</f>
        <v/>
      </c>
      <c r="R111" s="62">
        <f>$L111-$N111</f>
        <v/>
      </c>
    </row>
    <row r="112">
      <c r="A112" s="59">
        <f>ROW()-5</f>
        <v/>
      </c>
      <c r="B112" s="60">
        <f>IFERROR(INDEX(tbl_Finance[Date],$A112),"")</f>
        <v/>
      </c>
      <c r="C112" s="61">
        <f>IFERROR(INDEX(tbl_Finance[Xero Invoice No],$A112),"")</f>
        <v/>
      </c>
      <c r="D112" s="61">
        <f>IFERROR(INDEX(tbl_Finance[Client],$A112),"")</f>
        <v/>
      </c>
      <c r="E112" s="61">
        <f>IFERROR(INDEX(tbl_Finance[Job Number],$A112),"")</f>
        <v/>
      </c>
      <c r="F112" s="61">
        <f>IFERROR(INDEX(tbl_Finance[Cost Centre],$A112),"")</f>
        <v/>
      </c>
      <c r="G112" s="62">
        <f>IFERROR(INDEX(tbl_Finance[Ex GST],$A112),"")</f>
        <v/>
      </c>
      <c r="H112" s="60">
        <f>IFERROR(INDEX(tbl_Finance[Defer Start],$A112),"")</f>
        <v/>
      </c>
      <c r="I112" s="60">
        <f>IFERROR(INDEX(tbl_Finance[Defer End],$A112),"")</f>
        <v/>
      </c>
      <c r="J112" s="59">
        <f>IF(OR($H112="",$I112="",$G112=""),"",MAX(1,(YEAR($I112)-YEAR($H112))*12+MONTH($I112)-MONTH($H112)+1))</f>
        <v/>
      </c>
      <c r="K112" s="62">
        <f>IF($J112="","",$G112/$J112)</f>
        <v/>
      </c>
      <c r="L112" s="62">
        <f>IF($J112="",0,$K112*MAX(0,MIN(YEAR($C$3)*12+MONTH($C$3),YEAR($I112)*12+MONTH($I112))-(YEAR($H112)*12+MONTH($H112))+1))</f>
        <v/>
      </c>
      <c r="M112" s="62">
        <f>IF($J112="",0,$K112*MAX(0,MIN(YEAR($C$3)*12+MONTH($C$3)-1,YEAR($I112)*12+MONTH($I112))-(YEAR($H112)*12+MONTH($H112))+1))</f>
        <v/>
      </c>
      <c r="N112" s="62">
        <f>IF(OR($J112="",$B112=""),0,IF(YEAR($B112)*12+MONTH($B112)&lt;=YEAR($C$3)*12+MONTH($C$3),$G112,0))</f>
        <v/>
      </c>
      <c r="O112" s="62">
        <f>IF(OR($J112="",$B112=""),0,IF(YEAR($B112)*12+MONTH($B112)&lt;=YEAR($C$3)*12+MONTH($C$3)-1,$G112,0))</f>
        <v/>
      </c>
      <c r="P112" s="62">
        <f>$M112-$O112</f>
        <v/>
      </c>
      <c r="Q112" s="62">
        <f>($L112-$M112)-($N112-$O112)</f>
        <v/>
      </c>
      <c r="R112" s="62">
        <f>$L112-$N112</f>
        <v/>
      </c>
    </row>
    <row r="113">
      <c r="A113" s="59">
        <f>ROW()-5</f>
        <v/>
      </c>
      <c r="B113" s="60">
        <f>IFERROR(INDEX(tbl_Finance[Date],$A113),"")</f>
        <v/>
      </c>
      <c r="C113" s="61">
        <f>IFERROR(INDEX(tbl_Finance[Xero Invoice No],$A113),"")</f>
        <v/>
      </c>
      <c r="D113" s="61">
        <f>IFERROR(INDEX(tbl_Finance[Client],$A113),"")</f>
        <v/>
      </c>
      <c r="E113" s="61">
        <f>IFERROR(INDEX(tbl_Finance[Job Number],$A113),"")</f>
        <v/>
      </c>
      <c r="F113" s="61">
        <f>IFERROR(INDEX(tbl_Finance[Cost Centre],$A113),"")</f>
        <v/>
      </c>
      <c r="G113" s="62">
        <f>IFERROR(INDEX(tbl_Finance[Ex GST],$A113),"")</f>
        <v/>
      </c>
      <c r="H113" s="60">
        <f>IFERROR(INDEX(tbl_Finance[Defer Start],$A113),"")</f>
        <v/>
      </c>
      <c r="I113" s="60">
        <f>IFERROR(INDEX(tbl_Finance[Defer End],$A113),"")</f>
        <v/>
      </c>
      <c r="J113" s="59">
        <f>IF(OR($H113="",$I113="",$G113=""),"",MAX(1,(YEAR($I113)-YEAR($H113))*12+MONTH($I113)-MONTH($H113)+1))</f>
        <v/>
      </c>
      <c r="K113" s="62">
        <f>IF($J113="","",$G113/$J113)</f>
        <v/>
      </c>
      <c r="L113" s="62">
        <f>IF($J113="",0,$K113*MAX(0,MIN(YEAR($C$3)*12+MONTH($C$3),YEAR($I113)*12+MONTH($I113))-(YEAR($H113)*12+MONTH($H113))+1))</f>
        <v/>
      </c>
      <c r="M113" s="62">
        <f>IF($J113="",0,$K113*MAX(0,MIN(YEAR($C$3)*12+MONTH($C$3)-1,YEAR($I113)*12+MONTH($I113))-(YEAR($H113)*12+MONTH($H113))+1))</f>
        <v/>
      </c>
      <c r="N113" s="62">
        <f>IF(OR($J113="",$B113=""),0,IF(YEAR($B113)*12+MONTH($B113)&lt;=YEAR($C$3)*12+MONTH($C$3),$G113,0))</f>
        <v/>
      </c>
      <c r="O113" s="62">
        <f>IF(OR($J113="",$B113=""),0,IF(YEAR($B113)*12+MONTH($B113)&lt;=YEAR($C$3)*12+MONTH($C$3)-1,$G113,0))</f>
        <v/>
      </c>
      <c r="P113" s="62">
        <f>$M113-$O113</f>
        <v/>
      </c>
      <c r="Q113" s="62">
        <f>($L113-$M113)-($N113-$O113)</f>
        <v/>
      </c>
      <c r="R113" s="62">
        <f>$L113-$N113</f>
        <v/>
      </c>
    </row>
    <row r="114">
      <c r="A114" s="59">
        <f>ROW()-5</f>
        <v/>
      </c>
      <c r="B114" s="60">
        <f>IFERROR(INDEX(tbl_Finance[Date],$A114),"")</f>
        <v/>
      </c>
      <c r="C114" s="61">
        <f>IFERROR(INDEX(tbl_Finance[Xero Invoice No],$A114),"")</f>
        <v/>
      </c>
      <c r="D114" s="61">
        <f>IFERROR(INDEX(tbl_Finance[Client],$A114),"")</f>
        <v/>
      </c>
      <c r="E114" s="61">
        <f>IFERROR(INDEX(tbl_Finance[Job Number],$A114),"")</f>
        <v/>
      </c>
      <c r="F114" s="61">
        <f>IFERROR(INDEX(tbl_Finance[Cost Centre],$A114),"")</f>
        <v/>
      </c>
      <c r="G114" s="62">
        <f>IFERROR(INDEX(tbl_Finance[Ex GST],$A114),"")</f>
        <v/>
      </c>
      <c r="H114" s="60">
        <f>IFERROR(INDEX(tbl_Finance[Defer Start],$A114),"")</f>
        <v/>
      </c>
      <c r="I114" s="60">
        <f>IFERROR(INDEX(tbl_Finance[Defer End],$A114),"")</f>
        <v/>
      </c>
      <c r="J114" s="59">
        <f>IF(OR($H114="",$I114="",$G114=""),"",MAX(1,(YEAR($I114)-YEAR($H114))*12+MONTH($I114)-MONTH($H114)+1))</f>
        <v/>
      </c>
      <c r="K114" s="62">
        <f>IF($J114="","",$G114/$J114)</f>
        <v/>
      </c>
      <c r="L114" s="62">
        <f>IF($J114="",0,$K114*MAX(0,MIN(YEAR($C$3)*12+MONTH($C$3),YEAR($I114)*12+MONTH($I114))-(YEAR($H114)*12+MONTH($H114))+1))</f>
        <v/>
      </c>
      <c r="M114" s="62">
        <f>IF($J114="",0,$K114*MAX(0,MIN(YEAR($C$3)*12+MONTH($C$3)-1,YEAR($I114)*12+MONTH($I114))-(YEAR($H114)*12+MONTH($H114))+1))</f>
        <v/>
      </c>
      <c r="N114" s="62">
        <f>IF(OR($J114="",$B114=""),0,IF(YEAR($B114)*12+MONTH($B114)&lt;=YEAR($C$3)*12+MONTH($C$3),$G114,0))</f>
        <v/>
      </c>
      <c r="O114" s="62">
        <f>IF(OR($J114="",$B114=""),0,IF(YEAR($B114)*12+MONTH($B114)&lt;=YEAR($C$3)*12+MONTH($C$3)-1,$G114,0))</f>
        <v/>
      </c>
      <c r="P114" s="62">
        <f>$M114-$O114</f>
        <v/>
      </c>
      <c r="Q114" s="62">
        <f>($L114-$M114)-($N114-$O114)</f>
        <v/>
      </c>
      <c r="R114" s="62">
        <f>$L114-$N114</f>
        <v/>
      </c>
    </row>
    <row r="115">
      <c r="A115" s="59">
        <f>ROW()-5</f>
        <v/>
      </c>
      <c r="B115" s="60">
        <f>IFERROR(INDEX(tbl_Finance[Date],$A115),"")</f>
        <v/>
      </c>
      <c r="C115" s="61">
        <f>IFERROR(INDEX(tbl_Finance[Xero Invoice No],$A115),"")</f>
        <v/>
      </c>
      <c r="D115" s="61">
        <f>IFERROR(INDEX(tbl_Finance[Client],$A115),"")</f>
        <v/>
      </c>
      <c r="E115" s="61">
        <f>IFERROR(INDEX(tbl_Finance[Job Number],$A115),"")</f>
        <v/>
      </c>
      <c r="F115" s="61">
        <f>IFERROR(INDEX(tbl_Finance[Cost Centre],$A115),"")</f>
        <v/>
      </c>
      <c r="G115" s="62">
        <f>IFERROR(INDEX(tbl_Finance[Ex GST],$A115),"")</f>
        <v/>
      </c>
      <c r="H115" s="60">
        <f>IFERROR(INDEX(tbl_Finance[Defer Start],$A115),"")</f>
        <v/>
      </c>
      <c r="I115" s="60">
        <f>IFERROR(INDEX(tbl_Finance[Defer End],$A115),"")</f>
        <v/>
      </c>
      <c r="J115" s="59">
        <f>IF(OR($H115="",$I115="",$G115=""),"",MAX(1,(YEAR($I115)-YEAR($H115))*12+MONTH($I115)-MONTH($H115)+1))</f>
        <v/>
      </c>
      <c r="K115" s="62">
        <f>IF($J115="","",$G115/$J115)</f>
        <v/>
      </c>
      <c r="L115" s="62">
        <f>IF($J115="",0,$K115*MAX(0,MIN(YEAR($C$3)*12+MONTH($C$3),YEAR($I115)*12+MONTH($I115))-(YEAR($H115)*12+MONTH($H115))+1))</f>
        <v/>
      </c>
      <c r="M115" s="62">
        <f>IF($J115="",0,$K115*MAX(0,MIN(YEAR($C$3)*12+MONTH($C$3)-1,YEAR($I115)*12+MONTH($I115))-(YEAR($H115)*12+MONTH($H115))+1))</f>
        <v/>
      </c>
      <c r="N115" s="62">
        <f>IF(OR($J115="",$B115=""),0,IF(YEAR($B115)*12+MONTH($B115)&lt;=YEAR($C$3)*12+MONTH($C$3),$G115,0))</f>
        <v/>
      </c>
      <c r="O115" s="62">
        <f>IF(OR($J115="",$B115=""),0,IF(YEAR($B115)*12+MONTH($B115)&lt;=YEAR($C$3)*12+MONTH($C$3)-1,$G115,0))</f>
        <v/>
      </c>
      <c r="P115" s="62">
        <f>$M115-$O115</f>
        <v/>
      </c>
      <c r="Q115" s="62">
        <f>($L115-$M115)-($N115-$O115)</f>
        <v/>
      </c>
      <c r="R115" s="62">
        <f>$L115-$N115</f>
        <v/>
      </c>
    </row>
    <row r="116">
      <c r="A116" s="59">
        <f>ROW()-5</f>
        <v/>
      </c>
      <c r="B116" s="60">
        <f>IFERROR(INDEX(tbl_Finance[Date],$A116),"")</f>
        <v/>
      </c>
      <c r="C116" s="61">
        <f>IFERROR(INDEX(tbl_Finance[Xero Invoice No],$A116),"")</f>
        <v/>
      </c>
      <c r="D116" s="61">
        <f>IFERROR(INDEX(tbl_Finance[Client],$A116),"")</f>
        <v/>
      </c>
      <c r="E116" s="61">
        <f>IFERROR(INDEX(tbl_Finance[Job Number],$A116),"")</f>
        <v/>
      </c>
      <c r="F116" s="61">
        <f>IFERROR(INDEX(tbl_Finance[Cost Centre],$A116),"")</f>
        <v/>
      </c>
      <c r="G116" s="62">
        <f>IFERROR(INDEX(tbl_Finance[Ex GST],$A116),"")</f>
        <v/>
      </c>
      <c r="H116" s="60">
        <f>IFERROR(INDEX(tbl_Finance[Defer Start],$A116),"")</f>
        <v/>
      </c>
      <c r="I116" s="60">
        <f>IFERROR(INDEX(tbl_Finance[Defer End],$A116),"")</f>
        <v/>
      </c>
      <c r="J116" s="59">
        <f>IF(OR($H116="",$I116="",$G116=""),"",MAX(1,(YEAR($I116)-YEAR($H116))*12+MONTH($I116)-MONTH($H116)+1))</f>
        <v/>
      </c>
      <c r="K116" s="62">
        <f>IF($J116="","",$G116/$J116)</f>
        <v/>
      </c>
      <c r="L116" s="62">
        <f>IF($J116="",0,$K116*MAX(0,MIN(YEAR($C$3)*12+MONTH($C$3),YEAR($I116)*12+MONTH($I116))-(YEAR($H116)*12+MONTH($H116))+1))</f>
        <v/>
      </c>
      <c r="M116" s="62">
        <f>IF($J116="",0,$K116*MAX(0,MIN(YEAR($C$3)*12+MONTH($C$3)-1,YEAR($I116)*12+MONTH($I116))-(YEAR($H116)*12+MONTH($H116))+1))</f>
        <v/>
      </c>
      <c r="N116" s="62">
        <f>IF(OR($J116="",$B116=""),0,IF(YEAR($B116)*12+MONTH($B116)&lt;=YEAR($C$3)*12+MONTH($C$3),$G116,0))</f>
        <v/>
      </c>
      <c r="O116" s="62">
        <f>IF(OR($J116="",$B116=""),0,IF(YEAR($B116)*12+MONTH($B116)&lt;=YEAR($C$3)*12+MONTH($C$3)-1,$G116,0))</f>
        <v/>
      </c>
      <c r="P116" s="62">
        <f>$M116-$O116</f>
        <v/>
      </c>
      <c r="Q116" s="62">
        <f>($L116-$M116)-($N116-$O116)</f>
        <v/>
      </c>
      <c r="R116" s="62">
        <f>$L116-$N116</f>
        <v/>
      </c>
    </row>
    <row r="117">
      <c r="A117" s="59">
        <f>ROW()-5</f>
        <v/>
      </c>
      <c r="B117" s="60">
        <f>IFERROR(INDEX(tbl_Finance[Date],$A117),"")</f>
        <v/>
      </c>
      <c r="C117" s="61">
        <f>IFERROR(INDEX(tbl_Finance[Xero Invoice No],$A117),"")</f>
        <v/>
      </c>
      <c r="D117" s="61">
        <f>IFERROR(INDEX(tbl_Finance[Client],$A117),"")</f>
        <v/>
      </c>
      <c r="E117" s="61">
        <f>IFERROR(INDEX(tbl_Finance[Job Number],$A117),"")</f>
        <v/>
      </c>
      <c r="F117" s="61">
        <f>IFERROR(INDEX(tbl_Finance[Cost Centre],$A117),"")</f>
        <v/>
      </c>
      <c r="G117" s="62">
        <f>IFERROR(INDEX(tbl_Finance[Ex GST],$A117),"")</f>
        <v/>
      </c>
      <c r="H117" s="60">
        <f>IFERROR(INDEX(tbl_Finance[Defer Start],$A117),"")</f>
        <v/>
      </c>
      <c r="I117" s="60">
        <f>IFERROR(INDEX(tbl_Finance[Defer End],$A117),"")</f>
        <v/>
      </c>
      <c r="J117" s="59">
        <f>IF(OR($H117="",$I117="",$G117=""),"",MAX(1,(YEAR($I117)-YEAR($H117))*12+MONTH($I117)-MONTH($H117)+1))</f>
        <v/>
      </c>
      <c r="K117" s="62">
        <f>IF($J117="","",$G117/$J117)</f>
        <v/>
      </c>
      <c r="L117" s="62">
        <f>IF($J117="",0,$K117*MAX(0,MIN(YEAR($C$3)*12+MONTH($C$3),YEAR($I117)*12+MONTH($I117))-(YEAR($H117)*12+MONTH($H117))+1))</f>
        <v/>
      </c>
      <c r="M117" s="62">
        <f>IF($J117="",0,$K117*MAX(0,MIN(YEAR($C$3)*12+MONTH($C$3)-1,YEAR($I117)*12+MONTH($I117))-(YEAR($H117)*12+MONTH($H117))+1))</f>
        <v/>
      </c>
      <c r="N117" s="62">
        <f>IF(OR($J117="",$B117=""),0,IF(YEAR($B117)*12+MONTH($B117)&lt;=YEAR($C$3)*12+MONTH($C$3),$G117,0))</f>
        <v/>
      </c>
      <c r="O117" s="62">
        <f>IF(OR($J117="",$B117=""),0,IF(YEAR($B117)*12+MONTH($B117)&lt;=YEAR($C$3)*12+MONTH($C$3)-1,$G117,0))</f>
        <v/>
      </c>
      <c r="P117" s="62">
        <f>$M117-$O117</f>
        <v/>
      </c>
      <c r="Q117" s="62">
        <f>($L117-$M117)-($N117-$O117)</f>
        <v/>
      </c>
      <c r="R117" s="62">
        <f>$L117-$N117</f>
        <v/>
      </c>
    </row>
    <row r="118">
      <c r="A118" s="59">
        <f>ROW()-5</f>
        <v/>
      </c>
      <c r="B118" s="60">
        <f>IFERROR(INDEX(tbl_Finance[Date],$A118),"")</f>
        <v/>
      </c>
      <c r="C118" s="61">
        <f>IFERROR(INDEX(tbl_Finance[Xero Invoice No],$A118),"")</f>
        <v/>
      </c>
      <c r="D118" s="61">
        <f>IFERROR(INDEX(tbl_Finance[Client],$A118),"")</f>
        <v/>
      </c>
      <c r="E118" s="61">
        <f>IFERROR(INDEX(tbl_Finance[Job Number],$A118),"")</f>
        <v/>
      </c>
      <c r="F118" s="61">
        <f>IFERROR(INDEX(tbl_Finance[Cost Centre],$A118),"")</f>
        <v/>
      </c>
      <c r="G118" s="62">
        <f>IFERROR(INDEX(tbl_Finance[Ex GST],$A118),"")</f>
        <v/>
      </c>
      <c r="H118" s="60">
        <f>IFERROR(INDEX(tbl_Finance[Defer Start],$A118),"")</f>
        <v/>
      </c>
      <c r="I118" s="60">
        <f>IFERROR(INDEX(tbl_Finance[Defer End],$A118),"")</f>
        <v/>
      </c>
      <c r="J118" s="59">
        <f>IF(OR($H118="",$I118="",$G118=""),"",MAX(1,(YEAR($I118)-YEAR($H118))*12+MONTH($I118)-MONTH($H118)+1))</f>
        <v/>
      </c>
      <c r="K118" s="62">
        <f>IF($J118="","",$G118/$J118)</f>
        <v/>
      </c>
      <c r="L118" s="62">
        <f>IF($J118="",0,$K118*MAX(0,MIN(YEAR($C$3)*12+MONTH($C$3),YEAR($I118)*12+MONTH($I118))-(YEAR($H118)*12+MONTH($H118))+1))</f>
        <v/>
      </c>
      <c r="M118" s="62">
        <f>IF($J118="",0,$K118*MAX(0,MIN(YEAR($C$3)*12+MONTH($C$3)-1,YEAR($I118)*12+MONTH($I118))-(YEAR($H118)*12+MONTH($H118))+1))</f>
        <v/>
      </c>
      <c r="N118" s="62">
        <f>IF(OR($J118="",$B118=""),0,IF(YEAR($B118)*12+MONTH($B118)&lt;=YEAR($C$3)*12+MONTH($C$3),$G118,0))</f>
        <v/>
      </c>
      <c r="O118" s="62">
        <f>IF(OR($J118="",$B118=""),0,IF(YEAR($B118)*12+MONTH($B118)&lt;=YEAR($C$3)*12+MONTH($C$3)-1,$G118,0))</f>
        <v/>
      </c>
      <c r="P118" s="62">
        <f>$M118-$O118</f>
        <v/>
      </c>
      <c r="Q118" s="62">
        <f>($L118-$M118)-($N118-$O118)</f>
        <v/>
      </c>
      <c r="R118" s="62">
        <f>$L118-$N118</f>
        <v/>
      </c>
    </row>
    <row r="119">
      <c r="A119" s="59">
        <f>ROW()-5</f>
        <v/>
      </c>
      <c r="B119" s="60">
        <f>IFERROR(INDEX(tbl_Finance[Date],$A119),"")</f>
        <v/>
      </c>
      <c r="C119" s="61">
        <f>IFERROR(INDEX(tbl_Finance[Xero Invoice No],$A119),"")</f>
        <v/>
      </c>
      <c r="D119" s="61">
        <f>IFERROR(INDEX(tbl_Finance[Client],$A119),"")</f>
        <v/>
      </c>
      <c r="E119" s="61">
        <f>IFERROR(INDEX(tbl_Finance[Job Number],$A119),"")</f>
        <v/>
      </c>
      <c r="F119" s="61">
        <f>IFERROR(INDEX(tbl_Finance[Cost Centre],$A119),"")</f>
        <v/>
      </c>
      <c r="G119" s="62">
        <f>IFERROR(INDEX(tbl_Finance[Ex GST],$A119),"")</f>
        <v/>
      </c>
      <c r="H119" s="60">
        <f>IFERROR(INDEX(tbl_Finance[Defer Start],$A119),"")</f>
        <v/>
      </c>
      <c r="I119" s="60">
        <f>IFERROR(INDEX(tbl_Finance[Defer End],$A119),"")</f>
        <v/>
      </c>
      <c r="J119" s="59">
        <f>IF(OR($H119="",$I119="",$G119=""),"",MAX(1,(YEAR($I119)-YEAR($H119))*12+MONTH($I119)-MONTH($H119)+1))</f>
        <v/>
      </c>
      <c r="K119" s="62">
        <f>IF($J119="","",$G119/$J119)</f>
        <v/>
      </c>
      <c r="L119" s="62">
        <f>IF($J119="",0,$K119*MAX(0,MIN(YEAR($C$3)*12+MONTH($C$3),YEAR($I119)*12+MONTH($I119))-(YEAR($H119)*12+MONTH($H119))+1))</f>
        <v/>
      </c>
      <c r="M119" s="62">
        <f>IF($J119="",0,$K119*MAX(0,MIN(YEAR($C$3)*12+MONTH($C$3)-1,YEAR($I119)*12+MONTH($I119))-(YEAR($H119)*12+MONTH($H119))+1))</f>
        <v/>
      </c>
      <c r="N119" s="62">
        <f>IF(OR($J119="",$B119=""),0,IF(YEAR($B119)*12+MONTH($B119)&lt;=YEAR($C$3)*12+MONTH($C$3),$G119,0))</f>
        <v/>
      </c>
      <c r="O119" s="62">
        <f>IF(OR($J119="",$B119=""),0,IF(YEAR($B119)*12+MONTH($B119)&lt;=YEAR($C$3)*12+MONTH($C$3)-1,$G119,0))</f>
        <v/>
      </c>
      <c r="P119" s="62">
        <f>$M119-$O119</f>
        <v/>
      </c>
      <c r="Q119" s="62">
        <f>($L119-$M119)-($N119-$O119)</f>
        <v/>
      </c>
      <c r="R119" s="62">
        <f>$L119-$N119</f>
        <v/>
      </c>
    </row>
    <row r="120">
      <c r="A120" s="59">
        <f>ROW()-5</f>
        <v/>
      </c>
      <c r="B120" s="60">
        <f>IFERROR(INDEX(tbl_Finance[Date],$A120),"")</f>
        <v/>
      </c>
      <c r="C120" s="61">
        <f>IFERROR(INDEX(tbl_Finance[Xero Invoice No],$A120),"")</f>
        <v/>
      </c>
      <c r="D120" s="61">
        <f>IFERROR(INDEX(tbl_Finance[Client],$A120),"")</f>
        <v/>
      </c>
      <c r="E120" s="61">
        <f>IFERROR(INDEX(tbl_Finance[Job Number],$A120),"")</f>
        <v/>
      </c>
      <c r="F120" s="61">
        <f>IFERROR(INDEX(tbl_Finance[Cost Centre],$A120),"")</f>
        <v/>
      </c>
      <c r="G120" s="62">
        <f>IFERROR(INDEX(tbl_Finance[Ex GST],$A120),"")</f>
        <v/>
      </c>
      <c r="H120" s="60">
        <f>IFERROR(INDEX(tbl_Finance[Defer Start],$A120),"")</f>
        <v/>
      </c>
      <c r="I120" s="60">
        <f>IFERROR(INDEX(tbl_Finance[Defer End],$A120),"")</f>
        <v/>
      </c>
      <c r="J120" s="59">
        <f>IF(OR($H120="",$I120="",$G120=""),"",MAX(1,(YEAR($I120)-YEAR($H120))*12+MONTH($I120)-MONTH($H120)+1))</f>
        <v/>
      </c>
      <c r="K120" s="62">
        <f>IF($J120="","",$G120/$J120)</f>
        <v/>
      </c>
      <c r="L120" s="62">
        <f>IF($J120="",0,$K120*MAX(0,MIN(YEAR($C$3)*12+MONTH($C$3),YEAR($I120)*12+MONTH($I120))-(YEAR($H120)*12+MONTH($H120))+1))</f>
        <v/>
      </c>
      <c r="M120" s="62">
        <f>IF($J120="",0,$K120*MAX(0,MIN(YEAR($C$3)*12+MONTH($C$3)-1,YEAR($I120)*12+MONTH($I120))-(YEAR($H120)*12+MONTH($H120))+1))</f>
        <v/>
      </c>
      <c r="N120" s="62">
        <f>IF(OR($J120="",$B120=""),0,IF(YEAR($B120)*12+MONTH($B120)&lt;=YEAR($C$3)*12+MONTH($C$3),$G120,0))</f>
        <v/>
      </c>
      <c r="O120" s="62">
        <f>IF(OR($J120="",$B120=""),0,IF(YEAR($B120)*12+MONTH($B120)&lt;=YEAR($C$3)*12+MONTH($C$3)-1,$G120,0))</f>
        <v/>
      </c>
      <c r="P120" s="62">
        <f>$M120-$O120</f>
        <v/>
      </c>
      <c r="Q120" s="62">
        <f>($L120-$M120)-($N120-$O120)</f>
        <v/>
      </c>
      <c r="R120" s="62">
        <f>$L120-$N120</f>
        <v/>
      </c>
    </row>
    <row r="121">
      <c r="A121" s="59">
        <f>ROW()-5</f>
        <v/>
      </c>
      <c r="B121" s="60">
        <f>IFERROR(INDEX(tbl_Finance[Date],$A121),"")</f>
        <v/>
      </c>
      <c r="C121" s="61">
        <f>IFERROR(INDEX(tbl_Finance[Xero Invoice No],$A121),"")</f>
        <v/>
      </c>
      <c r="D121" s="61">
        <f>IFERROR(INDEX(tbl_Finance[Client],$A121),"")</f>
        <v/>
      </c>
      <c r="E121" s="61">
        <f>IFERROR(INDEX(tbl_Finance[Job Number],$A121),"")</f>
        <v/>
      </c>
      <c r="F121" s="61">
        <f>IFERROR(INDEX(tbl_Finance[Cost Centre],$A121),"")</f>
        <v/>
      </c>
      <c r="G121" s="62">
        <f>IFERROR(INDEX(tbl_Finance[Ex GST],$A121),"")</f>
        <v/>
      </c>
      <c r="H121" s="60">
        <f>IFERROR(INDEX(tbl_Finance[Defer Start],$A121),"")</f>
        <v/>
      </c>
      <c r="I121" s="60">
        <f>IFERROR(INDEX(tbl_Finance[Defer End],$A121),"")</f>
        <v/>
      </c>
      <c r="J121" s="59">
        <f>IF(OR($H121="",$I121="",$G121=""),"",MAX(1,(YEAR($I121)-YEAR($H121))*12+MONTH($I121)-MONTH($H121)+1))</f>
        <v/>
      </c>
      <c r="K121" s="62">
        <f>IF($J121="","",$G121/$J121)</f>
        <v/>
      </c>
      <c r="L121" s="62">
        <f>IF($J121="",0,$K121*MAX(0,MIN(YEAR($C$3)*12+MONTH($C$3),YEAR($I121)*12+MONTH($I121))-(YEAR($H121)*12+MONTH($H121))+1))</f>
        <v/>
      </c>
      <c r="M121" s="62">
        <f>IF($J121="",0,$K121*MAX(0,MIN(YEAR($C$3)*12+MONTH($C$3)-1,YEAR($I121)*12+MONTH($I121))-(YEAR($H121)*12+MONTH($H121))+1))</f>
        <v/>
      </c>
      <c r="N121" s="62">
        <f>IF(OR($J121="",$B121=""),0,IF(YEAR($B121)*12+MONTH($B121)&lt;=YEAR($C$3)*12+MONTH($C$3),$G121,0))</f>
        <v/>
      </c>
      <c r="O121" s="62">
        <f>IF(OR($J121="",$B121=""),0,IF(YEAR($B121)*12+MONTH($B121)&lt;=YEAR($C$3)*12+MONTH($C$3)-1,$G121,0))</f>
        <v/>
      </c>
      <c r="P121" s="62">
        <f>$M121-$O121</f>
        <v/>
      </c>
      <c r="Q121" s="62">
        <f>($L121-$M121)-($N121-$O121)</f>
        <v/>
      </c>
      <c r="R121" s="62">
        <f>$L121-$N121</f>
        <v/>
      </c>
    </row>
    <row r="122">
      <c r="A122" s="59">
        <f>ROW()-5</f>
        <v/>
      </c>
      <c r="B122" s="60">
        <f>IFERROR(INDEX(tbl_Finance[Date],$A122),"")</f>
        <v/>
      </c>
      <c r="C122" s="61">
        <f>IFERROR(INDEX(tbl_Finance[Xero Invoice No],$A122),"")</f>
        <v/>
      </c>
      <c r="D122" s="61">
        <f>IFERROR(INDEX(tbl_Finance[Client],$A122),"")</f>
        <v/>
      </c>
      <c r="E122" s="61">
        <f>IFERROR(INDEX(tbl_Finance[Job Number],$A122),"")</f>
        <v/>
      </c>
      <c r="F122" s="61">
        <f>IFERROR(INDEX(tbl_Finance[Cost Centre],$A122),"")</f>
        <v/>
      </c>
      <c r="G122" s="62">
        <f>IFERROR(INDEX(tbl_Finance[Ex GST],$A122),"")</f>
        <v/>
      </c>
      <c r="H122" s="60">
        <f>IFERROR(INDEX(tbl_Finance[Defer Start],$A122),"")</f>
        <v/>
      </c>
      <c r="I122" s="60">
        <f>IFERROR(INDEX(tbl_Finance[Defer End],$A122),"")</f>
        <v/>
      </c>
      <c r="J122" s="59">
        <f>IF(OR($H122="",$I122="",$G122=""),"",MAX(1,(YEAR($I122)-YEAR($H122))*12+MONTH($I122)-MONTH($H122)+1))</f>
        <v/>
      </c>
      <c r="K122" s="62">
        <f>IF($J122="","",$G122/$J122)</f>
        <v/>
      </c>
      <c r="L122" s="62">
        <f>IF($J122="",0,$K122*MAX(0,MIN(YEAR($C$3)*12+MONTH($C$3),YEAR($I122)*12+MONTH($I122))-(YEAR($H122)*12+MONTH($H122))+1))</f>
        <v/>
      </c>
      <c r="M122" s="62">
        <f>IF($J122="",0,$K122*MAX(0,MIN(YEAR($C$3)*12+MONTH($C$3)-1,YEAR($I122)*12+MONTH($I122))-(YEAR($H122)*12+MONTH($H122))+1))</f>
        <v/>
      </c>
      <c r="N122" s="62">
        <f>IF(OR($J122="",$B122=""),0,IF(YEAR($B122)*12+MONTH($B122)&lt;=YEAR($C$3)*12+MONTH($C$3),$G122,0))</f>
        <v/>
      </c>
      <c r="O122" s="62">
        <f>IF(OR($J122="",$B122=""),0,IF(YEAR($B122)*12+MONTH($B122)&lt;=YEAR($C$3)*12+MONTH($C$3)-1,$G122,0))</f>
        <v/>
      </c>
      <c r="P122" s="62">
        <f>$M122-$O122</f>
        <v/>
      </c>
      <c r="Q122" s="62">
        <f>($L122-$M122)-($N122-$O122)</f>
        <v/>
      </c>
      <c r="R122" s="62">
        <f>$L122-$N122</f>
        <v/>
      </c>
    </row>
    <row r="123">
      <c r="A123" s="59">
        <f>ROW()-5</f>
        <v/>
      </c>
      <c r="B123" s="60">
        <f>IFERROR(INDEX(tbl_Finance[Date],$A123),"")</f>
        <v/>
      </c>
      <c r="C123" s="61">
        <f>IFERROR(INDEX(tbl_Finance[Xero Invoice No],$A123),"")</f>
        <v/>
      </c>
      <c r="D123" s="61">
        <f>IFERROR(INDEX(tbl_Finance[Client],$A123),"")</f>
        <v/>
      </c>
      <c r="E123" s="61">
        <f>IFERROR(INDEX(tbl_Finance[Job Number],$A123),"")</f>
        <v/>
      </c>
      <c r="F123" s="61">
        <f>IFERROR(INDEX(tbl_Finance[Cost Centre],$A123),"")</f>
        <v/>
      </c>
      <c r="G123" s="62">
        <f>IFERROR(INDEX(tbl_Finance[Ex GST],$A123),"")</f>
        <v/>
      </c>
      <c r="H123" s="60">
        <f>IFERROR(INDEX(tbl_Finance[Defer Start],$A123),"")</f>
        <v/>
      </c>
      <c r="I123" s="60">
        <f>IFERROR(INDEX(tbl_Finance[Defer End],$A123),"")</f>
        <v/>
      </c>
      <c r="J123" s="59">
        <f>IF(OR($H123="",$I123="",$G123=""),"",MAX(1,(YEAR($I123)-YEAR($H123))*12+MONTH($I123)-MONTH($H123)+1))</f>
        <v/>
      </c>
      <c r="K123" s="62">
        <f>IF($J123="","",$G123/$J123)</f>
        <v/>
      </c>
      <c r="L123" s="62">
        <f>IF($J123="",0,$K123*MAX(0,MIN(YEAR($C$3)*12+MONTH($C$3),YEAR($I123)*12+MONTH($I123))-(YEAR($H123)*12+MONTH($H123))+1))</f>
        <v/>
      </c>
      <c r="M123" s="62">
        <f>IF($J123="",0,$K123*MAX(0,MIN(YEAR($C$3)*12+MONTH($C$3)-1,YEAR($I123)*12+MONTH($I123))-(YEAR($H123)*12+MONTH($H123))+1))</f>
        <v/>
      </c>
      <c r="N123" s="62">
        <f>IF(OR($J123="",$B123=""),0,IF(YEAR($B123)*12+MONTH($B123)&lt;=YEAR($C$3)*12+MONTH($C$3),$G123,0))</f>
        <v/>
      </c>
      <c r="O123" s="62">
        <f>IF(OR($J123="",$B123=""),0,IF(YEAR($B123)*12+MONTH($B123)&lt;=YEAR($C$3)*12+MONTH($C$3)-1,$G123,0))</f>
        <v/>
      </c>
      <c r="P123" s="62">
        <f>$M123-$O123</f>
        <v/>
      </c>
      <c r="Q123" s="62">
        <f>($L123-$M123)-($N123-$O123)</f>
        <v/>
      </c>
      <c r="R123" s="62">
        <f>$L123-$N123</f>
        <v/>
      </c>
    </row>
    <row r="124">
      <c r="A124" s="59">
        <f>ROW()-5</f>
        <v/>
      </c>
      <c r="B124" s="60">
        <f>IFERROR(INDEX(tbl_Finance[Date],$A124),"")</f>
        <v/>
      </c>
      <c r="C124" s="61">
        <f>IFERROR(INDEX(tbl_Finance[Xero Invoice No],$A124),"")</f>
        <v/>
      </c>
      <c r="D124" s="61">
        <f>IFERROR(INDEX(tbl_Finance[Client],$A124),"")</f>
        <v/>
      </c>
      <c r="E124" s="61">
        <f>IFERROR(INDEX(tbl_Finance[Job Number],$A124),"")</f>
        <v/>
      </c>
      <c r="F124" s="61">
        <f>IFERROR(INDEX(tbl_Finance[Cost Centre],$A124),"")</f>
        <v/>
      </c>
      <c r="G124" s="62">
        <f>IFERROR(INDEX(tbl_Finance[Ex GST],$A124),"")</f>
        <v/>
      </c>
      <c r="H124" s="60">
        <f>IFERROR(INDEX(tbl_Finance[Defer Start],$A124),"")</f>
        <v/>
      </c>
      <c r="I124" s="60">
        <f>IFERROR(INDEX(tbl_Finance[Defer End],$A124),"")</f>
        <v/>
      </c>
      <c r="J124" s="59">
        <f>IF(OR($H124="",$I124="",$G124=""),"",MAX(1,(YEAR($I124)-YEAR($H124))*12+MONTH($I124)-MONTH($H124)+1))</f>
        <v/>
      </c>
      <c r="K124" s="62">
        <f>IF($J124="","",$G124/$J124)</f>
        <v/>
      </c>
      <c r="L124" s="62">
        <f>IF($J124="",0,$K124*MAX(0,MIN(YEAR($C$3)*12+MONTH($C$3),YEAR($I124)*12+MONTH($I124))-(YEAR($H124)*12+MONTH($H124))+1))</f>
        <v/>
      </c>
      <c r="M124" s="62">
        <f>IF($J124="",0,$K124*MAX(0,MIN(YEAR($C$3)*12+MONTH($C$3)-1,YEAR($I124)*12+MONTH($I124))-(YEAR($H124)*12+MONTH($H124))+1))</f>
        <v/>
      </c>
      <c r="N124" s="62">
        <f>IF(OR($J124="",$B124=""),0,IF(YEAR($B124)*12+MONTH($B124)&lt;=YEAR($C$3)*12+MONTH($C$3),$G124,0))</f>
        <v/>
      </c>
      <c r="O124" s="62">
        <f>IF(OR($J124="",$B124=""),0,IF(YEAR($B124)*12+MONTH($B124)&lt;=YEAR($C$3)*12+MONTH($C$3)-1,$G124,0))</f>
        <v/>
      </c>
      <c r="P124" s="62">
        <f>$M124-$O124</f>
        <v/>
      </c>
      <c r="Q124" s="62">
        <f>($L124-$M124)-($N124-$O124)</f>
        <v/>
      </c>
      <c r="R124" s="62">
        <f>$L124-$N124</f>
        <v/>
      </c>
    </row>
    <row r="125">
      <c r="A125" s="59">
        <f>ROW()-5</f>
        <v/>
      </c>
      <c r="B125" s="60">
        <f>IFERROR(INDEX(tbl_Finance[Date],$A125),"")</f>
        <v/>
      </c>
      <c r="C125" s="61">
        <f>IFERROR(INDEX(tbl_Finance[Xero Invoice No],$A125),"")</f>
        <v/>
      </c>
      <c r="D125" s="61">
        <f>IFERROR(INDEX(tbl_Finance[Client],$A125),"")</f>
        <v/>
      </c>
      <c r="E125" s="61">
        <f>IFERROR(INDEX(tbl_Finance[Job Number],$A125),"")</f>
        <v/>
      </c>
      <c r="F125" s="61">
        <f>IFERROR(INDEX(tbl_Finance[Cost Centre],$A125),"")</f>
        <v/>
      </c>
      <c r="G125" s="62">
        <f>IFERROR(INDEX(tbl_Finance[Ex GST],$A125),"")</f>
        <v/>
      </c>
      <c r="H125" s="60">
        <f>IFERROR(INDEX(tbl_Finance[Defer Start],$A125),"")</f>
        <v/>
      </c>
      <c r="I125" s="60">
        <f>IFERROR(INDEX(tbl_Finance[Defer End],$A125),"")</f>
        <v/>
      </c>
      <c r="J125" s="59">
        <f>IF(OR($H125="",$I125="",$G125=""),"",MAX(1,(YEAR($I125)-YEAR($H125))*12+MONTH($I125)-MONTH($H125)+1))</f>
        <v/>
      </c>
      <c r="K125" s="62">
        <f>IF($J125="","",$G125/$J125)</f>
        <v/>
      </c>
      <c r="L125" s="62">
        <f>IF($J125="",0,$K125*MAX(0,MIN(YEAR($C$3)*12+MONTH($C$3),YEAR($I125)*12+MONTH($I125))-(YEAR($H125)*12+MONTH($H125))+1))</f>
        <v/>
      </c>
      <c r="M125" s="62">
        <f>IF($J125="",0,$K125*MAX(0,MIN(YEAR($C$3)*12+MONTH($C$3)-1,YEAR($I125)*12+MONTH($I125))-(YEAR($H125)*12+MONTH($H125))+1))</f>
        <v/>
      </c>
      <c r="N125" s="62">
        <f>IF(OR($J125="",$B125=""),0,IF(YEAR($B125)*12+MONTH($B125)&lt;=YEAR($C$3)*12+MONTH($C$3),$G125,0))</f>
        <v/>
      </c>
      <c r="O125" s="62">
        <f>IF(OR($J125="",$B125=""),0,IF(YEAR($B125)*12+MONTH($B125)&lt;=YEAR($C$3)*12+MONTH($C$3)-1,$G125,0))</f>
        <v/>
      </c>
      <c r="P125" s="62">
        <f>$M125-$O125</f>
        <v/>
      </c>
      <c r="Q125" s="62">
        <f>($L125-$M125)-($N125-$O125)</f>
        <v/>
      </c>
      <c r="R125" s="62">
        <f>$L125-$N125</f>
        <v/>
      </c>
    </row>
    <row r="126">
      <c r="A126" s="59">
        <f>ROW()-5</f>
        <v/>
      </c>
      <c r="B126" s="60">
        <f>IFERROR(INDEX(tbl_Finance[Date],$A126),"")</f>
        <v/>
      </c>
      <c r="C126" s="61">
        <f>IFERROR(INDEX(tbl_Finance[Xero Invoice No],$A126),"")</f>
        <v/>
      </c>
      <c r="D126" s="61">
        <f>IFERROR(INDEX(tbl_Finance[Client],$A126),"")</f>
        <v/>
      </c>
      <c r="E126" s="61">
        <f>IFERROR(INDEX(tbl_Finance[Job Number],$A126),"")</f>
        <v/>
      </c>
      <c r="F126" s="61">
        <f>IFERROR(INDEX(tbl_Finance[Cost Centre],$A126),"")</f>
        <v/>
      </c>
      <c r="G126" s="62">
        <f>IFERROR(INDEX(tbl_Finance[Ex GST],$A126),"")</f>
        <v/>
      </c>
      <c r="H126" s="60">
        <f>IFERROR(INDEX(tbl_Finance[Defer Start],$A126),"")</f>
        <v/>
      </c>
      <c r="I126" s="60">
        <f>IFERROR(INDEX(tbl_Finance[Defer End],$A126),"")</f>
        <v/>
      </c>
      <c r="J126" s="59">
        <f>IF(OR($H126="",$I126="",$G126=""),"",MAX(1,(YEAR($I126)-YEAR($H126))*12+MONTH($I126)-MONTH($H126)+1))</f>
        <v/>
      </c>
      <c r="K126" s="62">
        <f>IF($J126="","",$G126/$J126)</f>
        <v/>
      </c>
      <c r="L126" s="62">
        <f>IF($J126="",0,$K126*MAX(0,MIN(YEAR($C$3)*12+MONTH($C$3),YEAR($I126)*12+MONTH($I126))-(YEAR($H126)*12+MONTH($H126))+1))</f>
        <v/>
      </c>
      <c r="M126" s="62">
        <f>IF($J126="",0,$K126*MAX(0,MIN(YEAR($C$3)*12+MONTH($C$3)-1,YEAR($I126)*12+MONTH($I126))-(YEAR($H126)*12+MONTH($H126))+1))</f>
        <v/>
      </c>
      <c r="N126" s="62">
        <f>IF(OR($J126="",$B126=""),0,IF(YEAR($B126)*12+MONTH($B126)&lt;=YEAR($C$3)*12+MONTH($C$3),$G126,0))</f>
        <v/>
      </c>
      <c r="O126" s="62">
        <f>IF(OR($J126="",$B126=""),0,IF(YEAR($B126)*12+MONTH($B126)&lt;=YEAR($C$3)*12+MONTH($C$3)-1,$G126,0))</f>
        <v/>
      </c>
      <c r="P126" s="62">
        <f>$M126-$O126</f>
        <v/>
      </c>
      <c r="Q126" s="62">
        <f>($L126-$M126)-($N126-$O126)</f>
        <v/>
      </c>
      <c r="R126" s="62">
        <f>$L126-$N126</f>
        <v/>
      </c>
    </row>
    <row r="127">
      <c r="A127" s="59">
        <f>ROW()-5</f>
        <v/>
      </c>
      <c r="B127" s="60">
        <f>IFERROR(INDEX(tbl_Finance[Date],$A127),"")</f>
        <v/>
      </c>
      <c r="C127" s="61">
        <f>IFERROR(INDEX(tbl_Finance[Xero Invoice No],$A127),"")</f>
        <v/>
      </c>
      <c r="D127" s="61">
        <f>IFERROR(INDEX(tbl_Finance[Client],$A127),"")</f>
        <v/>
      </c>
      <c r="E127" s="61">
        <f>IFERROR(INDEX(tbl_Finance[Job Number],$A127),"")</f>
        <v/>
      </c>
      <c r="F127" s="61">
        <f>IFERROR(INDEX(tbl_Finance[Cost Centre],$A127),"")</f>
        <v/>
      </c>
      <c r="G127" s="62">
        <f>IFERROR(INDEX(tbl_Finance[Ex GST],$A127),"")</f>
        <v/>
      </c>
      <c r="H127" s="60">
        <f>IFERROR(INDEX(tbl_Finance[Defer Start],$A127),"")</f>
        <v/>
      </c>
      <c r="I127" s="60">
        <f>IFERROR(INDEX(tbl_Finance[Defer End],$A127),"")</f>
        <v/>
      </c>
      <c r="J127" s="59">
        <f>IF(OR($H127="",$I127="",$G127=""),"",MAX(1,(YEAR($I127)-YEAR($H127))*12+MONTH($I127)-MONTH($H127)+1))</f>
        <v/>
      </c>
      <c r="K127" s="62">
        <f>IF($J127="","",$G127/$J127)</f>
        <v/>
      </c>
      <c r="L127" s="62">
        <f>IF($J127="",0,$K127*MAX(0,MIN(YEAR($C$3)*12+MONTH($C$3),YEAR($I127)*12+MONTH($I127))-(YEAR($H127)*12+MONTH($H127))+1))</f>
        <v/>
      </c>
      <c r="M127" s="62">
        <f>IF($J127="",0,$K127*MAX(0,MIN(YEAR($C$3)*12+MONTH($C$3)-1,YEAR($I127)*12+MONTH($I127))-(YEAR($H127)*12+MONTH($H127))+1))</f>
        <v/>
      </c>
      <c r="N127" s="62">
        <f>IF(OR($J127="",$B127=""),0,IF(YEAR($B127)*12+MONTH($B127)&lt;=YEAR($C$3)*12+MONTH($C$3),$G127,0))</f>
        <v/>
      </c>
      <c r="O127" s="62">
        <f>IF(OR($J127="",$B127=""),0,IF(YEAR($B127)*12+MONTH($B127)&lt;=YEAR($C$3)*12+MONTH($C$3)-1,$G127,0))</f>
        <v/>
      </c>
      <c r="P127" s="62">
        <f>$M127-$O127</f>
        <v/>
      </c>
      <c r="Q127" s="62">
        <f>($L127-$M127)-($N127-$O127)</f>
        <v/>
      </c>
      <c r="R127" s="62">
        <f>$L127-$N127</f>
        <v/>
      </c>
    </row>
    <row r="128">
      <c r="A128" s="59">
        <f>ROW()-5</f>
        <v/>
      </c>
      <c r="B128" s="60">
        <f>IFERROR(INDEX(tbl_Finance[Date],$A128),"")</f>
        <v/>
      </c>
      <c r="C128" s="61">
        <f>IFERROR(INDEX(tbl_Finance[Xero Invoice No],$A128),"")</f>
        <v/>
      </c>
      <c r="D128" s="61">
        <f>IFERROR(INDEX(tbl_Finance[Client],$A128),"")</f>
        <v/>
      </c>
      <c r="E128" s="61">
        <f>IFERROR(INDEX(tbl_Finance[Job Number],$A128),"")</f>
        <v/>
      </c>
      <c r="F128" s="61">
        <f>IFERROR(INDEX(tbl_Finance[Cost Centre],$A128),"")</f>
        <v/>
      </c>
      <c r="G128" s="62">
        <f>IFERROR(INDEX(tbl_Finance[Ex GST],$A128),"")</f>
        <v/>
      </c>
      <c r="H128" s="60">
        <f>IFERROR(INDEX(tbl_Finance[Defer Start],$A128),"")</f>
        <v/>
      </c>
      <c r="I128" s="60">
        <f>IFERROR(INDEX(tbl_Finance[Defer End],$A128),"")</f>
        <v/>
      </c>
      <c r="J128" s="59">
        <f>IF(OR($H128="",$I128="",$G128=""),"",MAX(1,(YEAR($I128)-YEAR($H128))*12+MONTH($I128)-MONTH($H128)+1))</f>
        <v/>
      </c>
      <c r="K128" s="62">
        <f>IF($J128="","",$G128/$J128)</f>
        <v/>
      </c>
      <c r="L128" s="62">
        <f>IF($J128="",0,$K128*MAX(0,MIN(YEAR($C$3)*12+MONTH($C$3),YEAR($I128)*12+MONTH($I128))-(YEAR($H128)*12+MONTH($H128))+1))</f>
        <v/>
      </c>
      <c r="M128" s="62">
        <f>IF($J128="",0,$K128*MAX(0,MIN(YEAR($C$3)*12+MONTH($C$3)-1,YEAR($I128)*12+MONTH($I128))-(YEAR($H128)*12+MONTH($H128))+1))</f>
        <v/>
      </c>
      <c r="N128" s="62">
        <f>IF(OR($J128="",$B128=""),0,IF(YEAR($B128)*12+MONTH($B128)&lt;=YEAR($C$3)*12+MONTH($C$3),$G128,0))</f>
        <v/>
      </c>
      <c r="O128" s="62">
        <f>IF(OR($J128="",$B128=""),0,IF(YEAR($B128)*12+MONTH($B128)&lt;=YEAR($C$3)*12+MONTH($C$3)-1,$G128,0))</f>
        <v/>
      </c>
      <c r="P128" s="62">
        <f>$M128-$O128</f>
        <v/>
      </c>
      <c r="Q128" s="62">
        <f>($L128-$M128)-($N128-$O128)</f>
        <v/>
      </c>
      <c r="R128" s="62">
        <f>$L128-$N128</f>
        <v/>
      </c>
    </row>
    <row r="129">
      <c r="A129" s="59">
        <f>ROW()-5</f>
        <v/>
      </c>
      <c r="B129" s="60">
        <f>IFERROR(INDEX(tbl_Finance[Date],$A129),"")</f>
        <v/>
      </c>
      <c r="C129" s="61">
        <f>IFERROR(INDEX(tbl_Finance[Xero Invoice No],$A129),"")</f>
        <v/>
      </c>
      <c r="D129" s="61">
        <f>IFERROR(INDEX(tbl_Finance[Client],$A129),"")</f>
        <v/>
      </c>
      <c r="E129" s="61">
        <f>IFERROR(INDEX(tbl_Finance[Job Number],$A129),"")</f>
        <v/>
      </c>
      <c r="F129" s="61">
        <f>IFERROR(INDEX(tbl_Finance[Cost Centre],$A129),"")</f>
        <v/>
      </c>
      <c r="G129" s="62">
        <f>IFERROR(INDEX(tbl_Finance[Ex GST],$A129),"")</f>
        <v/>
      </c>
      <c r="H129" s="60">
        <f>IFERROR(INDEX(tbl_Finance[Defer Start],$A129),"")</f>
        <v/>
      </c>
      <c r="I129" s="60">
        <f>IFERROR(INDEX(tbl_Finance[Defer End],$A129),"")</f>
        <v/>
      </c>
      <c r="J129" s="59">
        <f>IF(OR($H129="",$I129="",$G129=""),"",MAX(1,(YEAR($I129)-YEAR($H129))*12+MONTH($I129)-MONTH($H129)+1))</f>
        <v/>
      </c>
      <c r="K129" s="62">
        <f>IF($J129="","",$G129/$J129)</f>
        <v/>
      </c>
      <c r="L129" s="62">
        <f>IF($J129="",0,$K129*MAX(0,MIN(YEAR($C$3)*12+MONTH($C$3),YEAR($I129)*12+MONTH($I129))-(YEAR($H129)*12+MONTH($H129))+1))</f>
        <v/>
      </c>
      <c r="M129" s="62">
        <f>IF($J129="",0,$K129*MAX(0,MIN(YEAR($C$3)*12+MONTH($C$3)-1,YEAR($I129)*12+MONTH($I129))-(YEAR($H129)*12+MONTH($H129))+1))</f>
        <v/>
      </c>
      <c r="N129" s="62">
        <f>IF(OR($J129="",$B129=""),0,IF(YEAR($B129)*12+MONTH($B129)&lt;=YEAR($C$3)*12+MONTH($C$3),$G129,0))</f>
        <v/>
      </c>
      <c r="O129" s="62">
        <f>IF(OR($J129="",$B129=""),0,IF(YEAR($B129)*12+MONTH($B129)&lt;=YEAR($C$3)*12+MONTH($C$3)-1,$G129,0))</f>
        <v/>
      </c>
      <c r="P129" s="62">
        <f>$M129-$O129</f>
        <v/>
      </c>
      <c r="Q129" s="62">
        <f>($L129-$M129)-($N129-$O129)</f>
        <v/>
      </c>
      <c r="R129" s="62">
        <f>$L129-$N129</f>
        <v/>
      </c>
    </row>
    <row r="130">
      <c r="A130" s="59">
        <f>ROW()-5</f>
        <v/>
      </c>
      <c r="B130" s="60">
        <f>IFERROR(INDEX(tbl_Finance[Date],$A130),"")</f>
        <v/>
      </c>
      <c r="C130" s="61">
        <f>IFERROR(INDEX(tbl_Finance[Xero Invoice No],$A130),"")</f>
        <v/>
      </c>
      <c r="D130" s="61">
        <f>IFERROR(INDEX(tbl_Finance[Client],$A130),"")</f>
        <v/>
      </c>
      <c r="E130" s="61">
        <f>IFERROR(INDEX(tbl_Finance[Job Number],$A130),"")</f>
        <v/>
      </c>
      <c r="F130" s="61">
        <f>IFERROR(INDEX(tbl_Finance[Cost Centre],$A130),"")</f>
        <v/>
      </c>
      <c r="G130" s="62">
        <f>IFERROR(INDEX(tbl_Finance[Ex GST],$A130),"")</f>
        <v/>
      </c>
      <c r="H130" s="60">
        <f>IFERROR(INDEX(tbl_Finance[Defer Start],$A130),"")</f>
        <v/>
      </c>
      <c r="I130" s="60">
        <f>IFERROR(INDEX(tbl_Finance[Defer End],$A130),"")</f>
        <v/>
      </c>
      <c r="J130" s="59">
        <f>IF(OR($H130="",$I130="",$G130=""),"",MAX(1,(YEAR($I130)-YEAR($H130))*12+MONTH($I130)-MONTH($H130)+1))</f>
        <v/>
      </c>
      <c r="K130" s="62">
        <f>IF($J130="","",$G130/$J130)</f>
        <v/>
      </c>
      <c r="L130" s="62">
        <f>IF($J130="",0,$K130*MAX(0,MIN(YEAR($C$3)*12+MONTH($C$3),YEAR($I130)*12+MONTH($I130))-(YEAR($H130)*12+MONTH($H130))+1))</f>
        <v/>
      </c>
      <c r="M130" s="62">
        <f>IF($J130="",0,$K130*MAX(0,MIN(YEAR($C$3)*12+MONTH($C$3)-1,YEAR($I130)*12+MONTH($I130))-(YEAR($H130)*12+MONTH($H130))+1))</f>
        <v/>
      </c>
      <c r="N130" s="62">
        <f>IF(OR($J130="",$B130=""),0,IF(YEAR($B130)*12+MONTH($B130)&lt;=YEAR($C$3)*12+MONTH($C$3),$G130,0))</f>
        <v/>
      </c>
      <c r="O130" s="62">
        <f>IF(OR($J130="",$B130=""),0,IF(YEAR($B130)*12+MONTH($B130)&lt;=YEAR($C$3)*12+MONTH($C$3)-1,$G130,0))</f>
        <v/>
      </c>
      <c r="P130" s="62">
        <f>$M130-$O130</f>
        <v/>
      </c>
      <c r="Q130" s="62">
        <f>($L130-$M130)-($N130-$O130)</f>
        <v/>
      </c>
      <c r="R130" s="62">
        <f>$L130-$N130</f>
        <v/>
      </c>
    </row>
    <row r="131">
      <c r="A131" s="59">
        <f>ROW()-5</f>
        <v/>
      </c>
      <c r="B131" s="60">
        <f>IFERROR(INDEX(tbl_Finance[Date],$A131),"")</f>
        <v/>
      </c>
      <c r="C131" s="61">
        <f>IFERROR(INDEX(tbl_Finance[Xero Invoice No],$A131),"")</f>
        <v/>
      </c>
      <c r="D131" s="61">
        <f>IFERROR(INDEX(tbl_Finance[Client],$A131),"")</f>
        <v/>
      </c>
      <c r="E131" s="61">
        <f>IFERROR(INDEX(tbl_Finance[Job Number],$A131),"")</f>
        <v/>
      </c>
      <c r="F131" s="61">
        <f>IFERROR(INDEX(tbl_Finance[Cost Centre],$A131),"")</f>
        <v/>
      </c>
      <c r="G131" s="62">
        <f>IFERROR(INDEX(tbl_Finance[Ex GST],$A131),"")</f>
        <v/>
      </c>
      <c r="H131" s="60">
        <f>IFERROR(INDEX(tbl_Finance[Defer Start],$A131),"")</f>
        <v/>
      </c>
      <c r="I131" s="60">
        <f>IFERROR(INDEX(tbl_Finance[Defer End],$A131),"")</f>
        <v/>
      </c>
      <c r="J131" s="59">
        <f>IF(OR($H131="",$I131="",$G131=""),"",MAX(1,(YEAR($I131)-YEAR($H131))*12+MONTH($I131)-MONTH($H131)+1))</f>
        <v/>
      </c>
      <c r="K131" s="62">
        <f>IF($J131="","",$G131/$J131)</f>
        <v/>
      </c>
      <c r="L131" s="62">
        <f>IF($J131="",0,$K131*MAX(0,MIN(YEAR($C$3)*12+MONTH($C$3),YEAR($I131)*12+MONTH($I131))-(YEAR($H131)*12+MONTH($H131))+1))</f>
        <v/>
      </c>
      <c r="M131" s="62">
        <f>IF($J131="",0,$K131*MAX(0,MIN(YEAR($C$3)*12+MONTH($C$3)-1,YEAR($I131)*12+MONTH($I131))-(YEAR($H131)*12+MONTH($H131))+1))</f>
        <v/>
      </c>
      <c r="N131" s="62">
        <f>IF(OR($J131="",$B131=""),0,IF(YEAR($B131)*12+MONTH($B131)&lt;=YEAR($C$3)*12+MONTH($C$3),$G131,0))</f>
        <v/>
      </c>
      <c r="O131" s="62">
        <f>IF(OR($J131="",$B131=""),0,IF(YEAR($B131)*12+MONTH($B131)&lt;=YEAR($C$3)*12+MONTH($C$3)-1,$G131,0))</f>
        <v/>
      </c>
      <c r="P131" s="62">
        <f>$M131-$O131</f>
        <v/>
      </c>
      <c r="Q131" s="62">
        <f>($L131-$M131)-($N131-$O131)</f>
        <v/>
      </c>
      <c r="R131" s="62">
        <f>$L131-$N131</f>
        <v/>
      </c>
    </row>
    <row r="132">
      <c r="A132" s="59">
        <f>ROW()-5</f>
        <v/>
      </c>
      <c r="B132" s="60">
        <f>IFERROR(INDEX(tbl_Finance[Date],$A132),"")</f>
        <v/>
      </c>
      <c r="C132" s="61">
        <f>IFERROR(INDEX(tbl_Finance[Xero Invoice No],$A132),"")</f>
        <v/>
      </c>
      <c r="D132" s="61">
        <f>IFERROR(INDEX(tbl_Finance[Client],$A132),"")</f>
        <v/>
      </c>
      <c r="E132" s="61">
        <f>IFERROR(INDEX(tbl_Finance[Job Number],$A132),"")</f>
        <v/>
      </c>
      <c r="F132" s="61">
        <f>IFERROR(INDEX(tbl_Finance[Cost Centre],$A132),"")</f>
        <v/>
      </c>
      <c r="G132" s="62">
        <f>IFERROR(INDEX(tbl_Finance[Ex GST],$A132),"")</f>
        <v/>
      </c>
      <c r="H132" s="60">
        <f>IFERROR(INDEX(tbl_Finance[Defer Start],$A132),"")</f>
        <v/>
      </c>
      <c r="I132" s="60">
        <f>IFERROR(INDEX(tbl_Finance[Defer End],$A132),"")</f>
        <v/>
      </c>
      <c r="J132" s="59">
        <f>IF(OR($H132="",$I132="",$G132=""),"",MAX(1,(YEAR($I132)-YEAR($H132))*12+MONTH($I132)-MONTH($H132)+1))</f>
        <v/>
      </c>
      <c r="K132" s="62">
        <f>IF($J132="","",$G132/$J132)</f>
        <v/>
      </c>
      <c r="L132" s="62">
        <f>IF($J132="",0,$K132*MAX(0,MIN(YEAR($C$3)*12+MONTH($C$3),YEAR($I132)*12+MONTH($I132))-(YEAR($H132)*12+MONTH($H132))+1))</f>
        <v/>
      </c>
      <c r="M132" s="62">
        <f>IF($J132="",0,$K132*MAX(0,MIN(YEAR($C$3)*12+MONTH($C$3)-1,YEAR($I132)*12+MONTH($I132))-(YEAR($H132)*12+MONTH($H132))+1))</f>
        <v/>
      </c>
      <c r="N132" s="62">
        <f>IF(OR($J132="",$B132=""),0,IF(YEAR($B132)*12+MONTH($B132)&lt;=YEAR($C$3)*12+MONTH($C$3),$G132,0))</f>
        <v/>
      </c>
      <c r="O132" s="62">
        <f>IF(OR($J132="",$B132=""),0,IF(YEAR($B132)*12+MONTH($B132)&lt;=YEAR($C$3)*12+MONTH($C$3)-1,$G132,0))</f>
        <v/>
      </c>
      <c r="P132" s="62">
        <f>$M132-$O132</f>
        <v/>
      </c>
      <c r="Q132" s="62">
        <f>($L132-$M132)-($N132-$O132)</f>
        <v/>
      </c>
      <c r="R132" s="62">
        <f>$L132-$N132</f>
        <v/>
      </c>
    </row>
    <row r="133">
      <c r="A133" s="59">
        <f>ROW()-5</f>
        <v/>
      </c>
      <c r="B133" s="60">
        <f>IFERROR(INDEX(tbl_Finance[Date],$A133),"")</f>
        <v/>
      </c>
      <c r="C133" s="61">
        <f>IFERROR(INDEX(tbl_Finance[Xero Invoice No],$A133),"")</f>
        <v/>
      </c>
      <c r="D133" s="61">
        <f>IFERROR(INDEX(tbl_Finance[Client],$A133),"")</f>
        <v/>
      </c>
      <c r="E133" s="61">
        <f>IFERROR(INDEX(tbl_Finance[Job Number],$A133),"")</f>
        <v/>
      </c>
      <c r="F133" s="61">
        <f>IFERROR(INDEX(tbl_Finance[Cost Centre],$A133),"")</f>
        <v/>
      </c>
      <c r="G133" s="62">
        <f>IFERROR(INDEX(tbl_Finance[Ex GST],$A133),"")</f>
        <v/>
      </c>
      <c r="H133" s="60">
        <f>IFERROR(INDEX(tbl_Finance[Defer Start],$A133),"")</f>
        <v/>
      </c>
      <c r="I133" s="60">
        <f>IFERROR(INDEX(tbl_Finance[Defer End],$A133),"")</f>
        <v/>
      </c>
      <c r="J133" s="59">
        <f>IF(OR($H133="",$I133="",$G133=""),"",MAX(1,(YEAR($I133)-YEAR($H133))*12+MONTH($I133)-MONTH($H133)+1))</f>
        <v/>
      </c>
      <c r="K133" s="62">
        <f>IF($J133="","",$G133/$J133)</f>
        <v/>
      </c>
      <c r="L133" s="62">
        <f>IF($J133="",0,$K133*MAX(0,MIN(YEAR($C$3)*12+MONTH($C$3),YEAR($I133)*12+MONTH($I133))-(YEAR($H133)*12+MONTH($H133))+1))</f>
        <v/>
      </c>
      <c r="M133" s="62">
        <f>IF($J133="",0,$K133*MAX(0,MIN(YEAR($C$3)*12+MONTH($C$3)-1,YEAR($I133)*12+MONTH($I133))-(YEAR($H133)*12+MONTH($H133))+1))</f>
        <v/>
      </c>
      <c r="N133" s="62">
        <f>IF(OR($J133="",$B133=""),0,IF(YEAR($B133)*12+MONTH($B133)&lt;=YEAR($C$3)*12+MONTH($C$3),$G133,0))</f>
        <v/>
      </c>
      <c r="O133" s="62">
        <f>IF(OR($J133="",$B133=""),0,IF(YEAR($B133)*12+MONTH($B133)&lt;=YEAR($C$3)*12+MONTH($C$3)-1,$G133,0))</f>
        <v/>
      </c>
      <c r="P133" s="62">
        <f>$M133-$O133</f>
        <v/>
      </c>
      <c r="Q133" s="62">
        <f>($L133-$M133)-($N133-$O133)</f>
        <v/>
      </c>
      <c r="R133" s="62">
        <f>$L133-$N133</f>
        <v/>
      </c>
    </row>
    <row r="134">
      <c r="A134" s="59">
        <f>ROW()-5</f>
        <v/>
      </c>
      <c r="B134" s="60">
        <f>IFERROR(INDEX(tbl_Finance[Date],$A134),"")</f>
        <v/>
      </c>
      <c r="C134" s="61">
        <f>IFERROR(INDEX(tbl_Finance[Xero Invoice No],$A134),"")</f>
        <v/>
      </c>
      <c r="D134" s="61">
        <f>IFERROR(INDEX(tbl_Finance[Client],$A134),"")</f>
        <v/>
      </c>
      <c r="E134" s="61">
        <f>IFERROR(INDEX(tbl_Finance[Job Number],$A134),"")</f>
        <v/>
      </c>
      <c r="F134" s="61">
        <f>IFERROR(INDEX(tbl_Finance[Cost Centre],$A134),"")</f>
        <v/>
      </c>
      <c r="G134" s="62">
        <f>IFERROR(INDEX(tbl_Finance[Ex GST],$A134),"")</f>
        <v/>
      </c>
      <c r="H134" s="60">
        <f>IFERROR(INDEX(tbl_Finance[Defer Start],$A134),"")</f>
        <v/>
      </c>
      <c r="I134" s="60">
        <f>IFERROR(INDEX(tbl_Finance[Defer End],$A134),"")</f>
        <v/>
      </c>
      <c r="J134" s="59">
        <f>IF(OR($H134="",$I134="",$G134=""),"",MAX(1,(YEAR($I134)-YEAR($H134))*12+MONTH($I134)-MONTH($H134)+1))</f>
        <v/>
      </c>
      <c r="K134" s="62">
        <f>IF($J134="","",$G134/$J134)</f>
        <v/>
      </c>
      <c r="L134" s="62">
        <f>IF($J134="",0,$K134*MAX(0,MIN(YEAR($C$3)*12+MONTH($C$3),YEAR($I134)*12+MONTH($I134))-(YEAR($H134)*12+MONTH($H134))+1))</f>
        <v/>
      </c>
      <c r="M134" s="62">
        <f>IF($J134="",0,$K134*MAX(0,MIN(YEAR($C$3)*12+MONTH($C$3)-1,YEAR($I134)*12+MONTH($I134))-(YEAR($H134)*12+MONTH($H134))+1))</f>
        <v/>
      </c>
      <c r="N134" s="62">
        <f>IF(OR($J134="",$B134=""),0,IF(YEAR($B134)*12+MONTH($B134)&lt;=YEAR($C$3)*12+MONTH($C$3),$G134,0))</f>
        <v/>
      </c>
      <c r="O134" s="62">
        <f>IF(OR($J134="",$B134=""),0,IF(YEAR($B134)*12+MONTH($B134)&lt;=YEAR($C$3)*12+MONTH($C$3)-1,$G134,0))</f>
        <v/>
      </c>
      <c r="P134" s="62">
        <f>$M134-$O134</f>
        <v/>
      </c>
      <c r="Q134" s="62">
        <f>($L134-$M134)-($N134-$O134)</f>
        <v/>
      </c>
      <c r="R134" s="62">
        <f>$L134-$N134</f>
        <v/>
      </c>
    </row>
    <row r="135">
      <c r="A135" s="59">
        <f>ROW()-5</f>
        <v/>
      </c>
      <c r="B135" s="60">
        <f>IFERROR(INDEX(tbl_Finance[Date],$A135),"")</f>
        <v/>
      </c>
      <c r="C135" s="61">
        <f>IFERROR(INDEX(tbl_Finance[Xero Invoice No],$A135),"")</f>
        <v/>
      </c>
      <c r="D135" s="61">
        <f>IFERROR(INDEX(tbl_Finance[Client],$A135),"")</f>
        <v/>
      </c>
      <c r="E135" s="61">
        <f>IFERROR(INDEX(tbl_Finance[Job Number],$A135),"")</f>
        <v/>
      </c>
      <c r="F135" s="61">
        <f>IFERROR(INDEX(tbl_Finance[Cost Centre],$A135),"")</f>
        <v/>
      </c>
      <c r="G135" s="62">
        <f>IFERROR(INDEX(tbl_Finance[Ex GST],$A135),"")</f>
        <v/>
      </c>
      <c r="H135" s="60">
        <f>IFERROR(INDEX(tbl_Finance[Defer Start],$A135),"")</f>
        <v/>
      </c>
      <c r="I135" s="60">
        <f>IFERROR(INDEX(tbl_Finance[Defer End],$A135),"")</f>
        <v/>
      </c>
      <c r="J135" s="59">
        <f>IF(OR($H135="",$I135="",$G135=""),"",MAX(1,(YEAR($I135)-YEAR($H135))*12+MONTH($I135)-MONTH($H135)+1))</f>
        <v/>
      </c>
      <c r="K135" s="62">
        <f>IF($J135="","",$G135/$J135)</f>
        <v/>
      </c>
      <c r="L135" s="62">
        <f>IF($J135="",0,$K135*MAX(0,MIN(YEAR($C$3)*12+MONTH($C$3),YEAR($I135)*12+MONTH($I135))-(YEAR($H135)*12+MONTH($H135))+1))</f>
        <v/>
      </c>
      <c r="M135" s="62">
        <f>IF($J135="",0,$K135*MAX(0,MIN(YEAR($C$3)*12+MONTH($C$3)-1,YEAR($I135)*12+MONTH($I135))-(YEAR($H135)*12+MONTH($H135))+1))</f>
        <v/>
      </c>
      <c r="N135" s="62">
        <f>IF(OR($J135="",$B135=""),0,IF(YEAR($B135)*12+MONTH($B135)&lt;=YEAR($C$3)*12+MONTH($C$3),$G135,0))</f>
        <v/>
      </c>
      <c r="O135" s="62">
        <f>IF(OR($J135="",$B135=""),0,IF(YEAR($B135)*12+MONTH($B135)&lt;=YEAR($C$3)*12+MONTH($C$3)-1,$G135,0))</f>
        <v/>
      </c>
      <c r="P135" s="62">
        <f>$M135-$O135</f>
        <v/>
      </c>
      <c r="Q135" s="62">
        <f>($L135-$M135)-($N135-$O135)</f>
        <v/>
      </c>
      <c r="R135" s="62">
        <f>$L135-$N135</f>
        <v/>
      </c>
    </row>
    <row r="136">
      <c r="A136" s="59">
        <f>ROW()-5</f>
        <v/>
      </c>
      <c r="B136" s="60">
        <f>IFERROR(INDEX(tbl_Finance[Date],$A136),"")</f>
        <v/>
      </c>
      <c r="C136" s="61">
        <f>IFERROR(INDEX(tbl_Finance[Xero Invoice No],$A136),"")</f>
        <v/>
      </c>
      <c r="D136" s="61">
        <f>IFERROR(INDEX(tbl_Finance[Client],$A136),"")</f>
        <v/>
      </c>
      <c r="E136" s="61">
        <f>IFERROR(INDEX(tbl_Finance[Job Number],$A136),"")</f>
        <v/>
      </c>
      <c r="F136" s="61">
        <f>IFERROR(INDEX(tbl_Finance[Cost Centre],$A136),"")</f>
        <v/>
      </c>
      <c r="G136" s="62">
        <f>IFERROR(INDEX(tbl_Finance[Ex GST],$A136),"")</f>
        <v/>
      </c>
      <c r="H136" s="60">
        <f>IFERROR(INDEX(tbl_Finance[Defer Start],$A136),"")</f>
        <v/>
      </c>
      <c r="I136" s="60">
        <f>IFERROR(INDEX(tbl_Finance[Defer End],$A136),"")</f>
        <v/>
      </c>
      <c r="J136" s="59">
        <f>IF(OR($H136="",$I136="",$G136=""),"",MAX(1,(YEAR($I136)-YEAR($H136))*12+MONTH($I136)-MONTH($H136)+1))</f>
        <v/>
      </c>
      <c r="K136" s="62">
        <f>IF($J136="","",$G136/$J136)</f>
        <v/>
      </c>
      <c r="L136" s="62">
        <f>IF($J136="",0,$K136*MAX(0,MIN(YEAR($C$3)*12+MONTH($C$3),YEAR($I136)*12+MONTH($I136))-(YEAR($H136)*12+MONTH($H136))+1))</f>
        <v/>
      </c>
      <c r="M136" s="62">
        <f>IF($J136="",0,$K136*MAX(0,MIN(YEAR($C$3)*12+MONTH($C$3)-1,YEAR($I136)*12+MONTH($I136))-(YEAR($H136)*12+MONTH($H136))+1))</f>
        <v/>
      </c>
      <c r="N136" s="62">
        <f>IF(OR($J136="",$B136=""),0,IF(YEAR($B136)*12+MONTH($B136)&lt;=YEAR($C$3)*12+MONTH($C$3),$G136,0))</f>
        <v/>
      </c>
      <c r="O136" s="62">
        <f>IF(OR($J136="",$B136=""),0,IF(YEAR($B136)*12+MONTH($B136)&lt;=YEAR($C$3)*12+MONTH($C$3)-1,$G136,0))</f>
        <v/>
      </c>
      <c r="P136" s="62">
        <f>$M136-$O136</f>
        <v/>
      </c>
      <c r="Q136" s="62">
        <f>($L136-$M136)-($N136-$O136)</f>
        <v/>
      </c>
      <c r="R136" s="62">
        <f>$L136-$N136</f>
        <v/>
      </c>
    </row>
    <row r="137">
      <c r="A137" s="59">
        <f>ROW()-5</f>
        <v/>
      </c>
      <c r="B137" s="60">
        <f>IFERROR(INDEX(tbl_Finance[Date],$A137),"")</f>
        <v/>
      </c>
      <c r="C137" s="61">
        <f>IFERROR(INDEX(tbl_Finance[Xero Invoice No],$A137),"")</f>
        <v/>
      </c>
      <c r="D137" s="61">
        <f>IFERROR(INDEX(tbl_Finance[Client],$A137),"")</f>
        <v/>
      </c>
      <c r="E137" s="61">
        <f>IFERROR(INDEX(tbl_Finance[Job Number],$A137),"")</f>
        <v/>
      </c>
      <c r="F137" s="61">
        <f>IFERROR(INDEX(tbl_Finance[Cost Centre],$A137),"")</f>
        <v/>
      </c>
      <c r="G137" s="62">
        <f>IFERROR(INDEX(tbl_Finance[Ex GST],$A137),"")</f>
        <v/>
      </c>
      <c r="H137" s="60">
        <f>IFERROR(INDEX(tbl_Finance[Defer Start],$A137),"")</f>
        <v/>
      </c>
      <c r="I137" s="60">
        <f>IFERROR(INDEX(tbl_Finance[Defer End],$A137),"")</f>
        <v/>
      </c>
      <c r="J137" s="59">
        <f>IF(OR($H137="",$I137="",$G137=""),"",MAX(1,(YEAR($I137)-YEAR($H137))*12+MONTH($I137)-MONTH($H137)+1))</f>
        <v/>
      </c>
      <c r="K137" s="62">
        <f>IF($J137="","",$G137/$J137)</f>
        <v/>
      </c>
      <c r="L137" s="62">
        <f>IF($J137="",0,$K137*MAX(0,MIN(YEAR($C$3)*12+MONTH($C$3),YEAR($I137)*12+MONTH($I137))-(YEAR($H137)*12+MONTH($H137))+1))</f>
        <v/>
      </c>
      <c r="M137" s="62">
        <f>IF($J137="",0,$K137*MAX(0,MIN(YEAR($C$3)*12+MONTH($C$3)-1,YEAR($I137)*12+MONTH($I137))-(YEAR($H137)*12+MONTH($H137))+1))</f>
        <v/>
      </c>
      <c r="N137" s="62">
        <f>IF(OR($J137="",$B137=""),0,IF(YEAR($B137)*12+MONTH($B137)&lt;=YEAR($C$3)*12+MONTH($C$3),$G137,0))</f>
        <v/>
      </c>
      <c r="O137" s="62">
        <f>IF(OR($J137="",$B137=""),0,IF(YEAR($B137)*12+MONTH($B137)&lt;=YEAR($C$3)*12+MONTH($C$3)-1,$G137,0))</f>
        <v/>
      </c>
      <c r="P137" s="62">
        <f>$M137-$O137</f>
        <v/>
      </c>
      <c r="Q137" s="62">
        <f>($L137-$M137)-($N137-$O137)</f>
        <v/>
      </c>
      <c r="R137" s="62">
        <f>$L137-$N137</f>
        <v/>
      </c>
    </row>
    <row r="138">
      <c r="A138" s="59">
        <f>ROW()-5</f>
        <v/>
      </c>
      <c r="B138" s="60">
        <f>IFERROR(INDEX(tbl_Finance[Date],$A138),"")</f>
        <v/>
      </c>
      <c r="C138" s="61">
        <f>IFERROR(INDEX(tbl_Finance[Xero Invoice No],$A138),"")</f>
        <v/>
      </c>
      <c r="D138" s="61">
        <f>IFERROR(INDEX(tbl_Finance[Client],$A138),"")</f>
        <v/>
      </c>
      <c r="E138" s="61">
        <f>IFERROR(INDEX(tbl_Finance[Job Number],$A138),"")</f>
        <v/>
      </c>
      <c r="F138" s="61">
        <f>IFERROR(INDEX(tbl_Finance[Cost Centre],$A138),"")</f>
        <v/>
      </c>
      <c r="G138" s="62">
        <f>IFERROR(INDEX(tbl_Finance[Ex GST],$A138),"")</f>
        <v/>
      </c>
      <c r="H138" s="60">
        <f>IFERROR(INDEX(tbl_Finance[Defer Start],$A138),"")</f>
        <v/>
      </c>
      <c r="I138" s="60">
        <f>IFERROR(INDEX(tbl_Finance[Defer End],$A138),"")</f>
        <v/>
      </c>
      <c r="J138" s="59">
        <f>IF(OR($H138="",$I138="",$G138=""),"",MAX(1,(YEAR($I138)-YEAR($H138))*12+MONTH($I138)-MONTH($H138)+1))</f>
        <v/>
      </c>
      <c r="K138" s="62">
        <f>IF($J138="","",$G138/$J138)</f>
        <v/>
      </c>
      <c r="L138" s="62">
        <f>IF($J138="",0,$K138*MAX(0,MIN(YEAR($C$3)*12+MONTH($C$3),YEAR($I138)*12+MONTH($I138))-(YEAR($H138)*12+MONTH($H138))+1))</f>
        <v/>
      </c>
      <c r="M138" s="62">
        <f>IF($J138="",0,$K138*MAX(0,MIN(YEAR($C$3)*12+MONTH($C$3)-1,YEAR($I138)*12+MONTH($I138))-(YEAR($H138)*12+MONTH($H138))+1))</f>
        <v/>
      </c>
      <c r="N138" s="62">
        <f>IF(OR($J138="",$B138=""),0,IF(YEAR($B138)*12+MONTH($B138)&lt;=YEAR($C$3)*12+MONTH($C$3),$G138,0))</f>
        <v/>
      </c>
      <c r="O138" s="62">
        <f>IF(OR($J138="",$B138=""),0,IF(YEAR($B138)*12+MONTH($B138)&lt;=YEAR($C$3)*12+MONTH($C$3)-1,$G138,0))</f>
        <v/>
      </c>
      <c r="P138" s="62">
        <f>$M138-$O138</f>
        <v/>
      </c>
      <c r="Q138" s="62">
        <f>($L138-$M138)-($N138-$O138)</f>
        <v/>
      </c>
      <c r="R138" s="62">
        <f>$L138-$N138</f>
        <v/>
      </c>
    </row>
    <row r="139">
      <c r="A139" s="59">
        <f>ROW()-5</f>
        <v/>
      </c>
      <c r="B139" s="60">
        <f>IFERROR(INDEX(tbl_Finance[Date],$A139),"")</f>
        <v/>
      </c>
      <c r="C139" s="61">
        <f>IFERROR(INDEX(tbl_Finance[Xero Invoice No],$A139),"")</f>
        <v/>
      </c>
      <c r="D139" s="61">
        <f>IFERROR(INDEX(tbl_Finance[Client],$A139),"")</f>
        <v/>
      </c>
      <c r="E139" s="61">
        <f>IFERROR(INDEX(tbl_Finance[Job Number],$A139),"")</f>
        <v/>
      </c>
      <c r="F139" s="61">
        <f>IFERROR(INDEX(tbl_Finance[Cost Centre],$A139),"")</f>
        <v/>
      </c>
      <c r="G139" s="62">
        <f>IFERROR(INDEX(tbl_Finance[Ex GST],$A139),"")</f>
        <v/>
      </c>
      <c r="H139" s="60">
        <f>IFERROR(INDEX(tbl_Finance[Defer Start],$A139),"")</f>
        <v/>
      </c>
      <c r="I139" s="60">
        <f>IFERROR(INDEX(tbl_Finance[Defer End],$A139),"")</f>
        <v/>
      </c>
      <c r="J139" s="59">
        <f>IF(OR($H139="",$I139="",$G139=""),"",MAX(1,(YEAR($I139)-YEAR($H139))*12+MONTH($I139)-MONTH($H139)+1))</f>
        <v/>
      </c>
      <c r="K139" s="62">
        <f>IF($J139="","",$G139/$J139)</f>
        <v/>
      </c>
      <c r="L139" s="62">
        <f>IF($J139="",0,$K139*MAX(0,MIN(YEAR($C$3)*12+MONTH($C$3),YEAR($I139)*12+MONTH($I139))-(YEAR($H139)*12+MONTH($H139))+1))</f>
        <v/>
      </c>
      <c r="M139" s="62">
        <f>IF($J139="",0,$K139*MAX(0,MIN(YEAR($C$3)*12+MONTH($C$3)-1,YEAR($I139)*12+MONTH($I139))-(YEAR($H139)*12+MONTH($H139))+1))</f>
        <v/>
      </c>
      <c r="N139" s="62">
        <f>IF(OR($J139="",$B139=""),0,IF(YEAR($B139)*12+MONTH($B139)&lt;=YEAR($C$3)*12+MONTH($C$3),$G139,0))</f>
        <v/>
      </c>
      <c r="O139" s="62">
        <f>IF(OR($J139="",$B139=""),0,IF(YEAR($B139)*12+MONTH($B139)&lt;=YEAR($C$3)*12+MONTH($C$3)-1,$G139,0))</f>
        <v/>
      </c>
      <c r="P139" s="62">
        <f>$M139-$O139</f>
        <v/>
      </c>
      <c r="Q139" s="62">
        <f>($L139-$M139)-($N139-$O139)</f>
        <v/>
      </c>
      <c r="R139" s="62">
        <f>$L139-$N139</f>
        <v/>
      </c>
    </row>
    <row r="140">
      <c r="A140" s="59">
        <f>ROW()-5</f>
        <v/>
      </c>
      <c r="B140" s="60">
        <f>IFERROR(INDEX(tbl_Finance[Date],$A140),"")</f>
        <v/>
      </c>
      <c r="C140" s="61">
        <f>IFERROR(INDEX(tbl_Finance[Xero Invoice No],$A140),"")</f>
        <v/>
      </c>
      <c r="D140" s="61">
        <f>IFERROR(INDEX(tbl_Finance[Client],$A140),"")</f>
        <v/>
      </c>
      <c r="E140" s="61">
        <f>IFERROR(INDEX(tbl_Finance[Job Number],$A140),"")</f>
        <v/>
      </c>
      <c r="F140" s="61">
        <f>IFERROR(INDEX(tbl_Finance[Cost Centre],$A140),"")</f>
        <v/>
      </c>
      <c r="G140" s="62">
        <f>IFERROR(INDEX(tbl_Finance[Ex GST],$A140),"")</f>
        <v/>
      </c>
      <c r="H140" s="60">
        <f>IFERROR(INDEX(tbl_Finance[Defer Start],$A140),"")</f>
        <v/>
      </c>
      <c r="I140" s="60">
        <f>IFERROR(INDEX(tbl_Finance[Defer End],$A140),"")</f>
        <v/>
      </c>
      <c r="J140" s="59">
        <f>IF(OR($H140="",$I140="",$G140=""),"",MAX(1,(YEAR($I140)-YEAR($H140))*12+MONTH($I140)-MONTH($H140)+1))</f>
        <v/>
      </c>
      <c r="K140" s="62">
        <f>IF($J140="","",$G140/$J140)</f>
        <v/>
      </c>
      <c r="L140" s="62">
        <f>IF($J140="",0,$K140*MAX(0,MIN(YEAR($C$3)*12+MONTH($C$3),YEAR($I140)*12+MONTH($I140))-(YEAR($H140)*12+MONTH($H140))+1))</f>
        <v/>
      </c>
      <c r="M140" s="62">
        <f>IF($J140="",0,$K140*MAX(0,MIN(YEAR($C$3)*12+MONTH($C$3)-1,YEAR($I140)*12+MONTH($I140))-(YEAR($H140)*12+MONTH($H140))+1))</f>
        <v/>
      </c>
      <c r="N140" s="62">
        <f>IF(OR($J140="",$B140=""),0,IF(YEAR($B140)*12+MONTH($B140)&lt;=YEAR($C$3)*12+MONTH($C$3),$G140,0))</f>
        <v/>
      </c>
      <c r="O140" s="62">
        <f>IF(OR($J140="",$B140=""),0,IF(YEAR($B140)*12+MONTH($B140)&lt;=YEAR($C$3)*12+MONTH($C$3)-1,$G140,0))</f>
        <v/>
      </c>
      <c r="P140" s="62">
        <f>$M140-$O140</f>
        <v/>
      </c>
      <c r="Q140" s="62">
        <f>($L140-$M140)-($N140-$O140)</f>
        <v/>
      </c>
      <c r="R140" s="62">
        <f>$L140-$N140</f>
        <v/>
      </c>
    </row>
    <row r="141">
      <c r="A141" s="59">
        <f>ROW()-5</f>
        <v/>
      </c>
      <c r="B141" s="60">
        <f>IFERROR(INDEX(tbl_Finance[Date],$A141),"")</f>
        <v/>
      </c>
      <c r="C141" s="61">
        <f>IFERROR(INDEX(tbl_Finance[Xero Invoice No],$A141),"")</f>
        <v/>
      </c>
      <c r="D141" s="61">
        <f>IFERROR(INDEX(tbl_Finance[Client],$A141),"")</f>
        <v/>
      </c>
      <c r="E141" s="61">
        <f>IFERROR(INDEX(tbl_Finance[Job Number],$A141),"")</f>
        <v/>
      </c>
      <c r="F141" s="61">
        <f>IFERROR(INDEX(tbl_Finance[Cost Centre],$A141),"")</f>
        <v/>
      </c>
      <c r="G141" s="62">
        <f>IFERROR(INDEX(tbl_Finance[Ex GST],$A141),"")</f>
        <v/>
      </c>
      <c r="H141" s="60">
        <f>IFERROR(INDEX(tbl_Finance[Defer Start],$A141),"")</f>
        <v/>
      </c>
      <c r="I141" s="60">
        <f>IFERROR(INDEX(tbl_Finance[Defer End],$A141),"")</f>
        <v/>
      </c>
      <c r="J141" s="59">
        <f>IF(OR($H141="",$I141="",$G141=""),"",MAX(1,(YEAR($I141)-YEAR($H141))*12+MONTH($I141)-MONTH($H141)+1))</f>
        <v/>
      </c>
      <c r="K141" s="62">
        <f>IF($J141="","",$G141/$J141)</f>
        <v/>
      </c>
      <c r="L141" s="62">
        <f>IF($J141="",0,$K141*MAX(0,MIN(YEAR($C$3)*12+MONTH($C$3),YEAR($I141)*12+MONTH($I141))-(YEAR($H141)*12+MONTH($H141))+1))</f>
        <v/>
      </c>
      <c r="M141" s="62">
        <f>IF($J141="",0,$K141*MAX(0,MIN(YEAR($C$3)*12+MONTH($C$3)-1,YEAR($I141)*12+MONTH($I141))-(YEAR($H141)*12+MONTH($H141))+1))</f>
        <v/>
      </c>
      <c r="N141" s="62">
        <f>IF(OR($J141="",$B141=""),0,IF(YEAR($B141)*12+MONTH($B141)&lt;=YEAR($C$3)*12+MONTH($C$3),$G141,0))</f>
        <v/>
      </c>
      <c r="O141" s="62">
        <f>IF(OR($J141="",$B141=""),0,IF(YEAR($B141)*12+MONTH($B141)&lt;=YEAR($C$3)*12+MONTH($C$3)-1,$G141,0))</f>
        <v/>
      </c>
      <c r="P141" s="62">
        <f>$M141-$O141</f>
        <v/>
      </c>
      <c r="Q141" s="62">
        <f>($L141-$M141)-($N141-$O141)</f>
        <v/>
      </c>
      <c r="R141" s="62">
        <f>$L141-$N141</f>
        <v/>
      </c>
    </row>
    <row r="142">
      <c r="A142" s="59">
        <f>ROW()-5</f>
        <v/>
      </c>
      <c r="B142" s="60">
        <f>IFERROR(INDEX(tbl_Finance[Date],$A142),"")</f>
        <v/>
      </c>
      <c r="C142" s="61">
        <f>IFERROR(INDEX(tbl_Finance[Xero Invoice No],$A142),"")</f>
        <v/>
      </c>
      <c r="D142" s="61">
        <f>IFERROR(INDEX(tbl_Finance[Client],$A142),"")</f>
        <v/>
      </c>
      <c r="E142" s="61">
        <f>IFERROR(INDEX(tbl_Finance[Job Number],$A142),"")</f>
        <v/>
      </c>
      <c r="F142" s="61">
        <f>IFERROR(INDEX(tbl_Finance[Cost Centre],$A142),"")</f>
        <v/>
      </c>
      <c r="G142" s="62">
        <f>IFERROR(INDEX(tbl_Finance[Ex GST],$A142),"")</f>
        <v/>
      </c>
      <c r="H142" s="60">
        <f>IFERROR(INDEX(tbl_Finance[Defer Start],$A142),"")</f>
        <v/>
      </c>
      <c r="I142" s="60">
        <f>IFERROR(INDEX(tbl_Finance[Defer End],$A142),"")</f>
        <v/>
      </c>
      <c r="J142" s="59">
        <f>IF(OR($H142="",$I142="",$G142=""),"",MAX(1,(YEAR($I142)-YEAR($H142))*12+MONTH($I142)-MONTH($H142)+1))</f>
        <v/>
      </c>
      <c r="K142" s="62">
        <f>IF($J142="","",$G142/$J142)</f>
        <v/>
      </c>
      <c r="L142" s="62">
        <f>IF($J142="",0,$K142*MAX(0,MIN(YEAR($C$3)*12+MONTH($C$3),YEAR($I142)*12+MONTH($I142))-(YEAR($H142)*12+MONTH($H142))+1))</f>
        <v/>
      </c>
      <c r="M142" s="62">
        <f>IF($J142="",0,$K142*MAX(0,MIN(YEAR($C$3)*12+MONTH($C$3)-1,YEAR($I142)*12+MONTH($I142))-(YEAR($H142)*12+MONTH($H142))+1))</f>
        <v/>
      </c>
      <c r="N142" s="62">
        <f>IF(OR($J142="",$B142=""),0,IF(YEAR($B142)*12+MONTH($B142)&lt;=YEAR($C$3)*12+MONTH($C$3),$G142,0))</f>
        <v/>
      </c>
      <c r="O142" s="62">
        <f>IF(OR($J142="",$B142=""),0,IF(YEAR($B142)*12+MONTH($B142)&lt;=YEAR($C$3)*12+MONTH($C$3)-1,$G142,0))</f>
        <v/>
      </c>
      <c r="P142" s="62">
        <f>$M142-$O142</f>
        <v/>
      </c>
      <c r="Q142" s="62">
        <f>($L142-$M142)-($N142-$O142)</f>
        <v/>
      </c>
      <c r="R142" s="62">
        <f>$L142-$N142</f>
        <v/>
      </c>
    </row>
    <row r="143">
      <c r="A143" s="59">
        <f>ROW()-5</f>
        <v/>
      </c>
      <c r="B143" s="60">
        <f>IFERROR(INDEX(tbl_Finance[Date],$A143),"")</f>
        <v/>
      </c>
      <c r="C143" s="61">
        <f>IFERROR(INDEX(tbl_Finance[Xero Invoice No],$A143),"")</f>
        <v/>
      </c>
      <c r="D143" s="61">
        <f>IFERROR(INDEX(tbl_Finance[Client],$A143),"")</f>
        <v/>
      </c>
      <c r="E143" s="61">
        <f>IFERROR(INDEX(tbl_Finance[Job Number],$A143),"")</f>
        <v/>
      </c>
      <c r="F143" s="61">
        <f>IFERROR(INDEX(tbl_Finance[Cost Centre],$A143),"")</f>
        <v/>
      </c>
      <c r="G143" s="62">
        <f>IFERROR(INDEX(tbl_Finance[Ex GST],$A143),"")</f>
        <v/>
      </c>
      <c r="H143" s="60">
        <f>IFERROR(INDEX(tbl_Finance[Defer Start],$A143),"")</f>
        <v/>
      </c>
      <c r="I143" s="60">
        <f>IFERROR(INDEX(tbl_Finance[Defer End],$A143),"")</f>
        <v/>
      </c>
      <c r="J143" s="59">
        <f>IF(OR($H143="",$I143="",$G143=""),"",MAX(1,(YEAR($I143)-YEAR($H143))*12+MONTH($I143)-MONTH($H143)+1))</f>
        <v/>
      </c>
      <c r="K143" s="62">
        <f>IF($J143="","",$G143/$J143)</f>
        <v/>
      </c>
      <c r="L143" s="62">
        <f>IF($J143="",0,$K143*MAX(0,MIN(YEAR($C$3)*12+MONTH($C$3),YEAR($I143)*12+MONTH($I143))-(YEAR($H143)*12+MONTH($H143))+1))</f>
        <v/>
      </c>
      <c r="M143" s="62">
        <f>IF($J143="",0,$K143*MAX(0,MIN(YEAR($C$3)*12+MONTH($C$3)-1,YEAR($I143)*12+MONTH($I143))-(YEAR($H143)*12+MONTH($H143))+1))</f>
        <v/>
      </c>
      <c r="N143" s="62">
        <f>IF(OR($J143="",$B143=""),0,IF(YEAR($B143)*12+MONTH($B143)&lt;=YEAR($C$3)*12+MONTH($C$3),$G143,0))</f>
        <v/>
      </c>
      <c r="O143" s="62">
        <f>IF(OR($J143="",$B143=""),0,IF(YEAR($B143)*12+MONTH($B143)&lt;=YEAR($C$3)*12+MONTH($C$3)-1,$G143,0))</f>
        <v/>
      </c>
      <c r="P143" s="62">
        <f>$M143-$O143</f>
        <v/>
      </c>
      <c r="Q143" s="62">
        <f>($L143-$M143)-($N143-$O143)</f>
        <v/>
      </c>
      <c r="R143" s="62">
        <f>$L143-$N143</f>
        <v/>
      </c>
    </row>
    <row r="144">
      <c r="A144" s="59">
        <f>ROW()-5</f>
        <v/>
      </c>
      <c r="B144" s="60">
        <f>IFERROR(INDEX(tbl_Finance[Date],$A144),"")</f>
        <v/>
      </c>
      <c r="C144" s="61">
        <f>IFERROR(INDEX(tbl_Finance[Xero Invoice No],$A144),"")</f>
        <v/>
      </c>
      <c r="D144" s="61">
        <f>IFERROR(INDEX(tbl_Finance[Client],$A144),"")</f>
        <v/>
      </c>
      <c r="E144" s="61">
        <f>IFERROR(INDEX(tbl_Finance[Job Number],$A144),"")</f>
        <v/>
      </c>
      <c r="F144" s="61">
        <f>IFERROR(INDEX(tbl_Finance[Cost Centre],$A144),"")</f>
        <v/>
      </c>
      <c r="G144" s="62">
        <f>IFERROR(INDEX(tbl_Finance[Ex GST],$A144),"")</f>
        <v/>
      </c>
      <c r="H144" s="60">
        <f>IFERROR(INDEX(tbl_Finance[Defer Start],$A144),"")</f>
        <v/>
      </c>
      <c r="I144" s="60">
        <f>IFERROR(INDEX(tbl_Finance[Defer End],$A144),"")</f>
        <v/>
      </c>
      <c r="J144" s="59">
        <f>IF(OR($H144="",$I144="",$G144=""),"",MAX(1,(YEAR($I144)-YEAR($H144))*12+MONTH($I144)-MONTH($H144)+1))</f>
        <v/>
      </c>
      <c r="K144" s="62">
        <f>IF($J144="","",$G144/$J144)</f>
        <v/>
      </c>
      <c r="L144" s="62">
        <f>IF($J144="",0,$K144*MAX(0,MIN(YEAR($C$3)*12+MONTH($C$3),YEAR($I144)*12+MONTH($I144))-(YEAR($H144)*12+MONTH($H144))+1))</f>
        <v/>
      </c>
      <c r="M144" s="62">
        <f>IF($J144="",0,$K144*MAX(0,MIN(YEAR($C$3)*12+MONTH($C$3)-1,YEAR($I144)*12+MONTH($I144))-(YEAR($H144)*12+MONTH($H144))+1))</f>
        <v/>
      </c>
      <c r="N144" s="62">
        <f>IF(OR($J144="",$B144=""),0,IF(YEAR($B144)*12+MONTH($B144)&lt;=YEAR($C$3)*12+MONTH($C$3),$G144,0))</f>
        <v/>
      </c>
      <c r="O144" s="62">
        <f>IF(OR($J144="",$B144=""),0,IF(YEAR($B144)*12+MONTH($B144)&lt;=YEAR($C$3)*12+MONTH($C$3)-1,$G144,0))</f>
        <v/>
      </c>
      <c r="P144" s="62">
        <f>$M144-$O144</f>
        <v/>
      </c>
      <c r="Q144" s="62">
        <f>($L144-$M144)-($N144-$O144)</f>
        <v/>
      </c>
      <c r="R144" s="62">
        <f>$L144-$N144</f>
        <v/>
      </c>
    </row>
    <row r="145">
      <c r="A145" s="59">
        <f>ROW()-5</f>
        <v/>
      </c>
      <c r="B145" s="60">
        <f>IFERROR(INDEX(tbl_Finance[Date],$A145),"")</f>
        <v/>
      </c>
      <c r="C145" s="61">
        <f>IFERROR(INDEX(tbl_Finance[Xero Invoice No],$A145),"")</f>
        <v/>
      </c>
      <c r="D145" s="61">
        <f>IFERROR(INDEX(tbl_Finance[Client],$A145),"")</f>
        <v/>
      </c>
      <c r="E145" s="61">
        <f>IFERROR(INDEX(tbl_Finance[Job Number],$A145),"")</f>
        <v/>
      </c>
      <c r="F145" s="61">
        <f>IFERROR(INDEX(tbl_Finance[Cost Centre],$A145),"")</f>
        <v/>
      </c>
      <c r="G145" s="62">
        <f>IFERROR(INDEX(tbl_Finance[Ex GST],$A145),"")</f>
        <v/>
      </c>
      <c r="H145" s="60">
        <f>IFERROR(INDEX(tbl_Finance[Defer Start],$A145),"")</f>
        <v/>
      </c>
      <c r="I145" s="60">
        <f>IFERROR(INDEX(tbl_Finance[Defer End],$A145),"")</f>
        <v/>
      </c>
      <c r="J145" s="59">
        <f>IF(OR($H145="",$I145="",$G145=""),"",MAX(1,(YEAR($I145)-YEAR($H145))*12+MONTH($I145)-MONTH($H145)+1))</f>
        <v/>
      </c>
      <c r="K145" s="62">
        <f>IF($J145="","",$G145/$J145)</f>
        <v/>
      </c>
      <c r="L145" s="62">
        <f>IF($J145="",0,$K145*MAX(0,MIN(YEAR($C$3)*12+MONTH($C$3),YEAR($I145)*12+MONTH($I145))-(YEAR($H145)*12+MONTH($H145))+1))</f>
        <v/>
      </c>
      <c r="M145" s="62">
        <f>IF($J145="",0,$K145*MAX(0,MIN(YEAR($C$3)*12+MONTH($C$3)-1,YEAR($I145)*12+MONTH($I145))-(YEAR($H145)*12+MONTH($H145))+1))</f>
        <v/>
      </c>
      <c r="N145" s="62">
        <f>IF(OR($J145="",$B145=""),0,IF(YEAR($B145)*12+MONTH($B145)&lt;=YEAR($C$3)*12+MONTH($C$3),$G145,0))</f>
        <v/>
      </c>
      <c r="O145" s="62">
        <f>IF(OR($J145="",$B145=""),0,IF(YEAR($B145)*12+MONTH($B145)&lt;=YEAR($C$3)*12+MONTH($C$3)-1,$G145,0))</f>
        <v/>
      </c>
      <c r="P145" s="62">
        <f>$M145-$O145</f>
        <v/>
      </c>
      <c r="Q145" s="62">
        <f>($L145-$M145)-($N145-$O145)</f>
        <v/>
      </c>
      <c r="R145" s="62">
        <f>$L145-$N145</f>
        <v/>
      </c>
    </row>
    <row r="146">
      <c r="A146" s="59">
        <f>ROW()-5</f>
        <v/>
      </c>
      <c r="B146" s="60">
        <f>IFERROR(INDEX(tbl_Finance[Date],$A146),"")</f>
        <v/>
      </c>
      <c r="C146" s="61">
        <f>IFERROR(INDEX(tbl_Finance[Xero Invoice No],$A146),"")</f>
        <v/>
      </c>
      <c r="D146" s="61">
        <f>IFERROR(INDEX(tbl_Finance[Client],$A146),"")</f>
        <v/>
      </c>
      <c r="E146" s="61">
        <f>IFERROR(INDEX(tbl_Finance[Job Number],$A146),"")</f>
        <v/>
      </c>
      <c r="F146" s="61">
        <f>IFERROR(INDEX(tbl_Finance[Cost Centre],$A146),"")</f>
        <v/>
      </c>
      <c r="G146" s="62">
        <f>IFERROR(INDEX(tbl_Finance[Ex GST],$A146),"")</f>
        <v/>
      </c>
      <c r="H146" s="60">
        <f>IFERROR(INDEX(tbl_Finance[Defer Start],$A146),"")</f>
        <v/>
      </c>
      <c r="I146" s="60">
        <f>IFERROR(INDEX(tbl_Finance[Defer End],$A146),"")</f>
        <v/>
      </c>
      <c r="J146" s="59">
        <f>IF(OR($H146="",$I146="",$G146=""),"",MAX(1,(YEAR($I146)-YEAR($H146))*12+MONTH($I146)-MONTH($H146)+1))</f>
        <v/>
      </c>
      <c r="K146" s="62">
        <f>IF($J146="","",$G146/$J146)</f>
        <v/>
      </c>
      <c r="L146" s="62">
        <f>IF($J146="",0,$K146*MAX(0,MIN(YEAR($C$3)*12+MONTH($C$3),YEAR($I146)*12+MONTH($I146))-(YEAR($H146)*12+MONTH($H146))+1))</f>
        <v/>
      </c>
      <c r="M146" s="62">
        <f>IF($J146="",0,$K146*MAX(0,MIN(YEAR($C$3)*12+MONTH($C$3)-1,YEAR($I146)*12+MONTH($I146))-(YEAR($H146)*12+MONTH($H146))+1))</f>
        <v/>
      </c>
      <c r="N146" s="62">
        <f>IF(OR($J146="",$B146=""),0,IF(YEAR($B146)*12+MONTH($B146)&lt;=YEAR($C$3)*12+MONTH($C$3),$G146,0))</f>
        <v/>
      </c>
      <c r="O146" s="62">
        <f>IF(OR($J146="",$B146=""),0,IF(YEAR($B146)*12+MONTH($B146)&lt;=YEAR($C$3)*12+MONTH($C$3)-1,$G146,0))</f>
        <v/>
      </c>
      <c r="P146" s="62">
        <f>$M146-$O146</f>
        <v/>
      </c>
      <c r="Q146" s="62">
        <f>($L146-$M146)-($N146-$O146)</f>
        <v/>
      </c>
      <c r="R146" s="62">
        <f>$L146-$N146</f>
        <v/>
      </c>
    </row>
    <row r="147">
      <c r="A147" s="59">
        <f>ROW()-5</f>
        <v/>
      </c>
      <c r="B147" s="60">
        <f>IFERROR(INDEX(tbl_Finance[Date],$A147),"")</f>
        <v/>
      </c>
      <c r="C147" s="61">
        <f>IFERROR(INDEX(tbl_Finance[Xero Invoice No],$A147),"")</f>
        <v/>
      </c>
      <c r="D147" s="61">
        <f>IFERROR(INDEX(tbl_Finance[Client],$A147),"")</f>
        <v/>
      </c>
      <c r="E147" s="61">
        <f>IFERROR(INDEX(tbl_Finance[Job Number],$A147),"")</f>
        <v/>
      </c>
      <c r="F147" s="61">
        <f>IFERROR(INDEX(tbl_Finance[Cost Centre],$A147),"")</f>
        <v/>
      </c>
      <c r="G147" s="62">
        <f>IFERROR(INDEX(tbl_Finance[Ex GST],$A147),"")</f>
        <v/>
      </c>
      <c r="H147" s="60">
        <f>IFERROR(INDEX(tbl_Finance[Defer Start],$A147),"")</f>
        <v/>
      </c>
      <c r="I147" s="60">
        <f>IFERROR(INDEX(tbl_Finance[Defer End],$A147),"")</f>
        <v/>
      </c>
      <c r="J147" s="59">
        <f>IF(OR($H147="",$I147="",$G147=""),"",MAX(1,(YEAR($I147)-YEAR($H147))*12+MONTH($I147)-MONTH($H147)+1))</f>
        <v/>
      </c>
      <c r="K147" s="62">
        <f>IF($J147="","",$G147/$J147)</f>
        <v/>
      </c>
      <c r="L147" s="62">
        <f>IF($J147="",0,$K147*MAX(0,MIN(YEAR($C$3)*12+MONTH($C$3),YEAR($I147)*12+MONTH($I147))-(YEAR($H147)*12+MONTH($H147))+1))</f>
        <v/>
      </c>
      <c r="M147" s="62">
        <f>IF($J147="",0,$K147*MAX(0,MIN(YEAR($C$3)*12+MONTH($C$3)-1,YEAR($I147)*12+MONTH($I147))-(YEAR($H147)*12+MONTH($H147))+1))</f>
        <v/>
      </c>
      <c r="N147" s="62">
        <f>IF(OR($J147="",$B147=""),0,IF(YEAR($B147)*12+MONTH($B147)&lt;=YEAR($C$3)*12+MONTH($C$3),$G147,0))</f>
        <v/>
      </c>
      <c r="O147" s="62">
        <f>IF(OR($J147="",$B147=""),0,IF(YEAR($B147)*12+MONTH($B147)&lt;=YEAR($C$3)*12+MONTH($C$3)-1,$G147,0))</f>
        <v/>
      </c>
      <c r="P147" s="62">
        <f>$M147-$O147</f>
        <v/>
      </c>
      <c r="Q147" s="62">
        <f>($L147-$M147)-($N147-$O147)</f>
        <v/>
      </c>
      <c r="R147" s="62">
        <f>$L147-$N147</f>
        <v/>
      </c>
    </row>
    <row r="148">
      <c r="A148" s="59">
        <f>ROW()-5</f>
        <v/>
      </c>
      <c r="B148" s="60">
        <f>IFERROR(INDEX(tbl_Finance[Date],$A148),"")</f>
        <v/>
      </c>
      <c r="C148" s="61">
        <f>IFERROR(INDEX(tbl_Finance[Xero Invoice No],$A148),"")</f>
        <v/>
      </c>
      <c r="D148" s="61">
        <f>IFERROR(INDEX(tbl_Finance[Client],$A148),"")</f>
        <v/>
      </c>
      <c r="E148" s="61">
        <f>IFERROR(INDEX(tbl_Finance[Job Number],$A148),"")</f>
        <v/>
      </c>
      <c r="F148" s="61">
        <f>IFERROR(INDEX(tbl_Finance[Cost Centre],$A148),"")</f>
        <v/>
      </c>
      <c r="G148" s="62">
        <f>IFERROR(INDEX(tbl_Finance[Ex GST],$A148),"")</f>
        <v/>
      </c>
      <c r="H148" s="60">
        <f>IFERROR(INDEX(tbl_Finance[Defer Start],$A148),"")</f>
        <v/>
      </c>
      <c r="I148" s="60">
        <f>IFERROR(INDEX(tbl_Finance[Defer End],$A148),"")</f>
        <v/>
      </c>
      <c r="J148" s="59">
        <f>IF(OR($H148="",$I148="",$G148=""),"",MAX(1,(YEAR($I148)-YEAR($H148))*12+MONTH($I148)-MONTH($H148)+1))</f>
        <v/>
      </c>
      <c r="K148" s="62">
        <f>IF($J148="","",$G148/$J148)</f>
        <v/>
      </c>
      <c r="L148" s="62">
        <f>IF($J148="",0,$K148*MAX(0,MIN(YEAR($C$3)*12+MONTH($C$3),YEAR($I148)*12+MONTH($I148))-(YEAR($H148)*12+MONTH($H148))+1))</f>
        <v/>
      </c>
      <c r="M148" s="62">
        <f>IF($J148="",0,$K148*MAX(0,MIN(YEAR($C$3)*12+MONTH($C$3)-1,YEAR($I148)*12+MONTH($I148))-(YEAR($H148)*12+MONTH($H148))+1))</f>
        <v/>
      </c>
      <c r="N148" s="62">
        <f>IF(OR($J148="",$B148=""),0,IF(YEAR($B148)*12+MONTH($B148)&lt;=YEAR($C$3)*12+MONTH($C$3),$G148,0))</f>
        <v/>
      </c>
      <c r="O148" s="62">
        <f>IF(OR($J148="",$B148=""),0,IF(YEAR($B148)*12+MONTH($B148)&lt;=YEAR($C$3)*12+MONTH($C$3)-1,$G148,0))</f>
        <v/>
      </c>
      <c r="P148" s="62">
        <f>$M148-$O148</f>
        <v/>
      </c>
      <c r="Q148" s="62">
        <f>($L148-$M148)-($N148-$O148)</f>
        <v/>
      </c>
      <c r="R148" s="62">
        <f>$L148-$N148</f>
        <v/>
      </c>
    </row>
    <row r="149">
      <c r="A149" s="59">
        <f>ROW()-5</f>
        <v/>
      </c>
      <c r="B149" s="60">
        <f>IFERROR(INDEX(tbl_Finance[Date],$A149),"")</f>
        <v/>
      </c>
      <c r="C149" s="61">
        <f>IFERROR(INDEX(tbl_Finance[Xero Invoice No],$A149),"")</f>
        <v/>
      </c>
      <c r="D149" s="61">
        <f>IFERROR(INDEX(tbl_Finance[Client],$A149),"")</f>
        <v/>
      </c>
      <c r="E149" s="61">
        <f>IFERROR(INDEX(tbl_Finance[Job Number],$A149),"")</f>
        <v/>
      </c>
      <c r="F149" s="61">
        <f>IFERROR(INDEX(tbl_Finance[Cost Centre],$A149),"")</f>
        <v/>
      </c>
      <c r="G149" s="62">
        <f>IFERROR(INDEX(tbl_Finance[Ex GST],$A149),"")</f>
        <v/>
      </c>
      <c r="H149" s="60">
        <f>IFERROR(INDEX(tbl_Finance[Defer Start],$A149),"")</f>
        <v/>
      </c>
      <c r="I149" s="60">
        <f>IFERROR(INDEX(tbl_Finance[Defer End],$A149),"")</f>
        <v/>
      </c>
      <c r="J149" s="59">
        <f>IF(OR($H149="",$I149="",$G149=""),"",MAX(1,(YEAR($I149)-YEAR($H149))*12+MONTH($I149)-MONTH($H149)+1))</f>
        <v/>
      </c>
      <c r="K149" s="62">
        <f>IF($J149="","",$G149/$J149)</f>
        <v/>
      </c>
      <c r="L149" s="62">
        <f>IF($J149="",0,$K149*MAX(0,MIN(YEAR($C$3)*12+MONTH($C$3),YEAR($I149)*12+MONTH($I149))-(YEAR($H149)*12+MONTH($H149))+1))</f>
        <v/>
      </c>
      <c r="M149" s="62">
        <f>IF($J149="",0,$K149*MAX(0,MIN(YEAR($C$3)*12+MONTH($C$3)-1,YEAR($I149)*12+MONTH($I149))-(YEAR($H149)*12+MONTH($H149))+1))</f>
        <v/>
      </c>
      <c r="N149" s="62">
        <f>IF(OR($J149="",$B149=""),0,IF(YEAR($B149)*12+MONTH($B149)&lt;=YEAR($C$3)*12+MONTH($C$3),$G149,0))</f>
        <v/>
      </c>
      <c r="O149" s="62">
        <f>IF(OR($J149="",$B149=""),0,IF(YEAR($B149)*12+MONTH($B149)&lt;=YEAR($C$3)*12+MONTH($C$3)-1,$G149,0))</f>
        <v/>
      </c>
      <c r="P149" s="62">
        <f>$M149-$O149</f>
        <v/>
      </c>
      <c r="Q149" s="62">
        <f>($L149-$M149)-($N149-$O149)</f>
        <v/>
      </c>
      <c r="R149" s="62">
        <f>$L149-$N149</f>
        <v/>
      </c>
    </row>
    <row r="150">
      <c r="A150" s="59">
        <f>ROW()-5</f>
        <v/>
      </c>
      <c r="B150" s="60">
        <f>IFERROR(INDEX(tbl_Finance[Date],$A150),"")</f>
        <v/>
      </c>
      <c r="C150" s="61">
        <f>IFERROR(INDEX(tbl_Finance[Xero Invoice No],$A150),"")</f>
        <v/>
      </c>
      <c r="D150" s="61">
        <f>IFERROR(INDEX(tbl_Finance[Client],$A150),"")</f>
        <v/>
      </c>
      <c r="E150" s="61">
        <f>IFERROR(INDEX(tbl_Finance[Job Number],$A150),"")</f>
        <v/>
      </c>
      <c r="F150" s="61">
        <f>IFERROR(INDEX(tbl_Finance[Cost Centre],$A150),"")</f>
        <v/>
      </c>
      <c r="G150" s="62">
        <f>IFERROR(INDEX(tbl_Finance[Ex GST],$A150),"")</f>
        <v/>
      </c>
      <c r="H150" s="60">
        <f>IFERROR(INDEX(tbl_Finance[Defer Start],$A150),"")</f>
        <v/>
      </c>
      <c r="I150" s="60">
        <f>IFERROR(INDEX(tbl_Finance[Defer End],$A150),"")</f>
        <v/>
      </c>
      <c r="J150" s="59">
        <f>IF(OR($H150="",$I150="",$G150=""),"",MAX(1,(YEAR($I150)-YEAR($H150))*12+MONTH($I150)-MONTH($H150)+1))</f>
        <v/>
      </c>
      <c r="K150" s="62">
        <f>IF($J150="","",$G150/$J150)</f>
        <v/>
      </c>
      <c r="L150" s="62">
        <f>IF($J150="",0,$K150*MAX(0,MIN(YEAR($C$3)*12+MONTH($C$3),YEAR($I150)*12+MONTH($I150))-(YEAR($H150)*12+MONTH($H150))+1))</f>
        <v/>
      </c>
      <c r="M150" s="62">
        <f>IF($J150="",0,$K150*MAX(0,MIN(YEAR($C$3)*12+MONTH($C$3)-1,YEAR($I150)*12+MONTH($I150))-(YEAR($H150)*12+MONTH($H150))+1))</f>
        <v/>
      </c>
      <c r="N150" s="62">
        <f>IF(OR($J150="",$B150=""),0,IF(YEAR($B150)*12+MONTH($B150)&lt;=YEAR($C$3)*12+MONTH($C$3),$G150,0))</f>
        <v/>
      </c>
      <c r="O150" s="62">
        <f>IF(OR($J150="",$B150=""),0,IF(YEAR($B150)*12+MONTH($B150)&lt;=YEAR($C$3)*12+MONTH($C$3)-1,$G150,0))</f>
        <v/>
      </c>
      <c r="P150" s="62">
        <f>$M150-$O150</f>
        <v/>
      </c>
      <c r="Q150" s="62">
        <f>($L150-$M150)-($N150-$O150)</f>
        <v/>
      </c>
      <c r="R150" s="62">
        <f>$L150-$N150</f>
        <v/>
      </c>
    </row>
    <row r="151">
      <c r="A151" s="59">
        <f>ROW()-5</f>
        <v/>
      </c>
      <c r="B151" s="60">
        <f>IFERROR(INDEX(tbl_Finance[Date],$A151),"")</f>
        <v/>
      </c>
      <c r="C151" s="61">
        <f>IFERROR(INDEX(tbl_Finance[Xero Invoice No],$A151),"")</f>
        <v/>
      </c>
      <c r="D151" s="61">
        <f>IFERROR(INDEX(tbl_Finance[Client],$A151),"")</f>
        <v/>
      </c>
      <c r="E151" s="61">
        <f>IFERROR(INDEX(tbl_Finance[Job Number],$A151),"")</f>
        <v/>
      </c>
      <c r="F151" s="61">
        <f>IFERROR(INDEX(tbl_Finance[Cost Centre],$A151),"")</f>
        <v/>
      </c>
      <c r="G151" s="62">
        <f>IFERROR(INDEX(tbl_Finance[Ex GST],$A151),"")</f>
        <v/>
      </c>
      <c r="H151" s="60">
        <f>IFERROR(INDEX(tbl_Finance[Defer Start],$A151),"")</f>
        <v/>
      </c>
      <c r="I151" s="60">
        <f>IFERROR(INDEX(tbl_Finance[Defer End],$A151),"")</f>
        <v/>
      </c>
      <c r="J151" s="59">
        <f>IF(OR($H151="",$I151="",$G151=""),"",MAX(1,(YEAR($I151)-YEAR($H151))*12+MONTH($I151)-MONTH($H151)+1))</f>
        <v/>
      </c>
      <c r="K151" s="62">
        <f>IF($J151="","",$G151/$J151)</f>
        <v/>
      </c>
      <c r="L151" s="62">
        <f>IF($J151="",0,$K151*MAX(0,MIN(YEAR($C$3)*12+MONTH($C$3),YEAR($I151)*12+MONTH($I151))-(YEAR($H151)*12+MONTH($H151))+1))</f>
        <v/>
      </c>
      <c r="M151" s="62">
        <f>IF($J151="",0,$K151*MAX(0,MIN(YEAR($C$3)*12+MONTH($C$3)-1,YEAR($I151)*12+MONTH($I151))-(YEAR($H151)*12+MONTH($H151))+1))</f>
        <v/>
      </c>
      <c r="N151" s="62">
        <f>IF(OR($J151="",$B151=""),0,IF(YEAR($B151)*12+MONTH($B151)&lt;=YEAR($C$3)*12+MONTH($C$3),$G151,0))</f>
        <v/>
      </c>
      <c r="O151" s="62">
        <f>IF(OR($J151="",$B151=""),0,IF(YEAR($B151)*12+MONTH($B151)&lt;=YEAR($C$3)*12+MONTH($C$3)-1,$G151,0))</f>
        <v/>
      </c>
      <c r="P151" s="62">
        <f>$M151-$O151</f>
        <v/>
      </c>
      <c r="Q151" s="62">
        <f>($L151-$M151)-($N151-$O151)</f>
        <v/>
      </c>
      <c r="R151" s="62">
        <f>$L151-$N151</f>
        <v/>
      </c>
    </row>
    <row r="152">
      <c r="A152" s="59">
        <f>ROW()-5</f>
        <v/>
      </c>
      <c r="B152" s="60">
        <f>IFERROR(INDEX(tbl_Finance[Date],$A152),"")</f>
        <v/>
      </c>
      <c r="C152" s="61">
        <f>IFERROR(INDEX(tbl_Finance[Xero Invoice No],$A152),"")</f>
        <v/>
      </c>
      <c r="D152" s="61">
        <f>IFERROR(INDEX(tbl_Finance[Client],$A152),"")</f>
        <v/>
      </c>
      <c r="E152" s="61">
        <f>IFERROR(INDEX(tbl_Finance[Job Number],$A152),"")</f>
        <v/>
      </c>
      <c r="F152" s="61">
        <f>IFERROR(INDEX(tbl_Finance[Cost Centre],$A152),"")</f>
        <v/>
      </c>
      <c r="G152" s="62">
        <f>IFERROR(INDEX(tbl_Finance[Ex GST],$A152),"")</f>
        <v/>
      </c>
      <c r="H152" s="60">
        <f>IFERROR(INDEX(tbl_Finance[Defer Start],$A152),"")</f>
        <v/>
      </c>
      <c r="I152" s="60">
        <f>IFERROR(INDEX(tbl_Finance[Defer End],$A152),"")</f>
        <v/>
      </c>
      <c r="J152" s="59">
        <f>IF(OR($H152="",$I152="",$G152=""),"",MAX(1,(YEAR($I152)-YEAR($H152))*12+MONTH($I152)-MONTH($H152)+1))</f>
        <v/>
      </c>
      <c r="K152" s="62">
        <f>IF($J152="","",$G152/$J152)</f>
        <v/>
      </c>
      <c r="L152" s="62">
        <f>IF($J152="",0,$K152*MAX(0,MIN(YEAR($C$3)*12+MONTH($C$3),YEAR($I152)*12+MONTH($I152))-(YEAR($H152)*12+MONTH($H152))+1))</f>
        <v/>
      </c>
      <c r="M152" s="62">
        <f>IF($J152="",0,$K152*MAX(0,MIN(YEAR($C$3)*12+MONTH($C$3)-1,YEAR($I152)*12+MONTH($I152))-(YEAR($H152)*12+MONTH($H152))+1))</f>
        <v/>
      </c>
      <c r="N152" s="62">
        <f>IF(OR($J152="",$B152=""),0,IF(YEAR($B152)*12+MONTH($B152)&lt;=YEAR($C$3)*12+MONTH($C$3),$G152,0))</f>
        <v/>
      </c>
      <c r="O152" s="62">
        <f>IF(OR($J152="",$B152=""),0,IF(YEAR($B152)*12+MONTH($B152)&lt;=YEAR($C$3)*12+MONTH($C$3)-1,$G152,0))</f>
        <v/>
      </c>
      <c r="P152" s="62">
        <f>$M152-$O152</f>
        <v/>
      </c>
      <c r="Q152" s="62">
        <f>($L152-$M152)-($N152-$O152)</f>
        <v/>
      </c>
      <c r="R152" s="62">
        <f>$L152-$N152</f>
        <v/>
      </c>
    </row>
    <row r="153">
      <c r="A153" s="59">
        <f>ROW()-5</f>
        <v/>
      </c>
      <c r="B153" s="60">
        <f>IFERROR(INDEX(tbl_Finance[Date],$A153),"")</f>
        <v/>
      </c>
      <c r="C153" s="61">
        <f>IFERROR(INDEX(tbl_Finance[Xero Invoice No],$A153),"")</f>
        <v/>
      </c>
      <c r="D153" s="61">
        <f>IFERROR(INDEX(tbl_Finance[Client],$A153),"")</f>
        <v/>
      </c>
      <c r="E153" s="61">
        <f>IFERROR(INDEX(tbl_Finance[Job Number],$A153),"")</f>
        <v/>
      </c>
      <c r="F153" s="61">
        <f>IFERROR(INDEX(tbl_Finance[Cost Centre],$A153),"")</f>
        <v/>
      </c>
      <c r="G153" s="62">
        <f>IFERROR(INDEX(tbl_Finance[Ex GST],$A153),"")</f>
        <v/>
      </c>
      <c r="H153" s="60">
        <f>IFERROR(INDEX(tbl_Finance[Defer Start],$A153),"")</f>
        <v/>
      </c>
      <c r="I153" s="60">
        <f>IFERROR(INDEX(tbl_Finance[Defer End],$A153),"")</f>
        <v/>
      </c>
      <c r="J153" s="59">
        <f>IF(OR($H153="",$I153="",$G153=""),"",MAX(1,(YEAR($I153)-YEAR($H153))*12+MONTH($I153)-MONTH($H153)+1))</f>
        <v/>
      </c>
      <c r="K153" s="62">
        <f>IF($J153="","",$G153/$J153)</f>
        <v/>
      </c>
      <c r="L153" s="62">
        <f>IF($J153="",0,$K153*MAX(0,MIN(YEAR($C$3)*12+MONTH($C$3),YEAR($I153)*12+MONTH($I153))-(YEAR($H153)*12+MONTH($H153))+1))</f>
        <v/>
      </c>
      <c r="M153" s="62">
        <f>IF($J153="",0,$K153*MAX(0,MIN(YEAR($C$3)*12+MONTH($C$3)-1,YEAR($I153)*12+MONTH($I153))-(YEAR($H153)*12+MONTH($H153))+1))</f>
        <v/>
      </c>
      <c r="N153" s="62">
        <f>IF(OR($J153="",$B153=""),0,IF(YEAR($B153)*12+MONTH($B153)&lt;=YEAR($C$3)*12+MONTH($C$3),$G153,0))</f>
        <v/>
      </c>
      <c r="O153" s="62">
        <f>IF(OR($J153="",$B153=""),0,IF(YEAR($B153)*12+MONTH($B153)&lt;=YEAR($C$3)*12+MONTH($C$3)-1,$G153,0))</f>
        <v/>
      </c>
      <c r="P153" s="62">
        <f>$M153-$O153</f>
        <v/>
      </c>
      <c r="Q153" s="62">
        <f>($L153-$M153)-($N153-$O153)</f>
        <v/>
      </c>
      <c r="R153" s="62">
        <f>$L153-$N153</f>
        <v/>
      </c>
    </row>
    <row r="154">
      <c r="A154" s="59">
        <f>ROW()-5</f>
        <v/>
      </c>
      <c r="B154" s="60">
        <f>IFERROR(INDEX(tbl_Finance[Date],$A154),"")</f>
        <v/>
      </c>
      <c r="C154" s="61">
        <f>IFERROR(INDEX(tbl_Finance[Xero Invoice No],$A154),"")</f>
        <v/>
      </c>
      <c r="D154" s="61">
        <f>IFERROR(INDEX(tbl_Finance[Client],$A154),"")</f>
        <v/>
      </c>
      <c r="E154" s="61">
        <f>IFERROR(INDEX(tbl_Finance[Job Number],$A154),"")</f>
        <v/>
      </c>
      <c r="F154" s="61">
        <f>IFERROR(INDEX(tbl_Finance[Cost Centre],$A154),"")</f>
        <v/>
      </c>
      <c r="G154" s="62">
        <f>IFERROR(INDEX(tbl_Finance[Ex GST],$A154),"")</f>
        <v/>
      </c>
      <c r="H154" s="60">
        <f>IFERROR(INDEX(tbl_Finance[Defer Start],$A154),"")</f>
        <v/>
      </c>
      <c r="I154" s="60">
        <f>IFERROR(INDEX(tbl_Finance[Defer End],$A154),"")</f>
        <v/>
      </c>
      <c r="J154" s="59">
        <f>IF(OR($H154="",$I154="",$G154=""),"",MAX(1,(YEAR($I154)-YEAR($H154))*12+MONTH($I154)-MONTH($H154)+1))</f>
        <v/>
      </c>
      <c r="K154" s="62">
        <f>IF($J154="","",$G154/$J154)</f>
        <v/>
      </c>
      <c r="L154" s="62">
        <f>IF($J154="",0,$K154*MAX(0,MIN(YEAR($C$3)*12+MONTH($C$3),YEAR($I154)*12+MONTH($I154))-(YEAR($H154)*12+MONTH($H154))+1))</f>
        <v/>
      </c>
      <c r="M154" s="62">
        <f>IF($J154="",0,$K154*MAX(0,MIN(YEAR($C$3)*12+MONTH($C$3)-1,YEAR($I154)*12+MONTH($I154))-(YEAR($H154)*12+MONTH($H154))+1))</f>
        <v/>
      </c>
      <c r="N154" s="62">
        <f>IF(OR($J154="",$B154=""),0,IF(YEAR($B154)*12+MONTH($B154)&lt;=YEAR($C$3)*12+MONTH($C$3),$G154,0))</f>
        <v/>
      </c>
      <c r="O154" s="62">
        <f>IF(OR($J154="",$B154=""),0,IF(YEAR($B154)*12+MONTH($B154)&lt;=YEAR($C$3)*12+MONTH($C$3)-1,$G154,0))</f>
        <v/>
      </c>
      <c r="P154" s="62">
        <f>$M154-$O154</f>
        <v/>
      </c>
      <c r="Q154" s="62">
        <f>($L154-$M154)-($N154-$O154)</f>
        <v/>
      </c>
      <c r="R154" s="62">
        <f>$L154-$N154</f>
        <v/>
      </c>
    </row>
    <row r="155">
      <c r="A155" s="59">
        <f>ROW()-5</f>
        <v/>
      </c>
      <c r="B155" s="60">
        <f>IFERROR(INDEX(tbl_Finance[Date],$A155),"")</f>
        <v/>
      </c>
      <c r="C155" s="61">
        <f>IFERROR(INDEX(tbl_Finance[Xero Invoice No],$A155),"")</f>
        <v/>
      </c>
      <c r="D155" s="61">
        <f>IFERROR(INDEX(tbl_Finance[Client],$A155),"")</f>
        <v/>
      </c>
      <c r="E155" s="61">
        <f>IFERROR(INDEX(tbl_Finance[Job Number],$A155),"")</f>
        <v/>
      </c>
      <c r="F155" s="61">
        <f>IFERROR(INDEX(tbl_Finance[Cost Centre],$A155),"")</f>
        <v/>
      </c>
      <c r="G155" s="62">
        <f>IFERROR(INDEX(tbl_Finance[Ex GST],$A155),"")</f>
        <v/>
      </c>
      <c r="H155" s="60">
        <f>IFERROR(INDEX(tbl_Finance[Defer Start],$A155),"")</f>
        <v/>
      </c>
      <c r="I155" s="60">
        <f>IFERROR(INDEX(tbl_Finance[Defer End],$A155),"")</f>
        <v/>
      </c>
      <c r="J155" s="59">
        <f>IF(OR($H155="",$I155="",$G155=""),"",MAX(1,(YEAR($I155)-YEAR($H155))*12+MONTH($I155)-MONTH($H155)+1))</f>
        <v/>
      </c>
      <c r="K155" s="62">
        <f>IF($J155="","",$G155/$J155)</f>
        <v/>
      </c>
      <c r="L155" s="62">
        <f>IF($J155="",0,$K155*MAX(0,MIN(YEAR($C$3)*12+MONTH($C$3),YEAR($I155)*12+MONTH($I155))-(YEAR($H155)*12+MONTH($H155))+1))</f>
        <v/>
      </c>
      <c r="M155" s="62">
        <f>IF($J155="",0,$K155*MAX(0,MIN(YEAR($C$3)*12+MONTH($C$3)-1,YEAR($I155)*12+MONTH($I155))-(YEAR($H155)*12+MONTH($H155))+1))</f>
        <v/>
      </c>
      <c r="N155" s="62">
        <f>IF(OR($J155="",$B155=""),0,IF(YEAR($B155)*12+MONTH($B155)&lt;=YEAR($C$3)*12+MONTH($C$3),$G155,0))</f>
        <v/>
      </c>
      <c r="O155" s="62">
        <f>IF(OR($J155="",$B155=""),0,IF(YEAR($B155)*12+MONTH($B155)&lt;=YEAR($C$3)*12+MONTH($C$3)-1,$G155,0))</f>
        <v/>
      </c>
      <c r="P155" s="62">
        <f>$M155-$O155</f>
        <v/>
      </c>
      <c r="Q155" s="62">
        <f>($L155-$M155)-($N155-$O155)</f>
        <v/>
      </c>
      <c r="R155" s="62">
        <f>$L155-$N155</f>
        <v/>
      </c>
    </row>
    <row r="156">
      <c r="A156" s="59">
        <f>ROW()-5</f>
        <v/>
      </c>
      <c r="B156" s="60">
        <f>IFERROR(INDEX(tbl_Finance[Date],$A156),"")</f>
        <v/>
      </c>
      <c r="C156" s="61">
        <f>IFERROR(INDEX(tbl_Finance[Xero Invoice No],$A156),"")</f>
        <v/>
      </c>
      <c r="D156" s="61">
        <f>IFERROR(INDEX(tbl_Finance[Client],$A156),"")</f>
        <v/>
      </c>
      <c r="E156" s="61">
        <f>IFERROR(INDEX(tbl_Finance[Job Number],$A156),"")</f>
        <v/>
      </c>
      <c r="F156" s="61">
        <f>IFERROR(INDEX(tbl_Finance[Cost Centre],$A156),"")</f>
        <v/>
      </c>
      <c r="G156" s="62">
        <f>IFERROR(INDEX(tbl_Finance[Ex GST],$A156),"")</f>
        <v/>
      </c>
      <c r="H156" s="60">
        <f>IFERROR(INDEX(tbl_Finance[Defer Start],$A156),"")</f>
        <v/>
      </c>
      <c r="I156" s="60">
        <f>IFERROR(INDEX(tbl_Finance[Defer End],$A156),"")</f>
        <v/>
      </c>
      <c r="J156" s="59">
        <f>IF(OR($H156="",$I156="",$G156=""),"",MAX(1,(YEAR($I156)-YEAR($H156))*12+MONTH($I156)-MONTH($H156)+1))</f>
        <v/>
      </c>
      <c r="K156" s="62">
        <f>IF($J156="","",$G156/$J156)</f>
        <v/>
      </c>
      <c r="L156" s="62">
        <f>IF($J156="",0,$K156*MAX(0,MIN(YEAR($C$3)*12+MONTH($C$3),YEAR($I156)*12+MONTH($I156))-(YEAR($H156)*12+MONTH($H156))+1))</f>
        <v/>
      </c>
      <c r="M156" s="62">
        <f>IF($J156="",0,$K156*MAX(0,MIN(YEAR($C$3)*12+MONTH($C$3)-1,YEAR($I156)*12+MONTH($I156))-(YEAR($H156)*12+MONTH($H156))+1))</f>
        <v/>
      </c>
      <c r="N156" s="62">
        <f>IF(OR($J156="",$B156=""),0,IF(YEAR($B156)*12+MONTH($B156)&lt;=YEAR($C$3)*12+MONTH($C$3),$G156,0))</f>
        <v/>
      </c>
      <c r="O156" s="62">
        <f>IF(OR($J156="",$B156=""),0,IF(YEAR($B156)*12+MONTH($B156)&lt;=YEAR($C$3)*12+MONTH($C$3)-1,$G156,0))</f>
        <v/>
      </c>
      <c r="P156" s="62">
        <f>$M156-$O156</f>
        <v/>
      </c>
      <c r="Q156" s="62">
        <f>($L156-$M156)-($N156-$O156)</f>
        <v/>
      </c>
      <c r="R156" s="62">
        <f>$L156-$N156</f>
        <v/>
      </c>
    </row>
    <row r="157">
      <c r="A157" s="59">
        <f>ROW()-5</f>
        <v/>
      </c>
      <c r="B157" s="60">
        <f>IFERROR(INDEX(tbl_Finance[Date],$A157),"")</f>
        <v/>
      </c>
      <c r="C157" s="61">
        <f>IFERROR(INDEX(tbl_Finance[Xero Invoice No],$A157),"")</f>
        <v/>
      </c>
      <c r="D157" s="61">
        <f>IFERROR(INDEX(tbl_Finance[Client],$A157),"")</f>
        <v/>
      </c>
      <c r="E157" s="61">
        <f>IFERROR(INDEX(tbl_Finance[Job Number],$A157),"")</f>
        <v/>
      </c>
      <c r="F157" s="61">
        <f>IFERROR(INDEX(tbl_Finance[Cost Centre],$A157),"")</f>
        <v/>
      </c>
      <c r="G157" s="62">
        <f>IFERROR(INDEX(tbl_Finance[Ex GST],$A157),"")</f>
        <v/>
      </c>
      <c r="H157" s="60">
        <f>IFERROR(INDEX(tbl_Finance[Defer Start],$A157),"")</f>
        <v/>
      </c>
      <c r="I157" s="60">
        <f>IFERROR(INDEX(tbl_Finance[Defer End],$A157),"")</f>
        <v/>
      </c>
      <c r="J157" s="59">
        <f>IF(OR($H157="",$I157="",$G157=""),"",MAX(1,(YEAR($I157)-YEAR($H157))*12+MONTH($I157)-MONTH($H157)+1))</f>
        <v/>
      </c>
      <c r="K157" s="62">
        <f>IF($J157="","",$G157/$J157)</f>
        <v/>
      </c>
      <c r="L157" s="62">
        <f>IF($J157="",0,$K157*MAX(0,MIN(YEAR($C$3)*12+MONTH($C$3),YEAR($I157)*12+MONTH($I157))-(YEAR($H157)*12+MONTH($H157))+1))</f>
        <v/>
      </c>
      <c r="M157" s="62">
        <f>IF($J157="",0,$K157*MAX(0,MIN(YEAR($C$3)*12+MONTH($C$3)-1,YEAR($I157)*12+MONTH($I157))-(YEAR($H157)*12+MONTH($H157))+1))</f>
        <v/>
      </c>
      <c r="N157" s="62">
        <f>IF(OR($J157="",$B157=""),0,IF(YEAR($B157)*12+MONTH($B157)&lt;=YEAR($C$3)*12+MONTH($C$3),$G157,0))</f>
        <v/>
      </c>
      <c r="O157" s="62">
        <f>IF(OR($J157="",$B157=""),0,IF(YEAR($B157)*12+MONTH($B157)&lt;=YEAR($C$3)*12+MONTH($C$3)-1,$G157,0))</f>
        <v/>
      </c>
      <c r="P157" s="62">
        <f>$M157-$O157</f>
        <v/>
      </c>
      <c r="Q157" s="62">
        <f>($L157-$M157)-($N157-$O157)</f>
        <v/>
      </c>
      <c r="R157" s="62">
        <f>$L157-$N157</f>
        <v/>
      </c>
    </row>
    <row r="158">
      <c r="A158" s="59">
        <f>ROW()-5</f>
        <v/>
      </c>
      <c r="B158" s="60">
        <f>IFERROR(INDEX(tbl_Finance[Date],$A158),"")</f>
        <v/>
      </c>
      <c r="C158" s="61">
        <f>IFERROR(INDEX(tbl_Finance[Xero Invoice No],$A158),"")</f>
        <v/>
      </c>
      <c r="D158" s="61">
        <f>IFERROR(INDEX(tbl_Finance[Client],$A158),"")</f>
        <v/>
      </c>
      <c r="E158" s="61">
        <f>IFERROR(INDEX(tbl_Finance[Job Number],$A158),"")</f>
        <v/>
      </c>
      <c r="F158" s="61">
        <f>IFERROR(INDEX(tbl_Finance[Cost Centre],$A158),"")</f>
        <v/>
      </c>
      <c r="G158" s="62">
        <f>IFERROR(INDEX(tbl_Finance[Ex GST],$A158),"")</f>
        <v/>
      </c>
      <c r="H158" s="60">
        <f>IFERROR(INDEX(tbl_Finance[Defer Start],$A158),"")</f>
        <v/>
      </c>
      <c r="I158" s="60">
        <f>IFERROR(INDEX(tbl_Finance[Defer End],$A158),"")</f>
        <v/>
      </c>
      <c r="J158" s="59">
        <f>IF(OR($H158="",$I158="",$G158=""),"",MAX(1,(YEAR($I158)-YEAR($H158))*12+MONTH($I158)-MONTH($H158)+1))</f>
        <v/>
      </c>
      <c r="K158" s="62">
        <f>IF($J158="","",$G158/$J158)</f>
        <v/>
      </c>
      <c r="L158" s="62">
        <f>IF($J158="",0,$K158*MAX(0,MIN(YEAR($C$3)*12+MONTH($C$3),YEAR($I158)*12+MONTH($I158))-(YEAR($H158)*12+MONTH($H158))+1))</f>
        <v/>
      </c>
      <c r="M158" s="62">
        <f>IF($J158="",0,$K158*MAX(0,MIN(YEAR($C$3)*12+MONTH($C$3)-1,YEAR($I158)*12+MONTH($I158))-(YEAR($H158)*12+MONTH($H158))+1))</f>
        <v/>
      </c>
      <c r="N158" s="62">
        <f>IF(OR($J158="",$B158=""),0,IF(YEAR($B158)*12+MONTH($B158)&lt;=YEAR($C$3)*12+MONTH($C$3),$G158,0))</f>
        <v/>
      </c>
      <c r="O158" s="62">
        <f>IF(OR($J158="",$B158=""),0,IF(YEAR($B158)*12+MONTH($B158)&lt;=YEAR($C$3)*12+MONTH($C$3)-1,$G158,0))</f>
        <v/>
      </c>
      <c r="P158" s="62">
        <f>$M158-$O158</f>
        <v/>
      </c>
      <c r="Q158" s="62">
        <f>($L158-$M158)-($N158-$O158)</f>
        <v/>
      </c>
      <c r="R158" s="62">
        <f>$L158-$N158</f>
        <v/>
      </c>
    </row>
    <row r="159">
      <c r="A159" s="59">
        <f>ROW()-5</f>
        <v/>
      </c>
      <c r="B159" s="60">
        <f>IFERROR(INDEX(tbl_Finance[Date],$A159),"")</f>
        <v/>
      </c>
      <c r="C159" s="61">
        <f>IFERROR(INDEX(tbl_Finance[Xero Invoice No],$A159),"")</f>
        <v/>
      </c>
      <c r="D159" s="61">
        <f>IFERROR(INDEX(tbl_Finance[Client],$A159),"")</f>
        <v/>
      </c>
      <c r="E159" s="61">
        <f>IFERROR(INDEX(tbl_Finance[Job Number],$A159),"")</f>
        <v/>
      </c>
      <c r="F159" s="61">
        <f>IFERROR(INDEX(tbl_Finance[Cost Centre],$A159),"")</f>
        <v/>
      </c>
      <c r="G159" s="62">
        <f>IFERROR(INDEX(tbl_Finance[Ex GST],$A159),"")</f>
        <v/>
      </c>
      <c r="H159" s="60">
        <f>IFERROR(INDEX(tbl_Finance[Defer Start],$A159),"")</f>
        <v/>
      </c>
      <c r="I159" s="60">
        <f>IFERROR(INDEX(tbl_Finance[Defer End],$A159),"")</f>
        <v/>
      </c>
      <c r="J159" s="59">
        <f>IF(OR($H159="",$I159="",$G159=""),"",MAX(1,(YEAR($I159)-YEAR($H159))*12+MONTH($I159)-MONTH($H159)+1))</f>
        <v/>
      </c>
      <c r="K159" s="62">
        <f>IF($J159="","",$G159/$J159)</f>
        <v/>
      </c>
      <c r="L159" s="62">
        <f>IF($J159="",0,$K159*MAX(0,MIN(YEAR($C$3)*12+MONTH($C$3),YEAR($I159)*12+MONTH($I159))-(YEAR($H159)*12+MONTH($H159))+1))</f>
        <v/>
      </c>
      <c r="M159" s="62">
        <f>IF($J159="",0,$K159*MAX(0,MIN(YEAR($C$3)*12+MONTH($C$3)-1,YEAR($I159)*12+MONTH($I159))-(YEAR($H159)*12+MONTH($H159))+1))</f>
        <v/>
      </c>
      <c r="N159" s="62">
        <f>IF(OR($J159="",$B159=""),0,IF(YEAR($B159)*12+MONTH($B159)&lt;=YEAR($C$3)*12+MONTH($C$3),$G159,0))</f>
        <v/>
      </c>
      <c r="O159" s="62">
        <f>IF(OR($J159="",$B159=""),0,IF(YEAR($B159)*12+MONTH($B159)&lt;=YEAR($C$3)*12+MONTH($C$3)-1,$G159,0))</f>
        <v/>
      </c>
      <c r="P159" s="62">
        <f>$M159-$O159</f>
        <v/>
      </c>
      <c r="Q159" s="62">
        <f>($L159-$M159)-($N159-$O159)</f>
        <v/>
      </c>
      <c r="R159" s="62">
        <f>$L159-$N159</f>
        <v/>
      </c>
    </row>
    <row r="160">
      <c r="A160" s="59">
        <f>ROW()-5</f>
        <v/>
      </c>
      <c r="B160" s="60">
        <f>IFERROR(INDEX(tbl_Finance[Date],$A160),"")</f>
        <v/>
      </c>
      <c r="C160" s="61">
        <f>IFERROR(INDEX(tbl_Finance[Xero Invoice No],$A160),"")</f>
        <v/>
      </c>
      <c r="D160" s="61">
        <f>IFERROR(INDEX(tbl_Finance[Client],$A160),"")</f>
        <v/>
      </c>
      <c r="E160" s="61">
        <f>IFERROR(INDEX(tbl_Finance[Job Number],$A160),"")</f>
        <v/>
      </c>
      <c r="F160" s="61">
        <f>IFERROR(INDEX(tbl_Finance[Cost Centre],$A160),"")</f>
        <v/>
      </c>
      <c r="G160" s="62">
        <f>IFERROR(INDEX(tbl_Finance[Ex GST],$A160),"")</f>
        <v/>
      </c>
      <c r="H160" s="60">
        <f>IFERROR(INDEX(tbl_Finance[Defer Start],$A160),"")</f>
        <v/>
      </c>
      <c r="I160" s="60">
        <f>IFERROR(INDEX(tbl_Finance[Defer End],$A160),"")</f>
        <v/>
      </c>
      <c r="J160" s="59">
        <f>IF(OR($H160="",$I160="",$G160=""),"",MAX(1,(YEAR($I160)-YEAR($H160))*12+MONTH($I160)-MONTH($H160)+1))</f>
        <v/>
      </c>
      <c r="K160" s="62">
        <f>IF($J160="","",$G160/$J160)</f>
        <v/>
      </c>
      <c r="L160" s="62">
        <f>IF($J160="",0,$K160*MAX(0,MIN(YEAR($C$3)*12+MONTH($C$3),YEAR($I160)*12+MONTH($I160))-(YEAR($H160)*12+MONTH($H160))+1))</f>
        <v/>
      </c>
      <c r="M160" s="62">
        <f>IF($J160="",0,$K160*MAX(0,MIN(YEAR($C$3)*12+MONTH($C$3)-1,YEAR($I160)*12+MONTH($I160))-(YEAR($H160)*12+MONTH($H160))+1))</f>
        <v/>
      </c>
      <c r="N160" s="62">
        <f>IF(OR($J160="",$B160=""),0,IF(YEAR($B160)*12+MONTH($B160)&lt;=YEAR($C$3)*12+MONTH($C$3),$G160,0))</f>
        <v/>
      </c>
      <c r="O160" s="62">
        <f>IF(OR($J160="",$B160=""),0,IF(YEAR($B160)*12+MONTH($B160)&lt;=YEAR($C$3)*12+MONTH($C$3)-1,$G160,0))</f>
        <v/>
      </c>
      <c r="P160" s="62">
        <f>$M160-$O160</f>
        <v/>
      </c>
      <c r="Q160" s="62">
        <f>($L160-$M160)-($N160-$O160)</f>
        <v/>
      </c>
      <c r="R160" s="62">
        <f>$L160-$N160</f>
        <v/>
      </c>
    </row>
    <row r="161">
      <c r="A161" s="59">
        <f>ROW()-5</f>
        <v/>
      </c>
      <c r="B161" s="60">
        <f>IFERROR(INDEX(tbl_Finance[Date],$A161),"")</f>
        <v/>
      </c>
      <c r="C161" s="61">
        <f>IFERROR(INDEX(tbl_Finance[Xero Invoice No],$A161),"")</f>
        <v/>
      </c>
      <c r="D161" s="61">
        <f>IFERROR(INDEX(tbl_Finance[Client],$A161),"")</f>
        <v/>
      </c>
      <c r="E161" s="61">
        <f>IFERROR(INDEX(tbl_Finance[Job Number],$A161),"")</f>
        <v/>
      </c>
      <c r="F161" s="61">
        <f>IFERROR(INDEX(tbl_Finance[Cost Centre],$A161),"")</f>
        <v/>
      </c>
      <c r="G161" s="62">
        <f>IFERROR(INDEX(tbl_Finance[Ex GST],$A161),"")</f>
        <v/>
      </c>
      <c r="H161" s="60">
        <f>IFERROR(INDEX(tbl_Finance[Defer Start],$A161),"")</f>
        <v/>
      </c>
      <c r="I161" s="60">
        <f>IFERROR(INDEX(tbl_Finance[Defer End],$A161),"")</f>
        <v/>
      </c>
      <c r="J161" s="59">
        <f>IF(OR($H161="",$I161="",$G161=""),"",MAX(1,(YEAR($I161)-YEAR($H161))*12+MONTH($I161)-MONTH($H161)+1))</f>
        <v/>
      </c>
      <c r="K161" s="62">
        <f>IF($J161="","",$G161/$J161)</f>
        <v/>
      </c>
      <c r="L161" s="62">
        <f>IF($J161="",0,$K161*MAX(0,MIN(YEAR($C$3)*12+MONTH($C$3),YEAR($I161)*12+MONTH($I161))-(YEAR($H161)*12+MONTH($H161))+1))</f>
        <v/>
      </c>
      <c r="M161" s="62">
        <f>IF($J161="",0,$K161*MAX(0,MIN(YEAR($C$3)*12+MONTH($C$3)-1,YEAR($I161)*12+MONTH($I161))-(YEAR($H161)*12+MONTH($H161))+1))</f>
        <v/>
      </c>
      <c r="N161" s="62">
        <f>IF(OR($J161="",$B161=""),0,IF(YEAR($B161)*12+MONTH($B161)&lt;=YEAR($C$3)*12+MONTH($C$3),$G161,0))</f>
        <v/>
      </c>
      <c r="O161" s="62">
        <f>IF(OR($J161="",$B161=""),0,IF(YEAR($B161)*12+MONTH($B161)&lt;=YEAR($C$3)*12+MONTH($C$3)-1,$G161,0))</f>
        <v/>
      </c>
      <c r="P161" s="62">
        <f>$M161-$O161</f>
        <v/>
      </c>
      <c r="Q161" s="62">
        <f>($L161-$M161)-($N161-$O161)</f>
        <v/>
      </c>
      <c r="R161" s="62">
        <f>$L161-$N161</f>
        <v/>
      </c>
    </row>
    <row r="162">
      <c r="A162" s="59">
        <f>ROW()-5</f>
        <v/>
      </c>
      <c r="B162" s="60">
        <f>IFERROR(INDEX(tbl_Finance[Date],$A162),"")</f>
        <v/>
      </c>
      <c r="C162" s="61">
        <f>IFERROR(INDEX(tbl_Finance[Xero Invoice No],$A162),"")</f>
        <v/>
      </c>
      <c r="D162" s="61">
        <f>IFERROR(INDEX(tbl_Finance[Client],$A162),"")</f>
        <v/>
      </c>
      <c r="E162" s="61">
        <f>IFERROR(INDEX(tbl_Finance[Job Number],$A162),"")</f>
        <v/>
      </c>
      <c r="F162" s="61">
        <f>IFERROR(INDEX(tbl_Finance[Cost Centre],$A162),"")</f>
        <v/>
      </c>
      <c r="G162" s="62">
        <f>IFERROR(INDEX(tbl_Finance[Ex GST],$A162),"")</f>
        <v/>
      </c>
      <c r="H162" s="60">
        <f>IFERROR(INDEX(tbl_Finance[Defer Start],$A162),"")</f>
        <v/>
      </c>
      <c r="I162" s="60">
        <f>IFERROR(INDEX(tbl_Finance[Defer End],$A162),"")</f>
        <v/>
      </c>
      <c r="J162" s="59">
        <f>IF(OR($H162="",$I162="",$G162=""),"",MAX(1,(YEAR($I162)-YEAR($H162))*12+MONTH($I162)-MONTH($H162)+1))</f>
        <v/>
      </c>
      <c r="K162" s="62">
        <f>IF($J162="","",$G162/$J162)</f>
        <v/>
      </c>
      <c r="L162" s="62">
        <f>IF($J162="",0,$K162*MAX(0,MIN(YEAR($C$3)*12+MONTH($C$3),YEAR($I162)*12+MONTH($I162))-(YEAR($H162)*12+MONTH($H162))+1))</f>
        <v/>
      </c>
      <c r="M162" s="62">
        <f>IF($J162="",0,$K162*MAX(0,MIN(YEAR($C$3)*12+MONTH($C$3)-1,YEAR($I162)*12+MONTH($I162))-(YEAR($H162)*12+MONTH($H162))+1))</f>
        <v/>
      </c>
      <c r="N162" s="62">
        <f>IF(OR($J162="",$B162=""),0,IF(YEAR($B162)*12+MONTH($B162)&lt;=YEAR($C$3)*12+MONTH($C$3),$G162,0))</f>
        <v/>
      </c>
      <c r="O162" s="62">
        <f>IF(OR($J162="",$B162=""),0,IF(YEAR($B162)*12+MONTH($B162)&lt;=YEAR($C$3)*12+MONTH($C$3)-1,$G162,0))</f>
        <v/>
      </c>
      <c r="P162" s="62">
        <f>$M162-$O162</f>
        <v/>
      </c>
      <c r="Q162" s="62">
        <f>($L162-$M162)-($N162-$O162)</f>
        <v/>
      </c>
      <c r="R162" s="62">
        <f>$L162-$N162</f>
        <v/>
      </c>
    </row>
    <row r="163">
      <c r="A163" s="59">
        <f>ROW()-5</f>
        <v/>
      </c>
      <c r="B163" s="60">
        <f>IFERROR(INDEX(tbl_Finance[Date],$A163),"")</f>
        <v/>
      </c>
      <c r="C163" s="61">
        <f>IFERROR(INDEX(tbl_Finance[Xero Invoice No],$A163),"")</f>
        <v/>
      </c>
      <c r="D163" s="61">
        <f>IFERROR(INDEX(tbl_Finance[Client],$A163),"")</f>
        <v/>
      </c>
      <c r="E163" s="61">
        <f>IFERROR(INDEX(tbl_Finance[Job Number],$A163),"")</f>
        <v/>
      </c>
      <c r="F163" s="61">
        <f>IFERROR(INDEX(tbl_Finance[Cost Centre],$A163),"")</f>
        <v/>
      </c>
      <c r="G163" s="62">
        <f>IFERROR(INDEX(tbl_Finance[Ex GST],$A163),"")</f>
        <v/>
      </c>
      <c r="H163" s="60">
        <f>IFERROR(INDEX(tbl_Finance[Defer Start],$A163),"")</f>
        <v/>
      </c>
      <c r="I163" s="60">
        <f>IFERROR(INDEX(tbl_Finance[Defer End],$A163),"")</f>
        <v/>
      </c>
      <c r="J163" s="59">
        <f>IF(OR($H163="",$I163="",$G163=""),"",MAX(1,(YEAR($I163)-YEAR($H163))*12+MONTH($I163)-MONTH($H163)+1))</f>
        <v/>
      </c>
      <c r="K163" s="62">
        <f>IF($J163="","",$G163/$J163)</f>
        <v/>
      </c>
      <c r="L163" s="62">
        <f>IF($J163="",0,$K163*MAX(0,MIN(YEAR($C$3)*12+MONTH($C$3),YEAR($I163)*12+MONTH($I163))-(YEAR($H163)*12+MONTH($H163))+1))</f>
        <v/>
      </c>
      <c r="M163" s="62">
        <f>IF($J163="",0,$K163*MAX(0,MIN(YEAR($C$3)*12+MONTH($C$3)-1,YEAR($I163)*12+MONTH($I163))-(YEAR($H163)*12+MONTH($H163))+1))</f>
        <v/>
      </c>
      <c r="N163" s="62">
        <f>IF(OR($J163="",$B163=""),0,IF(YEAR($B163)*12+MONTH($B163)&lt;=YEAR($C$3)*12+MONTH($C$3),$G163,0))</f>
        <v/>
      </c>
      <c r="O163" s="62">
        <f>IF(OR($J163="",$B163=""),0,IF(YEAR($B163)*12+MONTH($B163)&lt;=YEAR($C$3)*12+MONTH($C$3)-1,$G163,0))</f>
        <v/>
      </c>
      <c r="P163" s="62">
        <f>$M163-$O163</f>
        <v/>
      </c>
      <c r="Q163" s="62">
        <f>($L163-$M163)-($N163-$O163)</f>
        <v/>
      </c>
      <c r="R163" s="62">
        <f>$L163-$N163</f>
        <v/>
      </c>
    </row>
    <row r="164">
      <c r="A164" s="59">
        <f>ROW()-5</f>
        <v/>
      </c>
      <c r="B164" s="60">
        <f>IFERROR(INDEX(tbl_Finance[Date],$A164),"")</f>
        <v/>
      </c>
      <c r="C164" s="61">
        <f>IFERROR(INDEX(tbl_Finance[Xero Invoice No],$A164),"")</f>
        <v/>
      </c>
      <c r="D164" s="61">
        <f>IFERROR(INDEX(tbl_Finance[Client],$A164),"")</f>
        <v/>
      </c>
      <c r="E164" s="61">
        <f>IFERROR(INDEX(tbl_Finance[Job Number],$A164),"")</f>
        <v/>
      </c>
      <c r="F164" s="61">
        <f>IFERROR(INDEX(tbl_Finance[Cost Centre],$A164),"")</f>
        <v/>
      </c>
      <c r="G164" s="62">
        <f>IFERROR(INDEX(tbl_Finance[Ex GST],$A164),"")</f>
        <v/>
      </c>
      <c r="H164" s="60">
        <f>IFERROR(INDEX(tbl_Finance[Defer Start],$A164),"")</f>
        <v/>
      </c>
      <c r="I164" s="60">
        <f>IFERROR(INDEX(tbl_Finance[Defer End],$A164),"")</f>
        <v/>
      </c>
      <c r="J164" s="59">
        <f>IF(OR($H164="",$I164="",$G164=""),"",MAX(1,(YEAR($I164)-YEAR($H164))*12+MONTH($I164)-MONTH($H164)+1))</f>
        <v/>
      </c>
      <c r="K164" s="62">
        <f>IF($J164="","",$G164/$J164)</f>
        <v/>
      </c>
      <c r="L164" s="62">
        <f>IF($J164="",0,$K164*MAX(0,MIN(YEAR($C$3)*12+MONTH($C$3),YEAR($I164)*12+MONTH($I164))-(YEAR($H164)*12+MONTH($H164))+1))</f>
        <v/>
      </c>
      <c r="M164" s="62">
        <f>IF($J164="",0,$K164*MAX(0,MIN(YEAR($C$3)*12+MONTH($C$3)-1,YEAR($I164)*12+MONTH($I164))-(YEAR($H164)*12+MONTH($H164))+1))</f>
        <v/>
      </c>
      <c r="N164" s="62">
        <f>IF(OR($J164="",$B164=""),0,IF(YEAR($B164)*12+MONTH($B164)&lt;=YEAR($C$3)*12+MONTH($C$3),$G164,0))</f>
        <v/>
      </c>
      <c r="O164" s="62">
        <f>IF(OR($J164="",$B164=""),0,IF(YEAR($B164)*12+MONTH($B164)&lt;=YEAR($C$3)*12+MONTH($C$3)-1,$G164,0))</f>
        <v/>
      </c>
      <c r="P164" s="62">
        <f>$M164-$O164</f>
        <v/>
      </c>
      <c r="Q164" s="62">
        <f>($L164-$M164)-($N164-$O164)</f>
        <v/>
      </c>
      <c r="R164" s="62">
        <f>$L164-$N164</f>
        <v/>
      </c>
    </row>
    <row r="165">
      <c r="A165" s="59">
        <f>ROW()-5</f>
        <v/>
      </c>
      <c r="B165" s="60">
        <f>IFERROR(INDEX(tbl_Finance[Date],$A165),"")</f>
        <v/>
      </c>
      <c r="C165" s="61">
        <f>IFERROR(INDEX(tbl_Finance[Xero Invoice No],$A165),"")</f>
        <v/>
      </c>
      <c r="D165" s="61">
        <f>IFERROR(INDEX(tbl_Finance[Client],$A165),"")</f>
        <v/>
      </c>
      <c r="E165" s="61">
        <f>IFERROR(INDEX(tbl_Finance[Job Number],$A165),"")</f>
        <v/>
      </c>
      <c r="F165" s="61">
        <f>IFERROR(INDEX(tbl_Finance[Cost Centre],$A165),"")</f>
        <v/>
      </c>
      <c r="G165" s="62">
        <f>IFERROR(INDEX(tbl_Finance[Ex GST],$A165),"")</f>
        <v/>
      </c>
      <c r="H165" s="60">
        <f>IFERROR(INDEX(tbl_Finance[Defer Start],$A165),"")</f>
        <v/>
      </c>
      <c r="I165" s="60">
        <f>IFERROR(INDEX(tbl_Finance[Defer End],$A165),"")</f>
        <v/>
      </c>
      <c r="J165" s="59">
        <f>IF(OR($H165="",$I165="",$G165=""),"",MAX(1,(YEAR($I165)-YEAR($H165))*12+MONTH($I165)-MONTH($H165)+1))</f>
        <v/>
      </c>
      <c r="K165" s="62">
        <f>IF($J165="","",$G165/$J165)</f>
        <v/>
      </c>
      <c r="L165" s="62">
        <f>IF($J165="",0,$K165*MAX(0,MIN(YEAR($C$3)*12+MONTH($C$3),YEAR($I165)*12+MONTH($I165))-(YEAR($H165)*12+MONTH($H165))+1))</f>
        <v/>
      </c>
      <c r="M165" s="62">
        <f>IF($J165="",0,$K165*MAX(0,MIN(YEAR($C$3)*12+MONTH($C$3)-1,YEAR($I165)*12+MONTH($I165))-(YEAR($H165)*12+MONTH($H165))+1))</f>
        <v/>
      </c>
      <c r="N165" s="62">
        <f>IF(OR($J165="",$B165=""),0,IF(YEAR($B165)*12+MONTH($B165)&lt;=YEAR($C$3)*12+MONTH($C$3),$G165,0))</f>
        <v/>
      </c>
      <c r="O165" s="62">
        <f>IF(OR($J165="",$B165=""),0,IF(YEAR($B165)*12+MONTH($B165)&lt;=YEAR($C$3)*12+MONTH($C$3)-1,$G165,0))</f>
        <v/>
      </c>
      <c r="P165" s="62">
        <f>$M165-$O165</f>
        <v/>
      </c>
      <c r="Q165" s="62">
        <f>($L165-$M165)-($N165-$O165)</f>
        <v/>
      </c>
      <c r="R165" s="62">
        <f>$L165-$N165</f>
        <v/>
      </c>
    </row>
    <row r="166">
      <c r="A166" s="59">
        <f>ROW()-5</f>
        <v/>
      </c>
      <c r="B166" s="60">
        <f>IFERROR(INDEX(tbl_Finance[Date],$A166),"")</f>
        <v/>
      </c>
      <c r="C166" s="61">
        <f>IFERROR(INDEX(tbl_Finance[Xero Invoice No],$A166),"")</f>
        <v/>
      </c>
      <c r="D166" s="61">
        <f>IFERROR(INDEX(tbl_Finance[Client],$A166),"")</f>
        <v/>
      </c>
      <c r="E166" s="61">
        <f>IFERROR(INDEX(tbl_Finance[Job Number],$A166),"")</f>
        <v/>
      </c>
      <c r="F166" s="61">
        <f>IFERROR(INDEX(tbl_Finance[Cost Centre],$A166),"")</f>
        <v/>
      </c>
      <c r="G166" s="62">
        <f>IFERROR(INDEX(tbl_Finance[Ex GST],$A166),"")</f>
        <v/>
      </c>
      <c r="H166" s="60">
        <f>IFERROR(INDEX(tbl_Finance[Defer Start],$A166),"")</f>
        <v/>
      </c>
      <c r="I166" s="60">
        <f>IFERROR(INDEX(tbl_Finance[Defer End],$A166),"")</f>
        <v/>
      </c>
      <c r="J166" s="59">
        <f>IF(OR($H166="",$I166="",$G166=""),"",MAX(1,(YEAR($I166)-YEAR($H166))*12+MONTH($I166)-MONTH($H166)+1))</f>
        <v/>
      </c>
      <c r="K166" s="62">
        <f>IF($J166="","",$G166/$J166)</f>
        <v/>
      </c>
      <c r="L166" s="62">
        <f>IF($J166="",0,$K166*MAX(0,MIN(YEAR($C$3)*12+MONTH($C$3),YEAR($I166)*12+MONTH($I166))-(YEAR($H166)*12+MONTH($H166))+1))</f>
        <v/>
      </c>
      <c r="M166" s="62">
        <f>IF($J166="",0,$K166*MAX(0,MIN(YEAR($C$3)*12+MONTH($C$3)-1,YEAR($I166)*12+MONTH($I166))-(YEAR($H166)*12+MONTH($H166))+1))</f>
        <v/>
      </c>
      <c r="N166" s="62">
        <f>IF(OR($J166="",$B166=""),0,IF(YEAR($B166)*12+MONTH($B166)&lt;=YEAR($C$3)*12+MONTH($C$3),$G166,0))</f>
        <v/>
      </c>
      <c r="O166" s="62">
        <f>IF(OR($J166="",$B166=""),0,IF(YEAR($B166)*12+MONTH($B166)&lt;=YEAR($C$3)*12+MONTH($C$3)-1,$G166,0))</f>
        <v/>
      </c>
      <c r="P166" s="62">
        <f>$M166-$O166</f>
        <v/>
      </c>
      <c r="Q166" s="62">
        <f>($L166-$M166)-($N166-$O166)</f>
        <v/>
      </c>
      <c r="R166" s="62">
        <f>$L166-$N166</f>
        <v/>
      </c>
    </row>
    <row r="167">
      <c r="A167" s="59">
        <f>ROW()-5</f>
        <v/>
      </c>
      <c r="B167" s="60">
        <f>IFERROR(INDEX(tbl_Finance[Date],$A167),"")</f>
        <v/>
      </c>
      <c r="C167" s="61">
        <f>IFERROR(INDEX(tbl_Finance[Xero Invoice No],$A167),"")</f>
        <v/>
      </c>
      <c r="D167" s="61">
        <f>IFERROR(INDEX(tbl_Finance[Client],$A167),"")</f>
        <v/>
      </c>
      <c r="E167" s="61">
        <f>IFERROR(INDEX(tbl_Finance[Job Number],$A167),"")</f>
        <v/>
      </c>
      <c r="F167" s="61">
        <f>IFERROR(INDEX(tbl_Finance[Cost Centre],$A167),"")</f>
        <v/>
      </c>
      <c r="G167" s="62">
        <f>IFERROR(INDEX(tbl_Finance[Ex GST],$A167),"")</f>
        <v/>
      </c>
      <c r="H167" s="60">
        <f>IFERROR(INDEX(tbl_Finance[Defer Start],$A167),"")</f>
        <v/>
      </c>
      <c r="I167" s="60">
        <f>IFERROR(INDEX(tbl_Finance[Defer End],$A167),"")</f>
        <v/>
      </c>
      <c r="J167" s="59">
        <f>IF(OR($H167="",$I167="",$G167=""),"",MAX(1,(YEAR($I167)-YEAR($H167))*12+MONTH($I167)-MONTH($H167)+1))</f>
        <v/>
      </c>
      <c r="K167" s="62">
        <f>IF($J167="","",$G167/$J167)</f>
        <v/>
      </c>
      <c r="L167" s="62">
        <f>IF($J167="",0,$K167*MAX(0,MIN(YEAR($C$3)*12+MONTH($C$3),YEAR($I167)*12+MONTH($I167))-(YEAR($H167)*12+MONTH($H167))+1))</f>
        <v/>
      </c>
      <c r="M167" s="62">
        <f>IF($J167="",0,$K167*MAX(0,MIN(YEAR($C$3)*12+MONTH($C$3)-1,YEAR($I167)*12+MONTH($I167))-(YEAR($H167)*12+MONTH($H167))+1))</f>
        <v/>
      </c>
      <c r="N167" s="62">
        <f>IF(OR($J167="",$B167=""),0,IF(YEAR($B167)*12+MONTH($B167)&lt;=YEAR($C$3)*12+MONTH($C$3),$G167,0))</f>
        <v/>
      </c>
      <c r="O167" s="62">
        <f>IF(OR($J167="",$B167=""),0,IF(YEAR($B167)*12+MONTH($B167)&lt;=YEAR($C$3)*12+MONTH($C$3)-1,$G167,0))</f>
        <v/>
      </c>
      <c r="P167" s="62">
        <f>$M167-$O167</f>
        <v/>
      </c>
      <c r="Q167" s="62">
        <f>($L167-$M167)-($N167-$O167)</f>
        <v/>
      </c>
      <c r="R167" s="62">
        <f>$L167-$N167</f>
        <v/>
      </c>
    </row>
    <row r="168">
      <c r="A168" s="59">
        <f>ROW()-5</f>
        <v/>
      </c>
      <c r="B168" s="60">
        <f>IFERROR(INDEX(tbl_Finance[Date],$A168),"")</f>
        <v/>
      </c>
      <c r="C168" s="61">
        <f>IFERROR(INDEX(tbl_Finance[Xero Invoice No],$A168),"")</f>
        <v/>
      </c>
      <c r="D168" s="61">
        <f>IFERROR(INDEX(tbl_Finance[Client],$A168),"")</f>
        <v/>
      </c>
      <c r="E168" s="61">
        <f>IFERROR(INDEX(tbl_Finance[Job Number],$A168),"")</f>
        <v/>
      </c>
      <c r="F168" s="61">
        <f>IFERROR(INDEX(tbl_Finance[Cost Centre],$A168),"")</f>
        <v/>
      </c>
      <c r="G168" s="62">
        <f>IFERROR(INDEX(tbl_Finance[Ex GST],$A168),"")</f>
        <v/>
      </c>
      <c r="H168" s="60">
        <f>IFERROR(INDEX(tbl_Finance[Defer Start],$A168),"")</f>
        <v/>
      </c>
      <c r="I168" s="60">
        <f>IFERROR(INDEX(tbl_Finance[Defer End],$A168),"")</f>
        <v/>
      </c>
      <c r="J168" s="59">
        <f>IF(OR($H168="",$I168="",$G168=""),"",MAX(1,(YEAR($I168)-YEAR($H168))*12+MONTH($I168)-MONTH($H168)+1))</f>
        <v/>
      </c>
      <c r="K168" s="62">
        <f>IF($J168="","",$G168/$J168)</f>
        <v/>
      </c>
      <c r="L168" s="62">
        <f>IF($J168="",0,$K168*MAX(0,MIN(YEAR($C$3)*12+MONTH($C$3),YEAR($I168)*12+MONTH($I168))-(YEAR($H168)*12+MONTH($H168))+1))</f>
        <v/>
      </c>
      <c r="M168" s="62">
        <f>IF($J168="",0,$K168*MAX(0,MIN(YEAR($C$3)*12+MONTH($C$3)-1,YEAR($I168)*12+MONTH($I168))-(YEAR($H168)*12+MONTH($H168))+1))</f>
        <v/>
      </c>
      <c r="N168" s="62">
        <f>IF(OR($J168="",$B168=""),0,IF(YEAR($B168)*12+MONTH($B168)&lt;=YEAR($C$3)*12+MONTH($C$3),$G168,0))</f>
        <v/>
      </c>
      <c r="O168" s="62">
        <f>IF(OR($J168="",$B168=""),0,IF(YEAR($B168)*12+MONTH($B168)&lt;=YEAR($C$3)*12+MONTH($C$3)-1,$G168,0))</f>
        <v/>
      </c>
      <c r="P168" s="62">
        <f>$M168-$O168</f>
        <v/>
      </c>
      <c r="Q168" s="62">
        <f>($L168-$M168)-($N168-$O168)</f>
        <v/>
      </c>
      <c r="R168" s="62">
        <f>$L168-$N168</f>
        <v/>
      </c>
    </row>
    <row r="169">
      <c r="A169" s="59">
        <f>ROW()-5</f>
        <v/>
      </c>
      <c r="B169" s="60">
        <f>IFERROR(INDEX(tbl_Finance[Date],$A169),"")</f>
        <v/>
      </c>
      <c r="C169" s="61">
        <f>IFERROR(INDEX(tbl_Finance[Xero Invoice No],$A169),"")</f>
        <v/>
      </c>
      <c r="D169" s="61">
        <f>IFERROR(INDEX(tbl_Finance[Client],$A169),"")</f>
        <v/>
      </c>
      <c r="E169" s="61">
        <f>IFERROR(INDEX(tbl_Finance[Job Number],$A169),"")</f>
        <v/>
      </c>
      <c r="F169" s="61">
        <f>IFERROR(INDEX(tbl_Finance[Cost Centre],$A169),"")</f>
        <v/>
      </c>
      <c r="G169" s="62">
        <f>IFERROR(INDEX(tbl_Finance[Ex GST],$A169),"")</f>
        <v/>
      </c>
      <c r="H169" s="60">
        <f>IFERROR(INDEX(tbl_Finance[Defer Start],$A169),"")</f>
        <v/>
      </c>
      <c r="I169" s="60">
        <f>IFERROR(INDEX(tbl_Finance[Defer End],$A169),"")</f>
        <v/>
      </c>
      <c r="J169" s="59">
        <f>IF(OR($H169="",$I169="",$G169=""),"",MAX(1,(YEAR($I169)-YEAR($H169))*12+MONTH($I169)-MONTH($H169)+1))</f>
        <v/>
      </c>
      <c r="K169" s="62">
        <f>IF($J169="","",$G169/$J169)</f>
        <v/>
      </c>
      <c r="L169" s="62">
        <f>IF($J169="",0,$K169*MAX(0,MIN(YEAR($C$3)*12+MONTH($C$3),YEAR($I169)*12+MONTH($I169))-(YEAR($H169)*12+MONTH($H169))+1))</f>
        <v/>
      </c>
      <c r="M169" s="62">
        <f>IF($J169="",0,$K169*MAX(0,MIN(YEAR($C$3)*12+MONTH($C$3)-1,YEAR($I169)*12+MONTH($I169))-(YEAR($H169)*12+MONTH($H169))+1))</f>
        <v/>
      </c>
      <c r="N169" s="62">
        <f>IF(OR($J169="",$B169=""),0,IF(YEAR($B169)*12+MONTH($B169)&lt;=YEAR($C$3)*12+MONTH($C$3),$G169,0))</f>
        <v/>
      </c>
      <c r="O169" s="62">
        <f>IF(OR($J169="",$B169=""),0,IF(YEAR($B169)*12+MONTH($B169)&lt;=YEAR($C$3)*12+MONTH($C$3)-1,$G169,0))</f>
        <v/>
      </c>
      <c r="P169" s="62">
        <f>$M169-$O169</f>
        <v/>
      </c>
      <c r="Q169" s="62">
        <f>($L169-$M169)-($N169-$O169)</f>
        <v/>
      </c>
      <c r="R169" s="62">
        <f>$L169-$N169</f>
        <v/>
      </c>
    </row>
    <row r="170">
      <c r="A170" s="59">
        <f>ROW()-5</f>
        <v/>
      </c>
      <c r="B170" s="60">
        <f>IFERROR(INDEX(tbl_Finance[Date],$A170),"")</f>
        <v/>
      </c>
      <c r="C170" s="61">
        <f>IFERROR(INDEX(tbl_Finance[Xero Invoice No],$A170),"")</f>
        <v/>
      </c>
      <c r="D170" s="61">
        <f>IFERROR(INDEX(tbl_Finance[Client],$A170),"")</f>
        <v/>
      </c>
      <c r="E170" s="61">
        <f>IFERROR(INDEX(tbl_Finance[Job Number],$A170),"")</f>
        <v/>
      </c>
      <c r="F170" s="61">
        <f>IFERROR(INDEX(tbl_Finance[Cost Centre],$A170),"")</f>
        <v/>
      </c>
      <c r="G170" s="62">
        <f>IFERROR(INDEX(tbl_Finance[Ex GST],$A170),"")</f>
        <v/>
      </c>
      <c r="H170" s="60">
        <f>IFERROR(INDEX(tbl_Finance[Defer Start],$A170),"")</f>
        <v/>
      </c>
      <c r="I170" s="60">
        <f>IFERROR(INDEX(tbl_Finance[Defer End],$A170),"")</f>
        <v/>
      </c>
      <c r="J170" s="59">
        <f>IF(OR($H170="",$I170="",$G170=""),"",MAX(1,(YEAR($I170)-YEAR($H170))*12+MONTH($I170)-MONTH($H170)+1))</f>
        <v/>
      </c>
      <c r="K170" s="62">
        <f>IF($J170="","",$G170/$J170)</f>
        <v/>
      </c>
      <c r="L170" s="62">
        <f>IF($J170="",0,$K170*MAX(0,MIN(YEAR($C$3)*12+MONTH($C$3),YEAR($I170)*12+MONTH($I170))-(YEAR($H170)*12+MONTH($H170))+1))</f>
        <v/>
      </c>
      <c r="M170" s="62">
        <f>IF($J170="",0,$K170*MAX(0,MIN(YEAR($C$3)*12+MONTH($C$3)-1,YEAR($I170)*12+MONTH($I170))-(YEAR($H170)*12+MONTH($H170))+1))</f>
        <v/>
      </c>
      <c r="N170" s="62">
        <f>IF(OR($J170="",$B170=""),0,IF(YEAR($B170)*12+MONTH($B170)&lt;=YEAR($C$3)*12+MONTH($C$3),$G170,0))</f>
        <v/>
      </c>
      <c r="O170" s="62">
        <f>IF(OR($J170="",$B170=""),0,IF(YEAR($B170)*12+MONTH($B170)&lt;=YEAR($C$3)*12+MONTH($C$3)-1,$G170,0))</f>
        <v/>
      </c>
      <c r="P170" s="62">
        <f>$M170-$O170</f>
        <v/>
      </c>
      <c r="Q170" s="62">
        <f>($L170-$M170)-($N170-$O170)</f>
        <v/>
      </c>
      <c r="R170" s="62">
        <f>$L170-$N170</f>
        <v/>
      </c>
    </row>
    <row r="171">
      <c r="A171" s="59">
        <f>ROW()-5</f>
        <v/>
      </c>
      <c r="B171" s="60">
        <f>IFERROR(INDEX(tbl_Finance[Date],$A171),"")</f>
        <v/>
      </c>
      <c r="C171" s="61">
        <f>IFERROR(INDEX(tbl_Finance[Xero Invoice No],$A171),"")</f>
        <v/>
      </c>
      <c r="D171" s="61">
        <f>IFERROR(INDEX(tbl_Finance[Client],$A171),"")</f>
        <v/>
      </c>
      <c r="E171" s="61">
        <f>IFERROR(INDEX(tbl_Finance[Job Number],$A171),"")</f>
        <v/>
      </c>
      <c r="F171" s="61">
        <f>IFERROR(INDEX(tbl_Finance[Cost Centre],$A171),"")</f>
        <v/>
      </c>
      <c r="G171" s="62">
        <f>IFERROR(INDEX(tbl_Finance[Ex GST],$A171),"")</f>
        <v/>
      </c>
      <c r="H171" s="60">
        <f>IFERROR(INDEX(tbl_Finance[Defer Start],$A171),"")</f>
        <v/>
      </c>
      <c r="I171" s="60">
        <f>IFERROR(INDEX(tbl_Finance[Defer End],$A171),"")</f>
        <v/>
      </c>
      <c r="J171" s="59">
        <f>IF(OR($H171="",$I171="",$G171=""),"",MAX(1,(YEAR($I171)-YEAR($H171))*12+MONTH($I171)-MONTH($H171)+1))</f>
        <v/>
      </c>
      <c r="K171" s="62">
        <f>IF($J171="","",$G171/$J171)</f>
        <v/>
      </c>
      <c r="L171" s="62">
        <f>IF($J171="",0,$K171*MAX(0,MIN(YEAR($C$3)*12+MONTH($C$3),YEAR($I171)*12+MONTH($I171))-(YEAR($H171)*12+MONTH($H171))+1))</f>
        <v/>
      </c>
      <c r="M171" s="62">
        <f>IF($J171="",0,$K171*MAX(0,MIN(YEAR($C$3)*12+MONTH($C$3)-1,YEAR($I171)*12+MONTH($I171))-(YEAR($H171)*12+MONTH($H171))+1))</f>
        <v/>
      </c>
      <c r="N171" s="62">
        <f>IF(OR($J171="",$B171=""),0,IF(YEAR($B171)*12+MONTH($B171)&lt;=YEAR($C$3)*12+MONTH($C$3),$G171,0))</f>
        <v/>
      </c>
      <c r="O171" s="62">
        <f>IF(OR($J171="",$B171=""),0,IF(YEAR($B171)*12+MONTH($B171)&lt;=YEAR($C$3)*12+MONTH($C$3)-1,$G171,0))</f>
        <v/>
      </c>
      <c r="P171" s="62">
        <f>$M171-$O171</f>
        <v/>
      </c>
      <c r="Q171" s="62">
        <f>($L171-$M171)-($N171-$O171)</f>
        <v/>
      </c>
      <c r="R171" s="62">
        <f>$L171-$N171</f>
        <v/>
      </c>
    </row>
    <row r="172">
      <c r="A172" s="59">
        <f>ROW()-5</f>
        <v/>
      </c>
      <c r="B172" s="60">
        <f>IFERROR(INDEX(tbl_Finance[Date],$A172),"")</f>
        <v/>
      </c>
      <c r="C172" s="61">
        <f>IFERROR(INDEX(tbl_Finance[Xero Invoice No],$A172),"")</f>
        <v/>
      </c>
      <c r="D172" s="61">
        <f>IFERROR(INDEX(tbl_Finance[Client],$A172),"")</f>
        <v/>
      </c>
      <c r="E172" s="61">
        <f>IFERROR(INDEX(tbl_Finance[Job Number],$A172),"")</f>
        <v/>
      </c>
      <c r="F172" s="61">
        <f>IFERROR(INDEX(tbl_Finance[Cost Centre],$A172),"")</f>
        <v/>
      </c>
      <c r="G172" s="62">
        <f>IFERROR(INDEX(tbl_Finance[Ex GST],$A172),"")</f>
        <v/>
      </c>
      <c r="H172" s="60">
        <f>IFERROR(INDEX(tbl_Finance[Defer Start],$A172),"")</f>
        <v/>
      </c>
      <c r="I172" s="60">
        <f>IFERROR(INDEX(tbl_Finance[Defer End],$A172),"")</f>
        <v/>
      </c>
      <c r="J172" s="59">
        <f>IF(OR($H172="",$I172="",$G172=""),"",MAX(1,(YEAR($I172)-YEAR($H172))*12+MONTH($I172)-MONTH($H172)+1))</f>
        <v/>
      </c>
      <c r="K172" s="62">
        <f>IF($J172="","",$G172/$J172)</f>
        <v/>
      </c>
      <c r="L172" s="62">
        <f>IF($J172="",0,$K172*MAX(0,MIN(YEAR($C$3)*12+MONTH($C$3),YEAR($I172)*12+MONTH($I172))-(YEAR($H172)*12+MONTH($H172))+1))</f>
        <v/>
      </c>
      <c r="M172" s="62">
        <f>IF($J172="",0,$K172*MAX(0,MIN(YEAR($C$3)*12+MONTH($C$3)-1,YEAR($I172)*12+MONTH($I172))-(YEAR($H172)*12+MONTH($H172))+1))</f>
        <v/>
      </c>
      <c r="N172" s="62">
        <f>IF(OR($J172="",$B172=""),0,IF(YEAR($B172)*12+MONTH($B172)&lt;=YEAR($C$3)*12+MONTH($C$3),$G172,0))</f>
        <v/>
      </c>
      <c r="O172" s="62">
        <f>IF(OR($J172="",$B172=""),0,IF(YEAR($B172)*12+MONTH($B172)&lt;=YEAR($C$3)*12+MONTH($C$3)-1,$G172,0))</f>
        <v/>
      </c>
      <c r="P172" s="62">
        <f>$M172-$O172</f>
        <v/>
      </c>
      <c r="Q172" s="62">
        <f>($L172-$M172)-($N172-$O172)</f>
        <v/>
      </c>
      <c r="R172" s="62">
        <f>$L172-$N172</f>
        <v/>
      </c>
    </row>
    <row r="173">
      <c r="A173" s="59">
        <f>ROW()-5</f>
        <v/>
      </c>
      <c r="B173" s="60">
        <f>IFERROR(INDEX(tbl_Finance[Date],$A173),"")</f>
        <v/>
      </c>
      <c r="C173" s="61">
        <f>IFERROR(INDEX(tbl_Finance[Xero Invoice No],$A173),"")</f>
        <v/>
      </c>
      <c r="D173" s="61">
        <f>IFERROR(INDEX(tbl_Finance[Client],$A173),"")</f>
        <v/>
      </c>
      <c r="E173" s="61">
        <f>IFERROR(INDEX(tbl_Finance[Job Number],$A173),"")</f>
        <v/>
      </c>
      <c r="F173" s="61">
        <f>IFERROR(INDEX(tbl_Finance[Cost Centre],$A173),"")</f>
        <v/>
      </c>
      <c r="G173" s="62">
        <f>IFERROR(INDEX(tbl_Finance[Ex GST],$A173),"")</f>
        <v/>
      </c>
      <c r="H173" s="60">
        <f>IFERROR(INDEX(tbl_Finance[Defer Start],$A173),"")</f>
        <v/>
      </c>
      <c r="I173" s="60">
        <f>IFERROR(INDEX(tbl_Finance[Defer End],$A173),"")</f>
        <v/>
      </c>
      <c r="J173" s="59">
        <f>IF(OR($H173="",$I173="",$G173=""),"",MAX(1,(YEAR($I173)-YEAR($H173))*12+MONTH($I173)-MONTH($H173)+1))</f>
        <v/>
      </c>
      <c r="K173" s="62">
        <f>IF($J173="","",$G173/$J173)</f>
        <v/>
      </c>
      <c r="L173" s="62">
        <f>IF($J173="",0,$K173*MAX(0,MIN(YEAR($C$3)*12+MONTH($C$3),YEAR($I173)*12+MONTH($I173))-(YEAR($H173)*12+MONTH($H173))+1))</f>
        <v/>
      </c>
      <c r="M173" s="62">
        <f>IF($J173="",0,$K173*MAX(0,MIN(YEAR($C$3)*12+MONTH($C$3)-1,YEAR($I173)*12+MONTH($I173))-(YEAR($H173)*12+MONTH($H173))+1))</f>
        <v/>
      </c>
      <c r="N173" s="62">
        <f>IF(OR($J173="",$B173=""),0,IF(YEAR($B173)*12+MONTH($B173)&lt;=YEAR($C$3)*12+MONTH($C$3),$G173,0))</f>
        <v/>
      </c>
      <c r="O173" s="62">
        <f>IF(OR($J173="",$B173=""),0,IF(YEAR($B173)*12+MONTH($B173)&lt;=YEAR($C$3)*12+MONTH($C$3)-1,$G173,0))</f>
        <v/>
      </c>
      <c r="P173" s="62">
        <f>$M173-$O173</f>
        <v/>
      </c>
      <c r="Q173" s="62">
        <f>($L173-$M173)-($N173-$O173)</f>
        <v/>
      </c>
      <c r="R173" s="62">
        <f>$L173-$N173</f>
        <v/>
      </c>
    </row>
    <row r="174">
      <c r="A174" s="59">
        <f>ROW()-5</f>
        <v/>
      </c>
      <c r="B174" s="60">
        <f>IFERROR(INDEX(tbl_Finance[Date],$A174),"")</f>
        <v/>
      </c>
      <c r="C174" s="61">
        <f>IFERROR(INDEX(tbl_Finance[Xero Invoice No],$A174),"")</f>
        <v/>
      </c>
      <c r="D174" s="61">
        <f>IFERROR(INDEX(tbl_Finance[Client],$A174),"")</f>
        <v/>
      </c>
      <c r="E174" s="61">
        <f>IFERROR(INDEX(tbl_Finance[Job Number],$A174),"")</f>
        <v/>
      </c>
      <c r="F174" s="61">
        <f>IFERROR(INDEX(tbl_Finance[Cost Centre],$A174),"")</f>
        <v/>
      </c>
      <c r="G174" s="62">
        <f>IFERROR(INDEX(tbl_Finance[Ex GST],$A174),"")</f>
        <v/>
      </c>
      <c r="H174" s="60">
        <f>IFERROR(INDEX(tbl_Finance[Defer Start],$A174),"")</f>
        <v/>
      </c>
      <c r="I174" s="60">
        <f>IFERROR(INDEX(tbl_Finance[Defer End],$A174),"")</f>
        <v/>
      </c>
      <c r="J174" s="59">
        <f>IF(OR($H174="",$I174="",$G174=""),"",MAX(1,(YEAR($I174)-YEAR($H174))*12+MONTH($I174)-MONTH($H174)+1))</f>
        <v/>
      </c>
      <c r="K174" s="62">
        <f>IF($J174="","",$G174/$J174)</f>
        <v/>
      </c>
      <c r="L174" s="62">
        <f>IF($J174="",0,$K174*MAX(0,MIN(YEAR($C$3)*12+MONTH($C$3),YEAR($I174)*12+MONTH($I174))-(YEAR($H174)*12+MONTH($H174))+1))</f>
        <v/>
      </c>
      <c r="M174" s="62">
        <f>IF($J174="",0,$K174*MAX(0,MIN(YEAR($C$3)*12+MONTH($C$3)-1,YEAR($I174)*12+MONTH($I174))-(YEAR($H174)*12+MONTH($H174))+1))</f>
        <v/>
      </c>
      <c r="N174" s="62">
        <f>IF(OR($J174="",$B174=""),0,IF(YEAR($B174)*12+MONTH($B174)&lt;=YEAR($C$3)*12+MONTH($C$3),$G174,0))</f>
        <v/>
      </c>
      <c r="O174" s="62">
        <f>IF(OR($J174="",$B174=""),0,IF(YEAR($B174)*12+MONTH($B174)&lt;=YEAR($C$3)*12+MONTH($C$3)-1,$G174,0))</f>
        <v/>
      </c>
      <c r="P174" s="62">
        <f>$M174-$O174</f>
        <v/>
      </c>
      <c r="Q174" s="62">
        <f>($L174-$M174)-($N174-$O174)</f>
        <v/>
      </c>
      <c r="R174" s="62">
        <f>$L174-$N174</f>
        <v/>
      </c>
    </row>
    <row r="175">
      <c r="A175" s="59">
        <f>ROW()-5</f>
        <v/>
      </c>
      <c r="B175" s="60">
        <f>IFERROR(INDEX(tbl_Finance[Date],$A175),"")</f>
        <v/>
      </c>
      <c r="C175" s="61">
        <f>IFERROR(INDEX(tbl_Finance[Xero Invoice No],$A175),"")</f>
        <v/>
      </c>
      <c r="D175" s="61">
        <f>IFERROR(INDEX(tbl_Finance[Client],$A175),"")</f>
        <v/>
      </c>
      <c r="E175" s="61">
        <f>IFERROR(INDEX(tbl_Finance[Job Number],$A175),"")</f>
        <v/>
      </c>
      <c r="F175" s="61">
        <f>IFERROR(INDEX(tbl_Finance[Cost Centre],$A175),"")</f>
        <v/>
      </c>
      <c r="G175" s="62">
        <f>IFERROR(INDEX(tbl_Finance[Ex GST],$A175),"")</f>
        <v/>
      </c>
      <c r="H175" s="60">
        <f>IFERROR(INDEX(tbl_Finance[Defer Start],$A175),"")</f>
        <v/>
      </c>
      <c r="I175" s="60">
        <f>IFERROR(INDEX(tbl_Finance[Defer End],$A175),"")</f>
        <v/>
      </c>
      <c r="J175" s="59">
        <f>IF(OR($H175="",$I175="",$G175=""),"",MAX(1,(YEAR($I175)-YEAR($H175))*12+MONTH($I175)-MONTH($H175)+1))</f>
        <v/>
      </c>
      <c r="K175" s="62">
        <f>IF($J175="","",$G175/$J175)</f>
        <v/>
      </c>
      <c r="L175" s="62">
        <f>IF($J175="",0,$K175*MAX(0,MIN(YEAR($C$3)*12+MONTH($C$3),YEAR($I175)*12+MONTH($I175))-(YEAR($H175)*12+MONTH($H175))+1))</f>
        <v/>
      </c>
      <c r="M175" s="62">
        <f>IF($J175="",0,$K175*MAX(0,MIN(YEAR($C$3)*12+MONTH($C$3)-1,YEAR($I175)*12+MONTH($I175))-(YEAR($H175)*12+MONTH($H175))+1))</f>
        <v/>
      </c>
      <c r="N175" s="62">
        <f>IF(OR($J175="",$B175=""),0,IF(YEAR($B175)*12+MONTH($B175)&lt;=YEAR($C$3)*12+MONTH($C$3),$G175,0))</f>
        <v/>
      </c>
      <c r="O175" s="62">
        <f>IF(OR($J175="",$B175=""),0,IF(YEAR($B175)*12+MONTH($B175)&lt;=YEAR($C$3)*12+MONTH($C$3)-1,$G175,0))</f>
        <v/>
      </c>
      <c r="P175" s="62">
        <f>$M175-$O175</f>
        <v/>
      </c>
      <c r="Q175" s="62">
        <f>($L175-$M175)-($N175-$O175)</f>
        <v/>
      </c>
      <c r="R175" s="62">
        <f>$L175-$N175</f>
        <v/>
      </c>
    </row>
    <row r="176">
      <c r="A176" s="59">
        <f>ROW()-5</f>
        <v/>
      </c>
      <c r="B176" s="60">
        <f>IFERROR(INDEX(tbl_Finance[Date],$A176),"")</f>
        <v/>
      </c>
      <c r="C176" s="61">
        <f>IFERROR(INDEX(tbl_Finance[Xero Invoice No],$A176),"")</f>
        <v/>
      </c>
      <c r="D176" s="61">
        <f>IFERROR(INDEX(tbl_Finance[Client],$A176),"")</f>
        <v/>
      </c>
      <c r="E176" s="61">
        <f>IFERROR(INDEX(tbl_Finance[Job Number],$A176),"")</f>
        <v/>
      </c>
      <c r="F176" s="61">
        <f>IFERROR(INDEX(tbl_Finance[Cost Centre],$A176),"")</f>
        <v/>
      </c>
      <c r="G176" s="62">
        <f>IFERROR(INDEX(tbl_Finance[Ex GST],$A176),"")</f>
        <v/>
      </c>
      <c r="H176" s="60">
        <f>IFERROR(INDEX(tbl_Finance[Defer Start],$A176),"")</f>
        <v/>
      </c>
      <c r="I176" s="60">
        <f>IFERROR(INDEX(tbl_Finance[Defer End],$A176),"")</f>
        <v/>
      </c>
      <c r="J176" s="59">
        <f>IF(OR($H176="",$I176="",$G176=""),"",MAX(1,(YEAR($I176)-YEAR($H176))*12+MONTH($I176)-MONTH($H176)+1))</f>
        <v/>
      </c>
      <c r="K176" s="62">
        <f>IF($J176="","",$G176/$J176)</f>
        <v/>
      </c>
      <c r="L176" s="62">
        <f>IF($J176="",0,$K176*MAX(0,MIN(YEAR($C$3)*12+MONTH($C$3),YEAR($I176)*12+MONTH($I176))-(YEAR($H176)*12+MONTH($H176))+1))</f>
        <v/>
      </c>
      <c r="M176" s="62">
        <f>IF($J176="",0,$K176*MAX(0,MIN(YEAR($C$3)*12+MONTH($C$3)-1,YEAR($I176)*12+MONTH($I176))-(YEAR($H176)*12+MONTH($H176))+1))</f>
        <v/>
      </c>
      <c r="N176" s="62">
        <f>IF(OR($J176="",$B176=""),0,IF(YEAR($B176)*12+MONTH($B176)&lt;=YEAR($C$3)*12+MONTH($C$3),$G176,0))</f>
        <v/>
      </c>
      <c r="O176" s="62">
        <f>IF(OR($J176="",$B176=""),0,IF(YEAR($B176)*12+MONTH($B176)&lt;=YEAR($C$3)*12+MONTH($C$3)-1,$G176,0))</f>
        <v/>
      </c>
      <c r="P176" s="62">
        <f>$M176-$O176</f>
        <v/>
      </c>
      <c r="Q176" s="62">
        <f>($L176-$M176)-($N176-$O176)</f>
        <v/>
      </c>
      <c r="R176" s="62">
        <f>$L176-$N176</f>
        <v/>
      </c>
    </row>
    <row r="177">
      <c r="A177" s="59">
        <f>ROW()-5</f>
        <v/>
      </c>
      <c r="B177" s="60">
        <f>IFERROR(INDEX(tbl_Finance[Date],$A177),"")</f>
        <v/>
      </c>
      <c r="C177" s="61">
        <f>IFERROR(INDEX(tbl_Finance[Xero Invoice No],$A177),"")</f>
        <v/>
      </c>
      <c r="D177" s="61">
        <f>IFERROR(INDEX(tbl_Finance[Client],$A177),"")</f>
        <v/>
      </c>
      <c r="E177" s="61">
        <f>IFERROR(INDEX(tbl_Finance[Job Number],$A177),"")</f>
        <v/>
      </c>
      <c r="F177" s="61">
        <f>IFERROR(INDEX(tbl_Finance[Cost Centre],$A177),"")</f>
        <v/>
      </c>
      <c r="G177" s="62">
        <f>IFERROR(INDEX(tbl_Finance[Ex GST],$A177),"")</f>
        <v/>
      </c>
      <c r="H177" s="60">
        <f>IFERROR(INDEX(tbl_Finance[Defer Start],$A177),"")</f>
        <v/>
      </c>
      <c r="I177" s="60">
        <f>IFERROR(INDEX(tbl_Finance[Defer End],$A177),"")</f>
        <v/>
      </c>
      <c r="J177" s="59">
        <f>IF(OR($H177="",$I177="",$G177=""),"",MAX(1,(YEAR($I177)-YEAR($H177))*12+MONTH($I177)-MONTH($H177)+1))</f>
        <v/>
      </c>
      <c r="K177" s="62">
        <f>IF($J177="","",$G177/$J177)</f>
        <v/>
      </c>
      <c r="L177" s="62">
        <f>IF($J177="",0,$K177*MAX(0,MIN(YEAR($C$3)*12+MONTH($C$3),YEAR($I177)*12+MONTH($I177))-(YEAR($H177)*12+MONTH($H177))+1))</f>
        <v/>
      </c>
      <c r="M177" s="62">
        <f>IF($J177="",0,$K177*MAX(0,MIN(YEAR($C$3)*12+MONTH($C$3)-1,YEAR($I177)*12+MONTH($I177))-(YEAR($H177)*12+MONTH($H177))+1))</f>
        <v/>
      </c>
      <c r="N177" s="62">
        <f>IF(OR($J177="",$B177=""),0,IF(YEAR($B177)*12+MONTH($B177)&lt;=YEAR($C$3)*12+MONTH($C$3),$G177,0))</f>
        <v/>
      </c>
      <c r="O177" s="62">
        <f>IF(OR($J177="",$B177=""),0,IF(YEAR($B177)*12+MONTH($B177)&lt;=YEAR($C$3)*12+MONTH($C$3)-1,$G177,0))</f>
        <v/>
      </c>
      <c r="P177" s="62">
        <f>$M177-$O177</f>
        <v/>
      </c>
      <c r="Q177" s="62">
        <f>($L177-$M177)-($N177-$O177)</f>
        <v/>
      </c>
      <c r="R177" s="62">
        <f>$L177-$N177</f>
        <v/>
      </c>
    </row>
    <row r="178">
      <c r="A178" s="59">
        <f>ROW()-5</f>
        <v/>
      </c>
      <c r="B178" s="60">
        <f>IFERROR(INDEX(tbl_Finance[Date],$A178),"")</f>
        <v/>
      </c>
      <c r="C178" s="61">
        <f>IFERROR(INDEX(tbl_Finance[Xero Invoice No],$A178),"")</f>
        <v/>
      </c>
      <c r="D178" s="61">
        <f>IFERROR(INDEX(tbl_Finance[Client],$A178),"")</f>
        <v/>
      </c>
      <c r="E178" s="61">
        <f>IFERROR(INDEX(tbl_Finance[Job Number],$A178),"")</f>
        <v/>
      </c>
      <c r="F178" s="61">
        <f>IFERROR(INDEX(tbl_Finance[Cost Centre],$A178),"")</f>
        <v/>
      </c>
      <c r="G178" s="62">
        <f>IFERROR(INDEX(tbl_Finance[Ex GST],$A178),"")</f>
        <v/>
      </c>
      <c r="H178" s="60">
        <f>IFERROR(INDEX(tbl_Finance[Defer Start],$A178),"")</f>
        <v/>
      </c>
      <c r="I178" s="60">
        <f>IFERROR(INDEX(tbl_Finance[Defer End],$A178),"")</f>
        <v/>
      </c>
      <c r="J178" s="59">
        <f>IF(OR($H178="",$I178="",$G178=""),"",MAX(1,(YEAR($I178)-YEAR($H178))*12+MONTH($I178)-MONTH($H178)+1))</f>
        <v/>
      </c>
      <c r="K178" s="62">
        <f>IF($J178="","",$G178/$J178)</f>
        <v/>
      </c>
      <c r="L178" s="62">
        <f>IF($J178="",0,$K178*MAX(0,MIN(YEAR($C$3)*12+MONTH($C$3),YEAR($I178)*12+MONTH($I178))-(YEAR($H178)*12+MONTH($H178))+1))</f>
        <v/>
      </c>
      <c r="M178" s="62">
        <f>IF($J178="",0,$K178*MAX(0,MIN(YEAR($C$3)*12+MONTH($C$3)-1,YEAR($I178)*12+MONTH($I178))-(YEAR($H178)*12+MONTH($H178))+1))</f>
        <v/>
      </c>
      <c r="N178" s="62">
        <f>IF(OR($J178="",$B178=""),0,IF(YEAR($B178)*12+MONTH($B178)&lt;=YEAR($C$3)*12+MONTH($C$3),$G178,0))</f>
        <v/>
      </c>
      <c r="O178" s="62">
        <f>IF(OR($J178="",$B178=""),0,IF(YEAR($B178)*12+MONTH($B178)&lt;=YEAR($C$3)*12+MONTH($C$3)-1,$G178,0))</f>
        <v/>
      </c>
      <c r="P178" s="62">
        <f>$M178-$O178</f>
        <v/>
      </c>
      <c r="Q178" s="62">
        <f>($L178-$M178)-($N178-$O178)</f>
        <v/>
      </c>
      <c r="R178" s="62">
        <f>$L178-$N178</f>
        <v/>
      </c>
    </row>
    <row r="179">
      <c r="A179" s="59">
        <f>ROW()-5</f>
        <v/>
      </c>
      <c r="B179" s="60">
        <f>IFERROR(INDEX(tbl_Finance[Date],$A179),"")</f>
        <v/>
      </c>
      <c r="C179" s="61">
        <f>IFERROR(INDEX(tbl_Finance[Xero Invoice No],$A179),"")</f>
        <v/>
      </c>
      <c r="D179" s="61">
        <f>IFERROR(INDEX(tbl_Finance[Client],$A179),"")</f>
        <v/>
      </c>
      <c r="E179" s="61">
        <f>IFERROR(INDEX(tbl_Finance[Job Number],$A179),"")</f>
        <v/>
      </c>
      <c r="F179" s="61">
        <f>IFERROR(INDEX(tbl_Finance[Cost Centre],$A179),"")</f>
        <v/>
      </c>
      <c r="G179" s="62">
        <f>IFERROR(INDEX(tbl_Finance[Ex GST],$A179),"")</f>
        <v/>
      </c>
      <c r="H179" s="60">
        <f>IFERROR(INDEX(tbl_Finance[Defer Start],$A179),"")</f>
        <v/>
      </c>
      <c r="I179" s="60">
        <f>IFERROR(INDEX(tbl_Finance[Defer End],$A179),"")</f>
        <v/>
      </c>
      <c r="J179" s="59">
        <f>IF(OR($H179="",$I179="",$G179=""),"",MAX(1,(YEAR($I179)-YEAR($H179))*12+MONTH($I179)-MONTH($H179)+1))</f>
        <v/>
      </c>
      <c r="K179" s="62">
        <f>IF($J179="","",$G179/$J179)</f>
        <v/>
      </c>
      <c r="L179" s="62">
        <f>IF($J179="",0,$K179*MAX(0,MIN(YEAR($C$3)*12+MONTH($C$3),YEAR($I179)*12+MONTH($I179))-(YEAR($H179)*12+MONTH($H179))+1))</f>
        <v/>
      </c>
      <c r="M179" s="62">
        <f>IF($J179="",0,$K179*MAX(0,MIN(YEAR($C$3)*12+MONTH($C$3)-1,YEAR($I179)*12+MONTH($I179))-(YEAR($H179)*12+MONTH($H179))+1))</f>
        <v/>
      </c>
      <c r="N179" s="62">
        <f>IF(OR($J179="",$B179=""),0,IF(YEAR($B179)*12+MONTH($B179)&lt;=YEAR($C$3)*12+MONTH($C$3),$G179,0))</f>
        <v/>
      </c>
      <c r="O179" s="62">
        <f>IF(OR($J179="",$B179=""),0,IF(YEAR($B179)*12+MONTH($B179)&lt;=YEAR($C$3)*12+MONTH($C$3)-1,$G179,0))</f>
        <v/>
      </c>
      <c r="P179" s="62">
        <f>$M179-$O179</f>
        <v/>
      </c>
      <c r="Q179" s="62">
        <f>($L179-$M179)-($N179-$O179)</f>
        <v/>
      </c>
      <c r="R179" s="62">
        <f>$L179-$N179</f>
        <v/>
      </c>
    </row>
    <row r="180">
      <c r="A180" s="59">
        <f>ROW()-5</f>
        <v/>
      </c>
      <c r="B180" s="60">
        <f>IFERROR(INDEX(tbl_Finance[Date],$A180),"")</f>
        <v/>
      </c>
      <c r="C180" s="61">
        <f>IFERROR(INDEX(tbl_Finance[Xero Invoice No],$A180),"")</f>
        <v/>
      </c>
      <c r="D180" s="61">
        <f>IFERROR(INDEX(tbl_Finance[Client],$A180),"")</f>
        <v/>
      </c>
      <c r="E180" s="61">
        <f>IFERROR(INDEX(tbl_Finance[Job Number],$A180),"")</f>
        <v/>
      </c>
      <c r="F180" s="61">
        <f>IFERROR(INDEX(tbl_Finance[Cost Centre],$A180),"")</f>
        <v/>
      </c>
      <c r="G180" s="62">
        <f>IFERROR(INDEX(tbl_Finance[Ex GST],$A180),"")</f>
        <v/>
      </c>
      <c r="H180" s="60">
        <f>IFERROR(INDEX(tbl_Finance[Defer Start],$A180),"")</f>
        <v/>
      </c>
      <c r="I180" s="60">
        <f>IFERROR(INDEX(tbl_Finance[Defer End],$A180),"")</f>
        <v/>
      </c>
      <c r="J180" s="59">
        <f>IF(OR($H180="",$I180="",$G180=""),"",MAX(1,(YEAR($I180)-YEAR($H180))*12+MONTH($I180)-MONTH($H180)+1))</f>
        <v/>
      </c>
      <c r="K180" s="62">
        <f>IF($J180="","",$G180/$J180)</f>
        <v/>
      </c>
      <c r="L180" s="62">
        <f>IF($J180="",0,$K180*MAX(0,MIN(YEAR($C$3)*12+MONTH($C$3),YEAR($I180)*12+MONTH($I180))-(YEAR($H180)*12+MONTH($H180))+1))</f>
        <v/>
      </c>
      <c r="M180" s="62">
        <f>IF($J180="",0,$K180*MAX(0,MIN(YEAR($C$3)*12+MONTH($C$3)-1,YEAR($I180)*12+MONTH($I180))-(YEAR($H180)*12+MONTH($H180))+1))</f>
        <v/>
      </c>
      <c r="N180" s="62">
        <f>IF(OR($J180="",$B180=""),0,IF(YEAR($B180)*12+MONTH($B180)&lt;=YEAR($C$3)*12+MONTH($C$3),$G180,0))</f>
        <v/>
      </c>
      <c r="O180" s="62">
        <f>IF(OR($J180="",$B180=""),0,IF(YEAR($B180)*12+MONTH($B180)&lt;=YEAR($C$3)*12+MONTH($C$3)-1,$G180,0))</f>
        <v/>
      </c>
      <c r="P180" s="62">
        <f>$M180-$O180</f>
        <v/>
      </c>
      <c r="Q180" s="62">
        <f>($L180-$M180)-($N180-$O180)</f>
        <v/>
      </c>
      <c r="R180" s="62">
        <f>$L180-$N180</f>
        <v/>
      </c>
    </row>
    <row r="181">
      <c r="A181" s="59">
        <f>ROW()-5</f>
        <v/>
      </c>
      <c r="B181" s="60">
        <f>IFERROR(INDEX(tbl_Finance[Date],$A181),"")</f>
        <v/>
      </c>
      <c r="C181" s="61">
        <f>IFERROR(INDEX(tbl_Finance[Xero Invoice No],$A181),"")</f>
        <v/>
      </c>
      <c r="D181" s="61">
        <f>IFERROR(INDEX(tbl_Finance[Client],$A181),"")</f>
        <v/>
      </c>
      <c r="E181" s="61">
        <f>IFERROR(INDEX(tbl_Finance[Job Number],$A181),"")</f>
        <v/>
      </c>
      <c r="F181" s="61">
        <f>IFERROR(INDEX(tbl_Finance[Cost Centre],$A181),"")</f>
        <v/>
      </c>
      <c r="G181" s="62">
        <f>IFERROR(INDEX(tbl_Finance[Ex GST],$A181),"")</f>
        <v/>
      </c>
      <c r="H181" s="60">
        <f>IFERROR(INDEX(tbl_Finance[Defer Start],$A181),"")</f>
        <v/>
      </c>
      <c r="I181" s="60">
        <f>IFERROR(INDEX(tbl_Finance[Defer End],$A181),"")</f>
        <v/>
      </c>
      <c r="J181" s="59">
        <f>IF(OR($H181="",$I181="",$G181=""),"",MAX(1,(YEAR($I181)-YEAR($H181))*12+MONTH($I181)-MONTH($H181)+1))</f>
        <v/>
      </c>
      <c r="K181" s="62">
        <f>IF($J181="","",$G181/$J181)</f>
        <v/>
      </c>
      <c r="L181" s="62">
        <f>IF($J181="",0,$K181*MAX(0,MIN(YEAR($C$3)*12+MONTH($C$3),YEAR($I181)*12+MONTH($I181))-(YEAR($H181)*12+MONTH($H181))+1))</f>
        <v/>
      </c>
      <c r="M181" s="62">
        <f>IF($J181="",0,$K181*MAX(0,MIN(YEAR($C$3)*12+MONTH($C$3)-1,YEAR($I181)*12+MONTH($I181))-(YEAR($H181)*12+MONTH($H181))+1))</f>
        <v/>
      </c>
      <c r="N181" s="62">
        <f>IF(OR($J181="",$B181=""),0,IF(YEAR($B181)*12+MONTH($B181)&lt;=YEAR($C$3)*12+MONTH($C$3),$G181,0))</f>
        <v/>
      </c>
      <c r="O181" s="62">
        <f>IF(OR($J181="",$B181=""),0,IF(YEAR($B181)*12+MONTH($B181)&lt;=YEAR($C$3)*12+MONTH($C$3)-1,$G181,0))</f>
        <v/>
      </c>
      <c r="P181" s="62">
        <f>$M181-$O181</f>
        <v/>
      </c>
      <c r="Q181" s="62">
        <f>($L181-$M181)-($N181-$O181)</f>
        <v/>
      </c>
      <c r="R181" s="62">
        <f>$L181-$N181</f>
        <v/>
      </c>
    </row>
    <row r="182">
      <c r="A182" s="59">
        <f>ROW()-5</f>
        <v/>
      </c>
      <c r="B182" s="60">
        <f>IFERROR(INDEX(tbl_Finance[Date],$A182),"")</f>
        <v/>
      </c>
      <c r="C182" s="61">
        <f>IFERROR(INDEX(tbl_Finance[Xero Invoice No],$A182),"")</f>
        <v/>
      </c>
      <c r="D182" s="61">
        <f>IFERROR(INDEX(tbl_Finance[Client],$A182),"")</f>
        <v/>
      </c>
      <c r="E182" s="61">
        <f>IFERROR(INDEX(tbl_Finance[Job Number],$A182),"")</f>
        <v/>
      </c>
      <c r="F182" s="61">
        <f>IFERROR(INDEX(tbl_Finance[Cost Centre],$A182),"")</f>
        <v/>
      </c>
      <c r="G182" s="62">
        <f>IFERROR(INDEX(tbl_Finance[Ex GST],$A182),"")</f>
        <v/>
      </c>
      <c r="H182" s="60">
        <f>IFERROR(INDEX(tbl_Finance[Defer Start],$A182),"")</f>
        <v/>
      </c>
      <c r="I182" s="60">
        <f>IFERROR(INDEX(tbl_Finance[Defer End],$A182),"")</f>
        <v/>
      </c>
      <c r="J182" s="59">
        <f>IF(OR($H182="",$I182="",$G182=""),"",MAX(1,(YEAR($I182)-YEAR($H182))*12+MONTH($I182)-MONTH($H182)+1))</f>
        <v/>
      </c>
      <c r="K182" s="62">
        <f>IF($J182="","",$G182/$J182)</f>
        <v/>
      </c>
      <c r="L182" s="62">
        <f>IF($J182="",0,$K182*MAX(0,MIN(YEAR($C$3)*12+MONTH($C$3),YEAR($I182)*12+MONTH($I182))-(YEAR($H182)*12+MONTH($H182))+1))</f>
        <v/>
      </c>
      <c r="M182" s="62">
        <f>IF($J182="",0,$K182*MAX(0,MIN(YEAR($C$3)*12+MONTH($C$3)-1,YEAR($I182)*12+MONTH($I182))-(YEAR($H182)*12+MONTH($H182))+1))</f>
        <v/>
      </c>
      <c r="N182" s="62">
        <f>IF(OR($J182="",$B182=""),0,IF(YEAR($B182)*12+MONTH($B182)&lt;=YEAR($C$3)*12+MONTH($C$3),$G182,0))</f>
        <v/>
      </c>
      <c r="O182" s="62">
        <f>IF(OR($J182="",$B182=""),0,IF(YEAR($B182)*12+MONTH($B182)&lt;=YEAR($C$3)*12+MONTH($C$3)-1,$G182,0))</f>
        <v/>
      </c>
      <c r="P182" s="62">
        <f>$M182-$O182</f>
        <v/>
      </c>
      <c r="Q182" s="62">
        <f>($L182-$M182)-($N182-$O182)</f>
        <v/>
      </c>
      <c r="R182" s="62">
        <f>$L182-$N182</f>
        <v/>
      </c>
    </row>
    <row r="183">
      <c r="A183" s="59">
        <f>ROW()-5</f>
        <v/>
      </c>
      <c r="B183" s="60">
        <f>IFERROR(INDEX(tbl_Finance[Date],$A183),"")</f>
        <v/>
      </c>
      <c r="C183" s="61">
        <f>IFERROR(INDEX(tbl_Finance[Xero Invoice No],$A183),"")</f>
        <v/>
      </c>
      <c r="D183" s="61">
        <f>IFERROR(INDEX(tbl_Finance[Client],$A183),"")</f>
        <v/>
      </c>
      <c r="E183" s="61">
        <f>IFERROR(INDEX(tbl_Finance[Job Number],$A183),"")</f>
        <v/>
      </c>
      <c r="F183" s="61">
        <f>IFERROR(INDEX(tbl_Finance[Cost Centre],$A183),"")</f>
        <v/>
      </c>
      <c r="G183" s="62">
        <f>IFERROR(INDEX(tbl_Finance[Ex GST],$A183),"")</f>
        <v/>
      </c>
      <c r="H183" s="60">
        <f>IFERROR(INDEX(tbl_Finance[Defer Start],$A183),"")</f>
        <v/>
      </c>
      <c r="I183" s="60">
        <f>IFERROR(INDEX(tbl_Finance[Defer End],$A183),"")</f>
        <v/>
      </c>
      <c r="J183" s="59">
        <f>IF(OR($H183="",$I183="",$G183=""),"",MAX(1,(YEAR($I183)-YEAR($H183))*12+MONTH($I183)-MONTH($H183)+1))</f>
        <v/>
      </c>
      <c r="K183" s="62">
        <f>IF($J183="","",$G183/$J183)</f>
        <v/>
      </c>
      <c r="L183" s="62">
        <f>IF($J183="",0,$K183*MAX(0,MIN(YEAR($C$3)*12+MONTH($C$3),YEAR($I183)*12+MONTH($I183))-(YEAR($H183)*12+MONTH($H183))+1))</f>
        <v/>
      </c>
      <c r="M183" s="62">
        <f>IF($J183="",0,$K183*MAX(0,MIN(YEAR($C$3)*12+MONTH($C$3)-1,YEAR($I183)*12+MONTH($I183))-(YEAR($H183)*12+MONTH($H183))+1))</f>
        <v/>
      </c>
      <c r="N183" s="62">
        <f>IF(OR($J183="",$B183=""),0,IF(YEAR($B183)*12+MONTH($B183)&lt;=YEAR($C$3)*12+MONTH($C$3),$G183,0))</f>
        <v/>
      </c>
      <c r="O183" s="62">
        <f>IF(OR($J183="",$B183=""),0,IF(YEAR($B183)*12+MONTH($B183)&lt;=YEAR($C$3)*12+MONTH($C$3)-1,$G183,0))</f>
        <v/>
      </c>
      <c r="P183" s="62">
        <f>$M183-$O183</f>
        <v/>
      </c>
      <c r="Q183" s="62">
        <f>($L183-$M183)-($N183-$O183)</f>
        <v/>
      </c>
      <c r="R183" s="62">
        <f>$L183-$N183</f>
        <v/>
      </c>
    </row>
    <row r="184">
      <c r="A184" s="59">
        <f>ROW()-5</f>
        <v/>
      </c>
      <c r="B184" s="60">
        <f>IFERROR(INDEX(tbl_Finance[Date],$A184),"")</f>
        <v/>
      </c>
      <c r="C184" s="61">
        <f>IFERROR(INDEX(tbl_Finance[Xero Invoice No],$A184),"")</f>
        <v/>
      </c>
      <c r="D184" s="61">
        <f>IFERROR(INDEX(tbl_Finance[Client],$A184),"")</f>
        <v/>
      </c>
      <c r="E184" s="61">
        <f>IFERROR(INDEX(tbl_Finance[Job Number],$A184),"")</f>
        <v/>
      </c>
      <c r="F184" s="61">
        <f>IFERROR(INDEX(tbl_Finance[Cost Centre],$A184),"")</f>
        <v/>
      </c>
      <c r="G184" s="62">
        <f>IFERROR(INDEX(tbl_Finance[Ex GST],$A184),"")</f>
        <v/>
      </c>
      <c r="H184" s="60">
        <f>IFERROR(INDEX(tbl_Finance[Defer Start],$A184),"")</f>
        <v/>
      </c>
      <c r="I184" s="60">
        <f>IFERROR(INDEX(tbl_Finance[Defer End],$A184),"")</f>
        <v/>
      </c>
      <c r="J184" s="59">
        <f>IF(OR($H184="",$I184="",$G184=""),"",MAX(1,(YEAR($I184)-YEAR($H184))*12+MONTH($I184)-MONTH($H184)+1))</f>
        <v/>
      </c>
      <c r="K184" s="62">
        <f>IF($J184="","",$G184/$J184)</f>
        <v/>
      </c>
      <c r="L184" s="62">
        <f>IF($J184="",0,$K184*MAX(0,MIN(YEAR($C$3)*12+MONTH($C$3),YEAR($I184)*12+MONTH($I184))-(YEAR($H184)*12+MONTH($H184))+1))</f>
        <v/>
      </c>
      <c r="M184" s="62">
        <f>IF($J184="",0,$K184*MAX(0,MIN(YEAR($C$3)*12+MONTH($C$3)-1,YEAR($I184)*12+MONTH($I184))-(YEAR($H184)*12+MONTH($H184))+1))</f>
        <v/>
      </c>
      <c r="N184" s="62">
        <f>IF(OR($J184="",$B184=""),0,IF(YEAR($B184)*12+MONTH($B184)&lt;=YEAR($C$3)*12+MONTH($C$3),$G184,0))</f>
        <v/>
      </c>
      <c r="O184" s="62">
        <f>IF(OR($J184="",$B184=""),0,IF(YEAR($B184)*12+MONTH($B184)&lt;=YEAR($C$3)*12+MONTH($C$3)-1,$G184,0))</f>
        <v/>
      </c>
      <c r="P184" s="62">
        <f>$M184-$O184</f>
        <v/>
      </c>
      <c r="Q184" s="62">
        <f>($L184-$M184)-($N184-$O184)</f>
        <v/>
      </c>
      <c r="R184" s="62">
        <f>$L184-$N184</f>
        <v/>
      </c>
    </row>
    <row r="185">
      <c r="A185" s="59">
        <f>ROW()-5</f>
        <v/>
      </c>
      <c r="B185" s="60">
        <f>IFERROR(INDEX(tbl_Finance[Date],$A185),"")</f>
        <v/>
      </c>
      <c r="C185" s="61">
        <f>IFERROR(INDEX(tbl_Finance[Xero Invoice No],$A185),"")</f>
        <v/>
      </c>
      <c r="D185" s="61">
        <f>IFERROR(INDEX(tbl_Finance[Client],$A185),"")</f>
        <v/>
      </c>
      <c r="E185" s="61">
        <f>IFERROR(INDEX(tbl_Finance[Job Number],$A185),"")</f>
        <v/>
      </c>
      <c r="F185" s="61">
        <f>IFERROR(INDEX(tbl_Finance[Cost Centre],$A185),"")</f>
        <v/>
      </c>
      <c r="G185" s="62">
        <f>IFERROR(INDEX(tbl_Finance[Ex GST],$A185),"")</f>
        <v/>
      </c>
      <c r="H185" s="60">
        <f>IFERROR(INDEX(tbl_Finance[Defer Start],$A185),"")</f>
        <v/>
      </c>
      <c r="I185" s="60">
        <f>IFERROR(INDEX(tbl_Finance[Defer End],$A185),"")</f>
        <v/>
      </c>
      <c r="J185" s="59">
        <f>IF(OR($H185="",$I185="",$G185=""),"",MAX(1,(YEAR($I185)-YEAR($H185))*12+MONTH($I185)-MONTH($H185)+1))</f>
        <v/>
      </c>
      <c r="K185" s="62">
        <f>IF($J185="","",$G185/$J185)</f>
        <v/>
      </c>
      <c r="L185" s="62">
        <f>IF($J185="",0,$K185*MAX(0,MIN(YEAR($C$3)*12+MONTH($C$3),YEAR($I185)*12+MONTH($I185))-(YEAR($H185)*12+MONTH($H185))+1))</f>
        <v/>
      </c>
      <c r="M185" s="62">
        <f>IF($J185="",0,$K185*MAX(0,MIN(YEAR($C$3)*12+MONTH($C$3)-1,YEAR($I185)*12+MONTH($I185))-(YEAR($H185)*12+MONTH($H185))+1))</f>
        <v/>
      </c>
      <c r="N185" s="62">
        <f>IF(OR($J185="",$B185=""),0,IF(YEAR($B185)*12+MONTH($B185)&lt;=YEAR($C$3)*12+MONTH($C$3),$G185,0))</f>
        <v/>
      </c>
      <c r="O185" s="62">
        <f>IF(OR($J185="",$B185=""),0,IF(YEAR($B185)*12+MONTH($B185)&lt;=YEAR($C$3)*12+MONTH($C$3)-1,$G185,0))</f>
        <v/>
      </c>
      <c r="P185" s="62">
        <f>$M185-$O185</f>
        <v/>
      </c>
      <c r="Q185" s="62">
        <f>($L185-$M185)-($N185-$O185)</f>
        <v/>
      </c>
      <c r="R185" s="62">
        <f>$L185-$N185</f>
        <v/>
      </c>
    </row>
    <row r="186">
      <c r="A186" s="59">
        <f>ROW()-5</f>
        <v/>
      </c>
      <c r="B186" s="60">
        <f>IFERROR(INDEX(tbl_Finance[Date],$A186),"")</f>
        <v/>
      </c>
      <c r="C186" s="61">
        <f>IFERROR(INDEX(tbl_Finance[Xero Invoice No],$A186),"")</f>
        <v/>
      </c>
      <c r="D186" s="61">
        <f>IFERROR(INDEX(tbl_Finance[Client],$A186),"")</f>
        <v/>
      </c>
      <c r="E186" s="61">
        <f>IFERROR(INDEX(tbl_Finance[Job Number],$A186),"")</f>
        <v/>
      </c>
      <c r="F186" s="61">
        <f>IFERROR(INDEX(tbl_Finance[Cost Centre],$A186),"")</f>
        <v/>
      </c>
      <c r="G186" s="62">
        <f>IFERROR(INDEX(tbl_Finance[Ex GST],$A186),"")</f>
        <v/>
      </c>
      <c r="H186" s="60">
        <f>IFERROR(INDEX(tbl_Finance[Defer Start],$A186),"")</f>
        <v/>
      </c>
      <c r="I186" s="60">
        <f>IFERROR(INDEX(tbl_Finance[Defer End],$A186),"")</f>
        <v/>
      </c>
      <c r="J186" s="59">
        <f>IF(OR($H186="",$I186="",$G186=""),"",MAX(1,(YEAR($I186)-YEAR($H186))*12+MONTH($I186)-MONTH($H186)+1))</f>
        <v/>
      </c>
      <c r="K186" s="62">
        <f>IF($J186="","",$G186/$J186)</f>
        <v/>
      </c>
      <c r="L186" s="62">
        <f>IF($J186="",0,$K186*MAX(0,MIN(YEAR($C$3)*12+MONTH($C$3),YEAR($I186)*12+MONTH($I186))-(YEAR($H186)*12+MONTH($H186))+1))</f>
        <v/>
      </c>
      <c r="M186" s="62">
        <f>IF($J186="",0,$K186*MAX(0,MIN(YEAR($C$3)*12+MONTH($C$3)-1,YEAR($I186)*12+MONTH($I186))-(YEAR($H186)*12+MONTH($H186))+1))</f>
        <v/>
      </c>
      <c r="N186" s="62">
        <f>IF(OR($J186="",$B186=""),0,IF(YEAR($B186)*12+MONTH($B186)&lt;=YEAR($C$3)*12+MONTH($C$3),$G186,0))</f>
        <v/>
      </c>
      <c r="O186" s="62">
        <f>IF(OR($J186="",$B186=""),0,IF(YEAR($B186)*12+MONTH($B186)&lt;=YEAR($C$3)*12+MONTH($C$3)-1,$G186,0))</f>
        <v/>
      </c>
      <c r="P186" s="62">
        <f>$M186-$O186</f>
        <v/>
      </c>
      <c r="Q186" s="62">
        <f>($L186-$M186)-($N186-$O186)</f>
        <v/>
      </c>
      <c r="R186" s="62">
        <f>$L186-$N186</f>
        <v/>
      </c>
    </row>
    <row r="187">
      <c r="A187" s="59">
        <f>ROW()-5</f>
        <v/>
      </c>
      <c r="B187" s="60">
        <f>IFERROR(INDEX(tbl_Finance[Date],$A187),"")</f>
        <v/>
      </c>
      <c r="C187" s="61">
        <f>IFERROR(INDEX(tbl_Finance[Xero Invoice No],$A187),"")</f>
        <v/>
      </c>
      <c r="D187" s="61">
        <f>IFERROR(INDEX(tbl_Finance[Client],$A187),"")</f>
        <v/>
      </c>
      <c r="E187" s="61">
        <f>IFERROR(INDEX(tbl_Finance[Job Number],$A187),"")</f>
        <v/>
      </c>
      <c r="F187" s="61">
        <f>IFERROR(INDEX(tbl_Finance[Cost Centre],$A187),"")</f>
        <v/>
      </c>
      <c r="G187" s="62">
        <f>IFERROR(INDEX(tbl_Finance[Ex GST],$A187),"")</f>
        <v/>
      </c>
      <c r="H187" s="60">
        <f>IFERROR(INDEX(tbl_Finance[Defer Start],$A187),"")</f>
        <v/>
      </c>
      <c r="I187" s="60">
        <f>IFERROR(INDEX(tbl_Finance[Defer End],$A187),"")</f>
        <v/>
      </c>
      <c r="J187" s="59">
        <f>IF(OR($H187="",$I187="",$G187=""),"",MAX(1,(YEAR($I187)-YEAR($H187))*12+MONTH($I187)-MONTH($H187)+1))</f>
        <v/>
      </c>
      <c r="K187" s="62">
        <f>IF($J187="","",$G187/$J187)</f>
        <v/>
      </c>
      <c r="L187" s="62">
        <f>IF($J187="",0,$K187*MAX(0,MIN(YEAR($C$3)*12+MONTH($C$3),YEAR($I187)*12+MONTH($I187))-(YEAR($H187)*12+MONTH($H187))+1))</f>
        <v/>
      </c>
      <c r="M187" s="62">
        <f>IF($J187="",0,$K187*MAX(0,MIN(YEAR($C$3)*12+MONTH($C$3)-1,YEAR($I187)*12+MONTH($I187))-(YEAR($H187)*12+MONTH($H187))+1))</f>
        <v/>
      </c>
      <c r="N187" s="62">
        <f>IF(OR($J187="",$B187=""),0,IF(YEAR($B187)*12+MONTH($B187)&lt;=YEAR($C$3)*12+MONTH($C$3),$G187,0))</f>
        <v/>
      </c>
      <c r="O187" s="62">
        <f>IF(OR($J187="",$B187=""),0,IF(YEAR($B187)*12+MONTH($B187)&lt;=YEAR($C$3)*12+MONTH($C$3)-1,$G187,0))</f>
        <v/>
      </c>
      <c r="P187" s="62">
        <f>$M187-$O187</f>
        <v/>
      </c>
      <c r="Q187" s="62">
        <f>($L187-$M187)-($N187-$O187)</f>
        <v/>
      </c>
      <c r="R187" s="62">
        <f>$L187-$N187</f>
        <v/>
      </c>
    </row>
    <row r="188">
      <c r="A188" s="59">
        <f>ROW()-5</f>
        <v/>
      </c>
      <c r="B188" s="60">
        <f>IFERROR(INDEX(tbl_Finance[Date],$A188),"")</f>
        <v/>
      </c>
      <c r="C188" s="61">
        <f>IFERROR(INDEX(tbl_Finance[Xero Invoice No],$A188),"")</f>
        <v/>
      </c>
      <c r="D188" s="61">
        <f>IFERROR(INDEX(tbl_Finance[Client],$A188),"")</f>
        <v/>
      </c>
      <c r="E188" s="61">
        <f>IFERROR(INDEX(tbl_Finance[Job Number],$A188),"")</f>
        <v/>
      </c>
      <c r="F188" s="61">
        <f>IFERROR(INDEX(tbl_Finance[Cost Centre],$A188),"")</f>
        <v/>
      </c>
      <c r="G188" s="62">
        <f>IFERROR(INDEX(tbl_Finance[Ex GST],$A188),"")</f>
        <v/>
      </c>
      <c r="H188" s="60">
        <f>IFERROR(INDEX(tbl_Finance[Defer Start],$A188),"")</f>
        <v/>
      </c>
      <c r="I188" s="60">
        <f>IFERROR(INDEX(tbl_Finance[Defer End],$A188),"")</f>
        <v/>
      </c>
      <c r="J188" s="59">
        <f>IF(OR($H188="",$I188="",$G188=""),"",MAX(1,(YEAR($I188)-YEAR($H188))*12+MONTH($I188)-MONTH($H188)+1))</f>
        <v/>
      </c>
      <c r="K188" s="62">
        <f>IF($J188="","",$G188/$J188)</f>
        <v/>
      </c>
      <c r="L188" s="62">
        <f>IF($J188="",0,$K188*MAX(0,MIN(YEAR($C$3)*12+MONTH($C$3),YEAR($I188)*12+MONTH($I188))-(YEAR($H188)*12+MONTH($H188))+1))</f>
        <v/>
      </c>
      <c r="M188" s="62">
        <f>IF($J188="",0,$K188*MAX(0,MIN(YEAR($C$3)*12+MONTH($C$3)-1,YEAR($I188)*12+MONTH($I188))-(YEAR($H188)*12+MONTH($H188))+1))</f>
        <v/>
      </c>
      <c r="N188" s="62">
        <f>IF(OR($J188="",$B188=""),0,IF(YEAR($B188)*12+MONTH($B188)&lt;=YEAR($C$3)*12+MONTH($C$3),$G188,0))</f>
        <v/>
      </c>
      <c r="O188" s="62">
        <f>IF(OR($J188="",$B188=""),0,IF(YEAR($B188)*12+MONTH($B188)&lt;=YEAR($C$3)*12+MONTH($C$3)-1,$G188,0))</f>
        <v/>
      </c>
      <c r="P188" s="62">
        <f>$M188-$O188</f>
        <v/>
      </c>
      <c r="Q188" s="62">
        <f>($L188-$M188)-($N188-$O188)</f>
        <v/>
      </c>
      <c r="R188" s="62">
        <f>$L188-$N188</f>
        <v/>
      </c>
    </row>
    <row r="189">
      <c r="A189" s="59">
        <f>ROW()-5</f>
        <v/>
      </c>
      <c r="B189" s="60">
        <f>IFERROR(INDEX(tbl_Finance[Date],$A189),"")</f>
        <v/>
      </c>
      <c r="C189" s="61">
        <f>IFERROR(INDEX(tbl_Finance[Xero Invoice No],$A189),"")</f>
        <v/>
      </c>
      <c r="D189" s="61">
        <f>IFERROR(INDEX(tbl_Finance[Client],$A189),"")</f>
        <v/>
      </c>
      <c r="E189" s="61">
        <f>IFERROR(INDEX(tbl_Finance[Job Number],$A189),"")</f>
        <v/>
      </c>
      <c r="F189" s="61">
        <f>IFERROR(INDEX(tbl_Finance[Cost Centre],$A189),"")</f>
        <v/>
      </c>
      <c r="G189" s="62">
        <f>IFERROR(INDEX(tbl_Finance[Ex GST],$A189),"")</f>
        <v/>
      </c>
      <c r="H189" s="60">
        <f>IFERROR(INDEX(tbl_Finance[Defer Start],$A189),"")</f>
        <v/>
      </c>
      <c r="I189" s="60">
        <f>IFERROR(INDEX(tbl_Finance[Defer End],$A189),"")</f>
        <v/>
      </c>
      <c r="J189" s="59">
        <f>IF(OR($H189="",$I189="",$G189=""),"",MAX(1,(YEAR($I189)-YEAR($H189))*12+MONTH($I189)-MONTH($H189)+1))</f>
        <v/>
      </c>
      <c r="K189" s="62">
        <f>IF($J189="","",$G189/$J189)</f>
        <v/>
      </c>
      <c r="L189" s="62">
        <f>IF($J189="",0,$K189*MAX(0,MIN(YEAR($C$3)*12+MONTH($C$3),YEAR($I189)*12+MONTH($I189))-(YEAR($H189)*12+MONTH($H189))+1))</f>
        <v/>
      </c>
      <c r="M189" s="62">
        <f>IF($J189="",0,$K189*MAX(0,MIN(YEAR($C$3)*12+MONTH($C$3)-1,YEAR($I189)*12+MONTH($I189))-(YEAR($H189)*12+MONTH($H189))+1))</f>
        <v/>
      </c>
      <c r="N189" s="62">
        <f>IF(OR($J189="",$B189=""),0,IF(YEAR($B189)*12+MONTH($B189)&lt;=YEAR($C$3)*12+MONTH($C$3),$G189,0))</f>
        <v/>
      </c>
      <c r="O189" s="62">
        <f>IF(OR($J189="",$B189=""),0,IF(YEAR($B189)*12+MONTH($B189)&lt;=YEAR($C$3)*12+MONTH($C$3)-1,$G189,0))</f>
        <v/>
      </c>
      <c r="P189" s="62">
        <f>$M189-$O189</f>
        <v/>
      </c>
      <c r="Q189" s="62">
        <f>($L189-$M189)-($N189-$O189)</f>
        <v/>
      </c>
      <c r="R189" s="62">
        <f>$L189-$N189</f>
        <v/>
      </c>
    </row>
    <row r="190">
      <c r="A190" s="59">
        <f>ROW()-5</f>
        <v/>
      </c>
      <c r="B190" s="60">
        <f>IFERROR(INDEX(tbl_Finance[Date],$A190),"")</f>
        <v/>
      </c>
      <c r="C190" s="61">
        <f>IFERROR(INDEX(tbl_Finance[Xero Invoice No],$A190),"")</f>
        <v/>
      </c>
      <c r="D190" s="61">
        <f>IFERROR(INDEX(tbl_Finance[Client],$A190),"")</f>
        <v/>
      </c>
      <c r="E190" s="61">
        <f>IFERROR(INDEX(tbl_Finance[Job Number],$A190),"")</f>
        <v/>
      </c>
      <c r="F190" s="61">
        <f>IFERROR(INDEX(tbl_Finance[Cost Centre],$A190),"")</f>
        <v/>
      </c>
      <c r="G190" s="62">
        <f>IFERROR(INDEX(tbl_Finance[Ex GST],$A190),"")</f>
        <v/>
      </c>
      <c r="H190" s="60">
        <f>IFERROR(INDEX(tbl_Finance[Defer Start],$A190),"")</f>
        <v/>
      </c>
      <c r="I190" s="60">
        <f>IFERROR(INDEX(tbl_Finance[Defer End],$A190),"")</f>
        <v/>
      </c>
      <c r="J190" s="59">
        <f>IF(OR($H190="",$I190="",$G190=""),"",MAX(1,(YEAR($I190)-YEAR($H190))*12+MONTH($I190)-MONTH($H190)+1))</f>
        <v/>
      </c>
      <c r="K190" s="62">
        <f>IF($J190="","",$G190/$J190)</f>
        <v/>
      </c>
      <c r="L190" s="62">
        <f>IF($J190="",0,$K190*MAX(0,MIN(YEAR($C$3)*12+MONTH($C$3),YEAR($I190)*12+MONTH($I190))-(YEAR($H190)*12+MONTH($H190))+1))</f>
        <v/>
      </c>
      <c r="M190" s="62">
        <f>IF($J190="",0,$K190*MAX(0,MIN(YEAR($C$3)*12+MONTH($C$3)-1,YEAR($I190)*12+MONTH($I190))-(YEAR($H190)*12+MONTH($H190))+1))</f>
        <v/>
      </c>
      <c r="N190" s="62">
        <f>IF(OR($J190="",$B190=""),0,IF(YEAR($B190)*12+MONTH($B190)&lt;=YEAR($C$3)*12+MONTH($C$3),$G190,0))</f>
        <v/>
      </c>
      <c r="O190" s="62">
        <f>IF(OR($J190="",$B190=""),0,IF(YEAR($B190)*12+MONTH($B190)&lt;=YEAR($C$3)*12+MONTH($C$3)-1,$G190,0))</f>
        <v/>
      </c>
      <c r="P190" s="62">
        <f>$M190-$O190</f>
        <v/>
      </c>
      <c r="Q190" s="62">
        <f>($L190-$M190)-($N190-$O190)</f>
        <v/>
      </c>
      <c r="R190" s="62">
        <f>$L190-$N190</f>
        <v/>
      </c>
    </row>
    <row r="191">
      <c r="A191" s="59">
        <f>ROW()-5</f>
        <v/>
      </c>
      <c r="B191" s="60">
        <f>IFERROR(INDEX(tbl_Finance[Date],$A191),"")</f>
        <v/>
      </c>
      <c r="C191" s="61">
        <f>IFERROR(INDEX(tbl_Finance[Xero Invoice No],$A191),"")</f>
        <v/>
      </c>
      <c r="D191" s="61">
        <f>IFERROR(INDEX(tbl_Finance[Client],$A191),"")</f>
        <v/>
      </c>
      <c r="E191" s="61">
        <f>IFERROR(INDEX(tbl_Finance[Job Number],$A191),"")</f>
        <v/>
      </c>
      <c r="F191" s="61">
        <f>IFERROR(INDEX(tbl_Finance[Cost Centre],$A191),"")</f>
        <v/>
      </c>
      <c r="G191" s="62">
        <f>IFERROR(INDEX(tbl_Finance[Ex GST],$A191),"")</f>
        <v/>
      </c>
      <c r="H191" s="60">
        <f>IFERROR(INDEX(tbl_Finance[Defer Start],$A191),"")</f>
        <v/>
      </c>
      <c r="I191" s="60">
        <f>IFERROR(INDEX(tbl_Finance[Defer End],$A191),"")</f>
        <v/>
      </c>
      <c r="J191" s="59">
        <f>IF(OR($H191="",$I191="",$G191=""),"",MAX(1,(YEAR($I191)-YEAR($H191))*12+MONTH($I191)-MONTH($H191)+1))</f>
        <v/>
      </c>
      <c r="K191" s="62">
        <f>IF($J191="","",$G191/$J191)</f>
        <v/>
      </c>
      <c r="L191" s="62">
        <f>IF($J191="",0,$K191*MAX(0,MIN(YEAR($C$3)*12+MONTH($C$3),YEAR($I191)*12+MONTH($I191))-(YEAR($H191)*12+MONTH($H191))+1))</f>
        <v/>
      </c>
      <c r="M191" s="62">
        <f>IF($J191="",0,$K191*MAX(0,MIN(YEAR($C$3)*12+MONTH($C$3)-1,YEAR($I191)*12+MONTH($I191))-(YEAR($H191)*12+MONTH($H191))+1))</f>
        <v/>
      </c>
      <c r="N191" s="62">
        <f>IF(OR($J191="",$B191=""),0,IF(YEAR($B191)*12+MONTH($B191)&lt;=YEAR($C$3)*12+MONTH($C$3),$G191,0))</f>
        <v/>
      </c>
      <c r="O191" s="62">
        <f>IF(OR($J191="",$B191=""),0,IF(YEAR($B191)*12+MONTH($B191)&lt;=YEAR($C$3)*12+MONTH($C$3)-1,$G191,0))</f>
        <v/>
      </c>
      <c r="P191" s="62">
        <f>$M191-$O191</f>
        <v/>
      </c>
      <c r="Q191" s="62">
        <f>($L191-$M191)-($N191-$O191)</f>
        <v/>
      </c>
      <c r="R191" s="62">
        <f>$L191-$N191</f>
        <v/>
      </c>
    </row>
    <row r="192">
      <c r="A192" s="59">
        <f>ROW()-5</f>
        <v/>
      </c>
      <c r="B192" s="60">
        <f>IFERROR(INDEX(tbl_Finance[Date],$A192),"")</f>
        <v/>
      </c>
      <c r="C192" s="61">
        <f>IFERROR(INDEX(tbl_Finance[Xero Invoice No],$A192),"")</f>
        <v/>
      </c>
      <c r="D192" s="61">
        <f>IFERROR(INDEX(tbl_Finance[Client],$A192),"")</f>
        <v/>
      </c>
      <c r="E192" s="61">
        <f>IFERROR(INDEX(tbl_Finance[Job Number],$A192),"")</f>
        <v/>
      </c>
      <c r="F192" s="61">
        <f>IFERROR(INDEX(tbl_Finance[Cost Centre],$A192),"")</f>
        <v/>
      </c>
      <c r="G192" s="62">
        <f>IFERROR(INDEX(tbl_Finance[Ex GST],$A192),"")</f>
        <v/>
      </c>
      <c r="H192" s="60">
        <f>IFERROR(INDEX(tbl_Finance[Defer Start],$A192),"")</f>
        <v/>
      </c>
      <c r="I192" s="60">
        <f>IFERROR(INDEX(tbl_Finance[Defer End],$A192),"")</f>
        <v/>
      </c>
      <c r="J192" s="59">
        <f>IF(OR($H192="",$I192="",$G192=""),"",MAX(1,(YEAR($I192)-YEAR($H192))*12+MONTH($I192)-MONTH($H192)+1))</f>
        <v/>
      </c>
      <c r="K192" s="62">
        <f>IF($J192="","",$G192/$J192)</f>
        <v/>
      </c>
      <c r="L192" s="62">
        <f>IF($J192="",0,$K192*MAX(0,MIN(YEAR($C$3)*12+MONTH($C$3),YEAR($I192)*12+MONTH($I192))-(YEAR($H192)*12+MONTH($H192))+1))</f>
        <v/>
      </c>
      <c r="M192" s="62">
        <f>IF($J192="",0,$K192*MAX(0,MIN(YEAR($C$3)*12+MONTH($C$3)-1,YEAR($I192)*12+MONTH($I192))-(YEAR($H192)*12+MONTH($H192))+1))</f>
        <v/>
      </c>
      <c r="N192" s="62">
        <f>IF(OR($J192="",$B192=""),0,IF(YEAR($B192)*12+MONTH($B192)&lt;=YEAR($C$3)*12+MONTH($C$3),$G192,0))</f>
        <v/>
      </c>
      <c r="O192" s="62">
        <f>IF(OR($J192="",$B192=""),0,IF(YEAR($B192)*12+MONTH($B192)&lt;=YEAR($C$3)*12+MONTH($C$3)-1,$G192,0))</f>
        <v/>
      </c>
      <c r="P192" s="62">
        <f>$M192-$O192</f>
        <v/>
      </c>
      <c r="Q192" s="62">
        <f>($L192-$M192)-($N192-$O192)</f>
        <v/>
      </c>
      <c r="R192" s="62">
        <f>$L192-$N192</f>
        <v/>
      </c>
    </row>
    <row r="193">
      <c r="A193" s="59">
        <f>ROW()-5</f>
        <v/>
      </c>
      <c r="B193" s="60">
        <f>IFERROR(INDEX(tbl_Finance[Date],$A193),"")</f>
        <v/>
      </c>
      <c r="C193" s="61">
        <f>IFERROR(INDEX(tbl_Finance[Xero Invoice No],$A193),"")</f>
        <v/>
      </c>
      <c r="D193" s="61">
        <f>IFERROR(INDEX(tbl_Finance[Client],$A193),"")</f>
        <v/>
      </c>
      <c r="E193" s="61">
        <f>IFERROR(INDEX(tbl_Finance[Job Number],$A193),"")</f>
        <v/>
      </c>
      <c r="F193" s="61">
        <f>IFERROR(INDEX(tbl_Finance[Cost Centre],$A193),"")</f>
        <v/>
      </c>
      <c r="G193" s="62">
        <f>IFERROR(INDEX(tbl_Finance[Ex GST],$A193),"")</f>
        <v/>
      </c>
      <c r="H193" s="60">
        <f>IFERROR(INDEX(tbl_Finance[Defer Start],$A193),"")</f>
        <v/>
      </c>
      <c r="I193" s="60">
        <f>IFERROR(INDEX(tbl_Finance[Defer End],$A193),"")</f>
        <v/>
      </c>
      <c r="J193" s="59">
        <f>IF(OR($H193="",$I193="",$G193=""),"",MAX(1,(YEAR($I193)-YEAR($H193))*12+MONTH($I193)-MONTH($H193)+1))</f>
        <v/>
      </c>
      <c r="K193" s="62">
        <f>IF($J193="","",$G193/$J193)</f>
        <v/>
      </c>
      <c r="L193" s="62">
        <f>IF($J193="",0,$K193*MAX(0,MIN(YEAR($C$3)*12+MONTH($C$3),YEAR($I193)*12+MONTH($I193))-(YEAR($H193)*12+MONTH($H193))+1))</f>
        <v/>
      </c>
      <c r="M193" s="62">
        <f>IF($J193="",0,$K193*MAX(0,MIN(YEAR($C$3)*12+MONTH($C$3)-1,YEAR($I193)*12+MONTH($I193))-(YEAR($H193)*12+MONTH($H193))+1))</f>
        <v/>
      </c>
      <c r="N193" s="62">
        <f>IF(OR($J193="",$B193=""),0,IF(YEAR($B193)*12+MONTH($B193)&lt;=YEAR($C$3)*12+MONTH($C$3),$G193,0))</f>
        <v/>
      </c>
      <c r="O193" s="62">
        <f>IF(OR($J193="",$B193=""),0,IF(YEAR($B193)*12+MONTH($B193)&lt;=YEAR($C$3)*12+MONTH($C$3)-1,$G193,0))</f>
        <v/>
      </c>
      <c r="P193" s="62">
        <f>$M193-$O193</f>
        <v/>
      </c>
      <c r="Q193" s="62">
        <f>($L193-$M193)-($N193-$O193)</f>
        <v/>
      </c>
      <c r="R193" s="62">
        <f>$L193-$N193</f>
        <v/>
      </c>
    </row>
    <row r="194">
      <c r="A194" s="59">
        <f>ROW()-5</f>
        <v/>
      </c>
      <c r="B194" s="60">
        <f>IFERROR(INDEX(tbl_Finance[Date],$A194),"")</f>
        <v/>
      </c>
      <c r="C194" s="61">
        <f>IFERROR(INDEX(tbl_Finance[Xero Invoice No],$A194),"")</f>
        <v/>
      </c>
      <c r="D194" s="61">
        <f>IFERROR(INDEX(tbl_Finance[Client],$A194),"")</f>
        <v/>
      </c>
      <c r="E194" s="61">
        <f>IFERROR(INDEX(tbl_Finance[Job Number],$A194),"")</f>
        <v/>
      </c>
      <c r="F194" s="61">
        <f>IFERROR(INDEX(tbl_Finance[Cost Centre],$A194),"")</f>
        <v/>
      </c>
      <c r="G194" s="62">
        <f>IFERROR(INDEX(tbl_Finance[Ex GST],$A194),"")</f>
        <v/>
      </c>
      <c r="H194" s="60">
        <f>IFERROR(INDEX(tbl_Finance[Defer Start],$A194),"")</f>
        <v/>
      </c>
      <c r="I194" s="60">
        <f>IFERROR(INDEX(tbl_Finance[Defer End],$A194),"")</f>
        <v/>
      </c>
      <c r="J194" s="59">
        <f>IF(OR($H194="",$I194="",$G194=""),"",MAX(1,(YEAR($I194)-YEAR($H194))*12+MONTH($I194)-MONTH($H194)+1))</f>
        <v/>
      </c>
      <c r="K194" s="62">
        <f>IF($J194="","",$G194/$J194)</f>
        <v/>
      </c>
      <c r="L194" s="62">
        <f>IF($J194="",0,$K194*MAX(0,MIN(YEAR($C$3)*12+MONTH($C$3),YEAR($I194)*12+MONTH($I194))-(YEAR($H194)*12+MONTH($H194))+1))</f>
        <v/>
      </c>
      <c r="M194" s="62">
        <f>IF($J194="",0,$K194*MAX(0,MIN(YEAR($C$3)*12+MONTH($C$3)-1,YEAR($I194)*12+MONTH($I194))-(YEAR($H194)*12+MONTH($H194))+1))</f>
        <v/>
      </c>
      <c r="N194" s="62">
        <f>IF(OR($J194="",$B194=""),0,IF(YEAR($B194)*12+MONTH($B194)&lt;=YEAR($C$3)*12+MONTH($C$3),$G194,0))</f>
        <v/>
      </c>
      <c r="O194" s="62">
        <f>IF(OR($J194="",$B194=""),0,IF(YEAR($B194)*12+MONTH($B194)&lt;=YEAR($C$3)*12+MONTH($C$3)-1,$G194,0))</f>
        <v/>
      </c>
      <c r="P194" s="62">
        <f>$M194-$O194</f>
        <v/>
      </c>
      <c r="Q194" s="62">
        <f>($L194-$M194)-($N194-$O194)</f>
        <v/>
      </c>
      <c r="R194" s="62">
        <f>$L194-$N194</f>
        <v/>
      </c>
    </row>
    <row r="195">
      <c r="A195" s="59">
        <f>ROW()-5</f>
        <v/>
      </c>
      <c r="B195" s="60">
        <f>IFERROR(INDEX(tbl_Finance[Date],$A195),"")</f>
        <v/>
      </c>
      <c r="C195" s="61">
        <f>IFERROR(INDEX(tbl_Finance[Xero Invoice No],$A195),"")</f>
        <v/>
      </c>
      <c r="D195" s="61">
        <f>IFERROR(INDEX(tbl_Finance[Client],$A195),"")</f>
        <v/>
      </c>
      <c r="E195" s="61">
        <f>IFERROR(INDEX(tbl_Finance[Job Number],$A195),"")</f>
        <v/>
      </c>
      <c r="F195" s="61">
        <f>IFERROR(INDEX(tbl_Finance[Cost Centre],$A195),"")</f>
        <v/>
      </c>
      <c r="G195" s="62">
        <f>IFERROR(INDEX(tbl_Finance[Ex GST],$A195),"")</f>
        <v/>
      </c>
      <c r="H195" s="60">
        <f>IFERROR(INDEX(tbl_Finance[Defer Start],$A195),"")</f>
        <v/>
      </c>
      <c r="I195" s="60">
        <f>IFERROR(INDEX(tbl_Finance[Defer End],$A195),"")</f>
        <v/>
      </c>
      <c r="J195" s="59">
        <f>IF(OR($H195="",$I195="",$G195=""),"",MAX(1,(YEAR($I195)-YEAR($H195))*12+MONTH($I195)-MONTH($H195)+1))</f>
        <v/>
      </c>
      <c r="K195" s="62">
        <f>IF($J195="","",$G195/$J195)</f>
        <v/>
      </c>
      <c r="L195" s="62">
        <f>IF($J195="",0,$K195*MAX(0,MIN(YEAR($C$3)*12+MONTH($C$3),YEAR($I195)*12+MONTH($I195))-(YEAR($H195)*12+MONTH($H195))+1))</f>
        <v/>
      </c>
      <c r="M195" s="62">
        <f>IF($J195="",0,$K195*MAX(0,MIN(YEAR($C$3)*12+MONTH($C$3)-1,YEAR($I195)*12+MONTH($I195))-(YEAR($H195)*12+MONTH($H195))+1))</f>
        <v/>
      </c>
      <c r="N195" s="62">
        <f>IF(OR($J195="",$B195=""),0,IF(YEAR($B195)*12+MONTH($B195)&lt;=YEAR($C$3)*12+MONTH($C$3),$G195,0))</f>
        <v/>
      </c>
      <c r="O195" s="62">
        <f>IF(OR($J195="",$B195=""),0,IF(YEAR($B195)*12+MONTH($B195)&lt;=YEAR($C$3)*12+MONTH($C$3)-1,$G195,0))</f>
        <v/>
      </c>
      <c r="P195" s="62">
        <f>$M195-$O195</f>
        <v/>
      </c>
      <c r="Q195" s="62">
        <f>($L195-$M195)-($N195-$O195)</f>
        <v/>
      </c>
      <c r="R195" s="62">
        <f>$L195-$N195</f>
        <v/>
      </c>
    </row>
    <row r="196">
      <c r="A196" s="59">
        <f>ROW()-5</f>
        <v/>
      </c>
      <c r="B196" s="60">
        <f>IFERROR(INDEX(tbl_Finance[Date],$A196),"")</f>
        <v/>
      </c>
      <c r="C196" s="61">
        <f>IFERROR(INDEX(tbl_Finance[Xero Invoice No],$A196),"")</f>
        <v/>
      </c>
      <c r="D196" s="61">
        <f>IFERROR(INDEX(tbl_Finance[Client],$A196),"")</f>
        <v/>
      </c>
      <c r="E196" s="61">
        <f>IFERROR(INDEX(tbl_Finance[Job Number],$A196),"")</f>
        <v/>
      </c>
      <c r="F196" s="61">
        <f>IFERROR(INDEX(tbl_Finance[Cost Centre],$A196),"")</f>
        <v/>
      </c>
      <c r="G196" s="62">
        <f>IFERROR(INDEX(tbl_Finance[Ex GST],$A196),"")</f>
        <v/>
      </c>
      <c r="H196" s="60">
        <f>IFERROR(INDEX(tbl_Finance[Defer Start],$A196),"")</f>
        <v/>
      </c>
      <c r="I196" s="60">
        <f>IFERROR(INDEX(tbl_Finance[Defer End],$A196),"")</f>
        <v/>
      </c>
      <c r="J196" s="59">
        <f>IF(OR($H196="",$I196="",$G196=""),"",MAX(1,(YEAR($I196)-YEAR($H196))*12+MONTH($I196)-MONTH($H196)+1))</f>
        <v/>
      </c>
      <c r="K196" s="62">
        <f>IF($J196="","",$G196/$J196)</f>
        <v/>
      </c>
      <c r="L196" s="62">
        <f>IF($J196="",0,$K196*MAX(0,MIN(YEAR($C$3)*12+MONTH($C$3),YEAR($I196)*12+MONTH($I196))-(YEAR($H196)*12+MONTH($H196))+1))</f>
        <v/>
      </c>
      <c r="M196" s="62">
        <f>IF($J196="",0,$K196*MAX(0,MIN(YEAR($C$3)*12+MONTH($C$3)-1,YEAR($I196)*12+MONTH($I196))-(YEAR($H196)*12+MONTH($H196))+1))</f>
        <v/>
      </c>
      <c r="N196" s="62">
        <f>IF(OR($J196="",$B196=""),0,IF(YEAR($B196)*12+MONTH($B196)&lt;=YEAR($C$3)*12+MONTH($C$3),$G196,0))</f>
        <v/>
      </c>
      <c r="O196" s="62">
        <f>IF(OR($J196="",$B196=""),0,IF(YEAR($B196)*12+MONTH($B196)&lt;=YEAR($C$3)*12+MONTH($C$3)-1,$G196,0))</f>
        <v/>
      </c>
      <c r="P196" s="62">
        <f>$M196-$O196</f>
        <v/>
      </c>
      <c r="Q196" s="62">
        <f>($L196-$M196)-($N196-$O196)</f>
        <v/>
      </c>
      <c r="R196" s="62">
        <f>$L196-$N196</f>
        <v/>
      </c>
    </row>
    <row r="197">
      <c r="A197" s="59">
        <f>ROW()-5</f>
        <v/>
      </c>
      <c r="B197" s="60">
        <f>IFERROR(INDEX(tbl_Finance[Date],$A197),"")</f>
        <v/>
      </c>
      <c r="C197" s="61">
        <f>IFERROR(INDEX(tbl_Finance[Xero Invoice No],$A197),"")</f>
        <v/>
      </c>
      <c r="D197" s="61">
        <f>IFERROR(INDEX(tbl_Finance[Client],$A197),"")</f>
        <v/>
      </c>
      <c r="E197" s="61">
        <f>IFERROR(INDEX(tbl_Finance[Job Number],$A197),"")</f>
        <v/>
      </c>
      <c r="F197" s="61">
        <f>IFERROR(INDEX(tbl_Finance[Cost Centre],$A197),"")</f>
        <v/>
      </c>
      <c r="G197" s="62">
        <f>IFERROR(INDEX(tbl_Finance[Ex GST],$A197),"")</f>
        <v/>
      </c>
      <c r="H197" s="60">
        <f>IFERROR(INDEX(tbl_Finance[Defer Start],$A197),"")</f>
        <v/>
      </c>
      <c r="I197" s="60">
        <f>IFERROR(INDEX(tbl_Finance[Defer End],$A197),"")</f>
        <v/>
      </c>
      <c r="J197" s="59">
        <f>IF(OR($H197="",$I197="",$G197=""),"",MAX(1,(YEAR($I197)-YEAR($H197))*12+MONTH($I197)-MONTH($H197)+1))</f>
        <v/>
      </c>
      <c r="K197" s="62">
        <f>IF($J197="","",$G197/$J197)</f>
        <v/>
      </c>
      <c r="L197" s="62">
        <f>IF($J197="",0,$K197*MAX(0,MIN(YEAR($C$3)*12+MONTH($C$3),YEAR($I197)*12+MONTH($I197))-(YEAR($H197)*12+MONTH($H197))+1))</f>
        <v/>
      </c>
      <c r="M197" s="62">
        <f>IF($J197="",0,$K197*MAX(0,MIN(YEAR($C$3)*12+MONTH($C$3)-1,YEAR($I197)*12+MONTH($I197))-(YEAR($H197)*12+MONTH($H197))+1))</f>
        <v/>
      </c>
      <c r="N197" s="62">
        <f>IF(OR($J197="",$B197=""),0,IF(YEAR($B197)*12+MONTH($B197)&lt;=YEAR($C$3)*12+MONTH($C$3),$G197,0))</f>
        <v/>
      </c>
      <c r="O197" s="62">
        <f>IF(OR($J197="",$B197=""),0,IF(YEAR($B197)*12+MONTH($B197)&lt;=YEAR($C$3)*12+MONTH($C$3)-1,$G197,0))</f>
        <v/>
      </c>
      <c r="P197" s="62">
        <f>$M197-$O197</f>
        <v/>
      </c>
      <c r="Q197" s="62">
        <f>($L197-$M197)-($N197-$O197)</f>
        <v/>
      </c>
      <c r="R197" s="62">
        <f>$L197-$N197</f>
        <v/>
      </c>
    </row>
    <row r="198">
      <c r="A198" s="59">
        <f>ROW()-5</f>
        <v/>
      </c>
      <c r="B198" s="60">
        <f>IFERROR(INDEX(tbl_Finance[Date],$A198),"")</f>
        <v/>
      </c>
      <c r="C198" s="61">
        <f>IFERROR(INDEX(tbl_Finance[Xero Invoice No],$A198),"")</f>
        <v/>
      </c>
      <c r="D198" s="61">
        <f>IFERROR(INDEX(tbl_Finance[Client],$A198),"")</f>
        <v/>
      </c>
      <c r="E198" s="61">
        <f>IFERROR(INDEX(tbl_Finance[Job Number],$A198),"")</f>
        <v/>
      </c>
      <c r="F198" s="61">
        <f>IFERROR(INDEX(tbl_Finance[Cost Centre],$A198),"")</f>
        <v/>
      </c>
      <c r="G198" s="62">
        <f>IFERROR(INDEX(tbl_Finance[Ex GST],$A198),"")</f>
        <v/>
      </c>
      <c r="H198" s="60">
        <f>IFERROR(INDEX(tbl_Finance[Defer Start],$A198),"")</f>
        <v/>
      </c>
      <c r="I198" s="60">
        <f>IFERROR(INDEX(tbl_Finance[Defer End],$A198),"")</f>
        <v/>
      </c>
      <c r="J198" s="59">
        <f>IF(OR($H198="",$I198="",$G198=""),"",MAX(1,(YEAR($I198)-YEAR($H198))*12+MONTH($I198)-MONTH($H198)+1))</f>
        <v/>
      </c>
      <c r="K198" s="62">
        <f>IF($J198="","",$G198/$J198)</f>
        <v/>
      </c>
      <c r="L198" s="62">
        <f>IF($J198="",0,$K198*MAX(0,MIN(YEAR($C$3)*12+MONTH($C$3),YEAR($I198)*12+MONTH($I198))-(YEAR($H198)*12+MONTH($H198))+1))</f>
        <v/>
      </c>
      <c r="M198" s="62">
        <f>IF($J198="",0,$K198*MAX(0,MIN(YEAR($C$3)*12+MONTH($C$3)-1,YEAR($I198)*12+MONTH($I198))-(YEAR($H198)*12+MONTH($H198))+1))</f>
        <v/>
      </c>
      <c r="N198" s="62">
        <f>IF(OR($J198="",$B198=""),0,IF(YEAR($B198)*12+MONTH($B198)&lt;=YEAR($C$3)*12+MONTH($C$3),$G198,0))</f>
        <v/>
      </c>
      <c r="O198" s="62">
        <f>IF(OR($J198="",$B198=""),0,IF(YEAR($B198)*12+MONTH($B198)&lt;=YEAR($C$3)*12+MONTH($C$3)-1,$G198,0))</f>
        <v/>
      </c>
      <c r="P198" s="62">
        <f>$M198-$O198</f>
        <v/>
      </c>
      <c r="Q198" s="62">
        <f>($L198-$M198)-($N198-$O198)</f>
        <v/>
      </c>
      <c r="R198" s="62">
        <f>$L198-$N198</f>
        <v/>
      </c>
    </row>
    <row r="199">
      <c r="A199" s="59">
        <f>ROW()-5</f>
        <v/>
      </c>
      <c r="B199" s="60">
        <f>IFERROR(INDEX(tbl_Finance[Date],$A199),"")</f>
        <v/>
      </c>
      <c r="C199" s="61">
        <f>IFERROR(INDEX(tbl_Finance[Xero Invoice No],$A199),"")</f>
        <v/>
      </c>
      <c r="D199" s="61">
        <f>IFERROR(INDEX(tbl_Finance[Client],$A199),"")</f>
        <v/>
      </c>
      <c r="E199" s="61">
        <f>IFERROR(INDEX(tbl_Finance[Job Number],$A199),"")</f>
        <v/>
      </c>
      <c r="F199" s="61">
        <f>IFERROR(INDEX(tbl_Finance[Cost Centre],$A199),"")</f>
        <v/>
      </c>
      <c r="G199" s="62">
        <f>IFERROR(INDEX(tbl_Finance[Ex GST],$A199),"")</f>
        <v/>
      </c>
      <c r="H199" s="60">
        <f>IFERROR(INDEX(tbl_Finance[Defer Start],$A199),"")</f>
        <v/>
      </c>
      <c r="I199" s="60">
        <f>IFERROR(INDEX(tbl_Finance[Defer End],$A199),"")</f>
        <v/>
      </c>
      <c r="J199" s="59">
        <f>IF(OR($H199="",$I199="",$G199=""),"",MAX(1,(YEAR($I199)-YEAR($H199))*12+MONTH($I199)-MONTH($H199)+1))</f>
        <v/>
      </c>
      <c r="K199" s="62">
        <f>IF($J199="","",$G199/$J199)</f>
        <v/>
      </c>
      <c r="L199" s="62">
        <f>IF($J199="",0,$K199*MAX(0,MIN(YEAR($C$3)*12+MONTH($C$3),YEAR($I199)*12+MONTH($I199))-(YEAR($H199)*12+MONTH($H199))+1))</f>
        <v/>
      </c>
      <c r="M199" s="62">
        <f>IF($J199="",0,$K199*MAX(0,MIN(YEAR($C$3)*12+MONTH($C$3)-1,YEAR($I199)*12+MONTH($I199))-(YEAR($H199)*12+MONTH($H199))+1))</f>
        <v/>
      </c>
      <c r="N199" s="62">
        <f>IF(OR($J199="",$B199=""),0,IF(YEAR($B199)*12+MONTH($B199)&lt;=YEAR($C$3)*12+MONTH($C$3),$G199,0))</f>
        <v/>
      </c>
      <c r="O199" s="62">
        <f>IF(OR($J199="",$B199=""),0,IF(YEAR($B199)*12+MONTH($B199)&lt;=YEAR($C$3)*12+MONTH($C$3)-1,$G199,0))</f>
        <v/>
      </c>
      <c r="P199" s="62">
        <f>$M199-$O199</f>
        <v/>
      </c>
      <c r="Q199" s="62">
        <f>($L199-$M199)-($N199-$O199)</f>
        <v/>
      </c>
      <c r="R199" s="62">
        <f>$L199-$N199</f>
        <v/>
      </c>
    </row>
    <row r="200">
      <c r="A200" s="59">
        <f>ROW()-5</f>
        <v/>
      </c>
      <c r="B200" s="60">
        <f>IFERROR(INDEX(tbl_Finance[Date],$A200),"")</f>
        <v/>
      </c>
      <c r="C200" s="61">
        <f>IFERROR(INDEX(tbl_Finance[Xero Invoice No],$A200),"")</f>
        <v/>
      </c>
      <c r="D200" s="61">
        <f>IFERROR(INDEX(tbl_Finance[Client],$A200),"")</f>
        <v/>
      </c>
      <c r="E200" s="61">
        <f>IFERROR(INDEX(tbl_Finance[Job Number],$A200),"")</f>
        <v/>
      </c>
      <c r="F200" s="61">
        <f>IFERROR(INDEX(tbl_Finance[Cost Centre],$A200),"")</f>
        <v/>
      </c>
      <c r="G200" s="62">
        <f>IFERROR(INDEX(tbl_Finance[Ex GST],$A200),"")</f>
        <v/>
      </c>
      <c r="H200" s="60">
        <f>IFERROR(INDEX(tbl_Finance[Defer Start],$A200),"")</f>
        <v/>
      </c>
      <c r="I200" s="60">
        <f>IFERROR(INDEX(tbl_Finance[Defer End],$A200),"")</f>
        <v/>
      </c>
      <c r="J200" s="59">
        <f>IF(OR($H200="",$I200="",$G200=""),"",MAX(1,(YEAR($I200)-YEAR($H200))*12+MONTH($I200)-MONTH($H200)+1))</f>
        <v/>
      </c>
      <c r="K200" s="62">
        <f>IF($J200="","",$G200/$J200)</f>
        <v/>
      </c>
      <c r="L200" s="62">
        <f>IF($J200="",0,$K200*MAX(0,MIN(YEAR($C$3)*12+MONTH($C$3),YEAR($I200)*12+MONTH($I200))-(YEAR($H200)*12+MONTH($H200))+1))</f>
        <v/>
      </c>
      <c r="M200" s="62">
        <f>IF($J200="",0,$K200*MAX(0,MIN(YEAR($C$3)*12+MONTH($C$3)-1,YEAR($I200)*12+MONTH($I200))-(YEAR($H200)*12+MONTH($H200))+1))</f>
        <v/>
      </c>
      <c r="N200" s="62">
        <f>IF(OR($J200="",$B200=""),0,IF(YEAR($B200)*12+MONTH($B200)&lt;=YEAR($C$3)*12+MONTH($C$3),$G200,0))</f>
        <v/>
      </c>
      <c r="O200" s="62">
        <f>IF(OR($J200="",$B200=""),0,IF(YEAR($B200)*12+MONTH($B200)&lt;=YEAR($C$3)*12+MONTH($C$3)-1,$G200,0))</f>
        <v/>
      </c>
      <c r="P200" s="62">
        <f>$M200-$O200</f>
        <v/>
      </c>
      <c r="Q200" s="62">
        <f>($L200-$M200)-($N200-$O200)</f>
        <v/>
      </c>
      <c r="R200" s="62">
        <f>$L200-$N200</f>
        <v/>
      </c>
    </row>
    <row r="201">
      <c r="A201" s="59">
        <f>ROW()-5</f>
        <v/>
      </c>
      <c r="B201" s="60">
        <f>IFERROR(INDEX(tbl_Finance[Date],$A201),"")</f>
        <v/>
      </c>
      <c r="C201" s="61">
        <f>IFERROR(INDEX(tbl_Finance[Xero Invoice No],$A201),"")</f>
        <v/>
      </c>
      <c r="D201" s="61">
        <f>IFERROR(INDEX(tbl_Finance[Client],$A201),"")</f>
        <v/>
      </c>
      <c r="E201" s="61">
        <f>IFERROR(INDEX(tbl_Finance[Job Number],$A201),"")</f>
        <v/>
      </c>
      <c r="F201" s="61">
        <f>IFERROR(INDEX(tbl_Finance[Cost Centre],$A201),"")</f>
        <v/>
      </c>
      <c r="G201" s="62">
        <f>IFERROR(INDEX(tbl_Finance[Ex GST],$A201),"")</f>
        <v/>
      </c>
      <c r="H201" s="60">
        <f>IFERROR(INDEX(tbl_Finance[Defer Start],$A201),"")</f>
        <v/>
      </c>
      <c r="I201" s="60">
        <f>IFERROR(INDEX(tbl_Finance[Defer End],$A201),"")</f>
        <v/>
      </c>
      <c r="J201" s="59">
        <f>IF(OR($H201="",$I201="",$G201=""),"",MAX(1,(YEAR($I201)-YEAR($H201))*12+MONTH($I201)-MONTH($H201)+1))</f>
        <v/>
      </c>
      <c r="K201" s="62">
        <f>IF($J201="","",$G201/$J201)</f>
        <v/>
      </c>
      <c r="L201" s="62">
        <f>IF($J201="",0,$K201*MAX(0,MIN(YEAR($C$3)*12+MONTH($C$3),YEAR($I201)*12+MONTH($I201))-(YEAR($H201)*12+MONTH($H201))+1))</f>
        <v/>
      </c>
      <c r="M201" s="62">
        <f>IF($J201="",0,$K201*MAX(0,MIN(YEAR($C$3)*12+MONTH($C$3)-1,YEAR($I201)*12+MONTH($I201))-(YEAR($H201)*12+MONTH($H201))+1))</f>
        <v/>
      </c>
      <c r="N201" s="62">
        <f>IF(OR($J201="",$B201=""),0,IF(YEAR($B201)*12+MONTH($B201)&lt;=YEAR($C$3)*12+MONTH($C$3),$G201,0))</f>
        <v/>
      </c>
      <c r="O201" s="62">
        <f>IF(OR($J201="",$B201=""),0,IF(YEAR($B201)*12+MONTH($B201)&lt;=YEAR($C$3)*12+MONTH($C$3)-1,$G201,0))</f>
        <v/>
      </c>
      <c r="P201" s="62">
        <f>$M201-$O201</f>
        <v/>
      </c>
      <c r="Q201" s="62">
        <f>($L201-$M201)-($N201-$O201)</f>
        <v/>
      </c>
      <c r="R201" s="62">
        <f>$L201-$N201</f>
        <v/>
      </c>
    </row>
    <row r="202">
      <c r="A202" s="59">
        <f>ROW()-5</f>
        <v/>
      </c>
      <c r="B202" s="60">
        <f>IFERROR(INDEX(tbl_Finance[Date],$A202),"")</f>
        <v/>
      </c>
      <c r="C202" s="61">
        <f>IFERROR(INDEX(tbl_Finance[Xero Invoice No],$A202),"")</f>
        <v/>
      </c>
      <c r="D202" s="61">
        <f>IFERROR(INDEX(tbl_Finance[Client],$A202),"")</f>
        <v/>
      </c>
      <c r="E202" s="61">
        <f>IFERROR(INDEX(tbl_Finance[Job Number],$A202),"")</f>
        <v/>
      </c>
      <c r="F202" s="61">
        <f>IFERROR(INDEX(tbl_Finance[Cost Centre],$A202),"")</f>
        <v/>
      </c>
      <c r="G202" s="62">
        <f>IFERROR(INDEX(tbl_Finance[Ex GST],$A202),"")</f>
        <v/>
      </c>
      <c r="H202" s="60">
        <f>IFERROR(INDEX(tbl_Finance[Defer Start],$A202),"")</f>
        <v/>
      </c>
      <c r="I202" s="60">
        <f>IFERROR(INDEX(tbl_Finance[Defer End],$A202),"")</f>
        <v/>
      </c>
      <c r="J202" s="59">
        <f>IF(OR($H202="",$I202="",$G202=""),"",MAX(1,(YEAR($I202)-YEAR($H202))*12+MONTH($I202)-MONTH($H202)+1))</f>
        <v/>
      </c>
      <c r="K202" s="62">
        <f>IF($J202="","",$G202/$J202)</f>
        <v/>
      </c>
      <c r="L202" s="62">
        <f>IF($J202="",0,$K202*MAX(0,MIN(YEAR($C$3)*12+MONTH($C$3),YEAR($I202)*12+MONTH($I202))-(YEAR($H202)*12+MONTH($H202))+1))</f>
        <v/>
      </c>
      <c r="M202" s="62">
        <f>IF($J202="",0,$K202*MAX(0,MIN(YEAR($C$3)*12+MONTH($C$3)-1,YEAR($I202)*12+MONTH($I202))-(YEAR($H202)*12+MONTH($H202))+1))</f>
        <v/>
      </c>
      <c r="N202" s="62">
        <f>IF(OR($J202="",$B202=""),0,IF(YEAR($B202)*12+MONTH($B202)&lt;=YEAR($C$3)*12+MONTH($C$3),$G202,0))</f>
        <v/>
      </c>
      <c r="O202" s="62">
        <f>IF(OR($J202="",$B202=""),0,IF(YEAR($B202)*12+MONTH($B202)&lt;=YEAR($C$3)*12+MONTH($C$3)-1,$G202,0))</f>
        <v/>
      </c>
      <c r="P202" s="62">
        <f>$M202-$O202</f>
        <v/>
      </c>
      <c r="Q202" s="62">
        <f>($L202-$M202)-($N202-$O202)</f>
        <v/>
      </c>
      <c r="R202" s="62">
        <f>$L202-$N202</f>
        <v/>
      </c>
    </row>
    <row r="203">
      <c r="A203" s="59">
        <f>ROW()-5</f>
        <v/>
      </c>
      <c r="B203" s="60">
        <f>IFERROR(INDEX(tbl_Finance[Date],$A203),"")</f>
        <v/>
      </c>
      <c r="C203" s="61">
        <f>IFERROR(INDEX(tbl_Finance[Xero Invoice No],$A203),"")</f>
        <v/>
      </c>
      <c r="D203" s="61">
        <f>IFERROR(INDEX(tbl_Finance[Client],$A203),"")</f>
        <v/>
      </c>
      <c r="E203" s="61">
        <f>IFERROR(INDEX(tbl_Finance[Job Number],$A203),"")</f>
        <v/>
      </c>
      <c r="F203" s="61">
        <f>IFERROR(INDEX(tbl_Finance[Cost Centre],$A203),"")</f>
        <v/>
      </c>
      <c r="G203" s="62">
        <f>IFERROR(INDEX(tbl_Finance[Ex GST],$A203),"")</f>
        <v/>
      </c>
      <c r="H203" s="60">
        <f>IFERROR(INDEX(tbl_Finance[Defer Start],$A203),"")</f>
        <v/>
      </c>
      <c r="I203" s="60">
        <f>IFERROR(INDEX(tbl_Finance[Defer End],$A203),"")</f>
        <v/>
      </c>
      <c r="J203" s="59">
        <f>IF(OR($H203="",$I203="",$G203=""),"",MAX(1,(YEAR($I203)-YEAR($H203))*12+MONTH($I203)-MONTH($H203)+1))</f>
        <v/>
      </c>
      <c r="K203" s="62">
        <f>IF($J203="","",$G203/$J203)</f>
        <v/>
      </c>
      <c r="L203" s="62">
        <f>IF($J203="",0,$K203*MAX(0,MIN(YEAR($C$3)*12+MONTH($C$3),YEAR($I203)*12+MONTH($I203))-(YEAR($H203)*12+MONTH($H203))+1))</f>
        <v/>
      </c>
      <c r="M203" s="62">
        <f>IF($J203="",0,$K203*MAX(0,MIN(YEAR($C$3)*12+MONTH($C$3)-1,YEAR($I203)*12+MONTH($I203))-(YEAR($H203)*12+MONTH($H203))+1))</f>
        <v/>
      </c>
      <c r="N203" s="62">
        <f>IF(OR($J203="",$B203=""),0,IF(YEAR($B203)*12+MONTH($B203)&lt;=YEAR($C$3)*12+MONTH($C$3),$G203,0))</f>
        <v/>
      </c>
      <c r="O203" s="62">
        <f>IF(OR($J203="",$B203=""),0,IF(YEAR($B203)*12+MONTH($B203)&lt;=YEAR($C$3)*12+MONTH($C$3)-1,$G203,0))</f>
        <v/>
      </c>
      <c r="P203" s="62">
        <f>$M203-$O203</f>
        <v/>
      </c>
      <c r="Q203" s="62">
        <f>($L203-$M203)-($N203-$O203)</f>
        <v/>
      </c>
      <c r="R203" s="62">
        <f>$L203-$N203</f>
        <v/>
      </c>
    </row>
    <row r="204">
      <c r="A204" s="59">
        <f>ROW()-5</f>
        <v/>
      </c>
      <c r="B204" s="60">
        <f>IFERROR(INDEX(tbl_Finance[Date],$A204),"")</f>
        <v/>
      </c>
      <c r="C204" s="61">
        <f>IFERROR(INDEX(tbl_Finance[Xero Invoice No],$A204),"")</f>
        <v/>
      </c>
      <c r="D204" s="61">
        <f>IFERROR(INDEX(tbl_Finance[Client],$A204),"")</f>
        <v/>
      </c>
      <c r="E204" s="61">
        <f>IFERROR(INDEX(tbl_Finance[Job Number],$A204),"")</f>
        <v/>
      </c>
      <c r="F204" s="61">
        <f>IFERROR(INDEX(tbl_Finance[Cost Centre],$A204),"")</f>
        <v/>
      </c>
      <c r="G204" s="62">
        <f>IFERROR(INDEX(tbl_Finance[Ex GST],$A204),"")</f>
        <v/>
      </c>
      <c r="H204" s="60">
        <f>IFERROR(INDEX(tbl_Finance[Defer Start],$A204),"")</f>
        <v/>
      </c>
      <c r="I204" s="60">
        <f>IFERROR(INDEX(tbl_Finance[Defer End],$A204),"")</f>
        <v/>
      </c>
      <c r="J204" s="59">
        <f>IF(OR($H204="",$I204="",$G204=""),"",MAX(1,(YEAR($I204)-YEAR($H204))*12+MONTH($I204)-MONTH($H204)+1))</f>
        <v/>
      </c>
      <c r="K204" s="62">
        <f>IF($J204="","",$G204/$J204)</f>
        <v/>
      </c>
      <c r="L204" s="62">
        <f>IF($J204="",0,$K204*MAX(0,MIN(YEAR($C$3)*12+MONTH($C$3),YEAR($I204)*12+MONTH($I204))-(YEAR($H204)*12+MONTH($H204))+1))</f>
        <v/>
      </c>
      <c r="M204" s="62">
        <f>IF($J204="",0,$K204*MAX(0,MIN(YEAR($C$3)*12+MONTH($C$3)-1,YEAR($I204)*12+MONTH($I204))-(YEAR($H204)*12+MONTH($H204))+1))</f>
        <v/>
      </c>
      <c r="N204" s="62">
        <f>IF(OR($J204="",$B204=""),0,IF(YEAR($B204)*12+MONTH($B204)&lt;=YEAR($C$3)*12+MONTH($C$3),$G204,0))</f>
        <v/>
      </c>
      <c r="O204" s="62">
        <f>IF(OR($J204="",$B204=""),0,IF(YEAR($B204)*12+MONTH($B204)&lt;=YEAR($C$3)*12+MONTH($C$3)-1,$G204,0))</f>
        <v/>
      </c>
      <c r="P204" s="62">
        <f>$M204-$O204</f>
        <v/>
      </c>
      <c r="Q204" s="62">
        <f>($L204-$M204)-($N204-$O204)</f>
        <v/>
      </c>
      <c r="R204" s="62">
        <f>$L204-$N204</f>
        <v/>
      </c>
    </row>
    <row r="205">
      <c r="A205" s="59">
        <f>ROW()-5</f>
        <v/>
      </c>
      <c r="B205" s="60">
        <f>IFERROR(INDEX(tbl_Finance[Date],$A205),"")</f>
        <v/>
      </c>
      <c r="C205" s="61">
        <f>IFERROR(INDEX(tbl_Finance[Xero Invoice No],$A205),"")</f>
        <v/>
      </c>
      <c r="D205" s="61">
        <f>IFERROR(INDEX(tbl_Finance[Client],$A205),"")</f>
        <v/>
      </c>
      <c r="E205" s="61">
        <f>IFERROR(INDEX(tbl_Finance[Job Number],$A205),"")</f>
        <v/>
      </c>
      <c r="F205" s="61">
        <f>IFERROR(INDEX(tbl_Finance[Cost Centre],$A205),"")</f>
        <v/>
      </c>
      <c r="G205" s="62">
        <f>IFERROR(INDEX(tbl_Finance[Ex GST],$A205),"")</f>
        <v/>
      </c>
      <c r="H205" s="60">
        <f>IFERROR(INDEX(tbl_Finance[Defer Start],$A205),"")</f>
        <v/>
      </c>
      <c r="I205" s="60">
        <f>IFERROR(INDEX(tbl_Finance[Defer End],$A205),"")</f>
        <v/>
      </c>
      <c r="J205" s="59">
        <f>IF(OR($H205="",$I205="",$G205=""),"",MAX(1,(YEAR($I205)-YEAR($H205))*12+MONTH($I205)-MONTH($H205)+1))</f>
        <v/>
      </c>
      <c r="K205" s="62">
        <f>IF($J205="","",$G205/$J205)</f>
        <v/>
      </c>
      <c r="L205" s="62">
        <f>IF($J205="",0,$K205*MAX(0,MIN(YEAR($C$3)*12+MONTH($C$3),YEAR($I205)*12+MONTH($I205))-(YEAR($H205)*12+MONTH($H205))+1))</f>
        <v/>
      </c>
      <c r="M205" s="62">
        <f>IF($J205="",0,$K205*MAX(0,MIN(YEAR($C$3)*12+MONTH($C$3)-1,YEAR($I205)*12+MONTH($I205))-(YEAR($H205)*12+MONTH($H205))+1))</f>
        <v/>
      </c>
      <c r="N205" s="62">
        <f>IF(OR($J205="",$B205=""),0,IF(YEAR($B205)*12+MONTH($B205)&lt;=YEAR($C$3)*12+MONTH($C$3),$G205,0))</f>
        <v/>
      </c>
      <c r="O205" s="62">
        <f>IF(OR($J205="",$B205=""),0,IF(YEAR($B205)*12+MONTH($B205)&lt;=YEAR($C$3)*12+MONTH($C$3)-1,$G205,0))</f>
        <v/>
      </c>
      <c r="P205" s="62">
        <f>$M205-$O205</f>
        <v/>
      </c>
      <c r="Q205" s="62">
        <f>($L205-$M205)-($N205-$O205)</f>
        <v/>
      </c>
      <c r="R205" s="62">
        <f>$L205-$N205</f>
        <v/>
      </c>
    </row>
    <row r="206">
      <c r="A206" s="59">
        <f>ROW()-5</f>
        <v/>
      </c>
      <c r="B206" s="60">
        <f>IFERROR(INDEX(tbl_Finance[Date],$A206),"")</f>
        <v/>
      </c>
      <c r="C206" s="61">
        <f>IFERROR(INDEX(tbl_Finance[Xero Invoice No],$A206),"")</f>
        <v/>
      </c>
      <c r="D206" s="61">
        <f>IFERROR(INDEX(tbl_Finance[Client],$A206),"")</f>
        <v/>
      </c>
      <c r="E206" s="61">
        <f>IFERROR(INDEX(tbl_Finance[Job Number],$A206),"")</f>
        <v/>
      </c>
      <c r="F206" s="61">
        <f>IFERROR(INDEX(tbl_Finance[Cost Centre],$A206),"")</f>
        <v/>
      </c>
      <c r="G206" s="62">
        <f>IFERROR(INDEX(tbl_Finance[Ex GST],$A206),"")</f>
        <v/>
      </c>
      <c r="H206" s="60">
        <f>IFERROR(INDEX(tbl_Finance[Defer Start],$A206),"")</f>
        <v/>
      </c>
      <c r="I206" s="60">
        <f>IFERROR(INDEX(tbl_Finance[Defer End],$A206),"")</f>
        <v/>
      </c>
      <c r="J206" s="59">
        <f>IF(OR($H206="",$I206="",$G206=""),"",MAX(1,(YEAR($I206)-YEAR($H206))*12+MONTH($I206)-MONTH($H206)+1))</f>
        <v/>
      </c>
      <c r="K206" s="62">
        <f>IF($J206="","",$G206/$J206)</f>
        <v/>
      </c>
      <c r="L206" s="62">
        <f>IF($J206="",0,$K206*MAX(0,MIN(YEAR($C$3)*12+MONTH($C$3),YEAR($I206)*12+MONTH($I206))-(YEAR($H206)*12+MONTH($H206))+1))</f>
        <v/>
      </c>
      <c r="M206" s="62">
        <f>IF($J206="",0,$K206*MAX(0,MIN(YEAR($C$3)*12+MONTH($C$3)-1,YEAR($I206)*12+MONTH($I206))-(YEAR($H206)*12+MONTH($H206))+1))</f>
        <v/>
      </c>
      <c r="N206" s="62">
        <f>IF(OR($J206="",$B206=""),0,IF(YEAR($B206)*12+MONTH($B206)&lt;=YEAR($C$3)*12+MONTH($C$3),$G206,0))</f>
        <v/>
      </c>
      <c r="O206" s="62">
        <f>IF(OR($J206="",$B206=""),0,IF(YEAR($B206)*12+MONTH($B206)&lt;=YEAR($C$3)*12+MONTH($C$3)-1,$G206,0))</f>
        <v/>
      </c>
      <c r="P206" s="62">
        <f>$M206-$O206</f>
        <v/>
      </c>
      <c r="Q206" s="62">
        <f>($L206-$M206)-($N206-$O206)</f>
        <v/>
      </c>
      <c r="R206" s="62">
        <f>$L206-$N206</f>
        <v/>
      </c>
    </row>
    <row r="207">
      <c r="A207" s="59">
        <f>ROW()-5</f>
        <v/>
      </c>
      <c r="B207" s="60">
        <f>IFERROR(INDEX(tbl_Finance[Date],$A207),"")</f>
        <v/>
      </c>
      <c r="C207" s="61">
        <f>IFERROR(INDEX(tbl_Finance[Xero Invoice No],$A207),"")</f>
        <v/>
      </c>
      <c r="D207" s="61">
        <f>IFERROR(INDEX(tbl_Finance[Client],$A207),"")</f>
        <v/>
      </c>
      <c r="E207" s="61">
        <f>IFERROR(INDEX(tbl_Finance[Job Number],$A207),"")</f>
        <v/>
      </c>
      <c r="F207" s="61">
        <f>IFERROR(INDEX(tbl_Finance[Cost Centre],$A207),"")</f>
        <v/>
      </c>
      <c r="G207" s="62">
        <f>IFERROR(INDEX(tbl_Finance[Ex GST],$A207),"")</f>
        <v/>
      </c>
      <c r="H207" s="60">
        <f>IFERROR(INDEX(tbl_Finance[Defer Start],$A207),"")</f>
        <v/>
      </c>
      <c r="I207" s="60">
        <f>IFERROR(INDEX(tbl_Finance[Defer End],$A207),"")</f>
        <v/>
      </c>
      <c r="J207" s="59">
        <f>IF(OR($H207="",$I207="",$G207=""),"",MAX(1,(YEAR($I207)-YEAR($H207))*12+MONTH($I207)-MONTH($H207)+1))</f>
        <v/>
      </c>
      <c r="K207" s="62">
        <f>IF($J207="","",$G207/$J207)</f>
        <v/>
      </c>
      <c r="L207" s="62">
        <f>IF($J207="",0,$K207*MAX(0,MIN(YEAR($C$3)*12+MONTH($C$3),YEAR($I207)*12+MONTH($I207))-(YEAR($H207)*12+MONTH($H207))+1))</f>
        <v/>
      </c>
      <c r="M207" s="62">
        <f>IF($J207="",0,$K207*MAX(0,MIN(YEAR($C$3)*12+MONTH($C$3)-1,YEAR($I207)*12+MONTH($I207))-(YEAR($H207)*12+MONTH($H207))+1))</f>
        <v/>
      </c>
      <c r="N207" s="62">
        <f>IF(OR($J207="",$B207=""),0,IF(YEAR($B207)*12+MONTH($B207)&lt;=YEAR($C$3)*12+MONTH($C$3),$G207,0))</f>
        <v/>
      </c>
      <c r="O207" s="62">
        <f>IF(OR($J207="",$B207=""),0,IF(YEAR($B207)*12+MONTH($B207)&lt;=YEAR($C$3)*12+MONTH($C$3)-1,$G207,0))</f>
        <v/>
      </c>
      <c r="P207" s="62">
        <f>$M207-$O207</f>
        <v/>
      </c>
      <c r="Q207" s="62">
        <f>($L207-$M207)-($N207-$O207)</f>
        <v/>
      </c>
      <c r="R207" s="62">
        <f>$L207-$N207</f>
        <v/>
      </c>
    </row>
    <row r="208">
      <c r="A208" s="59">
        <f>ROW()-5</f>
        <v/>
      </c>
      <c r="B208" s="60">
        <f>IFERROR(INDEX(tbl_Finance[Date],$A208),"")</f>
        <v/>
      </c>
      <c r="C208" s="61">
        <f>IFERROR(INDEX(tbl_Finance[Xero Invoice No],$A208),"")</f>
        <v/>
      </c>
      <c r="D208" s="61">
        <f>IFERROR(INDEX(tbl_Finance[Client],$A208),"")</f>
        <v/>
      </c>
      <c r="E208" s="61">
        <f>IFERROR(INDEX(tbl_Finance[Job Number],$A208),"")</f>
        <v/>
      </c>
      <c r="F208" s="61">
        <f>IFERROR(INDEX(tbl_Finance[Cost Centre],$A208),"")</f>
        <v/>
      </c>
      <c r="G208" s="62">
        <f>IFERROR(INDEX(tbl_Finance[Ex GST],$A208),"")</f>
        <v/>
      </c>
      <c r="H208" s="60">
        <f>IFERROR(INDEX(tbl_Finance[Defer Start],$A208),"")</f>
        <v/>
      </c>
      <c r="I208" s="60">
        <f>IFERROR(INDEX(tbl_Finance[Defer End],$A208),"")</f>
        <v/>
      </c>
      <c r="J208" s="59">
        <f>IF(OR($H208="",$I208="",$G208=""),"",MAX(1,(YEAR($I208)-YEAR($H208))*12+MONTH($I208)-MONTH($H208)+1))</f>
        <v/>
      </c>
      <c r="K208" s="62">
        <f>IF($J208="","",$G208/$J208)</f>
        <v/>
      </c>
      <c r="L208" s="62">
        <f>IF($J208="",0,$K208*MAX(0,MIN(YEAR($C$3)*12+MONTH($C$3),YEAR($I208)*12+MONTH($I208))-(YEAR($H208)*12+MONTH($H208))+1))</f>
        <v/>
      </c>
      <c r="M208" s="62">
        <f>IF($J208="",0,$K208*MAX(0,MIN(YEAR($C$3)*12+MONTH($C$3)-1,YEAR($I208)*12+MONTH($I208))-(YEAR($H208)*12+MONTH($H208))+1))</f>
        <v/>
      </c>
      <c r="N208" s="62">
        <f>IF(OR($J208="",$B208=""),0,IF(YEAR($B208)*12+MONTH($B208)&lt;=YEAR($C$3)*12+MONTH($C$3),$G208,0))</f>
        <v/>
      </c>
      <c r="O208" s="62">
        <f>IF(OR($J208="",$B208=""),0,IF(YEAR($B208)*12+MONTH($B208)&lt;=YEAR($C$3)*12+MONTH($C$3)-1,$G208,0))</f>
        <v/>
      </c>
      <c r="P208" s="62">
        <f>$M208-$O208</f>
        <v/>
      </c>
      <c r="Q208" s="62">
        <f>($L208-$M208)-($N208-$O208)</f>
        <v/>
      </c>
      <c r="R208" s="62">
        <f>$L208-$N208</f>
        <v/>
      </c>
    </row>
    <row r="209">
      <c r="A209" s="59">
        <f>ROW()-5</f>
        <v/>
      </c>
      <c r="B209" s="60">
        <f>IFERROR(INDEX(tbl_Finance[Date],$A209),"")</f>
        <v/>
      </c>
      <c r="C209" s="61">
        <f>IFERROR(INDEX(tbl_Finance[Xero Invoice No],$A209),"")</f>
        <v/>
      </c>
      <c r="D209" s="61">
        <f>IFERROR(INDEX(tbl_Finance[Client],$A209),"")</f>
        <v/>
      </c>
      <c r="E209" s="61">
        <f>IFERROR(INDEX(tbl_Finance[Job Number],$A209),"")</f>
        <v/>
      </c>
      <c r="F209" s="61">
        <f>IFERROR(INDEX(tbl_Finance[Cost Centre],$A209),"")</f>
        <v/>
      </c>
      <c r="G209" s="62">
        <f>IFERROR(INDEX(tbl_Finance[Ex GST],$A209),"")</f>
        <v/>
      </c>
      <c r="H209" s="60">
        <f>IFERROR(INDEX(tbl_Finance[Defer Start],$A209),"")</f>
        <v/>
      </c>
      <c r="I209" s="60">
        <f>IFERROR(INDEX(tbl_Finance[Defer End],$A209),"")</f>
        <v/>
      </c>
      <c r="J209" s="59">
        <f>IF(OR($H209="",$I209="",$G209=""),"",MAX(1,(YEAR($I209)-YEAR($H209))*12+MONTH($I209)-MONTH($H209)+1))</f>
        <v/>
      </c>
      <c r="K209" s="62">
        <f>IF($J209="","",$G209/$J209)</f>
        <v/>
      </c>
      <c r="L209" s="62">
        <f>IF($J209="",0,$K209*MAX(0,MIN(YEAR($C$3)*12+MONTH($C$3),YEAR($I209)*12+MONTH($I209))-(YEAR($H209)*12+MONTH($H209))+1))</f>
        <v/>
      </c>
      <c r="M209" s="62">
        <f>IF($J209="",0,$K209*MAX(0,MIN(YEAR($C$3)*12+MONTH($C$3)-1,YEAR($I209)*12+MONTH($I209))-(YEAR($H209)*12+MONTH($H209))+1))</f>
        <v/>
      </c>
      <c r="N209" s="62">
        <f>IF(OR($J209="",$B209=""),0,IF(YEAR($B209)*12+MONTH($B209)&lt;=YEAR($C$3)*12+MONTH($C$3),$G209,0))</f>
        <v/>
      </c>
      <c r="O209" s="62">
        <f>IF(OR($J209="",$B209=""),0,IF(YEAR($B209)*12+MONTH($B209)&lt;=YEAR($C$3)*12+MONTH($C$3)-1,$G209,0))</f>
        <v/>
      </c>
      <c r="P209" s="62">
        <f>$M209-$O209</f>
        <v/>
      </c>
      <c r="Q209" s="62">
        <f>($L209-$M209)-($N209-$O209)</f>
        <v/>
      </c>
      <c r="R209" s="62">
        <f>$L209-$N209</f>
        <v/>
      </c>
    </row>
    <row r="210">
      <c r="A210" s="59">
        <f>ROW()-5</f>
        <v/>
      </c>
      <c r="B210" s="60">
        <f>IFERROR(INDEX(tbl_Finance[Date],$A210),"")</f>
        <v/>
      </c>
      <c r="C210" s="61">
        <f>IFERROR(INDEX(tbl_Finance[Xero Invoice No],$A210),"")</f>
        <v/>
      </c>
      <c r="D210" s="61">
        <f>IFERROR(INDEX(tbl_Finance[Client],$A210),"")</f>
        <v/>
      </c>
      <c r="E210" s="61">
        <f>IFERROR(INDEX(tbl_Finance[Job Number],$A210),"")</f>
        <v/>
      </c>
      <c r="F210" s="61">
        <f>IFERROR(INDEX(tbl_Finance[Cost Centre],$A210),"")</f>
        <v/>
      </c>
      <c r="G210" s="62">
        <f>IFERROR(INDEX(tbl_Finance[Ex GST],$A210),"")</f>
        <v/>
      </c>
      <c r="H210" s="60">
        <f>IFERROR(INDEX(tbl_Finance[Defer Start],$A210),"")</f>
        <v/>
      </c>
      <c r="I210" s="60">
        <f>IFERROR(INDEX(tbl_Finance[Defer End],$A210),"")</f>
        <v/>
      </c>
      <c r="J210" s="59">
        <f>IF(OR($H210="",$I210="",$G210=""),"",MAX(1,(YEAR($I210)-YEAR($H210))*12+MONTH($I210)-MONTH($H210)+1))</f>
        <v/>
      </c>
      <c r="K210" s="62">
        <f>IF($J210="","",$G210/$J210)</f>
        <v/>
      </c>
      <c r="L210" s="62">
        <f>IF($J210="",0,$K210*MAX(0,MIN(YEAR($C$3)*12+MONTH($C$3),YEAR($I210)*12+MONTH($I210))-(YEAR($H210)*12+MONTH($H210))+1))</f>
        <v/>
      </c>
      <c r="M210" s="62">
        <f>IF($J210="",0,$K210*MAX(0,MIN(YEAR($C$3)*12+MONTH($C$3)-1,YEAR($I210)*12+MONTH($I210))-(YEAR($H210)*12+MONTH($H210))+1))</f>
        <v/>
      </c>
      <c r="N210" s="62">
        <f>IF(OR($J210="",$B210=""),0,IF(YEAR($B210)*12+MONTH($B210)&lt;=YEAR($C$3)*12+MONTH($C$3),$G210,0))</f>
        <v/>
      </c>
      <c r="O210" s="62">
        <f>IF(OR($J210="",$B210=""),0,IF(YEAR($B210)*12+MONTH($B210)&lt;=YEAR($C$3)*12+MONTH($C$3)-1,$G210,0))</f>
        <v/>
      </c>
      <c r="P210" s="62">
        <f>$M210-$O210</f>
        <v/>
      </c>
      <c r="Q210" s="62">
        <f>($L210-$M210)-($N210-$O210)</f>
        <v/>
      </c>
      <c r="R210" s="62">
        <f>$L210-$N210</f>
        <v/>
      </c>
    </row>
    <row r="211">
      <c r="A211" s="59">
        <f>ROW()-5</f>
        <v/>
      </c>
      <c r="B211" s="60">
        <f>IFERROR(INDEX(tbl_Finance[Date],$A211),"")</f>
        <v/>
      </c>
      <c r="C211" s="61">
        <f>IFERROR(INDEX(tbl_Finance[Xero Invoice No],$A211),"")</f>
        <v/>
      </c>
      <c r="D211" s="61">
        <f>IFERROR(INDEX(tbl_Finance[Client],$A211),"")</f>
        <v/>
      </c>
      <c r="E211" s="61">
        <f>IFERROR(INDEX(tbl_Finance[Job Number],$A211),"")</f>
        <v/>
      </c>
      <c r="F211" s="61">
        <f>IFERROR(INDEX(tbl_Finance[Cost Centre],$A211),"")</f>
        <v/>
      </c>
      <c r="G211" s="62">
        <f>IFERROR(INDEX(tbl_Finance[Ex GST],$A211),"")</f>
        <v/>
      </c>
      <c r="H211" s="60">
        <f>IFERROR(INDEX(tbl_Finance[Defer Start],$A211),"")</f>
        <v/>
      </c>
      <c r="I211" s="60">
        <f>IFERROR(INDEX(tbl_Finance[Defer End],$A211),"")</f>
        <v/>
      </c>
      <c r="J211" s="59">
        <f>IF(OR($H211="",$I211="",$G211=""),"",MAX(1,(YEAR($I211)-YEAR($H211))*12+MONTH($I211)-MONTH($H211)+1))</f>
        <v/>
      </c>
      <c r="K211" s="62">
        <f>IF($J211="","",$G211/$J211)</f>
        <v/>
      </c>
      <c r="L211" s="62">
        <f>IF($J211="",0,$K211*MAX(0,MIN(YEAR($C$3)*12+MONTH($C$3),YEAR($I211)*12+MONTH($I211))-(YEAR($H211)*12+MONTH($H211))+1))</f>
        <v/>
      </c>
      <c r="M211" s="62">
        <f>IF($J211="",0,$K211*MAX(0,MIN(YEAR($C$3)*12+MONTH($C$3)-1,YEAR($I211)*12+MONTH($I211))-(YEAR($H211)*12+MONTH($H211))+1))</f>
        <v/>
      </c>
      <c r="N211" s="62">
        <f>IF(OR($J211="",$B211=""),0,IF(YEAR($B211)*12+MONTH($B211)&lt;=YEAR($C$3)*12+MONTH($C$3),$G211,0))</f>
        <v/>
      </c>
      <c r="O211" s="62">
        <f>IF(OR($J211="",$B211=""),0,IF(YEAR($B211)*12+MONTH($B211)&lt;=YEAR($C$3)*12+MONTH($C$3)-1,$G211,0))</f>
        <v/>
      </c>
      <c r="P211" s="62">
        <f>$M211-$O211</f>
        <v/>
      </c>
      <c r="Q211" s="62">
        <f>($L211-$M211)-($N211-$O211)</f>
        <v/>
      </c>
      <c r="R211" s="62">
        <f>$L211-$N211</f>
        <v/>
      </c>
    </row>
    <row r="212">
      <c r="A212" s="59">
        <f>ROW()-5</f>
        <v/>
      </c>
      <c r="B212" s="60">
        <f>IFERROR(INDEX(tbl_Finance[Date],$A212),"")</f>
        <v/>
      </c>
      <c r="C212" s="61">
        <f>IFERROR(INDEX(tbl_Finance[Xero Invoice No],$A212),"")</f>
        <v/>
      </c>
      <c r="D212" s="61">
        <f>IFERROR(INDEX(tbl_Finance[Client],$A212),"")</f>
        <v/>
      </c>
      <c r="E212" s="61">
        <f>IFERROR(INDEX(tbl_Finance[Job Number],$A212),"")</f>
        <v/>
      </c>
      <c r="F212" s="61">
        <f>IFERROR(INDEX(tbl_Finance[Cost Centre],$A212),"")</f>
        <v/>
      </c>
      <c r="G212" s="62">
        <f>IFERROR(INDEX(tbl_Finance[Ex GST],$A212),"")</f>
        <v/>
      </c>
      <c r="H212" s="60">
        <f>IFERROR(INDEX(tbl_Finance[Defer Start],$A212),"")</f>
        <v/>
      </c>
      <c r="I212" s="60">
        <f>IFERROR(INDEX(tbl_Finance[Defer End],$A212),"")</f>
        <v/>
      </c>
      <c r="J212" s="59">
        <f>IF(OR($H212="",$I212="",$G212=""),"",MAX(1,(YEAR($I212)-YEAR($H212))*12+MONTH($I212)-MONTH($H212)+1))</f>
        <v/>
      </c>
      <c r="K212" s="62">
        <f>IF($J212="","",$G212/$J212)</f>
        <v/>
      </c>
      <c r="L212" s="62">
        <f>IF($J212="",0,$K212*MAX(0,MIN(YEAR($C$3)*12+MONTH($C$3),YEAR($I212)*12+MONTH($I212))-(YEAR($H212)*12+MONTH($H212))+1))</f>
        <v/>
      </c>
      <c r="M212" s="62">
        <f>IF($J212="",0,$K212*MAX(0,MIN(YEAR($C$3)*12+MONTH($C$3)-1,YEAR($I212)*12+MONTH($I212))-(YEAR($H212)*12+MONTH($H212))+1))</f>
        <v/>
      </c>
      <c r="N212" s="62">
        <f>IF(OR($J212="",$B212=""),0,IF(YEAR($B212)*12+MONTH($B212)&lt;=YEAR($C$3)*12+MONTH($C$3),$G212,0))</f>
        <v/>
      </c>
      <c r="O212" s="62">
        <f>IF(OR($J212="",$B212=""),0,IF(YEAR($B212)*12+MONTH($B212)&lt;=YEAR($C$3)*12+MONTH($C$3)-1,$G212,0))</f>
        <v/>
      </c>
      <c r="P212" s="62">
        <f>$M212-$O212</f>
        <v/>
      </c>
      <c r="Q212" s="62">
        <f>($L212-$M212)-($N212-$O212)</f>
        <v/>
      </c>
      <c r="R212" s="62">
        <f>$L212-$N212</f>
        <v/>
      </c>
    </row>
    <row r="213">
      <c r="A213" s="59">
        <f>ROW()-5</f>
        <v/>
      </c>
      <c r="B213" s="60">
        <f>IFERROR(INDEX(tbl_Finance[Date],$A213),"")</f>
        <v/>
      </c>
      <c r="C213" s="61">
        <f>IFERROR(INDEX(tbl_Finance[Xero Invoice No],$A213),"")</f>
        <v/>
      </c>
      <c r="D213" s="61">
        <f>IFERROR(INDEX(tbl_Finance[Client],$A213),"")</f>
        <v/>
      </c>
      <c r="E213" s="61">
        <f>IFERROR(INDEX(tbl_Finance[Job Number],$A213),"")</f>
        <v/>
      </c>
      <c r="F213" s="61">
        <f>IFERROR(INDEX(tbl_Finance[Cost Centre],$A213),"")</f>
        <v/>
      </c>
      <c r="G213" s="62">
        <f>IFERROR(INDEX(tbl_Finance[Ex GST],$A213),"")</f>
        <v/>
      </c>
      <c r="H213" s="60">
        <f>IFERROR(INDEX(tbl_Finance[Defer Start],$A213),"")</f>
        <v/>
      </c>
      <c r="I213" s="60">
        <f>IFERROR(INDEX(tbl_Finance[Defer End],$A213),"")</f>
        <v/>
      </c>
      <c r="J213" s="59">
        <f>IF(OR($H213="",$I213="",$G213=""),"",MAX(1,(YEAR($I213)-YEAR($H213))*12+MONTH($I213)-MONTH($H213)+1))</f>
        <v/>
      </c>
      <c r="K213" s="62">
        <f>IF($J213="","",$G213/$J213)</f>
        <v/>
      </c>
      <c r="L213" s="62">
        <f>IF($J213="",0,$K213*MAX(0,MIN(YEAR($C$3)*12+MONTH($C$3),YEAR($I213)*12+MONTH($I213))-(YEAR($H213)*12+MONTH($H213))+1))</f>
        <v/>
      </c>
      <c r="M213" s="62">
        <f>IF($J213="",0,$K213*MAX(0,MIN(YEAR($C$3)*12+MONTH($C$3)-1,YEAR($I213)*12+MONTH($I213))-(YEAR($H213)*12+MONTH($H213))+1))</f>
        <v/>
      </c>
      <c r="N213" s="62">
        <f>IF(OR($J213="",$B213=""),0,IF(YEAR($B213)*12+MONTH($B213)&lt;=YEAR($C$3)*12+MONTH($C$3),$G213,0))</f>
        <v/>
      </c>
      <c r="O213" s="62">
        <f>IF(OR($J213="",$B213=""),0,IF(YEAR($B213)*12+MONTH($B213)&lt;=YEAR($C$3)*12+MONTH($C$3)-1,$G213,0))</f>
        <v/>
      </c>
      <c r="P213" s="62">
        <f>$M213-$O213</f>
        <v/>
      </c>
      <c r="Q213" s="62">
        <f>($L213-$M213)-($N213-$O213)</f>
        <v/>
      </c>
      <c r="R213" s="62">
        <f>$L213-$N213</f>
        <v/>
      </c>
    </row>
    <row r="214">
      <c r="A214" s="59">
        <f>ROW()-5</f>
        <v/>
      </c>
      <c r="B214" s="60">
        <f>IFERROR(INDEX(tbl_Finance[Date],$A214),"")</f>
        <v/>
      </c>
      <c r="C214" s="61">
        <f>IFERROR(INDEX(tbl_Finance[Xero Invoice No],$A214),"")</f>
        <v/>
      </c>
      <c r="D214" s="61">
        <f>IFERROR(INDEX(tbl_Finance[Client],$A214),"")</f>
        <v/>
      </c>
      <c r="E214" s="61">
        <f>IFERROR(INDEX(tbl_Finance[Job Number],$A214),"")</f>
        <v/>
      </c>
      <c r="F214" s="61">
        <f>IFERROR(INDEX(tbl_Finance[Cost Centre],$A214),"")</f>
        <v/>
      </c>
      <c r="G214" s="62">
        <f>IFERROR(INDEX(tbl_Finance[Ex GST],$A214),"")</f>
        <v/>
      </c>
      <c r="H214" s="60">
        <f>IFERROR(INDEX(tbl_Finance[Defer Start],$A214),"")</f>
        <v/>
      </c>
      <c r="I214" s="60">
        <f>IFERROR(INDEX(tbl_Finance[Defer End],$A214),"")</f>
        <v/>
      </c>
      <c r="J214" s="59">
        <f>IF(OR($H214="",$I214="",$G214=""),"",MAX(1,(YEAR($I214)-YEAR($H214))*12+MONTH($I214)-MONTH($H214)+1))</f>
        <v/>
      </c>
      <c r="K214" s="62">
        <f>IF($J214="","",$G214/$J214)</f>
        <v/>
      </c>
      <c r="L214" s="62">
        <f>IF($J214="",0,$K214*MAX(0,MIN(YEAR($C$3)*12+MONTH($C$3),YEAR($I214)*12+MONTH($I214))-(YEAR($H214)*12+MONTH($H214))+1))</f>
        <v/>
      </c>
      <c r="M214" s="62">
        <f>IF($J214="",0,$K214*MAX(0,MIN(YEAR($C$3)*12+MONTH($C$3)-1,YEAR($I214)*12+MONTH($I214))-(YEAR($H214)*12+MONTH($H214))+1))</f>
        <v/>
      </c>
      <c r="N214" s="62">
        <f>IF(OR($J214="",$B214=""),0,IF(YEAR($B214)*12+MONTH($B214)&lt;=YEAR($C$3)*12+MONTH($C$3),$G214,0))</f>
        <v/>
      </c>
      <c r="O214" s="62">
        <f>IF(OR($J214="",$B214=""),0,IF(YEAR($B214)*12+MONTH($B214)&lt;=YEAR($C$3)*12+MONTH($C$3)-1,$G214,0))</f>
        <v/>
      </c>
      <c r="P214" s="62">
        <f>$M214-$O214</f>
        <v/>
      </c>
      <c r="Q214" s="62">
        <f>($L214-$M214)-($N214-$O214)</f>
        <v/>
      </c>
      <c r="R214" s="62">
        <f>$L214-$N214</f>
        <v/>
      </c>
    </row>
    <row r="215">
      <c r="A215" s="59">
        <f>ROW()-5</f>
        <v/>
      </c>
      <c r="B215" s="60">
        <f>IFERROR(INDEX(tbl_Finance[Date],$A215),"")</f>
        <v/>
      </c>
      <c r="C215" s="61">
        <f>IFERROR(INDEX(tbl_Finance[Xero Invoice No],$A215),"")</f>
        <v/>
      </c>
      <c r="D215" s="61">
        <f>IFERROR(INDEX(tbl_Finance[Client],$A215),"")</f>
        <v/>
      </c>
      <c r="E215" s="61">
        <f>IFERROR(INDEX(tbl_Finance[Job Number],$A215),"")</f>
        <v/>
      </c>
      <c r="F215" s="61">
        <f>IFERROR(INDEX(tbl_Finance[Cost Centre],$A215),"")</f>
        <v/>
      </c>
      <c r="G215" s="62">
        <f>IFERROR(INDEX(tbl_Finance[Ex GST],$A215),"")</f>
        <v/>
      </c>
      <c r="H215" s="60">
        <f>IFERROR(INDEX(tbl_Finance[Defer Start],$A215),"")</f>
        <v/>
      </c>
      <c r="I215" s="60">
        <f>IFERROR(INDEX(tbl_Finance[Defer End],$A215),"")</f>
        <v/>
      </c>
      <c r="J215" s="59">
        <f>IF(OR($H215="",$I215="",$G215=""),"",MAX(1,(YEAR($I215)-YEAR($H215))*12+MONTH($I215)-MONTH($H215)+1))</f>
        <v/>
      </c>
      <c r="K215" s="62">
        <f>IF($J215="","",$G215/$J215)</f>
        <v/>
      </c>
      <c r="L215" s="62">
        <f>IF($J215="",0,$K215*MAX(0,MIN(YEAR($C$3)*12+MONTH($C$3),YEAR($I215)*12+MONTH($I215))-(YEAR($H215)*12+MONTH($H215))+1))</f>
        <v/>
      </c>
      <c r="M215" s="62">
        <f>IF($J215="",0,$K215*MAX(0,MIN(YEAR($C$3)*12+MONTH($C$3)-1,YEAR($I215)*12+MONTH($I215))-(YEAR($H215)*12+MONTH($H215))+1))</f>
        <v/>
      </c>
      <c r="N215" s="62">
        <f>IF(OR($J215="",$B215=""),0,IF(YEAR($B215)*12+MONTH($B215)&lt;=YEAR($C$3)*12+MONTH($C$3),$G215,0))</f>
        <v/>
      </c>
      <c r="O215" s="62">
        <f>IF(OR($J215="",$B215=""),0,IF(YEAR($B215)*12+MONTH($B215)&lt;=YEAR($C$3)*12+MONTH($C$3)-1,$G215,0))</f>
        <v/>
      </c>
      <c r="P215" s="62">
        <f>$M215-$O215</f>
        <v/>
      </c>
      <c r="Q215" s="62">
        <f>($L215-$M215)-($N215-$O215)</f>
        <v/>
      </c>
      <c r="R215" s="62">
        <f>$L215-$N215</f>
        <v/>
      </c>
    </row>
    <row r="216">
      <c r="A216" s="59">
        <f>ROW()-5</f>
        <v/>
      </c>
      <c r="B216" s="60">
        <f>IFERROR(INDEX(tbl_Finance[Date],$A216),"")</f>
        <v/>
      </c>
      <c r="C216" s="61">
        <f>IFERROR(INDEX(tbl_Finance[Xero Invoice No],$A216),"")</f>
        <v/>
      </c>
      <c r="D216" s="61">
        <f>IFERROR(INDEX(tbl_Finance[Client],$A216),"")</f>
        <v/>
      </c>
      <c r="E216" s="61">
        <f>IFERROR(INDEX(tbl_Finance[Job Number],$A216),"")</f>
        <v/>
      </c>
      <c r="F216" s="61">
        <f>IFERROR(INDEX(tbl_Finance[Cost Centre],$A216),"")</f>
        <v/>
      </c>
      <c r="G216" s="62">
        <f>IFERROR(INDEX(tbl_Finance[Ex GST],$A216),"")</f>
        <v/>
      </c>
      <c r="H216" s="60">
        <f>IFERROR(INDEX(tbl_Finance[Defer Start],$A216),"")</f>
        <v/>
      </c>
      <c r="I216" s="60">
        <f>IFERROR(INDEX(tbl_Finance[Defer End],$A216),"")</f>
        <v/>
      </c>
      <c r="J216" s="59">
        <f>IF(OR($H216="",$I216="",$G216=""),"",MAX(1,(YEAR($I216)-YEAR($H216))*12+MONTH($I216)-MONTH($H216)+1))</f>
        <v/>
      </c>
      <c r="K216" s="62">
        <f>IF($J216="","",$G216/$J216)</f>
        <v/>
      </c>
      <c r="L216" s="62">
        <f>IF($J216="",0,$K216*MAX(0,MIN(YEAR($C$3)*12+MONTH($C$3),YEAR($I216)*12+MONTH($I216))-(YEAR($H216)*12+MONTH($H216))+1))</f>
        <v/>
      </c>
      <c r="M216" s="62">
        <f>IF($J216="",0,$K216*MAX(0,MIN(YEAR($C$3)*12+MONTH($C$3)-1,YEAR($I216)*12+MONTH($I216))-(YEAR($H216)*12+MONTH($H216))+1))</f>
        <v/>
      </c>
      <c r="N216" s="62">
        <f>IF(OR($J216="",$B216=""),0,IF(YEAR($B216)*12+MONTH($B216)&lt;=YEAR($C$3)*12+MONTH($C$3),$G216,0))</f>
        <v/>
      </c>
      <c r="O216" s="62">
        <f>IF(OR($J216="",$B216=""),0,IF(YEAR($B216)*12+MONTH($B216)&lt;=YEAR($C$3)*12+MONTH($C$3)-1,$G216,0))</f>
        <v/>
      </c>
      <c r="P216" s="62">
        <f>$M216-$O216</f>
        <v/>
      </c>
      <c r="Q216" s="62">
        <f>($L216-$M216)-($N216-$O216)</f>
        <v/>
      </c>
      <c r="R216" s="62">
        <f>$L216-$N216</f>
        <v/>
      </c>
    </row>
    <row r="217">
      <c r="A217" s="59">
        <f>ROW()-5</f>
        <v/>
      </c>
      <c r="B217" s="60">
        <f>IFERROR(INDEX(tbl_Finance[Date],$A217),"")</f>
        <v/>
      </c>
      <c r="C217" s="61">
        <f>IFERROR(INDEX(tbl_Finance[Xero Invoice No],$A217),"")</f>
        <v/>
      </c>
      <c r="D217" s="61">
        <f>IFERROR(INDEX(tbl_Finance[Client],$A217),"")</f>
        <v/>
      </c>
      <c r="E217" s="61">
        <f>IFERROR(INDEX(tbl_Finance[Job Number],$A217),"")</f>
        <v/>
      </c>
      <c r="F217" s="61">
        <f>IFERROR(INDEX(tbl_Finance[Cost Centre],$A217),"")</f>
        <v/>
      </c>
      <c r="G217" s="62">
        <f>IFERROR(INDEX(tbl_Finance[Ex GST],$A217),"")</f>
        <v/>
      </c>
      <c r="H217" s="60">
        <f>IFERROR(INDEX(tbl_Finance[Defer Start],$A217),"")</f>
        <v/>
      </c>
      <c r="I217" s="60">
        <f>IFERROR(INDEX(tbl_Finance[Defer End],$A217),"")</f>
        <v/>
      </c>
      <c r="J217" s="59">
        <f>IF(OR($H217="",$I217="",$G217=""),"",MAX(1,(YEAR($I217)-YEAR($H217))*12+MONTH($I217)-MONTH($H217)+1))</f>
        <v/>
      </c>
      <c r="K217" s="62">
        <f>IF($J217="","",$G217/$J217)</f>
        <v/>
      </c>
      <c r="L217" s="62">
        <f>IF($J217="",0,$K217*MAX(0,MIN(YEAR($C$3)*12+MONTH($C$3),YEAR($I217)*12+MONTH($I217))-(YEAR($H217)*12+MONTH($H217))+1))</f>
        <v/>
      </c>
      <c r="M217" s="62">
        <f>IF($J217="",0,$K217*MAX(0,MIN(YEAR($C$3)*12+MONTH($C$3)-1,YEAR($I217)*12+MONTH($I217))-(YEAR($H217)*12+MONTH($H217))+1))</f>
        <v/>
      </c>
      <c r="N217" s="62">
        <f>IF(OR($J217="",$B217=""),0,IF(YEAR($B217)*12+MONTH($B217)&lt;=YEAR($C$3)*12+MONTH($C$3),$G217,0))</f>
        <v/>
      </c>
      <c r="O217" s="62">
        <f>IF(OR($J217="",$B217=""),0,IF(YEAR($B217)*12+MONTH($B217)&lt;=YEAR($C$3)*12+MONTH($C$3)-1,$G217,0))</f>
        <v/>
      </c>
      <c r="P217" s="62">
        <f>$M217-$O217</f>
        <v/>
      </c>
      <c r="Q217" s="62">
        <f>($L217-$M217)-($N217-$O217)</f>
        <v/>
      </c>
      <c r="R217" s="62">
        <f>$L217-$N217</f>
        <v/>
      </c>
    </row>
    <row r="218">
      <c r="A218" s="59">
        <f>ROW()-5</f>
        <v/>
      </c>
      <c r="B218" s="60">
        <f>IFERROR(INDEX(tbl_Finance[Date],$A218),"")</f>
        <v/>
      </c>
      <c r="C218" s="61">
        <f>IFERROR(INDEX(tbl_Finance[Xero Invoice No],$A218),"")</f>
        <v/>
      </c>
      <c r="D218" s="61">
        <f>IFERROR(INDEX(tbl_Finance[Client],$A218),"")</f>
        <v/>
      </c>
      <c r="E218" s="61">
        <f>IFERROR(INDEX(tbl_Finance[Job Number],$A218),"")</f>
        <v/>
      </c>
      <c r="F218" s="61">
        <f>IFERROR(INDEX(tbl_Finance[Cost Centre],$A218),"")</f>
        <v/>
      </c>
      <c r="G218" s="62">
        <f>IFERROR(INDEX(tbl_Finance[Ex GST],$A218),"")</f>
        <v/>
      </c>
      <c r="H218" s="60">
        <f>IFERROR(INDEX(tbl_Finance[Defer Start],$A218),"")</f>
        <v/>
      </c>
      <c r="I218" s="60">
        <f>IFERROR(INDEX(tbl_Finance[Defer End],$A218),"")</f>
        <v/>
      </c>
      <c r="J218" s="59">
        <f>IF(OR($H218="",$I218="",$G218=""),"",MAX(1,(YEAR($I218)-YEAR($H218))*12+MONTH($I218)-MONTH($H218)+1))</f>
        <v/>
      </c>
      <c r="K218" s="62">
        <f>IF($J218="","",$G218/$J218)</f>
        <v/>
      </c>
      <c r="L218" s="62">
        <f>IF($J218="",0,$K218*MAX(0,MIN(YEAR($C$3)*12+MONTH($C$3),YEAR($I218)*12+MONTH($I218))-(YEAR($H218)*12+MONTH($H218))+1))</f>
        <v/>
      </c>
      <c r="M218" s="62">
        <f>IF($J218="",0,$K218*MAX(0,MIN(YEAR($C$3)*12+MONTH($C$3)-1,YEAR($I218)*12+MONTH($I218))-(YEAR($H218)*12+MONTH($H218))+1))</f>
        <v/>
      </c>
      <c r="N218" s="62">
        <f>IF(OR($J218="",$B218=""),0,IF(YEAR($B218)*12+MONTH($B218)&lt;=YEAR($C$3)*12+MONTH($C$3),$G218,0))</f>
        <v/>
      </c>
      <c r="O218" s="62">
        <f>IF(OR($J218="",$B218=""),0,IF(YEAR($B218)*12+MONTH($B218)&lt;=YEAR($C$3)*12+MONTH($C$3)-1,$G218,0))</f>
        <v/>
      </c>
      <c r="P218" s="62">
        <f>$M218-$O218</f>
        <v/>
      </c>
      <c r="Q218" s="62">
        <f>($L218-$M218)-($N218-$O218)</f>
        <v/>
      </c>
      <c r="R218" s="62">
        <f>$L218-$N218</f>
        <v/>
      </c>
    </row>
    <row r="219">
      <c r="A219" s="59">
        <f>ROW()-5</f>
        <v/>
      </c>
      <c r="B219" s="60">
        <f>IFERROR(INDEX(tbl_Finance[Date],$A219),"")</f>
        <v/>
      </c>
      <c r="C219" s="61">
        <f>IFERROR(INDEX(tbl_Finance[Xero Invoice No],$A219),"")</f>
        <v/>
      </c>
      <c r="D219" s="61">
        <f>IFERROR(INDEX(tbl_Finance[Client],$A219),"")</f>
        <v/>
      </c>
      <c r="E219" s="61">
        <f>IFERROR(INDEX(tbl_Finance[Job Number],$A219),"")</f>
        <v/>
      </c>
      <c r="F219" s="61">
        <f>IFERROR(INDEX(tbl_Finance[Cost Centre],$A219),"")</f>
        <v/>
      </c>
      <c r="G219" s="62">
        <f>IFERROR(INDEX(tbl_Finance[Ex GST],$A219),"")</f>
        <v/>
      </c>
      <c r="H219" s="60">
        <f>IFERROR(INDEX(tbl_Finance[Defer Start],$A219),"")</f>
        <v/>
      </c>
      <c r="I219" s="60">
        <f>IFERROR(INDEX(tbl_Finance[Defer End],$A219),"")</f>
        <v/>
      </c>
      <c r="J219" s="59">
        <f>IF(OR($H219="",$I219="",$G219=""),"",MAX(1,(YEAR($I219)-YEAR($H219))*12+MONTH($I219)-MONTH($H219)+1))</f>
        <v/>
      </c>
      <c r="K219" s="62">
        <f>IF($J219="","",$G219/$J219)</f>
        <v/>
      </c>
      <c r="L219" s="62">
        <f>IF($J219="",0,$K219*MAX(0,MIN(YEAR($C$3)*12+MONTH($C$3),YEAR($I219)*12+MONTH($I219))-(YEAR($H219)*12+MONTH($H219))+1))</f>
        <v/>
      </c>
      <c r="M219" s="62">
        <f>IF($J219="",0,$K219*MAX(0,MIN(YEAR($C$3)*12+MONTH($C$3)-1,YEAR($I219)*12+MONTH($I219))-(YEAR($H219)*12+MONTH($H219))+1))</f>
        <v/>
      </c>
      <c r="N219" s="62">
        <f>IF(OR($J219="",$B219=""),0,IF(YEAR($B219)*12+MONTH($B219)&lt;=YEAR($C$3)*12+MONTH($C$3),$G219,0))</f>
        <v/>
      </c>
      <c r="O219" s="62">
        <f>IF(OR($J219="",$B219=""),0,IF(YEAR($B219)*12+MONTH($B219)&lt;=YEAR($C$3)*12+MONTH($C$3)-1,$G219,0))</f>
        <v/>
      </c>
      <c r="P219" s="62">
        <f>$M219-$O219</f>
        <v/>
      </c>
      <c r="Q219" s="62">
        <f>($L219-$M219)-($N219-$O219)</f>
        <v/>
      </c>
      <c r="R219" s="62">
        <f>$L219-$N219</f>
        <v/>
      </c>
    </row>
    <row r="220">
      <c r="A220" s="59">
        <f>ROW()-5</f>
        <v/>
      </c>
      <c r="B220" s="60">
        <f>IFERROR(INDEX(tbl_Finance[Date],$A220),"")</f>
        <v/>
      </c>
      <c r="C220" s="61">
        <f>IFERROR(INDEX(tbl_Finance[Xero Invoice No],$A220),"")</f>
        <v/>
      </c>
      <c r="D220" s="61">
        <f>IFERROR(INDEX(tbl_Finance[Client],$A220),"")</f>
        <v/>
      </c>
      <c r="E220" s="61">
        <f>IFERROR(INDEX(tbl_Finance[Job Number],$A220),"")</f>
        <v/>
      </c>
      <c r="F220" s="61">
        <f>IFERROR(INDEX(tbl_Finance[Cost Centre],$A220),"")</f>
        <v/>
      </c>
      <c r="G220" s="62">
        <f>IFERROR(INDEX(tbl_Finance[Ex GST],$A220),"")</f>
        <v/>
      </c>
      <c r="H220" s="60">
        <f>IFERROR(INDEX(tbl_Finance[Defer Start],$A220),"")</f>
        <v/>
      </c>
      <c r="I220" s="60">
        <f>IFERROR(INDEX(tbl_Finance[Defer End],$A220),"")</f>
        <v/>
      </c>
      <c r="J220" s="59">
        <f>IF(OR($H220="",$I220="",$G220=""),"",MAX(1,(YEAR($I220)-YEAR($H220))*12+MONTH($I220)-MONTH($H220)+1))</f>
        <v/>
      </c>
      <c r="K220" s="62">
        <f>IF($J220="","",$G220/$J220)</f>
        <v/>
      </c>
      <c r="L220" s="62">
        <f>IF($J220="",0,$K220*MAX(0,MIN(YEAR($C$3)*12+MONTH($C$3),YEAR($I220)*12+MONTH($I220))-(YEAR($H220)*12+MONTH($H220))+1))</f>
        <v/>
      </c>
      <c r="M220" s="62">
        <f>IF($J220="",0,$K220*MAX(0,MIN(YEAR($C$3)*12+MONTH($C$3)-1,YEAR($I220)*12+MONTH($I220))-(YEAR($H220)*12+MONTH($H220))+1))</f>
        <v/>
      </c>
      <c r="N220" s="62">
        <f>IF(OR($J220="",$B220=""),0,IF(YEAR($B220)*12+MONTH($B220)&lt;=YEAR($C$3)*12+MONTH($C$3),$G220,0))</f>
        <v/>
      </c>
      <c r="O220" s="62">
        <f>IF(OR($J220="",$B220=""),0,IF(YEAR($B220)*12+MONTH($B220)&lt;=YEAR($C$3)*12+MONTH($C$3)-1,$G220,0))</f>
        <v/>
      </c>
      <c r="P220" s="62">
        <f>$M220-$O220</f>
        <v/>
      </c>
      <c r="Q220" s="62">
        <f>($L220-$M220)-($N220-$O220)</f>
        <v/>
      </c>
      <c r="R220" s="62">
        <f>$L220-$N220</f>
        <v/>
      </c>
    </row>
    <row r="221">
      <c r="A221" s="59">
        <f>ROW()-5</f>
        <v/>
      </c>
      <c r="B221" s="60">
        <f>IFERROR(INDEX(tbl_Finance[Date],$A221),"")</f>
        <v/>
      </c>
      <c r="C221" s="61">
        <f>IFERROR(INDEX(tbl_Finance[Xero Invoice No],$A221),"")</f>
        <v/>
      </c>
      <c r="D221" s="61">
        <f>IFERROR(INDEX(tbl_Finance[Client],$A221),"")</f>
        <v/>
      </c>
      <c r="E221" s="61">
        <f>IFERROR(INDEX(tbl_Finance[Job Number],$A221),"")</f>
        <v/>
      </c>
      <c r="F221" s="61">
        <f>IFERROR(INDEX(tbl_Finance[Cost Centre],$A221),"")</f>
        <v/>
      </c>
      <c r="G221" s="62">
        <f>IFERROR(INDEX(tbl_Finance[Ex GST],$A221),"")</f>
        <v/>
      </c>
      <c r="H221" s="60">
        <f>IFERROR(INDEX(tbl_Finance[Defer Start],$A221),"")</f>
        <v/>
      </c>
      <c r="I221" s="60">
        <f>IFERROR(INDEX(tbl_Finance[Defer End],$A221),"")</f>
        <v/>
      </c>
      <c r="J221" s="59">
        <f>IF(OR($H221="",$I221="",$G221=""),"",MAX(1,(YEAR($I221)-YEAR($H221))*12+MONTH($I221)-MONTH($H221)+1))</f>
        <v/>
      </c>
      <c r="K221" s="62">
        <f>IF($J221="","",$G221/$J221)</f>
        <v/>
      </c>
      <c r="L221" s="62">
        <f>IF($J221="",0,$K221*MAX(0,MIN(YEAR($C$3)*12+MONTH($C$3),YEAR($I221)*12+MONTH($I221))-(YEAR($H221)*12+MONTH($H221))+1))</f>
        <v/>
      </c>
      <c r="M221" s="62">
        <f>IF($J221="",0,$K221*MAX(0,MIN(YEAR($C$3)*12+MONTH($C$3)-1,YEAR($I221)*12+MONTH($I221))-(YEAR($H221)*12+MONTH($H221))+1))</f>
        <v/>
      </c>
      <c r="N221" s="62">
        <f>IF(OR($J221="",$B221=""),0,IF(YEAR($B221)*12+MONTH($B221)&lt;=YEAR($C$3)*12+MONTH($C$3),$G221,0))</f>
        <v/>
      </c>
      <c r="O221" s="62">
        <f>IF(OR($J221="",$B221=""),0,IF(YEAR($B221)*12+MONTH($B221)&lt;=YEAR($C$3)*12+MONTH($C$3)-1,$G221,0))</f>
        <v/>
      </c>
      <c r="P221" s="62">
        <f>$M221-$O221</f>
        <v/>
      </c>
      <c r="Q221" s="62">
        <f>($L221-$M221)-($N221-$O221)</f>
        <v/>
      </c>
      <c r="R221" s="62">
        <f>$L221-$N221</f>
        <v/>
      </c>
    </row>
    <row r="222">
      <c r="A222" s="59">
        <f>ROW()-5</f>
        <v/>
      </c>
      <c r="B222" s="60">
        <f>IFERROR(INDEX(tbl_Finance[Date],$A222),"")</f>
        <v/>
      </c>
      <c r="C222" s="61">
        <f>IFERROR(INDEX(tbl_Finance[Xero Invoice No],$A222),"")</f>
        <v/>
      </c>
      <c r="D222" s="61">
        <f>IFERROR(INDEX(tbl_Finance[Client],$A222),"")</f>
        <v/>
      </c>
      <c r="E222" s="61">
        <f>IFERROR(INDEX(tbl_Finance[Job Number],$A222),"")</f>
        <v/>
      </c>
      <c r="F222" s="61">
        <f>IFERROR(INDEX(tbl_Finance[Cost Centre],$A222),"")</f>
        <v/>
      </c>
      <c r="G222" s="62">
        <f>IFERROR(INDEX(tbl_Finance[Ex GST],$A222),"")</f>
        <v/>
      </c>
      <c r="H222" s="60">
        <f>IFERROR(INDEX(tbl_Finance[Defer Start],$A222),"")</f>
        <v/>
      </c>
      <c r="I222" s="60">
        <f>IFERROR(INDEX(tbl_Finance[Defer End],$A222),"")</f>
        <v/>
      </c>
      <c r="J222" s="59">
        <f>IF(OR($H222="",$I222="",$G222=""),"",MAX(1,(YEAR($I222)-YEAR($H222))*12+MONTH($I222)-MONTH($H222)+1))</f>
        <v/>
      </c>
      <c r="K222" s="62">
        <f>IF($J222="","",$G222/$J222)</f>
        <v/>
      </c>
      <c r="L222" s="62">
        <f>IF($J222="",0,$K222*MAX(0,MIN(YEAR($C$3)*12+MONTH($C$3),YEAR($I222)*12+MONTH($I222))-(YEAR($H222)*12+MONTH($H222))+1))</f>
        <v/>
      </c>
      <c r="M222" s="62">
        <f>IF($J222="",0,$K222*MAX(0,MIN(YEAR($C$3)*12+MONTH($C$3)-1,YEAR($I222)*12+MONTH($I222))-(YEAR($H222)*12+MONTH($H222))+1))</f>
        <v/>
      </c>
      <c r="N222" s="62">
        <f>IF(OR($J222="",$B222=""),0,IF(YEAR($B222)*12+MONTH($B222)&lt;=YEAR($C$3)*12+MONTH($C$3),$G222,0))</f>
        <v/>
      </c>
      <c r="O222" s="62">
        <f>IF(OR($J222="",$B222=""),0,IF(YEAR($B222)*12+MONTH($B222)&lt;=YEAR($C$3)*12+MONTH($C$3)-1,$G222,0))</f>
        <v/>
      </c>
      <c r="P222" s="62">
        <f>$M222-$O222</f>
        <v/>
      </c>
      <c r="Q222" s="62">
        <f>($L222-$M222)-($N222-$O222)</f>
        <v/>
      </c>
      <c r="R222" s="62">
        <f>$L222-$N222</f>
        <v/>
      </c>
    </row>
    <row r="223">
      <c r="A223" s="59">
        <f>ROW()-5</f>
        <v/>
      </c>
      <c r="B223" s="60">
        <f>IFERROR(INDEX(tbl_Finance[Date],$A223),"")</f>
        <v/>
      </c>
      <c r="C223" s="61">
        <f>IFERROR(INDEX(tbl_Finance[Xero Invoice No],$A223),"")</f>
        <v/>
      </c>
      <c r="D223" s="61">
        <f>IFERROR(INDEX(tbl_Finance[Client],$A223),"")</f>
        <v/>
      </c>
      <c r="E223" s="61">
        <f>IFERROR(INDEX(tbl_Finance[Job Number],$A223),"")</f>
        <v/>
      </c>
      <c r="F223" s="61">
        <f>IFERROR(INDEX(tbl_Finance[Cost Centre],$A223),"")</f>
        <v/>
      </c>
      <c r="G223" s="62">
        <f>IFERROR(INDEX(tbl_Finance[Ex GST],$A223),"")</f>
        <v/>
      </c>
      <c r="H223" s="60">
        <f>IFERROR(INDEX(tbl_Finance[Defer Start],$A223),"")</f>
        <v/>
      </c>
      <c r="I223" s="60">
        <f>IFERROR(INDEX(tbl_Finance[Defer End],$A223),"")</f>
        <v/>
      </c>
      <c r="J223" s="59">
        <f>IF(OR($H223="",$I223="",$G223=""),"",MAX(1,(YEAR($I223)-YEAR($H223))*12+MONTH($I223)-MONTH($H223)+1))</f>
        <v/>
      </c>
      <c r="K223" s="62">
        <f>IF($J223="","",$G223/$J223)</f>
        <v/>
      </c>
      <c r="L223" s="62">
        <f>IF($J223="",0,$K223*MAX(0,MIN(YEAR($C$3)*12+MONTH($C$3),YEAR($I223)*12+MONTH($I223))-(YEAR($H223)*12+MONTH($H223))+1))</f>
        <v/>
      </c>
      <c r="M223" s="62">
        <f>IF($J223="",0,$K223*MAX(0,MIN(YEAR($C$3)*12+MONTH($C$3)-1,YEAR($I223)*12+MONTH($I223))-(YEAR($H223)*12+MONTH($H223))+1))</f>
        <v/>
      </c>
      <c r="N223" s="62">
        <f>IF(OR($J223="",$B223=""),0,IF(YEAR($B223)*12+MONTH($B223)&lt;=YEAR($C$3)*12+MONTH($C$3),$G223,0))</f>
        <v/>
      </c>
      <c r="O223" s="62">
        <f>IF(OR($J223="",$B223=""),0,IF(YEAR($B223)*12+MONTH($B223)&lt;=YEAR($C$3)*12+MONTH($C$3)-1,$G223,0))</f>
        <v/>
      </c>
      <c r="P223" s="62">
        <f>$M223-$O223</f>
        <v/>
      </c>
      <c r="Q223" s="62">
        <f>($L223-$M223)-($N223-$O223)</f>
        <v/>
      </c>
      <c r="R223" s="62">
        <f>$L223-$N223</f>
        <v/>
      </c>
    </row>
    <row r="224">
      <c r="A224" s="59">
        <f>ROW()-5</f>
        <v/>
      </c>
      <c r="B224" s="60">
        <f>IFERROR(INDEX(tbl_Finance[Date],$A224),"")</f>
        <v/>
      </c>
      <c r="C224" s="61">
        <f>IFERROR(INDEX(tbl_Finance[Xero Invoice No],$A224),"")</f>
        <v/>
      </c>
      <c r="D224" s="61">
        <f>IFERROR(INDEX(tbl_Finance[Client],$A224),"")</f>
        <v/>
      </c>
      <c r="E224" s="61">
        <f>IFERROR(INDEX(tbl_Finance[Job Number],$A224),"")</f>
        <v/>
      </c>
      <c r="F224" s="61">
        <f>IFERROR(INDEX(tbl_Finance[Cost Centre],$A224),"")</f>
        <v/>
      </c>
      <c r="G224" s="62">
        <f>IFERROR(INDEX(tbl_Finance[Ex GST],$A224),"")</f>
        <v/>
      </c>
      <c r="H224" s="60">
        <f>IFERROR(INDEX(tbl_Finance[Defer Start],$A224),"")</f>
        <v/>
      </c>
      <c r="I224" s="60">
        <f>IFERROR(INDEX(tbl_Finance[Defer End],$A224),"")</f>
        <v/>
      </c>
      <c r="J224" s="59">
        <f>IF(OR($H224="",$I224="",$G224=""),"",MAX(1,(YEAR($I224)-YEAR($H224))*12+MONTH($I224)-MONTH($H224)+1))</f>
        <v/>
      </c>
      <c r="K224" s="62">
        <f>IF($J224="","",$G224/$J224)</f>
        <v/>
      </c>
      <c r="L224" s="62">
        <f>IF($J224="",0,$K224*MAX(0,MIN(YEAR($C$3)*12+MONTH($C$3),YEAR($I224)*12+MONTH($I224))-(YEAR($H224)*12+MONTH($H224))+1))</f>
        <v/>
      </c>
      <c r="M224" s="62">
        <f>IF($J224="",0,$K224*MAX(0,MIN(YEAR($C$3)*12+MONTH($C$3)-1,YEAR($I224)*12+MONTH($I224))-(YEAR($H224)*12+MONTH($H224))+1))</f>
        <v/>
      </c>
      <c r="N224" s="62">
        <f>IF(OR($J224="",$B224=""),0,IF(YEAR($B224)*12+MONTH($B224)&lt;=YEAR($C$3)*12+MONTH($C$3),$G224,0))</f>
        <v/>
      </c>
      <c r="O224" s="62">
        <f>IF(OR($J224="",$B224=""),0,IF(YEAR($B224)*12+MONTH($B224)&lt;=YEAR($C$3)*12+MONTH($C$3)-1,$G224,0))</f>
        <v/>
      </c>
      <c r="P224" s="62">
        <f>$M224-$O224</f>
        <v/>
      </c>
      <c r="Q224" s="62">
        <f>($L224-$M224)-($N224-$O224)</f>
        <v/>
      </c>
      <c r="R224" s="62">
        <f>$L224-$N224</f>
        <v/>
      </c>
    </row>
    <row r="225">
      <c r="A225" s="59">
        <f>ROW()-5</f>
        <v/>
      </c>
      <c r="B225" s="60">
        <f>IFERROR(INDEX(tbl_Finance[Date],$A225),"")</f>
        <v/>
      </c>
      <c r="C225" s="61">
        <f>IFERROR(INDEX(tbl_Finance[Xero Invoice No],$A225),"")</f>
        <v/>
      </c>
      <c r="D225" s="61">
        <f>IFERROR(INDEX(tbl_Finance[Client],$A225),"")</f>
        <v/>
      </c>
      <c r="E225" s="61">
        <f>IFERROR(INDEX(tbl_Finance[Job Number],$A225),"")</f>
        <v/>
      </c>
      <c r="F225" s="61">
        <f>IFERROR(INDEX(tbl_Finance[Cost Centre],$A225),"")</f>
        <v/>
      </c>
      <c r="G225" s="62">
        <f>IFERROR(INDEX(tbl_Finance[Ex GST],$A225),"")</f>
        <v/>
      </c>
      <c r="H225" s="60">
        <f>IFERROR(INDEX(tbl_Finance[Defer Start],$A225),"")</f>
        <v/>
      </c>
      <c r="I225" s="60">
        <f>IFERROR(INDEX(tbl_Finance[Defer End],$A225),"")</f>
        <v/>
      </c>
      <c r="J225" s="59">
        <f>IF(OR($H225="",$I225="",$G225=""),"",MAX(1,(YEAR($I225)-YEAR($H225))*12+MONTH($I225)-MONTH($H225)+1))</f>
        <v/>
      </c>
      <c r="K225" s="62">
        <f>IF($J225="","",$G225/$J225)</f>
        <v/>
      </c>
      <c r="L225" s="62">
        <f>IF($J225="",0,$K225*MAX(0,MIN(YEAR($C$3)*12+MONTH($C$3),YEAR($I225)*12+MONTH($I225))-(YEAR($H225)*12+MONTH($H225))+1))</f>
        <v/>
      </c>
      <c r="M225" s="62">
        <f>IF($J225="",0,$K225*MAX(0,MIN(YEAR($C$3)*12+MONTH($C$3)-1,YEAR($I225)*12+MONTH($I225))-(YEAR($H225)*12+MONTH($H225))+1))</f>
        <v/>
      </c>
      <c r="N225" s="62">
        <f>IF(OR($J225="",$B225=""),0,IF(YEAR($B225)*12+MONTH($B225)&lt;=YEAR($C$3)*12+MONTH($C$3),$G225,0))</f>
        <v/>
      </c>
      <c r="O225" s="62">
        <f>IF(OR($J225="",$B225=""),0,IF(YEAR($B225)*12+MONTH($B225)&lt;=YEAR($C$3)*12+MONTH($C$3)-1,$G225,0))</f>
        <v/>
      </c>
      <c r="P225" s="62">
        <f>$M225-$O225</f>
        <v/>
      </c>
      <c r="Q225" s="62">
        <f>($L225-$M225)-($N225-$O225)</f>
        <v/>
      </c>
      <c r="R225" s="62">
        <f>$L225-$N225</f>
        <v/>
      </c>
    </row>
    <row r="226">
      <c r="A226" s="59">
        <f>ROW()-5</f>
        <v/>
      </c>
      <c r="B226" s="60">
        <f>IFERROR(INDEX(tbl_Finance[Date],$A226),"")</f>
        <v/>
      </c>
      <c r="C226" s="61">
        <f>IFERROR(INDEX(tbl_Finance[Xero Invoice No],$A226),"")</f>
        <v/>
      </c>
      <c r="D226" s="61">
        <f>IFERROR(INDEX(tbl_Finance[Client],$A226),"")</f>
        <v/>
      </c>
      <c r="E226" s="61">
        <f>IFERROR(INDEX(tbl_Finance[Job Number],$A226),"")</f>
        <v/>
      </c>
      <c r="F226" s="61">
        <f>IFERROR(INDEX(tbl_Finance[Cost Centre],$A226),"")</f>
        <v/>
      </c>
      <c r="G226" s="62">
        <f>IFERROR(INDEX(tbl_Finance[Ex GST],$A226),"")</f>
        <v/>
      </c>
      <c r="H226" s="60">
        <f>IFERROR(INDEX(tbl_Finance[Defer Start],$A226),"")</f>
        <v/>
      </c>
      <c r="I226" s="60">
        <f>IFERROR(INDEX(tbl_Finance[Defer End],$A226),"")</f>
        <v/>
      </c>
      <c r="J226" s="59">
        <f>IF(OR($H226="",$I226="",$G226=""),"",MAX(1,(YEAR($I226)-YEAR($H226))*12+MONTH($I226)-MONTH($H226)+1))</f>
        <v/>
      </c>
      <c r="K226" s="62">
        <f>IF($J226="","",$G226/$J226)</f>
        <v/>
      </c>
      <c r="L226" s="62">
        <f>IF($J226="",0,$K226*MAX(0,MIN(YEAR($C$3)*12+MONTH($C$3),YEAR($I226)*12+MONTH($I226))-(YEAR($H226)*12+MONTH($H226))+1))</f>
        <v/>
      </c>
      <c r="M226" s="62">
        <f>IF($J226="",0,$K226*MAX(0,MIN(YEAR($C$3)*12+MONTH($C$3)-1,YEAR($I226)*12+MONTH($I226))-(YEAR($H226)*12+MONTH($H226))+1))</f>
        <v/>
      </c>
      <c r="N226" s="62">
        <f>IF(OR($J226="",$B226=""),0,IF(YEAR($B226)*12+MONTH($B226)&lt;=YEAR($C$3)*12+MONTH($C$3),$G226,0))</f>
        <v/>
      </c>
      <c r="O226" s="62">
        <f>IF(OR($J226="",$B226=""),0,IF(YEAR($B226)*12+MONTH($B226)&lt;=YEAR($C$3)*12+MONTH($C$3)-1,$G226,0))</f>
        <v/>
      </c>
      <c r="P226" s="62">
        <f>$M226-$O226</f>
        <v/>
      </c>
      <c r="Q226" s="62">
        <f>($L226-$M226)-($N226-$O226)</f>
        <v/>
      </c>
      <c r="R226" s="62">
        <f>$L226-$N226</f>
        <v/>
      </c>
    </row>
    <row r="227">
      <c r="A227" s="59">
        <f>ROW()-5</f>
        <v/>
      </c>
      <c r="B227" s="60">
        <f>IFERROR(INDEX(tbl_Finance[Date],$A227),"")</f>
        <v/>
      </c>
      <c r="C227" s="61">
        <f>IFERROR(INDEX(tbl_Finance[Xero Invoice No],$A227),"")</f>
        <v/>
      </c>
      <c r="D227" s="61">
        <f>IFERROR(INDEX(tbl_Finance[Client],$A227),"")</f>
        <v/>
      </c>
      <c r="E227" s="61">
        <f>IFERROR(INDEX(tbl_Finance[Job Number],$A227),"")</f>
        <v/>
      </c>
      <c r="F227" s="61">
        <f>IFERROR(INDEX(tbl_Finance[Cost Centre],$A227),"")</f>
        <v/>
      </c>
      <c r="G227" s="62">
        <f>IFERROR(INDEX(tbl_Finance[Ex GST],$A227),"")</f>
        <v/>
      </c>
      <c r="H227" s="60">
        <f>IFERROR(INDEX(tbl_Finance[Defer Start],$A227),"")</f>
        <v/>
      </c>
      <c r="I227" s="60">
        <f>IFERROR(INDEX(tbl_Finance[Defer End],$A227),"")</f>
        <v/>
      </c>
      <c r="J227" s="59">
        <f>IF(OR($H227="",$I227="",$G227=""),"",MAX(1,(YEAR($I227)-YEAR($H227))*12+MONTH($I227)-MONTH($H227)+1))</f>
        <v/>
      </c>
      <c r="K227" s="62">
        <f>IF($J227="","",$G227/$J227)</f>
        <v/>
      </c>
      <c r="L227" s="62">
        <f>IF($J227="",0,$K227*MAX(0,MIN(YEAR($C$3)*12+MONTH($C$3),YEAR($I227)*12+MONTH($I227))-(YEAR($H227)*12+MONTH($H227))+1))</f>
        <v/>
      </c>
      <c r="M227" s="62">
        <f>IF($J227="",0,$K227*MAX(0,MIN(YEAR($C$3)*12+MONTH($C$3)-1,YEAR($I227)*12+MONTH($I227))-(YEAR($H227)*12+MONTH($H227))+1))</f>
        <v/>
      </c>
      <c r="N227" s="62">
        <f>IF(OR($J227="",$B227=""),0,IF(YEAR($B227)*12+MONTH($B227)&lt;=YEAR($C$3)*12+MONTH($C$3),$G227,0))</f>
        <v/>
      </c>
      <c r="O227" s="62">
        <f>IF(OR($J227="",$B227=""),0,IF(YEAR($B227)*12+MONTH($B227)&lt;=YEAR($C$3)*12+MONTH($C$3)-1,$G227,0))</f>
        <v/>
      </c>
      <c r="P227" s="62">
        <f>$M227-$O227</f>
        <v/>
      </c>
      <c r="Q227" s="62">
        <f>($L227-$M227)-($N227-$O227)</f>
        <v/>
      </c>
      <c r="R227" s="62">
        <f>$L227-$N227</f>
        <v/>
      </c>
    </row>
    <row r="228">
      <c r="A228" s="59">
        <f>ROW()-5</f>
        <v/>
      </c>
      <c r="B228" s="60">
        <f>IFERROR(INDEX(tbl_Finance[Date],$A228),"")</f>
        <v/>
      </c>
      <c r="C228" s="61">
        <f>IFERROR(INDEX(tbl_Finance[Xero Invoice No],$A228),"")</f>
        <v/>
      </c>
      <c r="D228" s="61">
        <f>IFERROR(INDEX(tbl_Finance[Client],$A228),"")</f>
        <v/>
      </c>
      <c r="E228" s="61">
        <f>IFERROR(INDEX(tbl_Finance[Job Number],$A228),"")</f>
        <v/>
      </c>
      <c r="F228" s="61">
        <f>IFERROR(INDEX(tbl_Finance[Cost Centre],$A228),"")</f>
        <v/>
      </c>
      <c r="G228" s="62">
        <f>IFERROR(INDEX(tbl_Finance[Ex GST],$A228),"")</f>
        <v/>
      </c>
      <c r="H228" s="60">
        <f>IFERROR(INDEX(tbl_Finance[Defer Start],$A228),"")</f>
        <v/>
      </c>
      <c r="I228" s="60">
        <f>IFERROR(INDEX(tbl_Finance[Defer End],$A228),"")</f>
        <v/>
      </c>
      <c r="J228" s="59">
        <f>IF(OR($H228="",$I228="",$G228=""),"",MAX(1,(YEAR($I228)-YEAR($H228))*12+MONTH($I228)-MONTH($H228)+1))</f>
        <v/>
      </c>
      <c r="K228" s="62">
        <f>IF($J228="","",$G228/$J228)</f>
        <v/>
      </c>
      <c r="L228" s="62">
        <f>IF($J228="",0,$K228*MAX(0,MIN(YEAR($C$3)*12+MONTH($C$3),YEAR($I228)*12+MONTH($I228))-(YEAR($H228)*12+MONTH($H228))+1))</f>
        <v/>
      </c>
      <c r="M228" s="62">
        <f>IF($J228="",0,$K228*MAX(0,MIN(YEAR($C$3)*12+MONTH($C$3)-1,YEAR($I228)*12+MONTH($I228))-(YEAR($H228)*12+MONTH($H228))+1))</f>
        <v/>
      </c>
      <c r="N228" s="62">
        <f>IF(OR($J228="",$B228=""),0,IF(YEAR($B228)*12+MONTH($B228)&lt;=YEAR($C$3)*12+MONTH($C$3),$G228,0))</f>
        <v/>
      </c>
      <c r="O228" s="62">
        <f>IF(OR($J228="",$B228=""),0,IF(YEAR($B228)*12+MONTH($B228)&lt;=YEAR($C$3)*12+MONTH($C$3)-1,$G228,0))</f>
        <v/>
      </c>
      <c r="P228" s="62">
        <f>$M228-$O228</f>
        <v/>
      </c>
      <c r="Q228" s="62">
        <f>($L228-$M228)-($N228-$O228)</f>
        <v/>
      </c>
      <c r="R228" s="62">
        <f>$L228-$N228</f>
        <v/>
      </c>
    </row>
    <row r="229">
      <c r="A229" s="59">
        <f>ROW()-5</f>
        <v/>
      </c>
      <c r="B229" s="60">
        <f>IFERROR(INDEX(tbl_Finance[Date],$A229),"")</f>
        <v/>
      </c>
      <c r="C229" s="61">
        <f>IFERROR(INDEX(tbl_Finance[Xero Invoice No],$A229),"")</f>
        <v/>
      </c>
      <c r="D229" s="61">
        <f>IFERROR(INDEX(tbl_Finance[Client],$A229),"")</f>
        <v/>
      </c>
      <c r="E229" s="61">
        <f>IFERROR(INDEX(tbl_Finance[Job Number],$A229),"")</f>
        <v/>
      </c>
      <c r="F229" s="61">
        <f>IFERROR(INDEX(tbl_Finance[Cost Centre],$A229),"")</f>
        <v/>
      </c>
      <c r="G229" s="62">
        <f>IFERROR(INDEX(tbl_Finance[Ex GST],$A229),"")</f>
        <v/>
      </c>
      <c r="H229" s="60">
        <f>IFERROR(INDEX(tbl_Finance[Defer Start],$A229),"")</f>
        <v/>
      </c>
      <c r="I229" s="60">
        <f>IFERROR(INDEX(tbl_Finance[Defer End],$A229),"")</f>
        <v/>
      </c>
      <c r="J229" s="59">
        <f>IF(OR($H229="",$I229="",$G229=""),"",MAX(1,(YEAR($I229)-YEAR($H229))*12+MONTH($I229)-MONTH($H229)+1))</f>
        <v/>
      </c>
      <c r="K229" s="62">
        <f>IF($J229="","",$G229/$J229)</f>
        <v/>
      </c>
      <c r="L229" s="62">
        <f>IF($J229="",0,$K229*MAX(0,MIN(YEAR($C$3)*12+MONTH($C$3),YEAR($I229)*12+MONTH($I229))-(YEAR($H229)*12+MONTH($H229))+1))</f>
        <v/>
      </c>
      <c r="M229" s="62">
        <f>IF($J229="",0,$K229*MAX(0,MIN(YEAR($C$3)*12+MONTH($C$3)-1,YEAR($I229)*12+MONTH($I229))-(YEAR($H229)*12+MONTH($H229))+1))</f>
        <v/>
      </c>
      <c r="N229" s="62">
        <f>IF(OR($J229="",$B229=""),0,IF(YEAR($B229)*12+MONTH($B229)&lt;=YEAR($C$3)*12+MONTH($C$3),$G229,0))</f>
        <v/>
      </c>
      <c r="O229" s="62">
        <f>IF(OR($J229="",$B229=""),0,IF(YEAR($B229)*12+MONTH($B229)&lt;=YEAR($C$3)*12+MONTH($C$3)-1,$G229,0))</f>
        <v/>
      </c>
      <c r="P229" s="62">
        <f>$M229-$O229</f>
        <v/>
      </c>
      <c r="Q229" s="62">
        <f>($L229-$M229)-($N229-$O229)</f>
        <v/>
      </c>
      <c r="R229" s="62">
        <f>$L229-$N229</f>
        <v/>
      </c>
    </row>
    <row r="230">
      <c r="A230" s="59">
        <f>ROW()-5</f>
        <v/>
      </c>
      <c r="B230" s="60">
        <f>IFERROR(INDEX(tbl_Finance[Date],$A230),"")</f>
        <v/>
      </c>
      <c r="C230" s="61">
        <f>IFERROR(INDEX(tbl_Finance[Xero Invoice No],$A230),"")</f>
        <v/>
      </c>
      <c r="D230" s="61">
        <f>IFERROR(INDEX(tbl_Finance[Client],$A230),"")</f>
        <v/>
      </c>
      <c r="E230" s="61">
        <f>IFERROR(INDEX(tbl_Finance[Job Number],$A230),"")</f>
        <v/>
      </c>
      <c r="F230" s="61">
        <f>IFERROR(INDEX(tbl_Finance[Cost Centre],$A230),"")</f>
        <v/>
      </c>
      <c r="G230" s="62">
        <f>IFERROR(INDEX(tbl_Finance[Ex GST],$A230),"")</f>
        <v/>
      </c>
      <c r="H230" s="60">
        <f>IFERROR(INDEX(tbl_Finance[Defer Start],$A230),"")</f>
        <v/>
      </c>
      <c r="I230" s="60">
        <f>IFERROR(INDEX(tbl_Finance[Defer End],$A230),"")</f>
        <v/>
      </c>
      <c r="J230" s="59">
        <f>IF(OR($H230="",$I230="",$G230=""),"",MAX(1,(YEAR($I230)-YEAR($H230))*12+MONTH($I230)-MONTH($H230)+1))</f>
        <v/>
      </c>
      <c r="K230" s="62">
        <f>IF($J230="","",$G230/$J230)</f>
        <v/>
      </c>
      <c r="L230" s="62">
        <f>IF($J230="",0,$K230*MAX(0,MIN(YEAR($C$3)*12+MONTH($C$3),YEAR($I230)*12+MONTH($I230))-(YEAR($H230)*12+MONTH($H230))+1))</f>
        <v/>
      </c>
      <c r="M230" s="62">
        <f>IF($J230="",0,$K230*MAX(0,MIN(YEAR($C$3)*12+MONTH($C$3)-1,YEAR($I230)*12+MONTH($I230))-(YEAR($H230)*12+MONTH($H230))+1))</f>
        <v/>
      </c>
      <c r="N230" s="62">
        <f>IF(OR($J230="",$B230=""),0,IF(YEAR($B230)*12+MONTH($B230)&lt;=YEAR($C$3)*12+MONTH($C$3),$G230,0))</f>
        <v/>
      </c>
      <c r="O230" s="62">
        <f>IF(OR($J230="",$B230=""),0,IF(YEAR($B230)*12+MONTH($B230)&lt;=YEAR($C$3)*12+MONTH($C$3)-1,$G230,0))</f>
        <v/>
      </c>
      <c r="P230" s="62">
        <f>$M230-$O230</f>
        <v/>
      </c>
      <c r="Q230" s="62">
        <f>($L230-$M230)-($N230-$O230)</f>
        <v/>
      </c>
      <c r="R230" s="62">
        <f>$L230-$N230</f>
        <v/>
      </c>
    </row>
    <row r="231">
      <c r="A231" s="59">
        <f>ROW()-5</f>
        <v/>
      </c>
      <c r="B231" s="60">
        <f>IFERROR(INDEX(tbl_Finance[Date],$A231),"")</f>
        <v/>
      </c>
      <c r="C231" s="61">
        <f>IFERROR(INDEX(tbl_Finance[Xero Invoice No],$A231),"")</f>
        <v/>
      </c>
      <c r="D231" s="61">
        <f>IFERROR(INDEX(tbl_Finance[Client],$A231),"")</f>
        <v/>
      </c>
      <c r="E231" s="61">
        <f>IFERROR(INDEX(tbl_Finance[Job Number],$A231),"")</f>
        <v/>
      </c>
      <c r="F231" s="61">
        <f>IFERROR(INDEX(tbl_Finance[Cost Centre],$A231),"")</f>
        <v/>
      </c>
      <c r="G231" s="62">
        <f>IFERROR(INDEX(tbl_Finance[Ex GST],$A231),"")</f>
        <v/>
      </c>
      <c r="H231" s="60">
        <f>IFERROR(INDEX(tbl_Finance[Defer Start],$A231),"")</f>
        <v/>
      </c>
      <c r="I231" s="60">
        <f>IFERROR(INDEX(tbl_Finance[Defer End],$A231),"")</f>
        <v/>
      </c>
      <c r="J231" s="59">
        <f>IF(OR($H231="",$I231="",$G231=""),"",MAX(1,(YEAR($I231)-YEAR($H231))*12+MONTH($I231)-MONTH($H231)+1))</f>
        <v/>
      </c>
      <c r="K231" s="62">
        <f>IF($J231="","",$G231/$J231)</f>
        <v/>
      </c>
      <c r="L231" s="62">
        <f>IF($J231="",0,$K231*MAX(0,MIN(YEAR($C$3)*12+MONTH($C$3),YEAR($I231)*12+MONTH($I231))-(YEAR($H231)*12+MONTH($H231))+1))</f>
        <v/>
      </c>
      <c r="M231" s="62">
        <f>IF($J231="",0,$K231*MAX(0,MIN(YEAR($C$3)*12+MONTH($C$3)-1,YEAR($I231)*12+MONTH($I231))-(YEAR($H231)*12+MONTH($H231))+1))</f>
        <v/>
      </c>
      <c r="N231" s="62">
        <f>IF(OR($J231="",$B231=""),0,IF(YEAR($B231)*12+MONTH($B231)&lt;=YEAR($C$3)*12+MONTH($C$3),$G231,0))</f>
        <v/>
      </c>
      <c r="O231" s="62">
        <f>IF(OR($J231="",$B231=""),0,IF(YEAR($B231)*12+MONTH($B231)&lt;=YEAR($C$3)*12+MONTH($C$3)-1,$G231,0))</f>
        <v/>
      </c>
      <c r="P231" s="62">
        <f>$M231-$O231</f>
        <v/>
      </c>
      <c r="Q231" s="62">
        <f>($L231-$M231)-($N231-$O231)</f>
        <v/>
      </c>
      <c r="R231" s="62">
        <f>$L231-$N231</f>
        <v/>
      </c>
    </row>
    <row r="232">
      <c r="A232" s="59">
        <f>ROW()-5</f>
        <v/>
      </c>
      <c r="B232" s="60">
        <f>IFERROR(INDEX(tbl_Finance[Date],$A232),"")</f>
        <v/>
      </c>
      <c r="C232" s="61">
        <f>IFERROR(INDEX(tbl_Finance[Xero Invoice No],$A232),"")</f>
        <v/>
      </c>
      <c r="D232" s="61">
        <f>IFERROR(INDEX(tbl_Finance[Client],$A232),"")</f>
        <v/>
      </c>
      <c r="E232" s="61">
        <f>IFERROR(INDEX(tbl_Finance[Job Number],$A232),"")</f>
        <v/>
      </c>
      <c r="F232" s="61">
        <f>IFERROR(INDEX(tbl_Finance[Cost Centre],$A232),"")</f>
        <v/>
      </c>
      <c r="G232" s="62">
        <f>IFERROR(INDEX(tbl_Finance[Ex GST],$A232),"")</f>
        <v/>
      </c>
      <c r="H232" s="60">
        <f>IFERROR(INDEX(tbl_Finance[Defer Start],$A232),"")</f>
        <v/>
      </c>
      <c r="I232" s="60">
        <f>IFERROR(INDEX(tbl_Finance[Defer End],$A232),"")</f>
        <v/>
      </c>
      <c r="J232" s="59">
        <f>IF(OR($H232="",$I232="",$G232=""),"",MAX(1,(YEAR($I232)-YEAR($H232))*12+MONTH($I232)-MONTH($H232)+1))</f>
        <v/>
      </c>
      <c r="K232" s="62">
        <f>IF($J232="","",$G232/$J232)</f>
        <v/>
      </c>
      <c r="L232" s="62">
        <f>IF($J232="",0,$K232*MAX(0,MIN(YEAR($C$3)*12+MONTH($C$3),YEAR($I232)*12+MONTH($I232))-(YEAR($H232)*12+MONTH($H232))+1))</f>
        <v/>
      </c>
      <c r="M232" s="62">
        <f>IF($J232="",0,$K232*MAX(0,MIN(YEAR($C$3)*12+MONTH($C$3)-1,YEAR($I232)*12+MONTH($I232))-(YEAR($H232)*12+MONTH($H232))+1))</f>
        <v/>
      </c>
      <c r="N232" s="62">
        <f>IF(OR($J232="",$B232=""),0,IF(YEAR($B232)*12+MONTH($B232)&lt;=YEAR($C$3)*12+MONTH($C$3),$G232,0))</f>
        <v/>
      </c>
      <c r="O232" s="62">
        <f>IF(OR($J232="",$B232=""),0,IF(YEAR($B232)*12+MONTH($B232)&lt;=YEAR($C$3)*12+MONTH($C$3)-1,$G232,0))</f>
        <v/>
      </c>
      <c r="P232" s="62">
        <f>$M232-$O232</f>
        <v/>
      </c>
      <c r="Q232" s="62">
        <f>($L232-$M232)-($N232-$O232)</f>
        <v/>
      </c>
      <c r="R232" s="62">
        <f>$L232-$N232</f>
        <v/>
      </c>
    </row>
    <row r="233">
      <c r="A233" s="59">
        <f>ROW()-5</f>
        <v/>
      </c>
      <c r="B233" s="60">
        <f>IFERROR(INDEX(tbl_Finance[Date],$A233),"")</f>
        <v/>
      </c>
      <c r="C233" s="61">
        <f>IFERROR(INDEX(tbl_Finance[Xero Invoice No],$A233),"")</f>
        <v/>
      </c>
      <c r="D233" s="61">
        <f>IFERROR(INDEX(tbl_Finance[Client],$A233),"")</f>
        <v/>
      </c>
      <c r="E233" s="61">
        <f>IFERROR(INDEX(tbl_Finance[Job Number],$A233),"")</f>
        <v/>
      </c>
      <c r="F233" s="61">
        <f>IFERROR(INDEX(tbl_Finance[Cost Centre],$A233),"")</f>
        <v/>
      </c>
      <c r="G233" s="62">
        <f>IFERROR(INDEX(tbl_Finance[Ex GST],$A233),"")</f>
        <v/>
      </c>
      <c r="H233" s="60">
        <f>IFERROR(INDEX(tbl_Finance[Defer Start],$A233),"")</f>
        <v/>
      </c>
      <c r="I233" s="60">
        <f>IFERROR(INDEX(tbl_Finance[Defer End],$A233),"")</f>
        <v/>
      </c>
      <c r="J233" s="59">
        <f>IF(OR($H233="",$I233="",$G233=""),"",MAX(1,(YEAR($I233)-YEAR($H233))*12+MONTH($I233)-MONTH($H233)+1))</f>
        <v/>
      </c>
      <c r="K233" s="62">
        <f>IF($J233="","",$G233/$J233)</f>
        <v/>
      </c>
      <c r="L233" s="62">
        <f>IF($J233="",0,$K233*MAX(0,MIN(YEAR($C$3)*12+MONTH($C$3),YEAR($I233)*12+MONTH($I233))-(YEAR($H233)*12+MONTH($H233))+1))</f>
        <v/>
      </c>
      <c r="M233" s="62">
        <f>IF($J233="",0,$K233*MAX(0,MIN(YEAR($C$3)*12+MONTH($C$3)-1,YEAR($I233)*12+MONTH($I233))-(YEAR($H233)*12+MONTH($H233))+1))</f>
        <v/>
      </c>
      <c r="N233" s="62">
        <f>IF(OR($J233="",$B233=""),0,IF(YEAR($B233)*12+MONTH($B233)&lt;=YEAR($C$3)*12+MONTH($C$3),$G233,0))</f>
        <v/>
      </c>
      <c r="O233" s="62">
        <f>IF(OR($J233="",$B233=""),0,IF(YEAR($B233)*12+MONTH($B233)&lt;=YEAR($C$3)*12+MONTH($C$3)-1,$G233,0))</f>
        <v/>
      </c>
      <c r="P233" s="62">
        <f>$M233-$O233</f>
        <v/>
      </c>
      <c r="Q233" s="62">
        <f>($L233-$M233)-($N233-$O233)</f>
        <v/>
      </c>
      <c r="R233" s="62">
        <f>$L233-$N233</f>
        <v/>
      </c>
    </row>
    <row r="234">
      <c r="A234" s="59">
        <f>ROW()-5</f>
        <v/>
      </c>
      <c r="B234" s="60">
        <f>IFERROR(INDEX(tbl_Finance[Date],$A234),"")</f>
        <v/>
      </c>
      <c r="C234" s="61">
        <f>IFERROR(INDEX(tbl_Finance[Xero Invoice No],$A234),"")</f>
        <v/>
      </c>
      <c r="D234" s="61">
        <f>IFERROR(INDEX(tbl_Finance[Client],$A234),"")</f>
        <v/>
      </c>
      <c r="E234" s="61">
        <f>IFERROR(INDEX(tbl_Finance[Job Number],$A234),"")</f>
        <v/>
      </c>
      <c r="F234" s="61">
        <f>IFERROR(INDEX(tbl_Finance[Cost Centre],$A234),"")</f>
        <v/>
      </c>
      <c r="G234" s="62">
        <f>IFERROR(INDEX(tbl_Finance[Ex GST],$A234),"")</f>
        <v/>
      </c>
      <c r="H234" s="60">
        <f>IFERROR(INDEX(tbl_Finance[Defer Start],$A234),"")</f>
        <v/>
      </c>
      <c r="I234" s="60">
        <f>IFERROR(INDEX(tbl_Finance[Defer End],$A234),"")</f>
        <v/>
      </c>
      <c r="J234" s="59">
        <f>IF(OR($H234="",$I234="",$G234=""),"",MAX(1,(YEAR($I234)-YEAR($H234))*12+MONTH($I234)-MONTH($H234)+1))</f>
        <v/>
      </c>
      <c r="K234" s="62">
        <f>IF($J234="","",$G234/$J234)</f>
        <v/>
      </c>
      <c r="L234" s="62">
        <f>IF($J234="",0,$K234*MAX(0,MIN(YEAR($C$3)*12+MONTH($C$3),YEAR($I234)*12+MONTH($I234))-(YEAR($H234)*12+MONTH($H234))+1))</f>
        <v/>
      </c>
      <c r="M234" s="62">
        <f>IF($J234="",0,$K234*MAX(0,MIN(YEAR($C$3)*12+MONTH($C$3)-1,YEAR($I234)*12+MONTH($I234))-(YEAR($H234)*12+MONTH($H234))+1))</f>
        <v/>
      </c>
      <c r="N234" s="62">
        <f>IF(OR($J234="",$B234=""),0,IF(YEAR($B234)*12+MONTH($B234)&lt;=YEAR($C$3)*12+MONTH($C$3),$G234,0))</f>
        <v/>
      </c>
      <c r="O234" s="62">
        <f>IF(OR($J234="",$B234=""),0,IF(YEAR($B234)*12+MONTH($B234)&lt;=YEAR($C$3)*12+MONTH($C$3)-1,$G234,0))</f>
        <v/>
      </c>
      <c r="P234" s="62">
        <f>$M234-$O234</f>
        <v/>
      </c>
      <c r="Q234" s="62">
        <f>($L234-$M234)-($N234-$O234)</f>
        <v/>
      </c>
      <c r="R234" s="62">
        <f>$L234-$N234</f>
        <v/>
      </c>
    </row>
    <row r="235">
      <c r="A235" s="59">
        <f>ROW()-5</f>
        <v/>
      </c>
      <c r="B235" s="60">
        <f>IFERROR(INDEX(tbl_Finance[Date],$A235),"")</f>
        <v/>
      </c>
      <c r="C235" s="61">
        <f>IFERROR(INDEX(tbl_Finance[Xero Invoice No],$A235),"")</f>
        <v/>
      </c>
      <c r="D235" s="61">
        <f>IFERROR(INDEX(tbl_Finance[Client],$A235),"")</f>
        <v/>
      </c>
      <c r="E235" s="61">
        <f>IFERROR(INDEX(tbl_Finance[Job Number],$A235),"")</f>
        <v/>
      </c>
      <c r="F235" s="61">
        <f>IFERROR(INDEX(tbl_Finance[Cost Centre],$A235),"")</f>
        <v/>
      </c>
      <c r="G235" s="62">
        <f>IFERROR(INDEX(tbl_Finance[Ex GST],$A235),"")</f>
        <v/>
      </c>
      <c r="H235" s="60">
        <f>IFERROR(INDEX(tbl_Finance[Defer Start],$A235),"")</f>
        <v/>
      </c>
      <c r="I235" s="60">
        <f>IFERROR(INDEX(tbl_Finance[Defer End],$A235),"")</f>
        <v/>
      </c>
      <c r="J235" s="59">
        <f>IF(OR($H235="",$I235="",$G235=""),"",MAX(1,(YEAR($I235)-YEAR($H235))*12+MONTH($I235)-MONTH($H235)+1))</f>
        <v/>
      </c>
      <c r="K235" s="62">
        <f>IF($J235="","",$G235/$J235)</f>
        <v/>
      </c>
      <c r="L235" s="62">
        <f>IF($J235="",0,$K235*MAX(0,MIN(YEAR($C$3)*12+MONTH($C$3),YEAR($I235)*12+MONTH($I235))-(YEAR($H235)*12+MONTH($H235))+1))</f>
        <v/>
      </c>
      <c r="M235" s="62">
        <f>IF($J235="",0,$K235*MAX(0,MIN(YEAR($C$3)*12+MONTH($C$3)-1,YEAR($I235)*12+MONTH($I235))-(YEAR($H235)*12+MONTH($H235))+1))</f>
        <v/>
      </c>
      <c r="N235" s="62">
        <f>IF(OR($J235="",$B235=""),0,IF(YEAR($B235)*12+MONTH($B235)&lt;=YEAR($C$3)*12+MONTH($C$3),$G235,0))</f>
        <v/>
      </c>
      <c r="O235" s="62">
        <f>IF(OR($J235="",$B235=""),0,IF(YEAR($B235)*12+MONTH($B235)&lt;=YEAR($C$3)*12+MONTH($C$3)-1,$G235,0))</f>
        <v/>
      </c>
      <c r="P235" s="62">
        <f>$M235-$O235</f>
        <v/>
      </c>
      <c r="Q235" s="62">
        <f>($L235-$M235)-($N235-$O235)</f>
        <v/>
      </c>
      <c r="R235" s="62">
        <f>$L235-$N235</f>
        <v/>
      </c>
    </row>
    <row r="236">
      <c r="A236" s="59">
        <f>ROW()-5</f>
        <v/>
      </c>
      <c r="B236" s="60">
        <f>IFERROR(INDEX(tbl_Finance[Date],$A236),"")</f>
        <v/>
      </c>
      <c r="C236" s="61">
        <f>IFERROR(INDEX(tbl_Finance[Xero Invoice No],$A236),"")</f>
        <v/>
      </c>
      <c r="D236" s="61">
        <f>IFERROR(INDEX(tbl_Finance[Client],$A236),"")</f>
        <v/>
      </c>
      <c r="E236" s="61">
        <f>IFERROR(INDEX(tbl_Finance[Job Number],$A236),"")</f>
        <v/>
      </c>
      <c r="F236" s="61">
        <f>IFERROR(INDEX(tbl_Finance[Cost Centre],$A236),"")</f>
        <v/>
      </c>
      <c r="G236" s="62">
        <f>IFERROR(INDEX(tbl_Finance[Ex GST],$A236),"")</f>
        <v/>
      </c>
      <c r="H236" s="60">
        <f>IFERROR(INDEX(tbl_Finance[Defer Start],$A236),"")</f>
        <v/>
      </c>
      <c r="I236" s="60">
        <f>IFERROR(INDEX(tbl_Finance[Defer End],$A236),"")</f>
        <v/>
      </c>
      <c r="J236" s="59">
        <f>IF(OR($H236="",$I236="",$G236=""),"",MAX(1,(YEAR($I236)-YEAR($H236))*12+MONTH($I236)-MONTH($H236)+1))</f>
        <v/>
      </c>
      <c r="K236" s="62">
        <f>IF($J236="","",$G236/$J236)</f>
        <v/>
      </c>
      <c r="L236" s="62">
        <f>IF($J236="",0,$K236*MAX(0,MIN(YEAR($C$3)*12+MONTH($C$3),YEAR($I236)*12+MONTH($I236))-(YEAR($H236)*12+MONTH($H236))+1))</f>
        <v/>
      </c>
      <c r="M236" s="62">
        <f>IF($J236="",0,$K236*MAX(0,MIN(YEAR($C$3)*12+MONTH($C$3)-1,YEAR($I236)*12+MONTH($I236))-(YEAR($H236)*12+MONTH($H236))+1))</f>
        <v/>
      </c>
      <c r="N236" s="62">
        <f>IF(OR($J236="",$B236=""),0,IF(YEAR($B236)*12+MONTH($B236)&lt;=YEAR($C$3)*12+MONTH($C$3),$G236,0))</f>
        <v/>
      </c>
      <c r="O236" s="62">
        <f>IF(OR($J236="",$B236=""),0,IF(YEAR($B236)*12+MONTH($B236)&lt;=YEAR($C$3)*12+MONTH($C$3)-1,$G236,0))</f>
        <v/>
      </c>
      <c r="P236" s="62">
        <f>$M236-$O236</f>
        <v/>
      </c>
      <c r="Q236" s="62">
        <f>($L236-$M236)-($N236-$O236)</f>
        <v/>
      </c>
      <c r="R236" s="62">
        <f>$L236-$N236</f>
        <v/>
      </c>
    </row>
    <row r="237">
      <c r="A237" s="59">
        <f>ROW()-5</f>
        <v/>
      </c>
      <c r="B237" s="60">
        <f>IFERROR(INDEX(tbl_Finance[Date],$A237),"")</f>
        <v/>
      </c>
      <c r="C237" s="61">
        <f>IFERROR(INDEX(tbl_Finance[Xero Invoice No],$A237),"")</f>
        <v/>
      </c>
      <c r="D237" s="61">
        <f>IFERROR(INDEX(tbl_Finance[Client],$A237),"")</f>
        <v/>
      </c>
      <c r="E237" s="61">
        <f>IFERROR(INDEX(tbl_Finance[Job Number],$A237),"")</f>
        <v/>
      </c>
      <c r="F237" s="61">
        <f>IFERROR(INDEX(tbl_Finance[Cost Centre],$A237),"")</f>
        <v/>
      </c>
      <c r="G237" s="62">
        <f>IFERROR(INDEX(tbl_Finance[Ex GST],$A237),"")</f>
        <v/>
      </c>
      <c r="H237" s="60">
        <f>IFERROR(INDEX(tbl_Finance[Defer Start],$A237),"")</f>
        <v/>
      </c>
      <c r="I237" s="60">
        <f>IFERROR(INDEX(tbl_Finance[Defer End],$A237),"")</f>
        <v/>
      </c>
      <c r="J237" s="59">
        <f>IF(OR($H237="",$I237="",$G237=""),"",MAX(1,(YEAR($I237)-YEAR($H237))*12+MONTH($I237)-MONTH($H237)+1))</f>
        <v/>
      </c>
      <c r="K237" s="62">
        <f>IF($J237="","",$G237/$J237)</f>
        <v/>
      </c>
      <c r="L237" s="62">
        <f>IF($J237="",0,$K237*MAX(0,MIN(YEAR($C$3)*12+MONTH($C$3),YEAR($I237)*12+MONTH($I237))-(YEAR($H237)*12+MONTH($H237))+1))</f>
        <v/>
      </c>
      <c r="M237" s="62">
        <f>IF($J237="",0,$K237*MAX(0,MIN(YEAR($C$3)*12+MONTH($C$3)-1,YEAR($I237)*12+MONTH($I237))-(YEAR($H237)*12+MONTH($H237))+1))</f>
        <v/>
      </c>
      <c r="N237" s="62">
        <f>IF(OR($J237="",$B237=""),0,IF(YEAR($B237)*12+MONTH($B237)&lt;=YEAR($C$3)*12+MONTH($C$3),$G237,0))</f>
        <v/>
      </c>
      <c r="O237" s="62">
        <f>IF(OR($J237="",$B237=""),0,IF(YEAR($B237)*12+MONTH($B237)&lt;=YEAR($C$3)*12+MONTH($C$3)-1,$G237,0))</f>
        <v/>
      </c>
      <c r="P237" s="62">
        <f>$M237-$O237</f>
        <v/>
      </c>
      <c r="Q237" s="62">
        <f>($L237-$M237)-($N237-$O237)</f>
        <v/>
      </c>
      <c r="R237" s="62">
        <f>$L237-$N237</f>
        <v/>
      </c>
    </row>
    <row r="238">
      <c r="A238" s="59">
        <f>ROW()-5</f>
        <v/>
      </c>
      <c r="B238" s="60">
        <f>IFERROR(INDEX(tbl_Finance[Date],$A238),"")</f>
        <v/>
      </c>
      <c r="C238" s="61">
        <f>IFERROR(INDEX(tbl_Finance[Xero Invoice No],$A238),"")</f>
        <v/>
      </c>
      <c r="D238" s="61">
        <f>IFERROR(INDEX(tbl_Finance[Client],$A238),"")</f>
        <v/>
      </c>
      <c r="E238" s="61">
        <f>IFERROR(INDEX(tbl_Finance[Job Number],$A238),"")</f>
        <v/>
      </c>
      <c r="F238" s="61">
        <f>IFERROR(INDEX(tbl_Finance[Cost Centre],$A238),"")</f>
        <v/>
      </c>
      <c r="G238" s="62">
        <f>IFERROR(INDEX(tbl_Finance[Ex GST],$A238),"")</f>
        <v/>
      </c>
      <c r="H238" s="60">
        <f>IFERROR(INDEX(tbl_Finance[Defer Start],$A238),"")</f>
        <v/>
      </c>
      <c r="I238" s="60">
        <f>IFERROR(INDEX(tbl_Finance[Defer End],$A238),"")</f>
        <v/>
      </c>
      <c r="J238" s="59">
        <f>IF(OR($H238="",$I238="",$G238=""),"",MAX(1,(YEAR($I238)-YEAR($H238))*12+MONTH($I238)-MONTH($H238)+1))</f>
        <v/>
      </c>
      <c r="K238" s="62">
        <f>IF($J238="","",$G238/$J238)</f>
        <v/>
      </c>
      <c r="L238" s="62">
        <f>IF($J238="",0,$K238*MAX(0,MIN(YEAR($C$3)*12+MONTH($C$3),YEAR($I238)*12+MONTH($I238))-(YEAR($H238)*12+MONTH($H238))+1))</f>
        <v/>
      </c>
      <c r="M238" s="62">
        <f>IF($J238="",0,$K238*MAX(0,MIN(YEAR($C$3)*12+MONTH($C$3)-1,YEAR($I238)*12+MONTH($I238))-(YEAR($H238)*12+MONTH($H238))+1))</f>
        <v/>
      </c>
      <c r="N238" s="62">
        <f>IF(OR($J238="",$B238=""),0,IF(YEAR($B238)*12+MONTH($B238)&lt;=YEAR($C$3)*12+MONTH($C$3),$G238,0))</f>
        <v/>
      </c>
      <c r="O238" s="62">
        <f>IF(OR($J238="",$B238=""),0,IF(YEAR($B238)*12+MONTH($B238)&lt;=YEAR($C$3)*12+MONTH($C$3)-1,$G238,0))</f>
        <v/>
      </c>
      <c r="P238" s="62">
        <f>$M238-$O238</f>
        <v/>
      </c>
      <c r="Q238" s="62">
        <f>($L238-$M238)-($N238-$O238)</f>
        <v/>
      </c>
      <c r="R238" s="62">
        <f>$L238-$N238</f>
        <v/>
      </c>
    </row>
    <row r="239">
      <c r="A239" s="59">
        <f>ROW()-5</f>
        <v/>
      </c>
      <c r="B239" s="60">
        <f>IFERROR(INDEX(tbl_Finance[Date],$A239),"")</f>
        <v/>
      </c>
      <c r="C239" s="61">
        <f>IFERROR(INDEX(tbl_Finance[Xero Invoice No],$A239),"")</f>
        <v/>
      </c>
      <c r="D239" s="61">
        <f>IFERROR(INDEX(tbl_Finance[Client],$A239),"")</f>
        <v/>
      </c>
      <c r="E239" s="61">
        <f>IFERROR(INDEX(tbl_Finance[Job Number],$A239),"")</f>
        <v/>
      </c>
      <c r="F239" s="61">
        <f>IFERROR(INDEX(tbl_Finance[Cost Centre],$A239),"")</f>
        <v/>
      </c>
      <c r="G239" s="62">
        <f>IFERROR(INDEX(tbl_Finance[Ex GST],$A239),"")</f>
        <v/>
      </c>
      <c r="H239" s="60">
        <f>IFERROR(INDEX(tbl_Finance[Defer Start],$A239),"")</f>
        <v/>
      </c>
      <c r="I239" s="60">
        <f>IFERROR(INDEX(tbl_Finance[Defer End],$A239),"")</f>
        <v/>
      </c>
      <c r="J239" s="59">
        <f>IF(OR($H239="",$I239="",$G239=""),"",MAX(1,(YEAR($I239)-YEAR($H239))*12+MONTH($I239)-MONTH($H239)+1))</f>
        <v/>
      </c>
      <c r="K239" s="62">
        <f>IF($J239="","",$G239/$J239)</f>
        <v/>
      </c>
      <c r="L239" s="62">
        <f>IF($J239="",0,$K239*MAX(0,MIN(YEAR($C$3)*12+MONTH($C$3),YEAR($I239)*12+MONTH($I239))-(YEAR($H239)*12+MONTH($H239))+1))</f>
        <v/>
      </c>
      <c r="M239" s="62">
        <f>IF($J239="",0,$K239*MAX(0,MIN(YEAR($C$3)*12+MONTH($C$3)-1,YEAR($I239)*12+MONTH($I239))-(YEAR($H239)*12+MONTH($H239))+1))</f>
        <v/>
      </c>
      <c r="N239" s="62">
        <f>IF(OR($J239="",$B239=""),0,IF(YEAR($B239)*12+MONTH($B239)&lt;=YEAR($C$3)*12+MONTH($C$3),$G239,0))</f>
        <v/>
      </c>
      <c r="O239" s="62">
        <f>IF(OR($J239="",$B239=""),0,IF(YEAR($B239)*12+MONTH($B239)&lt;=YEAR($C$3)*12+MONTH($C$3)-1,$G239,0))</f>
        <v/>
      </c>
      <c r="P239" s="62">
        <f>$M239-$O239</f>
        <v/>
      </c>
      <c r="Q239" s="62">
        <f>($L239-$M239)-($N239-$O239)</f>
        <v/>
      </c>
      <c r="R239" s="62">
        <f>$L239-$N239</f>
        <v/>
      </c>
    </row>
    <row r="240">
      <c r="A240" s="59">
        <f>ROW()-5</f>
        <v/>
      </c>
      <c r="B240" s="60">
        <f>IFERROR(INDEX(tbl_Finance[Date],$A240),"")</f>
        <v/>
      </c>
      <c r="C240" s="61">
        <f>IFERROR(INDEX(tbl_Finance[Xero Invoice No],$A240),"")</f>
        <v/>
      </c>
      <c r="D240" s="61">
        <f>IFERROR(INDEX(tbl_Finance[Client],$A240),"")</f>
        <v/>
      </c>
      <c r="E240" s="61">
        <f>IFERROR(INDEX(tbl_Finance[Job Number],$A240),"")</f>
        <v/>
      </c>
      <c r="F240" s="61">
        <f>IFERROR(INDEX(tbl_Finance[Cost Centre],$A240),"")</f>
        <v/>
      </c>
      <c r="G240" s="62">
        <f>IFERROR(INDEX(tbl_Finance[Ex GST],$A240),"")</f>
        <v/>
      </c>
      <c r="H240" s="60">
        <f>IFERROR(INDEX(tbl_Finance[Defer Start],$A240),"")</f>
        <v/>
      </c>
      <c r="I240" s="60">
        <f>IFERROR(INDEX(tbl_Finance[Defer End],$A240),"")</f>
        <v/>
      </c>
      <c r="J240" s="59">
        <f>IF(OR($H240="",$I240="",$G240=""),"",MAX(1,(YEAR($I240)-YEAR($H240))*12+MONTH($I240)-MONTH($H240)+1))</f>
        <v/>
      </c>
      <c r="K240" s="62">
        <f>IF($J240="","",$G240/$J240)</f>
        <v/>
      </c>
      <c r="L240" s="62">
        <f>IF($J240="",0,$K240*MAX(0,MIN(YEAR($C$3)*12+MONTH($C$3),YEAR($I240)*12+MONTH($I240))-(YEAR($H240)*12+MONTH($H240))+1))</f>
        <v/>
      </c>
      <c r="M240" s="62">
        <f>IF($J240="",0,$K240*MAX(0,MIN(YEAR($C$3)*12+MONTH($C$3)-1,YEAR($I240)*12+MONTH($I240))-(YEAR($H240)*12+MONTH($H240))+1))</f>
        <v/>
      </c>
      <c r="N240" s="62">
        <f>IF(OR($J240="",$B240=""),0,IF(YEAR($B240)*12+MONTH($B240)&lt;=YEAR($C$3)*12+MONTH($C$3),$G240,0))</f>
        <v/>
      </c>
      <c r="O240" s="62">
        <f>IF(OR($J240="",$B240=""),0,IF(YEAR($B240)*12+MONTH($B240)&lt;=YEAR($C$3)*12+MONTH($C$3)-1,$G240,0))</f>
        <v/>
      </c>
      <c r="P240" s="62">
        <f>$M240-$O240</f>
        <v/>
      </c>
      <c r="Q240" s="62">
        <f>($L240-$M240)-($N240-$O240)</f>
        <v/>
      </c>
      <c r="R240" s="62">
        <f>$L240-$N240</f>
        <v/>
      </c>
    </row>
    <row r="241">
      <c r="A241" s="59">
        <f>ROW()-5</f>
        <v/>
      </c>
      <c r="B241" s="60">
        <f>IFERROR(INDEX(tbl_Finance[Date],$A241),"")</f>
        <v/>
      </c>
      <c r="C241" s="61">
        <f>IFERROR(INDEX(tbl_Finance[Xero Invoice No],$A241),"")</f>
        <v/>
      </c>
      <c r="D241" s="61">
        <f>IFERROR(INDEX(tbl_Finance[Client],$A241),"")</f>
        <v/>
      </c>
      <c r="E241" s="61">
        <f>IFERROR(INDEX(tbl_Finance[Job Number],$A241),"")</f>
        <v/>
      </c>
      <c r="F241" s="61">
        <f>IFERROR(INDEX(tbl_Finance[Cost Centre],$A241),"")</f>
        <v/>
      </c>
      <c r="G241" s="62">
        <f>IFERROR(INDEX(tbl_Finance[Ex GST],$A241),"")</f>
        <v/>
      </c>
      <c r="H241" s="60">
        <f>IFERROR(INDEX(tbl_Finance[Defer Start],$A241),"")</f>
        <v/>
      </c>
      <c r="I241" s="60">
        <f>IFERROR(INDEX(tbl_Finance[Defer End],$A241),"")</f>
        <v/>
      </c>
      <c r="J241" s="59">
        <f>IF(OR($H241="",$I241="",$G241=""),"",MAX(1,(YEAR($I241)-YEAR($H241))*12+MONTH($I241)-MONTH($H241)+1))</f>
        <v/>
      </c>
      <c r="K241" s="62">
        <f>IF($J241="","",$G241/$J241)</f>
        <v/>
      </c>
      <c r="L241" s="62">
        <f>IF($J241="",0,$K241*MAX(0,MIN(YEAR($C$3)*12+MONTH($C$3),YEAR($I241)*12+MONTH($I241))-(YEAR($H241)*12+MONTH($H241))+1))</f>
        <v/>
      </c>
      <c r="M241" s="62">
        <f>IF($J241="",0,$K241*MAX(0,MIN(YEAR($C$3)*12+MONTH($C$3)-1,YEAR($I241)*12+MONTH($I241))-(YEAR($H241)*12+MONTH($H241))+1))</f>
        <v/>
      </c>
      <c r="N241" s="62">
        <f>IF(OR($J241="",$B241=""),0,IF(YEAR($B241)*12+MONTH($B241)&lt;=YEAR($C$3)*12+MONTH($C$3),$G241,0))</f>
        <v/>
      </c>
      <c r="O241" s="62">
        <f>IF(OR($J241="",$B241=""),0,IF(YEAR($B241)*12+MONTH($B241)&lt;=YEAR($C$3)*12+MONTH($C$3)-1,$G241,0))</f>
        <v/>
      </c>
      <c r="P241" s="62">
        <f>$M241-$O241</f>
        <v/>
      </c>
      <c r="Q241" s="62">
        <f>($L241-$M241)-($N241-$O241)</f>
        <v/>
      </c>
      <c r="R241" s="62">
        <f>$L241-$N241</f>
        <v/>
      </c>
    </row>
    <row r="242">
      <c r="A242" s="59">
        <f>ROW()-5</f>
        <v/>
      </c>
      <c r="B242" s="60">
        <f>IFERROR(INDEX(tbl_Finance[Date],$A242),"")</f>
        <v/>
      </c>
      <c r="C242" s="61">
        <f>IFERROR(INDEX(tbl_Finance[Xero Invoice No],$A242),"")</f>
        <v/>
      </c>
      <c r="D242" s="61">
        <f>IFERROR(INDEX(tbl_Finance[Client],$A242),"")</f>
        <v/>
      </c>
      <c r="E242" s="61">
        <f>IFERROR(INDEX(tbl_Finance[Job Number],$A242),"")</f>
        <v/>
      </c>
      <c r="F242" s="61">
        <f>IFERROR(INDEX(tbl_Finance[Cost Centre],$A242),"")</f>
        <v/>
      </c>
      <c r="G242" s="62">
        <f>IFERROR(INDEX(tbl_Finance[Ex GST],$A242),"")</f>
        <v/>
      </c>
      <c r="H242" s="60">
        <f>IFERROR(INDEX(tbl_Finance[Defer Start],$A242),"")</f>
        <v/>
      </c>
      <c r="I242" s="60">
        <f>IFERROR(INDEX(tbl_Finance[Defer End],$A242),"")</f>
        <v/>
      </c>
      <c r="J242" s="59">
        <f>IF(OR($H242="",$I242="",$G242=""),"",MAX(1,(YEAR($I242)-YEAR($H242))*12+MONTH($I242)-MONTH($H242)+1))</f>
        <v/>
      </c>
      <c r="K242" s="62">
        <f>IF($J242="","",$G242/$J242)</f>
        <v/>
      </c>
      <c r="L242" s="62">
        <f>IF($J242="",0,$K242*MAX(0,MIN(YEAR($C$3)*12+MONTH($C$3),YEAR($I242)*12+MONTH($I242))-(YEAR($H242)*12+MONTH($H242))+1))</f>
        <v/>
      </c>
      <c r="M242" s="62">
        <f>IF($J242="",0,$K242*MAX(0,MIN(YEAR($C$3)*12+MONTH($C$3)-1,YEAR($I242)*12+MONTH($I242))-(YEAR($H242)*12+MONTH($H242))+1))</f>
        <v/>
      </c>
      <c r="N242" s="62">
        <f>IF(OR($J242="",$B242=""),0,IF(YEAR($B242)*12+MONTH($B242)&lt;=YEAR($C$3)*12+MONTH($C$3),$G242,0))</f>
        <v/>
      </c>
      <c r="O242" s="62">
        <f>IF(OR($J242="",$B242=""),0,IF(YEAR($B242)*12+MONTH($B242)&lt;=YEAR($C$3)*12+MONTH($C$3)-1,$G242,0))</f>
        <v/>
      </c>
      <c r="P242" s="62">
        <f>$M242-$O242</f>
        <v/>
      </c>
      <c r="Q242" s="62">
        <f>($L242-$M242)-($N242-$O242)</f>
        <v/>
      </c>
      <c r="R242" s="62">
        <f>$L242-$N242</f>
        <v/>
      </c>
    </row>
    <row r="243">
      <c r="A243" s="59">
        <f>ROW()-5</f>
        <v/>
      </c>
      <c r="B243" s="60">
        <f>IFERROR(INDEX(tbl_Finance[Date],$A243),"")</f>
        <v/>
      </c>
      <c r="C243" s="61">
        <f>IFERROR(INDEX(tbl_Finance[Xero Invoice No],$A243),"")</f>
        <v/>
      </c>
      <c r="D243" s="61">
        <f>IFERROR(INDEX(tbl_Finance[Client],$A243),"")</f>
        <v/>
      </c>
      <c r="E243" s="61">
        <f>IFERROR(INDEX(tbl_Finance[Job Number],$A243),"")</f>
        <v/>
      </c>
      <c r="F243" s="61">
        <f>IFERROR(INDEX(tbl_Finance[Cost Centre],$A243),"")</f>
        <v/>
      </c>
      <c r="G243" s="62">
        <f>IFERROR(INDEX(tbl_Finance[Ex GST],$A243),"")</f>
        <v/>
      </c>
      <c r="H243" s="60">
        <f>IFERROR(INDEX(tbl_Finance[Defer Start],$A243),"")</f>
        <v/>
      </c>
      <c r="I243" s="60">
        <f>IFERROR(INDEX(tbl_Finance[Defer End],$A243),"")</f>
        <v/>
      </c>
      <c r="J243" s="59">
        <f>IF(OR($H243="",$I243="",$G243=""),"",MAX(1,(YEAR($I243)-YEAR($H243))*12+MONTH($I243)-MONTH($H243)+1))</f>
        <v/>
      </c>
      <c r="K243" s="62">
        <f>IF($J243="","",$G243/$J243)</f>
        <v/>
      </c>
      <c r="L243" s="62">
        <f>IF($J243="",0,$K243*MAX(0,MIN(YEAR($C$3)*12+MONTH($C$3),YEAR($I243)*12+MONTH($I243))-(YEAR($H243)*12+MONTH($H243))+1))</f>
        <v/>
      </c>
      <c r="M243" s="62">
        <f>IF($J243="",0,$K243*MAX(0,MIN(YEAR($C$3)*12+MONTH($C$3)-1,YEAR($I243)*12+MONTH($I243))-(YEAR($H243)*12+MONTH($H243))+1))</f>
        <v/>
      </c>
      <c r="N243" s="62">
        <f>IF(OR($J243="",$B243=""),0,IF(YEAR($B243)*12+MONTH($B243)&lt;=YEAR($C$3)*12+MONTH($C$3),$G243,0))</f>
        <v/>
      </c>
      <c r="O243" s="62">
        <f>IF(OR($J243="",$B243=""),0,IF(YEAR($B243)*12+MONTH($B243)&lt;=YEAR($C$3)*12+MONTH($C$3)-1,$G243,0))</f>
        <v/>
      </c>
      <c r="P243" s="62">
        <f>$M243-$O243</f>
        <v/>
      </c>
      <c r="Q243" s="62">
        <f>($L243-$M243)-($N243-$O243)</f>
        <v/>
      </c>
      <c r="R243" s="62">
        <f>$L243-$N243</f>
        <v/>
      </c>
    </row>
    <row r="244">
      <c r="A244" s="59">
        <f>ROW()-5</f>
        <v/>
      </c>
      <c r="B244" s="60">
        <f>IFERROR(INDEX(tbl_Finance[Date],$A244),"")</f>
        <v/>
      </c>
      <c r="C244" s="61">
        <f>IFERROR(INDEX(tbl_Finance[Xero Invoice No],$A244),"")</f>
        <v/>
      </c>
      <c r="D244" s="61">
        <f>IFERROR(INDEX(tbl_Finance[Client],$A244),"")</f>
        <v/>
      </c>
      <c r="E244" s="61">
        <f>IFERROR(INDEX(tbl_Finance[Job Number],$A244),"")</f>
        <v/>
      </c>
      <c r="F244" s="61">
        <f>IFERROR(INDEX(tbl_Finance[Cost Centre],$A244),"")</f>
        <v/>
      </c>
      <c r="G244" s="62">
        <f>IFERROR(INDEX(tbl_Finance[Ex GST],$A244),"")</f>
        <v/>
      </c>
      <c r="H244" s="60">
        <f>IFERROR(INDEX(tbl_Finance[Defer Start],$A244),"")</f>
        <v/>
      </c>
      <c r="I244" s="60">
        <f>IFERROR(INDEX(tbl_Finance[Defer End],$A244),"")</f>
        <v/>
      </c>
      <c r="J244" s="59">
        <f>IF(OR($H244="",$I244="",$G244=""),"",MAX(1,(YEAR($I244)-YEAR($H244))*12+MONTH($I244)-MONTH($H244)+1))</f>
        <v/>
      </c>
      <c r="K244" s="62">
        <f>IF($J244="","",$G244/$J244)</f>
        <v/>
      </c>
      <c r="L244" s="62">
        <f>IF($J244="",0,$K244*MAX(0,MIN(YEAR($C$3)*12+MONTH($C$3),YEAR($I244)*12+MONTH($I244))-(YEAR($H244)*12+MONTH($H244))+1))</f>
        <v/>
      </c>
      <c r="M244" s="62">
        <f>IF($J244="",0,$K244*MAX(0,MIN(YEAR($C$3)*12+MONTH($C$3)-1,YEAR($I244)*12+MONTH($I244))-(YEAR($H244)*12+MONTH($H244))+1))</f>
        <v/>
      </c>
      <c r="N244" s="62">
        <f>IF(OR($J244="",$B244=""),0,IF(YEAR($B244)*12+MONTH($B244)&lt;=YEAR($C$3)*12+MONTH($C$3),$G244,0))</f>
        <v/>
      </c>
      <c r="O244" s="62">
        <f>IF(OR($J244="",$B244=""),0,IF(YEAR($B244)*12+MONTH($B244)&lt;=YEAR($C$3)*12+MONTH($C$3)-1,$G244,0))</f>
        <v/>
      </c>
      <c r="P244" s="62">
        <f>$M244-$O244</f>
        <v/>
      </c>
      <c r="Q244" s="62">
        <f>($L244-$M244)-($N244-$O244)</f>
        <v/>
      </c>
      <c r="R244" s="62">
        <f>$L244-$N244</f>
        <v/>
      </c>
    </row>
    <row r="245">
      <c r="A245" s="59">
        <f>ROW()-5</f>
        <v/>
      </c>
      <c r="B245" s="60">
        <f>IFERROR(INDEX(tbl_Finance[Date],$A245),"")</f>
        <v/>
      </c>
      <c r="C245" s="61">
        <f>IFERROR(INDEX(tbl_Finance[Xero Invoice No],$A245),"")</f>
        <v/>
      </c>
      <c r="D245" s="61">
        <f>IFERROR(INDEX(tbl_Finance[Client],$A245),"")</f>
        <v/>
      </c>
      <c r="E245" s="61">
        <f>IFERROR(INDEX(tbl_Finance[Job Number],$A245),"")</f>
        <v/>
      </c>
      <c r="F245" s="61">
        <f>IFERROR(INDEX(tbl_Finance[Cost Centre],$A245),"")</f>
        <v/>
      </c>
      <c r="G245" s="62">
        <f>IFERROR(INDEX(tbl_Finance[Ex GST],$A245),"")</f>
        <v/>
      </c>
      <c r="H245" s="60">
        <f>IFERROR(INDEX(tbl_Finance[Defer Start],$A245),"")</f>
        <v/>
      </c>
      <c r="I245" s="60">
        <f>IFERROR(INDEX(tbl_Finance[Defer End],$A245),"")</f>
        <v/>
      </c>
      <c r="J245" s="59">
        <f>IF(OR($H245="",$I245="",$G245=""),"",MAX(1,(YEAR($I245)-YEAR($H245))*12+MONTH($I245)-MONTH($H245)+1))</f>
        <v/>
      </c>
      <c r="K245" s="62">
        <f>IF($J245="","",$G245/$J245)</f>
        <v/>
      </c>
      <c r="L245" s="62">
        <f>IF($J245="",0,$K245*MAX(0,MIN(YEAR($C$3)*12+MONTH($C$3),YEAR($I245)*12+MONTH($I245))-(YEAR($H245)*12+MONTH($H245))+1))</f>
        <v/>
      </c>
      <c r="M245" s="62">
        <f>IF($J245="",0,$K245*MAX(0,MIN(YEAR($C$3)*12+MONTH($C$3)-1,YEAR($I245)*12+MONTH($I245))-(YEAR($H245)*12+MONTH($H245))+1))</f>
        <v/>
      </c>
      <c r="N245" s="62">
        <f>IF(OR($J245="",$B245=""),0,IF(YEAR($B245)*12+MONTH($B245)&lt;=YEAR($C$3)*12+MONTH($C$3),$G245,0))</f>
        <v/>
      </c>
      <c r="O245" s="62">
        <f>IF(OR($J245="",$B245=""),0,IF(YEAR($B245)*12+MONTH($B245)&lt;=YEAR($C$3)*12+MONTH($C$3)-1,$G245,0))</f>
        <v/>
      </c>
      <c r="P245" s="62">
        <f>$M245-$O245</f>
        <v/>
      </c>
      <c r="Q245" s="62">
        <f>($L245-$M245)-($N245-$O245)</f>
        <v/>
      </c>
      <c r="R245" s="62">
        <f>$L245-$N245</f>
        <v/>
      </c>
    </row>
    <row r="246">
      <c r="A246" s="59">
        <f>ROW()-5</f>
        <v/>
      </c>
      <c r="B246" s="60">
        <f>IFERROR(INDEX(tbl_Finance[Date],$A246),"")</f>
        <v/>
      </c>
      <c r="C246" s="61">
        <f>IFERROR(INDEX(tbl_Finance[Xero Invoice No],$A246),"")</f>
        <v/>
      </c>
      <c r="D246" s="61">
        <f>IFERROR(INDEX(tbl_Finance[Client],$A246),"")</f>
        <v/>
      </c>
      <c r="E246" s="61">
        <f>IFERROR(INDEX(tbl_Finance[Job Number],$A246),"")</f>
        <v/>
      </c>
      <c r="F246" s="61">
        <f>IFERROR(INDEX(tbl_Finance[Cost Centre],$A246),"")</f>
        <v/>
      </c>
      <c r="G246" s="62">
        <f>IFERROR(INDEX(tbl_Finance[Ex GST],$A246),"")</f>
        <v/>
      </c>
      <c r="H246" s="60">
        <f>IFERROR(INDEX(tbl_Finance[Defer Start],$A246),"")</f>
        <v/>
      </c>
      <c r="I246" s="60">
        <f>IFERROR(INDEX(tbl_Finance[Defer End],$A246),"")</f>
        <v/>
      </c>
      <c r="J246" s="59">
        <f>IF(OR($H246="",$I246="",$G246=""),"",MAX(1,(YEAR($I246)-YEAR($H246))*12+MONTH($I246)-MONTH($H246)+1))</f>
        <v/>
      </c>
      <c r="K246" s="62">
        <f>IF($J246="","",$G246/$J246)</f>
        <v/>
      </c>
      <c r="L246" s="62">
        <f>IF($J246="",0,$K246*MAX(0,MIN(YEAR($C$3)*12+MONTH($C$3),YEAR($I246)*12+MONTH($I246))-(YEAR($H246)*12+MONTH($H246))+1))</f>
        <v/>
      </c>
      <c r="M246" s="62">
        <f>IF($J246="",0,$K246*MAX(0,MIN(YEAR($C$3)*12+MONTH($C$3)-1,YEAR($I246)*12+MONTH($I246))-(YEAR($H246)*12+MONTH($H246))+1))</f>
        <v/>
      </c>
      <c r="N246" s="62">
        <f>IF(OR($J246="",$B246=""),0,IF(YEAR($B246)*12+MONTH($B246)&lt;=YEAR($C$3)*12+MONTH($C$3),$G246,0))</f>
        <v/>
      </c>
      <c r="O246" s="62">
        <f>IF(OR($J246="",$B246=""),0,IF(YEAR($B246)*12+MONTH($B246)&lt;=YEAR($C$3)*12+MONTH($C$3)-1,$G246,0))</f>
        <v/>
      </c>
      <c r="P246" s="62">
        <f>$M246-$O246</f>
        <v/>
      </c>
      <c r="Q246" s="62">
        <f>($L246-$M246)-($N246-$O246)</f>
        <v/>
      </c>
      <c r="R246" s="62">
        <f>$L246-$N246</f>
        <v/>
      </c>
    </row>
    <row r="247">
      <c r="A247" s="59">
        <f>ROW()-5</f>
        <v/>
      </c>
      <c r="B247" s="60">
        <f>IFERROR(INDEX(tbl_Finance[Date],$A247),"")</f>
        <v/>
      </c>
      <c r="C247" s="61">
        <f>IFERROR(INDEX(tbl_Finance[Xero Invoice No],$A247),"")</f>
        <v/>
      </c>
      <c r="D247" s="61">
        <f>IFERROR(INDEX(tbl_Finance[Client],$A247),"")</f>
        <v/>
      </c>
      <c r="E247" s="61">
        <f>IFERROR(INDEX(tbl_Finance[Job Number],$A247),"")</f>
        <v/>
      </c>
      <c r="F247" s="61">
        <f>IFERROR(INDEX(tbl_Finance[Cost Centre],$A247),"")</f>
        <v/>
      </c>
      <c r="G247" s="62">
        <f>IFERROR(INDEX(tbl_Finance[Ex GST],$A247),"")</f>
        <v/>
      </c>
      <c r="H247" s="60">
        <f>IFERROR(INDEX(tbl_Finance[Defer Start],$A247),"")</f>
        <v/>
      </c>
      <c r="I247" s="60">
        <f>IFERROR(INDEX(tbl_Finance[Defer End],$A247),"")</f>
        <v/>
      </c>
      <c r="J247" s="59">
        <f>IF(OR($H247="",$I247="",$G247=""),"",MAX(1,(YEAR($I247)-YEAR($H247))*12+MONTH($I247)-MONTH($H247)+1))</f>
        <v/>
      </c>
      <c r="K247" s="62">
        <f>IF($J247="","",$G247/$J247)</f>
        <v/>
      </c>
      <c r="L247" s="62">
        <f>IF($J247="",0,$K247*MAX(0,MIN(YEAR($C$3)*12+MONTH($C$3),YEAR($I247)*12+MONTH($I247))-(YEAR($H247)*12+MONTH($H247))+1))</f>
        <v/>
      </c>
      <c r="M247" s="62">
        <f>IF($J247="",0,$K247*MAX(0,MIN(YEAR($C$3)*12+MONTH($C$3)-1,YEAR($I247)*12+MONTH($I247))-(YEAR($H247)*12+MONTH($H247))+1))</f>
        <v/>
      </c>
      <c r="N247" s="62">
        <f>IF(OR($J247="",$B247=""),0,IF(YEAR($B247)*12+MONTH($B247)&lt;=YEAR($C$3)*12+MONTH($C$3),$G247,0))</f>
        <v/>
      </c>
      <c r="O247" s="62">
        <f>IF(OR($J247="",$B247=""),0,IF(YEAR($B247)*12+MONTH($B247)&lt;=YEAR($C$3)*12+MONTH($C$3)-1,$G247,0))</f>
        <v/>
      </c>
      <c r="P247" s="62">
        <f>$M247-$O247</f>
        <v/>
      </c>
      <c r="Q247" s="62">
        <f>($L247-$M247)-($N247-$O247)</f>
        <v/>
      </c>
      <c r="R247" s="62">
        <f>$L247-$N247</f>
        <v/>
      </c>
    </row>
    <row r="248">
      <c r="A248" s="59">
        <f>ROW()-5</f>
        <v/>
      </c>
      <c r="B248" s="60">
        <f>IFERROR(INDEX(tbl_Finance[Date],$A248),"")</f>
        <v/>
      </c>
      <c r="C248" s="61">
        <f>IFERROR(INDEX(tbl_Finance[Xero Invoice No],$A248),"")</f>
        <v/>
      </c>
      <c r="D248" s="61">
        <f>IFERROR(INDEX(tbl_Finance[Client],$A248),"")</f>
        <v/>
      </c>
      <c r="E248" s="61">
        <f>IFERROR(INDEX(tbl_Finance[Job Number],$A248),"")</f>
        <v/>
      </c>
      <c r="F248" s="61">
        <f>IFERROR(INDEX(tbl_Finance[Cost Centre],$A248),"")</f>
        <v/>
      </c>
      <c r="G248" s="62">
        <f>IFERROR(INDEX(tbl_Finance[Ex GST],$A248),"")</f>
        <v/>
      </c>
      <c r="H248" s="60">
        <f>IFERROR(INDEX(tbl_Finance[Defer Start],$A248),"")</f>
        <v/>
      </c>
      <c r="I248" s="60">
        <f>IFERROR(INDEX(tbl_Finance[Defer End],$A248),"")</f>
        <v/>
      </c>
      <c r="J248" s="59">
        <f>IF(OR($H248="",$I248="",$G248=""),"",MAX(1,(YEAR($I248)-YEAR($H248))*12+MONTH($I248)-MONTH($H248)+1))</f>
        <v/>
      </c>
      <c r="K248" s="62">
        <f>IF($J248="","",$G248/$J248)</f>
        <v/>
      </c>
      <c r="L248" s="62">
        <f>IF($J248="",0,$K248*MAX(0,MIN(YEAR($C$3)*12+MONTH($C$3),YEAR($I248)*12+MONTH($I248))-(YEAR($H248)*12+MONTH($H248))+1))</f>
        <v/>
      </c>
      <c r="M248" s="62">
        <f>IF($J248="",0,$K248*MAX(0,MIN(YEAR($C$3)*12+MONTH($C$3)-1,YEAR($I248)*12+MONTH($I248))-(YEAR($H248)*12+MONTH($H248))+1))</f>
        <v/>
      </c>
      <c r="N248" s="62">
        <f>IF(OR($J248="",$B248=""),0,IF(YEAR($B248)*12+MONTH($B248)&lt;=YEAR($C$3)*12+MONTH($C$3),$G248,0))</f>
        <v/>
      </c>
      <c r="O248" s="62">
        <f>IF(OR($J248="",$B248=""),0,IF(YEAR($B248)*12+MONTH($B248)&lt;=YEAR($C$3)*12+MONTH($C$3)-1,$G248,0))</f>
        <v/>
      </c>
      <c r="P248" s="62">
        <f>$M248-$O248</f>
        <v/>
      </c>
      <c r="Q248" s="62">
        <f>($L248-$M248)-($N248-$O248)</f>
        <v/>
      </c>
      <c r="R248" s="62">
        <f>$L248-$N248</f>
        <v/>
      </c>
    </row>
    <row r="249">
      <c r="A249" s="59">
        <f>ROW()-5</f>
        <v/>
      </c>
      <c r="B249" s="60">
        <f>IFERROR(INDEX(tbl_Finance[Date],$A249),"")</f>
        <v/>
      </c>
      <c r="C249" s="61">
        <f>IFERROR(INDEX(tbl_Finance[Xero Invoice No],$A249),"")</f>
        <v/>
      </c>
      <c r="D249" s="61">
        <f>IFERROR(INDEX(tbl_Finance[Client],$A249),"")</f>
        <v/>
      </c>
      <c r="E249" s="61">
        <f>IFERROR(INDEX(tbl_Finance[Job Number],$A249),"")</f>
        <v/>
      </c>
      <c r="F249" s="61">
        <f>IFERROR(INDEX(tbl_Finance[Cost Centre],$A249),"")</f>
        <v/>
      </c>
      <c r="G249" s="62">
        <f>IFERROR(INDEX(tbl_Finance[Ex GST],$A249),"")</f>
        <v/>
      </c>
      <c r="H249" s="60">
        <f>IFERROR(INDEX(tbl_Finance[Defer Start],$A249),"")</f>
        <v/>
      </c>
      <c r="I249" s="60">
        <f>IFERROR(INDEX(tbl_Finance[Defer End],$A249),"")</f>
        <v/>
      </c>
      <c r="J249" s="59">
        <f>IF(OR($H249="",$I249="",$G249=""),"",MAX(1,(YEAR($I249)-YEAR($H249))*12+MONTH($I249)-MONTH($H249)+1))</f>
        <v/>
      </c>
      <c r="K249" s="62">
        <f>IF($J249="","",$G249/$J249)</f>
        <v/>
      </c>
      <c r="L249" s="62">
        <f>IF($J249="",0,$K249*MAX(0,MIN(YEAR($C$3)*12+MONTH($C$3),YEAR($I249)*12+MONTH($I249))-(YEAR($H249)*12+MONTH($H249))+1))</f>
        <v/>
      </c>
      <c r="M249" s="62">
        <f>IF($J249="",0,$K249*MAX(0,MIN(YEAR($C$3)*12+MONTH($C$3)-1,YEAR($I249)*12+MONTH($I249))-(YEAR($H249)*12+MONTH($H249))+1))</f>
        <v/>
      </c>
      <c r="N249" s="62">
        <f>IF(OR($J249="",$B249=""),0,IF(YEAR($B249)*12+MONTH($B249)&lt;=YEAR($C$3)*12+MONTH($C$3),$G249,0))</f>
        <v/>
      </c>
      <c r="O249" s="62">
        <f>IF(OR($J249="",$B249=""),0,IF(YEAR($B249)*12+MONTH($B249)&lt;=YEAR($C$3)*12+MONTH($C$3)-1,$G249,0))</f>
        <v/>
      </c>
      <c r="P249" s="62">
        <f>$M249-$O249</f>
        <v/>
      </c>
      <c r="Q249" s="62">
        <f>($L249-$M249)-($N249-$O249)</f>
        <v/>
      </c>
      <c r="R249" s="62">
        <f>$L249-$N249</f>
        <v/>
      </c>
    </row>
    <row r="250">
      <c r="A250" s="59">
        <f>ROW()-5</f>
        <v/>
      </c>
      <c r="B250" s="60">
        <f>IFERROR(INDEX(tbl_Finance[Date],$A250),"")</f>
        <v/>
      </c>
      <c r="C250" s="61">
        <f>IFERROR(INDEX(tbl_Finance[Xero Invoice No],$A250),"")</f>
        <v/>
      </c>
      <c r="D250" s="61">
        <f>IFERROR(INDEX(tbl_Finance[Client],$A250),"")</f>
        <v/>
      </c>
      <c r="E250" s="61">
        <f>IFERROR(INDEX(tbl_Finance[Job Number],$A250),"")</f>
        <v/>
      </c>
      <c r="F250" s="61">
        <f>IFERROR(INDEX(tbl_Finance[Cost Centre],$A250),"")</f>
        <v/>
      </c>
      <c r="G250" s="62">
        <f>IFERROR(INDEX(tbl_Finance[Ex GST],$A250),"")</f>
        <v/>
      </c>
      <c r="H250" s="60">
        <f>IFERROR(INDEX(tbl_Finance[Defer Start],$A250),"")</f>
        <v/>
      </c>
      <c r="I250" s="60">
        <f>IFERROR(INDEX(tbl_Finance[Defer End],$A250),"")</f>
        <v/>
      </c>
      <c r="J250" s="59">
        <f>IF(OR($H250="",$I250="",$G250=""),"",MAX(1,(YEAR($I250)-YEAR($H250))*12+MONTH($I250)-MONTH($H250)+1))</f>
        <v/>
      </c>
      <c r="K250" s="62">
        <f>IF($J250="","",$G250/$J250)</f>
        <v/>
      </c>
      <c r="L250" s="62">
        <f>IF($J250="",0,$K250*MAX(0,MIN(YEAR($C$3)*12+MONTH($C$3),YEAR($I250)*12+MONTH($I250))-(YEAR($H250)*12+MONTH($H250))+1))</f>
        <v/>
      </c>
      <c r="M250" s="62">
        <f>IF($J250="",0,$K250*MAX(0,MIN(YEAR($C$3)*12+MONTH($C$3)-1,YEAR($I250)*12+MONTH($I250))-(YEAR($H250)*12+MONTH($H250))+1))</f>
        <v/>
      </c>
      <c r="N250" s="62">
        <f>IF(OR($J250="",$B250=""),0,IF(YEAR($B250)*12+MONTH($B250)&lt;=YEAR($C$3)*12+MONTH($C$3),$G250,0))</f>
        <v/>
      </c>
      <c r="O250" s="62">
        <f>IF(OR($J250="",$B250=""),0,IF(YEAR($B250)*12+MONTH($B250)&lt;=YEAR($C$3)*12+MONTH($C$3)-1,$G250,0))</f>
        <v/>
      </c>
      <c r="P250" s="62">
        <f>$M250-$O250</f>
        <v/>
      </c>
      <c r="Q250" s="62">
        <f>($L250-$M250)-($N250-$O250)</f>
        <v/>
      </c>
      <c r="R250" s="62">
        <f>$L250-$N250</f>
        <v/>
      </c>
    </row>
    <row r="251">
      <c r="A251" s="59">
        <f>ROW()-5</f>
        <v/>
      </c>
      <c r="B251" s="60">
        <f>IFERROR(INDEX(tbl_Finance[Date],$A251),"")</f>
        <v/>
      </c>
      <c r="C251" s="61">
        <f>IFERROR(INDEX(tbl_Finance[Xero Invoice No],$A251),"")</f>
        <v/>
      </c>
      <c r="D251" s="61">
        <f>IFERROR(INDEX(tbl_Finance[Client],$A251),"")</f>
        <v/>
      </c>
      <c r="E251" s="61">
        <f>IFERROR(INDEX(tbl_Finance[Job Number],$A251),"")</f>
        <v/>
      </c>
      <c r="F251" s="61">
        <f>IFERROR(INDEX(tbl_Finance[Cost Centre],$A251),"")</f>
        <v/>
      </c>
      <c r="G251" s="62">
        <f>IFERROR(INDEX(tbl_Finance[Ex GST],$A251),"")</f>
        <v/>
      </c>
      <c r="H251" s="60">
        <f>IFERROR(INDEX(tbl_Finance[Defer Start],$A251),"")</f>
        <v/>
      </c>
      <c r="I251" s="60">
        <f>IFERROR(INDEX(tbl_Finance[Defer End],$A251),"")</f>
        <v/>
      </c>
      <c r="J251" s="59">
        <f>IF(OR($H251="",$I251="",$G251=""),"",MAX(1,(YEAR($I251)-YEAR($H251))*12+MONTH($I251)-MONTH($H251)+1))</f>
        <v/>
      </c>
      <c r="K251" s="62">
        <f>IF($J251="","",$G251/$J251)</f>
        <v/>
      </c>
      <c r="L251" s="62">
        <f>IF($J251="",0,$K251*MAX(0,MIN(YEAR($C$3)*12+MONTH($C$3),YEAR($I251)*12+MONTH($I251))-(YEAR($H251)*12+MONTH($H251))+1))</f>
        <v/>
      </c>
      <c r="M251" s="62">
        <f>IF($J251="",0,$K251*MAX(0,MIN(YEAR($C$3)*12+MONTH($C$3)-1,YEAR($I251)*12+MONTH($I251))-(YEAR($H251)*12+MONTH($H251))+1))</f>
        <v/>
      </c>
      <c r="N251" s="62">
        <f>IF(OR($J251="",$B251=""),0,IF(YEAR($B251)*12+MONTH($B251)&lt;=YEAR($C$3)*12+MONTH($C$3),$G251,0))</f>
        <v/>
      </c>
      <c r="O251" s="62">
        <f>IF(OR($J251="",$B251=""),0,IF(YEAR($B251)*12+MONTH($B251)&lt;=YEAR($C$3)*12+MONTH($C$3)-1,$G251,0))</f>
        <v/>
      </c>
      <c r="P251" s="62">
        <f>$M251-$O251</f>
        <v/>
      </c>
      <c r="Q251" s="62">
        <f>($L251-$M251)-($N251-$O251)</f>
        <v/>
      </c>
      <c r="R251" s="62">
        <f>$L251-$N251</f>
        <v/>
      </c>
    </row>
    <row r="252">
      <c r="A252" s="59">
        <f>ROW()-5</f>
        <v/>
      </c>
      <c r="B252" s="60">
        <f>IFERROR(INDEX(tbl_Finance[Date],$A252),"")</f>
        <v/>
      </c>
      <c r="C252" s="61">
        <f>IFERROR(INDEX(tbl_Finance[Xero Invoice No],$A252),"")</f>
        <v/>
      </c>
      <c r="D252" s="61">
        <f>IFERROR(INDEX(tbl_Finance[Client],$A252),"")</f>
        <v/>
      </c>
      <c r="E252" s="61">
        <f>IFERROR(INDEX(tbl_Finance[Job Number],$A252),"")</f>
        <v/>
      </c>
      <c r="F252" s="61">
        <f>IFERROR(INDEX(tbl_Finance[Cost Centre],$A252),"")</f>
        <v/>
      </c>
      <c r="G252" s="62">
        <f>IFERROR(INDEX(tbl_Finance[Ex GST],$A252),"")</f>
        <v/>
      </c>
      <c r="H252" s="60">
        <f>IFERROR(INDEX(tbl_Finance[Defer Start],$A252),"")</f>
        <v/>
      </c>
      <c r="I252" s="60">
        <f>IFERROR(INDEX(tbl_Finance[Defer End],$A252),"")</f>
        <v/>
      </c>
      <c r="J252" s="59">
        <f>IF(OR($H252="",$I252="",$G252=""),"",MAX(1,(YEAR($I252)-YEAR($H252))*12+MONTH($I252)-MONTH($H252)+1))</f>
        <v/>
      </c>
      <c r="K252" s="62">
        <f>IF($J252="","",$G252/$J252)</f>
        <v/>
      </c>
      <c r="L252" s="62">
        <f>IF($J252="",0,$K252*MAX(0,MIN(YEAR($C$3)*12+MONTH($C$3),YEAR($I252)*12+MONTH($I252))-(YEAR($H252)*12+MONTH($H252))+1))</f>
        <v/>
      </c>
      <c r="M252" s="62">
        <f>IF($J252="",0,$K252*MAX(0,MIN(YEAR($C$3)*12+MONTH($C$3)-1,YEAR($I252)*12+MONTH($I252))-(YEAR($H252)*12+MONTH($H252))+1))</f>
        <v/>
      </c>
      <c r="N252" s="62">
        <f>IF(OR($J252="",$B252=""),0,IF(YEAR($B252)*12+MONTH($B252)&lt;=YEAR($C$3)*12+MONTH($C$3),$G252,0))</f>
        <v/>
      </c>
      <c r="O252" s="62">
        <f>IF(OR($J252="",$B252=""),0,IF(YEAR($B252)*12+MONTH($B252)&lt;=YEAR($C$3)*12+MONTH($C$3)-1,$G252,0))</f>
        <v/>
      </c>
      <c r="P252" s="62">
        <f>$M252-$O252</f>
        <v/>
      </c>
      <c r="Q252" s="62">
        <f>($L252-$M252)-($N252-$O252)</f>
        <v/>
      </c>
      <c r="R252" s="62">
        <f>$L252-$N252</f>
        <v/>
      </c>
    </row>
    <row r="253">
      <c r="A253" s="59">
        <f>ROW()-5</f>
        <v/>
      </c>
      <c r="B253" s="60">
        <f>IFERROR(INDEX(tbl_Finance[Date],$A253),"")</f>
        <v/>
      </c>
      <c r="C253" s="61">
        <f>IFERROR(INDEX(tbl_Finance[Xero Invoice No],$A253),"")</f>
        <v/>
      </c>
      <c r="D253" s="61">
        <f>IFERROR(INDEX(tbl_Finance[Client],$A253),"")</f>
        <v/>
      </c>
      <c r="E253" s="61">
        <f>IFERROR(INDEX(tbl_Finance[Job Number],$A253),"")</f>
        <v/>
      </c>
      <c r="F253" s="61">
        <f>IFERROR(INDEX(tbl_Finance[Cost Centre],$A253),"")</f>
        <v/>
      </c>
      <c r="G253" s="62">
        <f>IFERROR(INDEX(tbl_Finance[Ex GST],$A253),"")</f>
        <v/>
      </c>
      <c r="H253" s="60">
        <f>IFERROR(INDEX(tbl_Finance[Defer Start],$A253),"")</f>
        <v/>
      </c>
      <c r="I253" s="60">
        <f>IFERROR(INDEX(tbl_Finance[Defer End],$A253),"")</f>
        <v/>
      </c>
      <c r="J253" s="59">
        <f>IF(OR($H253="",$I253="",$G253=""),"",MAX(1,(YEAR($I253)-YEAR($H253))*12+MONTH($I253)-MONTH($H253)+1))</f>
        <v/>
      </c>
      <c r="K253" s="62">
        <f>IF($J253="","",$G253/$J253)</f>
        <v/>
      </c>
      <c r="L253" s="62">
        <f>IF($J253="",0,$K253*MAX(0,MIN(YEAR($C$3)*12+MONTH($C$3),YEAR($I253)*12+MONTH($I253))-(YEAR($H253)*12+MONTH($H253))+1))</f>
        <v/>
      </c>
      <c r="M253" s="62">
        <f>IF($J253="",0,$K253*MAX(0,MIN(YEAR($C$3)*12+MONTH($C$3)-1,YEAR($I253)*12+MONTH($I253))-(YEAR($H253)*12+MONTH($H253))+1))</f>
        <v/>
      </c>
      <c r="N253" s="62">
        <f>IF(OR($J253="",$B253=""),0,IF(YEAR($B253)*12+MONTH($B253)&lt;=YEAR($C$3)*12+MONTH($C$3),$G253,0))</f>
        <v/>
      </c>
      <c r="O253" s="62">
        <f>IF(OR($J253="",$B253=""),0,IF(YEAR($B253)*12+MONTH($B253)&lt;=YEAR($C$3)*12+MONTH($C$3)-1,$G253,0))</f>
        <v/>
      </c>
      <c r="P253" s="62">
        <f>$M253-$O253</f>
        <v/>
      </c>
      <c r="Q253" s="62">
        <f>($L253-$M253)-($N253-$O253)</f>
        <v/>
      </c>
      <c r="R253" s="62">
        <f>$L253-$N253</f>
        <v/>
      </c>
    </row>
    <row r="254">
      <c r="A254" s="59">
        <f>ROW()-5</f>
        <v/>
      </c>
      <c r="B254" s="60">
        <f>IFERROR(INDEX(tbl_Finance[Date],$A254),"")</f>
        <v/>
      </c>
      <c r="C254" s="61">
        <f>IFERROR(INDEX(tbl_Finance[Xero Invoice No],$A254),"")</f>
        <v/>
      </c>
      <c r="D254" s="61">
        <f>IFERROR(INDEX(tbl_Finance[Client],$A254),"")</f>
        <v/>
      </c>
      <c r="E254" s="61">
        <f>IFERROR(INDEX(tbl_Finance[Job Number],$A254),"")</f>
        <v/>
      </c>
      <c r="F254" s="61">
        <f>IFERROR(INDEX(tbl_Finance[Cost Centre],$A254),"")</f>
        <v/>
      </c>
      <c r="G254" s="62">
        <f>IFERROR(INDEX(tbl_Finance[Ex GST],$A254),"")</f>
        <v/>
      </c>
      <c r="H254" s="60">
        <f>IFERROR(INDEX(tbl_Finance[Defer Start],$A254),"")</f>
        <v/>
      </c>
      <c r="I254" s="60">
        <f>IFERROR(INDEX(tbl_Finance[Defer End],$A254),"")</f>
        <v/>
      </c>
      <c r="J254" s="59">
        <f>IF(OR($H254="",$I254="",$G254=""),"",MAX(1,(YEAR($I254)-YEAR($H254))*12+MONTH($I254)-MONTH($H254)+1))</f>
        <v/>
      </c>
      <c r="K254" s="62">
        <f>IF($J254="","",$G254/$J254)</f>
        <v/>
      </c>
      <c r="L254" s="62">
        <f>IF($J254="",0,$K254*MAX(0,MIN(YEAR($C$3)*12+MONTH($C$3),YEAR($I254)*12+MONTH($I254))-(YEAR($H254)*12+MONTH($H254))+1))</f>
        <v/>
      </c>
      <c r="M254" s="62">
        <f>IF($J254="",0,$K254*MAX(0,MIN(YEAR($C$3)*12+MONTH($C$3)-1,YEAR($I254)*12+MONTH($I254))-(YEAR($H254)*12+MONTH($H254))+1))</f>
        <v/>
      </c>
      <c r="N254" s="62">
        <f>IF(OR($J254="",$B254=""),0,IF(YEAR($B254)*12+MONTH($B254)&lt;=YEAR($C$3)*12+MONTH($C$3),$G254,0))</f>
        <v/>
      </c>
      <c r="O254" s="62">
        <f>IF(OR($J254="",$B254=""),0,IF(YEAR($B254)*12+MONTH($B254)&lt;=YEAR($C$3)*12+MONTH($C$3)-1,$G254,0))</f>
        <v/>
      </c>
      <c r="P254" s="62">
        <f>$M254-$O254</f>
        <v/>
      </c>
      <c r="Q254" s="62">
        <f>($L254-$M254)-($N254-$O254)</f>
        <v/>
      </c>
      <c r="R254" s="62">
        <f>$L254-$N254</f>
        <v/>
      </c>
    </row>
    <row r="255">
      <c r="A255" s="59">
        <f>ROW()-5</f>
        <v/>
      </c>
      <c r="B255" s="60">
        <f>IFERROR(INDEX(tbl_Finance[Date],$A255),"")</f>
        <v/>
      </c>
      <c r="C255" s="61">
        <f>IFERROR(INDEX(tbl_Finance[Xero Invoice No],$A255),"")</f>
        <v/>
      </c>
      <c r="D255" s="61">
        <f>IFERROR(INDEX(tbl_Finance[Client],$A255),"")</f>
        <v/>
      </c>
      <c r="E255" s="61">
        <f>IFERROR(INDEX(tbl_Finance[Job Number],$A255),"")</f>
        <v/>
      </c>
      <c r="F255" s="61">
        <f>IFERROR(INDEX(tbl_Finance[Cost Centre],$A255),"")</f>
        <v/>
      </c>
      <c r="G255" s="62">
        <f>IFERROR(INDEX(tbl_Finance[Ex GST],$A255),"")</f>
        <v/>
      </c>
      <c r="H255" s="60">
        <f>IFERROR(INDEX(tbl_Finance[Defer Start],$A255),"")</f>
        <v/>
      </c>
      <c r="I255" s="60">
        <f>IFERROR(INDEX(tbl_Finance[Defer End],$A255),"")</f>
        <v/>
      </c>
      <c r="J255" s="59">
        <f>IF(OR($H255="",$I255="",$G255=""),"",MAX(1,(YEAR($I255)-YEAR($H255))*12+MONTH($I255)-MONTH($H255)+1))</f>
        <v/>
      </c>
      <c r="K255" s="62">
        <f>IF($J255="","",$G255/$J255)</f>
        <v/>
      </c>
      <c r="L255" s="62">
        <f>IF($J255="",0,$K255*MAX(0,MIN(YEAR($C$3)*12+MONTH($C$3),YEAR($I255)*12+MONTH($I255))-(YEAR($H255)*12+MONTH($H255))+1))</f>
        <v/>
      </c>
      <c r="M255" s="62">
        <f>IF($J255="",0,$K255*MAX(0,MIN(YEAR($C$3)*12+MONTH($C$3)-1,YEAR($I255)*12+MONTH($I255))-(YEAR($H255)*12+MONTH($H255))+1))</f>
        <v/>
      </c>
      <c r="N255" s="62">
        <f>IF(OR($J255="",$B255=""),0,IF(YEAR($B255)*12+MONTH($B255)&lt;=YEAR($C$3)*12+MONTH($C$3),$G255,0))</f>
        <v/>
      </c>
      <c r="O255" s="62">
        <f>IF(OR($J255="",$B255=""),0,IF(YEAR($B255)*12+MONTH($B255)&lt;=YEAR($C$3)*12+MONTH($C$3)-1,$G255,0))</f>
        <v/>
      </c>
      <c r="P255" s="62">
        <f>$M255-$O255</f>
        <v/>
      </c>
      <c r="Q255" s="62">
        <f>($L255-$M255)-($N255-$O255)</f>
        <v/>
      </c>
      <c r="R255" s="62">
        <f>$L255-$N255</f>
        <v/>
      </c>
    </row>
    <row r="256">
      <c r="A256" s="59">
        <f>ROW()-5</f>
        <v/>
      </c>
      <c r="B256" s="60">
        <f>IFERROR(INDEX(tbl_Finance[Date],$A256),"")</f>
        <v/>
      </c>
      <c r="C256" s="61">
        <f>IFERROR(INDEX(tbl_Finance[Xero Invoice No],$A256),"")</f>
        <v/>
      </c>
      <c r="D256" s="61">
        <f>IFERROR(INDEX(tbl_Finance[Client],$A256),"")</f>
        <v/>
      </c>
      <c r="E256" s="61">
        <f>IFERROR(INDEX(tbl_Finance[Job Number],$A256),"")</f>
        <v/>
      </c>
      <c r="F256" s="61">
        <f>IFERROR(INDEX(tbl_Finance[Cost Centre],$A256),"")</f>
        <v/>
      </c>
      <c r="G256" s="62">
        <f>IFERROR(INDEX(tbl_Finance[Ex GST],$A256),"")</f>
        <v/>
      </c>
      <c r="H256" s="60">
        <f>IFERROR(INDEX(tbl_Finance[Defer Start],$A256),"")</f>
        <v/>
      </c>
      <c r="I256" s="60">
        <f>IFERROR(INDEX(tbl_Finance[Defer End],$A256),"")</f>
        <v/>
      </c>
      <c r="J256" s="59">
        <f>IF(OR($H256="",$I256="",$G256=""),"",MAX(1,(YEAR($I256)-YEAR($H256))*12+MONTH($I256)-MONTH($H256)+1))</f>
        <v/>
      </c>
      <c r="K256" s="62">
        <f>IF($J256="","",$G256/$J256)</f>
        <v/>
      </c>
      <c r="L256" s="62">
        <f>IF($J256="",0,$K256*MAX(0,MIN(YEAR($C$3)*12+MONTH($C$3),YEAR($I256)*12+MONTH($I256))-(YEAR($H256)*12+MONTH($H256))+1))</f>
        <v/>
      </c>
      <c r="M256" s="62">
        <f>IF($J256="",0,$K256*MAX(0,MIN(YEAR($C$3)*12+MONTH($C$3)-1,YEAR($I256)*12+MONTH($I256))-(YEAR($H256)*12+MONTH($H256))+1))</f>
        <v/>
      </c>
      <c r="N256" s="62">
        <f>IF(OR($J256="",$B256=""),0,IF(YEAR($B256)*12+MONTH($B256)&lt;=YEAR($C$3)*12+MONTH($C$3),$G256,0))</f>
        <v/>
      </c>
      <c r="O256" s="62">
        <f>IF(OR($J256="",$B256=""),0,IF(YEAR($B256)*12+MONTH($B256)&lt;=YEAR($C$3)*12+MONTH($C$3)-1,$G256,0))</f>
        <v/>
      </c>
      <c r="P256" s="62">
        <f>$M256-$O256</f>
        <v/>
      </c>
      <c r="Q256" s="62">
        <f>($L256-$M256)-($N256-$O256)</f>
        <v/>
      </c>
      <c r="R256" s="62">
        <f>$L256-$N256</f>
        <v/>
      </c>
    </row>
    <row r="257">
      <c r="A257" s="59">
        <f>ROW()-5</f>
        <v/>
      </c>
      <c r="B257" s="60">
        <f>IFERROR(INDEX(tbl_Finance[Date],$A257),"")</f>
        <v/>
      </c>
      <c r="C257" s="61">
        <f>IFERROR(INDEX(tbl_Finance[Xero Invoice No],$A257),"")</f>
        <v/>
      </c>
      <c r="D257" s="61">
        <f>IFERROR(INDEX(tbl_Finance[Client],$A257),"")</f>
        <v/>
      </c>
      <c r="E257" s="61">
        <f>IFERROR(INDEX(tbl_Finance[Job Number],$A257),"")</f>
        <v/>
      </c>
      <c r="F257" s="61">
        <f>IFERROR(INDEX(tbl_Finance[Cost Centre],$A257),"")</f>
        <v/>
      </c>
      <c r="G257" s="62">
        <f>IFERROR(INDEX(tbl_Finance[Ex GST],$A257),"")</f>
        <v/>
      </c>
      <c r="H257" s="60">
        <f>IFERROR(INDEX(tbl_Finance[Defer Start],$A257),"")</f>
        <v/>
      </c>
      <c r="I257" s="60">
        <f>IFERROR(INDEX(tbl_Finance[Defer End],$A257),"")</f>
        <v/>
      </c>
      <c r="J257" s="59">
        <f>IF(OR($H257="",$I257="",$G257=""),"",MAX(1,(YEAR($I257)-YEAR($H257))*12+MONTH($I257)-MONTH($H257)+1))</f>
        <v/>
      </c>
      <c r="K257" s="62">
        <f>IF($J257="","",$G257/$J257)</f>
        <v/>
      </c>
      <c r="L257" s="62">
        <f>IF($J257="",0,$K257*MAX(0,MIN(YEAR($C$3)*12+MONTH($C$3),YEAR($I257)*12+MONTH($I257))-(YEAR($H257)*12+MONTH($H257))+1))</f>
        <v/>
      </c>
      <c r="M257" s="62">
        <f>IF($J257="",0,$K257*MAX(0,MIN(YEAR($C$3)*12+MONTH($C$3)-1,YEAR($I257)*12+MONTH($I257))-(YEAR($H257)*12+MONTH($H257))+1))</f>
        <v/>
      </c>
      <c r="N257" s="62">
        <f>IF(OR($J257="",$B257=""),0,IF(YEAR($B257)*12+MONTH($B257)&lt;=YEAR($C$3)*12+MONTH($C$3),$G257,0))</f>
        <v/>
      </c>
      <c r="O257" s="62">
        <f>IF(OR($J257="",$B257=""),0,IF(YEAR($B257)*12+MONTH($B257)&lt;=YEAR($C$3)*12+MONTH($C$3)-1,$G257,0))</f>
        <v/>
      </c>
      <c r="P257" s="62">
        <f>$M257-$O257</f>
        <v/>
      </c>
      <c r="Q257" s="62">
        <f>($L257-$M257)-($N257-$O257)</f>
        <v/>
      </c>
      <c r="R257" s="62">
        <f>$L257-$N257</f>
        <v/>
      </c>
    </row>
    <row r="258">
      <c r="A258" s="59">
        <f>ROW()-5</f>
        <v/>
      </c>
      <c r="B258" s="60">
        <f>IFERROR(INDEX(tbl_Finance[Date],$A258),"")</f>
        <v/>
      </c>
      <c r="C258" s="61">
        <f>IFERROR(INDEX(tbl_Finance[Xero Invoice No],$A258),"")</f>
        <v/>
      </c>
      <c r="D258" s="61">
        <f>IFERROR(INDEX(tbl_Finance[Client],$A258),"")</f>
        <v/>
      </c>
      <c r="E258" s="61">
        <f>IFERROR(INDEX(tbl_Finance[Job Number],$A258),"")</f>
        <v/>
      </c>
      <c r="F258" s="61">
        <f>IFERROR(INDEX(tbl_Finance[Cost Centre],$A258),"")</f>
        <v/>
      </c>
      <c r="G258" s="62">
        <f>IFERROR(INDEX(tbl_Finance[Ex GST],$A258),"")</f>
        <v/>
      </c>
      <c r="H258" s="60">
        <f>IFERROR(INDEX(tbl_Finance[Defer Start],$A258),"")</f>
        <v/>
      </c>
      <c r="I258" s="60">
        <f>IFERROR(INDEX(tbl_Finance[Defer End],$A258),"")</f>
        <v/>
      </c>
      <c r="J258" s="59">
        <f>IF(OR($H258="",$I258="",$G258=""),"",MAX(1,(YEAR($I258)-YEAR($H258))*12+MONTH($I258)-MONTH($H258)+1))</f>
        <v/>
      </c>
      <c r="K258" s="62">
        <f>IF($J258="","",$G258/$J258)</f>
        <v/>
      </c>
      <c r="L258" s="62">
        <f>IF($J258="",0,$K258*MAX(0,MIN(YEAR($C$3)*12+MONTH($C$3),YEAR($I258)*12+MONTH($I258))-(YEAR($H258)*12+MONTH($H258))+1))</f>
        <v/>
      </c>
      <c r="M258" s="62">
        <f>IF($J258="",0,$K258*MAX(0,MIN(YEAR($C$3)*12+MONTH($C$3)-1,YEAR($I258)*12+MONTH($I258))-(YEAR($H258)*12+MONTH($H258))+1))</f>
        <v/>
      </c>
      <c r="N258" s="62">
        <f>IF(OR($J258="",$B258=""),0,IF(YEAR($B258)*12+MONTH($B258)&lt;=YEAR($C$3)*12+MONTH($C$3),$G258,0))</f>
        <v/>
      </c>
      <c r="O258" s="62">
        <f>IF(OR($J258="",$B258=""),0,IF(YEAR($B258)*12+MONTH($B258)&lt;=YEAR($C$3)*12+MONTH($C$3)-1,$G258,0))</f>
        <v/>
      </c>
      <c r="P258" s="62">
        <f>$M258-$O258</f>
        <v/>
      </c>
      <c r="Q258" s="62">
        <f>($L258-$M258)-($N258-$O258)</f>
        <v/>
      </c>
      <c r="R258" s="62">
        <f>$L258-$N258</f>
        <v/>
      </c>
    </row>
    <row r="259">
      <c r="A259" s="59">
        <f>ROW()-5</f>
        <v/>
      </c>
      <c r="B259" s="60">
        <f>IFERROR(INDEX(tbl_Finance[Date],$A259),"")</f>
        <v/>
      </c>
      <c r="C259" s="61">
        <f>IFERROR(INDEX(tbl_Finance[Xero Invoice No],$A259),"")</f>
        <v/>
      </c>
      <c r="D259" s="61">
        <f>IFERROR(INDEX(tbl_Finance[Client],$A259),"")</f>
        <v/>
      </c>
      <c r="E259" s="61">
        <f>IFERROR(INDEX(tbl_Finance[Job Number],$A259),"")</f>
        <v/>
      </c>
      <c r="F259" s="61">
        <f>IFERROR(INDEX(tbl_Finance[Cost Centre],$A259),"")</f>
        <v/>
      </c>
      <c r="G259" s="62">
        <f>IFERROR(INDEX(tbl_Finance[Ex GST],$A259),"")</f>
        <v/>
      </c>
      <c r="H259" s="60">
        <f>IFERROR(INDEX(tbl_Finance[Defer Start],$A259),"")</f>
        <v/>
      </c>
      <c r="I259" s="60">
        <f>IFERROR(INDEX(tbl_Finance[Defer End],$A259),"")</f>
        <v/>
      </c>
      <c r="J259" s="59">
        <f>IF(OR($H259="",$I259="",$G259=""),"",MAX(1,(YEAR($I259)-YEAR($H259))*12+MONTH($I259)-MONTH($H259)+1))</f>
        <v/>
      </c>
      <c r="K259" s="62">
        <f>IF($J259="","",$G259/$J259)</f>
        <v/>
      </c>
      <c r="L259" s="62">
        <f>IF($J259="",0,$K259*MAX(0,MIN(YEAR($C$3)*12+MONTH($C$3),YEAR($I259)*12+MONTH($I259))-(YEAR($H259)*12+MONTH($H259))+1))</f>
        <v/>
      </c>
      <c r="M259" s="62">
        <f>IF($J259="",0,$K259*MAX(0,MIN(YEAR($C$3)*12+MONTH($C$3)-1,YEAR($I259)*12+MONTH($I259))-(YEAR($H259)*12+MONTH($H259))+1))</f>
        <v/>
      </c>
      <c r="N259" s="62">
        <f>IF(OR($J259="",$B259=""),0,IF(YEAR($B259)*12+MONTH($B259)&lt;=YEAR($C$3)*12+MONTH($C$3),$G259,0))</f>
        <v/>
      </c>
      <c r="O259" s="62">
        <f>IF(OR($J259="",$B259=""),0,IF(YEAR($B259)*12+MONTH($B259)&lt;=YEAR($C$3)*12+MONTH($C$3)-1,$G259,0))</f>
        <v/>
      </c>
      <c r="P259" s="62">
        <f>$M259-$O259</f>
        <v/>
      </c>
      <c r="Q259" s="62">
        <f>($L259-$M259)-($N259-$O259)</f>
        <v/>
      </c>
      <c r="R259" s="62">
        <f>$L259-$N259</f>
        <v/>
      </c>
    </row>
    <row r="260">
      <c r="A260" s="59">
        <f>ROW()-5</f>
        <v/>
      </c>
      <c r="B260" s="60">
        <f>IFERROR(INDEX(tbl_Finance[Date],$A260),"")</f>
        <v/>
      </c>
      <c r="C260" s="61">
        <f>IFERROR(INDEX(tbl_Finance[Xero Invoice No],$A260),"")</f>
        <v/>
      </c>
      <c r="D260" s="61">
        <f>IFERROR(INDEX(tbl_Finance[Client],$A260),"")</f>
        <v/>
      </c>
      <c r="E260" s="61">
        <f>IFERROR(INDEX(tbl_Finance[Job Number],$A260),"")</f>
        <v/>
      </c>
      <c r="F260" s="61">
        <f>IFERROR(INDEX(tbl_Finance[Cost Centre],$A260),"")</f>
        <v/>
      </c>
      <c r="G260" s="62">
        <f>IFERROR(INDEX(tbl_Finance[Ex GST],$A260),"")</f>
        <v/>
      </c>
      <c r="H260" s="60">
        <f>IFERROR(INDEX(tbl_Finance[Defer Start],$A260),"")</f>
        <v/>
      </c>
      <c r="I260" s="60">
        <f>IFERROR(INDEX(tbl_Finance[Defer End],$A260),"")</f>
        <v/>
      </c>
      <c r="J260" s="59">
        <f>IF(OR($H260="",$I260="",$G260=""),"",MAX(1,(YEAR($I260)-YEAR($H260))*12+MONTH($I260)-MONTH($H260)+1))</f>
        <v/>
      </c>
      <c r="K260" s="62">
        <f>IF($J260="","",$G260/$J260)</f>
        <v/>
      </c>
      <c r="L260" s="62">
        <f>IF($J260="",0,$K260*MAX(0,MIN(YEAR($C$3)*12+MONTH($C$3),YEAR($I260)*12+MONTH($I260))-(YEAR($H260)*12+MONTH($H260))+1))</f>
        <v/>
      </c>
      <c r="M260" s="62">
        <f>IF($J260="",0,$K260*MAX(0,MIN(YEAR($C$3)*12+MONTH($C$3)-1,YEAR($I260)*12+MONTH($I260))-(YEAR($H260)*12+MONTH($H260))+1))</f>
        <v/>
      </c>
      <c r="N260" s="62">
        <f>IF(OR($J260="",$B260=""),0,IF(YEAR($B260)*12+MONTH($B260)&lt;=YEAR($C$3)*12+MONTH($C$3),$G260,0))</f>
        <v/>
      </c>
      <c r="O260" s="62">
        <f>IF(OR($J260="",$B260=""),0,IF(YEAR($B260)*12+MONTH($B260)&lt;=YEAR($C$3)*12+MONTH($C$3)-1,$G260,0))</f>
        <v/>
      </c>
      <c r="P260" s="62">
        <f>$M260-$O260</f>
        <v/>
      </c>
      <c r="Q260" s="62">
        <f>($L260-$M260)-($N260-$O260)</f>
        <v/>
      </c>
      <c r="R260" s="62">
        <f>$L260-$N260</f>
        <v/>
      </c>
    </row>
    <row r="261">
      <c r="A261" s="59">
        <f>ROW()-5</f>
        <v/>
      </c>
      <c r="B261" s="60">
        <f>IFERROR(INDEX(tbl_Finance[Date],$A261),"")</f>
        <v/>
      </c>
      <c r="C261" s="61">
        <f>IFERROR(INDEX(tbl_Finance[Xero Invoice No],$A261),"")</f>
        <v/>
      </c>
      <c r="D261" s="61">
        <f>IFERROR(INDEX(tbl_Finance[Client],$A261),"")</f>
        <v/>
      </c>
      <c r="E261" s="61">
        <f>IFERROR(INDEX(tbl_Finance[Job Number],$A261),"")</f>
        <v/>
      </c>
      <c r="F261" s="61">
        <f>IFERROR(INDEX(tbl_Finance[Cost Centre],$A261),"")</f>
        <v/>
      </c>
      <c r="G261" s="62">
        <f>IFERROR(INDEX(tbl_Finance[Ex GST],$A261),"")</f>
        <v/>
      </c>
      <c r="H261" s="60">
        <f>IFERROR(INDEX(tbl_Finance[Defer Start],$A261),"")</f>
        <v/>
      </c>
      <c r="I261" s="60">
        <f>IFERROR(INDEX(tbl_Finance[Defer End],$A261),"")</f>
        <v/>
      </c>
      <c r="J261" s="59">
        <f>IF(OR($H261="",$I261="",$G261=""),"",MAX(1,(YEAR($I261)-YEAR($H261))*12+MONTH($I261)-MONTH($H261)+1))</f>
        <v/>
      </c>
      <c r="K261" s="62">
        <f>IF($J261="","",$G261/$J261)</f>
        <v/>
      </c>
      <c r="L261" s="62">
        <f>IF($J261="",0,$K261*MAX(0,MIN(YEAR($C$3)*12+MONTH($C$3),YEAR($I261)*12+MONTH($I261))-(YEAR($H261)*12+MONTH($H261))+1))</f>
        <v/>
      </c>
      <c r="M261" s="62">
        <f>IF($J261="",0,$K261*MAX(0,MIN(YEAR($C$3)*12+MONTH($C$3)-1,YEAR($I261)*12+MONTH($I261))-(YEAR($H261)*12+MONTH($H261))+1))</f>
        <v/>
      </c>
      <c r="N261" s="62">
        <f>IF(OR($J261="",$B261=""),0,IF(YEAR($B261)*12+MONTH($B261)&lt;=YEAR($C$3)*12+MONTH($C$3),$G261,0))</f>
        <v/>
      </c>
      <c r="O261" s="62">
        <f>IF(OR($J261="",$B261=""),0,IF(YEAR($B261)*12+MONTH($B261)&lt;=YEAR($C$3)*12+MONTH($C$3)-1,$G261,0))</f>
        <v/>
      </c>
      <c r="P261" s="62">
        <f>$M261-$O261</f>
        <v/>
      </c>
      <c r="Q261" s="62">
        <f>($L261-$M261)-($N261-$O261)</f>
        <v/>
      </c>
      <c r="R261" s="62">
        <f>$L261-$N261</f>
        <v/>
      </c>
    </row>
    <row r="262">
      <c r="A262" s="59">
        <f>ROW()-5</f>
        <v/>
      </c>
      <c r="B262" s="60">
        <f>IFERROR(INDEX(tbl_Finance[Date],$A262),"")</f>
        <v/>
      </c>
      <c r="C262" s="61">
        <f>IFERROR(INDEX(tbl_Finance[Xero Invoice No],$A262),"")</f>
        <v/>
      </c>
      <c r="D262" s="61">
        <f>IFERROR(INDEX(tbl_Finance[Client],$A262),"")</f>
        <v/>
      </c>
      <c r="E262" s="61">
        <f>IFERROR(INDEX(tbl_Finance[Job Number],$A262),"")</f>
        <v/>
      </c>
      <c r="F262" s="61">
        <f>IFERROR(INDEX(tbl_Finance[Cost Centre],$A262),"")</f>
        <v/>
      </c>
      <c r="G262" s="62">
        <f>IFERROR(INDEX(tbl_Finance[Ex GST],$A262),"")</f>
        <v/>
      </c>
      <c r="H262" s="60">
        <f>IFERROR(INDEX(tbl_Finance[Defer Start],$A262),"")</f>
        <v/>
      </c>
      <c r="I262" s="60">
        <f>IFERROR(INDEX(tbl_Finance[Defer End],$A262),"")</f>
        <v/>
      </c>
      <c r="J262" s="59">
        <f>IF(OR($H262="",$I262="",$G262=""),"",MAX(1,(YEAR($I262)-YEAR($H262))*12+MONTH($I262)-MONTH($H262)+1))</f>
        <v/>
      </c>
      <c r="K262" s="62">
        <f>IF($J262="","",$G262/$J262)</f>
        <v/>
      </c>
      <c r="L262" s="62">
        <f>IF($J262="",0,$K262*MAX(0,MIN(YEAR($C$3)*12+MONTH($C$3),YEAR($I262)*12+MONTH($I262))-(YEAR($H262)*12+MONTH($H262))+1))</f>
        <v/>
      </c>
      <c r="M262" s="62">
        <f>IF($J262="",0,$K262*MAX(0,MIN(YEAR($C$3)*12+MONTH($C$3)-1,YEAR($I262)*12+MONTH($I262))-(YEAR($H262)*12+MONTH($H262))+1))</f>
        <v/>
      </c>
      <c r="N262" s="62">
        <f>IF(OR($J262="",$B262=""),0,IF(YEAR($B262)*12+MONTH($B262)&lt;=YEAR($C$3)*12+MONTH($C$3),$G262,0))</f>
        <v/>
      </c>
      <c r="O262" s="62">
        <f>IF(OR($J262="",$B262=""),0,IF(YEAR($B262)*12+MONTH($B262)&lt;=YEAR($C$3)*12+MONTH($C$3)-1,$G262,0))</f>
        <v/>
      </c>
      <c r="P262" s="62">
        <f>$M262-$O262</f>
        <v/>
      </c>
      <c r="Q262" s="62">
        <f>($L262-$M262)-($N262-$O262)</f>
        <v/>
      </c>
      <c r="R262" s="62">
        <f>$L262-$N262</f>
        <v/>
      </c>
    </row>
    <row r="263">
      <c r="A263" s="59">
        <f>ROW()-5</f>
        <v/>
      </c>
      <c r="B263" s="60">
        <f>IFERROR(INDEX(tbl_Finance[Date],$A263),"")</f>
        <v/>
      </c>
      <c r="C263" s="61">
        <f>IFERROR(INDEX(tbl_Finance[Xero Invoice No],$A263),"")</f>
        <v/>
      </c>
      <c r="D263" s="61">
        <f>IFERROR(INDEX(tbl_Finance[Client],$A263),"")</f>
        <v/>
      </c>
      <c r="E263" s="61">
        <f>IFERROR(INDEX(tbl_Finance[Job Number],$A263),"")</f>
        <v/>
      </c>
      <c r="F263" s="61">
        <f>IFERROR(INDEX(tbl_Finance[Cost Centre],$A263),"")</f>
        <v/>
      </c>
      <c r="G263" s="62">
        <f>IFERROR(INDEX(tbl_Finance[Ex GST],$A263),"")</f>
        <v/>
      </c>
      <c r="H263" s="60">
        <f>IFERROR(INDEX(tbl_Finance[Defer Start],$A263),"")</f>
        <v/>
      </c>
      <c r="I263" s="60">
        <f>IFERROR(INDEX(tbl_Finance[Defer End],$A263),"")</f>
        <v/>
      </c>
      <c r="J263" s="59">
        <f>IF(OR($H263="",$I263="",$G263=""),"",MAX(1,(YEAR($I263)-YEAR($H263))*12+MONTH($I263)-MONTH($H263)+1))</f>
        <v/>
      </c>
      <c r="K263" s="62">
        <f>IF($J263="","",$G263/$J263)</f>
        <v/>
      </c>
      <c r="L263" s="62">
        <f>IF($J263="",0,$K263*MAX(0,MIN(YEAR($C$3)*12+MONTH($C$3),YEAR($I263)*12+MONTH($I263))-(YEAR($H263)*12+MONTH($H263))+1))</f>
        <v/>
      </c>
      <c r="M263" s="62">
        <f>IF($J263="",0,$K263*MAX(0,MIN(YEAR($C$3)*12+MONTH($C$3)-1,YEAR($I263)*12+MONTH($I263))-(YEAR($H263)*12+MONTH($H263))+1))</f>
        <v/>
      </c>
      <c r="N263" s="62">
        <f>IF(OR($J263="",$B263=""),0,IF(YEAR($B263)*12+MONTH($B263)&lt;=YEAR($C$3)*12+MONTH($C$3),$G263,0))</f>
        <v/>
      </c>
      <c r="O263" s="62">
        <f>IF(OR($J263="",$B263=""),0,IF(YEAR($B263)*12+MONTH($B263)&lt;=YEAR($C$3)*12+MONTH($C$3)-1,$G263,0))</f>
        <v/>
      </c>
      <c r="P263" s="62">
        <f>$M263-$O263</f>
        <v/>
      </c>
      <c r="Q263" s="62">
        <f>($L263-$M263)-($N263-$O263)</f>
        <v/>
      </c>
      <c r="R263" s="62">
        <f>$L263-$N263</f>
        <v/>
      </c>
    </row>
    <row r="264">
      <c r="A264" s="59">
        <f>ROW()-5</f>
        <v/>
      </c>
      <c r="B264" s="60">
        <f>IFERROR(INDEX(tbl_Finance[Date],$A264),"")</f>
        <v/>
      </c>
      <c r="C264" s="61">
        <f>IFERROR(INDEX(tbl_Finance[Xero Invoice No],$A264),"")</f>
        <v/>
      </c>
      <c r="D264" s="61">
        <f>IFERROR(INDEX(tbl_Finance[Client],$A264),"")</f>
        <v/>
      </c>
      <c r="E264" s="61">
        <f>IFERROR(INDEX(tbl_Finance[Job Number],$A264),"")</f>
        <v/>
      </c>
      <c r="F264" s="61">
        <f>IFERROR(INDEX(tbl_Finance[Cost Centre],$A264),"")</f>
        <v/>
      </c>
      <c r="G264" s="62">
        <f>IFERROR(INDEX(tbl_Finance[Ex GST],$A264),"")</f>
        <v/>
      </c>
      <c r="H264" s="60">
        <f>IFERROR(INDEX(tbl_Finance[Defer Start],$A264),"")</f>
        <v/>
      </c>
      <c r="I264" s="60">
        <f>IFERROR(INDEX(tbl_Finance[Defer End],$A264),"")</f>
        <v/>
      </c>
      <c r="J264" s="59">
        <f>IF(OR($H264="",$I264="",$G264=""),"",MAX(1,(YEAR($I264)-YEAR($H264))*12+MONTH($I264)-MONTH($H264)+1))</f>
        <v/>
      </c>
      <c r="K264" s="62">
        <f>IF($J264="","",$G264/$J264)</f>
        <v/>
      </c>
      <c r="L264" s="62">
        <f>IF($J264="",0,$K264*MAX(0,MIN(YEAR($C$3)*12+MONTH($C$3),YEAR($I264)*12+MONTH($I264))-(YEAR($H264)*12+MONTH($H264))+1))</f>
        <v/>
      </c>
      <c r="M264" s="62">
        <f>IF($J264="",0,$K264*MAX(0,MIN(YEAR($C$3)*12+MONTH($C$3)-1,YEAR($I264)*12+MONTH($I264))-(YEAR($H264)*12+MONTH($H264))+1))</f>
        <v/>
      </c>
      <c r="N264" s="62">
        <f>IF(OR($J264="",$B264=""),0,IF(YEAR($B264)*12+MONTH($B264)&lt;=YEAR($C$3)*12+MONTH($C$3),$G264,0))</f>
        <v/>
      </c>
      <c r="O264" s="62">
        <f>IF(OR($J264="",$B264=""),0,IF(YEAR($B264)*12+MONTH($B264)&lt;=YEAR($C$3)*12+MONTH($C$3)-1,$G264,0))</f>
        <v/>
      </c>
      <c r="P264" s="62">
        <f>$M264-$O264</f>
        <v/>
      </c>
      <c r="Q264" s="62">
        <f>($L264-$M264)-($N264-$O264)</f>
        <v/>
      </c>
      <c r="R264" s="62">
        <f>$L264-$N264</f>
        <v/>
      </c>
    </row>
    <row r="265">
      <c r="A265" s="59">
        <f>ROW()-5</f>
        <v/>
      </c>
      <c r="B265" s="60">
        <f>IFERROR(INDEX(tbl_Finance[Date],$A265),"")</f>
        <v/>
      </c>
      <c r="C265" s="61">
        <f>IFERROR(INDEX(tbl_Finance[Xero Invoice No],$A265),"")</f>
        <v/>
      </c>
      <c r="D265" s="61">
        <f>IFERROR(INDEX(tbl_Finance[Client],$A265),"")</f>
        <v/>
      </c>
      <c r="E265" s="61">
        <f>IFERROR(INDEX(tbl_Finance[Job Number],$A265),"")</f>
        <v/>
      </c>
      <c r="F265" s="61">
        <f>IFERROR(INDEX(tbl_Finance[Cost Centre],$A265),"")</f>
        <v/>
      </c>
      <c r="G265" s="62">
        <f>IFERROR(INDEX(tbl_Finance[Ex GST],$A265),"")</f>
        <v/>
      </c>
      <c r="H265" s="60">
        <f>IFERROR(INDEX(tbl_Finance[Defer Start],$A265),"")</f>
        <v/>
      </c>
      <c r="I265" s="60">
        <f>IFERROR(INDEX(tbl_Finance[Defer End],$A265),"")</f>
        <v/>
      </c>
      <c r="J265" s="59">
        <f>IF(OR($H265="",$I265="",$G265=""),"",MAX(1,(YEAR($I265)-YEAR($H265))*12+MONTH($I265)-MONTH($H265)+1))</f>
        <v/>
      </c>
      <c r="K265" s="62">
        <f>IF($J265="","",$G265/$J265)</f>
        <v/>
      </c>
      <c r="L265" s="62">
        <f>IF($J265="",0,$K265*MAX(0,MIN(YEAR($C$3)*12+MONTH($C$3),YEAR($I265)*12+MONTH($I265))-(YEAR($H265)*12+MONTH($H265))+1))</f>
        <v/>
      </c>
      <c r="M265" s="62">
        <f>IF($J265="",0,$K265*MAX(0,MIN(YEAR($C$3)*12+MONTH($C$3)-1,YEAR($I265)*12+MONTH($I265))-(YEAR($H265)*12+MONTH($H265))+1))</f>
        <v/>
      </c>
      <c r="N265" s="62">
        <f>IF(OR($J265="",$B265=""),0,IF(YEAR($B265)*12+MONTH($B265)&lt;=YEAR($C$3)*12+MONTH($C$3),$G265,0))</f>
        <v/>
      </c>
      <c r="O265" s="62">
        <f>IF(OR($J265="",$B265=""),0,IF(YEAR($B265)*12+MONTH($B265)&lt;=YEAR($C$3)*12+MONTH($C$3)-1,$G265,0))</f>
        <v/>
      </c>
      <c r="P265" s="62">
        <f>$M265-$O265</f>
        <v/>
      </c>
      <c r="Q265" s="62">
        <f>($L265-$M265)-($N265-$O265)</f>
        <v/>
      </c>
      <c r="R265" s="62">
        <f>$L265-$N265</f>
        <v/>
      </c>
    </row>
    <row r="266">
      <c r="A266" s="59">
        <f>ROW()-5</f>
        <v/>
      </c>
      <c r="B266" s="60">
        <f>IFERROR(INDEX(tbl_Finance[Date],$A266),"")</f>
        <v/>
      </c>
      <c r="C266" s="61">
        <f>IFERROR(INDEX(tbl_Finance[Xero Invoice No],$A266),"")</f>
        <v/>
      </c>
      <c r="D266" s="61">
        <f>IFERROR(INDEX(tbl_Finance[Client],$A266),"")</f>
        <v/>
      </c>
      <c r="E266" s="61">
        <f>IFERROR(INDEX(tbl_Finance[Job Number],$A266),"")</f>
        <v/>
      </c>
      <c r="F266" s="61">
        <f>IFERROR(INDEX(tbl_Finance[Cost Centre],$A266),"")</f>
        <v/>
      </c>
      <c r="G266" s="62">
        <f>IFERROR(INDEX(tbl_Finance[Ex GST],$A266),"")</f>
        <v/>
      </c>
      <c r="H266" s="60">
        <f>IFERROR(INDEX(tbl_Finance[Defer Start],$A266),"")</f>
        <v/>
      </c>
      <c r="I266" s="60">
        <f>IFERROR(INDEX(tbl_Finance[Defer End],$A266),"")</f>
        <v/>
      </c>
      <c r="J266" s="59">
        <f>IF(OR($H266="",$I266="",$G266=""),"",MAX(1,(YEAR($I266)-YEAR($H266))*12+MONTH($I266)-MONTH($H266)+1))</f>
        <v/>
      </c>
      <c r="K266" s="62">
        <f>IF($J266="","",$G266/$J266)</f>
        <v/>
      </c>
      <c r="L266" s="62">
        <f>IF($J266="",0,$K266*MAX(0,MIN(YEAR($C$3)*12+MONTH($C$3),YEAR($I266)*12+MONTH($I266))-(YEAR($H266)*12+MONTH($H266))+1))</f>
        <v/>
      </c>
      <c r="M266" s="62">
        <f>IF($J266="",0,$K266*MAX(0,MIN(YEAR($C$3)*12+MONTH($C$3)-1,YEAR($I266)*12+MONTH($I266))-(YEAR($H266)*12+MONTH($H266))+1))</f>
        <v/>
      </c>
      <c r="N266" s="62">
        <f>IF(OR($J266="",$B266=""),0,IF(YEAR($B266)*12+MONTH($B266)&lt;=YEAR($C$3)*12+MONTH($C$3),$G266,0))</f>
        <v/>
      </c>
      <c r="O266" s="62">
        <f>IF(OR($J266="",$B266=""),0,IF(YEAR($B266)*12+MONTH($B266)&lt;=YEAR($C$3)*12+MONTH($C$3)-1,$G266,0))</f>
        <v/>
      </c>
      <c r="P266" s="62">
        <f>$M266-$O266</f>
        <v/>
      </c>
      <c r="Q266" s="62">
        <f>($L266-$M266)-($N266-$O266)</f>
        <v/>
      </c>
      <c r="R266" s="62">
        <f>$L266-$N266</f>
        <v/>
      </c>
    </row>
    <row r="267">
      <c r="A267" s="59">
        <f>ROW()-5</f>
        <v/>
      </c>
      <c r="B267" s="60">
        <f>IFERROR(INDEX(tbl_Finance[Date],$A267),"")</f>
        <v/>
      </c>
      <c r="C267" s="61">
        <f>IFERROR(INDEX(tbl_Finance[Xero Invoice No],$A267),"")</f>
        <v/>
      </c>
      <c r="D267" s="61">
        <f>IFERROR(INDEX(tbl_Finance[Client],$A267),"")</f>
        <v/>
      </c>
      <c r="E267" s="61">
        <f>IFERROR(INDEX(tbl_Finance[Job Number],$A267),"")</f>
        <v/>
      </c>
      <c r="F267" s="61">
        <f>IFERROR(INDEX(tbl_Finance[Cost Centre],$A267),"")</f>
        <v/>
      </c>
      <c r="G267" s="62">
        <f>IFERROR(INDEX(tbl_Finance[Ex GST],$A267),"")</f>
        <v/>
      </c>
      <c r="H267" s="60">
        <f>IFERROR(INDEX(tbl_Finance[Defer Start],$A267),"")</f>
        <v/>
      </c>
      <c r="I267" s="60">
        <f>IFERROR(INDEX(tbl_Finance[Defer End],$A267),"")</f>
        <v/>
      </c>
      <c r="J267" s="59">
        <f>IF(OR($H267="",$I267="",$G267=""),"",MAX(1,(YEAR($I267)-YEAR($H267))*12+MONTH($I267)-MONTH($H267)+1))</f>
        <v/>
      </c>
      <c r="K267" s="62">
        <f>IF($J267="","",$G267/$J267)</f>
        <v/>
      </c>
      <c r="L267" s="62">
        <f>IF($J267="",0,$K267*MAX(0,MIN(YEAR($C$3)*12+MONTH($C$3),YEAR($I267)*12+MONTH($I267))-(YEAR($H267)*12+MONTH($H267))+1))</f>
        <v/>
      </c>
      <c r="M267" s="62">
        <f>IF($J267="",0,$K267*MAX(0,MIN(YEAR($C$3)*12+MONTH($C$3)-1,YEAR($I267)*12+MONTH($I267))-(YEAR($H267)*12+MONTH($H267))+1))</f>
        <v/>
      </c>
      <c r="N267" s="62">
        <f>IF(OR($J267="",$B267=""),0,IF(YEAR($B267)*12+MONTH($B267)&lt;=YEAR($C$3)*12+MONTH($C$3),$G267,0))</f>
        <v/>
      </c>
      <c r="O267" s="62">
        <f>IF(OR($J267="",$B267=""),0,IF(YEAR($B267)*12+MONTH($B267)&lt;=YEAR($C$3)*12+MONTH($C$3)-1,$G267,0))</f>
        <v/>
      </c>
      <c r="P267" s="62">
        <f>$M267-$O267</f>
        <v/>
      </c>
      <c r="Q267" s="62">
        <f>($L267-$M267)-($N267-$O267)</f>
        <v/>
      </c>
      <c r="R267" s="62">
        <f>$L267-$N267</f>
        <v/>
      </c>
    </row>
    <row r="268">
      <c r="A268" s="59">
        <f>ROW()-5</f>
        <v/>
      </c>
      <c r="B268" s="60">
        <f>IFERROR(INDEX(tbl_Finance[Date],$A268),"")</f>
        <v/>
      </c>
      <c r="C268" s="61">
        <f>IFERROR(INDEX(tbl_Finance[Xero Invoice No],$A268),"")</f>
        <v/>
      </c>
      <c r="D268" s="61">
        <f>IFERROR(INDEX(tbl_Finance[Client],$A268),"")</f>
        <v/>
      </c>
      <c r="E268" s="61">
        <f>IFERROR(INDEX(tbl_Finance[Job Number],$A268),"")</f>
        <v/>
      </c>
      <c r="F268" s="61">
        <f>IFERROR(INDEX(tbl_Finance[Cost Centre],$A268),"")</f>
        <v/>
      </c>
      <c r="G268" s="62">
        <f>IFERROR(INDEX(tbl_Finance[Ex GST],$A268),"")</f>
        <v/>
      </c>
      <c r="H268" s="60">
        <f>IFERROR(INDEX(tbl_Finance[Defer Start],$A268),"")</f>
        <v/>
      </c>
      <c r="I268" s="60">
        <f>IFERROR(INDEX(tbl_Finance[Defer End],$A268),"")</f>
        <v/>
      </c>
      <c r="J268" s="59">
        <f>IF(OR($H268="",$I268="",$G268=""),"",MAX(1,(YEAR($I268)-YEAR($H268))*12+MONTH($I268)-MONTH($H268)+1))</f>
        <v/>
      </c>
      <c r="K268" s="62">
        <f>IF($J268="","",$G268/$J268)</f>
        <v/>
      </c>
      <c r="L268" s="62">
        <f>IF($J268="",0,$K268*MAX(0,MIN(YEAR($C$3)*12+MONTH($C$3),YEAR($I268)*12+MONTH($I268))-(YEAR($H268)*12+MONTH($H268))+1))</f>
        <v/>
      </c>
      <c r="M268" s="62">
        <f>IF($J268="",0,$K268*MAX(0,MIN(YEAR($C$3)*12+MONTH($C$3)-1,YEAR($I268)*12+MONTH($I268))-(YEAR($H268)*12+MONTH($H268))+1))</f>
        <v/>
      </c>
      <c r="N268" s="62">
        <f>IF(OR($J268="",$B268=""),0,IF(YEAR($B268)*12+MONTH($B268)&lt;=YEAR($C$3)*12+MONTH($C$3),$G268,0))</f>
        <v/>
      </c>
      <c r="O268" s="62">
        <f>IF(OR($J268="",$B268=""),0,IF(YEAR($B268)*12+MONTH($B268)&lt;=YEAR($C$3)*12+MONTH($C$3)-1,$G268,0))</f>
        <v/>
      </c>
      <c r="P268" s="62">
        <f>$M268-$O268</f>
        <v/>
      </c>
      <c r="Q268" s="62">
        <f>($L268-$M268)-($N268-$O268)</f>
        <v/>
      </c>
      <c r="R268" s="62">
        <f>$L268-$N268</f>
        <v/>
      </c>
    </row>
    <row r="269">
      <c r="A269" s="59">
        <f>ROW()-5</f>
        <v/>
      </c>
      <c r="B269" s="60">
        <f>IFERROR(INDEX(tbl_Finance[Date],$A269),"")</f>
        <v/>
      </c>
      <c r="C269" s="61">
        <f>IFERROR(INDEX(tbl_Finance[Xero Invoice No],$A269),"")</f>
        <v/>
      </c>
      <c r="D269" s="61">
        <f>IFERROR(INDEX(tbl_Finance[Client],$A269),"")</f>
        <v/>
      </c>
      <c r="E269" s="61">
        <f>IFERROR(INDEX(tbl_Finance[Job Number],$A269),"")</f>
        <v/>
      </c>
      <c r="F269" s="61">
        <f>IFERROR(INDEX(tbl_Finance[Cost Centre],$A269),"")</f>
        <v/>
      </c>
      <c r="G269" s="62">
        <f>IFERROR(INDEX(tbl_Finance[Ex GST],$A269),"")</f>
        <v/>
      </c>
      <c r="H269" s="60">
        <f>IFERROR(INDEX(tbl_Finance[Defer Start],$A269),"")</f>
        <v/>
      </c>
      <c r="I269" s="60">
        <f>IFERROR(INDEX(tbl_Finance[Defer End],$A269),"")</f>
        <v/>
      </c>
      <c r="J269" s="59">
        <f>IF(OR($H269="",$I269="",$G269=""),"",MAX(1,(YEAR($I269)-YEAR($H269))*12+MONTH($I269)-MONTH($H269)+1))</f>
        <v/>
      </c>
      <c r="K269" s="62">
        <f>IF($J269="","",$G269/$J269)</f>
        <v/>
      </c>
      <c r="L269" s="62">
        <f>IF($J269="",0,$K269*MAX(0,MIN(YEAR($C$3)*12+MONTH($C$3),YEAR($I269)*12+MONTH($I269))-(YEAR($H269)*12+MONTH($H269))+1))</f>
        <v/>
      </c>
      <c r="M269" s="62">
        <f>IF($J269="",0,$K269*MAX(0,MIN(YEAR($C$3)*12+MONTH($C$3)-1,YEAR($I269)*12+MONTH($I269))-(YEAR($H269)*12+MONTH($H269))+1))</f>
        <v/>
      </c>
      <c r="N269" s="62">
        <f>IF(OR($J269="",$B269=""),0,IF(YEAR($B269)*12+MONTH($B269)&lt;=YEAR($C$3)*12+MONTH($C$3),$G269,0))</f>
        <v/>
      </c>
      <c r="O269" s="62">
        <f>IF(OR($J269="",$B269=""),0,IF(YEAR($B269)*12+MONTH($B269)&lt;=YEAR($C$3)*12+MONTH($C$3)-1,$G269,0))</f>
        <v/>
      </c>
      <c r="P269" s="62">
        <f>$M269-$O269</f>
        <v/>
      </c>
      <c r="Q269" s="62">
        <f>($L269-$M269)-($N269-$O269)</f>
        <v/>
      </c>
      <c r="R269" s="62">
        <f>$L269-$N269</f>
        <v/>
      </c>
    </row>
    <row r="270">
      <c r="A270" s="59">
        <f>ROW()-5</f>
        <v/>
      </c>
      <c r="B270" s="60">
        <f>IFERROR(INDEX(tbl_Finance[Date],$A270),"")</f>
        <v/>
      </c>
      <c r="C270" s="61">
        <f>IFERROR(INDEX(tbl_Finance[Xero Invoice No],$A270),"")</f>
        <v/>
      </c>
      <c r="D270" s="61">
        <f>IFERROR(INDEX(tbl_Finance[Client],$A270),"")</f>
        <v/>
      </c>
      <c r="E270" s="61">
        <f>IFERROR(INDEX(tbl_Finance[Job Number],$A270),"")</f>
        <v/>
      </c>
      <c r="F270" s="61">
        <f>IFERROR(INDEX(tbl_Finance[Cost Centre],$A270),"")</f>
        <v/>
      </c>
      <c r="G270" s="62">
        <f>IFERROR(INDEX(tbl_Finance[Ex GST],$A270),"")</f>
        <v/>
      </c>
      <c r="H270" s="60">
        <f>IFERROR(INDEX(tbl_Finance[Defer Start],$A270),"")</f>
        <v/>
      </c>
      <c r="I270" s="60">
        <f>IFERROR(INDEX(tbl_Finance[Defer End],$A270),"")</f>
        <v/>
      </c>
      <c r="J270" s="59">
        <f>IF(OR($H270="",$I270="",$G270=""),"",MAX(1,(YEAR($I270)-YEAR($H270))*12+MONTH($I270)-MONTH($H270)+1))</f>
        <v/>
      </c>
      <c r="K270" s="62">
        <f>IF($J270="","",$G270/$J270)</f>
        <v/>
      </c>
      <c r="L270" s="62">
        <f>IF($J270="",0,$K270*MAX(0,MIN(YEAR($C$3)*12+MONTH($C$3),YEAR($I270)*12+MONTH($I270))-(YEAR($H270)*12+MONTH($H270))+1))</f>
        <v/>
      </c>
      <c r="M270" s="62">
        <f>IF($J270="",0,$K270*MAX(0,MIN(YEAR($C$3)*12+MONTH($C$3)-1,YEAR($I270)*12+MONTH($I270))-(YEAR($H270)*12+MONTH($H270))+1))</f>
        <v/>
      </c>
      <c r="N270" s="62">
        <f>IF(OR($J270="",$B270=""),0,IF(YEAR($B270)*12+MONTH($B270)&lt;=YEAR($C$3)*12+MONTH($C$3),$G270,0))</f>
        <v/>
      </c>
      <c r="O270" s="62">
        <f>IF(OR($J270="",$B270=""),0,IF(YEAR($B270)*12+MONTH($B270)&lt;=YEAR($C$3)*12+MONTH($C$3)-1,$G270,0))</f>
        <v/>
      </c>
      <c r="P270" s="62">
        <f>$M270-$O270</f>
        <v/>
      </c>
      <c r="Q270" s="62">
        <f>($L270-$M270)-($N270-$O270)</f>
        <v/>
      </c>
      <c r="R270" s="62">
        <f>$L270-$N270</f>
        <v/>
      </c>
    </row>
    <row r="271">
      <c r="A271" s="59">
        <f>ROW()-5</f>
        <v/>
      </c>
      <c r="B271" s="60">
        <f>IFERROR(INDEX(tbl_Finance[Date],$A271),"")</f>
        <v/>
      </c>
      <c r="C271" s="61">
        <f>IFERROR(INDEX(tbl_Finance[Xero Invoice No],$A271),"")</f>
        <v/>
      </c>
      <c r="D271" s="61">
        <f>IFERROR(INDEX(tbl_Finance[Client],$A271),"")</f>
        <v/>
      </c>
      <c r="E271" s="61">
        <f>IFERROR(INDEX(tbl_Finance[Job Number],$A271),"")</f>
        <v/>
      </c>
      <c r="F271" s="61">
        <f>IFERROR(INDEX(tbl_Finance[Cost Centre],$A271),"")</f>
        <v/>
      </c>
      <c r="G271" s="62">
        <f>IFERROR(INDEX(tbl_Finance[Ex GST],$A271),"")</f>
        <v/>
      </c>
      <c r="H271" s="60">
        <f>IFERROR(INDEX(tbl_Finance[Defer Start],$A271),"")</f>
        <v/>
      </c>
      <c r="I271" s="60">
        <f>IFERROR(INDEX(tbl_Finance[Defer End],$A271),"")</f>
        <v/>
      </c>
      <c r="J271" s="59">
        <f>IF(OR($H271="",$I271="",$G271=""),"",MAX(1,(YEAR($I271)-YEAR($H271))*12+MONTH($I271)-MONTH($H271)+1))</f>
        <v/>
      </c>
      <c r="K271" s="62">
        <f>IF($J271="","",$G271/$J271)</f>
        <v/>
      </c>
      <c r="L271" s="62">
        <f>IF($J271="",0,$K271*MAX(0,MIN(YEAR($C$3)*12+MONTH($C$3),YEAR($I271)*12+MONTH($I271))-(YEAR($H271)*12+MONTH($H271))+1))</f>
        <v/>
      </c>
      <c r="M271" s="62">
        <f>IF($J271="",0,$K271*MAX(0,MIN(YEAR($C$3)*12+MONTH($C$3)-1,YEAR($I271)*12+MONTH($I271))-(YEAR($H271)*12+MONTH($H271))+1))</f>
        <v/>
      </c>
      <c r="N271" s="62">
        <f>IF(OR($J271="",$B271=""),0,IF(YEAR($B271)*12+MONTH($B271)&lt;=YEAR($C$3)*12+MONTH($C$3),$G271,0))</f>
        <v/>
      </c>
      <c r="O271" s="62">
        <f>IF(OR($J271="",$B271=""),0,IF(YEAR($B271)*12+MONTH($B271)&lt;=YEAR($C$3)*12+MONTH($C$3)-1,$G271,0))</f>
        <v/>
      </c>
      <c r="P271" s="62">
        <f>$M271-$O271</f>
        <v/>
      </c>
      <c r="Q271" s="62">
        <f>($L271-$M271)-($N271-$O271)</f>
        <v/>
      </c>
      <c r="R271" s="62">
        <f>$L271-$N271</f>
        <v/>
      </c>
    </row>
    <row r="272">
      <c r="A272" s="59">
        <f>ROW()-5</f>
        <v/>
      </c>
      <c r="B272" s="60">
        <f>IFERROR(INDEX(tbl_Finance[Date],$A272),"")</f>
        <v/>
      </c>
      <c r="C272" s="61">
        <f>IFERROR(INDEX(tbl_Finance[Xero Invoice No],$A272),"")</f>
        <v/>
      </c>
      <c r="D272" s="61">
        <f>IFERROR(INDEX(tbl_Finance[Client],$A272),"")</f>
        <v/>
      </c>
      <c r="E272" s="61">
        <f>IFERROR(INDEX(tbl_Finance[Job Number],$A272),"")</f>
        <v/>
      </c>
      <c r="F272" s="61">
        <f>IFERROR(INDEX(tbl_Finance[Cost Centre],$A272),"")</f>
        <v/>
      </c>
      <c r="G272" s="62">
        <f>IFERROR(INDEX(tbl_Finance[Ex GST],$A272),"")</f>
        <v/>
      </c>
      <c r="H272" s="60">
        <f>IFERROR(INDEX(tbl_Finance[Defer Start],$A272),"")</f>
        <v/>
      </c>
      <c r="I272" s="60">
        <f>IFERROR(INDEX(tbl_Finance[Defer End],$A272),"")</f>
        <v/>
      </c>
      <c r="J272" s="59">
        <f>IF(OR($H272="",$I272="",$G272=""),"",MAX(1,(YEAR($I272)-YEAR($H272))*12+MONTH($I272)-MONTH($H272)+1))</f>
        <v/>
      </c>
      <c r="K272" s="62">
        <f>IF($J272="","",$G272/$J272)</f>
        <v/>
      </c>
      <c r="L272" s="62">
        <f>IF($J272="",0,$K272*MAX(0,MIN(YEAR($C$3)*12+MONTH($C$3),YEAR($I272)*12+MONTH($I272))-(YEAR($H272)*12+MONTH($H272))+1))</f>
        <v/>
      </c>
      <c r="M272" s="62">
        <f>IF($J272="",0,$K272*MAX(0,MIN(YEAR($C$3)*12+MONTH($C$3)-1,YEAR($I272)*12+MONTH($I272))-(YEAR($H272)*12+MONTH($H272))+1))</f>
        <v/>
      </c>
      <c r="N272" s="62">
        <f>IF(OR($J272="",$B272=""),0,IF(YEAR($B272)*12+MONTH($B272)&lt;=YEAR($C$3)*12+MONTH($C$3),$G272,0))</f>
        <v/>
      </c>
      <c r="O272" s="62">
        <f>IF(OR($J272="",$B272=""),0,IF(YEAR($B272)*12+MONTH($B272)&lt;=YEAR($C$3)*12+MONTH($C$3)-1,$G272,0))</f>
        <v/>
      </c>
      <c r="P272" s="62">
        <f>$M272-$O272</f>
        <v/>
      </c>
      <c r="Q272" s="62">
        <f>($L272-$M272)-($N272-$O272)</f>
        <v/>
      </c>
      <c r="R272" s="62">
        <f>$L272-$N272</f>
        <v/>
      </c>
    </row>
    <row r="273">
      <c r="A273" s="59">
        <f>ROW()-5</f>
        <v/>
      </c>
      <c r="B273" s="60">
        <f>IFERROR(INDEX(tbl_Finance[Date],$A273),"")</f>
        <v/>
      </c>
      <c r="C273" s="61">
        <f>IFERROR(INDEX(tbl_Finance[Xero Invoice No],$A273),"")</f>
        <v/>
      </c>
      <c r="D273" s="61">
        <f>IFERROR(INDEX(tbl_Finance[Client],$A273),"")</f>
        <v/>
      </c>
      <c r="E273" s="61">
        <f>IFERROR(INDEX(tbl_Finance[Job Number],$A273),"")</f>
        <v/>
      </c>
      <c r="F273" s="61">
        <f>IFERROR(INDEX(tbl_Finance[Cost Centre],$A273),"")</f>
        <v/>
      </c>
      <c r="G273" s="62">
        <f>IFERROR(INDEX(tbl_Finance[Ex GST],$A273),"")</f>
        <v/>
      </c>
      <c r="H273" s="60">
        <f>IFERROR(INDEX(tbl_Finance[Defer Start],$A273),"")</f>
        <v/>
      </c>
      <c r="I273" s="60">
        <f>IFERROR(INDEX(tbl_Finance[Defer End],$A273),"")</f>
        <v/>
      </c>
      <c r="J273" s="59">
        <f>IF(OR($H273="",$I273="",$G273=""),"",MAX(1,(YEAR($I273)-YEAR($H273))*12+MONTH($I273)-MONTH($H273)+1))</f>
        <v/>
      </c>
      <c r="K273" s="62">
        <f>IF($J273="","",$G273/$J273)</f>
        <v/>
      </c>
      <c r="L273" s="62">
        <f>IF($J273="",0,$K273*MAX(0,MIN(YEAR($C$3)*12+MONTH($C$3),YEAR($I273)*12+MONTH($I273))-(YEAR($H273)*12+MONTH($H273))+1))</f>
        <v/>
      </c>
      <c r="M273" s="62">
        <f>IF($J273="",0,$K273*MAX(0,MIN(YEAR($C$3)*12+MONTH($C$3)-1,YEAR($I273)*12+MONTH($I273))-(YEAR($H273)*12+MONTH($H273))+1))</f>
        <v/>
      </c>
      <c r="N273" s="62">
        <f>IF(OR($J273="",$B273=""),0,IF(YEAR($B273)*12+MONTH($B273)&lt;=YEAR($C$3)*12+MONTH($C$3),$G273,0))</f>
        <v/>
      </c>
      <c r="O273" s="62">
        <f>IF(OR($J273="",$B273=""),0,IF(YEAR($B273)*12+MONTH($B273)&lt;=YEAR($C$3)*12+MONTH($C$3)-1,$G273,0))</f>
        <v/>
      </c>
      <c r="P273" s="62">
        <f>$M273-$O273</f>
        <v/>
      </c>
      <c r="Q273" s="62">
        <f>($L273-$M273)-($N273-$O273)</f>
        <v/>
      </c>
      <c r="R273" s="62">
        <f>$L273-$N273</f>
        <v/>
      </c>
    </row>
    <row r="274">
      <c r="A274" s="59">
        <f>ROW()-5</f>
        <v/>
      </c>
      <c r="B274" s="60">
        <f>IFERROR(INDEX(tbl_Finance[Date],$A274),"")</f>
        <v/>
      </c>
      <c r="C274" s="61">
        <f>IFERROR(INDEX(tbl_Finance[Xero Invoice No],$A274),"")</f>
        <v/>
      </c>
      <c r="D274" s="61">
        <f>IFERROR(INDEX(tbl_Finance[Client],$A274),"")</f>
        <v/>
      </c>
      <c r="E274" s="61">
        <f>IFERROR(INDEX(tbl_Finance[Job Number],$A274),"")</f>
        <v/>
      </c>
      <c r="F274" s="61">
        <f>IFERROR(INDEX(tbl_Finance[Cost Centre],$A274),"")</f>
        <v/>
      </c>
      <c r="G274" s="62">
        <f>IFERROR(INDEX(tbl_Finance[Ex GST],$A274),"")</f>
        <v/>
      </c>
      <c r="H274" s="60">
        <f>IFERROR(INDEX(tbl_Finance[Defer Start],$A274),"")</f>
        <v/>
      </c>
      <c r="I274" s="60">
        <f>IFERROR(INDEX(tbl_Finance[Defer End],$A274),"")</f>
        <v/>
      </c>
      <c r="J274" s="59">
        <f>IF(OR($H274="",$I274="",$G274=""),"",MAX(1,(YEAR($I274)-YEAR($H274))*12+MONTH($I274)-MONTH($H274)+1))</f>
        <v/>
      </c>
      <c r="K274" s="62">
        <f>IF($J274="","",$G274/$J274)</f>
        <v/>
      </c>
      <c r="L274" s="62">
        <f>IF($J274="",0,$K274*MAX(0,MIN(YEAR($C$3)*12+MONTH($C$3),YEAR($I274)*12+MONTH($I274))-(YEAR($H274)*12+MONTH($H274))+1))</f>
        <v/>
      </c>
      <c r="M274" s="62">
        <f>IF($J274="",0,$K274*MAX(0,MIN(YEAR($C$3)*12+MONTH($C$3)-1,YEAR($I274)*12+MONTH($I274))-(YEAR($H274)*12+MONTH($H274))+1))</f>
        <v/>
      </c>
      <c r="N274" s="62">
        <f>IF(OR($J274="",$B274=""),0,IF(YEAR($B274)*12+MONTH($B274)&lt;=YEAR($C$3)*12+MONTH($C$3),$G274,0))</f>
        <v/>
      </c>
      <c r="O274" s="62">
        <f>IF(OR($J274="",$B274=""),0,IF(YEAR($B274)*12+MONTH($B274)&lt;=YEAR($C$3)*12+MONTH($C$3)-1,$G274,0))</f>
        <v/>
      </c>
      <c r="P274" s="62">
        <f>$M274-$O274</f>
        <v/>
      </c>
      <c r="Q274" s="62">
        <f>($L274-$M274)-($N274-$O274)</f>
        <v/>
      </c>
      <c r="R274" s="62">
        <f>$L274-$N274</f>
        <v/>
      </c>
    </row>
    <row r="275">
      <c r="A275" s="59">
        <f>ROW()-5</f>
        <v/>
      </c>
      <c r="B275" s="60">
        <f>IFERROR(INDEX(tbl_Finance[Date],$A275),"")</f>
        <v/>
      </c>
      <c r="C275" s="61">
        <f>IFERROR(INDEX(tbl_Finance[Xero Invoice No],$A275),"")</f>
        <v/>
      </c>
      <c r="D275" s="61">
        <f>IFERROR(INDEX(tbl_Finance[Client],$A275),"")</f>
        <v/>
      </c>
      <c r="E275" s="61">
        <f>IFERROR(INDEX(tbl_Finance[Job Number],$A275),"")</f>
        <v/>
      </c>
      <c r="F275" s="61">
        <f>IFERROR(INDEX(tbl_Finance[Cost Centre],$A275),"")</f>
        <v/>
      </c>
      <c r="G275" s="62">
        <f>IFERROR(INDEX(tbl_Finance[Ex GST],$A275),"")</f>
        <v/>
      </c>
      <c r="H275" s="60">
        <f>IFERROR(INDEX(tbl_Finance[Defer Start],$A275),"")</f>
        <v/>
      </c>
      <c r="I275" s="60">
        <f>IFERROR(INDEX(tbl_Finance[Defer End],$A275),"")</f>
        <v/>
      </c>
      <c r="J275" s="59">
        <f>IF(OR($H275="",$I275="",$G275=""),"",MAX(1,(YEAR($I275)-YEAR($H275))*12+MONTH($I275)-MONTH($H275)+1))</f>
        <v/>
      </c>
      <c r="K275" s="62">
        <f>IF($J275="","",$G275/$J275)</f>
        <v/>
      </c>
      <c r="L275" s="62">
        <f>IF($J275="",0,$K275*MAX(0,MIN(YEAR($C$3)*12+MONTH($C$3),YEAR($I275)*12+MONTH($I275))-(YEAR($H275)*12+MONTH($H275))+1))</f>
        <v/>
      </c>
      <c r="M275" s="62">
        <f>IF($J275="",0,$K275*MAX(0,MIN(YEAR($C$3)*12+MONTH($C$3)-1,YEAR($I275)*12+MONTH($I275))-(YEAR($H275)*12+MONTH($H275))+1))</f>
        <v/>
      </c>
      <c r="N275" s="62">
        <f>IF(OR($J275="",$B275=""),0,IF(YEAR($B275)*12+MONTH($B275)&lt;=YEAR($C$3)*12+MONTH($C$3),$G275,0))</f>
        <v/>
      </c>
      <c r="O275" s="62">
        <f>IF(OR($J275="",$B275=""),0,IF(YEAR($B275)*12+MONTH($B275)&lt;=YEAR($C$3)*12+MONTH($C$3)-1,$G275,0))</f>
        <v/>
      </c>
      <c r="P275" s="62">
        <f>$M275-$O275</f>
        <v/>
      </c>
      <c r="Q275" s="62">
        <f>($L275-$M275)-($N275-$O275)</f>
        <v/>
      </c>
      <c r="R275" s="62">
        <f>$L275-$N275</f>
        <v/>
      </c>
    </row>
    <row r="276">
      <c r="A276" s="59">
        <f>ROW()-5</f>
        <v/>
      </c>
      <c r="B276" s="60">
        <f>IFERROR(INDEX(tbl_Finance[Date],$A276),"")</f>
        <v/>
      </c>
      <c r="C276" s="61">
        <f>IFERROR(INDEX(tbl_Finance[Xero Invoice No],$A276),"")</f>
        <v/>
      </c>
      <c r="D276" s="61">
        <f>IFERROR(INDEX(tbl_Finance[Client],$A276),"")</f>
        <v/>
      </c>
      <c r="E276" s="61">
        <f>IFERROR(INDEX(tbl_Finance[Job Number],$A276),"")</f>
        <v/>
      </c>
      <c r="F276" s="61">
        <f>IFERROR(INDEX(tbl_Finance[Cost Centre],$A276),"")</f>
        <v/>
      </c>
      <c r="G276" s="62">
        <f>IFERROR(INDEX(tbl_Finance[Ex GST],$A276),"")</f>
        <v/>
      </c>
      <c r="H276" s="60">
        <f>IFERROR(INDEX(tbl_Finance[Defer Start],$A276),"")</f>
        <v/>
      </c>
      <c r="I276" s="60">
        <f>IFERROR(INDEX(tbl_Finance[Defer End],$A276),"")</f>
        <v/>
      </c>
      <c r="J276" s="59">
        <f>IF(OR($H276="",$I276="",$G276=""),"",MAX(1,(YEAR($I276)-YEAR($H276))*12+MONTH($I276)-MONTH($H276)+1))</f>
        <v/>
      </c>
      <c r="K276" s="62">
        <f>IF($J276="","",$G276/$J276)</f>
        <v/>
      </c>
      <c r="L276" s="62">
        <f>IF($J276="",0,$K276*MAX(0,MIN(YEAR($C$3)*12+MONTH($C$3),YEAR($I276)*12+MONTH($I276))-(YEAR($H276)*12+MONTH($H276))+1))</f>
        <v/>
      </c>
      <c r="M276" s="62">
        <f>IF($J276="",0,$K276*MAX(0,MIN(YEAR($C$3)*12+MONTH($C$3)-1,YEAR($I276)*12+MONTH($I276))-(YEAR($H276)*12+MONTH($H276))+1))</f>
        <v/>
      </c>
      <c r="N276" s="62">
        <f>IF(OR($J276="",$B276=""),0,IF(YEAR($B276)*12+MONTH($B276)&lt;=YEAR($C$3)*12+MONTH($C$3),$G276,0))</f>
        <v/>
      </c>
      <c r="O276" s="62">
        <f>IF(OR($J276="",$B276=""),0,IF(YEAR($B276)*12+MONTH($B276)&lt;=YEAR($C$3)*12+MONTH($C$3)-1,$G276,0))</f>
        <v/>
      </c>
      <c r="P276" s="62">
        <f>$M276-$O276</f>
        <v/>
      </c>
      <c r="Q276" s="62">
        <f>($L276-$M276)-($N276-$O276)</f>
        <v/>
      </c>
      <c r="R276" s="62">
        <f>$L276-$N276</f>
        <v/>
      </c>
    </row>
    <row r="277">
      <c r="A277" s="59">
        <f>ROW()-5</f>
        <v/>
      </c>
      <c r="B277" s="60">
        <f>IFERROR(INDEX(tbl_Finance[Date],$A277),"")</f>
        <v/>
      </c>
      <c r="C277" s="61">
        <f>IFERROR(INDEX(tbl_Finance[Xero Invoice No],$A277),"")</f>
        <v/>
      </c>
      <c r="D277" s="61">
        <f>IFERROR(INDEX(tbl_Finance[Client],$A277),"")</f>
        <v/>
      </c>
      <c r="E277" s="61">
        <f>IFERROR(INDEX(tbl_Finance[Job Number],$A277),"")</f>
        <v/>
      </c>
      <c r="F277" s="61">
        <f>IFERROR(INDEX(tbl_Finance[Cost Centre],$A277),"")</f>
        <v/>
      </c>
      <c r="G277" s="62">
        <f>IFERROR(INDEX(tbl_Finance[Ex GST],$A277),"")</f>
        <v/>
      </c>
      <c r="H277" s="60">
        <f>IFERROR(INDEX(tbl_Finance[Defer Start],$A277),"")</f>
        <v/>
      </c>
      <c r="I277" s="60">
        <f>IFERROR(INDEX(tbl_Finance[Defer End],$A277),"")</f>
        <v/>
      </c>
      <c r="J277" s="59">
        <f>IF(OR($H277="",$I277="",$G277=""),"",MAX(1,(YEAR($I277)-YEAR($H277))*12+MONTH($I277)-MONTH($H277)+1))</f>
        <v/>
      </c>
      <c r="K277" s="62">
        <f>IF($J277="","",$G277/$J277)</f>
        <v/>
      </c>
      <c r="L277" s="62">
        <f>IF($J277="",0,$K277*MAX(0,MIN(YEAR($C$3)*12+MONTH($C$3),YEAR($I277)*12+MONTH($I277))-(YEAR($H277)*12+MONTH($H277))+1))</f>
        <v/>
      </c>
      <c r="M277" s="62">
        <f>IF($J277="",0,$K277*MAX(0,MIN(YEAR($C$3)*12+MONTH($C$3)-1,YEAR($I277)*12+MONTH($I277))-(YEAR($H277)*12+MONTH($H277))+1))</f>
        <v/>
      </c>
      <c r="N277" s="62">
        <f>IF(OR($J277="",$B277=""),0,IF(YEAR($B277)*12+MONTH($B277)&lt;=YEAR($C$3)*12+MONTH($C$3),$G277,0))</f>
        <v/>
      </c>
      <c r="O277" s="62">
        <f>IF(OR($J277="",$B277=""),0,IF(YEAR($B277)*12+MONTH($B277)&lt;=YEAR($C$3)*12+MONTH($C$3)-1,$G277,0))</f>
        <v/>
      </c>
      <c r="P277" s="62">
        <f>$M277-$O277</f>
        <v/>
      </c>
      <c r="Q277" s="62">
        <f>($L277-$M277)-($N277-$O277)</f>
        <v/>
      </c>
      <c r="R277" s="62">
        <f>$L277-$N277</f>
        <v/>
      </c>
    </row>
    <row r="278">
      <c r="A278" s="59">
        <f>ROW()-5</f>
        <v/>
      </c>
      <c r="B278" s="60">
        <f>IFERROR(INDEX(tbl_Finance[Date],$A278),"")</f>
        <v/>
      </c>
      <c r="C278" s="61">
        <f>IFERROR(INDEX(tbl_Finance[Xero Invoice No],$A278),"")</f>
        <v/>
      </c>
      <c r="D278" s="61">
        <f>IFERROR(INDEX(tbl_Finance[Client],$A278),"")</f>
        <v/>
      </c>
      <c r="E278" s="61">
        <f>IFERROR(INDEX(tbl_Finance[Job Number],$A278),"")</f>
        <v/>
      </c>
      <c r="F278" s="61">
        <f>IFERROR(INDEX(tbl_Finance[Cost Centre],$A278),"")</f>
        <v/>
      </c>
      <c r="G278" s="62">
        <f>IFERROR(INDEX(tbl_Finance[Ex GST],$A278),"")</f>
        <v/>
      </c>
      <c r="H278" s="60">
        <f>IFERROR(INDEX(tbl_Finance[Defer Start],$A278),"")</f>
        <v/>
      </c>
      <c r="I278" s="60">
        <f>IFERROR(INDEX(tbl_Finance[Defer End],$A278),"")</f>
        <v/>
      </c>
      <c r="J278" s="59">
        <f>IF(OR($H278="",$I278="",$G278=""),"",MAX(1,(YEAR($I278)-YEAR($H278))*12+MONTH($I278)-MONTH($H278)+1))</f>
        <v/>
      </c>
      <c r="K278" s="62">
        <f>IF($J278="","",$G278/$J278)</f>
        <v/>
      </c>
      <c r="L278" s="62">
        <f>IF($J278="",0,$K278*MAX(0,MIN(YEAR($C$3)*12+MONTH($C$3),YEAR($I278)*12+MONTH($I278))-(YEAR($H278)*12+MONTH($H278))+1))</f>
        <v/>
      </c>
      <c r="M278" s="62">
        <f>IF($J278="",0,$K278*MAX(0,MIN(YEAR($C$3)*12+MONTH($C$3)-1,YEAR($I278)*12+MONTH($I278))-(YEAR($H278)*12+MONTH($H278))+1))</f>
        <v/>
      </c>
      <c r="N278" s="62">
        <f>IF(OR($J278="",$B278=""),0,IF(YEAR($B278)*12+MONTH($B278)&lt;=YEAR($C$3)*12+MONTH($C$3),$G278,0))</f>
        <v/>
      </c>
      <c r="O278" s="62">
        <f>IF(OR($J278="",$B278=""),0,IF(YEAR($B278)*12+MONTH($B278)&lt;=YEAR($C$3)*12+MONTH($C$3)-1,$G278,0))</f>
        <v/>
      </c>
      <c r="P278" s="62">
        <f>$M278-$O278</f>
        <v/>
      </c>
      <c r="Q278" s="62">
        <f>($L278-$M278)-($N278-$O278)</f>
        <v/>
      </c>
      <c r="R278" s="62">
        <f>$L278-$N278</f>
        <v/>
      </c>
    </row>
    <row r="279">
      <c r="A279" s="59">
        <f>ROW()-5</f>
        <v/>
      </c>
      <c r="B279" s="60">
        <f>IFERROR(INDEX(tbl_Finance[Date],$A279),"")</f>
        <v/>
      </c>
      <c r="C279" s="61">
        <f>IFERROR(INDEX(tbl_Finance[Xero Invoice No],$A279),"")</f>
        <v/>
      </c>
      <c r="D279" s="61">
        <f>IFERROR(INDEX(tbl_Finance[Client],$A279),"")</f>
        <v/>
      </c>
      <c r="E279" s="61">
        <f>IFERROR(INDEX(tbl_Finance[Job Number],$A279),"")</f>
        <v/>
      </c>
      <c r="F279" s="61">
        <f>IFERROR(INDEX(tbl_Finance[Cost Centre],$A279),"")</f>
        <v/>
      </c>
      <c r="G279" s="62">
        <f>IFERROR(INDEX(tbl_Finance[Ex GST],$A279),"")</f>
        <v/>
      </c>
      <c r="H279" s="60">
        <f>IFERROR(INDEX(tbl_Finance[Defer Start],$A279),"")</f>
        <v/>
      </c>
      <c r="I279" s="60">
        <f>IFERROR(INDEX(tbl_Finance[Defer End],$A279),"")</f>
        <v/>
      </c>
      <c r="J279" s="59">
        <f>IF(OR($H279="",$I279="",$G279=""),"",MAX(1,(YEAR($I279)-YEAR($H279))*12+MONTH($I279)-MONTH($H279)+1))</f>
        <v/>
      </c>
      <c r="K279" s="62">
        <f>IF($J279="","",$G279/$J279)</f>
        <v/>
      </c>
      <c r="L279" s="62">
        <f>IF($J279="",0,$K279*MAX(0,MIN(YEAR($C$3)*12+MONTH($C$3),YEAR($I279)*12+MONTH($I279))-(YEAR($H279)*12+MONTH($H279))+1))</f>
        <v/>
      </c>
      <c r="M279" s="62">
        <f>IF($J279="",0,$K279*MAX(0,MIN(YEAR($C$3)*12+MONTH($C$3)-1,YEAR($I279)*12+MONTH($I279))-(YEAR($H279)*12+MONTH($H279))+1))</f>
        <v/>
      </c>
      <c r="N279" s="62">
        <f>IF(OR($J279="",$B279=""),0,IF(YEAR($B279)*12+MONTH($B279)&lt;=YEAR($C$3)*12+MONTH($C$3),$G279,0))</f>
        <v/>
      </c>
      <c r="O279" s="62">
        <f>IF(OR($J279="",$B279=""),0,IF(YEAR($B279)*12+MONTH($B279)&lt;=YEAR($C$3)*12+MONTH($C$3)-1,$G279,0))</f>
        <v/>
      </c>
      <c r="P279" s="62">
        <f>$M279-$O279</f>
        <v/>
      </c>
      <c r="Q279" s="62">
        <f>($L279-$M279)-($N279-$O279)</f>
        <v/>
      </c>
      <c r="R279" s="62">
        <f>$L279-$N279</f>
        <v/>
      </c>
    </row>
    <row r="280">
      <c r="A280" s="59">
        <f>ROW()-5</f>
        <v/>
      </c>
      <c r="B280" s="60">
        <f>IFERROR(INDEX(tbl_Finance[Date],$A280),"")</f>
        <v/>
      </c>
      <c r="C280" s="61">
        <f>IFERROR(INDEX(tbl_Finance[Xero Invoice No],$A280),"")</f>
        <v/>
      </c>
      <c r="D280" s="61">
        <f>IFERROR(INDEX(tbl_Finance[Client],$A280),"")</f>
        <v/>
      </c>
      <c r="E280" s="61">
        <f>IFERROR(INDEX(tbl_Finance[Job Number],$A280),"")</f>
        <v/>
      </c>
      <c r="F280" s="61">
        <f>IFERROR(INDEX(tbl_Finance[Cost Centre],$A280),"")</f>
        <v/>
      </c>
      <c r="G280" s="62">
        <f>IFERROR(INDEX(tbl_Finance[Ex GST],$A280),"")</f>
        <v/>
      </c>
      <c r="H280" s="60">
        <f>IFERROR(INDEX(tbl_Finance[Defer Start],$A280),"")</f>
        <v/>
      </c>
      <c r="I280" s="60">
        <f>IFERROR(INDEX(tbl_Finance[Defer End],$A280),"")</f>
        <v/>
      </c>
      <c r="J280" s="59">
        <f>IF(OR($H280="",$I280="",$G280=""),"",MAX(1,(YEAR($I280)-YEAR($H280))*12+MONTH($I280)-MONTH($H280)+1))</f>
        <v/>
      </c>
      <c r="K280" s="62">
        <f>IF($J280="","",$G280/$J280)</f>
        <v/>
      </c>
      <c r="L280" s="62">
        <f>IF($J280="",0,$K280*MAX(0,MIN(YEAR($C$3)*12+MONTH($C$3),YEAR($I280)*12+MONTH($I280))-(YEAR($H280)*12+MONTH($H280))+1))</f>
        <v/>
      </c>
      <c r="M280" s="62">
        <f>IF($J280="",0,$K280*MAX(0,MIN(YEAR($C$3)*12+MONTH($C$3)-1,YEAR($I280)*12+MONTH($I280))-(YEAR($H280)*12+MONTH($H280))+1))</f>
        <v/>
      </c>
      <c r="N280" s="62">
        <f>IF(OR($J280="",$B280=""),0,IF(YEAR($B280)*12+MONTH($B280)&lt;=YEAR($C$3)*12+MONTH($C$3),$G280,0))</f>
        <v/>
      </c>
      <c r="O280" s="62">
        <f>IF(OR($J280="",$B280=""),0,IF(YEAR($B280)*12+MONTH($B280)&lt;=YEAR($C$3)*12+MONTH($C$3)-1,$G280,0))</f>
        <v/>
      </c>
      <c r="P280" s="62">
        <f>$M280-$O280</f>
        <v/>
      </c>
      <c r="Q280" s="62">
        <f>($L280-$M280)-($N280-$O280)</f>
        <v/>
      </c>
      <c r="R280" s="62">
        <f>$L280-$N280</f>
        <v/>
      </c>
    </row>
    <row r="281">
      <c r="A281" s="59">
        <f>ROW()-5</f>
        <v/>
      </c>
      <c r="B281" s="60">
        <f>IFERROR(INDEX(tbl_Finance[Date],$A281),"")</f>
        <v/>
      </c>
      <c r="C281" s="61">
        <f>IFERROR(INDEX(tbl_Finance[Xero Invoice No],$A281),"")</f>
        <v/>
      </c>
      <c r="D281" s="61">
        <f>IFERROR(INDEX(tbl_Finance[Client],$A281),"")</f>
        <v/>
      </c>
      <c r="E281" s="61">
        <f>IFERROR(INDEX(tbl_Finance[Job Number],$A281),"")</f>
        <v/>
      </c>
      <c r="F281" s="61">
        <f>IFERROR(INDEX(tbl_Finance[Cost Centre],$A281),"")</f>
        <v/>
      </c>
      <c r="G281" s="62">
        <f>IFERROR(INDEX(tbl_Finance[Ex GST],$A281),"")</f>
        <v/>
      </c>
      <c r="H281" s="60">
        <f>IFERROR(INDEX(tbl_Finance[Defer Start],$A281),"")</f>
        <v/>
      </c>
      <c r="I281" s="60">
        <f>IFERROR(INDEX(tbl_Finance[Defer End],$A281),"")</f>
        <v/>
      </c>
      <c r="J281" s="59">
        <f>IF(OR($H281="",$I281="",$G281=""),"",MAX(1,(YEAR($I281)-YEAR($H281))*12+MONTH($I281)-MONTH($H281)+1))</f>
        <v/>
      </c>
      <c r="K281" s="62">
        <f>IF($J281="","",$G281/$J281)</f>
        <v/>
      </c>
      <c r="L281" s="62">
        <f>IF($J281="",0,$K281*MAX(0,MIN(YEAR($C$3)*12+MONTH($C$3),YEAR($I281)*12+MONTH($I281))-(YEAR($H281)*12+MONTH($H281))+1))</f>
        <v/>
      </c>
      <c r="M281" s="62">
        <f>IF($J281="",0,$K281*MAX(0,MIN(YEAR($C$3)*12+MONTH($C$3)-1,YEAR($I281)*12+MONTH($I281))-(YEAR($H281)*12+MONTH($H281))+1))</f>
        <v/>
      </c>
      <c r="N281" s="62">
        <f>IF(OR($J281="",$B281=""),0,IF(YEAR($B281)*12+MONTH($B281)&lt;=YEAR($C$3)*12+MONTH($C$3),$G281,0))</f>
        <v/>
      </c>
      <c r="O281" s="62">
        <f>IF(OR($J281="",$B281=""),0,IF(YEAR($B281)*12+MONTH($B281)&lt;=YEAR($C$3)*12+MONTH($C$3)-1,$G281,0))</f>
        <v/>
      </c>
      <c r="P281" s="62">
        <f>$M281-$O281</f>
        <v/>
      </c>
      <c r="Q281" s="62">
        <f>($L281-$M281)-($N281-$O281)</f>
        <v/>
      </c>
      <c r="R281" s="62">
        <f>$L281-$N281</f>
        <v/>
      </c>
    </row>
    <row r="282">
      <c r="A282" s="59">
        <f>ROW()-5</f>
        <v/>
      </c>
      <c r="B282" s="60">
        <f>IFERROR(INDEX(tbl_Finance[Date],$A282),"")</f>
        <v/>
      </c>
      <c r="C282" s="61">
        <f>IFERROR(INDEX(tbl_Finance[Xero Invoice No],$A282),"")</f>
        <v/>
      </c>
      <c r="D282" s="61">
        <f>IFERROR(INDEX(tbl_Finance[Client],$A282),"")</f>
        <v/>
      </c>
      <c r="E282" s="61">
        <f>IFERROR(INDEX(tbl_Finance[Job Number],$A282),"")</f>
        <v/>
      </c>
      <c r="F282" s="61">
        <f>IFERROR(INDEX(tbl_Finance[Cost Centre],$A282),"")</f>
        <v/>
      </c>
      <c r="G282" s="62">
        <f>IFERROR(INDEX(tbl_Finance[Ex GST],$A282),"")</f>
        <v/>
      </c>
      <c r="H282" s="60">
        <f>IFERROR(INDEX(tbl_Finance[Defer Start],$A282),"")</f>
        <v/>
      </c>
      <c r="I282" s="60">
        <f>IFERROR(INDEX(tbl_Finance[Defer End],$A282),"")</f>
        <v/>
      </c>
      <c r="J282" s="59">
        <f>IF(OR($H282="",$I282="",$G282=""),"",MAX(1,(YEAR($I282)-YEAR($H282))*12+MONTH($I282)-MONTH($H282)+1))</f>
        <v/>
      </c>
      <c r="K282" s="62">
        <f>IF($J282="","",$G282/$J282)</f>
        <v/>
      </c>
      <c r="L282" s="62">
        <f>IF($J282="",0,$K282*MAX(0,MIN(YEAR($C$3)*12+MONTH($C$3),YEAR($I282)*12+MONTH($I282))-(YEAR($H282)*12+MONTH($H282))+1))</f>
        <v/>
      </c>
      <c r="M282" s="62">
        <f>IF($J282="",0,$K282*MAX(0,MIN(YEAR($C$3)*12+MONTH($C$3)-1,YEAR($I282)*12+MONTH($I282))-(YEAR($H282)*12+MONTH($H282))+1))</f>
        <v/>
      </c>
      <c r="N282" s="62">
        <f>IF(OR($J282="",$B282=""),0,IF(YEAR($B282)*12+MONTH($B282)&lt;=YEAR($C$3)*12+MONTH($C$3),$G282,0))</f>
        <v/>
      </c>
      <c r="O282" s="62">
        <f>IF(OR($J282="",$B282=""),0,IF(YEAR($B282)*12+MONTH($B282)&lt;=YEAR($C$3)*12+MONTH($C$3)-1,$G282,0))</f>
        <v/>
      </c>
      <c r="P282" s="62">
        <f>$M282-$O282</f>
        <v/>
      </c>
      <c r="Q282" s="62">
        <f>($L282-$M282)-($N282-$O282)</f>
        <v/>
      </c>
      <c r="R282" s="62">
        <f>$L282-$N282</f>
        <v/>
      </c>
    </row>
    <row r="283">
      <c r="A283" s="59">
        <f>ROW()-5</f>
        <v/>
      </c>
      <c r="B283" s="60">
        <f>IFERROR(INDEX(tbl_Finance[Date],$A283),"")</f>
        <v/>
      </c>
      <c r="C283" s="61">
        <f>IFERROR(INDEX(tbl_Finance[Xero Invoice No],$A283),"")</f>
        <v/>
      </c>
      <c r="D283" s="61">
        <f>IFERROR(INDEX(tbl_Finance[Client],$A283),"")</f>
        <v/>
      </c>
      <c r="E283" s="61">
        <f>IFERROR(INDEX(tbl_Finance[Job Number],$A283),"")</f>
        <v/>
      </c>
      <c r="F283" s="61">
        <f>IFERROR(INDEX(tbl_Finance[Cost Centre],$A283),"")</f>
        <v/>
      </c>
      <c r="G283" s="62">
        <f>IFERROR(INDEX(tbl_Finance[Ex GST],$A283),"")</f>
        <v/>
      </c>
      <c r="H283" s="60">
        <f>IFERROR(INDEX(tbl_Finance[Defer Start],$A283),"")</f>
        <v/>
      </c>
      <c r="I283" s="60">
        <f>IFERROR(INDEX(tbl_Finance[Defer End],$A283),"")</f>
        <v/>
      </c>
      <c r="J283" s="59">
        <f>IF(OR($H283="",$I283="",$G283=""),"",MAX(1,(YEAR($I283)-YEAR($H283))*12+MONTH($I283)-MONTH($H283)+1))</f>
        <v/>
      </c>
      <c r="K283" s="62">
        <f>IF($J283="","",$G283/$J283)</f>
        <v/>
      </c>
      <c r="L283" s="62">
        <f>IF($J283="",0,$K283*MAX(0,MIN(YEAR($C$3)*12+MONTH($C$3),YEAR($I283)*12+MONTH($I283))-(YEAR($H283)*12+MONTH($H283))+1))</f>
        <v/>
      </c>
      <c r="M283" s="62">
        <f>IF($J283="",0,$K283*MAX(0,MIN(YEAR($C$3)*12+MONTH($C$3)-1,YEAR($I283)*12+MONTH($I283))-(YEAR($H283)*12+MONTH($H283))+1))</f>
        <v/>
      </c>
      <c r="N283" s="62">
        <f>IF(OR($J283="",$B283=""),0,IF(YEAR($B283)*12+MONTH($B283)&lt;=YEAR($C$3)*12+MONTH($C$3),$G283,0))</f>
        <v/>
      </c>
      <c r="O283" s="62">
        <f>IF(OR($J283="",$B283=""),0,IF(YEAR($B283)*12+MONTH($B283)&lt;=YEAR($C$3)*12+MONTH($C$3)-1,$G283,0))</f>
        <v/>
      </c>
      <c r="P283" s="62">
        <f>$M283-$O283</f>
        <v/>
      </c>
      <c r="Q283" s="62">
        <f>($L283-$M283)-($N283-$O283)</f>
        <v/>
      </c>
      <c r="R283" s="62">
        <f>$L283-$N283</f>
        <v/>
      </c>
    </row>
    <row r="284">
      <c r="A284" s="59">
        <f>ROW()-5</f>
        <v/>
      </c>
      <c r="B284" s="60">
        <f>IFERROR(INDEX(tbl_Finance[Date],$A284),"")</f>
        <v/>
      </c>
      <c r="C284" s="61">
        <f>IFERROR(INDEX(tbl_Finance[Xero Invoice No],$A284),"")</f>
        <v/>
      </c>
      <c r="D284" s="61">
        <f>IFERROR(INDEX(tbl_Finance[Client],$A284),"")</f>
        <v/>
      </c>
      <c r="E284" s="61">
        <f>IFERROR(INDEX(tbl_Finance[Job Number],$A284),"")</f>
        <v/>
      </c>
      <c r="F284" s="61">
        <f>IFERROR(INDEX(tbl_Finance[Cost Centre],$A284),"")</f>
        <v/>
      </c>
      <c r="G284" s="62">
        <f>IFERROR(INDEX(tbl_Finance[Ex GST],$A284),"")</f>
        <v/>
      </c>
      <c r="H284" s="60">
        <f>IFERROR(INDEX(tbl_Finance[Defer Start],$A284),"")</f>
        <v/>
      </c>
      <c r="I284" s="60">
        <f>IFERROR(INDEX(tbl_Finance[Defer End],$A284),"")</f>
        <v/>
      </c>
      <c r="J284" s="59">
        <f>IF(OR($H284="",$I284="",$G284=""),"",MAX(1,(YEAR($I284)-YEAR($H284))*12+MONTH($I284)-MONTH($H284)+1))</f>
        <v/>
      </c>
      <c r="K284" s="62">
        <f>IF($J284="","",$G284/$J284)</f>
        <v/>
      </c>
      <c r="L284" s="62">
        <f>IF($J284="",0,$K284*MAX(0,MIN(YEAR($C$3)*12+MONTH($C$3),YEAR($I284)*12+MONTH($I284))-(YEAR($H284)*12+MONTH($H284))+1))</f>
        <v/>
      </c>
      <c r="M284" s="62">
        <f>IF($J284="",0,$K284*MAX(0,MIN(YEAR($C$3)*12+MONTH($C$3)-1,YEAR($I284)*12+MONTH($I284))-(YEAR($H284)*12+MONTH($H284))+1))</f>
        <v/>
      </c>
      <c r="N284" s="62">
        <f>IF(OR($J284="",$B284=""),0,IF(YEAR($B284)*12+MONTH($B284)&lt;=YEAR($C$3)*12+MONTH($C$3),$G284,0))</f>
        <v/>
      </c>
      <c r="O284" s="62">
        <f>IF(OR($J284="",$B284=""),0,IF(YEAR($B284)*12+MONTH($B284)&lt;=YEAR($C$3)*12+MONTH($C$3)-1,$G284,0))</f>
        <v/>
      </c>
      <c r="P284" s="62">
        <f>$M284-$O284</f>
        <v/>
      </c>
      <c r="Q284" s="62">
        <f>($L284-$M284)-($N284-$O284)</f>
        <v/>
      </c>
      <c r="R284" s="62">
        <f>$L284-$N284</f>
        <v/>
      </c>
    </row>
    <row r="285">
      <c r="A285" s="59">
        <f>ROW()-5</f>
        <v/>
      </c>
      <c r="B285" s="60">
        <f>IFERROR(INDEX(tbl_Finance[Date],$A285),"")</f>
        <v/>
      </c>
      <c r="C285" s="61">
        <f>IFERROR(INDEX(tbl_Finance[Xero Invoice No],$A285),"")</f>
        <v/>
      </c>
      <c r="D285" s="61">
        <f>IFERROR(INDEX(tbl_Finance[Client],$A285),"")</f>
        <v/>
      </c>
      <c r="E285" s="61">
        <f>IFERROR(INDEX(tbl_Finance[Job Number],$A285),"")</f>
        <v/>
      </c>
      <c r="F285" s="61">
        <f>IFERROR(INDEX(tbl_Finance[Cost Centre],$A285),"")</f>
        <v/>
      </c>
      <c r="G285" s="62">
        <f>IFERROR(INDEX(tbl_Finance[Ex GST],$A285),"")</f>
        <v/>
      </c>
      <c r="H285" s="60">
        <f>IFERROR(INDEX(tbl_Finance[Defer Start],$A285),"")</f>
        <v/>
      </c>
      <c r="I285" s="60">
        <f>IFERROR(INDEX(tbl_Finance[Defer End],$A285),"")</f>
        <v/>
      </c>
      <c r="J285" s="59">
        <f>IF(OR($H285="",$I285="",$G285=""),"",MAX(1,(YEAR($I285)-YEAR($H285))*12+MONTH($I285)-MONTH($H285)+1))</f>
        <v/>
      </c>
      <c r="K285" s="62">
        <f>IF($J285="","",$G285/$J285)</f>
        <v/>
      </c>
      <c r="L285" s="62">
        <f>IF($J285="",0,$K285*MAX(0,MIN(YEAR($C$3)*12+MONTH($C$3),YEAR($I285)*12+MONTH($I285))-(YEAR($H285)*12+MONTH($H285))+1))</f>
        <v/>
      </c>
      <c r="M285" s="62">
        <f>IF($J285="",0,$K285*MAX(0,MIN(YEAR($C$3)*12+MONTH($C$3)-1,YEAR($I285)*12+MONTH($I285))-(YEAR($H285)*12+MONTH($H285))+1))</f>
        <v/>
      </c>
      <c r="N285" s="62">
        <f>IF(OR($J285="",$B285=""),0,IF(YEAR($B285)*12+MONTH($B285)&lt;=YEAR($C$3)*12+MONTH($C$3),$G285,0))</f>
        <v/>
      </c>
      <c r="O285" s="62">
        <f>IF(OR($J285="",$B285=""),0,IF(YEAR($B285)*12+MONTH($B285)&lt;=YEAR($C$3)*12+MONTH($C$3)-1,$G285,0))</f>
        <v/>
      </c>
      <c r="P285" s="62">
        <f>$M285-$O285</f>
        <v/>
      </c>
      <c r="Q285" s="62">
        <f>($L285-$M285)-($N285-$O285)</f>
        <v/>
      </c>
      <c r="R285" s="62">
        <f>$L285-$N285</f>
        <v/>
      </c>
    </row>
    <row r="286">
      <c r="A286" s="59">
        <f>ROW()-5</f>
        <v/>
      </c>
      <c r="B286" s="60">
        <f>IFERROR(INDEX(tbl_Finance[Date],$A286),"")</f>
        <v/>
      </c>
      <c r="C286" s="61">
        <f>IFERROR(INDEX(tbl_Finance[Xero Invoice No],$A286),"")</f>
        <v/>
      </c>
      <c r="D286" s="61">
        <f>IFERROR(INDEX(tbl_Finance[Client],$A286),"")</f>
        <v/>
      </c>
      <c r="E286" s="61">
        <f>IFERROR(INDEX(tbl_Finance[Job Number],$A286),"")</f>
        <v/>
      </c>
      <c r="F286" s="61">
        <f>IFERROR(INDEX(tbl_Finance[Cost Centre],$A286),"")</f>
        <v/>
      </c>
      <c r="G286" s="62">
        <f>IFERROR(INDEX(tbl_Finance[Ex GST],$A286),"")</f>
        <v/>
      </c>
      <c r="H286" s="60">
        <f>IFERROR(INDEX(tbl_Finance[Defer Start],$A286),"")</f>
        <v/>
      </c>
      <c r="I286" s="60">
        <f>IFERROR(INDEX(tbl_Finance[Defer End],$A286),"")</f>
        <v/>
      </c>
      <c r="J286" s="59">
        <f>IF(OR($H286="",$I286="",$G286=""),"",MAX(1,(YEAR($I286)-YEAR($H286))*12+MONTH($I286)-MONTH($H286)+1))</f>
        <v/>
      </c>
      <c r="K286" s="62">
        <f>IF($J286="","",$G286/$J286)</f>
        <v/>
      </c>
      <c r="L286" s="62">
        <f>IF($J286="",0,$K286*MAX(0,MIN(YEAR($C$3)*12+MONTH($C$3),YEAR($I286)*12+MONTH($I286))-(YEAR($H286)*12+MONTH($H286))+1))</f>
        <v/>
      </c>
      <c r="M286" s="62">
        <f>IF($J286="",0,$K286*MAX(0,MIN(YEAR($C$3)*12+MONTH($C$3)-1,YEAR($I286)*12+MONTH($I286))-(YEAR($H286)*12+MONTH($H286))+1))</f>
        <v/>
      </c>
      <c r="N286" s="62">
        <f>IF(OR($J286="",$B286=""),0,IF(YEAR($B286)*12+MONTH($B286)&lt;=YEAR($C$3)*12+MONTH($C$3),$G286,0))</f>
        <v/>
      </c>
      <c r="O286" s="62">
        <f>IF(OR($J286="",$B286=""),0,IF(YEAR($B286)*12+MONTH($B286)&lt;=YEAR($C$3)*12+MONTH($C$3)-1,$G286,0))</f>
        <v/>
      </c>
      <c r="P286" s="62">
        <f>$M286-$O286</f>
        <v/>
      </c>
      <c r="Q286" s="62">
        <f>($L286-$M286)-($N286-$O286)</f>
        <v/>
      </c>
      <c r="R286" s="62">
        <f>$L286-$N286</f>
        <v/>
      </c>
    </row>
    <row r="287">
      <c r="A287" s="59">
        <f>ROW()-5</f>
        <v/>
      </c>
      <c r="B287" s="60">
        <f>IFERROR(INDEX(tbl_Finance[Date],$A287),"")</f>
        <v/>
      </c>
      <c r="C287" s="61">
        <f>IFERROR(INDEX(tbl_Finance[Xero Invoice No],$A287),"")</f>
        <v/>
      </c>
      <c r="D287" s="61">
        <f>IFERROR(INDEX(tbl_Finance[Client],$A287),"")</f>
        <v/>
      </c>
      <c r="E287" s="61">
        <f>IFERROR(INDEX(tbl_Finance[Job Number],$A287),"")</f>
        <v/>
      </c>
      <c r="F287" s="61">
        <f>IFERROR(INDEX(tbl_Finance[Cost Centre],$A287),"")</f>
        <v/>
      </c>
      <c r="G287" s="62">
        <f>IFERROR(INDEX(tbl_Finance[Ex GST],$A287),"")</f>
        <v/>
      </c>
      <c r="H287" s="60">
        <f>IFERROR(INDEX(tbl_Finance[Defer Start],$A287),"")</f>
        <v/>
      </c>
      <c r="I287" s="60">
        <f>IFERROR(INDEX(tbl_Finance[Defer End],$A287),"")</f>
        <v/>
      </c>
      <c r="J287" s="59">
        <f>IF(OR($H287="",$I287="",$G287=""),"",MAX(1,(YEAR($I287)-YEAR($H287))*12+MONTH($I287)-MONTH($H287)+1))</f>
        <v/>
      </c>
      <c r="K287" s="62">
        <f>IF($J287="","",$G287/$J287)</f>
        <v/>
      </c>
      <c r="L287" s="62">
        <f>IF($J287="",0,$K287*MAX(0,MIN(YEAR($C$3)*12+MONTH($C$3),YEAR($I287)*12+MONTH($I287))-(YEAR($H287)*12+MONTH($H287))+1))</f>
        <v/>
      </c>
      <c r="M287" s="62">
        <f>IF($J287="",0,$K287*MAX(0,MIN(YEAR($C$3)*12+MONTH($C$3)-1,YEAR($I287)*12+MONTH($I287))-(YEAR($H287)*12+MONTH($H287))+1))</f>
        <v/>
      </c>
      <c r="N287" s="62">
        <f>IF(OR($J287="",$B287=""),0,IF(YEAR($B287)*12+MONTH($B287)&lt;=YEAR($C$3)*12+MONTH($C$3),$G287,0))</f>
        <v/>
      </c>
      <c r="O287" s="62">
        <f>IF(OR($J287="",$B287=""),0,IF(YEAR($B287)*12+MONTH($B287)&lt;=YEAR($C$3)*12+MONTH($C$3)-1,$G287,0))</f>
        <v/>
      </c>
      <c r="P287" s="62">
        <f>$M287-$O287</f>
        <v/>
      </c>
      <c r="Q287" s="62">
        <f>($L287-$M287)-($N287-$O287)</f>
        <v/>
      </c>
      <c r="R287" s="62">
        <f>$L287-$N287</f>
        <v/>
      </c>
    </row>
    <row r="288">
      <c r="A288" s="59">
        <f>ROW()-5</f>
        <v/>
      </c>
      <c r="B288" s="60">
        <f>IFERROR(INDEX(tbl_Finance[Date],$A288),"")</f>
        <v/>
      </c>
      <c r="C288" s="61">
        <f>IFERROR(INDEX(tbl_Finance[Xero Invoice No],$A288),"")</f>
        <v/>
      </c>
      <c r="D288" s="61">
        <f>IFERROR(INDEX(tbl_Finance[Client],$A288),"")</f>
        <v/>
      </c>
      <c r="E288" s="61">
        <f>IFERROR(INDEX(tbl_Finance[Job Number],$A288),"")</f>
        <v/>
      </c>
      <c r="F288" s="61">
        <f>IFERROR(INDEX(tbl_Finance[Cost Centre],$A288),"")</f>
        <v/>
      </c>
      <c r="G288" s="62">
        <f>IFERROR(INDEX(tbl_Finance[Ex GST],$A288),"")</f>
        <v/>
      </c>
      <c r="H288" s="60">
        <f>IFERROR(INDEX(tbl_Finance[Defer Start],$A288),"")</f>
        <v/>
      </c>
      <c r="I288" s="60">
        <f>IFERROR(INDEX(tbl_Finance[Defer End],$A288),"")</f>
        <v/>
      </c>
      <c r="J288" s="59">
        <f>IF(OR($H288="",$I288="",$G288=""),"",MAX(1,(YEAR($I288)-YEAR($H288))*12+MONTH($I288)-MONTH($H288)+1))</f>
        <v/>
      </c>
      <c r="K288" s="62">
        <f>IF($J288="","",$G288/$J288)</f>
        <v/>
      </c>
      <c r="L288" s="62">
        <f>IF($J288="",0,$K288*MAX(0,MIN(YEAR($C$3)*12+MONTH($C$3),YEAR($I288)*12+MONTH($I288))-(YEAR($H288)*12+MONTH($H288))+1))</f>
        <v/>
      </c>
      <c r="M288" s="62">
        <f>IF($J288="",0,$K288*MAX(0,MIN(YEAR($C$3)*12+MONTH($C$3)-1,YEAR($I288)*12+MONTH($I288))-(YEAR($H288)*12+MONTH($H288))+1))</f>
        <v/>
      </c>
      <c r="N288" s="62">
        <f>IF(OR($J288="",$B288=""),0,IF(YEAR($B288)*12+MONTH($B288)&lt;=YEAR($C$3)*12+MONTH($C$3),$G288,0))</f>
        <v/>
      </c>
      <c r="O288" s="62">
        <f>IF(OR($J288="",$B288=""),0,IF(YEAR($B288)*12+MONTH($B288)&lt;=YEAR($C$3)*12+MONTH($C$3)-1,$G288,0))</f>
        <v/>
      </c>
      <c r="P288" s="62">
        <f>$M288-$O288</f>
        <v/>
      </c>
      <c r="Q288" s="62">
        <f>($L288-$M288)-($N288-$O288)</f>
        <v/>
      </c>
      <c r="R288" s="62">
        <f>$L288-$N288</f>
        <v/>
      </c>
    </row>
    <row r="289">
      <c r="A289" s="59">
        <f>ROW()-5</f>
        <v/>
      </c>
      <c r="B289" s="60">
        <f>IFERROR(INDEX(tbl_Finance[Date],$A289),"")</f>
        <v/>
      </c>
      <c r="C289" s="61">
        <f>IFERROR(INDEX(tbl_Finance[Xero Invoice No],$A289),"")</f>
        <v/>
      </c>
      <c r="D289" s="61">
        <f>IFERROR(INDEX(tbl_Finance[Client],$A289),"")</f>
        <v/>
      </c>
      <c r="E289" s="61">
        <f>IFERROR(INDEX(tbl_Finance[Job Number],$A289),"")</f>
        <v/>
      </c>
      <c r="F289" s="61">
        <f>IFERROR(INDEX(tbl_Finance[Cost Centre],$A289),"")</f>
        <v/>
      </c>
      <c r="G289" s="62">
        <f>IFERROR(INDEX(tbl_Finance[Ex GST],$A289),"")</f>
        <v/>
      </c>
      <c r="H289" s="60">
        <f>IFERROR(INDEX(tbl_Finance[Defer Start],$A289),"")</f>
        <v/>
      </c>
      <c r="I289" s="60">
        <f>IFERROR(INDEX(tbl_Finance[Defer End],$A289),"")</f>
        <v/>
      </c>
      <c r="J289" s="59">
        <f>IF(OR($H289="",$I289="",$G289=""),"",MAX(1,(YEAR($I289)-YEAR($H289))*12+MONTH($I289)-MONTH($H289)+1))</f>
        <v/>
      </c>
      <c r="K289" s="62">
        <f>IF($J289="","",$G289/$J289)</f>
        <v/>
      </c>
      <c r="L289" s="62">
        <f>IF($J289="",0,$K289*MAX(0,MIN(YEAR($C$3)*12+MONTH($C$3),YEAR($I289)*12+MONTH($I289))-(YEAR($H289)*12+MONTH($H289))+1))</f>
        <v/>
      </c>
      <c r="M289" s="62">
        <f>IF($J289="",0,$K289*MAX(0,MIN(YEAR($C$3)*12+MONTH($C$3)-1,YEAR($I289)*12+MONTH($I289))-(YEAR($H289)*12+MONTH($H289))+1))</f>
        <v/>
      </c>
      <c r="N289" s="62">
        <f>IF(OR($J289="",$B289=""),0,IF(YEAR($B289)*12+MONTH($B289)&lt;=YEAR($C$3)*12+MONTH($C$3),$G289,0))</f>
        <v/>
      </c>
      <c r="O289" s="62">
        <f>IF(OR($J289="",$B289=""),0,IF(YEAR($B289)*12+MONTH($B289)&lt;=YEAR($C$3)*12+MONTH($C$3)-1,$G289,0))</f>
        <v/>
      </c>
      <c r="P289" s="62">
        <f>$M289-$O289</f>
        <v/>
      </c>
      <c r="Q289" s="62">
        <f>($L289-$M289)-($N289-$O289)</f>
        <v/>
      </c>
      <c r="R289" s="62">
        <f>$L289-$N289</f>
        <v/>
      </c>
    </row>
    <row r="290">
      <c r="A290" s="59">
        <f>ROW()-5</f>
        <v/>
      </c>
      <c r="B290" s="60">
        <f>IFERROR(INDEX(tbl_Finance[Date],$A290),"")</f>
        <v/>
      </c>
      <c r="C290" s="61">
        <f>IFERROR(INDEX(tbl_Finance[Xero Invoice No],$A290),"")</f>
        <v/>
      </c>
      <c r="D290" s="61">
        <f>IFERROR(INDEX(tbl_Finance[Client],$A290),"")</f>
        <v/>
      </c>
      <c r="E290" s="61">
        <f>IFERROR(INDEX(tbl_Finance[Job Number],$A290),"")</f>
        <v/>
      </c>
      <c r="F290" s="61">
        <f>IFERROR(INDEX(tbl_Finance[Cost Centre],$A290),"")</f>
        <v/>
      </c>
      <c r="G290" s="62">
        <f>IFERROR(INDEX(tbl_Finance[Ex GST],$A290),"")</f>
        <v/>
      </c>
      <c r="H290" s="60">
        <f>IFERROR(INDEX(tbl_Finance[Defer Start],$A290),"")</f>
        <v/>
      </c>
      <c r="I290" s="60">
        <f>IFERROR(INDEX(tbl_Finance[Defer End],$A290),"")</f>
        <v/>
      </c>
      <c r="J290" s="59">
        <f>IF(OR($H290="",$I290="",$G290=""),"",MAX(1,(YEAR($I290)-YEAR($H290))*12+MONTH($I290)-MONTH($H290)+1))</f>
        <v/>
      </c>
      <c r="K290" s="62">
        <f>IF($J290="","",$G290/$J290)</f>
        <v/>
      </c>
      <c r="L290" s="62">
        <f>IF($J290="",0,$K290*MAX(0,MIN(YEAR($C$3)*12+MONTH($C$3),YEAR($I290)*12+MONTH($I290))-(YEAR($H290)*12+MONTH($H290))+1))</f>
        <v/>
      </c>
      <c r="M290" s="62">
        <f>IF($J290="",0,$K290*MAX(0,MIN(YEAR($C$3)*12+MONTH($C$3)-1,YEAR($I290)*12+MONTH($I290))-(YEAR($H290)*12+MONTH($H290))+1))</f>
        <v/>
      </c>
      <c r="N290" s="62">
        <f>IF(OR($J290="",$B290=""),0,IF(YEAR($B290)*12+MONTH($B290)&lt;=YEAR($C$3)*12+MONTH($C$3),$G290,0))</f>
        <v/>
      </c>
      <c r="O290" s="62">
        <f>IF(OR($J290="",$B290=""),0,IF(YEAR($B290)*12+MONTH($B290)&lt;=YEAR($C$3)*12+MONTH($C$3)-1,$G290,0))</f>
        <v/>
      </c>
      <c r="P290" s="62">
        <f>$M290-$O290</f>
        <v/>
      </c>
      <c r="Q290" s="62">
        <f>($L290-$M290)-($N290-$O290)</f>
        <v/>
      </c>
      <c r="R290" s="62">
        <f>$L290-$N290</f>
        <v/>
      </c>
    </row>
    <row r="291">
      <c r="A291" s="59">
        <f>ROW()-5</f>
        <v/>
      </c>
      <c r="B291" s="60">
        <f>IFERROR(INDEX(tbl_Finance[Date],$A291),"")</f>
        <v/>
      </c>
      <c r="C291" s="61">
        <f>IFERROR(INDEX(tbl_Finance[Xero Invoice No],$A291),"")</f>
        <v/>
      </c>
      <c r="D291" s="61">
        <f>IFERROR(INDEX(tbl_Finance[Client],$A291),"")</f>
        <v/>
      </c>
      <c r="E291" s="61">
        <f>IFERROR(INDEX(tbl_Finance[Job Number],$A291),"")</f>
        <v/>
      </c>
      <c r="F291" s="61">
        <f>IFERROR(INDEX(tbl_Finance[Cost Centre],$A291),"")</f>
        <v/>
      </c>
      <c r="G291" s="62">
        <f>IFERROR(INDEX(tbl_Finance[Ex GST],$A291),"")</f>
        <v/>
      </c>
      <c r="H291" s="60">
        <f>IFERROR(INDEX(tbl_Finance[Defer Start],$A291),"")</f>
        <v/>
      </c>
      <c r="I291" s="60">
        <f>IFERROR(INDEX(tbl_Finance[Defer End],$A291),"")</f>
        <v/>
      </c>
      <c r="J291" s="59">
        <f>IF(OR($H291="",$I291="",$G291=""),"",MAX(1,(YEAR($I291)-YEAR($H291))*12+MONTH($I291)-MONTH($H291)+1))</f>
        <v/>
      </c>
      <c r="K291" s="62">
        <f>IF($J291="","",$G291/$J291)</f>
        <v/>
      </c>
      <c r="L291" s="62">
        <f>IF($J291="",0,$K291*MAX(0,MIN(YEAR($C$3)*12+MONTH($C$3),YEAR($I291)*12+MONTH($I291))-(YEAR($H291)*12+MONTH($H291))+1))</f>
        <v/>
      </c>
      <c r="M291" s="62">
        <f>IF($J291="",0,$K291*MAX(0,MIN(YEAR($C$3)*12+MONTH($C$3)-1,YEAR($I291)*12+MONTH($I291))-(YEAR($H291)*12+MONTH($H291))+1))</f>
        <v/>
      </c>
      <c r="N291" s="62">
        <f>IF(OR($J291="",$B291=""),0,IF(YEAR($B291)*12+MONTH($B291)&lt;=YEAR($C$3)*12+MONTH($C$3),$G291,0))</f>
        <v/>
      </c>
      <c r="O291" s="62">
        <f>IF(OR($J291="",$B291=""),0,IF(YEAR($B291)*12+MONTH($B291)&lt;=YEAR($C$3)*12+MONTH($C$3)-1,$G291,0))</f>
        <v/>
      </c>
      <c r="P291" s="62">
        <f>$M291-$O291</f>
        <v/>
      </c>
      <c r="Q291" s="62">
        <f>($L291-$M291)-($N291-$O291)</f>
        <v/>
      </c>
      <c r="R291" s="62">
        <f>$L291-$N291</f>
        <v/>
      </c>
    </row>
    <row r="292">
      <c r="A292" s="59">
        <f>ROW()-5</f>
        <v/>
      </c>
      <c r="B292" s="60">
        <f>IFERROR(INDEX(tbl_Finance[Date],$A292),"")</f>
        <v/>
      </c>
      <c r="C292" s="61">
        <f>IFERROR(INDEX(tbl_Finance[Xero Invoice No],$A292),"")</f>
        <v/>
      </c>
      <c r="D292" s="61">
        <f>IFERROR(INDEX(tbl_Finance[Client],$A292),"")</f>
        <v/>
      </c>
      <c r="E292" s="61">
        <f>IFERROR(INDEX(tbl_Finance[Job Number],$A292),"")</f>
        <v/>
      </c>
      <c r="F292" s="61">
        <f>IFERROR(INDEX(tbl_Finance[Cost Centre],$A292),"")</f>
        <v/>
      </c>
      <c r="G292" s="62">
        <f>IFERROR(INDEX(tbl_Finance[Ex GST],$A292),"")</f>
        <v/>
      </c>
      <c r="H292" s="60">
        <f>IFERROR(INDEX(tbl_Finance[Defer Start],$A292),"")</f>
        <v/>
      </c>
      <c r="I292" s="60">
        <f>IFERROR(INDEX(tbl_Finance[Defer End],$A292),"")</f>
        <v/>
      </c>
      <c r="J292" s="59">
        <f>IF(OR($H292="",$I292="",$G292=""),"",MAX(1,(YEAR($I292)-YEAR($H292))*12+MONTH($I292)-MONTH($H292)+1))</f>
        <v/>
      </c>
      <c r="K292" s="62">
        <f>IF($J292="","",$G292/$J292)</f>
        <v/>
      </c>
      <c r="L292" s="62">
        <f>IF($J292="",0,$K292*MAX(0,MIN(YEAR($C$3)*12+MONTH($C$3),YEAR($I292)*12+MONTH($I292))-(YEAR($H292)*12+MONTH($H292))+1))</f>
        <v/>
      </c>
      <c r="M292" s="62">
        <f>IF($J292="",0,$K292*MAX(0,MIN(YEAR($C$3)*12+MONTH($C$3)-1,YEAR($I292)*12+MONTH($I292))-(YEAR($H292)*12+MONTH($H292))+1))</f>
        <v/>
      </c>
      <c r="N292" s="62">
        <f>IF(OR($J292="",$B292=""),0,IF(YEAR($B292)*12+MONTH($B292)&lt;=YEAR($C$3)*12+MONTH($C$3),$G292,0))</f>
        <v/>
      </c>
      <c r="O292" s="62">
        <f>IF(OR($J292="",$B292=""),0,IF(YEAR($B292)*12+MONTH($B292)&lt;=YEAR($C$3)*12+MONTH($C$3)-1,$G292,0))</f>
        <v/>
      </c>
      <c r="P292" s="62">
        <f>$M292-$O292</f>
        <v/>
      </c>
      <c r="Q292" s="62">
        <f>($L292-$M292)-($N292-$O292)</f>
        <v/>
      </c>
      <c r="R292" s="62">
        <f>$L292-$N292</f>
        <v/>
      </c>
    </row>
    <row r="293">
      <c r="A293" s="59">
        <f>ROW()-5</f>
        <v/>
      </c>
      <c r="B293" s="60">
        <f>IFERROR(INDEX(tbl_Finance[Date],$A293),"")</f>
        <v/>
      </c>
      <c r="C293" s="61">
        <f>IFERROR(INDEX(tbl_Finance[Xero Invoice No],$A293),"")</f>
        <v/>
      </c>
      <c r="D293" s="61">
        <f>IFERROR(INDEX(tbl_Finance[Client],$A293),"")</f>
        <v/>
      </c>
      <c r="E293" s="61">
        <f>IFERROR(INDEX(tbl_Finance[Job Number],$A293),"")</f>
        <v/>
      </c>
      <c r="F293" s="61">
        <f>IFERROR(INDEX(tbl_Finance[Cost Centre],$A293),"")</f>
        <v/>
      </c>
      <c r="G293" s="62">
        <f>IFERROR(INDEX(tbl_Finance[Ex GST],$A293),"")</f>
        <v/>
      </c>
      <c r="H293" s="60">
        <f>IFERROR(INDEX(tbl_Finance[Defer Start],$A293),"")</f>
        <v/>
      </c>
      <c r="I293" s="60">
        <f>IFERROR(INDEX(tbl_Finance[Defer End],$A293),"")</f>
        <v/>
      </c>
      <c r="J293" s="59">
        <f>IF(OR($H293="",$I293="",$G293=""),"",MAX(1,(YEAR($I293)-YEAR($H293))*12+MONTH($I293)-MONTH($H293)+1))</f>
        <v/>
      </c>
      <c r="K293" s="62">
        <f>IF($J293="","",$G293/$J293)</f>
        <v/>
      </c>
      <c r="L293" s="62">
        <f>IF($J293="",0,$K293*MAX(0,MIN(YEAR($C$3)*12+MONTH($C$3),YEAR($I293)*12+MONTH($I293))-(YEAR($H293)*12+MONTH($H293))+1))</f>
        <v/>
      </c>
      <c r="M293" s="62">
        <f>IF($J293="",0,$K293*MAX(0,MIN(YEAR($C$3)*12+MONTH($C$3)-1,YEAR($I293)*12+MONTH($I293))-(YEAR($H293)*12+MONTH($H293))+1))</f>
        <v/>
      </c>
      <c r="N293" s="62">
        <f>IF(OR($J293="",$B293=""),0,IF(YEAR($B293)*12+MONTH($B293)&lt;=YEAR($C$3)*12+MONTH($C$3),$G293,0))</f>
        <v/>
      </c>
      <c r="O293" s="62">
        <f>IF(OR($J293="",$B293=""),0,IF(YEAR($B293)*12+MONTH($B293)&lt;=YEAR($C$3)*12+MONTH($C$3)-1,$G293,0))</f>
        <v/>
      </c>
      <c r="P293" s="62">
        <f>$M293-$O293</f>
        <v/>
      </c>
      <c r="Q293" s="62">
        <f>($L293-$M293)-($N293-$O293)</f>
        <v/>
      </c>
      <c r="R293" s="62">
        <f>$L293-$N293</f>
        <v/>
      </c>
    </row>
    <row r="294">
      <c r="A294" s="59">
        <f>ROW()-5</f>
        <v/>
      </c>
      <c r="B294" s="60">
        <f>IFERROR(INDEX(tbl_Finance[Date],$A294),"")</f>
        <v/>
      </c>
      <c r="C294" s="61">
        <f>IFERROR(INDEX(tbl_Finance[Xero Invoice No],$A294),"")</f>
        <v/>
      </c>
      <c r="D294" s="61">
        <f>IFERROR(INDEX(tbl_Finance[Client],$A294),"")</f>
        <v/>
      </c>
      <c r="E294" s="61">
        <f>IFERROR(INDEX(tbl_Finance[Job Number],$A294),"")</f>
        <v/>
      </c>
      <c r="F294" s="61">
        <f>IFERROR(INDEX(tbl_Finance[Cost Centre],$A294),"")</f>
        <v/>
      </c>
      <c r="G294" s="62">
        <f>IFERROR(INDEX(tbl_Finance[Ex GST],$A294),"")</f>
        <v/>
      </c>
      <c r="H294" s="60">
        <f>IFERROR(INDEX(tbl_Finance[Defer Start],$A294),"")</f>
        <v/>
      </c>
      <c r="I294" s="60">
        <f>IFERROR(INDEX(tbl_Finance[Defer End],$A294),"")</f>
        <v/>
      </c>
      <c r="J294" s="59">
        <f>IF(OR($H294="",$I294="",$G294=""),"",MAX(1,(YEAR($I294)-YEAR($H294))*12+MONTH($I294)-MONTH($H294)+1))</f>
        <v/>
      </c>
      <c r="K294" s="62">
        <f>IF($J294="","",$G294/$J294)</f>
        <v/>
      </c>
      <c r="L294" s="62">
        <f>IF($J294="",0,$K294*MAX(0,MIN(YEAR($C$3)*12+MONTH($C$3),YEAR($I294)*12+MONTH($I294))-(YEAR($H294)*12+MONTH($H294))+1))</f>
        <v/>
      </c>
      <c r="M294" s="62">
        <f>IF($J294="",0,$K294*MAX(0,MIN(YEAR($C$3)*12+MONTH($C$3)-1,YEAR($I294)*12+MONTH($I294))-(YEAR($H294)*12+MONTH($H294))+1))</f>
        <v/>
      </c>
      <c r="N294" s="62">
        <f>IF(OR($J294="",$B294=""),0,IF(YEAR($B294)*12+MONTH($B294)&lt;=YEAR($C$3)*12+MONTH($C$3),$G294,0))</f>
        <v/>
      </c>
      <c r="O294" s="62">
        <f>IF(OR($J294="",$B294=""),0,IF(YEAR($B294)*12+MONTH($B294)&lt;=YEAR($C$3)*12+MONTH($C$3)-1,$G294,0))</f>
        <v/>
      </c>
      <c r="P294" s="62">
        <f>$M294-$O294</f>
        <v/>
      </c>
      <c r="Q294" s="62">
        <f>($L294-$M294)-($N294-$O294)</f>
        <v/>
      </c>
      <c r="R294" s="62">
        <f>$L294-$N294</f>
        <v/>
      </c>
    </row>
    <row r="295">
      <c r="A295" s="59">
        <f>ROW()-5</f>
        <v/>
      </c>
      <c r="B295" s="60">
        <f>IFERROR(INDEX(tbl_Finance[Date],$A295),"")</f>
        <v/>
      </c>
      <c r="C295" s="61">
        <f>IFERROR(INDEX(tbl_Finance[Xero Invoice No],$A295),"")</f>
        <v/>
      </c>
      <c r="D295" s="61">
        <f>IFERROR(INDEX(tbl_Finance[Client],$A295),"")</f>
        <v/>
      </c>
      <c r="E295" s="61">
        <f>IFERROR(INDEX(tbl_Finance[Job Number],$A295),"")</f>
        <v/>
      </c>
      <c r="F295" s="61">
        <f>IFERROR(INDEX(tbl_Finance[Cost Centre],$A295),"")</f>
        <v/>
      </c>
      <c r="G295" s="62">
        <f>IFERROR(INDEX(tbl_Finance[Ex GST],$A295),"")</f>
        <v/>
      </c>
      <c r="H295" s="60">
        <f>IFERROR(INDEX(tbl_Finance[Defer Start],$A295),"")</f>
        <v/>
      </c>
      <c r="I295" s="60">
        <f>IFERROR(INDEX(tbl_Finance[Defer End],$A295),"")</f>
        <v/>
      </c>
      <c r="J295" s="59">
        <f>IF(OR($H295="",$I295="",$G295=""),"",MAX(1,(YEAR($I295)-YEAR($H295))*12+MONTH($I295)-MONTH($H295)+1))</f>
        <v/>
      </c>
      <c r="K295" s="62">
        <f>IF($J295="","",$G295/$J295)</f>
        <v/>
      </c>
      <c r="L295" s="62">
        <f>IF($J295="",0,$K295*MAX(0,MIN(YEAR($C$3)*12+MONTH($C$3),YEAR($I295)*12+MONTH($I295))-(YEAR($H295)*12+MONTH($H295))+1))</f>
        <v/>
      </c>
      <c r="M295" s="62">
        <f>IF($J295="",0,$K295*MAX(0,MIN(YEAR($C$3)*12+MONTH($C$3)-1,YEAR($I295)*12+MONTH($I295))-(YEAR($H295)*12+MONTH($H295))+1))</f>
        <v/>
      </c>
      <c r="N295" s="62">
        <f>IF(OR($J295="",$B295=""),0,IF(YEAR($B295)*12+MONTH($B295)&lt;=YEAR($C$3)*12+MONTH($C$3),$G295,0))</f>
        <v/>
      </c>
      <c r="O295" s="62">
        <f>IF(OR($J295="",$B295=""),0,IF(YEAR($B295)*12+MONTH($B295)&lt;=YEAR($C$3)*12+MONTH($C$3)-1,$G295,0))</f>
        <v/>
      </c>
      <c r="P295" s="62">
        <f>$M295-$O295</f>
        <v/>
      </c>
      <c r="Q295" s="62">
        <f>($L295-$M295)-($N295-$O295)</f>
        <v/>
      </c>
      <c r="R295" s="62">
        <f>$L295-$N295</f>
        <v/>
      </c>
    </row>
    <row r="296">
      <c r="A296" s="59">
        <f>ROW()-5</f>
        <v/>
      </c>
      <c r="B296" s="60">
        <f>IFERROR(INDEX(tbl_Finance[Date],$A296),"")</f>
        <v/>
      </c>
      <c r="C296" s="61">
        <f>IFERROR(INDEX(tbl_Finance[Xero Invoice No],$A296),"")</f>
        <v/>
      </c>
      <c r="D296" s="61">
        <f>IFERROR(INDEX(tbl_Finance[Client],$A296),"")</f>
        <v/>
      </c>
      <c r="E296" s="61">
        <f>IFERROR(INDEX(tbl_Finance[Job Number],$A296),"")</f>
        <v/>
      </c>
      <c r="F296" s="61">
        <f>IFERROR(INDEX(tbl_Finance[Cost Centre],$A296),"")</f>
        <v/>
      </c>
      <c r="G296" s="62">
        <f>IFERROR(INDEX(tbl_Finance[Ex GST],$A296),"")</f>
        <v/>
      </c>
      <c r="H296" s="60">
        <f>IFERROR(INDEX(tbl_Finance[Defer Start],$A296),"")</f>
        <v/>
      </c>
      <c r="I296" s="60">
        <f>IFERROR(INDEX(tbl_Finance[Defer End],$A296),"")</f>
        <v/>
      </c>
      <c r="J296" s="59">
        <f>IF(OR($H296="",$I296="",$G296=""),"",MAX(1,(YEAR($I296)-YEAR($H296))*12+MONTH($I296)-MONTH($H296)+1))</f>
        <v/>
      </c>
      <c r="K296" s="62">
        <f>IF($J296="","",$G296/$J296)</f>
        <v/>
      </c>
      <c r="L296" s="62">
        <f>IF($J296="",0,$K296*MAX(0,MIN(YEAR($C$3)*12+MONTH($C$3),YEAR($I296)*12+MONTH($I296))-(YEAR($H296)*12+MONTH($H296))+1))</f>
        <v/>
      </c>
      <c r="M296" s="62">
        <f>IF($J296="",0,$K296*MAX(0,MIN(YEAR($C$3)*12+MONTH($C$3)-1,YEAR($I296)*12+MONTH($I296))-(YEAR($H296)*12+MONTH($H296))+1))</f>
        <v/>
      </c>
      <c r="N296" s="62">
        <f>IF(OR($J296="",$B296=""),0,IF(YEAR($B296)*12+MONTH($B296)&lt;=YEAR($C$3)*12+MONTH($C$3),$G296,0))</f>
        <v/>
      </c>
      <c r="O296" s="62">
        <f>IF(OR($J296="",$B296=""),0,IF(YEAR($B296)*12+MONTH($B296)&lt;=YEAR($C$3)*12+MONTH($C$3)-1,$G296,0))</f>
        <v/>
      </c>
      <c r="P296" s="62">
        <f>$M296-$O296</f>
        <v/>
      </c>
      <c r="Q296" s="62">
        <f>($L296-$M296)-($N296-$O296)</f>
        <v/>
      </c>
      <c r="R296" s="62">
        <f>$L296-$N296</f>
        <v/>
      </c>
    </row>
    <row r="297">
      <c r="A297" s="59">
        <f>ROW()-5</f>
        <v/>
      </c>
      <c r="B297" s="60">
        <f>IFERROR(INDEX(tbl_Finance[Date],$A297),"")</f>
        <v/>
      </c>
      <c r="C297" s="61">
        <f>IFERROR(INDEX(tbl_Finance[Xero Invoice No],$A297),"")</f>
        <v/>
      </c>
      <c r="D297" s="61">
        <f>IFERROR(INDEX(tbl_Finance[Client],$A297),"")</f>
        <v/>
      </c>
      <c r="E297" s="61">
        <f>IFERROR(INDEX(tbl_Finance[Job Number],$A297),"")</f>
        <v/>
      </c>
      <c r="F297" s="61">
        <f>IFERROR(INDEX(tbl_Finance[Cost Centre],$A297),"")</f>
        <v/>
      </c>
      <c r="G297" s="62">
        <f>IFERROR(INDEX(tbl_Finance[Ex GST],$A297),"")</f>
        <v/>
      </c>
      <c r="H297" s="60">
        <f>IFERROR(INDEX(tbl_Finance[Defer Start],$A297),"")</f>
        <v/>
      </c>
      <c r="I297" s="60">
        <f>IFERROR(INDEX(tbl_Finance[Defer End],$A297),"")</f>
        <v/>
      </c>
      <c r="J297" s="59">
        <f>IF(OR($H297="",$I297="",$G297=""),"",MAX(1,(YEAR($I297)-YEAR($H297))*12+MONTH($I297)-MONTH($H297)+1))</f>
        <v/>
      </c>
      <c r="K297" s="62">
        <f>IF($J297="","",$G297/$J297)</f>
        <v/>
      </c>
      <c r="L297" s="62">
        <f>IF($J297="",0,$K297*MAX(0,MIN(YEAR($C$3)*12+MONTH($C$3),YEAR($I297)*12+MONTH($I297))-(YEAR($H297)*12+MONTH($H297))+1))</f>
        <v/>
      </c>
      <c r="M297" s="62">
        <f>IF($J297="",0,$K297*MAX(0,MIN(YEAR($C$3)*12+MONTH($C$3)-1,YEAR($I297)*12+MONTH($I297))-(YEAR($H297)*12+MONTH($H297))+1))</f>
        <v/>
      </c>
      <c r="N297" s="62">
        <f>IF(OR($J297="",$B297=""),0,IF(YEAR($B297)*12+MONTH($B297)&lt;=YEAR($C$3)*12+MONTH($C$3),$G297,0))</f>
        <v/>
      </c>
      <c r="O297" s="62">
        <f>IF(OR($J297="",$B297=""),0,IF(YEAR($B297)*12+MONTH($B297)&lt;=YEAR($C$3)*12+MONTH($C$3)-1,$G297,0))</f>
        <v/>
      </c>
      <c r="P297" s="62">
        <f>$M297-$O297</f>
        <v/>
      </c>
      <c r="Q297" s="62">
        <f>($L297-$M297)-($N297-$O297)</f>
        <v/>
      </c>
      <c r="R297" s="62">
        <f>$L297-$N297</f>
        <v/>
      </c>
    </row>
    <row r="298">
      <c r="A298" s="59">
        <f>ROW()-5</f>
        <v/>
      </c>
      <c r="B298" s="60">
        <f>IFERROR(INDEX(tbl_Finance[Date],$A298),"")</f>
        <v/>
      </c>
      <c r="C298" s="61">
        <f>IFERROR(INDEX(tbl_Finance[Xero Invoice No],$A298),"")</f>
        <v/>
      </c>
      <c r="D298" s="61">
        <f>IFERROR(INDEX(tbl_Finance[Client],$A298),"")</f>
        <v/>
      </c>
      <c r="E298" s="61">
        <f>IFERROR(INDEX(tbl_Finance[Job Number],$A298),"")</f>
        <v/>
      </c>
      <c r="F298" s="61">
        <f>IFERROR(INDEX(tbl_Finance[Cost Centre],$A298),"")</f>
        <v/>
      </c>
      <c r="G298" s="62">
        <f>IFERROR(INDEX(tbl_Finance[Ex GST],$A298),"")</f>
        <v/>
      </c>
      <c r="H298" s="60">
        <f>IFERROR(INDEX(tbl_Finance[Defer Start],$A298),"")</f>
        <v/>
      </c>
      <c r="I298" s="60">
        <f>IFERROR(INDEX(tbl_Finance[Defer End],$A298),"")</f>
        <v/>
      </c>
      <c r="J298" s="59">
        <f>IF(OR($H298="",$I298="",$G298=""),"",MAX(1,(YEAR($I298)-YEAR($H298))*12+MONTH($I298)-MONTH($H298)+1))</f>
        <v/>
      </c>
      <c r="K298" s="62">
        <f>IF($J298="","",$G298/$J298)</f>
        <v/>
      </c>
      <c r="L298" s="62">
        <f>IF($J298="",0,$K298*MAX(0,MIN(YEAR($C$3)*12+MONTH($C$3),YEAR($I298)*12+MONTH($I298))-(YEAR($H298)*12+MONTH($H298))+1))</f>
        <v/>
      </c>
      <c r="M298" s="62">
        <f>IF($J298="",0,$K298*MAX(0,MIN(YEAR($C$3)*12+MONTH($C$3)-1,YEAR($I298)*12+MONTH($I298))-(YEAR($H298)*12+MONTH($H298))+1))</f>
        <v/>
      </c>
      <c r="N298" s="62">
        <f>IF(OR($J298="",$B298=""),0,IF(YEAR($B298)*12+MONTH($B298)&lt;=YEAR($C$3)*12+MONTH($C$3),$G298,0))</f>
        <v/>
      </c>
      <c r="O298" s="62">
        <f>IF(OR($J298="",$B298=""),0,IF(YEAR($B298)*12+MONTH($B298)&lt;=YEAR($C$3)*12+MONTH($C$3)-1,$G298,0))</f>
        <v/>
      </c>
      <c r="P298" s="62">
        <f>$M298-$O298</f>
        <v/>
      </c>
      <c r="Q298" s="62">
        <f>($L298-$M298)-($N298-$O298)</f>
        <v/>
      </c>
      <c r="R298" s="62">
        <f>$L298-$N298</f>
        <v/>
      </c>
    </row>
    <row r="299">
      <c r="A299" s="59">
        <f>ROW()-5</f>
        <v/>
      </c>
      <c r="B299" s="60">
        <f>IFERROR(INDEX(tbl_Finance[Date],$A299),"")</f>
        <v/>
      </c>
      <c r="C299" s="61">
        <f>IFERROR(INDEX(tbl_Finance[Xero Invoice No],$A299),"")</f>
        <v/>
      </c>
      <c r="D299" s="61">
        <f>IFERROR(INDEX(tbl_Finance[Client],$A299),"")</f>
        <v/>
      </c>
      <c r="E299" s="61">
        <f>IFERROR(INDEX(tbl_Finance[Job Number],$A299),"")</f>
        <v/>
      </c>
      <c r="F299" s="61">
        <f>IFERROR(INDEX(tbl_Finance[Cost Centre],$A299),"")</f>
        <v/>
      </c>
      <c r="G299" s="62">
        <f>IFERROR(INDEX(tbl_Finance[Ex GST],$A299),"")</f>
        <v/>
      </c>
      <c r="H299" s="60">
        <f>IFERROR(INDEX(tbl_Finance[Defer Start],$A299),"")</f>
        <v/>
      </c>
      <c r="I299" s="60">
        <f>IFERROR(INDEX(tbl_Finance[Defer End],$A299),"")</f>
        <v/>
      </c>
      <c r="J299" s="59">
        <f>IF(OR($H299="",$I299="",$G299=""),"",MAX(1,(YEAR($I299)-YEAR($H299))*12+MONTH($I299)-MONTH($H299)+1))</f>
        <v/>
      </c>
      <c r="K299" s="62">
        <f>IF($J299="","",$G299/$J299)</f>
        <v/>
      </c>
      <c r="L299" s="62">
        <f>IF($J299="",0,$K299*MAX(0,MIN(YEAR($C$3)*12+MONTH($C$3),YEAR($I299)*12+MONTH($I299))-(YEAR($H299)*12+MONTH($H299))+1))</f>
        <v/>
      </c>
      <c r="M299" s="62">
        <f>IF($J299="",0,$K299*MAX(0,MIN(YEAR($C$3)*12+MONTH($C$3)-1,YEAR($I299)*12+MONTH($I299))-(YEAR($H299)*12+MONTH($H299))+1))</f>
        <v/>
      </c>
      <c r="N299" s="62">
        <f>IF(OR($J299="",$B299=""),0,IF(YEAR($B299)*12+MONTH($B299)&lt;=YEAR($C$3)*12+MONTH($C$3),$G299,0))</f>
        <v/>
      </c>
      <c r="O299" s="62">
        <f>IF(OR($J299="",$B299=""),0,IF(YEAR($B299)*12+MONTH($B299)&lt;=YEAR($C$3)*12+MONTH($C$3)-1,$G299,0))</f>
        <v/>
      </c>
      <c r="P299" s="62">
        <f>$M299-$O299</f>
        <v/>
      </c>
      <c r="Q299" s="62">
        <f>($L299-$M299)-($N299-$O299)</f>
        <v/>
      </c>
      <c r="R299" s="62">
        <f>$L299-$N299</f>
        <v/>
      </c>
    </row>
    <row r="300">
      <c r="A300" s="59">
        <f>ROW()-5</f>
        <v/>
      </c>
      <c r="B300" s="60">
        <f>IFERROR(INDEX(tbl_Finance[Date],$A300),"")</f>
        <v/>
      </c>
      <c r="C300" s="61">
        <f>IFERROR(INDEX(tbl_Finance[Xero Invoice No],$A300),"")</f>
        <v/>
      </c>
      <c r="D300" s="61">
        <f>IFERROR(INDEX(tbl_Finance[Client],$A300),"")</f>
        <v/>
      </c>
      <c r="E300" s="61">
        <f>IFERROR(INDEX(tbl_Finance[Job Number],$A300),"")</f>
        <v/>
      </c>
      <c r="F300" s="61">
        <f>IFERROR(INDEX(tbl_Finance[Cost Centre],$A300),"")</f>
        <v/>
      </c>
      <c r="G300" s="62">
        <f>IFERROR(INDEX(tbl_Finance[Ex GST],$A300),"")</f>
        <v/>
      </c>
      <c r="H300" s="60">
        <f>IFERROR(INDEX(tbl_Finance[Defer Start],$A300),"")</f>
        <v/>
      </c>
      <c r="I300" s="60">
        <f>IFERROR(INDEX(tbl_Finance[Defer End],$A300),"")</f>
        <v/>
      </c>
      <c r="J300" s="59">
        <f>IF(OR($H300="",$I300="",$G300=""),"",MAX(1,(YEAR($I300)-YEAR($H300))*12+MONTH($I300)-MONTH($H300)+1))</f>
        <v/>
      </c>
      <c r="K300" s="62">
        <f>IF($J300="","",$G300/$J300)</f>
        <v/>
      </c>
      <c r="L300" s="62">
        <f>IF($J300="",0,$K300*MAX(0,MIN(YEAR($C$3)*12+MONTH($C$3),YEAR($I300)*12+MONTH($I300))-(YEAR($H300)*12+MONTH($H300))+1))</f>
        <v/>
      </c>
      <c r="M300" s="62">
        <f>IF($J300="",0,$K300*MAX(0,MIN(YEAR($C$3)*12+MONTH($C$3)-1,YEAR($I300)*12+MONTH($I300))-(YEAR($H300)*12+MONTH($H300))+1))</f>
        <v/>
      </c>
      <c r="N300" s="62">
        <f>IF(OR($J300="",$B300=""),0,IF(YEAR($B300)*12+MONTH($B300)&lt;=YEAR($C$3)*12+MONTH($C$3),$G300,0))</f>
        <v/>
      </c>
      <c r="O300" s="62">
        <f>IF(OR($J300="",$B300=""),0,IF(YEAR($B300)*12+MONTH($B300)&lt;=YEAR($C$3)*12+MONTH($C$3)-1,$G300,0))</f>
        <v/>
      </c>
      <c r="P300" s="62">
        <f>$M300-$O300</f>
        <v/>
      </c>
      <c r="Q300" s="62">
        <f>($L300-$M300)-($N300-$O300)</f>
        <v/>
      </c>
      <c r="R300" s="62">
        <f>$L300-$N300</f>
        <v/>
      </c>
    </row>
    <row r="301">
      <c r="A301" s="59">
        <f>ROW()-5</f>
        <v/>
      </c>
      <c r="B301" s="60">
        <f>IFERROR(INDEX(tbl_Finance[Date],$A301),"")</f>
        <v/>
      </c>
      <c r="C301" s="61">
        <f>IFERROR(INDEX(tbl_Finance[Xero Invoice No],$A301),"")</f>
        <v/>
      </c>
      <c r="D301" s="61">
        <f>IFERROR(INDEX(tbl_Finance[Client],$A301),"")</f>
        <v/>
      </c>
      <c r="E301" s="61">
        <f>IFERROR(INDEX(tbl_Finance[Job Number],$A301),"")</f>
        <v/>
      </c>
      <c r="F301" s="61">
        <f>IFERROR(INDEX(tbl_Finance[Cost Centre],$A301),"")</f>
        <v/>
      </c>
      <c r="G301" s="62">
        <f>IFERROR(INDEX(tbl_Finance[Ex GST],$A301),"")</f>
        <v/>
      </c>
      <c r="H301" s="60">
        <f>IFERROR(INDEX(tbl_Finance[Defer Start],$A301),"")</f>
        <v/>
      </c>
      <c r="I301" s="60">
        <f>IFERROR(INDEX(tbl_Finance[Defer End],$A301),"")</f>
        <v/>
      </c>
      <c r="J301" s="59">
        <f>IF(OR($H301="",$I301="",$G301=""),"",MAX(1,(YEAR($I301)-YEAR($H301))*12+MONTH($I301)-MONTH($H301)+1))</f>
        <v/>
      </c>
      <c r="K301" s="62">
        <f>IF($J301="","",$G301/$J301)</f>
        <v/>
      </c>
      <c r="L301" s="62">
        <f>IF($J301="",0,$K301*MAX(0,MIN(YEAR($C$3)*12+MONTH($C$3),YEAR($I301)*12+MONTH($I301))-(YEAR($H301)*12+MONTH($H301))+1))</f>
        <v/>
      </c>
      <c r="M301" s="62">
        <f>IF($J301="",0,$K301*MAX(0,MIN(YEAR($C$3)*12+MONTH($C$3)-1,YEAR($I301)*12+MONTH($I301))-(YEAR($H301)*12+MONTH($H301))+1))</f>
        <v/>
      </c>
      <c r="N301" s="62">
        <f>IF(OR($J301="",$B301=""),0,IF(YEAR($B301)*12+MONTH($B301)&lt;=YEAR($C$3)*12+MONTH($C$3),$G301,0))</f>
        <v/>
      </c>
      <c r="O301" s="62">
        <f>IF(OR($J301="",$B301=""),0,IF(YEAR($B301)*12+MONTH($B301)&lt;=YEAR($C$3)*12+MONTH($C$3)-1,$G301,0))</f>
        <v/>
      </c>
      <c r="P301" s="62">
        <f>$M301-$O301</f>
        <v/>
      </c>
      <c r="Q301" s="62">
        <f>($L301-$M301)-($N301-$O301)</f>
        <v/>
      </c>
      <c r="R301" s="62">
        <f>$L301-$N301</f>
        <v/>
      </c>
    </row>
    <row r="302">
      <c r="A302" s="59">
        <f>ROW()-5</f>
        <v/>
      </c>
      <c r="B302" s="60">
        <f>IFERROR(INDEX(tbl_Finance[Date],$A302),"")</f>
        <v/>
      </c>
      <c r="C302" s="61">
        <f>IFERROR(INDEX(tbl_Finance[Xero Invoice No],$A302),"")</f>
        <v/>
      </c>
      <c r="D302" s="61">
        <f>IFERROR(INDEX(tbl_Finance[Client],$A302),"")</f>
        <v/>
      </c>
      <c r="E302" s="61">
        <f>IFERROR(INDEX(tbl_Finance[Job Number],$A302),"")</f>
        <v/>
      </c>
      <c r="F302" s="61">
        <f>IFERROR(INDEX(tbl_Finance[Cost Centre],$A302),"")</f>
        <v/>
      </c>
      <c r="G302" s="62">
        <f>IFERROR(INDEX(tbl_Finance[Ex GST],$A302),"")</f>
        <v/>
      </c>
      <c r="H302" s="60">
        <f>IFERROR(INDEX(tbl_Finance[Defer Start],$A302),"")</f>
        <v/>
      </c>
      <c r="I302" s="60">
        <f>IFERROR(INDEX(tbl_Finance[Defer End],$A302),"")</f>
        <v/>
      </c>
      <c r="J302" s="59">
        <f>IF(OR($H302="",$I302="",$G302=""),"",MAX(1,(YEAR($I302)-YEAR($H302))*12+MONTH($I302)-MONTH($H302)+1))</f>
        <v/>
      </c>
      <c r="K302" s="62">
        <f>IF($J302="","",$G302/$J302)</f>
        <v/>
      </c>
      <c r="L302" s="62">
        <f>IF($J302="",0,$K302*MAX(0,MIN(YEAR($C$3)*12+MONTH($C$3),YEAR($I302)*12+MONTH($I302))-(YEAR($H302)*12+MONTH($H302))+1))</f>
        <v/>
      </c>
      <c r="M302" s="62">
        <f>IF($J302="",0,$K302*MAX(0,MIN(YEAR($C$3)*12+MONTH($C$3)-1,YEAR($I302)*12+MONTH($I302))-(YEAR($H302)*12+MONTH($H302))+1))</f>
        <v/>
      </c>
      <c r="N302" s="62">
        <f>IF(OR($J302="",$B302=""),0,IF(YEAR($B302)*12+MONTH($B302)&lt;=YEAR($C$3)*12+MONTH($C$3),$G302,0))</f>
        <v/>
      </c>
      <c r="O302" s="62">
        <f>IF(OR($J302="",$B302=""),0,IF(YEAR($B302)*12+MONTH($B302)&lt;=YEAR($C$3)*12+MONTH($C$3)-1,$G302,0))</f>
        <v/>
      </c>
      <c r="P302" s="62">
        <f>$M302-$O302</f>
        <v/>
      </c>
      <c r="Q302" s="62">
        <f>($L302-$M302)-($N302-$O302)</f>
        <v/>
      </c>
      <c r="R302" s="62">
        <f>$L302-$N302</f>
        <v/>
      </c>
    </row>
    <row r="303">
      <c r="A303" s="59">
        <f>ROW()-5</f>
        <v/>
      </c>
      <c r="B303" s="60">
        <f>IFERROR(INDEX(tbl_Finance[Date],$A303),"")</f>
        <v/>
      </c>
      <c r="C303" s="61">
        <f>IFERROR(INDEX(tbl_Finance[Xero Invoice No],$A303),"")</f>
        <v/>
      </c>
      <c r="D303" s="61">
        <f>IFERROR(INDEX(tbl_Finance[Client],$A303),"")</f>
        <v/>
      </c>
      <c r="E303" s="61">
        <f>IFERROR(INDEX(tbl_Finance[Job Number],$A303),"")</f>
        <v/>
      </c>
      <c r="F303" s="61">
        <f>IFERROR(INDEX(tbl_Finance[Cost Centre],$A303),"")</f>
        <v/>
      </c>
      <c r="G303" s="62">
        <f>IFERROR(INDEX(tbl_Finance[Ex GST],$A303),"")</f>
        <v/>
      </c>
      <c r="H303" s="60">
        <f>IFERROR(INDEX(tbl_Finance[Defer Start],$A303),"")</f>
        <v/>
      </c>
      <c r="I303" s="60">
        <f>IFERROR(INDEX(tbl_Finance[Defer End],$A303),"")</f>
        <v/>
      </c>
      <c r="J303" s="59">
        <f>IF(OR($H303="",$I303="",$G303=""),"",MAX(1,(YEAR($I303)-YEAR($H303))*12+MONTH($I303)-MONTH($H303)+1))</f>
        <v/>
      </c>
      <c r="K303" s="62">
        <f>IF($J303="","",$G303/$J303)</f>
        <v/>
      </c>
      <c r="L303" s="62">
        <f>IF($J303="",0,$K303*MAX(0,MIN(YEAR($C$3)*12+MONTH($C$3),YEAR($I303)*12+MONTH($I303))-(YEAR($H303)*12+MONTH($H303))+1))</f>
        <v/>
      </c>
      <c r="M303" s="62">
        <f>IF($J303="",0,$K303*MAX(0,MIN(YEAR($C$3)*12+MONTH($C$3)-1,YEAR($I303)*12+MONTH($I303))-(YEAR($H303)*12+MONTH($H303))+1))</f>
        <v/>
      </c>
      <c r="N303" s="62">
        <f>IF(OR($J303="",$B303=""),0,IF(YEAR($B303)*12+MONTH($B303)&lt;=YEAR($C$3)*12+MONTH($C$3),$G303,0))</f>
        <v/>
      </c>
      <c r="O303" s="62">
        <f>IF(OR($J303="",$B303=""),0,IF(YEAR($B303)*12+MONTH($B303)&lt;=YEAR($C$3)*12+MONTH($C$3)-1,$G303,0))</f>
        <v/>
      </c>
      <c r="P303" s="62">
        <f>$M303-$O303</f>
        <v/>
      </c>
      <c r="Q303" s="62">
        <f>($L303-$M303)-($N303-$O303)</f>
        <v/>
      </c>
      <c r="R303" s="62">
        <f>$L303-$N303</f>
        <v/>
      </c>
    </row>
    <row r="304">
      <c r="A304" s="59">
        <f>ROW()-5</f>
        <v/>
      </c>
      <c r="B304" s="60">
        <f>IFERROR(INDEX(tbl_Finance[Date],$A304),"")</f>
        <v/>
      </c>
      <c r="C304" s="61">
        <f>IFERROR(INDEX(tbl_Finance[Xero Invoice No],$A304),"")</f>
        <v/>
      </c>
      <c r="D304" s="61">
        <f>IFERROR(INDEX(tbl_Finance[Client],$A304),"")</f>
        <v/>
      </c>
      <c r="E304" s="61">
        <f>IFERROR(INDEX(tbl_Finance[Job Number],$A304),"")</f>
        <v/>
      </c>
      <c r="F304" s="61">
        <f>IFERROR(INDEX(tbl_Finance[Cost Centre],$A304),"")</f>
        <v/>
      </c>
      <c r="G304" s="62">
        <f>IFERROR(INDEX(tbl_Finance[Ex GST],$A304),"")</f>
        <v/>
      </c>
      <c r="H304" s="60">
        <f>IFERROR(INDEX(tbl_Finance[Defer Start],$A304),"")</f>
        <v/>
      </c>
      <c r="I304" s="60">
        <f>IFERROR(INDEX(tbl_Finance[Defer End],$A304),"")</f>
        <v/>
      </c>
      <c r="J304" s="59">
        <f>IF(OR($H304="",$I304="",$G304=""),"",MAX(1,(YEAR($I304)-YEAR($H304))*12+MONTH($I304)-MONTH($H304)+1))</f>
        <v/>
      </c>
      <c r="K304" s="62">
        <f>IF($J304="","",$G304/$J304)</f>
        <v/>
      </c>
      <c r="L304" s="62">
        <f>IF($J304="",0,$K304*MAX(0,MIN(YEAR($C$3)*12+MONTH($C$3),YEAR($I304)*12+MONTH($I304))-(YEAR($H304)*12+MONTH($H304))+1))</f>
        <v/>
      </c>
      <c r="M304" s="62">
        <f>IF($J304="",0,$K304*MAX(0,MIN(YEAR($C$3)*12+MONTH($C$3)-1,YEAR($I304)*12+MONTH($I304))-(YEAR($H304)*12+MONTH($H304))+1))</f>
        <v/>
      </c>
      <c r="N304" s="62">
        <f>IF(OR($J304="",$B304=""),0,IF(YEAR($B304)*12+MONTH($B304)&lt;=YEAR($C$3)*12+MONTH($C$3),$G304,0))</f>
        <v/>
      </c>
      <c r="O304" s="62">
        <f>IF(OR($J304="",$B304=""),0,IF(YEAR($B304)*12+MONTH($B304)&lt;=YEAR($C$3)*12+MONTH($C$3)-1,$G304,0))</f>
        <v/>
      </c>
      <c r="P304" s="62">
        <f>$M304-$O304</f>
        <v/>
      </c>
      <c r="Q304" s="62">
        <f>($L304-$M304)-($N304-$O304)</f>
        <v/>
      </c>
      <c r="R304" s="62">
        <f>$L304-$N304</f>
        <v/>
      </c>
    </row>
    <row r="305">
      <c r="A305" s="59">
        <f>ROW()-5</f>
        <v/>
      </c>
      <c r="B305" s="60">
        <f>IFERROR(INDEX(tbl_Finance[Date],$A305),"")</f>
        <v/>
      </c>
      <c r="C305" s="61">
        <f>IFERROR(INDEX(tbl_Finance[Xero Invoice No],$A305),"")</f>
        <v/>
      </c>
      <c r="D305" s="61">
        <f>IFERROR(INDEX(tbl_Finance[Client],$A305),"")</f>
        <v/>
      </c>
      <c r="E305" s="61">
        <f>IFERROR(INDEX(tbl_Finance[Job Number],$A305),"")</f>
        <v/>
      </c>
      <c r="F305" s="61">
        <f>IFERROR(INDEX(tbl_Finance[Cost Centre],$A305),"")</f>
        <v/>
      </c>
      <c r="G305" s="62">
        <f>IFERROR(INDEX(tbl_Finance[Ex GST],$A305),"")</f>
        <v/>
      </c>
      <c r="H305" s="60">
        <f>IFERROR(INDEX(tbl_Finance[Defer Start],$A305),"")</f>
        <v/>
      </c>
      <c r="I305" s="60">
        <f>IFERROR(INDEX(tbl_Finance[Defer End],$A305),"")</f>
        <v/>
      </c>
      <c r="J305" s="59">
        <f>IF(OR($H305="",$I305="",$G305=""),"",MAX(1,(YEAR($I305)-YEAR($H305))*12+MONTH($I305)-MONTH($H305)+1))</f>
        <v/>
      </c>
      <c r="K305" s="62">
        <f>IF($J305="","",$G305/$J305)</f>
        <v/>
      </c>
      <c r="L305" s="62">
        <f>IF($J305="",0,$K305*MAX(0,MIN(YEAR($C$3)*12+MONTH($C$3),YEAR($I305)*12+MONTH($I305))-(YEAR($H305)*12+MONTH($H305))+1))</f>
        <v/>
      </c>
      <c r="M305" s="62">
        <f>IF($J305="",0,$K305*MAX(0,MIN(YEAR($C$3)*12+MONTH($C$3)-1,YEAR($I305)*12+MONTH($I305))-(YEAR($H305)*12+MONTH($H305))+1))</f>
        <v/>
      </c>
      <c r="N305" s="62">
        <f>IF(OR($J305="",$B305=""),0,IF(YEAR($B305)*12+MONTH($B305)&lt;=YEAR($C$3)*12+MONTH($C$3),$G305,0))</f>
        <v/>
      </c>
      <c r="O305" s="62">
        <f>IF(OR($J305="",$B305=""),0,IF(YEAR($B305)*12+MONTH($B305)&lt;=YEAR($C$3)*12+MONTH($C$3)-1,$G305,0))</f>
        <v/>
      </c>
      <c r="P305" s="62">
        <f>$M305-$O305</f>
        <v/>
      </c>
      <c r="Q305" s="62">
        <f>($L305-$M305)-($N305-$O305)</f>
        <v/>
      </c>
      <c r="R305" s="62">
        <f>$L305-$N305</f>
        <v/>
      </c>
    </row>
    <row r="306">
      <c r="A306" s="59">
        <f>ROW()-5</f>
        <v/>
      </c>
      <c r="B306" s="60">
        <f>IFERROR(INDEX(tbl_Finance[Date],$A306),"")</f>
        <v/>
      </c>
      <c r="C306" s="61">
        <f>IFERROR(INDEX(tbl_Finance[Xero Invoice No],$A306),"")</f>
        <v/>
      </c>
      <c r="D306" s="61">
        <f>IFERROR(INDEX(tbl_Finance[Client],$A306),"")</f>
        <v/>
      </c>
      <c r="E306" s="61">
        <f>IFERROR(INDEX(tbl_Finance[Job Number],$A306),"")</f>
        <v/>
      </c>
      <c r="F306" s="61">
        <f>IFERROR(INDEX(tbl_Finance[Cost Centre],$A306),"")</f>
        <v/>
      </c>
      <c r="G306" s="62">
        <f>IFERROR(INDEX(tbl_Finance[Ex GST],$A306),"")</f>
        <v/>
      </c>
      <c r="H306" s="60">
        <f>IFERROR(INDEX(tbl_Finance[Defer Start],$A306),"")</f>
        <v/>
      </c>
      <c r="I306" s="60">
        <f>IFERROR(INDEX(tbl_Finance[Defer End],$A306),"")</f>
        <v/>
      </c>
      <c r="J306" s="59">
        <f>IF(OR($H306="",$I306="",$G306=""),"",MAX(1,(YEAR($I306)-YEAR($H306))*12+MONTH($I306)-MONTH($H306)+1))</f>
        <v/>
      </c>
      <c r="K306" s="62">
        <f>IF($J306="","",$G306/$J306)</f>
        <v/>
      </c>
      <c r="L306" s="62">
        <f>IF($J306="",0,$K306*MAX(0,MIN(YEAR($C$3)*12+MONTH($C$3),YEAR($I306)*12+MONTH($I306))-(YEAR($H306)*12+MONTH($H306))+1))</f>
        <v/>
      </c>
      <c r="M306" s="62">
        <f>IF($J306="",0,$K306*MAX(0,MIN(YEAR($C$3)*12+MONTH($C$3)-1,YEAR($I306)*12+MONTH($I306))-(YEAR($H306)*12+MONTH($H306))+1))</f>
        <v/>
      </c>
      <c r="N306" s="62">
        <f>IF(OR($J306="",$B306=""),0,IF(YEAR($B306)*12+MONTH($B306)&lt;=YEAR($C$3)*12+MONTH($C$3),$G306,0))</f>
        <v/>
      </c>
      <c r="O306" s="62">
        <f>IF(OR($J306="",$B306=""),0,IF(YEAR($B306)*12+MONTH($B306)&lt;=YEAR($C$3)*12+MONTH($C$3)-1,$G306,0))</f>
        <v/>
      </c>
      <c r="P306" s="62">
        <f>$M306-$O306</f>
        <v/>
      </c>
      <c r="Q306" s="62">
        <f>($L306-$M306)-($N306-$O306)</f>
        <v/>
      </c>
      <c r="R306" s="62">
        <f>$L306-$N306</f>
        <v/>
      </c>
    </row>
    <row r="307">
      <c r="A307" s="59">
        <f>ROW()-5</f>
        <v/>
      </c>
      <c r="B307" s="60">
        <f>IFERROR(INDEX(tbl_Finance[Date],$A307),"")</f>
        <v/>
      </c>
      <c r="C307" s="61">
        <f>IFERROR(INDEX(tbl_Finance[Xero Invoice No],$A307),"")</f>
        <v/>
      </c>
      <c r="D307" s="61">
        <f>IFERROR(INDEX(tbl_Finance[Client],$A307),"")</f>
        <v/>
      </c>
      <c r="E307" s="61">
        <f>IFERROR(INDEX(tbl_Finance[Job Number],$A307),"")</f>
        <v/>
      </c>
      <c r="F307" s="61">
        <f>IFERROR(INDEX(tbl_Finance[Cost Centre],$A307),"")</f>
        <v/>
      </c>
      <c r="G307" s="62">
        <f>IFERROR(INDEX(tbl_Finance[Ex GST],$A307),"")</f>
        <v/>
      </c>
      <c r="H307" s="60">
        <f>IFERROR(INDEX(tbl_Finance[Defer Start],$A307),"")</f>
        <v/>
      </c>
      <c r="I307" s="60">
        <f>IFERROR(INDEX(tbl_Finance[Defer End],$A307),"")</f>
        <v/>
      </c>
      <c r="J307" s="59">
        <f>IF(OR($H307="",$I307="",$G307=""),"",MAX(1,(YEAR($I307)-YEAR($H307))*12+MONTH($I307)-MONTH($H307)+1))</f>
        <v/>
      </c>
      <c r="K307" s="62">
        <f>IF($J307="","",$G307/$J307)</f>
        <v/>
      </c>
      <c r="L307" s="62">
        <f>IF($J307="",0,$K307*MAX(0,MIN(YEAR($C$3)*12+MONTH($C$3),YEAR($I307)*12+MONTH($I307))-(YEAR($H307)*12+MONTH($H307))+1))</f>
        <v/>
      </c>
      <c r="M307" s="62">
        <f>IF($J307="",0,$K307*MAX(0,MIN(YEAR($C$3)*12+MONTH($C$3)-1,YEAR($I307)*12+MONTH($I307))-(YEAR($H307)*12+MONTH($H307))+1))</f>
        <v/>
      </c>
      <c r="N307" s="62">
        <f>IF(OR($J307="",$B307=""),0,IF(YEAR($B307)*12+MONTH($B307)&lt;=YEAR($C$3)*12+MONTH($C$3),$G307,0))</f>
        <v/>
      </c>
      <c r="O307" s="62">
        <f>IF(OR($J307="",$B307=""),0,IF(YEAR($B307)*12+MONTH($B307)&lt;=YEAR($C$3)*12+MONTH($C$3)-1,$G307,0))</f>
        <v/>
      </c>
      <c r="P307" s="62">
        <f>$M307-$O307</f>
        <v/>
      </c>
      <c r="Q307" s="62">
        <f>($L307-$M307)-($N307-$O307)</f>
        <v/>
      </c>
      <c r="R307" s="62">
        <f>$L307-$N307</f>
        <v/>
      </c>
    </row>
    <row r="308">
      <c r="A308" s="59">
        <f>ROW()-5</f>
        <v/>
      </c>
      <c r="B308" s="60">
        <f>IFERROR(INDEX(tbl_Finance[Date],$A308),"")</f>
        <v/>
      </c>
      <c r="C308" s="61">
        <f>IFERROR(INDEX(tbl_Finance[Xero Invoice No],$A308),"")</f>
        <v/>
      </c>
      <c r="D308" s="61">
        <f>IFERROR(INDEX(tbl_Finance[Client],$A308),"")</f>
        <v/>
      </c>
      <c r="E308" s="61">
        <f>IFERROR(INDEX(tbl_Finance[Job Number],$A308),"")</f>
        <v/>
      </c>
      <c r="F308" s="61">
        <f>IFERROR(INDEX(tbl_Finance[Cost Centre],$A308),"")</f>
        <v/>
      </c>
      <c r="G308" s="62">
        <f>IFERROR(INDEX(tbl_Finance[Ex GST],$A308),"")</f>
        <v/>
      </c>
      <c r="H308" s="60">
        <f>IFERROR(INDEX(tbl_Finance[Defer Start],$A308),"")</f>
        <v/>
      </c>
      <c r="I308" s="60">
        <f>IFERROR(INDEX(tbl_Finance[Defer End],$A308),"")</f>
        <v/>
      </c>
      <c r="J308" s="59">
        <f>IF(OR($H308="",$I308="",$G308=""),"",MAX(1,(YEAR($I308)-YEAR($H308))*12+MONTH($I308)-MONTH($H308)+1))</f>
        <v/>
      </c>
      <c r="K308" s="62">
        <f>IF($J308="","",$G308/$J308)</f>
        <v/>
      </c>
      <c r="L308" s="62">
        <f>IF($J308="",0,$K308*MAX(0,MIN(YEAR($C$3)*12+MONTH($C$3),YEAR($I308)*12+MONTH($I308))-(YEAR($H308)*12+MONTH($H308))+1))</f>
        <v/>
      </c>
      <c r="M308" s="62">
        <f>IF($J308="",0,$K308*MAX(0,MIN(YEAR($C$3)*12+MONTH($C$3)-1,YEAR($I308)*12+MONTH($I308))-(YEAR($H308)*12+MONTH($H308))+1))</f>
        <v/>
      </c>
      <c r="N308" s="62">
        <f>IF(OR($J308="",$B308=""),0,IF(YEAR($B308)*12+MONTH($B308)&lt;=YEAR($C$3)*12+MONTH($C$3),$G308,0))</f>
        <v/>
      </c>
      <c r="O308" s="62">
        <f>IF(OR($J308="",$B308=""),0,IF(YEAR($B308)*12+MONTH($B308)&lt;=YEAR($C$3)*12+MONTH($C$3)-1,$G308,0))</f>
        <v/>
      </c>
      <c r="P308" s="62">
        <f>$M308-$O308</f>
        <v/>
      </c>
      <c r="Q308" s="62">
        <f>($L308-$M308)-($N308-$O308)</f>
        <v/>
      </c>
      <c r="R308" s="62">
        <f>$L308-$N308</f>
        <v/>
      </c>
    </row>
    <row r="309">
      <c r="A309" s="59">
        <f>ROW()-5</f>
        <v/>
      </c>
      <c r="B309" s="60">
        <f>IFERROR(INDEX(tbl_Finance[Date],$A309),"")</f>
        <v/>
      </c>
      <c r="C309" s="61">
        <f>IFERROR(INDEX(tbl_Finance[Xero Invoice No],$A309),"")</f>
        <v/>
      </c>
      <c r="D309" s="61">
        <f>IFERROR(INDEX(tbl_Finance[Client],$A309),"")</f>
        <v/>
      </c>
      <c r="E309" s="61">
        <f>IFERROR(INDEX(tbl_Finance[Job Number],$A309),"")</f>
        <v/>
      </c>
      <c r="F309" s="61">
        <f>IFERROR(INDEX(tbl_Finance[Cost Centre],$A309),"")</f>
        <v/>
      </c>
      <c r="G309" s="62">
        <f>IFERROR(INDEX(tbl_Finance[Ex GST],$A309),"")</f>
        <v/>
      </c>
      <c r="H309" s="60">
        <f>IFERROR(INDEX(tbl_Finance[Defer Start],$A309),"")</f>
        <v/>
      </c>
      <c r="I309" s="60">
        <f>IFERROR(INDEX(tbl_Finance[Defer End],$A309),"")</f>
        <v/>
      </c>
      <c r="J309" s="59">
        <f>IF(OR($H309="",$I309="",$G309=""),"",MAX(1,(YEAR($I309)-YEAR($H309))*12+MONTH($I309)-MONTH($H309)+1))</f>
        <v/>
      </c>
      <c r="K309" s="62">
        <f>IF($J309="","",$G309/$J309)</f>
        <v/>
      </c>
      <c r="L309" s="62">
        <f>IF($J309="",0,$K309*MAX(0,MIN(YEAR($C$3)*12+MONTH($C$3),YEAR($I309)*12+MONTH($I309))-(YEAR($H309)*12+MONTH($H309))+1))</f>
        <v/>
      </c>
      <c r="M309" s="62">
        <f>IF($J309="",0,$K309*MAX(0,MIN(YEAR($C$3)*12+MONTH($C$3)-1,YEAR($I309)*12+MONTH($I309))-(YEAR($H309)*12+MONTH($H309))+1))</f>
        <v/>
      </c>
      <c r="N309" s="62">
        <f>IF(OR($J309="",$B309=""),0,IF(YEAR($B309)*12+MONTH($B309)&lt;=YEAR($C$3)*12+MONTH($C$3),$G309,0))</f>
        <v/>
      </c>
      <c r="O309" s="62">
        <f>IF(OR($J309="",$B309=""),0,IF(YEAR($B309)*12+MONTH($B309)&lt;=YEAR($C$3)*12+MONTH($C$3)-1,$G309,0))</f>
        <v/>
      </c>
      <c r="P309" s="62">
        <f>$M309-$O309</f>
        <v/>
      </c>
      <c r="Q309" s="62">
        <f>($L309-$M309)-($N309-$O309)</f>
        <v/>
      </c>
      <c r="R309" s="62">
        <f>$L309-$N309</f>
        <v/>
      </c>
    </row>
    <row r="310">
      <c r="A310" s="59">
        <f>ROW()-5</f>
        <v/>
      </c>
      <c r="B310" s="60">
        <f>IFERROR(INDEX(tbl_Finance[Date],$A310),"")</f>
        <v/>
      </c>
      <c r="C310" s="61">
        <f>IFERROR(INDEX(tbl_Finance[Xero Invoice No],$A310),"")</f>
        <v/>
      </c>
      <c r="D310" s="61">
        <f>IFERROR(INDEX(tbl_Finance[Client],$A310),"")</f>
        <v/>
      </c>
      <c r="E310" s="61">
        <f>IFERROR(INDEX(tbl_Finance[Job Number],$A310),"")</f>
        <v/>
      </c>
      <c r="F310" s="61">
        <f>IFERROR(INDEX(tbl_Finance[Cost Centre],$A310),"")</f>
        <v/>
      </c>
      <c r="G310" s="62">
        <f>IFERROR(INDEX(tbl_Finance[Ex GST],$A310),"")</f>
        <v/>
      </c>
      <c r="H310" s="60">
        <f>IFERROR(INDEX(tbl_Finance[Defer Start],$A310),"")</f>
        <v/>
      </c>
      <c r="I310" s="60">
        <f>IFERROR(INDEX(tbl_Finance[Defer End],$A310),"")</f>
        <v/>
      </c>
      <c r="J310" s="59">
        <f>IF(OR($H310="",$I310="",$G310=""),"",MAX(1,(YEAR($I310)-YEAR($H310))*12+MONTH($I310)-MONTH($H310)+1))</f>
        <v/>
      </c>
      <c r="K310" s="62">
        <f>IF($J310="","",$G310/$J310)</f>
        <v/>
      </c>
      <c r="L310" s="62">
        <f>IF($J310="",0,$K310*MAX(0,MIN(YEAR($C$3)*12+MONTH($C$3),YEAR($I310)*12+MONTH($I310))-(YEAR($H310)*12+MONTH($H310))+1))</f>
        <v/>
      </c>
      <c r="M310" s="62">
        <f>IF($J310="",0,$K310*MAX(0,MIN(YEAR($C$3)*12+MONTH($C$3)-1,YEAR($I310)*12+MONTH($I310))-(YEAR($H310)*12+MONTH($H310))+1))</f>
        <v/>
      </c>
      <c r="N310" s="62">
        <f>IF(OR($J310="",$B310=""),0,IF(YEAR($B310)*12+MONTH($B310)&lt;=YEAR($C$3)*12+MONTH($C$3),$G310,0))</f>
        <v/>
      </c>
      <c r="O310" s="62">
        <f>IF(OR($J310="",$B310=""),0,IF(YEAR($B310)*12+MONTH($B310)&lt;=YEAR($C$3)*12+MONTH($C$3)-1,$G310,0))</f>
        <v/>
      </c>
      <c r="P310" s="62">
        <f>$M310-$O310</f>
        <v/>
      </c>
      <c r="Q310" s="62">
        <f>($L310-$M310)-($N310-$O310)</f>
        <v/>
      </c>
      <c r="R310" s="62">
        <f>$L310-$N310</f>
        <v/>
      </c>
    </row>
    <row r="311">
      <c r="A311" s="59">
        <f>ROW()-5</f>
        <v/>
      </c>
      <c r="B311" s="60">
        <f>IFERROR(INDEX(tbl_Finance[Date],$A311),"")</f>
        <v/>
      </c>
      <c r="C311" s="61">
        <f>IFERROR(INDEX(tbl_Finance[Xero Invoice No],$A311),"")</f>
        <v/>
      </c>
      <c r="D311" s="61">
        <f>IFERROR(INDEX(tbl_Finance[Client],$A311),"")</f>
        <v/>
      </c>
      <c r="E311" s="61">
        <f>IFERROR(INDEX(tbl_Finance[Job Number],$A311),"")</f>
        <v/>
      </c>
      <c r="F311" s="61">
        <f>IFERROR(INDEX(tbl_Finance[Cost Centre],$A311),"")</f>
        <v/>
      </c>
      <c r="G311" s="62">
        <f>IFERROR(INDEX(tbl_Finance[Ex GST],$A311),"")</f>
        <v/>
      </c>
      <c r="H311" s="60">
        <f>IFERROR(INDEX(tbl_Finance[Defer Start],$A311),"")</f>
        <v/>
      </c>
      <c r="I311" s="60">
        <f>IFERROR(INDEX(tbl_Finance[Defer End],$A311),"")</f>
        <v/>
      </c>
      <c r="J311" s="59">
        <f>IF(OR($H311="",$I311="",$G311=""),"",MAX(1,(YEAR($I311)-YEAR($H311))*12+MONTH($I311)-MONTH($H311)+1))</f>
        <v/>
      </c>
      <c r="K311" s="62">
        <f>IF($J311="","",$G311/$J311)</f>
        <v/>
      </c>
      <c r="L311" s="62">
        <f>IF($J311="",0,$K311*MAX(0,MIN(YEAR($C$3)*12+MONTH($C$3),YEAR($I311)*12+MONTH($I311))-(YEAR($H311)*12+MONTH($H311))+1))</f>
        <v/>
      </c>
      <c r="M311" s="62">
        <f>IF($J311="",0,$K311*MAX(0,MIN(YEAR($C$3)*12+MONTH($C$3)-1,YEAR($I311)*12+MONTH($I311))-(YEAR($H311)*12+MONTH($H311))+1))</f>
        <v/>
      </c>
      <c r="N311" s="62">
        <f>IF(OR($J311="",$B311=""),0,IF(YEAR($B311)*12+MONTH($B311)&lt;=YEAR($C$3)*12+MONTH($C$3),$G311,0))</f>
        <v/>
      </c>
      <c r="O311" s="62">
        <f>IF(OR($J311="",$B311=""),0,IF(YEAR($B311)*12+MONTH($B311)&lt;=YEAR($C$3)*12+MONTH($C$3)-1,$G311,0))</f>
        <v/>
      </c>
      <c r="P311" s="62">
        <f>$M311-$O311</f>
        <v/>
      </c>
      <c r="Q311" s="62">
        <f>($L311-$M311)-($N311-$O311)</f>
        <v/>
      </c>
      <c r="R311" s="62">
        <f>$L311-$N311</f>
        <v/>
      </c>
    </row>
    <row r="312">
      <c r="A312" s="59">
        <f>ROW()-5</f>
        <v/>
      </c>
      <c r="B312" s="60">
        <f>IFERROR(INDEX(tbl_Finance[Date],$A312),"")</f>
        <v/>
      </c>
      <c r="C312" s="61">
        <f>IFERROR(INDEX(tbl_Finance[Xero Invoice No],$A312),"")</f>
        <v/>
      </c>
      <c r="D312" s="61">
        <f>IFERROR(INDEX(tbl_Finance[Client],$A312),"")</f>
        <v/>
      </c>
      <c r="E312" s="61">
        <f>IFERROR(INDEX(tbl_Finance[Job Number],$A312),"")</f>
        <v/>
      </c>
      <c r="F312" s="61">
        <f>IFERROR(INDEX(tbl_Finance[Cost Centre],$A312),"")</f>
        <v/>
      </c>
      <c r="G312" s="62">
        <f>IFERROR(INDEX(tbl_Finance[Ex GST],$A312),"")</f>
        <v/>
      </c>
      <c r="H312" s="60">
        <f>IFERROR(INDEX(tbl_Finance[Defer Start],$A312),"")</f>
        <v/>
      </c>
      <c r="I312" s="60">
        <f>IFERROR(INDEX(tbl_Finance[Defer End],$A312),"")</f>
        <v/>
      </c>
      <c r="J312" s="59">
        <f>IF(OR($H312="",$I312="",$G312=""),"",MAX(1,(YEAR($I312)-YEAR($H312))*12+MONTH($I312)-MONTH($H312)+1))</f>
        <v/>
      </c>
      <c r="K312" s="62">
        <f>IF($J312="","",$G312/$J312)</f>
        <v/>
      </c>
      <c r="L312" s="62">
        <f>IF($J312="",0,$K312*MAX(0,MIN(YEAR($C$3)*12+MONTH($C$3),YEAR($I312)*12+MONTH($I312))-(YEAR($H312)*12+MONTH($H312))+1))</f>
        <v/>
      </c>
      <c r="M312" s="62">
        <f>IF($J312="",0,$K312*MAX(0,MIN(YEAR($C$3)*12+MONTH($C$3)-1,YEAR($I312)*12+MONTH($I312))-(YEAR($H312)*12+MONTH($H312))+1))</f>
        <v/>
      </c>
      <c r="N312" s="62">
        <f>IF(OR($J312="",$B312=""),0,IF(YEAR($B312)*12+MONTH($B312)&lt;=YEAR($C$3)*12+MONTH($C$3),$G312,0))</f>
        <v/>
      </c>
      <c r="O312" s="62">
        <f>IF(OR($J312="",$B312=""),0,IF(YEAR($B312)*12+MONTH($B312)&lt;=YEAR($C$3)*12+MONTH($C$3)-1,$G312,0))</f>
        <v/>
      </c>
      <c r="P312" s="62">
        <f>$M312-$O312</f>
        <v/>
      </c>
      <c r="Q312" s="62">
        <f>($L312-$M312)-($N312-$O312)</f>
        <v/>
      </c>
      <c r="R312" s="62">
        <f>$L312-$N312</f>
        <v/>
      </c>
    </row>
    <row r="313">
      <c r="A313" s="59">
        <f>ROW()-5</f>
        <v/>
      </c>
      <c r="B313" s="60">
        <f>IFERROR(INDEX(tbl_Finance[Date],$A313),"")</f>
        <v/>
      </c>
      <c r="C313" s="61">
        <f>IFERROR(INDEX(tbl_Finance[Xero Invoice No],$A313),"")</f>
        <v/>
      </c>
      <c r="D313" s="61">
        <f>IFERROR(INDEX(tbl_Finance[Client],$A313),"")</f>
        <v/>
      </c>
      <c r="E313" s="61">
        <f>IFERROR(INDEX(tbl_Finance[Job Number],$A313),"")</f>
        <v/>
      </c>
      <c r="F313" s="61">
        <f>IFERROR(INDEX(tbl_Finance[Cost Centre],$A313),"")</f>
        <v/>
      </c>
      <c r="G313" s="62">
        <f>IFERROR(INDEX(tbl_Finance[Ex GST],$A313),"")</f>
        <v/>
      </c>
      <c r="H313" s="60">
        <f>IFERROR(INDEX(tbl_Finance[Defer Start],$A313),"")</f>
        <v/>
      </c>
      <c r="I313" s="60">
        <f>IFERROR(INDEX(tbl_Finance[Defer End],$A313),"")</f>
        <v/>
      </c>
      <c r="J313" s="59">
        <f>IF(OR($H313="",$I313="",$G313=""),"",MAX(1,(YEAR($I313)-YEAR($H313))*12+MONTH($I313)-MONTH($H313)+1))</f>
        <v/>
      </c>
      <c r="K313" s="62">
        <f>IF($J313="","",$G313/$J313)</f>
        <v/>
      </c>
      <c r="L313" s="62">
        <f>IF($J313="",0,$K313*MAX(0,MIN(YEAR($C$3)*12+MONTH($C$3),YEAR($I313)*12+MONTH($I313))-(YEAR($H313)*12+MONTH($H313))+1))</f>
        <v/>
      </c>
      <c r="M313" s="62">
        <f>IF($J313="",0,$K313*MAX(0,MIN(YEAR($C$3)*12+MONTH($C$3)-1,YEAR($I313)*12+MONTH($I313))-(YEAR($H313)*12+MONTH($H313))+1))</f>
        <v/>
      </c>
      <c r="N313" s="62">
        <f>IF(OR($J313="",$B313=""),0,IF(YEAR($B313)*12+MONTH($B313)&lt;=YEAR($C$3)*12+MONTH($C$3),$G313,0))</f>
        <v/>
      </c>
      <c r="O313" s="62">
        <f>IF(OR($J313="",$B313=""),0,IF(YEAR($B313)*12+MONTH($B313)&lt;=YEAR($C$3)*12+MONTH($C$3)-1,$G313,0))</f>
        <v/>
      </c>
      <c r="P313" s="62">
        <f>$M313-$O313</f>
        <v/>
      </c>
      <c r="Q313" s="62">
        <f>($L313-$M313)-($N313-$O313)</f>
        <v/>
      </c>
      <c r="R313" s="62">
        <f>$L313-$N313</f>
        <v/>
      </c>
    </row>
    <row r="314">
      <c r="A314" s="59">
        <f>ROW()-5</f>
        <v/>
      </c>
      <c r="B314" s="60">
        <f>IFERROR(INDEX(tbl_Finance[Date],$A314),"")</f>
        <v/>
      </c>
      <c r="C314" s="61">
        <f>IFERROR(INDEX(tbl_Finance[Xero Invoice No],$A314),"")</f>
        <v/>
      </c>
      <c r="D314" s="61">
        <f>IFERROR(INDEX(tbl_Finance[Client],$A314),"")</f>
        <v/>
      </c>
      <c r="E314" s="61">
        <f>IFERROR(INDEX(tbl_Finance[Job Number],$A314),"")</f>
        <v/>
      </c>
      <c r="F314" s="61">
        <f>IFERROR(INDEX(tbl_Finance[Cost Centre],$A314),"")</f>
        <v/>
      </c>
      <c r="G314" s="62">
        <f>IFERROR(INDEX(tbl_Finance[Ex GST],$A314),"")</f>
        <v/>
      </c>
      <c r="H314" s="60">
        <f>IFERROR(INDEX(tbl_Finance[Defer Start],$A314),"")</f>
        <v/>
      </c>
      <c r="I314" s="60">
        <f>IFERROR(INDEX(tbl_Finance[Defer End],$A314),"")</f>
        <v/>
      </c>
      <c r="J314" s="59">
        <f>IF(OR($H314="",$I314="",$G314=""),"",MAX(1,(YEAR($I314)-YEAR($H314))*12+MONTH($I314)-MONTH($H314)+1))</f>
        <v/>
      </c>
      <c r="K314" s="62">
        <f>IF($J314="","",$G314/$J314)</f>
        <v/>
      </c>
      <c r="L314" s="62">
        <f>IF($J314="",0,$K314*MAX(0,MIN(YEAR($C$3)*12+MONTH($C$3),YEAR($I314)*12+MONTH($I314))-(YEAR($H314)*12+MONTH($H314))+1))</f>
        <v/>
      </c>
      <c r="M314" s="62">
        <f>IF($J314="",0,$K314*MAX(0,MIN(YEAR($C$3)*12+MONTH($C$3)-1,YEAR($I314)*12+MONTH($I314))-(YEAR($H314)*12+MONTH($H314))+1))</f>
        <v/>
      </c>
      <c r="N314" s="62">
        <f>IF(OR($J314="",$B314=""),0,IF(YEAR($B314)*12+MONTH($B314)&lt;=YEAR($C$3)*12+MONTH($C$3),$G314,0))</f>
        <v/>
      </c>
      <c r="O314" s="62">
        <f>IF(OR($J314="",$B314=""),0,IF(YEAR($B314)*12+MONTH($B314)&lt;=YEAR($C$3)*12+MONTH($C$3)-1,$G314,0))</f>
        <v/>
      </c>
      <c r="P314" s="62">
        <f>$M314-$O314</f>
        <v/>
      </c>
      <c r="Q314" s="62">
        <f>($L314-$M314)-($N314-$O314)</f>
        <v/>
      </c>
      <c r="R314" s="62">
        <f>$L314-$N314</f>
        <v/>
      </c>
    </row>
    <row r="315">
      <c r="A315" s="59">
        <f>ROW()-5</f>
        <v/>
      </c>
      <c r="B315" s="60">
        <f>IFERROR(INDEX(tbl_Finance[Date],$A315),"")</f>
        <v/>
      </c>
      <c r="C315" s="61">
        <f>IFERROR(INDEX(tbl_Finance[Xero Invoice No],$A315),"")</f>
        <v/>
      </c>
      <c r="D315" s="61">
        <f>IFERROR(INDEX(tbl_Finance[Client],$A315),"")</f>
        <v/>
      </c>
      <c r="E315" s="61">
        <f>IFERROR(INDEX(tbl_Finance[Job Number],$A315),"")</f>
        <v/>
      </c>
      <c r="F315" s="61">
        <f>IFERROR(INDEX(tbl_Finance[Cost Centre],$A315),"")</f>
        <v/>
      </c>
      <c r="G315" s="62">
        <f>IFERROR(INDEX(tbl_Finance[Ex GST],$A315),"")</f>
        <v/>
      </c>
      <c r="H315" s="60">
        <f>IFERROR(INDEX(tbl_Finance[Defer Start],$A315),"")</f>
        <v/>
      </c>
      <c r="I315" s="60">
        <f>IFERROR(INDEX(tbl_Finance[Defer End],$A315),"")</f>
        <v/>
      </c>
      <c r="J315" s="59">
        <f>IF(OR($H315="",$I315="",$G315=""),"",MAX(1,(YEAR($I315)-YEAR($H315))*12+MONTH($I315)-MONTH($H315)+1))</f>
        <v/>
      </c>
      <c r="K315" s="62">
        <f>IF($J315="","",$G315/$J315)</f>
        <v/>
      </c>
      <c r="L315" s="62">
        <f>IF($J315="",0,$K315*MAX(0,MIN(YEAR($C$3)*12+MONTH($C$3),YEAR($I315)*12+MONTH($I315))-(YEAR($H315)*12+MONTH($H315))+1))</f>
        <v/>
      </c>
      <c r="M315" s="62">
        <f>IF($J315="",0,$K315*MAX(0,MIN(YEAR($C$3)*12+MONTH($C$3)-1,YEAR($I315)*12+MONTH($I315))-(YEAR($H315)*12+MONTH($H315))+1))</f>
        <v/>
      </c>
      <c r="N315" s="62">
        <f>IF(OR($J315="",$B315=""),0,IF(YEAR($B315)*12+MONTH($B315)&lt;=YEAR($C$3)*12+MONTH($C$3),$G315,0))</f>
        <v/>
      </c>
      <c r="O315" s="62">
        <f>IF(OR($J315="",$B315=""),0,IF(YEAR($B315)*12+MONTH($B315)&lt;=YEAR($C$3)*12+MONTH($C$3)-1,$G315,0))</f>
        <v/>
      </c>
      <c r="P315" s="62">
        <f>$M315-$O315</f>
        <v/>
      </c>
      <c r="Q315" s="62">
        <f>($L315-$M315)-($N315-$O315)</f>
        <v/>
      </c>
      <c r="R315" s="62">
        <f>$L315-$N315</f>
        <v/>
      </c>
    </row>
    <row r="316">
      <c r="A316" s="59">
        <f>ROW()-5</f>
        <v/>
      </c>
      <c r="B316" s="60">
        <f>IFERROR(INDEX(tbl_Finance[Date],$A316),"")</f>
        <v/>
      </c>
      <c r="C316" s="61">
        <f>IFERROR(INDEX(tbl_Finance[Xero Invoice No],$A316),"")</f>
        <v/>
      </c>
      <c r="D316" s="61">
        <f>IFERROR(INDEX(tbl_Finance[Client],$A316),"")</f>
        <v/>
      </c>
      <c r="E316" s="61">
        <f>IFERROR(INDEX(tbl_Finance[Job Number],$A316),"")</f>
        <v/>
      </c>
      <c r="F316" s="61">
        <f>IFERROR(INDEX(tbl_Finance[Cost Centre],$A316),"")</f>
        <v/>
      </c>
      <c r="G316" s="62">
        <f>IFERROR(INDEX(tbl_Finance[Ex GST],$A316),"")</f>
        <v/>
      </c>
      <c r="H316" s="60">
        <f>IFERROR(INDEX(tbl_Finance[Defer Start],$A316),"")</f>
        <v/>
      </c>
      <c r="I316" s="60">
        <f>IFERROR(INDEX(tbl_Finance[Defer End],$A316),"")</f>
        <v/>
      </c>
      <c r="J316" s="59">
        <f>IF(OR($H316="",$I316="",$G316=""),"",MAX(1,(YEAR($I316)-YEAR($H316))*12+MONTH($I316)-MONTH($H316)+1))</f>
        <v/>
      </c>
      <c r="K316" s="62">
        <f>IF($J316="","",$G316/$J316)</f>
        <v/>
      </c>
      <c r="L316" s="62">
        <f>IF($J316="",0,$K316*MAX(0,MIN(YEAR($C$3)*12+MONTH($C$3),YEAR($I316)*12+MONTH($I316))-(YEAR($H316)*12+MONTH($H316))+1))</f>
        <v/>
      </c>
      <c r="M316" s="62">
        <f>IF($J316="",0,$K316*MAX(0,MIN(YEAR($C$3)*12+MONTH($C$3)-1,YEAR($I316)*12+MONTH($I316))-(YEAR($H316)*12+MONTH($H316))+1))</f>
        <v/>
      </c>
      <c r="N316" s="62">
        <f>IF(OR($J316="",$B316=""),0,IF(YEAR($B316)*12+MONTH($B316)&lt;=YEAR($C$3)*12+MONTH($C$3),$G316,0))</f>
        <v/>
      </c>
      <c r="O316" s="62">
        <f>IF(OR($J316="",$B316=""),0,IF(YEAR($B316)*12+MONTH($B316)&lt;=YEAR($C$3)*12+MONTH($C$3)-1,$G316,0))</f>
        <v/>
      </c>
      <c r="P316" s="62">
        <f>$M316-$O316</f>
        <v/>
      </c>
      <c r="Q316" s="62">
        <f>($L316-$M316)-($N316-$O316)</f>
        <v/>
      </c>
      <c r="R316" s="62">
        <f>$L316-$N316</f>
        <v/>
      </c>
    </row>
    <row r="317">
      <c r="A317" s="59">
        <f>ROW()-5</f>
        <v/>
      </c>
      <c r="B317" s="60">
        <f>IFERROR(INDEX(tbl_Finance[Date],$A317),"")</f>
        <v/>
      </c>
      <c r="C317" s="61">
        <f>IFERROR(INDEX(tbl_Finance[Xero Invoice No],$A317),"")</f>
        <v/>
      </c>
      <c r="D317" s="61">
        <f>IFERROR(INDEX(tbl_Finance[Client],$A317),"")</f>
        <v/>
      </c>
      <c r="E317" s="61">
        <f>IFERROR(INDEX(tbl_Finance[Job Number],$A317),"")</f>
        <v/>
      </c>
      <c r="F317" s="61">
        <f>IFERROR(INDEX(tbl_Finance[Cost Centre],$A317),"")</f>
        <v/>
      </c>
      <c r="G317" s="62">
        <f>IFERROR(INDEX(tbl_Finance[Ex GST],$A317),"")</f>
        <v/>
      </c>
      <c r="H317" s="60">
        <f>IFERROR(INDEX(tbl_Finance[Defer Start],$A317),"")</f>
        <v/>
      </c>
      <c r="I317" s="60">
        <f>IFERROR(INDEX(tbl_Finance[Defer End],$A317),"")</f>
        <v/>
      </c>
      <c r="J317" s="59">
        <f>IF(OR($H317="",$I317="",$G317=""),"",MAX(1,(YEAR($I317)-YEAR($H317))*12+MONTH($I317)-MONTH($H317)+1))</f>
        <v/>
      </c>
      <c r="K317" s="62">
        <f>IF($J317="","",$G317/$J317)</f>
        <v/>
      </c>
      <c r="L317" s="62">
        <f>IF($J317="",0,$K317*MAX(0,MIN(YEAR($C$3)*12+MONTH($C$3),YEAR($I317)*12+MONTH($I317))-(YEAR($H317)*12+MONTH($H317))+1))</f>
        <v/>
      </c>
      <c r="M317" s="62">
        <f>IF($J317="",0,$K317*MAX(0,MIN(YEAR($C$3)*12+MONTH($C$3)-1,YEAR($I317)*12+MONTH($I317))-(YEAR($H317)*12+MONTH($H317))+1))</f>
        <v/>
      </c>
      <c r="N317" s="62">
        <f>IF(OR($J317="",$B317=""),0,IF(YEAR($B317)*12+MONTH($B317)&lt;=YEAR($C$3)*12+MONTH($C$3),$G317,0))</f>
        <v/>
      </c>
      <c r="O317" s="62">
        <f>IF(OR($J317="",$B317=""),0,IF(YEAR($B317)*12+MONTH($B317)&lt;=YEAR($C$3)*12+MONTH($C$3)-1,$G317,0))</f>
        <v/>
      </c>
      <c r="P317" s="62">
        <f>$M317-$O317</f>
        <v/>
      </c>
      <c r="Q317" s="62">
        <f>($L317-$M317)-($N317-$O317)</f>
        <v/>
      </c>
      <c r="R317" s="62">
        <f>$L317-$N317</f>
        <v/>
      </c>
    </row>
    <row r="318">
      <c r="A318" s="59">
        <f>ROW()-5</f>
        <v/>
      </c>
      <c r="B318" s="60">
        <f>IFERROR(INDEX(tbl_Finance[Date],$A318),"")</f>
        <v/>
      </c>
      <c r="C318" s="61">
        <f>IFERROR(INDEX(tbl_Finance[Xero Invoice No],$A318),"")</f>
        <v/>
      </c>
      <c r="D318" s="61">
        <f>IFERROR(INDEX(tbl_Finance[Client],$A318),"")</f>
        <v/>
      </c>
      <c r="E318" s="61">
        <f>IFERROR(INDEX(tbl_Finance[Job Number],$A318),"")</f>
        <v/>
      </c>
      <c r="F318" s="61">
        <f>IFERROR(INDEX(tbl_Finance[Cost Centre],$A318),"")</f>
        <v/>
      </c>
      <c r="G318" s="62">
        <f>IFERROR(INDEX(tbl_Finance[Ex GST],$A318),"")</f>
        <v/>
      </c>
      <c r="H318" s="60">
        <f>IFERROR(INDEX(tbl_Finance[Defer Start],$A318),"")</f>
        <v/>
      </c>
      <c r="I318" s="60">
        <f>IFERROR(INDEX(tbl_Finance[Defer End],$A318),"")</f>
        <v/>
      </c>
      <c r="J318" s="59">
        <f>IF(OR($H318="",$I318="",$G318=""),"",MAX(1,(YEAR($I318)-YEAR($H318))*12+MONTH($I318)-MONTH($H318)+1))</f>
        <v/>
      </c>
      <c r="K318" s="62">
        <f>IF($J318="","",$G318/$J318)</f>
        <v/>
      </c>
      <c r="L318" s="62">
        <f>IF($J318="",0,$K318*MAX(0,MIN(YEAR($C$3)*12+MONTH($C$3),YEAR($I318)*12+MONTH($I318))-(YEAR($H318)*12+MONTH($H318))+1))</f>
        <v/>
      </c>
      <c r="M318" s="62">
        <f>IF($J318="",0,$K318*MAX(0,MIN(YEAR($C$3)*12+MONTH($C$3)-1,YEAR($I318)*12+MONTH($I318))-(YEAR($H318)*12+MONTH($H318))+1))</f>
        <v/>
      </c>
      <c r="N318" s="62">
        <f>IF(OR($J318="",$B318=""),0,IF(YEAR($B318)*12+MONTH($B318)&lt;=YEAR($C$3)*12+MONTH($C$3),$G318,0))</f>
        <v/>
      </c>
      <c r="O318" s="62">
        <f>IF(OR($J318="",$B318=""),0,IF(YEAR($B318)*12+MONTH($B318)&lt;=YEAR($C$3)*12+MONTH($C$3)-1,$G318,0))</f>
        <v/>
      </c>
      <c r="P318" s="62">
        <f>$M318-$O318</f>
        <v/>
      </c>
      <c r="Q318" s="62">
        <f>($L318-$M318)-($N318-$O318)</f>
        <v/>
      </c>
      <c r="R318" s="62">
        <f>$L318-$N318</f>
        <v/>
      </c>
    </row>
    <row r="319">
      <c r="A319" s="59">
        <f>ROW()-5</f>
        <v/>
      </c>
      <c r="B319" s="60">
        <f>IFERROR(INDEX(tbl_Finance[Date],$A319),"")</f>
        <v/>
      </c>
      <c r="C319" s="61">
        <f>IFERROR(INDEX(tbl_Finance[Xero Invoice No],$A319),"")</f>
        <v/>
      </c>
      <c r="D319" s="61">
        <f>IFERROR(INDEX(tbl_Finance[Client],$A319),"")</f>
        <v/>
      </c>
      <c r="E319" s="61">
        <f>IFERROR(INDEX(tbl_Finance[Job Number],$A319),"")</f>
        <v/>
      </c>
      <c r="F319" s="61">
        <f>IFERROR(INDEX(tbl_Finance[Cost Centre],$A319),"")</f>
        <v/>
      </c>
      <c r="G319" s="62">
        <f>IFERROR(INDEX(tbl_Finance[Ex GST],$A319),"")</f>
        <v/>
      </c>
      <c r="H319" s="60">
        <f>IFERROR(INDEX(tbl_Finance[Defer Start],$A319),"")</f>
        <v/>
      </c>
      <c r="I319" s="60">
        <f>IFERROR(INDEX(tbl_Finance[Defer End],$A319),"")</f>
        <v/>
      </c>
      <c r="J319" s="59">
        <f>IF(OR($H319="",$I319="",$G319=""),"",MAX(1,(YEAR($I319)-YEAR($H319))*12+MONTH($I319)-MONTH($H319)+1))</f>
        <v/>
      </c>
      <c r="K319" s="62">
        <f>IF($J319="","",$G319/$J319)</f>
        <v/>
      </c>
      <c r="L319" s="62">
        <f>IF($J319="",0,$K319*MAX(0,MIN(YEAR($C$3)*12+MONTH($C$3),YEAR($I319)*12+MONTH($I319))-(YEAR($H319)*12+MONTH($H319))+1))</f>
        <v/>
      </c>
      <c r="M319" s="62">
        <f>IF($J319="",0,$K319*MAX(0,MIN(YEAR($C$3)*12+MONTH($C$3)-1,YEAR($I319)*12+MONTH($I319))-(YEAR($H319)*12+MONTH($H319))+1))</f>
        <v/>
      </c>
      <c r="N319" s="62">
        <f>IF(OR($J319="",$B319=""),0,IF(YEAR($B319)*12+MONTH($B319)&lt;=YEAR($C$3)*12+MONTH($C$3),$G319,0))</f>
        <v/>
      </c>
      <c r="O319" s="62">
        <f>IF(OR($J319="",$B319=""),0,IF(YEAR($B319)*12+MONTH($B319)&lt;=YEAR($C$3)*12+MONTH($C$3)-1,$G319,0))</f>
        <v/>
      </c>
      <c r="P319" s="62">
        <f>$M319-$O319</f>
        <v/>
      </c>
      <c r="Q319" s="62">
        <f>($L319-$M319)-($N319-$O319)</f>
        <v/>
      </c>
      <c r="R319" s="62">
        <f>$L319-$N319</f>
        <v/>
      </c>
    </row>
    <row r="320">
      <c r="A320" s="59">
        <f>ROW()-5</f>
        <v/>
      </c>
      <c r="B320" s="60">
        <f>IFERROR(INDEX(tbl_Finance[Date],$A320),"")</f>
        <v/>
      </c>
      <c r="C320" s="61">
        <f>IFERROR(INDEX(tbl_Finance[Xero Invoice No],$A320),"")</f>
        <v/>
      </c>
      <c r="D320" s="61">
        <f>IFERROR(INDEX(tbl_Finance[Client],$A320),"")</f>
        <v/>
      </c>
      <c r="E320" s="61">
        <f>IFERROR(INDEX(tbl_Finance[Job Number],$A320),"")</f>
        <v/>
      </c>
      <c r="F320" s="61">
        <f>IFERROR(INDEX(tbl_Finance[Cost Centre],$A320),"")</f>
        <v/>
      </c>
      <c r="G320" s="62">
        <f>IFERROR(INDEX(tbl_Finance[Ex GST],$A320),"")</f>
        <v/>
      </c>
      <c r="H320" s="60">
        <f>IFERROR(INDEX(tbl_Finance[Defer Start],$A320),"")</f>
        <v/>
      </c>
      <c r="I320" s="60">
        <f>IFERROR(INDEX(tbl_Finance[Defer End],$A320),"")</f>
        <v/>
      </c>
      <c r="J320" s="59">
        <f>IF(OR($H320="",$I320="",$G320=""),"",MAX(1,(YEAR($I320)-YEAR($H320))*12+MONTH($I320)-MONTH($H320)+1))</f>
        <v/>
      </c>
      <c r="K320" s="62">
        <f>IF($J320="","",$G320/$J320)</f>
        <v/>
      </c>
      <c r="L320" s="62">
        <f>IF($J320="",0,$K320*MAX(0,MIN(YEAR($C$3)*12+MONTH($C$3),YEAR($I320)*12+MONTH($I320))-(YEAR($H320)*12+MONTH($H320))+1))</f>
        <v/>
      </c>
      <c r="M320" s="62">
        <f>IF($J320="",0,$K320*MAX(0,MIN(YEAR($C$3)*12+MONTH($C$3)-1,YEAR($I320)*12+MONTH($I320))-(YEAR($H320)*12+MONTH($H320))+1))</f>
        <v/>
      </c>
      <c r="N320" s="62">
        <f>IF(OR($J320="",$B320=""),0,IF(YEAR($B320)*12+MONTH($B320)&lt;=YEAR($C$3)*12+MONTH($C$3),$G320,0))</f>
        <v/>
      </c>
      <c r="O320" s="62">
        <f>IF(OR($J320="",$B320=""),0,IF(YEAR($B320)*12+MONTH($B320)&lt;=YEAR($C$3)*12+MONTH($C$3)-1,$G320,0))</f>
        <v/>
      </c>
      <c r="P320" s="62">
        <f>$M320-$O320</f>
        <v/>
      </c>
      <c r="Q320" s="62">
        <f>($L320-$M320)-($N320-$O320)</f>
        <v/>
      </c>
      <c r="R320" s="62">
        <f>$L320-$N320</f>
        <v/>
      </c>
    </row>
    <row r="321">
      <c r="A321" s="59">
        <f>ROW()-5</f>
        <v/>
      </c>
      <c r="B321" s="60">
        <f>IFERROR(INDEX(tbl_Finance[Date],$A321),"")</f>
        <v/>
      </c>
      <c r="C321" s="61">
        <f>IFERROR(INDEX(tbl_Finance[Xero Invoice No],$A321),"")</f>
        <v/>
      </c>
      <c r="D321" s="61">
        <f>IFERROR(INDEX(tbl_Finance[Client],$A321),"")</f>
        <v/>
      </c>
      <c r="E321" s="61">
        <f>IFERROR(INDEX(tbl_Finance[Job Number],$A321),"")</f>
        <v/>
      </c>
      <c r="F321" s="61">
        <f>IFERROR(INDEX(tbl_Finance[Cost Centre],$A321),"")</f>
        <v/>
      </c>
      <c r="G321" s="62">
        <f>IFERROR(INDEX(tbl_Finance[Ex GST],$A321),"")</f>
        <v/>
      </c>
      <c r="H321" s="60">
        <f>IFERROR(INDEX(tbl_Finance[Defer Start],$A321),"")</f>
        <v/>
      </c>
      <c r="I321" s="60">
        <f>IFERROR(INDEX(tbl_Finance[Defer End],$A321),"")</f>
        <v/>
      </c>
      <c r="J321" s="59">
        <f>IF(OR($H321="",$I321="",$G321=""),"",MAX(1,(YEAR($I321)-YEAR($H321))*12+MONTH($I321)-MONTH($H321)+1))</f>
        <v/>
      </c>
      <c r="K321" s="62">
        <f>IF($J321="","",$G321/$J321)</f>
        <v/>
      </c>
      <c r="L321" s="62">
        <f>IF($J321="",0,$K321*MAX(0,MIN(YEAR($C$3)*12+MONTH($C$3),YEAR($I321)*12+MONTH($I321))-(YEAR($H321)*12+MONTH($H321))+1))</f>
        <v/>
      </c>
      <c r="M321" s="62">
        <f>IF($J321="",0,$K321*MAX(0,MIN(YEAR($C$3)*12+MONTH($C$3)-1,YEAR($I321)*12+MONTH($I321))-(YEAR($H321)*12+MONTH($H321))+1))</f>
        <v/>
      </c>
      <c r="N321" s="62">
        <f>IF(OR($J321="",$B321=""),0,IF(YEAR($B321)*12+MONTH($B321)&lt;=YEAR($C$3)*12+MONTH($C$3),$G321,0))</f>
        <v/>
      </c>
      <c r="O321" s="62">
        <f>IF(OR($J321="",$B321=""),0,IF(YEAR($B321)*12+MONTH($B321)&lt;=YEAR($C$3)*12+MONTH($C$3)-1,$G321,0))</f>
        <v/>
      </c>
      <c r="P321" s="62">
        <f>$M321-$O321</f>
        <v/>
      </c>
      <c r="Q321" s="62">
        <f>($L321-$M321)-($N321-$O321)</f>
        <v/>
      </c>
      <c r="R321" s="62">
        <f>$L321-$N321</f>
        <v/>
      </c>
    </row>
    <row r="322">
      <c r="A322" s="59">
        <f>ROW()-5</f>
        <v/>
      </c>
      <c r="B322" s="60">
        <f>IFERROR(INDEX(tbl_Finance[Date],$A322),"")</f>
        <v/>
      </c>
      <c r="C322" s="61">
        <f>IFERROR(INDEX(tbl_Finance[Xero Invoice No],$A322),"")</f>
        <v/>
      </c>
      <c r="D322" s="61">
        <f>IFERROR(INDEX(tbl_Finance[Client],$A322),"")</f>
        <v/>
      </c>
      <c r="E322" s="61">
        <f>IFERROR(INDEX(tbl_Finance[Job Number],$A322),"")</f>
        <v/>
      </c>
      <c r="F322" s="61">
        <f>IFERROR(INDEX(tbl_Finance[Cost Centre],$A322),"")</f>
        <v/>
      </c>
      <c r="G322" s="62">
        <f>IFERROR(INDEX(tbl_Finance[Ex GST],$A322),"")</f>
        <v/>
      </c>
      <c r="H322" s="60">
        <f>IFERROR(INDEX(tbl_Finance[Defer Start],$A322),"")</f>
        <v/>
      </c>
      <c r="I322" s="60">
        <f>IFERROR(INDEX(tbl_Finance[Defer End],$A322),"")</f>
        <v/>
      </c>
      <c r="J322" s="59">
        <f>IF(OR($H322="",$I322="",$G322=""),"",MAX(1,(YEAR($I322)-YEAR($H322))*12+MONTH($I322)-MONTH($H322)+1))</f>
        <v/>
      </c>
      <c r="K322" s="62">
        <f>IF($J322="","",$G322/$J322)</f>
        <v/>
      </c>
      <c r="L322" s="62">
        <f>IF($J322="",0,$K322*MAX(0,MIN(YEAR($C$3)*12+MONTH($C$3),YEAR($I322)*12+MONTH($I322))-(YEAR($H322)*12+MONTH($H322))+1))</f>
        <v/>
      </c>
      <c r="M322" s="62">
        <f>IF($J322="",0,$K322*MAX(0,MIN(YEAR($C$3)*12+MONTH($C$3)-1,YEAR($I322)*12+MONTH($I322))-(YEAR($H322)*12+MONTH($H322))+1))</f>
        <v/>
      </c>
      <c r="N322" s="62">
        <f>IF(OR($J322="",$B322=""),0,IF(YEAR($B322)*12+MONTH($B322)&lt;=YEAR($C$3)*12+MONTH($C$3),$G322,0))</f>
        <v/>
      </c>
      <c r="O322" s="62">
        <f>IF(OR($J322="",$B322=""),0,IF(YEAR($B322)*12+MONTH($B322)&lt;=YEAR($C$3)*12+MONTH($C$3)-1,$G322,0))</f>
        <v/>
      </c>
      <c r="P322" s="62">
        <f>$M322-$O322</f>
        <v/>
      </c>
      <c r="Q322" s="62">
        <f>($L322-$M322)-($N322-$O322)</f>
        <v/>
      </c>
      <c r="R322" s="62">
        <f>$L322-$N322</f>
        <v/>
      </c>
    </row>
    <row r="323">
      <c r="A323" s="59">
        <f>ROW()-5</f>
        <v/>
      </c>
      <c r="B323" s="60">
        <f>IFERROR(INDEX(tbl_Finance[Date],$A323),"")</f>
        <v/>
      </c>
      <c r="C323" s="61">
        <f>IFERROR(INDEX(tbl_Finance[Xero Invoice No],$A323),"")</f>
        <v/>
      </c>
      <c r="D323" s="61">
        <f>IFERROR(INDEX(tbl_Finance[Client],$A323),"")</f>
        <v/>
      </c>
      <c r="E323" s="61">
        <f>IFERROR(INDEX(tbl_Finance[Job Number],$A323),"")</f>
        <v/>
      </c>
      <c r="F323" s="61">
        <f>IFERROR(INDEX(tbl_Finance[Cost Centre],$A323),"")</f>
        <v/>
      </c>
      <c r="G323" s="62">
        <f>IFERROR(INDEX(tbl_Finance[Ex GST],$A323),"")</f>
        <v/>
      </c>
      <c r="H323" s="60">
        <f>IFERROR(INDEX(tbl_Finance[Defer Start],$A323),"")</f>
        <v/>
      </c>
      <c r="I323" s="60">
        <f>IFERROR(INDEX(tbl_Finance[Defer End],$A323),"")</f>
        <v/>
      </c>
      <c r="J323" s="59">
        <f>IF(OR($H323="",$I323="",$G323=""),"",MAX(1,(YEAR($I323)-YEAR($H323))*12+MONTH($I323)-MONTH($H323)+1))</f>
        <v/>
      </c>
      <c r="K323" s="62">
        <f>IF($J323="","",$G323/$J323)</f>
        <v/>
      </c>
      <c r="L323" s="62">
        <f>IF($J323="",0,$K323*MAX(0,MIN(YEAR($C$3)*12+MONTH($C$3),YEAR($I323)*12+MONTH($I323))-(YEAR($H323)*12+MONTH($H323))+1))</f>
        <v/>
      </c>
      <c r="M323" s="62">
        <f>IF($J323="",0,$K323*MAX(0,MIN(YEAR($C$3)*12+MONTH($C$3)-1,YEAR($I323)*12+MONTH($I323))-(YEAR($H323)*12+MONTH($H323))+1))</f>
        <v/>
      </c>
      <c r="N323" s="62">
        <f>IF(OR($J323="",$B323=""),0,IF(YEAR($B323)*12+MONTH($B323)&lt;=YEAR($C$3)*12+MONTH($C$3),$G323,0))</f>
        <v/>
      </c>
      <c r="O323" s="62">
        <f>IF(OR($J323="",$B323=""),0,IF(YEAR($B323)*12+MONTH($B323)&lt;=YEAR($C$3)*12+MONTH($C$3)-1,$G323,0))</f>
        <v/>
      </c>
      <c r="P323" s="62">
        <f>$M323-$O323</f>
        <v/>
      </c>
      <c r="Q323" s="62">
        <f>($L323-$M323)-($N323-$O323)</f>
        <v/>
      </c>
      <c r="R323" s="62">
        <f>$L323-$N323</f>
        <v/>
      </c>
    </row>
    <row r="324">
      <c r="A324" s="59">
        <f>ROW()-5</f>
        <v/>
      </c>
      <c r="B324" s="60">
        <f>IFERROR(INDEX(tbl_Finance[Date],$A324),"")</f>
        <v/>
      </c>
      <c r="C324" s="61">
        <f>IFERROR(INDEX(tbl_Finance[Xero Invoice No],$A324),"")</f>
        <v/>
      </c>
      <c r="D324" s="61">
        <f>IFERROR(INDEX(tbl_Finance[Client],$A324),"")</f>
        <v/>
      </c>
      <c r="E324" s="61">
        <f>IFERROR(INDEX(tbl_Finance[Job Number],$A324),"")</f>
        <v/>
      </c>
      <c r="F324" s="61">
        <f>IFERROR(INDEX(tbl_Finance[Cost Centre],$A324),"")</f>
        <v/>
      </c>
      <c r="G324" s="62">
        <f>IFERROR(INDEX(tbl_Finance[Ex GST],$A324),"")</f>
        <v/>
      </c>
      <c r="H324" s="60">
        <f>IFERROR(INDEX(tbl_Finance[Defer Start],$A324),"")</f>
        <v/>
      </c>
      <c r="I324" s="60">
        <f>IFERROR(INDEX(tbl_Finance[Defer End],$A324),"")</f>
        <v/>
      </c>
      <c r="J324" s="59">
        <f>IF(OR($H324="",$I324="",$G324=""),"",MAX(1,(YEAR($I324)-YEAR($H324))*12+MONTH($I324)-MONTH($H324)+1))</f>
        <v/>
      </c>
      <c r="K324" s="62">
        <f>IF($J324="","",$G324/$J324)</f>
        <v/>
      </c>
      <c r="L324" s="62">
        <f>IF($J324="",0,$K324*MAX(0,MIN(YEAR($C$3)*12+MONTH($C$3),YEAR($I324)*12+MONTH($I324))-(YEAR($H324)*12+MONTH($H324))+1))</f>
        <v/>
      </c>
      <c r="M324" s="62">
        <f>IF($J324="",0,$K324*MAX(0,MIN(YEAR($C$3)*12+MONTH($C$3)-1,YEAR($I324)*12+MONTH($I324))-(YEAR($H324)*12+MONTH($H324))+1))</f>
        <v/>
      </c>
      <c r="N324" s="62">
        <f>IF(OR($J324="",$B324=""),0,IF(YEAR($B324)*12+MONTH($B324)&lt;=YEAR($C$3)*12+MONTH($C$3),$G324,0))</f>
        <v/>
      </c>
      <c r="O324" s="62">
        <f>IF(OR($J324="",$B324=""),0,IF(YEAR($B324)*12+MONTH($B324)&lt;=YEAR($C$3)*12+MONTH($C$3)-1,$G324,0))</f>
        <v/>
      </c>
      <c r="P324" s="62">
        <f>$M324-$O324</f>
        <v/>
      </c>
      <c r="Q324" s="62">
        <f>($L324-$M324)-($N324-$O324)</f>
        <v/>
      </c>
      <c r="R324" s="62">
        <f>$L324-$N324</f>
        <v/>
      </c>
    </row>
    <row r="325">
      <c r="A325" s="59">
        <f>ROW()-5</f>
        <v/>
      </c>
      <c r="B325" s="60">
        <f>IFERROR(INDEX(tbl_Finance[Date],$A325),"")</f>
        <v/>
      </c>
      <c r="C325" s="61">
        <f>IFERROR(INDEX(tbl_Finance[Xero Invoice No],$A325),"")</f>
        <v/>
      </c>
      <c r="D325" s="61">
        <f>IFERROR(INDEX(tbl_Finance[Client],$A325),"")</f>
        <v/>
      </c>
      <c r="E325" s="61">
        <f>IFERROR(INDEX(tbl_Finance[Job Number],$A325),"")</f>
        <v/>
      </c>
      <c r="F325" s="61">
        <f>IFERROR(INDEX(tbl_Finance[Cost Centre],$A325),"")</f>
        <v/>
      </c>
      <c r="G325" s="62">
        <f>IFERROR(INDEX(tbl_Finance[Ex GST],$A325),"")</f>
        <v/>
      </c>
      <c r="H325" s="60">
        <f>IFERROR(INDEX(tbl_Finance[Defer Start],$A325),"")</f>
        <v/>
      </c>
      <c r="I325" s="60">
        <f>IFERROR(INDEX(tbl_Finance[Defer End],$A325),"")</f>
        <v/>
      </c>
      <c r="J325" s="59">
        <f>IF(OR($H325="",$I325="",$G325=""),"",MAX(1,(YEAR($I325)-YEAR($H325))*12+MONTH($I325)-MONTH($H325)+1))</f>
        <v/>
      </c>
      <c r="K325" s="62">
        <f>IF($J325="","",$G325/$J325)</f>
        <v/>
      </c>
      <c r="L325" s="62">
        <f>IF($J325="",0,$K325*MAX(0,MIN(YEAR($C$3)*12+MONTH($C$3),YEAR($I325)*12+MONTH($I325))-(YEAR($H325)*12+MONTH($H325))+1))</f>
        <v/>
      </c>
      <c r="M325" s="62">
        <f>IF($J325="",0,$K325*MAX(0,MIN(YEAR($C$3)*12+MONTH($C$3)-1,YEAR($I325)*12+MONTH($I325))-(YEAR($H325)*12+MONTH($H325))+1))</f>
        <v/>
      </c>
      <c r="N325" s="62">
        <f>IF(OR($J325="",$B325=""),0,IF(YEAR($B325)*12+MONTH($B325)&lt;=YEAR($C$3)*12+MONTH($C$3),$G325,0))</f>
        <v/>
      </c>
      <c r="O325" s="62">
        <f>IF(OR($J325="",$B325=""),0,IF(YEAR($B325)*12+MONTH($B325)&lt;=YEAR($C$3)*12+MONTH($C$3)-1,$G325,0))</f>
        <v/>
      </c>
      <c r="P325" s="62">
        <f>$M325-$O325</f>
        <v/>
      </c>
      <c r="Q325" s="62">
        <f>($L325-$M325)-($N325-$O325)</f>
        <v/>
      </c>
      <c r="R325" s="62">
        <f>$L325-$N325</f>
        <v/>
      </c>
    </row>
    <row r="326">
      <c r="A326" s="59">
        <f>ROW()-5</f>
        <v/>
      </c>
      <c r="B326" s="60">
        <f>IFERROR(INDEX(tbl_Finance[Date],$A326),"")</f>
        <v/>
      </c>
      <c r="C326" s="61">
        <f>IFERROR(INDEX(tbl_Finance[Xero Invoice No],$A326),"")</f>
        <v/>
      </c>
      <c r="D326" s="61">
        <f>IFERROR(INDEX(tbl_Finance[Client],$A326),"")</f>
        <v/>
      </c>
      <c r="E326" s="61">
        <f>IFERROR(INDEX(tbl_Finance[Job Number],$A326),"")</f>
        <v/>
      </c>
      <c r="F326" s="61">
        <f>IFERROR(INDEX(tbl_Finance[Cost Centre],$A326),"")</f>
        <v/>
      </c>
      <c r="G326" s="62">
        <f>IFERROR(INDEX(tbl_Finance[Ex GST],$A326),"")</f>
        <v/>
      </c>
      <c r="H326" s="60">
        <f>IFERROR(INDEX(tbl_Finance[Defer Start],$A326),"")</f>
        <v/>
      </c>
      <c r="I326" s="60">
        <f>IFERROR(INDEX(tbl_Finance[Defer End],$A326),"")</f>
        <v/>
      </c>
      <c r="J326" s="59">
        <f>IF(OR($H326="",$I326="",$G326=""),"",MAX(1,(YEAR($I326)-YEAR($H326))*12+MONTH($I326)-MONTH($H326)+1))</f>
        <v/>
      </c>
      <c r="K326" s="62">
        <f>IF($J326="","",$G326/$J326)</f>
        <v/>
      </c>
      <c r="L326" s="62">
        <f>IF($J326="",0,$K326*MAX(0,MIN(YEAR($C$3)*12+MONTH($C$3),YEAR($I326)*12+MONTH($I326))-(YEAR($H326)*12+MONTH($H326))+1))</f>
        <v/>
      </c>
      <c r="M326" s="62">
        <f>IF($J326="",0,$K326*MAX(0,MIN(YEAR($C$3)*12+MONTH($C$3)-1,YEAR($I326)*12+MONTH($I326))-(YEAR($H326)*12+MONTH($H326))+1))</f>
        <v/>
      </c>
      <c r="N326" s="62">
        <f>IF(OR($J326="",$B326=""),0,IF(YEAR($B326)*12+MONTH($B326)&lt;=YEAR($C$3)*12+MONTH($C$3),$G326,0))</f>
        <v/>
      </c>
      <c r="O326" s="62">
        <f>IF(OR($J326="",$B326=""),0,IF(YEAR($B326)*12+MONTH($B326)&lt;=YEAR($C$3)*12+MONTH($C$3)-1,$G326,0))</f>
        <v/>
      </c>
      <c r="P326" s="62">
        <f>$M326-$O326</f>
        <v/>
      </c>
      <c r="Q326" s="62">
        <f>($L326-$M326)-($N326-$O326)</f>
        <v/>
      </c>
      <c r="R326" s="62">
        <f>$L326-$N326</f>
        <v/>
      </c>
    </row>
    <row r="327">
      <c r="A327" s="59">
        <f>ROW()-5</f>
        <v/>
      </c>
      <c r="B327" s="60">
        <f>IFERROR(INDEX(tbl_Finance[Date],$A327),"")</f>
        <v/>
      </c>
      <c r="C327" s="61">
        <f>IFERROR(INDEX(tbl_Finance[Xero Invoice No],$A327),"")</f>
        <v/>
      </c>
      <c r="D327" s="61">
        <f>IFERROR(INDEX(tbl_Finance[Client],$A327),"")</f>
        <v/>
      </c>
      <c r="E327" s="61">
        <f>IFERROR(INDEX(tbl_Finance[Job Number],$A327),"")</f>
        <v/>
      </c>
      <c r="F327" s="61">
        <f>IFERROR(INDEX(tbl_Finance[Cost Centre],$A327),"")</f>
        <v/>
      </c>
      <c r="G327" s="62">
        <f>IFERROR(INDEX(tbl_Finance[Ex GST],$A327),"")</f>
        <v/>
      </c>
      <c r="H327" s="60">
        <f>IFERROR(INDEX(tbl_Finance[Defer Start],$A327),"")</f>
        <v/>
      </c>
      <c r="I327" s="60">
        <f>IFERROR(INDEX(tbl_Finance[Defer End],$A327),"")</f>
        <v/>
      </c>
      <c r="J327" s="59">
        <f>IF(OR($H327="",$I327="",$G327=""),"",MAX(1,(YEAR($I327)-YEAR($H327))*12+MONTH($I327)-MONTH($H327)+1))</f>
        <v/>
      </c>
      <c r="K327" s="62">
        <f>IF($J327="","",$G327/$J327)</f>
        <v/>
      </c>
      <c r="L327" s="62">
        <f>IF($J327="",0,$K327*MAX(0,MIN(YEAR($C$3)*12+MONTH($C$3),YEAR($I327)*12+MONTH($I327))-(YEAR($H327)*12+MONTH($H327))+1))</f>
        <v/>
      </c>
      <c r="M327" s="62">
        <f>IF($J327="",0,$K327*MAX(0,MIN(YEAR($C$3)*12+MONTH($C$3)-1,YEAR($I327)*12+MONTH($I327))-(YEAR($H327)*12+MONTH($H327))+1))</f>
        <v/>
      </c>
      <c r="N327" s="62">
        <f>IF(OR($J327="",$B327=""),0,IF(YEAR($B327)*12+MONTH($B327)&lt;=YEAR($C$3)*12+MONTH($C$3),$G327,0))</f>
        <v/>
      </c>
      <c r="O327" s="62">
        <f>IF(OR($J327="",$B327=""),0,IF(YEAR($B327)*12+MONTH($B327)&lt;=YEAR($C$3)*12+MONTH($C$3)-1,$G327,0))</f>
        <v/>
      </c>
      <c r="P327" s="62">
        <f>$M327-$O327</f>
        <v/>
      </c>
      <c r="Q327" s="62">
        <f>($L327-$M327)-($N327-$O327)</f>
        <v/>
      </c>
      <c r="R327" s="62">
        <f>$L327-$N327</f>
        <v/>
      </c>
    </row>
    <row r="328">
      <c r="A328" s="59">
        <f>ROW()-5</f>
        <v/>
      </c>
      <c r="B328" s="60">
        <f>IFERROR(INDEX(tbl_Finance[Date],$A328),"")</f>
        <v/>
      </c>
      <c r="C328" s="61">
        <f>IFERROR(INDEX(tbl_Finance[Xero Invoice No],$A328),"")</f>
        <v/>
      </c>
      <c r="D328" s="61">
        <f>IFERROR(INDEX(tbl_Finance[Client],$A328),"")</f>
        <v/>
      </c>
      <c r="E328" s="61">
        <f>IFERROR(INDEX(tbl_Finance[Job Number],$A328),"")</f>
        <v/>
      </c>
      <c r="F328" s="61">
        <f>IFERROR(INDEX(tbl_Finance[Cost Centre],$A328),"")</f>
        <v/>
      </c>
      <c r="G328" s="62">
        <f>IFERROR(INDEX(tbl_Finance[Ex GST],$A328),"")</f>
        <v/>
      </c>
      <c r="H328" s="60">
        <f>IFERROR(INDEX(tbl_Finance[Defer Start],$A328),"")</f>
        <v/>
      </c>
      <c r="I328" s="60">
        <f>IFERROR(INDEX(tbl_Finance[Defer End],$A328),"")</f>
        <v/>
      </c>
      <c r="J328" s="59">
        <f>IF(OR($H328="",$I328="",$G328=""),"",MAX(1,(YEAR($I328)-YEAR($H328))*12+MONTH($I328)-MONTH($H328)+1))</f>
        <v/>
      </c>
      <c r="K328" s="62">
        <f>IF($J328="","",$G328/$J328)</f>
        <v/>
      </c>
      <c r="L328" s="62">
        <f>IF($J328="",0,$K328*MAX(0,MIN(YEAR($C$3)*12+MONTH($C$3),YEAR($I328)*12+MONTH($I328))-(YEAR($H328)*12+MONTH($H328))+1))</f>
        <v/>
      </c>
      <c r="M328" s="62">
        <f>IF($J328="",0,$K328*MAX(0,MIN(YEAR($C$3)*12+MONTH($C$3)-1,YEAR($I328)*12+MONTH($I328))-(YEAR($H328)*12+MONTH($H328))+1))</f>
        <v/>
      </c>
      <c r="N328" s="62">
        <f>IF(OR($J328="",$B328=""),0,IF(YEAR($B328)*12+MONTH($B328)&lt;=YEAR($C$3)*12+MONTH($C$3),$G328,0))</f>
        <v/>
      </c>
      <c r="O328" s="62">
        <f>IF(OR($J328="",$B328=""),0,IF(YEAR($B328)*12+MONTH($B328)&lt;=YEAR($C$3)*12+MONTH($C$3)-1,$G328,0))</f>
        <v/>
      </c>
      <c r="P328" s="62">
        <f>$M328-$O328</f>
        <v/>
      </c>
      <c r="Q328" s="62">
        <f>($L328-$M328)-($N328-$O328)</f>
        <v/>
      </c>
      <c r="R328" s="62">
        <f>$L328-$N328</f>
        <v/>
      </c>
    </row>
    <row r="329">
      <c r="A329" s="59">
        <f>ROW()-5</f>
        <v/>
      </c>
      <c r="B329" s="60">
        <f>IFERROR(INDEX(tbl_Finance[Date],$A329),"")</f>
        <v/>
      </c>
      <c r="C329" s="61">
        <f>IFERROR(INDEX(tbl_Finance[Xero Invoice No],$A329),"")</f>
        <v/>
      </c>
      <c r="D329" s="61">
        <f>IFERROR(INDEX(tbl_Finance[Client],$A329),"")</f>
        <v/>
      </c>
      <c r="E329" s="61">
        <f>IFERROR(INDEX(tbl_Finance[Job Number],$A329),"")</f>
        <v/>
      </c>
      <c r="F329" s="61">
        <f>IFERROR(INDEX(tbl_Finance[Cost Centre],$A329),"")</f>
        <v/>
      </c>
      <c r="G329" s="62">
        <f>IFERROR(INDEX(tbl_Finance[Ex GST],$A329),"")</f>
        <v/>
      </c>
      <c r="H329" s="60">
        <f>IFERROR(INDEX(tbl_Finance[Defer Start],$A329),"")</f>
        <v/>
      </c>
      <c r="I329" s="60">
        <f>IFERROR(INDEX(tbl_Finance[Defer End],$A329),"")</f>
        <v/>
      </c>
      <c r="J329" s="59">
        <f>IF(OR($H329="",$I329="",$G329=""),"",MAX(1,(YEAR($I329)-YEAR($H329))*12+MONTH($I329)-MONTH($H329)+1))</f>
        <v/>
      </c>
      <c r="K329" s="62">
        <f>IF($J329="","",$G329/$J329)</f>
        <v/>
      </c>
      <c r="L329" s="62">
        <f>IF($J329="",0,$K329*MAX(0,MIN(YEAR($C$3)*12+MONTH($C$3),YEAR($I329)*12+MONTH($I329))-(YEAR($H329)*12+MONTH($H329))+1))</f>
        <v/>
      </c>
      <c r="M329" s="62">
        <f>IF($J329="",0,$K329*MAX(0,MIN(YEAR($C$3)*12+MONTH($C$3)-1,YEAR($I329)*12+MONTH($I329))-(YEAR($H329)*12+MONTH($H329))+1))</f>
        <v/>
      </c>
      <c r="N329" s="62">
        <f>IF(OR($J329="",$B329=""),0,IF(YEAR($B329)*12+MONTH($B329)&lt;=YEAR($C$3)*12+MONTH($C$3),$G329,0))</f>
        <v/>
      </c>
      <c r="O329" s="62">
        <f>IF(OR($J329="",$B329=""),0,IF(YEAR($B329)*12+MONTH($B329)&lt;=YEAR($C$3)*12+MONTH($C$3)-1,$G329,0))</f>
        <v/>
      </c>
      <c r="P329" s="62">
        <f>$M329-$O329</f>
        <v/>
      </c>
      <c r="Q329" s="62">
        <f>($L329-$M329)-($N329-$O329)</f>
        <v/>
      </c>
      <c r="R329" s="62">
        <f>$L329-$N329</f>
        <v/>
      </c>
    </row>
    <row r="330">
      <c r="A330" s="59">
        <f>ROW()-5</f>
        <v/>
      </c>
      <c r="B330" s="60">
        <f>IFERROR(INDEX(tbl_Finance[Date],$A330),"")</f>
        <v/>
      </c>
      <c r="C330" s="61">
        <f>IFERROR(INDEX(tbl_Finance[Xero Invoice No],$A330),"")</f>
        <v/>
      </c>
      <c r="D330" s="61">
        <f>IFERROR(INDEX(tbl_Finance[Client],$A330),"")</f>
        <v/>
      </c>
      <c r="E330" s="61">
        <f>IFERROR(INDEX(tbl_Finance[Job Number],$A330),"")</f>
        <v/>
      </c>
      <c r="F330" s="61">
        <f>IFERROR(INDEX(tbl_Finance[Cost Centre],$A330),"")</f>
        <v/>
      </c>
      <c r="G330" s="62">
        <f>IFERROR(INDEX(tbl_Finance[Ex GST],$A330),"")</f>
        <v/>
      </c>
      <c r="H330" s="60">
        <f>IFERROR(INDEX(tbl_Finance[Defer Start],$A330),"")</f>
        <v/>
      </c>
      <c r="I330" s="60">
        <f>IFERROR(INDEX(tbl_Finance[Defer End],$A330),"")</f>
        <v/>
      </c>
      <c r="J330" s="59">
        <f>IF(OR($H330="",$I330="",$G330=""),"",MAX(1,(YEAR($I330)-YEAR($H330))*12+MONTH($I330)-MONTH($H330)+1))</f>
        <v/>
      </c>
      <c r="K330" s="62">
        <f>IF($J330="","",$G330/$J330)</f>
        <v/>
      </c>
      <c r="L330" s="62">
        <f>IF($J330="",0,$K330*MAX(0,MIN(YEAR($C$3)*12+MONTH($C$3),YEAR($I330)*12+MONTH($I330))-(YEAR($H330)*12+MONTH($H330))+1))</f>
        <v/>
      </c>
      <c r="M330" s="62">
        <f>IF($J330="",0,$K330*MAX(0,MIN(YEAR($C$3)*12+MONTH($C$3)-1,YEAR($I330)*12+MONTH($I330))-(YEAR($H330)*12+MONTH($H330))+1))</f>
        <v/>
      </c>
      <c r="N330" s="62">
        <f>IF(OR($J330="",$B330=""),0,IF(YEAR($B330)*12+MONTH($B330)&lt;=YEAR($C$3)*12+MONTH($C$3),$G330,0))</f>
        <v/>
      </c>
      <c r="O330" s="62">
        <f>IF(OR($J330="",$B330=""),0,IF(YEAR($B330)*12+MONTH($B330)&lt;=YEAR($C$3)*12+MONTH($C$3)-1,$G330,0))</f>
        <v/>
      </c>
      <c r="P330" s="62">
        <f>$M330-$O330</f>
        <v/>
      </c>
      <c r="Q330" s="62">
        <f>($L330-$M330)-($N330-$O330)</f>
        <v/>
      </c>
      <c r="R330" s="62">
        <f>$L330-$N330</f>
        <v/>
      </c>
    </row>
    <row r="331">
      <c r="A331" s="59">
        <f>ROW()-5</f>
        <v/>
      </c>
      <c r="B331" s="60">
        <f>IFERROR(INDEX(tbl_Finance[Date],$A331),"")</f>
        <v/>
      </c>
      <c r="C331" s="61">
        <f>IFERROR(INDEX(tbl_Finance[Xero Invoice No],$A331),"")</f>
        <v/>
      </c>
      <c r="D331" s="61">
        <f>IFERROR(INDEX(tbl_Finance[Client],$A331),"")</f>
        <v/>
      </c>
      <c r="E331" s="61">
        <f>IFERROR(INDEX(tbl_Finance[Job Number],$A331),"")</f>
        <v/>
      </c>
      <c r="F331" s="61">
        <f>IFERROR(INDEX(tbl_Finance[Cost Centre],$A331),"")</f>
        <v/>
      </c>
      <c r="G331" s="62">
        <f>IFERROR(INDEX(tbl_Finance[Ex GST],$A331),"")</f>
        <v/>
      </c>
      <c r="H331" s="60">
        <f>IFERROR(INDEX(tbl_Finance[Defer Start],$A331),"")</f>
        <v/>
      </c>
      <c r="I331" s="60">
        <f>IFERROR(INDEX(tbl_Finance[Defer End],$A331),"")</f>
        <v/>
      </c>
      <c r="J331" s="59">
        <f>IF(OR($H331="",$I331="",$G331=""),"",MAX(1,(YEAR($I331)-YEAR($H331))*12+MONTH($I331)-MONTH($H331)+1))</f>
        <v/>
      </c>
      <c r="K331" s="62">
        <f>IF($J331="","",$G331/$J331)</f>
        <v/>
      </c>
      <c r="L331" s="62">
        <f>IF($J331="",0,$K331*MAX(0,MIN(YEAR($C$3)*12+MONTH($C$3),YEAR($I331)*12+MONTH($I331))-(YEAR($H331)*12+MONTH($H331))+1))</f>
        <v/>
      </c>
      <c r="M331" s="62">
        <f>IF($J331="",0,$K331*MAX(0,MIN(YEAR($C$3)*12+MONTH($C$3)-1,YEAR($I331)*12+MONTH($I331))-(YEAR($H331)*12+MONTH($H331))+1))</f>
        <v/>
      </c>
      <c r="N331" s="62">
        <f>IF(OR($J331="",$B331=""),0,IF(YEAR($B331)*12+MONTH($B331)&lt;=YEAR($C$3)*12+MONTH($C$3),$G331,0))</f>
        <v/>
      </c>
      <c r="O331" s="62">
        <f>IF(OR($J331="",$B331=""),0,IF(YEAR($B331)*12+MONTH($B331)&lt;=YEAR($C$3)*12+MONTH($C$3)-1,$G331,0))</f>
        <v/>
      </c>
      <c r="P331" s="62">
        <f>$M331-$O331</f>
        <v/>
      </c>
      <c r="Q331" s="62">
        <f>($L331-$M331)-($N331-$O331)</f>
        <v/>
      </c>
      <c r="R331" s="62">
        <f>$L331-$N331</f>
        <v/>
      </c>
    </row>
    <row r="332">
      <c r="A332" s="59">
        <f>ROW()-5</f>
        <v/>
      </c>
      <c r="B332" s="60">
        <f>IFERROR(INDEX(tbl_Finance[Date],$A332),"")</f>
        <v/>
      </c>
      <c r="C332" s="61">
        <f>IFERROR(INDEX(tbl_Finance[Xero Invoice No],$A332),"")</f>
        <v/>
      </c>
      <c r="D332" s="61">
        <f>IFERROR(INDEX(tbl_Finance[Client],$A332),"")</f>
        <v/>
      </c>
      <c r="E332" s="61">
        <f>IFERROR(INDEX(tbl_Finance[Job Number],$A332),"")</f>
        <v/>
      </c>
      <c r="F332" s="61">
        <f>IFERROR(INDEX(tbl_Finance[Cost Centre],$A332),"")</f>
        <v/>
      </c>
      <c r="G332" s="62">
        <f>IFERROR(INDEX(tbl_Finance[Ex GST],$A332),"")</f>
        <v/>
      </c>
      <c r="H332" s="60">
        <f>IFERROR(INDEX(tbl_Finance[Defer Start],$A332),"")</f>
        <v/>
      </c>
      <c r="I332" s="60">
        <f>IFERROR(INDEX(tbl_Finance[Defer End],$A332),"")</f>
        <v/>
      </c>
      <c r="J332" s="59">
        <f>IF(OR($H332="",$I332="",$G332=""),"",MAX(1,(YEAR($I332)-YEAR($H332))*12+MONTH($I332)-MONTH($H332)+1))</f>
        <v/>
      </c>
      <c r="K332" s="62">
        <f>IF($J332="","",$G332/$J332)</f>
        <v/>
      </c>
      <c r="L332" s="62">
        <f>IF($J332="",0,$K332*MAX(0,MIN(YEAR($C$3)*12+MONTH($C$3),YEAR($I332)*12+MONTH($I332))-(YEAR($H332)*12+MONTH($H332))+1))</f>
        <v/>
      </c>
      <c r="M332" s="62">
        <f>IF($J332="",0,$K332*MAX(0,MIN(YEAR($C$3)*12+MONTH($C$3)-1,YEAR($I332)*12+MONTH($I332))-(YEAR($H332)*12+MONTH($H332))+1))</f>
        <v/>
      </c>
      <c r="N332" s="62">
        <f>IF(OR($J332="",$B332=""),0,IF(YEAR($B332)*12+MONTH($B332)&lt;=YEAR($C$3)*12+MONTH($C$3),$G332,0))</f>
        <v/>
      </c>
      <c r="O332" s="62">
        <f>IF(OR($J332="",$B332=""),0,IF(YEAR($B332)*12+MONTH($B332)&lt;=YEAR($C$3)*12+MONTH($C$3)-1,$G332,0))</f>
        <v/>
      </c>
      <c r="P332" s="62">
        <f>$M332-$O332</f>
        <v/>
      </c>
      <c r="Q332" s="62">
        <f>($L332-$M332)-($N332-$O332)</f>
        <v/>
      </c>
      <c r="R332" s="62">
        <f>$L332-$N332</f>
        <v/>
      </c>
    </row>
    <row r="333">
      <c r="A333" s="59">
        <f>ROW()-5</f>
        <v/>
      </c>
      <c r="B333" s="60">
        <f>IFERROR(INDEX(tbl_Finance[Date],$A333),"")</f>
        <v/>
      </c>
      <c r="C333" s="61">
        <f>IFERROR(INDEX(tbl_Finance[Xero Invoice No],$A333),"")</f>
        <v/>
      </c>
      <c r="D333" s="61">
        <f>IFERROR(INDEX(tbl_Finance[Client],$A333),"")</f>
        <v/>
      </c>
      <c r="E333" s="61">
        <f>IFERROR(INDEX(tbl_Finance[Job Number],$A333),"")</f>
        <v/>
      </c>
      <c r="F333" s="61">
        <f>IFERROR(INDEX(tbl_Finance[Cost Centre],$A333),"")</f>
        <v/>
      </c>
      <c r="G333" s="62">
        <f>IFERROR(INDEX(tbl_Finance[Ex GST],$A333),"")</f>
        <v/>
      </c>
      <c r="H333" s="60">
        <f>IFERROR(INDEX(tbl_Finance[Defer Start],$A333),"")</f>
        <v/>
      </c>
      <c r="I333" s="60">
        <f>IFERROR(INDEX(tbl_Finance[Defer End],$A333),"")</f>
        <v/>
      </c>
      <c r="J333" s="59">
        <f>IF(OR($H333="",$I333="",$G333=""),"",MAX(1,(YEAR($I333)-YEAR($H333))*12+MONTH($I333)-MONTH($H333)+1))</f>
        <v/>
      </c>
      <c r="K333" s="62">
        <f>IF($J333="","",$G333/$J333)</f>
        <v/>
      </c>
      <c r="L333" s="62">
        <f>IF($J333="",0,$K333*MAX(0,MIN(YEAR($C$3)*12+MONTH($C$3),YEAR($I333)*12+MONTH($I333))-(YEAR($H333)*12+MONTH($H333))+1))</f>
        <v/>
      </c>
      <c r="M333" s="62">
        <f>IF($J333="",0,$K333*MAX(0,MIN(YEAR($C$3)*12+MONTH($C$3)-1,YEAR($I333)*12+MONTH($I333))-(YEAR($H333)*12+MONTH($H333))+1))</f>
        <v/>
      </c>
      <c r="N333" s="62">
        <f>IF(OR($J333="",$B333=""),0,IF(YEAR($B333)*12+MONTH($B333)&lt;=YEAR($C$3)*12+MONTH($C$3),$G333,0))</f>
        <v/>
      </c>
      <c r="O333" s="62">
        <f>IF(OR($J333="",$B333=""),0,IF(YEAR($B333)*12+MONTH($B333)&lt;=YEAR($C$3)*12+MONTH($C$3)-1,$G333,0))</f>
        <v/>
      </c>
      <c r="P333" s="62">
        <f>$M333-$O333</f>
        <v/>
      </c>
      <c r="Q333" s="62">
        <f>($L333-$M333)-($N333-$O333)</f>
        <v/>
      </c>
      <c r="R333" s="62">
        <f>$L333-$N333</f>
        <v/>
      </c>
    </row>
    <row r="334">
      <c r="A334" s="59">
        <f>ROW()-5</f>
        <v/>
      </c>
      <c r="B334" s="60">
        <f>IFERROR(INDEX(tbl_Finance[Date],$A334),"")</f>
        <v/>
      </c>
      <c r="C334" s="61">
        <f>IFERROR(INDEX(tbl_Finance[Xero Invoice No],$A334),"")</f>
        <v/>
      </c>
      <c r="D334" s="61">
        <f>IFERROR(INDEX(tbl_Finance[Client],$A334),"")</f>
        <v/>
      </c>
      <c r="E334" s="61">
        <f>IFERROR(INDEX(tbl_Finance[Job Number],$A334),"")</f>
        <v/>
      </c>
      <c r="F334" s="61">
        <f>IFERROR(INDEX(tbl_Finance[Cost Centre],$A334),"")</f>
        <v/>
      </c>
      <c r="G334" s="62">
        <f>IFERROR(INDEX(tbl_Finance[Ex GST],$A334),"")</f>
        <v/>
      </c>
      <c r="H334" s="60">
        <f>IFERROR(INDEX(tbl_Finance[Defer Start],$A334),"")</f>
        <v/>
      </c>
      <c r="I334" s="60">
        <f>IFERROR(INDEX(tbl_Finance[Defer End],$A334),"")</f>
        <v/>
      </c>
      <c r="J334" s="59">
        <f>IF(OR($H334="",$I334="",$G334=""),"",MAX(1,(YEAR($I334)-YEAR($H334))*12+MONTH($I334)-MONTH($H334)+1))</f>
        <v/>
      </c>
      <c r="K334" s="62">
        <f>IF($J334="","",$G334/$J334)</f>
        <v/>
      </c>
      <c r="L334" s="62">
        <f>IF($J334="",0,$K334*MAX(0,MIN(YEAR($C$3)*12+MONTH($C$3),YEAR($I334)*12+MONTH($I334))-(YEAR($H334)*12+MONTH($H334))+1))</f>
        <v/>
      </c>
      <c r="M334" s="62">
        <f>IF($J334="",0,$K334*MAX(0,MIN(YEAR($C$3)*12+MONTH($C$3)-1,YEAR($I334)*12+MONTH($I334))-(YEAR($H334)*12+MONTH($H334))+1))</f>
        <v/>
      </c>
      <c r="N334" s="62">
        <f>IF(OR($J334="",$B334=""),0,IF(YEAR($B334)*12+MONTH($B334)&lt;=YEAR($C$3)*12+MONTH($C$3),$G334,0))</f>
        <v/>
      </c>
      <c r="O334" s="62">
        <f>IF(OR($J334="",$B334=""),0,IF(YEAR($B334)*12+MONTH($B334)&lt;=YEAR($C$3)*12+MONTH($C$3)-1,$G334,0))</f>
        <v/>
      </c>
      <c r="P334" s="62">
        <f>$M334-$O334</f>
        <v/>
      </c>
      <c r="Q334" s="62">
        <f>($L334-$M334)-($N334-$O334)</f>
        <v/>
      </c>
      <c r="R334" s="62">
        <f>$L334-$N334</f>
        <v/>
      </c>
    </row>
    <row r="335">
      <c r="A335" s="59">
        <f>ROW()-5</f>
        <v/>
      </c>
      <c r="B335" s="60">
        <f>IFERROR(INDEX(tbl_Finance[Date],$A335),"")</f>
        <v/>
      </c>
      <c r="C335" s="61">
        <f>IFERROR(INDEX(tbl_Finance[Xero Invoice No],$A335),"")</f>
        <v/>
      </c>
      <c r="D335" s="61">
        <f>IFERROR(INDEX(tbl_Finance[Client],$A335),"")</f>
        <v/>
      </c>
      <c r="E335" s="61">
        <f>IFERROR(INDEX(tbl_Finance[Job Number],$A335),"")</f>
        <v/>
      </c>
      <c r="F335" s="61">
        <f>IFERROR(INDEX(tbl_Finance[Cost Centre],$A335),"")</f>
        <v/>
      </c>
      <c r="G335" s="62">
        <f>IFERROR(INDEX(tbl_Finance[Ex GST],$A335),"")</f>
        <v/>
      </c>
      <c r="H335" s="60">
        <f>IFERROR(INDEX(tbl_Finance[Defer Start],$A335),"")</f>
        <v/>
      </c>
      <c r="I335" s="60">
        <f>IFERROR(INDEX(tbl_Finance[Defer End],$A335),"")</f>
        <v/>
      </c>
      <c r="J335" s="59">
        <f>IF(OR($H335="",$I335="",$G335=""),"",MAX(1,(YEAR($I335)-YEAR($H335))*12+MONTH($I335)-MONTH($H335)+1))</f>
        <v/>
      </c>
      <c r="K335" s="62">
        <f>IF($J335="","",$G335/$J335)</f>
        <v/>
      </c>
      <c r="L335" s="62">
        <f>IF($J335="",0,$K335*MAX(0,MIN(YEAR($C$3)*12+MONTH($C$3),YEAR($I335)*12+MONTH($I335))-(YEAR($H335)*12+MONTH($H335))+1))</f>
        <v/>
      </c>
      <c r="M335" s="62">
        <f>IF($J335="",0,$K335*MAX(0,MIN(YEAR($C$3)*12+MONTH($C$3)-1,YEAR($I335)*12+MONTH($I335))-(YEAR($H335)*12+MONTH($H335))+1))</f>
        <v/>
      </c>
      <c r="N335" s="62">
        <f>IF(OR($J335="",$B335=""),0,IF(YEAR($B335)*12+MONTH($B335)&lt;=YEAR($C$3)*12+MONTH($C$3),$G335,0))</f>
        <v/>
      </c>
      <c r="O335" s="62">
        <f>IF(OR($J335="",$B335=""),0,IF(YEAR($B335)*12+MONTH($B335)&lt;=YEAR($C$3)*12+MONTH($C$3)-1,$G335,0))</f>
        <v/>
      </c>
      <c r="P335" s="62">
        <f>$M335-$O335</f>
        <v/>
      </c>
      <c r="Q335" s="62">
        <f>($L335-$M335)-($N335-$O335)</f>
        <v/>
      </c>
      <c r="R335" s="62">
        <f>$L335-$N335</f>
        <v/>
      </c>
    </row>
    <row r="336">
      <c r="A336" s="59">
        <f>ROW()-5</f>
        <v/>
      </c>
      <c r="B336" s="60">
        <f>IFERROR(INDEX(tbl_Finance[Date],$A336),"")</f>
        <v/>
      </c>
      <c r="C336" s="61">
        <f>IFERROR(INDEX(tbl_Finance[Xero Invoice No],$A336),"")</f>
        <v/>
      </c>
      <c r="D336" s="61">
        <f>IFERROR(INDEX(tbl_Finance[Client],$A336),"")</f>
        <v/>
      </c>
      <c r="E336" s="61">
        <f>IFERROR(INDEX(tbl_Finance[Job Number],$A336),"")</f>
        <v/>
      </c>
      <c r="F336" s="61">
        <f>IFERROR(INDEX(tbl_Finance[Cost Centre],$A336),"")</f>
        <v/>
      </c>
      <c r="G336" s="62">
        <f>IFERROR(INDEX(tbl_Finance[Ex GST],$A336),"")</f>
        <v/>
      </c>
      <c r="H336" s="60">
        <f>IFERROR(INDEX(tbl_Finance[Defer Start],$A336),"")</f>
        <v/>
      </c>
      <c r="I336" s="60">
        <f>IFERROR(INDEX(tbl_Finance[Defer End],$A336),"")</f>
        <v/>
      </c>
      <c r="J336" s="59">
        <f>IF(OR($H336="",$I336="",$G336=""),"",MAX(1,(YEAR($I336)-YEAR($H336))*12+MONTH($I336)-MONTH($H336)+1))</f>
        <v/>
      </c>
      <c r="K336" s="62">
        <f>IF($J336="","",$G336/$J336)</f>
        <v/>
      </c>
      <c r="L336" s="62">
        <f>IF($J336="",0,$K336*MAX(0,MIN(YEAR($C$3)*12+MONTH($C$3),YEAR($I336)*12+MONTH($I336))-(YEAR($H336)*12+MONTH($H336))+1))</f>
        <v/>
      </c>
      <c r="M336" s="62">
        <f>IF($J336="",0,$K336*MAX(0,MIN(YEAR($C$3)*12+MONTH($C$3)-1,YEAR($I336)*12+MONTH($I336))-(YEAR($H336)*12+MONTH($H336))+1))</f>
        <v/>
      </c>
      <c r="N336" s="62">
        <f>IF(OR($J336="",$B336=""),0,IF(YEAR($B336)*12+MONTH($B336)&lt;=YEAR($C$3)*12+MONTH($C$3),$G336,0))</f>
        <v/>
      </c>
      <c r="O336" s="62">
        <f>IF(OR($J336="",$B336=""),0,IF(YEAR($B336)*12+MONTH($B336)&lt;=YEAR($C$3)*12+MONTH($C$3)-1,$G336,0))</f>
        <v/>
      </c>
      <c r="P336" s="62">
        <f>$M336-$O336</f>
        <v/>
      </c>
      <c r="Q336" s="62">
        <f>($L336-$M336)-($N336-$O336)</f>
        <v/>
      </c>
      <c r="R336" s="62">
        <f>$L336-$N336</f>
        <v/>
      </c>
    </row>
    <row r="337">
      <c r="A337" s="59">
        <f>ROW()-5</f>
        <v/>
      </c>
      <c r="B337" s="60">
        <f>IFERROR(INDEX(tbl_Finance[Date],$A337),"")</f>
        <v/>
      </c>
      <c r="C337" s="61">
        <f>IFERROR(INDEX(tbl_Finance[Xero Invoice No],$A337),"")</f>
        <v/>
      </c>
      <c r="D337" s="61">
        <f>IFERROR(INDEX(tbl_Finance[Client],$A337),"")</f>
        <v/>
      </c>
      <c r="E337" s="61">
        <f>IFERROR(INDEX(tbl_Finance[Job Number],$A337),"")</f>
        <v/>
      </c>
      <c r="F337" s="61">
        <f>IFERROR(INDEX(tbl_Finance[Cost Centre],$A337),"")</f>
        <v/>
      </c>
      <c r="G337" s="62">
        <f>IFERROR(INDEX(tbl_Finance[Ex GST],$A337),"")</f>
        <v/>
      </c>
      <c r="H337" s="60">
        <f>IFERROR(INDEX(tbl_Finance[Defer Start],$A337),"")</f>
        <v/>
      </c>
      <c r="I337" s="60">
        <f>IFERROR(INDEX(tbl_Finance[Defer End],$A337),"")</f>
        <v/>
      </c>
      <c r="J337" s="59">
        <f>IF(OR($H337="",$I337="",$G337=""),"",MAX(1,(YEAR($I337)-YEAR($H337))*12+MONTH($I337)-MONTH($H337)+1))</f>
        <v/>
      </c>
      <c r="K337" s="62">
        <f>IF($J337="","",$G337/$J337)</f>
        <v/>
      </c>
      <c r="L337" s="62">
        <f>IF($J337="",0,$K337*MAX(0,MIN(YEAR($C$3)*12+MONTH($C$3),YEAR($I337)*12+MONTH($I337))-(YEAR($H337)*12+MONTH($H337))+1))</f>
        <v/>
      </c>
      <c r="M337" s="62">
        <f>IF($J337="",0,$K337*MAX(0,MIN(YEAR($C$3)*12+MONTH($C$3)-1,YEAR($I337)*12+MONTH($I337))-(YEAR($H337)*12+MONTH($H337))+1))</f>
        <v/>
      </c>
      <c r="N337" s="62">
        <f>IF(OR($J337="",$B337=""),0,IF(YEAR($B337)*12+MONTH($B337)&lt;=YEAR($C$3)*12+MONTH($C$3),$G337,0))</f>
        <v/>
      </c>
      <c r="O337" s="62">
        <f>IF(OR($J337="",$B337=""),0,IF(YEAR($B337)*12+MONTH($B337)&lt;=YEAR($C$3)*12+MONTH($C$3)-1,$G337,0))</f>
        <v/>
      </c>
      <c r="P337" s="62">
        <f>$M337-$O337</f>
        <v/>
      </c>
      <c r="Q337" s="62">
        <f>($L337-$M337)-($N337-$O337)</f>
        <v/>
      </c>
      <c r="R337" s="62">
        <f>$L337-$N337</f>
        <v/>
      </c>
    </row>
    <row r="338">
      <c r="A338" s="59">
        <f>ROW()-5</f>
        <v/>
      </c>
      <c r="B338" s="60">
        <f>IFERROR(INDEX(tbl_Finance[Date],$A338),"")</f>
        <v/>
      </c>
      <c r="C338" s="61">
        <f>IFERROR(INDEX(tbl_Finance[Xero Invoice No],$A338),"")</f>
        <v/>
      </c>
      <c r="D338" s="61">
        <f>IFERROR(INDEX(tbl_Finance[Client],$A338),"")</f>
        <v/>
      </c>
      <c r="E338" s="61">
        <f>IFERROR(INDEX(tbl_Finance[Job Number],$A338),"")</f>
        <v/>
      </c>
      <c r="F338" s="61">
        <f>IFERROR(INDEX(tbl_Finance[Cost Centre],$A338),"")</f>
        <v/>
      </c>
      <c r="G338" s="62">
        <f>IFERROR(INDEX(tbl_Finance[Ex GST],$A338),"")</f>
        <v/>
      </c>
      <c r="H338" s="60">
        <f>IFERROR(INDEX(tbl_Finance[Defer Start],$A338),"")</f>
        <v/>
      </c>
      <c r="I338" s="60">
        <f>IFERROR(INDEX(tbl_Finance[Defer End],$A338),"")</f>
        <v/>
      </c>
      <c r="J338" s="59">
        <f>IF(OR($H338="",$I338="",$G338=""),"",MAX(1,(YEAR($I338)-YEAR($H338))*12+MONTH($I338)-MONTH($H338)+1))</f>
        <v/>
      </c>
      <c r="K338" s="62">
        <f>IF($J338="","",$G338/$J338)</f>
        <v/>
      </c>
      <c r="L338" s="62">
        <f>IF($J338="",0,$K338*MAX(0,MIN(YEAR($C$3)*12+MONTH($C$3),YEAR($I338)*12+MONTH($I338))-(YEAR($H338)*12+MONTH($H338))+1))</f>
        <v/>
      </c>
      <c r="M338" s="62">
        <f>IF($J338="",0,$K338*MAX(0,MIN(YEAR($C$3)*12+MONTH($C$3)-1,YEAR($I338)*12+MONTH($I338))-(YEAR($H338)*12+MONTH($H338))+1))</f>
        <v/>
      </c>
      <c r="N338" s="62">
        <f>IF(OR($J338="",$B338=""),0,IF(YEAR($B338)*12+MONTH($B338)&lt;=YEAR($C$3)*12+MONTH($C$3),$G338,0))</f>
        <v/>
      </c>
      <c r="O338" s="62">
        <f>IF(OR($J338="",$B338=""),0,IF(YEAR($B338)*12+MONTH($B338)&lt;=YEAR($C$3)*12+MONTH($C$3)-1,$G338,0))</f>
        <v/>
      </c>
      <c r="P338" s="62">
        <f>$M338-$O338</f>
        <v/>
      </c>
      <c r="Q338" s="62">
        <f>($L338-$M338)-($N338-$O338)</f>
        <v/>
      </c>
      <c r="R338" s="62">
        <f>$L338-$N338</f>
        <v/>
      </c>
    </row>
    <row r="339">
      <c r="A339" s="59">
        <f>ROW()-5</f>
        <v/>
      </c>
      <c r="B339" s="60">
        <f>IFERROR(INDEX(tbl_Finance[Date],$A339),"")</f>
        <v/>
      </c>
      <c r="C339" s="61">
        <f>IFERROR(INDEX(tbl_Finance[Xero Invoice No],$A339),"")</f>
        <v/>
      </c>
      <c r="D339" s="61">
        <f>IFERROR(INDEX(tbl_Finance[Client],$A339),"")</f>
        <v/>
      </c>
      <c r="E339" s="61">
        <f>IFERROR(INDEX(tbl_Finance[Job Number],$A339),"")</f>
        <v/>
      </c>
      <c r="F339" s="61">
        <f>IFERROR(INDEX(tbl_Finance[Cost Centre],$A339),"")</f>
        <v/>
      </c>
      <c r="G339" s="62">
        <f>IFERROR(INDEX(tbl_Finance[Ex GST],$A339),"")</f>
        <v/>
      </c>
      <c r="H339" s="60">
        <f>IFERROR(INDEX(tbl_Finance[Defer Start],$A339),"")</f>
        <v/>
      </c>
      <c r="I339" s="60">
        <f>IFERROR(INDEX(tbl_Finance[Defer End],$A339),"")</f>
        <v/>
      </c>
      <c r="J339" s="59">
        <f>IF(OR($H339="",$I339="",$G339=""),"",MAX(1,(YEAR($I339)-YEAR($H339))*12+MONTH($I339)-MONTH($H339)+1))</f>
        <v/>
      </c>
      <c r="K339" s="62">
        <f>IF($J339="","",$G339/$J339)</f>
        <v/>
      </c>
      <c r="L339" s="62">
        <f>IF($J339="",0,$K339*MAX(0,MIN(YEAR($C$3)*12+MONTH($C$3),YEAR($I339)*12+MONTH($I339))-(YEAR($H339)*12+MONTH($H339))+1))</f>
        <v/>
      </c>
      <c r="M339" s="62">
        <f>IF($J339="",0,$K339*MAX(0,MIN(YEAR($C$3)*12+MONTH($C$3)-1,YEAR($I339)*12+MONTH($I339))-(YEAR($H339)*12+MONTH($H339))+1))</f>
        <v/>
      </c>
      <c r="N339" s="62">
        <f>IF(OR($J339="",$B339=""),0,IF(YEAR($B339)*12+MONTH($B339)&lt;=YEAR($C$3)*12+MONTH($C$3),$G339,0))</f>
        <v/>
      </c>
      <c r="O339" s="62">
        <f>IF(OR($J339="",$B339=""),0,IF(YEAR($B339)*12+MONTH($B339)&lt;=YEAR($C$3)*12+MONTH($C$3)-1,$G339,0))</f>
        <v/>
      </c>
      <c r="P339" s="62">
        <f>$M339-$O339</f>
        <v/>
      </c>
      <c r="Q339" s="62">
        <f>($L339-$M339)-($N339-$O339)</f>
        <v/>
      </c>
      <c r="R339" s="62">
        <f>$L339-$N339</f>
        <v/>
      </c>
    </row>
    <row r="340">
      <c r="A340" s="59">
        <f>ROW()-5</f>
        <v/>
      </c>
      <c r="B340" s="60">
        <f>IFERROR(INDEX(tbl_Finance[Date],$A340),"")</f>
        <v/>
      </c>
      <c r="C340" s="61">
        <f>IFERROR(INDEX(tbl_Finance[Xero Invoice No],$A340),"")</f>
        <v/>
      </c>
      <c r="D340" s="61">
        <f>IFERROR(INDEX(tbl_Finance[Client],$A340),"")</f>
        <v/>
      </c>
      <c r="E340" s="61">
        <f>IFERROR(INDEX(tbl_Finance[Job Number],$A340),"")</f>
        <v/>
      </c>
      <c r="F340" s="61">
        <f>IFERROR(INDEX(tbl_Finance[Cost Centre],$A340),"")</f>
        <v/>
      </c>
      <c r="G340" s="62">
        <f>IFERROR(INDEX(tbl_Finance[Ex GST],$A340),"")</f>
        <v/>
      </c>
      <c r="H340" s="60">
        <f>IFERROR(INDEX(tbl_Finance[Defer Start],$A340),"")</f>
        <v/>
      </c>
      <c r="I340" s="60">
        <f>IFERROR(INDEX(tbl_Finance[Defer End],$A340),"")</f>
        <v/>
      </c>
      <c r="J340" s="59">
        <f>IF(OR($H340="",$I340="",$G340=""),"",MAX(1,(YEAR($I340)-YEAR($H340))*12+MONTH($I340)-MONTH($H340)+1))</f>
        <v/>
      </c>
      <c r="K340" s="62">
        <f>IF($J340="","",$G340/$J340)</f>
        <v/>
      </c>
      <c r="L340" s="62">
        <f>IF($J340="",0,$K340*MAX(0,MIN(YEAR($C$3)*12+MONTH($C$3),YEAR($I340)*12+MONTH($I340))-(YEAR($H340)*12+MONTH($H340))+1))</f>
        <v/>
      </c>
      <c r="M340" s="62">
        <f>IF($J340="",0,$K340*MAX(0,MIN(YEAR($C$3)*12+MONTH($C$3)-1,YEAR($I340)*12+MONTH($I340))-(YEAR($H340)*12+MONTH($H340))+1))</f>
        <v/>
      </c>
      <c r="N340" s="62">
        <f>IF(OR($J340="",$B340=""),0,IF(YEAR($B340)*12+MONTH($B340)&lt;=YEAR($C$3)*12+MONTH($C$3),$G340,0))</f>
        <v/>
      </c>
      <c r="O340" s="62">
        <f>IF(OR($J340="",$B340=""),0,IF(YEAR($B340)*12+MONTH($B340)&lt;=YEAR($C$3)*12+MONTH($C$3)-1,$G340,0))</f>
        <v/>
      </c>
      <c r="P340" s="62">
        <f>$M340-$O340</f>
        <v/>
      </c>
      <c r="Q340" s="62">
        <f>($L340-$M340)-($N340-$O340)</f>
        <v/>
      </c>
      <c r="R340" s="62">
        <f>$L340-$N340</f>
        <v/>
      </c>
    </row>
    <row r="341">
      <c r="A341" s="59">
        <f>ROW()-5</f>
        <v/>
      </c>
      <c r="B341" s="60">
        <f>IFERROR(INDEX(tbl_Finance[Date],$A341),"")</f>
        <v/>
      </c>
      <c r="C341" s="61">
        <f>IFERROR(INDEX(tbl_Finance[Xero Invoice No],$A341),"")</f>
        <v/>
      </c>
      <c r="D341" s="61">
        <f>IFERROR(INDEX(tbl_Finance[Client],$A341),"")</f>
        <v/>
      </c>
      <c r="E341" s="61">
        <f>IFERROR(INDEX(tbl_Finance[Job Number],$A341),"")</f>
        <v/>
      </c>
      <c r="F341" s="61">
        <f>IFERROR(INDEX(tbl_Finance[Cost Centre],$A341),"")</f>
        <v/>
      </c>
      <c r="G341" s="62">
        <f>IFERROR(INDEX(tbl_Finance[Ex GST],$A341),"")</f>
        <v/>
      </c>
      <c r="H341" s="60">
        <f>IFERROR(INDEX(tbl_Finance[Defer Start],$A341),"")</f>
        <v/>
      </c>
      <c r="I341" s="60">
        <f>IFERROR(INDEX(tbl_Finance[Defer End],$A341),"")</f>
        <v/>
      </c>
      <c r="J341" s="59">
        <f>IF(OR($H341="",$I341="",$G341=""),"",MAX(1,(YEAR($I341)-YEAR($H341))*12+MONTH($I341)-MONTH($H341)+1))</f>
        <v/>
      </c>
      <c r="K341" s="62">
        <f>IF($J341="","",$G341/$J341)</f>
        <v/>
      </c>
      <c r="L341" s="62">
        <f>IF($J341="",0,$K341*MAX(0,MIN(YEAR($C$3)*12+MONTH($C$3),YEAR($I341)*12+MONTH($I341))-(YEAR($H341)*12+MONTH($H341))+1))</f>
        <v/>
      </c>
      <c r="M341" s="62">
        <f>IF($J341="",0,$K341*MAX(0,MIN(YEAR($C$3)*12+MONTH($C$3)-1,YEAR($I341)*12+MONTH($I341))-(YEAR($H341)*12+MONTH($H341))+1))</f>
        <v/>
      </c>
      <c r="N341" s="62">
        <f>IF(OR($J341="",$B341=""),0,IF(YEAR($B341)*12+MONTH($B341)&lt;=YEAR($C$3)*12+MONTH($C$3),$G341,0))</f>
        <v/>
      </c>
      <c r="O341" s="62">
        <f>IF(OR($J341="",$B341=""),0,IF(YEAR($B341)*12+MONTH($B341)&lt;=YEAR($C$3)*12+MONTH($C$3)-1,$G341,0))</f>
        <v/>
      </c>
      <c r="P341" s="62">
        <f>$M341-$O341</f>
        <v/>
      </c>
      <c r="Q341" s="62">
        <f>($L341-$M341)-($N341-$O341)</f>
        <v/>
      </c>
      <c r="R341" s="62">
        <f>$L341-$N341</f>
        <v/>
      </c>
    </row>
    <row r="342">
      <c r="A342" s="59">
        <f>ROW()-5</f>
        <v/>
      </c>
      <c r="B342" s="60">
        <f>IFERROR(INDEX(tbl_Finance[Date],$A342),"")</f>
        <v/>
      </c>
      <c r="C342" s="61">
        <f>IFERROR(INDEX(tbl_Finance[Xero Invoice No],$A342),"")</f>
        <v/>
      </c>
      <c r="D342" s="61">
        <f>IFERROR(INDEX(tbl_Finance[Client],$A342),"")</f>
        <v/>
      </c>
      <c r="E342" s="61">
        <f>IFERROR(INDEX(tbl_Finance[Job Number],$A342),"")</f>
        <v/>
      </c>
      <c r="F342" s="61">
        <f>IFERROR(INDEX(tbl_Finance[Cost Centre],$A342),"")</f>
        <v/>
      </c>
      <c r="G342" s="62">
        <f>IFERROR(INDEX(tbl_Finance[Ex GST],$A342),"")</f>
        <v/>
      </c>
      <c r="H342" s="60">
        <f>IFERROR(INDEX(tbl_Finance[Defer Start],$A342),"")</f>
        <v/>
      </c>
      <c r="I342" s="60">
        <f>IFERROR(INDEX(tbl_Finance[Defer End],$A342),"")</f>
        <v/>
      </c>
      <c r="J342" s="59">
        <f>IF(OR($H342="",$I342="",$G342=""),"",MAX(1,(YEAR($I342)-YEAR($H342))*12+MONTH($I342)-MONTH($H342)+1))</f>
        <v/>
      </c>
      <c r="K342" s="62">
        <f>IF($J342="","",$G342/$J342)</f>
        <v/>
      </c>
      <c r="L342" s="62">
        <f>IF($J342="",0,$K342*MAX(0,MIN(YEAR($C$3)*12+MONTH($C$3),YEAR($I342)*12+MONTH($I342))-(YEAR($H342)*12+MONTH($H342))+1))</f>
        <v/>
      </c>
      <c r="M342" s="62">
        <f>IF($J342="",0,$K342*MAX(0,MIN(YEAR($C$3)*12+MONTH($C$3)-1,YEAR($I342)*12+MONTH($I342))-(YEAR($H342)*12+MONTH($H342))+1))</f>
        <v/>
      </c>
      <c r="N342" s="62">
        <f>IF(OR($J342="",$B342=""),0,IF(YEAR($B342)*12+MONTH($B342)&lt;=YEAR($C$3)*12+MONTH($C$3),$G342,0))</f>
        <v/>
      </c>
      <c r="O342" s="62">
        <f>IF(OR($J342="",$B342=""),0,IF(YEAR($B342)*12+MONTH($B342)&lt;=YEAR($C$3)*12+MONTH($C$3)-1,$G342,0))</f>
        <v/>
      </c>
      <c r="P342" s="62">
        <f>$M342-$O342</f>
        <v/>
      </c>
      <c r="Q342" s="62">
        <f>($L342-$M342)-($N342-$O342)</f>
        <v/>
      </c>
      <c r="R342" s="62">
        <f>$L342-$N342</f>
        <v/>
      </c>
    </row>
    <row r="343">
      <c r="A343" s="59">
        <f>ROW()-5</f>
        <v/>
      </c>
      <c r="B343" s="60">
        <f>IFERROR(INDEX(tbl_Finance[Date],$A343),"")</f>
        <v/>
      </c>
      <c r="C343" s="61">
        <f>IFERROR(INDEX(tbl_Finance[Xero Invoice No],$A343),"")</f>
        <v/>
      </c>
      <c r="D343" s="61">
        <f>IFERROR(INDEX(tbl_Finance[Client],$A343),"")</f>
        <v/>
      </c>
      <c r="E343" s="61">
        <f>IFERROR(INDEX(tbl_Finance[Job Number],$A343),"")</f>
        <v/>
      </c>
      <c r="F343" s="61">
        <f>IFERROR(INDEX(tbl_Finance[Cost Centre],$A343),"")</f>
        <v/>
      </c>
      <c r="G343" s="62">
        <f>IFERROR(INDEX(tbl_Finance[Ex GST],$A343),"")</f>
        <v/>
      </c>
      <c r="H343" s="60">
        <f>IFERROR(INDEX(tbl_Finance[Defer Start],$A343),"")</f>
        <v/>
      </c>
      <c r="I343" s="60">
        <f>IFERROR(INDEX(tbl_Finance[Defer End],$A343),"")</f>
        <v/>
      </c>
      <c r="J343" s="59">
        <f>IF(OR($H343="",$I343="",$G343=""),"",MAX(1,(YEAR($I343)-YEAR($H343))*12+MONTH($I343)-MONTH($H343)+1))</f>
        <v/>
      </c>
      <c r="K343" s="62">
        <f>IF($J343="","",$G343/$J343)</f>
        <v/>
      </c>
      <c r="L343" s="62">
        <f>IF($J343="",0,$K343*MAX(0,MIN(YEAR($C$3)*12+MONTH($C$3),YEAR($I343)*12+MONTH($I343))-(YEAR($H343)*12+MONTH($H343))+1))</f>
        <v/>
      </c>
      <c r="M343" s="62">
        <f>IF($J343="",0,$K343*MAX(0,MIN(YEAR($C$3)*12+MONTH($C$3)-1,YEAR($I343)*12+MONTH($I343))-(YEAR($H343)*12+MONTH($H343))+1))</f>
        <v/>
      </c>
      <c r="N343" s="62">
        <f>IF(OR($J343="",$B343=""),0,IF(YEAR($B343)*12+MONTH($B343)&lt;=YEAR($C$3)*12+MONTH($C$3),$G343,0))</f>
        <v/>
      </c>
      <c r="O343" s="62">
        <f>IF(OR($J343="",$B343=""),0,IF(YEAR($B343)*12+MONTH($B343)&lt;=YEAR($C$3)*12+MONTH($C$3)-1,$G343,0))</f>
        <v/>
      </c>
      <c r="P343" s="62">
        <f>$M343-$O343</f>
        <v/>
      </c>
      <c r="Q343" s="62">
        <f>($L343-$M343)-($N343-$O343)</f>
        <v/>
      </c>
      <c r="R343" s="62">
        <f>$L343-$N343</f>
        <v/>
      </c>
    </row>
    <row r="344">
      <c r="A344" s="59">
        <f>ROW()-5</f>
        <v/>
      </c>
      <c r="B344" s="60">
        <f>IFERROR(INDEX(tbl_Finance[Date],$A344),"")</f>
        <v/>
      </c>
      <c r="C344" s="61">
        <f>IFERROR(INDEX(tbl_Finance[Xero Invoice No],$A344),"")</f>
        <v/>
      </c>
      <c r="D344" s="61">
        <f>IFERROR(INDEX(tbl_Finance[Client],$A344),"")</f>
        <v/>
      </c>
      <c r="E344" s="61">
        <f>IFERROR(INDEX(tbl_Finance[Job Number],$A344),"")</f>
        <v/>
      </c>
      <c r="F344" s="61">
        <f>IFERROR(INDEX(tbl_Finance[Cost Centre],$A344),"")</f>
        <v/>
      </c>
      <c r="G344" s="62">
        <f>IFERROR(INDEX(tbl_Finance[Ex GST],$A344),"")</f>
        <v/>
      </c>
      <c r="H344" s="60">
        <f>IFERROR(INDEX(tbl_Finance[Defer Start],$A344),"")</f>
        <v/>
      </c>
      <c r="I344" s="60">
        <f>IFERROR(INDEX(tbl_Finance[Defer End],$A344),"")</f>
        <v/>
      </c>
      <c r="J344" s="59">
        <f>IF(OR($H344="",$I344="",$G344=""),"",MAX(1,(YEAR($I344)-YEAR($H344))*12+MONTH($I344)-MONTH($H344)+1))</f>
        <v/>
      </c>
      <c r="K344" s="62">
        <f>IF($J344="","",$G344/$J344)</f>
        <v/>
      </c>
      <c r="L344" s="62">
        <f>IF($J344="",0,$K344*MAX(0,MIN(YEAR($C$3)*12+MONTH($C$3),YEAR($I344)*12+MONTH($I344))-(YEAR($H344)*12+MONTH($H344))+1))</f>
        <v/>
      </c>
      <c r="M344" s="62">
        <f>IF($J344="",0,$K344*MAX(0,MIN(YEAR($C$3)*12+MONTH($C$3)-1,YEAR($I344)*12+MONTH($I344))-(YEAR($H344)*12+MONTH($H344))+1))</f>
        <v/>
      </c>
      <c r="N344" s="62">
        <f>IF(OR($J344="",$B344=""),0,IF(YEAR($B344)*12+MONTH($B344)&lt;=YEAR($C$3)*12+MONTH($C$3),$G344,0))</f>
        <v/>
      </c>
      <c r="O344" s="62">
        <f>IF(OR($J344="",$B344=""),0,IF(YEAR($B344)*12+MONTH($B344)&lt;=YEAR($C$3)*12+MONTH($C$3)-1,$G344,0))</f>
        <v/>
      </c>
      <c r="P344" s="62">
        <f>$M344-$O344</f>
        <v/>
      </c>
      <c r="Q344" s="62">
        <f>($L344-$M344)-($N344-$O344)</f>
        <v/>
      </c>
      <c r="R344" s="62">
        <f>$L344-$N344</f>
        <v/>
      </c>
    </row>
    <row r="345">
      <c r="A345" s="59">
        <f>ROW()-5</f>
        <v/>
      </c>
      <c r="B345" s="60">
        <f>IFERROR(INDEX(tbl_Finance[Date],$A345),"")</f>
        <v/>
      </c>
      <c r="C345" s="61">
        <f>IFERROR(INDEX(tbl_Finance[Xero Invoice No],$A345),"")</f>
        <v/>
      </c>
      <c r="D345" s="61">
        <f>IFERROR(INDEX(tbl_Finance[Client],$A345),"")</f>
        <v/>
      </c>
      <c r="E345" s="61">
        <f>IFERROR(INDEX(tbl_Finance[Job Number],$A345),"")</f>
        <v/>
      </c>
      <c r="F345" s="61">
        <f>IFERROR(INDEX(tbl_Finance[Cost Centre],$A345),"")</f>
        <v/>
      </c>
      <c r="G345" s="62">
        <f>IFERROR(INDEX(tbl_Finance[Ex GST],$A345),"")</f>
        <v/>
      </c>
      <c r="H345" s="60">
        <f>IFERROR(INDEX(tbl_Finance[Defer Start],$A345),"")</f>
        <v/>
      </c>
      <c r="I345" s="60">
        <f>IFERROR(INDEX(tbl_Finance[Defer End],$A345),"")</f>
        <v/>
      </c>
      <c r="J345" s="59">
        <f>IF(OR($H345="",$I345="",$G345=""),"",MAX(1,(YEAR($I345)-YEAR($H345))*12+MONTH($I345)-MONTH($H345)+1))</f>
        <v/>
      </c>
      <c r="K345" s="62">
        <f>IF($J345="","",$G345/$J345)</f>
        <v/>
      </c>
      <c r="L345" s="62">
        <f>IF($J345="",0,$K345*MAX(0,MIN(YEAR($C$3)*12+MONTH($C$3),YEAR($I345)*12+MONTH($I345))-(YEAR($H345)*12+MONTH($H345))+1))</f>
        <v/>
      </c>
      <c r="M345" s="62">
        <f>IF($J345="",0,$K345*MAX(0,MIN(YEAR($C$3)*12+MONTH($C$3)-1,YEAR($I345)*12+MONTH($I345))-(YEAR($H345)*12+MONTH($H345))+1))</f>
        <v/>
      </c>
      <c r="N345" s="62">
        <f>IF(OR($J345="",$B345=""),0,IF(YEAR($B345)*12+MONTH($B345)&lt;=YEAR($C$3)*12+MONTH($C$3),$G345,0))</f>
        <v/>
      </c>
      <c r="O345" s="62">
        <f>IF(OR($J345="",$B345=""),0,IF(YEAR($B345)*12+MONTH($B345)&lt;=YEAR($C$3)*12+MONTH($C$3)-1,$G345,0))</f>
        <v/>
      </c>
      <c r="P345" s="62">
        <f>$M345-$O345</f>
        <v/>
      </c>
      <c r="Q345" s="62">
        <f>($L345-$M345)-($N345-$O345)</f>
        <v/>
      </c>
      <c r="R345" s="62">
        <f>$L345-$N345</f>
        <v/>
      </c>
    </row>
    <row r="346">
      <c r="A346" s="59">
        <f>ROW()-5</f>
        <v/>
      </c>
      <c r="B346" s="60">
        <f>IFERROR(INDEX(tbl_Finance[Date],$A346),"")</f>
        <v/>
      </c>
      <c r="C346" s="61">
        <f>IFERROR(INDEX(tbl_Finance[Xero Invoice No],$A346),"")</f>
        <v/>
      </c>
      <c r="D346" s="61">
        <f>IFERROR(INDEX(tbl_Finance[Client],$A346),"")</f>
        <v/>
      </c>
      <c r="E346" s="61">
        <f>IFERROR(INDEX(tbl_Finance[Job Number],$A346),"")</f>
        <v/>
      </c>
      <c r="F346" s="61">
        <f>IFERROR(INDEX(tbl_Finance[Cost Centre],$A346),"")</f>
        <v/>
      </c>
      <c r="G346" s="62">
        <f>IFERROR(INDEX(tbl_Finance[Ex GST],$A346),"")</f>
        <v/>
      </c>
      <c r="H346" s="60">
        <f>IFERROR(INDEX(tbl_Finance[Defer Start],$A346),"")</f>
        <v/>
      </c>
      <c r="I346" s="60">
        <f>IFERROR(INDEX(tbl_Finance[Defer End],$A346),"")</f>
        <v/>
      </c>
      <c r="J346" s="59">
        <f>IF(OR($H346="",$I346="",$G346=""),"",MAX(1,(YEAR($I346)-YEAR($H346))*12+MONTH($I346)-MONTH($H346)+1))</f>
        <v/>
      </c>
      <c r="K346" s="62">
        <f>IF($J346="","",$G346/$J346)</f>
        <v/>
      </c>
      <c r="L346" s="62">
        <f>IF($J346="",0,$K346*MAX(0,MIN(YEAR($C$3)*12+MONTH($C$3),YEAR($I346)*12+MONTH($I346))-(YEAR($H346)*12+MONTH($H346))+1))</f>
        <v/>
      </c>
      <c r="M346" s="62">
        <f>IF($J346="",0,$K346*MAX(0,MIN(YEAR($C$3)*12+MONTH($C$3)-1,YEAR($I346)*12+MONTH($I346))-(YEAR($H346)*12+MONTH($H346))+1))</f>
        <v/>
      </c>
      <c r="N346" s="62">
        <f>IF(OR($J346="",$B346=""),0,IF(YEAR($B346)*12+MONTH($B346)&lt;=YEAR($C$3)*12+MONTH($C$3),$G346,0))</f>
        <v/>
      </c>
      <c r="O346" s="62">
        <f>IF(OR($J346="",$B346=""),0,IF(YEAR($B346)*12+MONTH($B346)&lt;=YEAR($C$3)*12+MONTH($C$3)-1,$G346,0))</f>
        <v/>
      </c>
      <c r="P346" s="62">
        <f>$M346-$O346</f>
        <v/>
      </c>
      <c r="Q346" s="62">
        <f>($L346-$M346)-($N346-$O346)</f>
        <v/>
      </c>
      <c r="R346" s="62">
        <f>$L346-$N346</f>
        <v/>
      </c>
    </row>
    <row r="347">
      <c r="A347" s="59">
        <f>ROW()-5</f>
        <v/>
      </c>
      <c r="B347" s="60">
        <f>IFERROR(INDEX(tbl_Finance[Date],$A347),"")</f>
        <v/>
      </c>
      <c r="C347" s="61">
        <f>IFERROR(INDEX(tbl_Finance[Xero Invoice No],$A347),"")</f>
        <v/>
      </c>
      <c r="D347" s="61">
        <f>IFERROR(INDEX(tbl_Finance[Client],$A347),"")</f>
        <v/>
      </c>
      <c r="E347" s="61">
        <f>IFERROR(INDEX(tbl_Finance[Job Number],$A347),"")</f>
        <v/>
      </c>
      <c r="F347" s="61">
        <f>IFERROR(INDEX(tbl_Finance[Cost Centre],$A347),"")</f>
        <v/>
      </c>
      <c r="G347" s="62">
        <f>IFERROR(INDEX(tbl_Finance[Ex GST],$A347),"")</f>
        <v/>
      </c>
      <c r="H347" s="60">
        <f>IFERROR(INDEX(tbl_Finance[Defer Start],$A347),"")</f>
        <v/>
      </c>
      <c r="I347" s="60">
        <f>IFERROR(INDEX(tbl_Finance[Defer End],$A347),"")</f>
        <v/>
      </c>
      <c r="J347" s="59">
        <f>IF(OR($H347="",$I347="",$G347=""),"",MAX(1,(YEAR($I347)-YEAR($H347))*12+MONTH($I347)-MONTH($H347)+1))</f>
        <v/>
      </c>
      <c r="K347" s="62">
        <f>IF($J347="","",$G347/$J347)</f>
        <v/>
      </c>
      <c r="L347" s="62">
        <f>IF($J347="",0,$K347*MAX(0,MIN(YEAR($C$3)*12+MONTH($C$3),YEAR($I347)*12+MONTH($I347))-(YEAR($H347)*12+MONTH($H347))+1))</f>
        <v/>
      </c>
      <c r="M347" s="62">
        <f>IF($J347="",0,$K347*MAX(0,MIN(YEAR($C$3)*12+MONTH($C$3)-1,YEAR($I347)*12+MONTH($I347))-(YEAR($H347)*12+MONTH($H347))+1))</f>
        <v/>
      </c>
      <c r="N347" s="62">
        <f>IF(OR($J347="",$B347=""),0,IF(YEAR($B347)*12+MONTH($B347)&lt;=YEAR($C$3)*12+MONTH($C$3),$G347,0))</f>
        <v/>
      </c>
      <c r="O347" s="62">
        <f>IF(OR($J347="",$B347=""),0,IF(YEAR($B347)*12+MONTH($B347)&lt;=YEAR($C$3)*12+MONTH($C$3)-1,$G347,0))</f>
        <v/>
      </c>
      <c r="P347" s="62">
        <f>$M347-$O347</f>
        <v/>
      </c>
      <c r="Q347" s="62">
        <f>($L347-$M347)-($N347-$O347)</f>
        <v/>
      </c>
      <c r="R347" s="62">
        <f>$L347-$N347</f>
        <v/>
      </c>
    </row>
    <row r="348">
      <c r="A348" s="59">
        <f>ROW()-5</f>
        <v/>
      </c>
      <c r="B348" s="60">
        <f>IFERROR(INDEX(tbl_Finance[Date],$A348),"")</f>
        <v/>
      </c>
      <c r="C348" s="61">
        <f>IFERROR(INDEX(tbl_Finance[Xero Invoice No],$A348),"")</f>
        <v/>
      </c>
      <c r="D348" s="61">
        <f>IFERROR(INDEX(tbl_Finance[Client],$A348),"")</f>
        <v/>
      </c>
      <c r="E348" s="61">
        <f>IFERROR(INDEX(tbl_Finance[Job Number],$A348),"")</f>
        <v/>
      </c>
      <c r="F348" s="61">
        <f>IFERROR(INDEX(tbl_Finance[Cost Centre],$A348),"")</f>
        <v/>
      </c>
      <c r="G348" s="62">
        <f>IFERROR(INDEX(tbl_Finance[Ex GST],$A348),"")</f>
        <v/>
      </c>
      <c r="H348" s="60">
        <f>IFERROR(INDEX(tbl_Finance[Defer Start],$A348),"")</f>
        <v/>
      </c>
      <c r="I348" s="60">
        <f>IFERROR(INDEX(tbl_Finance[Defer End],$A348),"")</f>
        <v/>
      </c>
      <c r="J348" s="59">
        <f>IF(OR($H348="",$I348="",$G348=""),"",MAX(1,(YEAR($I348)-YEAR($H348))*12+MONTH($I348)-MONTH($H348)+1))</f>
        <v/>
      </c>
      <c r="K348" s="62">
        <f>IF($J348="","",$G348/$J348)</f>
        <v/>
      </c>
      <c r="L348" s="62">
        <f>IF($J348="",0,$K348*MAX(0,MIN(YEAR($C$3)*12+MONTH($C$3),YEAR($I348)*12+MONTH($I348))-(YEAR($H348)*12+MONTH($H348))+1))</f>
        <v/>
      </c>
      <c r="M348" s="62">
        <f>IF($J348="",0,$K348*MAX(0,MIN(YEAR($C$3)*12+MONTH($C$3)-1,YEAR($I348)*12+MONTH($I348))-(YEAR($H348)*12+MONTH($H348))+1))</f>
        <v/>
      </c>
      <c r="N348" s="62">
        <f>IF(OR($J348="",$B348=""),0,IF(YEAR($B348)*12+MONTH($B348)&lt;=YEAR($C$3)*12+MONTH($C$3),$G348,0))</f>
        <v/>
      </c>
      <c r="O348" s="62">
        <f>IF(OR($J348="",$B348=""),0,IF(YEAR($B348)*12+MONTH($B348)&lt;=YEAR($C$3)*12+MONTH($C$3)-1,$G348,0))</f>
        <v/>
      </c>
      <c r="P348" s="62">
        <f>$M348-$O348</f>
        <v/>
      </c>
      <c r="Q348" s="62">
        <f>($L348-$M348)-($N348-$O348)</f>
        <v/>
      </c>
      <c r="R348" s="62">
        <f>$L348-$N348</f>
        <v/>
      </c>
    </row>
    <row r="349">
      <c r="A349" s="59">
        <f>ROW()-5</f>
        <v/>
      </c>
      <c r="B349" s="60">
        <f>IFERROR(INDEX(tbl_Finance[Date],$A349),"")</f>
        <v/>
      </c>
      <c r="C349" s="61">
        <f>IFERROR(INDEX(tbl_Finance[Xero Invoice No],$A349),"")</f>
        <v/>
      </c>
      <c r="D349" s="61">
        <f>IFERROR(INDEX(tbl_Finance[Client],$A349),"")</f>
        <v/>
      </c>
      <c r="E349" s="61">
        <f>IFERROR(INDEX(tbl_Finance[Job Number],$A349),"")</f>
        <v/>
      </c>
      <c r="F349" s="61">
        <f>IFERROR(INDEX(tbl_Finance[Cost Centre],$A349),"")</f>
        <v/>
      </c>
      <c r="G349" s="62">
        <f>IFERROR(INDEX(tbl_Finance[Ex GST],$A349),"")</f>
        <v/>
      </c>
      <c r="H349" s="60">
        <f>IFERROR(INDEX(tbl_Finance[Defer Start],$A349),"")</f>
        <v/>
      </c>
      <c r="I349" s="60">
        <f>IFERROR(INDEX(tbl_Finance[Defer End],$A349),"")</f>
        <v/>
      </c>
      <c r="J349" s="59">
        <f>IF(OR($H349="",$I349="",$G349=""),"",MAX(1,(YEAR($I349)-YEAR($H349))*12+MONTH($I349)-MONTH($H349)+1))</f>
        <v/>
      </c>
      <c r="K349" s="62">
        <f>IF($J349="","",$G349/$J349)</f>
        <v/>
      </c>
      <c r="L349" s="62">
        <f>IF($J349="",0,$K349*MAX(0,MIN(YEAR($C$3)*12+MONTH($C$3),YEAR($I349)*12+MONTH($I349))-(YEAR($H349)*12+MONTH($H349))+1))</f>
        <v/>
      </c>
      <c r="M349" s="62">
        <f>IF($J349="",0,$K349*MAX(0,MIN(YEAR($C$3)*12+MONTH($C$3)-1,YEAR($I349)*12+MONTH($I349))-(YEAR($H349)*12+MONTH($H349))+1))</f>
        <v/>
      </c>
      <c r="N349" s="62">
        <f>IF(OR($J349="",$B349=""),0,IF(YEAR($B349)*12+MONTH($B349)&lt;=YEAR($C$3)*12+MONTH($C$3),$G349,0))</f>
        <v/>
      </c>
      <c r="O349" s="62">
        <f>IF(OR($J349="",$B349=""),0,IF(YEAR($B349)*12+MONTH($B349)&lt;=YEAR($C$3)*12+MONTH($C$3)-1,$G349,0))</f>
        <v/>
      </c>
      <c r="P349" s="62">
        <f>$M349-$O349</f>
        <v/>
      </c>
      <c r="Q349" s="62">
        <f>($L349-$M349)-($N349-$O349)</f>
        <v/>
      </c>
      <c r="R349" s="62">
        <f>$L349-$N349</f>
        <v/>
      </c>
    </row>
    <row r="350">
      <c r="A350" s="59">
        <f>ROW()-5</f>
        <v/>
      </c>
      <c r="B350" s="60">
        <f>IFERROR(INDEX(tbl_Finance[Date],$A350),"")</f>
        <v/>
      </c>
      <c r="C350" s="61">
        <f>IFERROR(INDEX(tbl_Finance[Xero Invoice No],$A350),"")</f>
        <v/>
      </c>
      <c r="D350" s="61">
        <f>IFERROR(INDEX(tbl_Finance[Client],$A350),"")</f>
        <v/>
      </c>
      <c r="E350" s="61">
        <f>IFERROR(INDEX(tbl_Finance[Job Number],$A350),"")</f>
        <v/>
      </c>
      <c r="F350" s="61">
        <f>IFERROR(INDEX(tbl_Finance[Cost Centre],$A350),"")</f>
        <v/>
      </c>
      <c r="G350" s="62">
        <f>IFERROR(INDEX(tbl_Finance[Ex GST],$A350),"")</f>
        <v/>
      </c>
      <c r="H350" s="60">
        <f>IFERROR(INDEX(tbl_Finance[Defer Start],$A350),"")</f>
        <v/>
      </c>
      <c r="I350" s="60">
        <f>IFERROR(INDEX(tbl_Finance[Defer End],$A350),"")</f>
        <v/>
      </c>
      <c r="J350" s="59">
        <f>IF(OR($H350="",$I350="",$G350=""),"",MAX(1,(YEAR($I350)-YEAR($H350))*12+MONTH($I350)-MONTH($H350)+1))</f>
        <v/>
      </c>
      <c r="K350" s="62">
        <f>IF($J350="","",$G350/$J350)</f>
        <v/>
      </c>
      <c r="L350" s="62">
        <f>IF($J350="",0,$K350*MAX(0,MIN(YEAR($C$3)*12+MONTH($C$3),YEAR($I350)*12+MONTH($I350))-(YEAR($H350)*12+MONTH($H350))+1))</f>
        <v/>
      </c>
      <c r="M350" s="62">
        <f>IF($J350="",0,$K350*MAX(0,MIN(YEAR($C$3)*12+MONTH($C$3)-1,YEAR($I350)*12+MONTH($I350))-(YEAR($H350)*12+MONTH($H350))+1))</f>
        <v/>
      </c>
      <c r="N350" s="62">
        <f>IF(OR($J350="",$B350=""),0,IF(YEAR($B350)*12+MONTH($B350)&lt;=YEAR($C$3)*12+MONTH($C$3),$G350,0))</f>
        <v/>
      </c>
      <c r="O350" s="62">
        <f>IF(OR($J350="",$B350=""),0,IF(YEAR($B350)*12+MONTH($B350)&lt;=YEAR($C$3)*12+MONTH($C$3)-1,$G350,0))</f>
        <v/>
      </c>
      <c r="P350" s="62">
        <f>$M350-$O350</f>
        <v/>
      </c>
      <c r="Q350" s="62">
        <f>($L350-$M350)-($N350-$O350)</f>
        <v/>
      </c>
      <c r="R350" s="62">
        <f>$L350-$N350</f>
        <v/>
      </c>
    </row>
    <row r="351">
      <c r="A351" s="59">
        <f>ROW()-5</f>
        <v/>
      </c>
      <c r="B351" s="60">
        <f>IFERROR(INDEX(tbl_Finance[Date],$A351),"")</f>
        <v/>
      </c>
      <c r="C351" s="61">
        <f>IFERROR(INDEX(tbl_Finance[Xero Invoice No],$A351),"")</f>
        <v/>
      </c>
      <c r="D351" s="61">
        <f>IFERROR(INDEX(tbl_Finance[Client],$A351),"")</f>
        <v/>
      </c>
      <c r="E351" s="61">
        <f>IFERROR(INDEX(tbl_Finance[Job Number],$A351),"")</f>
        <v/>
      </c>
      <c r="F351" s="61">
        <f>IFERROR(INDEX(tbl_Finance[Cost Centre],$A351),"")</f>
        <v/>
      </c>
      <c r="G351" s="62">
        <f>IFERROR(INDEX(tbl_Finance[Ex GST],$A351),"")</f>
        <v/>
      </c>
      <c r="H351" s="60">
        <f>IFERROR(INDEX(tbl_Finance[Defer Start],$A351),"")</f>
        <v/>
      </c>
      <c r="I351" s="60">
        <f>IFERROR(INDEX(tbl_Finance[Defer End],$A351),"")</f>
        <v/>
      </c>
      <c r="J351" s="59">
        <f>IF(OR($H351="",$I351="",$G351=""),"",MAX(1,(YEAR($I351)-YEAR($H351))*12+MONTH($I351)-MONTH($H351)+1))</f>
        <v/>
      </c>
      <c r="K351" s="62">
        <f>IF($J351="","",$G351/$J351)</f>
        <v/>
      </c>
      <c r="L351" s="62">
        <f>IF($J351="",0,$K351*MAX(0,MIN(YEAR($C$3)*12+MONTH($C$3),YEAR($I351)*12+MONTH($I351))-(YEAR($H351)*12+MONTH($H351))+1))</f>
        <v/>
      </c>
      <c r="M351" s="62">
        <f>IF($J351="",0,$K351*MAX(0,MIN(YEAR($C$3)*12+MONTH($C$3)-1,YEAR($I351)*12+MONTH($I351))-(YEAR($H351)*12+MONTH($H351))+1))</f>
        <v/>
      </c>
      <c r="N351" s="62">
        <f>IF(OR($J351="",$B351=""),0,IF(YEAR($B351)*12+MONTH($B351)&lt;=YEAR($C$3)*12+MONTH($C$3),$G351,0))</f>
        <v/>
      </c>
      <c r="O351" s="62">
        <f>IF(OR($J351="",$B351=""),0,IF(YEAR($B351)*12+MONTH($B351)&lt;=YEAR($C$3)*12+MONTH($C$3)-1,$G351,0))</f>
        <v/>
      </c>
      <c r="P351" s="62">
        <f>$M351-$O351</f>
        <v/>
      </c>
      <c r="Q351" s="62">
        <f>($L351-$M351)-($N351-$O351)</f>
        <v/>
      </c>
      <c r="R351" s="62">
        <f>$L351-$N351</f>
        <v/>
      </c>
    </row>
    <row r="352">
      <c r="A352" s="59">
        <f>ROW()-5</f>
        <v/>
      </c>
      <c r="B352" s="60">
        <f>IFERROR(INDEX(tbl_Finance[Date],$A352),"")</f>
        <v/>
      </c>
      <c r="C352" s="61">
        <f>IFERROR(INDEX(tbl_Finance[Xero Invoice No],$A352),"")</f>
        <v/>
      </c>
      <c r="D352" s="61">
        <f>IFERROR(INDEX(tbl_Finance[Client],$A352),"")</f>
        <v/>
      </c>
      <c r="E352" s="61">
        <f>IFERROR(INDEX(tbl_Finance[Job Number],$A352),"")</f>
        <v/>
      </c>
      <c r="F352" s="61">
        <f>IFERROR(INDEX(tbl_Finance[Cost Centre],$A352),"")</f>
        <v/>
      </c>
      <c r="G352" s="62">
        <f>IFERROR(INDEX(tbl_Finance[Ex GST],$A352),"")</f>
        <v/>
      </c>
      <c r="H352" s="60">
        <f>IFERROR(INDEX(tbl_Finance[Defer Start],$A352),"")</f>
        <v/>
      </c>
      <c r="I352" s="60">
        <f>IFERROR(INDEX(tbl_Finance[Defer End],$A352),"")</f>
        <v/>
      </c>
      <c r="J352" s="59">
        <f>IF(OR($H352="",$I352="",$G352=""),"",MAX(1,(YEAR($I352)-YEAR($H352))*12+MONTH($I352)-MONTH($H352)+1))</f>
        <v/>
      </c>
      <c r="K352" s="62">
        <f>IF($J352="","",$G352/$J352)</f>
        <v/>
      </c>
      <c r="L352" s="62">
        <f>IF($J352="",0,$K352*MAX(0,MIN(YEAR($C$3)*12+MONTH($C$3),YEAR($I352)*12+MONTH($I352))-(YEAR($H352)*12+MONTH($H352))+1))</f>
        <v/>
      </c>
      <c r="M352" s="62">
        <f>IF($J352="",0,$K352*MAX(0,MIN(YEAR($C$3)*12+MONTH($C$3)-1,YEAR($I352)*12+MONTH($I352))-(YEAR($H352)*12+MONTH($H352))+1))</f>
        <v/>
      </c>
      <c r="N352" s="62">
        <f>IF(OR($J352="",$B352=""),0,IF(YEAR($B352)*12+MONTH($B352)&lt;=YEAR($C$3)*12+MONTH($C$3),$G352,0))</f>
        <v/>
      </c>
      <c r="O352" s="62">
        <f>IF(OR($J352="",$B352=""),0,IF(YEAR($B352)*12+MONTH($B352)&lt;=YEAR($C$3)*12+MONTH($C$3)-1,$G352,0))</f>
        <v/>
      </c>
      <c r="P352" s="62">
        <f>$M352-$O352</f>
        <v/>
      </c>
      <c r="Q352" s="62">
        <f>($L352-$M352)-($N352-$O352)</f>
        <v/>
      </c>
      <c r="R352" s="62">
        <f>$L352-$N352</f>
        <v/>
      </c>
    </row>
    <row r="353">
      <c r="A353" s="59">
        <f>ROW()-5</f>
        <v/>
      </c>
      <c r="B353" s="60">
        <f>IFERROR(INDEX(tbl_Finance[Date],$A353),"")</f>
        <v/>
      </c>
      <c r="C353" s="61">
        <f>IFERROR(INDEX(tbl_Finance[Xero Invoice No],$A353),"")</f>
        <v/>
      </c>
      <c r="D353" s="61">
        <f>IFERROR(INDEX(tbl_Finance[Client],$A353),"")</f>
        <v/>
      </c>
      <c r="E353" s="61">
        <f>IFERROR(INDEX(tbl_Finance[Job Number],$A353),"")</f>
        <v/>
      </c>
      <c r="F353" s="61">
        <f>IFERROR(INDEX(tbl_Finance[Cost Centre],$A353),"")</f>
        <v/>
      </c>
      <c r="G353" s="62">
        <f>IFERROR(INDEX(tbl_Finance[Ex GST],$A353),"")</f>
        <v/>
      </c>
      <c r="H353" s="60">
        <f>IFERROR(INDEX(tbl_Finance[Defer Start],$A353),"")</f>
        <v/>
      </c>
      <c r="I353" s="60">
        <f>IFERROR(INDEX(tbl_Finance[Defer End],$A353),"")</f>
        <v/>
      </c>
      <c r="J353" s="59">
        <f>IF(OR($H353="",$I353="",$G353=""),"",MAX(1,(YEAR($I353)-YEAR($H353))*12+MONTH($I353)-MONTH($H353)+1))</f>
        <v/>
      </c>
      <c r="K353" s="62">
        <f>IF($J353="","",$G353/$J353)</f>
        <v/>
      </c>
      <c r="L353" s="62">
        <f>IF($J353="",0,$K353*MAX(0,MIN(YEAR($C$3)*12+MONTH($C$3),YEAR($I353)*12+MONTH($I353))-(YEAR($H353)*12+MONTH($H353))+1))</f>
        <v/>
      </c>
      <c r="M353" s="62">
        <f>IF($J353="",0,$K353*MAX(0,MIN(YEAR($C$3)*12+MONTH($C$3)-1,YEAR($I353)*12+MONTH($I353))-(YEAR($H353)*12+MONTH($H353))+1))</f>
        <v/>
      </c>
      <c r="N353" s="62">
        <f>IF(OR($J353="",$B353=""),0,IF(YEAR($B353)*12+MONTH($B353)&lt;=YEAR($C$3)*12+MONTH($C$3),$G353,0))</f>
        <v/>
      </c>
      <c r="O353" s="62">
        <f>IF(OR($J353="",$B353=""),0,IF(YEAR($B353)*12+MONTH($B353)&lt;=YEAR($C$3)*12+MONTH($C$3)-1,$G353,0))</f>
        <v/>
      </c>
      <c r="P353" s="62">
        <f>$M353-$O353</f>
        <v/>
      </c>
      <c r="Q353" s="62">
        <f>($L353-$M353)-($N353-$O353)</f>
        <v/>
      </c>
      <c r="R353" s="62">
        <f>$L353-$N353</f>
        <v/>
      </c>
    </row>
    <row r="354">
      <c r="A354" s="59">
        <f>ROW()-5</f>
        <v/>
      </c>
      <c r="B354" s="60">
        <f>IFERROR(INDEX(tbl_Finance[Date],$A354),"")</f>
        <v/>
      </c>
      <c r="C354" s="61">
        <f>IFERROR(INDEX(tbl_Finance[Xero Invoice No],$A354),"")</f>
        <v/>
      </c>
      <c r="D354" s="61">
        <f>IFERROR(INDEX(tbl_Finance[Client],$A354),"")</f>
        <v/>
      </c>
      <c r="E354" s="61">
        <f>IFERROR(INDEX(tbl_Finance[Job Number],$A354),"")</f>
        <v/>
      </c>
      <c r="F354" s="61">
        <f>IFERROR(INDEX(tbl_Finance[Cost Centre],$A354),"")</f>
        <v/>
      </c>
      <c r="G354" s="62">
        <f>IFERROR(INDEX(tbl_Finance[Ex GST],$A354),"")</f>
        <v/>
      </c>
      <c r="H354" s="60">
        <f>IFERROR(INDEX(tbl_Finance[Defer Start],$A354),"")</f>
        <v/>
      </c>
      <c r="I354" s="60">
        <f>IFERROR(INDEX(tbl_Finance[Defer End],$A354),"")</f>
        <v/>
      </c>
      <c r="J354" s="59">
        <f>IF(OR($H354="",$I354="",$G354=""),"",MAX(1,(YEAR($I354)-YEAR($H354))*12+MONTH($I354)-MONTH($H354)+1))</f>
        <v/>
      </c>
      <c r="K354" s="62">
        <f>IF($J354="","",$G354/$J354)</f>
        <v/>
      </c>
      <c r="L354" s="62">
        <f>IF($J354="",0,$K354*MAX(0,MIN(YEAR($C$3)*12+MONTH($C$3),YEAR($I354)*12+MONTH($I354))-(YEAR($H354)*12+MONTH($H354))+1))</f>
        <v/>
      </c>
      <c r="M354" s="62">
        <f>IF($J354="",0,$K354*MAX(0,MIN(YEAR($C$3)*12+MONTH($C$3)-1,YEAR($I354)*12+MONTH($I354))-(YEAR($H354)*12+MONTH($H354))+1))</f>
        <v/>
      </c>
      <c r="N354" s="62">
        <f>IF(OR($J354="",$B354=""),0,IF(YEAR($B354)*12+MONTH($B354)&lt;=YEAR($C$3)*12+MONTH($C$3),$G354,0))</f>
        <v/>
      </c>
      <c r="O354" s="62">
        <f>IF(OR($J354="",$B354=""),0,IF(YEAR($B354)*12+MONTH($B354)&lt;=YEAR($C$3)*12+MONTH($C$3)-1,$G354,0))</f>
        <v/>
      </c>
      <c r="P354" s="62">
        <f>$M354-$O354</f>
        <v/>
      </c>
      <c r="Q354" s="62">
        <f>($L354-$M354)-($N354-$O354)</f>
        <v/>
      </c>
      <c r="R354" s="62">
        <f>$L354-$N354</f>
        <v/>
      </c>
    </row>
    <row r="355">
      <c r="A355" s="59">
        <f>ROW()-5</f>
        <v/>
      </c>
      <c r="B355" s="60">
        <f>IFERROR(INDEX(tbl_Finance[Date],$A355),"")</f>
        <v/>
      </c>
      <c r="C355" s="61">
        <f>IFERROR(INDEX(tbl_Finance[Xero Invoice No],$A355),"")</f>
        <v/>
      </c>
      <c r="D355" s="61">
        <f>IFERROR(INDEX(tbl_Finance[Client],$A355),"")</f>
        <v/>
      </c>
      <c r="E355" s="61">
        <f>IFERROR(INDEX(tbl_Finance[Job Number],$A355),"")</f>
        <v/>
      </c>
      <c r="F355" s="61">
        <f>IFERROR(INDEX(tbl_Finance[Cost Centre],$A355),"")</f>
        <v/>
      </c>
      <c r="G355" s="62">
        <f>IFERROR(INDEX(tbl_Finance[Ex GST],$A355),"")</f>
        <v/>
      </c>
      <c r="H355" s="60">
        <f>IFERROR(INDEX(tbl_Finance[Defer Start],$A355),"")</f>
        <v/>
      </c>
      <c r="I355" s="60">
        <f>IFERROR(INDEX(tbl_Finance[Defer End],$A355),"")</f>
        <v/>
      </c>
      <c r="J355" s="59">
        <f>IF(OR($H355="",$I355="",$G355=""),"",MAX(1,(YEAR($I355)-YEAR($H355))*12+MONTH($I355)-MONTH($H355)+1))</f>
        <v/>
      </c>
      <c r="K355" s="62">
        <f>IF($J355="","",$G355/$J355)</f>
        <v/>
      </c>
      <c r="L355" s="62">
        <f>IF($J355="",0,$K355*MAX(0,MIN(YEAR($C$3)*12+MONTH($C$3),YEAR($I355)*12+MONTH($I355))-(YEAR($H355)*12+MONTH($H355))+1))</f>
        <v/>
      </c>
      <c r="M355" s="62">
        <f>IF($J355="",0,$K355*MAX(0,MIN(YEAR($C$3)*12+MONTH($C$3)-1,YEAR($I355)*12+MONTH($I355))-(YEAR($H355)*12+MONTH($H355))+1))</f>
        <v/>
      </c>
      <c r="N355" s="62">
        <f>IF(OR($J355="",$B355=""),0,IF(YEAR($B355)*12+MONTH($B355)&lt;=YEAR($C$3)*12+MONTH($C$3),$G355,0))</f>
        <v/>
      </c>
      <c r="O355" s="62">
        <f>IF(OR($J355="",$B355=""),0,IF(YEAR($B355)*12+MONTH($B355)&lt;=YEAR($C$3)*12+MONTH($C$3)-1,$G355,0))</f>
        <v/>
      </c>
      <c r="P355" s="62">
        <f>$M355-$O355</f>
        <v/>
      </c>
      <c r="Q355" s="62">
        <f>($L355-$M355)-($N355-$O355)</f>
        <v/>
      </c>
      <c r="R355" s="62">
        <f>$L355-$N355</f>
        <v/>
      </c>
    </row>
    <row r="356">
      <c r="A356" s="59">
        <f>ROW()-5</f>
        <v/>
      </c>
      <c r="B356" s="60">
        <f>IFERROR(INDEX(tbl_Finance[Date],$A356),"")</f>
        <v/>
      </c>
      <c r="C356" s="61">
        <f>IFERROR(INDEX(tbl_Finance[Xero Invoice No],$A356),"")</f>
        <v/>
      </c>
      <c r="D356" s="61">
        <f>IFERROR(INDEX(tbl_Finance[Client],$A356),"")</f>
        <v/>
      </c>
      <c r="E356" s="61">
        <f>IFERROR(INDEX(tbl_Finance[Job Number],$A356),"")</f>
        <v/>
      </c>
      <c r="F356" s="61">
        <f>IFERROR(INDEX(tbl_Finance[Cost Centre],$A356),"")</f>
        <v/>
      </c>
      <c r="G356" s="62">
        <f>IFERROR(INDEX(tbl_Finance[Ex GST],$A356),"")</f>
        <v/>
      </c>
      <c r="H356" s="60">
        <f>IFERROR(INDEX(tbl_Finance[Defer Start],$A356),"")</f>
        <v/>
      </c>
      <c r="I356" s="60">
        <f>IFERROR(INDEX(tbl_Finance[Defer End],$A356),"")</f>
        <v/>
      </c>
      <c r="J356" s="59">
        <f>IF(OR($H356="",$I356="",$G356=""),"",MAX(1,(YEAR($I356)-YEAR($H356))*12+MONTH($I356)-MONTH($H356)+1))</f>
        <v/>
      </c>
      <c r="K356" s="62">
        <f>IF($J356="","",$G356/$J356)</f>
        <v/>
      </c>
      <c r="L356" s="62">
        <f>IF($J356="",0,$K356*MAX(0,MIN(YEAR($C$3)*12+MONTH($C$3),YEAR($I356)*12+MONTH($I356))-(YEAR($H356)*12+MONTH($H356))+1))</f>
        <v/>
      </c>
      <c r="M356" s="62">
        <f>IF($J356="",0,$K356*MAX(0,MIN(YEAR($C$3)*12+MONTH($C$3)-1,YEAR($I356)*12+MONTH($I356))-(YEAR($H356)*12+MONTH($H356))+1))</f>
        <v/>
      </c>
      <c r="N356" s="62">
        <f>IF(OR($J356="",$B356=""),0,IF(YEAR($B356)*12+MONTH($B356)&lt;=YEAR($C$3)*12+MONTH($C$3),$G356,0))</f>
        <v/>
      </c>
      <c r="O356" s="62">
        <f>IF(OR($J356="",$B356=""),0,IF(YEAR($B356)*12+MONTH($B356)&lt;=YEAR($C$3)*12+MONTH($C$3)-1,$G356,0))</f>
        <v/>
      </c>
      <c r="P356" s="62">
        <f>$M356-$O356</f>
        <v/>
      </c>
      <c r="Q356" s="62">
        <f>($L356-$M356)-($N356-$O356)</f>
        <v/>
      </c>
      <c r="R356" s="62">
        <f>$L356-$N356</f>
        <v/>
      </c>
    </row>
    <row r="357">
      <c r="A357" s="59">
        <f>ROW()-5</f>
        <v/>
      </c>
      <c r="B357" s="60">
        <f>IFERROR(INDEX(tbl_Finance[Date],$A357),"")</f>
        <v/>
      </c>
      <c r="C357" s="61">
        <f>IFERROR(INDEX(tbl_Finance[Xero Invoice No],$A357),"")</f>
        <v/>
      </c>
      <c r="D357" s="61">
        <f>IFERROR(INDEX(tbl_Finance[Client],$A357),"")</f>
        <v/>
      </c>
      <c r="E357" s="61">
        <f>IFERROR(INDEX(tbl_Finance[Job Number],$A357),"")</f>
        <v/>
      </c>
      <c r="F357" s="61">
        <f>IFERROR(INDEX(tbl_Finance[Cost Centre],$A357),"")</f>
        <v/>
      </c>
      <c r="G357" s="62">
        <f>IFERROR(INDEX(tbl_Finance[Ex GST],$A357),"")</f>
        <v/>
      </c>
      <c r="H357" s="60">
        <f>IFERROR(INDEX(tbl_Finance[Defer Start],$A357),"")</f>
        <v/>
      </c>
      <c r="I357" s="60">
        <f>IFERROR(INDEX(tbl_Finance[Defer End],$A357),"")</f>
        <v/>
      </c>
      <c r="J357" s="59">
        <f>IF(OR($H357="",$I357="",$G357=""),"",MAX(1,(YEAR($I357)-YEAR($H357))*12+MONTH($I357)-MONTH($H357)+1))</f>
        <v/>
      </c>
      <c r="K357" s="62">
        <f>IF($J357="","",$G357/$J357)</f>
        <v/>
      </c>
      <c r="L357" s="62">
        <f>IF($J357="",0,$K357*MAX(0,MIN(YEAR($C$3)*12+MONTH($C$3),YEAR($I357)*12+MONTH($I357))-(YEAR($H357)*12+MONTH($H357))+1))</f>
        <v/>
      </c>
      <c r="M357" s="62">
        <f>IF($J357="",0,$K357*MAX(0,MIN(YEAR($C$3)*12+MONTH($C$3)-1,YEAR($I357)*12+MONTH($I357))-(YEAR($H357)*12+MONTH($H357))+1))</f>
        <v/>
      </c>
      <c r="N357" s="62">
        <f>IF(OR($J357="",$B357=""),0,IF(YEAR($B357)*12+MONTH($B357)&lt;=YEAR($C$3)*12+MONTH($C$3),$G357,0))</f>
        <v/>
      </c>
      <c r="O357" s="62">
        <f>IF(OR($J357="",$B357=""),0,IF(YEAR($B357)*12+MONTH($B357)&lt;=YEAR($C$3)*12+MONTH($C$3)-1,$G357,0))</f>
        <v/>
      </c>
      <c r="P357" s="62">
        <f>$M357-$O357</f>
        <v/>
      </c>
      <c r="Q357" s="62">
        <f>($L357-$M357)-($N357-$O357)</f>
        <v/>
      </c>
      <c r="R357" s="62">
        <f>$L357-$N357</f>
        <v/>
      </c>
    </row>
    <row r="358">
      <c r="A358" s="59">
        <f>ROW()-5</f>
        <v/>
      </c>
      <c r="B358" s="60">
        <f>IFERROR(INDEX(tbl_Finance[Date],$A358),"")</f>
        <v/>
      </c>
      <c r="C358" s="61">
        <f>IFERROR(INDEX(tbl_Finance[Xero Invoice No],$A358),"")</f>
        <v/>
      </c>
      <c r="D358" s="61">
        <f>IFERROR(INDEX(tbl_Finance[Client],$A358),"")</f>
        <v/>
      </c>
      <c r="E358" s="61">
        <f>IFERROR(INDEX(tbl_Finance[Job Number],$A358),"")</f>
        <v/>
      </c>
      <c r="F358" s="61">
        <f>IFERROR(INDEX(tbl_Finance[Cost Centre],$A358),"")</f>
        <v/>
      </c>
      <c r="G358" s="62">
        <f>IFERROR(INDEX(tbl_Finance[Ex GST],$A358),"")</f>
        <v/>
      </c>
      <c r="H358" s="60">
        <f>IFERROR(INDEX(tbl_Finance[Defer Start],$A358),"")</f>
        <v/>
      </c>
      <c r="I358" s="60">
        <f>IFERROR(INDEX(tbl_Finance[Defer End],$A358),"")</f>
        <v/>
      </c>
      <c r="J358" s="59">
        <f>IF(OR($H358="",$I358="",$G358=""),"",MAX(1,(YEAR($I358)-YEAR($H358))*12+MONTH($I358)-MONTH($H358)+1))</f>
        <v/>
      </c>
      <c r="K358" s="62">
        <f>IF($J358="","",$G358/$J358)</f>
        <v/>
      </c>
      <c r="L358" s="62">
        <f>IF($J358="",0,$K358*MAX(0,MIN(YEAR($C$3)*12+MONTH($C$3),YEAR($I358)*12+MONTH($I358))-(YEAR($H358)*12+MONTH($H358))+1))</f>
        <v/>
      </c>
      <c r="M358" s="62">
        <f>IF($J358="",0,$K358*MAX(0,MIN(YEAR($C$3)*12+MONTH($C$3)-1,YEAR($I358)*12+MONTH($I358))-(YEAR($H358)*12+MONTH($H358))+1))</f>
        <v/>
      </c>
      <c r="N358" s="62">
        <f>IF(OR($J358="",$B358=""),0,IF(YEAR($B358)*12+MONTH($B358)&lt;=YEAR($C$3)*12+MONTH($C$3),$G358,0))</f>
        <v/>
      </c>
      <c r="O358" s="62">
        <f>IF(OR($J358="",$B358=""),0,IF(YEAR($B358)*12+MONTH($B358)&lt;=YEAR($C$3)*12+MONTH($C$3)-1,$G358,0))</f>
        <v/>
      </c>
      <c r="P358" s="62">
        <f>$M358-$O358</f>
        <v/>
      </c>
      <c r="Q358" s="62">
        <f>($L358-$M358)-($N358-$O358)</f>
        <v/>
      </c>
      <c r="R358" s="62">
        <f>$L358-$N358</f>
        <v/>
      </c>
    </row>
    <row r="359">
      <c r="A359" s="59">
        <f>ROW()-5</f>
        <v/>
      </c>
      <c r="B359" s="60">
        <f>IFERROR(INDEX(tbl_Finance[Date],$A359),"")</f>
        <v/>
      </c>
      <c r="C359" s="61">
        <f>IFERROR(INDEX(tbl_Finance[Xero Invoice No],$A359),"")</f>
        <v/>
      </c>
      <c r="D359" s="61">
        <f>IFERROR(INDEX(tbl_Finance[Client],$A359),"")</f>
        <v/>
      </c>
      <c r="E359" s="61">
        <f>IFERROR(INDEX(tbl_Finance[Job Number],$A359),"")</f>
        <v/>
      </c>
      <c r="F359" s="61">
        <f>IFERROR(INDEX(tbl_Finance[Cost Centre],$A359),"")</f>
        <v/>
      </c>
      <c r="G359" s="62">
        <f>IFERROR(INDEX(tbl_Finance[Ex GST],$A359),"")</f>
        <v/>
      </c>
      <c r="H359" s="60">
        <f>IFERROR(INDEX(tbl_Finance[Defer Start],$A359),"")</f>
        <v/>
      </c>
      <c r="I359" s="60">
        <f>IFERROR(INDEX(tbl_Finance[Defer End],$A359),"")</f>
        <v/>
      </c>
      <c r="J359" s="59">
        <f>IF(OR($H359="",$I359="",$G359=""),"",MAX(1,(YEAR($I359)-YEAR($H359))*12+MONTH($I359)-MONTH($H359)+1))</f>
        <v/>
      </c>
      <c r="K359" s="62">
        <f>IF($J359="","",$G359/$J359)</f>
        <v/>
      </c>
      <c r="L359" s="62">
        <f>IF($J359="",0,$K359*MAX(0,MIN(YEAR($C$3)*12+MONTH($C$3),YEAR($I359)*12+MONTH($I359))-(YEAR($H359)*12+MONTH($H359))+1))</f>
        <v/>
      </c>
      <c r="M359" s="62">
        <f>IF($J359="",0,$K359*MAX(0,MIN(YEAR($C$3)*12+MONTH($C$3)-1,YEAR($I359)*12+MONTH($I359))-(YEAR($H359)*12+MONTH($H359))+1))</f>
        <v/>
      </c>
      <c r="N359" s="62">
        <f>IF(OR($J359="",$B359=""),0,IF(YEAR($B359)*12+MONTH($B359)&lt;=YEAR($C$3)*12+MONTH($C$3),$G359,0))</f>
        <v/>
      </c>
      <c r="O359" s="62">
        <f>IF(OR($J359="",$B359=""),0,IF(YEAR($B359)*12+MONTH($B359)&lt;=YEAR($C$3)*12+MONTH($C$3)-1,$G359,0))</f>
        <v/>
      </c>
      <c r="P359" s="62">
        <f>$M359-$O359</f>
        <v/>
      </c>
      <c r="Q359" s="62">
        <f>($L359-$M359)-($N359-$O359)</f>
        <v/>
      </c>
      <c r="R359" s="62">
        <f>$L359-$N359</f>
        <v/>
      </c>
    </row>
    <row r="360">
      <c r="A360" s="59">
        <f>ROW()-5</f>
        <v/>
      </c>
      <c r="B360" s="60">
        <f>IFERROR(INDEX(tbl_Finance[Date],$A360),"")</f>
        <v/>
      </c>
      <c r="C360" s="61">
        <f>IFERROR(INDEX(tbl_Finance[Xero Invoice No],$A360),"")</f>
        <v/>
      </c>
      <c r="D360" s="61">
        <f>IFERROR(INDEX(tbl_Finance[Client],$A360),"")</f>
        <v/>
      </c>
      <c r="E360" s="61">
        <f>IFERROR(INDEX(tbl_Finance[Job Number],$A360),"")</f>
        <v/>
      </c>
      <c r="F360" s="61">
        <f>IFERROR(INDEX(tbl_Finance[Cost Centre],$A360),"")</f>
        <v/>
      </c>
      <c r="G360" s="62">
        <f>IFERROR(INDEX(tbl_Finance[Ex GST],$A360),"")</f>
        <v/>
      </c>
      <c r="H360" s="60">
        <f>IFERROR(INDEX(tbl_Finance[Defer Start],$A360),"")</f>
        <v/>
      </c>
      <c r="I360" s="60">
        <f>IFERROR(INDEX(tbl_Finance[Defer End],$A360),"")</f>
        <v/>
      </c>
      <c r="J360" s="59">
        <f>IF(OR($H360="",$I360="",$G360=""),"",MAX(1,(YEAR($I360)-YEAR($H360))*12+MONTH($I360)-MONTH($H360)+1))</f>
        <v/>
      </c>
      <c r="K360" s="62">
        <f>IF($J360="","",$G360/$J360)</f>
        <v/>
      </c>
      <c r="L360" s="62">
        <f>IF($J360="",0,$K360*MAX(0,MIN(YEAR($C$3)*12+MONTH($C$3),YEAR($I360)*12+MONTH($I360))-(YEAR($H360)*12+MONTH($H360))+1))</f>
        <v/>
      </c>
      <c r="M360" s="62">
        <f>IF($J360="",0,$K360*MAX(0,MIN(YEAR($C$3)*12+MONTH($C$3)-1,YEAR($I360)*12+MONTH($I360))-(YEAR($H360)*12+MONTH($H360))+1))</f>
        <v/>
      </c>
      <c r="N360" s="62">
        <f>IF(OR($J360="",$B360=""),0,IF(YEAR($B360)*12+MONTH($B360)&lt;=YEAR($C$3)*12+MONTH($C$3),$G360,0))</f>
        <v/>
      </c>
      <c r="O360" s="62">
        <f>IF(OR($J360="",$B360=""),0,IF(YEAR($B360)*12+MONTH($B360)&lt;=YEAR($C$3)*12+MONTH($C$3)-1,$G360,0))</f>
        <v/>
      </c>
      <c r="P360" s="62">
        <f>$M360-$O360</f>
        <v/>
      </c>
      <c r="Q360" s="62">
        <f>($L360-$M360)-($N360-$O360)</f>
        <v/>
      </c>
      <c r="R360" s="62">
        <f>$L360-$N360</f>
        <v/>
      </c>
    </row>
    <row r="361">
      <c r="A361" s="59">
        <f>ROW()-5</f>
        <v/>
      </c>
      <c r="B361" s="60">
        <f>IFERROR(INDEX(tbl_Finance[Date],$A361),"")</f>
        <v/>
      </c>
      <c r="C361" s="61">
        <f>IFERROR(INDEX(tbl_Finance[Xero Invoice No],$A361),"")</f>
        <v/>
      </c>
      <c r="D361" s="61">
        <f>IFERROR(INDEX(tbl_Finance[Client],$A361),"")</f>
        <v/>
      </c>
      <c r="E361" s="61">
        <f>IFERROR(INDEX(tbl_Finance[Job Number],$A361),"")</f>
        <v/>
      </c>
      <c r="F361" s="61">
        <f>IFERROR(INDEX(tbl_Finance[Cost Centre],$A361),"")</f>
        <v/>
      </c>
      <c r="G361" s="62">
        <f>IFERROR(INDEX(tbl_Finance[Ex GST],$A361),"")</f>
        <v/>
      </c>
      <c r="H361" s="60">
        <f>IFERROR(INDEX(tbl_Finance[Defer Start],$A361),"")</f>
        <v/>
      </c>
      <c r="I361" s="60">
        <f>IFERROR(INDEX(tbl_Finance[Defer End],$A361),"")</f>
        <v/>
      </c>
      <c r="J361" s="59">
        <f>IF(OR($H361="",$I361="",$G361=""),"",MAX(1,(YEAR($I361)-YEAR($H361))*12+MONTH($I361)-MONTH($H361)+1))</f>
        <v/>
      </c>
      <c r="K361" s="62">
        <f>IF($J361="","",$G361/$J361)</f>
        <v/>
      </c>
      <c r="L361" s="62">
        <f>IF($J361="",0,$K361*MAX(0,MIN(YEAR($C$3)*12+MONTH($C$3),YEAR($I361)*12+MONTH($I361))-(YEAR($H361)*12+MONTH($H361))+1))</f>
        <v/>
      </c>
      <c r="M361" s="62">
        <f>IF($J361="",0,$K361*MAX(0,MIN(YEAR($C$3)*12+MONTH($C$3)-1,YEAR($I361)*12+MONTH($I361))-(YEAR($H361)*12+MONTH($H361))+1))</f>
        <v/>
      </c>
      <c r="N361" s="62">
        <f>IF(OR($J361="",$B361=""),0,IF(YEAR($B361)*12+MONTH($B361)&lt;=YEAR($C$3)*12+MONTH($C$3),$G361,0))</f>
        <v/>
      </c>
      <c r="O361" s="62">
        <f>IF(OR($J361="",$B361=""),0,IF(YEAR($B361)*12+MONTH($B361)&lt;=YEAR($C$3)*12+MONTH($C$3)-1,$G361,0))</f>
        <v/>
      </c>
      <c r="P361" s="62">
        <f>$M361-$O361</f>
        <v/>
      </c>
      <c r="Q361" s="62">
        <f>($L361-$M361)-($N361-$O361)</f>
        <v/>
      </c>
      <c r="R361" s="62">
        <f>$L361-$N361</f>
        <v/>
      </c>
    </row>
    <row r="362">
      <c r="A362" s="59">
        <f>ROW()-5</f>
        <v/>
      </c>
      <c r="B362" s="60">
        <f>IFERROR(INDEX(tbl_Finance[Date],$A362),"")</f>
        <v/>
      </c>
      <c r="C362" s="61">
        <f>IFERROR(INDEX(tbl_Finance[Xero Invoice No],$A362),"")</f>
        <v/>
      </c>
      <c r="D362" s="61">
        <f>IFERROR(INDEX(tbl_Finance[Client],$A362),"")</f>
        <v/>
      </c>
      <c r="E362" s="61">
        <f>IFERROR(INDEX(tbl_Finance[Job Number],$A362),"")</f>
        <v/>
      </c>
      <c r="F362" s="61">
        <f>IFERROR(INDEX(tbl_Finance[Cost Centre],$A362),"")</f>
        <v/>
      </c>
      <c r="G362" s="62">
        <f>IFERROR(INDEX(tbl_Finance[Ex GST],$A362),"")</f>
        <v/>
      </c>
      <c r="H362" s="60">
        <f>IFERROR(INDEX(tbl_Finance[Defer Start],$A362),"")</f>
        <v/>
      </c>
      <c r="I362" s="60">
        <f>IFERROR(INDEX(tbl_Finance[Defer End],$A362),"")</f>
        <v/>
      </c>
      <c r="J362" s="59">
        <f>IF(OR($H362="",$I362="",$G362=""),"",MAX(1,(YEAR($I362)-YEAR($H362))*12+MONTH($I362)-MONTH($H362)+1))</f>
        <v/>
      </c>
      <c r="K362" s="62">
        <f>IF($J362="","",$G362/$J362)</f>
        <v/>
      </c>
      <c r="L362" s="62">
        <f>IF($J362="",0,$K362*MAX(0,MIN(YEAR($C$3)*12+MONTH($C$3),YEAR($I362)*12+MONTH($I362))-(YEAR($H362)*12+MONTH($H362))+1))</f>
        <v/>
      </c>
      <c r="M362" s="62">
        <f>IF($J362="",0,$K362*MAX(0,MIN(YEAR($C$3)*12+MONTH($C$3)-1,YEAR($I362)*12+MONTH($I362))-(YEAR($H362)*12+MONTH($H362))+1))</f>
        <v/>
      </c>
      <c r="N362" s="62">
        <f>IF(OR($J362="",$B362=""),0,IF(YEAR($B362)*12+MONTH($B362)&lt;=YEAR($C$3)*12+MONTH($C$3),$G362,0))</f>
        <v/>
      </c>
      <c r="O362" s="62">
        <f>IF(OR($J362="",$B362=""),0,IF(YEAR($B362)*12+MONTH($B362)&lt;=YEAR($C$3)*12+MONTH($C$3)-1,$G362,0))</f>
        <v/>
      </c>
      <c r="P362" s="62">
        <f>$M362-$O362</f>
        <v/>
      </c>
      <c r="Q362" s="62">
        <f>($L362-$M362)-($N362-$O362)</f>
        <v/>
      </c>
      <c r="R362" s="62">
        <f>$L362-$N362</f>
        <v/>
      </c>
    </row>
    <row r="363">
      <c r="A363" s="59">
        <f>ROW()-5</f>
        <v/>
      </c>
      <c r="B363" s="60">
        <f>IFERROR(INDEX(tbl_Finance[Date],$A363),"")</f>
        <v/>
      </c>
      <c r="C363" s="61">
        <f>IFERROR(INDEX(tbl_Finance[Xero Invoice No],$A363),"")</f>
        <v/>
      </c>
      <c r="D363" s="61">
        <f>IFERROR(INDEX(tbl_Finance[Client],$A363),"")</f>
        <v/>
      </c>
      <c r="E363" s="61">
        <f>IFERROR(INDEX(tbl_Finance[Job Number],$A363),"")</f>
        <v/>
      </c>
      <c r="F363" s="61">
        <f>IFERROR(INDEX(tbl_Finance[Cost Centre],$A363),"")</f>
        <v/>
      </c>
      <c r="G363" s="62">
        <f>IFERROR(INDEX(tbl_Finance[Ex GST],$A363),"")</f>
        <v/>
      </c>
      <c r="H363" s="60">
        <f>IFERROR(INDEX(tbl_Finance[Defer Start],$A363),"")</f>
        <v/>
      </c>
      <c r="I363" s="60">
        <f>IFERROR(INDEX(tbl_Finance[Defer End],$A363),"")</f>
        <v/>
      </c>
      <c r="J363" s="59">
        <f>IF(OR($H363="",$I363="",$G363=""),"",MAX(1,(YEAR($I363)-YEAR($H363))*12+MONTH($I363)-MONTH($H363)+1))</f>
        <v/>
      </c>
      <c r="K363" s="62">
        <f>IF($J363="","",$G363/$J363)</f>
        <v/>
      </c>
      <c r="L363" s="62">
        <f>IF($J363="",0,$K363*MAX(0,MIN(YEAR($C$3)*12+MONTH($C$3),YEAR($I363)*12+MONTH($I363))-(YEAR($H363)*12+MONTH($H363))+1))</f>
        <v/>
      </c>
      <c r="M363" s="62">
        <f>IF($J363="",0,$K363*MAX(0,MIN(YEAR($C$3)*12+MONTH($C$3)-1,YEAR($I363)*12+MONTH($I363))-(YEAR($H363)*12+MONTH($H363))+1))</f>
        <v/>
      </c>
      <c r="N363" s="62">
        <f>IF(OR($J363="",$B363=""),0,IF(YEAR($B363)*12+MONTH($B363)&lt;=YEAR($C$3)*12+MONTH($C$3),$G363,0))</f>
        <v/>
      </c>
      <c r="O363" s="62">
        <f>IF(OR($J363="",$B363=""),0,IF(YEAR($B363)*12+MONTH($B363)&lt;=YEAR($C$3)*12+MONTH($C$3)-1,$G363,0))</f>
        <v/>
      </c>
      <c r="P363" s="62">
        <f>$M363-$O363</f>
        <v/>
      </c>
      <c r="Q363" s="62">
        <f>($L363-$M363)-($N363-$O363)</f>
        <v/>
      </c>
      <c r="R363" s="62">
        <f>$L363-$N363</f>
        <v/>
      </c>
    </row>
    <row r="364">
      <c r="A364" s="59">
        <f>ROW()-5</f>
        <v/>
      </c>
      <c r="B364" s="60">
        <f>IFERROR(INDEX(tbl_Finance[Date],$A364),"")</f>
        <v/>
      </c>
      <c r="C364" s="61">
        <f>IFERROR(INDEX(tbl_Finance[Xero Invoice No],$A364),"")</f>
        <v/>
      </c>
      <c r="D364" s="61">
        <f>IFERROR(INDEX(tbl_Finance[Client],$A364),"")</f>
        <v/>
      </c>
      <c r="E364" s="61">
        <f>IFERROR(INDEX(tbl_Finance[Job Number],$A364),"")</f>
        <v/>
      </c>
      <c r="F364" s="61">
        <f>IFERROR(INDEX(tbl_Finance[Cost Centre],$A364),"")</f>
        <v/>
      </c>
      <c r="G364" s="62">
        <f>IFERROR(INDEX(tbl_Finance[Ex GST],$A364),"")</f>
        <v/>
      </c>
      <c r="H364" s="60">
        <f>IFERROR(INDEX(tbl_Finance[Defer Start],$A364),"")</f>
        <v/>
      </c>
      <c r="I364" s="60">
        <f>IFERROR(INDEX(tbl_Finance[Defer End],$A364),"")</f>
        <v/>
      </c>
      <c r="J364" s="59">
        <f>IF(OR($H364="",$I364="",$G364=""),"",MAX(1,(YEAR($I364)-YEAR($H364))*12+MONTH($I364)-MONTH($H364)+1))</f>
        <v/>
      </c>
      <c r="K364" s="62">
        <f>IF($J364="","",$G364/$J364)</f>
        <v/>
      </c>
      <c r="L364" s="62">
        <f>IF($J364="",0,$K364*MAX(0,MIN(YEAR($C$3)*12+MONTH($C$3),YEAR($I364)*12+MONTH($I364))-(YEAR($H364)*12+MONTH($H364))+1))</f>
        <v/>
      </c>
      <c r="M364" s="62">
        <f>IF($J364="",0,$K364*MAX(0,MIN(YEAR($C$3)*12+MONTH($C$3)-1,YEAR($I364)*12+MONTH($I364))-(YEAR($H364)*12+MONTH($H364))+1))</f>
        <v/>
      </c>
      <c r="N364" s="62">
        <f>IF(OR($J364="",$B364=""),0,IF(YEAR($B364)*12+MONTH($B364)&lt;=YEAR($C$3)*12+MONTH($C$3),$G364,0))</f>
        <v/>
      </c>
      <c r="O364" s="62">
        <f>IF(OR($J364="",$B364=""),0,IF(YEAR($B364)*12+MONTH($B364)&lt;=YEAR($C$3)*12+MONTH($C$3)-1,$G364,0))</f>
        <v/>
      </c>
      <c r="P364" s="62">
        <f>$M364-$O364</f>
        <v/>
      </c>
      <c r="Q364" s="62">
        <f>($L364-$M364)-($N364-$O364)</f>
        <v/>
      </c>
      <c r="R364" s="62">
        <f>$L364-$N364</f>
        <v/>
      </c>
    </row>
    <row r="365">
      <c r="A365" s="59">
        <f>ROW()-5</f>
        <v/>
      </c>
      <c r="B365" s="60">
        <f>IFERROR(INDEX(tbl_Finance[Date],$A365),"")</f>
        <v/>
      </c>
      <c r="C365" s="61">
        <f>IFERROR(INDEX(tbl_Finance[Xero Invoice No],$A365),"")</f>
        <v/>
      </c>
      <c r="D365" s="61">
        <f>IFERROR(INDEX(tbl_Finance[Client],$A365),"")</f>
        <v/>
      </c>
      <c r="E365" s="61">
        <f>IFERROR(INDEX(tbl_Finance[Job Number],$A365),"")</f>
        <v/>
      </c>
      <c r="F365" s="61">
        <f>IFERROR(INDEX(tbl_Finance[Cost Centre],$A365),"")</f>
        <v/>
      </c>
      <c r="G365" s="62">
        <f>IFERROR(INDEX(tbl_Finance[Ex GST],$A365),"")</f>
        <v/>
      </c>
      <c r="H365" s="60">
        <f>IFERROR(INDEX(tbl_Finance[Defer Start],$A365),"")</f>
        <v/>
      </c>
      <c r="I365" s="60">
        <f>IFERROR(INDEX(tbl_Finance[Defer End],$A365),"")</f>
        <v/>
      </c>
      <c r="J365" s="59">
        <f>IF(OR($H365="",$I365="",$G365=""),"",MAX(1,(YEAR($I365)-YEAR($H365))*12+MONTH($I365)-MONTH($H365)+1))</f>
        <v/>
      </c>
      <c r="K365" s="62">
        <f>IF($J365="","",$G365/$J365)</f>
        <v/>
      </c>
      <c r="L365" s="62">
        <f>IF($J365="",0,$K365*MAX(0,MIN(YEAR($C$3)*12+MONTH($C$3),YEAR($I365)*12+MONTH($I365))-(YEAR($H365)*12+MONTH($H365))+1))</f>
        <v/>
      </c>
      <c r="M365" s="62">
        <f>IF($J365="",0,$K365*MAX(0,MIN(YEAR($C$3)*12+MONTH($C$3)-1,YEAR($I365)*12+MONTH($I365))-(YEAR($H365)*12+MONTH($H365))+1))</f>
        <v/>
      </c>
      <c r="N365" s="62">
        <f>IF(OR($J365="",$B365=""),0,IF(YEAR($B365)*12+MONTH($B365)&lt;=YEAR($C$3)*12+MONTH($C$3),$G365,0))</f>
        <v/>
      </c>
      <c r="O365" s="62">
        <f>IF(OR($J365="",$B365=""),0,IF(YEAR($B365)*12+MONTH($B365)&lt;=YEAR($C$3)*12+MONTH($C$3)-1,$G365,0))</f>
        <v/>
      </c>
      <c r="P365" s="62">
        <f>$M365-$O365</f>
        <v/>
      </c>
      <c r="Q365" s="62">
        <f>($L365-$M365)-($N365-$O365)</f>
        <v/>
      </c>
      <c r="R365" s="62">
        <f>$L365-$N365</f>
        <v/>
      </c>
    </row>
    <row r="366">
      <c r="A366" s="59">
        <f>ROW()-5</f>
        <v/>
      </c>
      <c r="B366" s="60">
        <f>IFERROR(INDEX(tbl_Finance[Date],$A366),"")</f>
        <v/>
      </c>
      <c r="C366" s="61">
        <f>IFERROR(INDEX(tbl_Finance[Xero Invoice No],$A366),"")</f>
        <v/>
      </c>
      <c r="D366" s="61">
        <f>IFERROR(INDEX(tbl_Finance[Client],$A366),"")</f>
        <v/>
      </c>
      <c r="E366" s="61">
        <f>IFERROR(INDEX(tbl_Finance[Job Number],$A366),"")</f>
        <v/>
      </c>
      <c r="F366" s="61">
        <f>IFERROR(INDEX(tbl_Finance[Cost Centre],$A366),"")</f>
        <v/>
      </c>
      <c r="G366" s="62">
        <f>IFERROR(INDEX(tbl_Finance[Ex GST],$A366),"")</f>
        <v/>
      </c>
      <c r="H366" s="60">
        <f>IFERROR(INDEX(tbl_Finance[Defer Start],$A366),"")</f>
        <v/>
      </c>
      <c r="I366" s="60">
        <f>IFERROR(INDEX(tbl_Finance[Defer End],$A366),"")</f>
        <v/>
      </c>
      <c r="J366" s="59">
        <f>IF(OR($H366="",$I366="",$G366=""),"",MAX(1,(YEAR($I366)-YEAR($H366))*12+MONTH($I366)-MONTH($H366)+1))</f>
        <v/>
      </c>
      <c r="K366" s="62">
        <f>IF($J366="","",$G366/$J366)</f>
        <v/>
      </c>
      <c r="L366" s="62">
        <f>IF($J366="",0,$K366*MAX(0,MIN(YEAR($C$3)*12+MONTH($C$3),YEAR($I366)*12+MONTH($I366))-(YEAR($H366)*12+MONTH($H366))+1))</f>
        <v/>
      </c>
      <c r="M366" s="62">
        <f>IF($J366="",0,$K366*MAX(0,MIN(YEAR($C$3)*12+MONTH($C$3)-1,YEAR($I366)*12+MONTH($I366))-(YEAR($H366)*12+MONTH($H366))+1))</f>
        <v/>
      </c>
      <c r="N366" s="62">
        <f>IF(OR($J366="",$B366=""),0,IF(YEAR($B366)*12+MONTH($B366)&lt;=YEAR($C$3)*12+MONTH($C$3),$G366,0))</f>
        <v/>
      </c>
      <c r="O366" s="62">
        <f>IF(OR($J366="",$B366=""),0,IF(YEAR($B366)*12+MONTH($B366)&lt;=YEAR($C$3)*12+MONTH($C$3)-1,$G366,0))</f>
        <v/>
      </c>
      <c r="P366" s="62">
        <f>$M366-$O366</f>
        <v/>
      </c>
      <c r="Q366" s="62">
        <f>($L366-$M366)-($N366-$O366)</f>
        <v/>
      </c>
      <c r="R366" s="62">
        <f>$L366-$N366</f>
        <v/>
      </c>
    </row>
    <row r="367">
      <c r="A367" s="59">
        <f>ROW()-5</f>
        <v/>
      </c>
      <c r="B367" s="60">
        <f>IFERROR(INDEX(tbl_Finance[Date],$A367),"")</f>
        <v/>
      </c>
      <c r="C367" s="61">
        <f>IFERROR(INDEX(tbl_Finance[Xero Invoice No],$A367),"")</f>
        <v/>
      </c>
      <c r="D367" s="61">
        <f>IFERROR(INDEX(tbl_Finance[Client],$A367),"")</f>
        <v/>
      </c>
      <c r="E367" s="61">
        <f>IFERROR(INDEX(tbl_Finance[Job Number],$A367),"")</f>
        <v/>
      </c>
      <c r="F367" s="61">
        <f>IFERROR(INDEX(tbl_Finance[Cost Centre],$A367),"")</f>
        <v/>
      </c>
      <c r="G367" s="62">
        <f>IFERROR(INDEX(tbl_Finance[Ex GST],$A367),"")</f>
        <v/>
      </c>
      <c r="H367" s="60">
        <f>IFERROR(INDEX(tbl_Finance[Defer Start],$A367),"")</f>
        <v/>
      </c>
      <c r="I367" s="60">
        <f>IFERROR(INDEX(tbl_Finance[Defer End],$A367),"")</f>
        <v/>
      </c>
      <c r="J367" s="59">
        <f>IF(OR($H367="",$I367="",$G367=""),"",MAX(1,(YEAR($I367)-YEAR($H367))*12+MONTH($I367)-MONTH($H367)+1))</f>
        <v/>
      </c>
      <c r="K367" s="62">
        <f>IF($J367="","",$G367/$J367)</f>
        <v/>
      </c>
      <c r="L367" s="62">
        <f>IF($J367="",0,$K367*MAX(0,MIN(YEAR($C$3)*12+MONTH($C$3),YEAR($I367)*12+MONTH($I367))-(YEAR($H367)*12+MONTH($H367))+1))</f>
        <v/>
      </c>
      <c r="M367" s="62">
        <f>IF($J367="",0,$K367*MAX(0,MIN(YEAR($C$3)*12+MONTH($C$3)-1,YEAR($I367)*12+MONTH($I367))-(YEAR($H367)*12+MONTH($H367))+1))</f>
        <v/>
      </c>
      <c r="N367" s="62">
        <f>IF(OR($J367="",$B367=""),0,IF(YEAR($B367)*12+MONTH($B367)&lt;=YEAR($C$3)*12+MONTH($C$3),$G367,0))</f>
        <v/>
      </c>
      <c r="O367" s="62">
        <f>IF(OR($J367="",$B367=""),0,IF(YEAR($B367)*12+MONTH($B367)&lt;=YEAR($C$3)*12+MONTH($C$3)-1,$G367,0))</f>
        <v/>
      </c>
      <c r="P367" s="62">
        <f>$M367-$O367</f>
        <v/>
      </c>
      <c r="Q367" s="62">
        <f>($L367-$M367)-($N367-$O367)</f>
        <v/>
      </c>
      <c r="R367" s="62">
        <f>$L367-$N367</f>
        <v/>
      </c>
    </row>
    <row r="368">
      <c r="A368" s="59">
        <f>ROW()-5</f>
        <v/>
      </c>
      <c r="B368" s="60">
        <f>IFERROR(INDEX(tbl_Finance[Date],$A368),"")</f>
        <v/>
      </c>
      <c r="C368" s="61">
        <f>IFERROR(INDEX(tbl_Finance[Xero Invoice No],$A368),"")</f>
        <v/>
      </c>
      <c r="D368" s="61">
        <f>IFERROR(INDEX(tbl_Finance[Client],$A368),"")</f>
        <v/>
      </c>
      <c r="E368" s="61">
        <f>IFERROR(INDEX(tbl_Finance[Job Number],$A368),"")</f>
        <v/>
      </c>
      <c r="F368" s="61">
        <f>IFERROR(INDEX(tbl_Finance[Cost Centre],$A368),"")</f>
        <v/>
      </c>
      <c r="G368" s="62">
        <f>IFERROR(INDEX(tbl_Finance[Ex GST],$A368),"")</f>
        <v/>
      </c>
      <c r="H368" s="60">
        <f>IFERROR(INDEX(tbl_Finance[Defer Start],$A368),"")</f>
        <v/>
      </c>
      <c r="I368" s="60">
        <f>IFERROR(INDEX(tbl_Finance[Defer End],$A368),"")</f>
        <v/>
      </c>
      <c r="J368" s="59">
        <f>IF(OR($H368="",$I368="",$G368=""),"",MAX(1,(YEAR($I368)-YEAR($H368))*12+MONTH($I368)-MONTH($H368)+1))</f>
        <v/>
      </c>
      <c r="K368" s="62">
        <f>IF($J368="","",$G368/$J368)</f>
        <v/>
      </c>
      <c r="L368" s="62">
        <f>IF($J368="",0,$K368*MAX(0,MIN(YEAR($C$3)*12+MONTH($C$3),YEAR($I368)*12+MONTH($I368))-(YEAR($H368)*12+MONTH($H368))+1))</f>
        <v/>
      </c>
      <c r="M368" s="62">
        <f>IF($J368="",0,$K368*MAX(0,MIN(YEAR($C$3)*12+MONTH($C$3)-1,YEAR($I368)*12+MONTH($I368))-(YEAR($H368)*12+MONTH($H368))+1))</f>
        <v/>
      </c>
      <c r="N368" s="62">
        <f>IF(OR($J368="",$B368=""),0,IF(YEAR($B368)*12+MONTH($B368)&lt;=YEAR($C$3)*12+MONTH($C$3),$G368,0))</f>
        <v/>
      </c>
      <c r="O368" s="62">
        <f>IF(OR($J368="",$B368=""),0,IF(YEAR($B368)*12+MONTH($B368)&lt;=YEAR($C$3)*12+MONTH($C$3)-1,$G368,0))</f>
        <v/>
      </c>
      <c r="P368" s="62">
        <f>$M368-$O368</f>
        <v/>
      </c>
      <c r="Q368" s="62">
        <f>($L368-$M368)-($N368-$O368)</f>
        <v/>
      </c>
      <c r="R368" s="62">
        <f>$L368-$N368</f>
        <v/>
      </c>
    </row>
    <row r="369">
      <c r="A369" s="59">
        <f>ROW()-5</f>
        <v/>
      </c>
      <c r="B369" s="60">
        <f>IFERROR(INDEX(tbl_Finance[Date],$A369),"")</f>
        <v/>
      </c>
      <c r="C369" s="61">
        <f>IFERROR(INDEX(tbl_Finance[Xero Invoice No],$A369),"")</f>
        <v/>
      </c>
      <c r="D369" s="61">
        <f>IFERROR(INDEX(tbl_Finance[Client],$A369),"")</f>
        <v/>
      </c>
      <c r="E369" s="61">
        <f>IFERROR(INDEX(tbl_Finance[Job Number],$A369),"")</f>
        <v/>
      </c>
      <c r="F369" s="61">
        <f>IFERROR(INDEX(tbl_Finance[Cost Centre],$A369),"")</f>
        <v/>
      </c>
      <c r="G369" s="62">
        <f>IFERROR(INDEX(tbl_Finance[Ex GST],$A369),"")</f>
        <v/>
      </c>
      <c r="H369" s="60">
        <f>IFERROR(INDEX(tbl_Finance[Defer Start],$A369),"")</f>
        <v/>
      </c>
      <c r="I369" s="60">
        <f>IFERROR(INDEX(tbl_Finance[Defer End],$A369),"")</f>
        <v/>
      </c>
      <c r="J369" s="59">
        <f>IF(OR($H369="",$I369="",$G369=""),"",MAX(1,(YEAR($I369)-YEAR($H369))*12+MONTH($I369)-MONTH($H369)+1))</f>
        <v/>
      </c>
      <c r="K369" s="62">
        <f>IF($J369="","",$G369/$J369)</f>
        <v/>
      </c>
      <c r="L369" s="62">
        <f>IF($J369="",0,$K369*MAX(0,MIN(YEAR($C$3)*12+MONTH($C$3),YEAR($I369)*12+MONTH($I369))-(YEAR($H369)*12+MONTH($H369))+1))</f>
        <v/>
      </c>
      <c r="M369" s="62">
        <f>IF($J369="",0,$K369*MAX(0,MIN(YEAR($C$3)*12+MONTH($C$3)-1,YEAR($I369)*12+MONTH($I369))-(YEAR($H369)*12+MONTH($H369))+1))</f>
        <v/>
      </c>
      <c r="N369" s="62">
        <f>IF(OR($J369="",$B369=""),0,IF(YEAR($B369)*12+MONTH($B369)&lt;=YEAR($C$3)*12+MONTH($C$3),$G369,0))</f>
        <v/>
      </c>
      <c r="O369" s="62">
        <f>IF(OR($J369="",$B369=""),0,IF(YEAR($B369)*12+MONTH($B369)&lt;=YEAR($C$3)*12+MONTH($C$3)-1,$G369,0))</f>
        <v/>
      </c>
      <c r="P369" s="62">
        <f>$M369-$O369</f>
        <v/>
      </c>
      <c r="Q369" s="62">
        <f>($L369-$M369)-($N369-$O369)</f>
        <v/>
      </c>
      <c r="R369" s="62">
        <f>$L369-$N369</f>
        <v/>
      </c>
    </row>
    <row r="370">
      <c r="A370" s="59">
        <f>ROW()-5</f>
        <v/>
      </c>
      <c r="B370" s="60">
        <f>IFERROR(INDEX(tbl_Finance[Date],$A370),"")</f>
        <v/>
      </c>
      <c r="C370" s="61">
        <f>IFERROR(INDEX(tbl_Finance[Xero Invoice No],$A370),"")</f>
        <v/>
      </c>
      <c r="D370" s="61">
        <f>IFERROR(INDEX(tbl_Finance[Client],$A370),"")</f>
        <v/>
      </c>
      <c r="E370" s="61">
        <f>IFERROR(INDEX(tbl_Finance[Job Number],$A370),"")</f>
        <v/>
      </c>
      <c r="F370" s="61">
        <f>IFERROR(INDEX(tbl_Finance[Cost Centre],$A370),"")</f>
        <v/>
      </c>
      <c r="G370" s="62">
        <f>IFERROR(INDEX(tbl_Finance[Ex GST],$A370),"")</f>
        <v/>
      </c>
      <c r="H370" s="60">
        <f>IFERROR(INDEX(tbl_Finance[Defer Start],$A370),"")</f>
        <v/>
      </c>
      <c r="I370" s="60">
        <f>IFERROR(INDEX(tbl_Finance[Defer End],$A370),"")</f>
        <v/>
      </c>
      <c r="J370" s="59">
        <f>IF(OR($H370="",$I370="",$G370=""),"",MAX(1,(YEAR($I370)-YEAR($H370))*12+MONTH($I370)-MONTH($H370)+1))</f>
        <v/>
      </c>
      <c r="K370" s="62">
        <f>IF($J370="","",$G370/$J370)</f>
        <v/>
      </c>
      <c r="L370" s="62">
        <f>IF($J370="",0,$K370*MAX(0,MIN(YEAR($C$3)*12+MONTH($C$3),YEAR($I370)*12+MONTH($I370))-(YEAR($H370)*12+MONTH($H370))+1))</f>
        <v/>
      </c>
      <c r="M370" s="62">
        <f>IF($J370="",0,$K370*MAX(0,MIN(YEAR($C$3)*12+MONTH($C$3)-1,YEAR($I370)*12+MONTH($I370))-(YEAR($H370)*12+MONTH($H370))+1))</f>
        <v/>
      </c>
      <c r="N370" s="62">
        <f>IF(OR($J370="",$B370=""),0,IF(YEAR($B370)*12+MONTH($B370)&lt;=YEAR($C$3)*12+MONTH($C$3),$G370,0))</f>
        <v/>
      </c>
      <c r="O370" s="62">
        <f>IF(OR($J370="",$B370=""),0,IF(YEAR($B370)*12+MONTH($B370)&lt;=YEAR($C$3)*12+MONTH($C$3)-1,$G370,0))</f>
        <v/>
      </c>
      <c r="P370" s="62">
        <f>$M370-$O370</f>
        <v/>
      </c>
      <c r="Q370" s="62">
        <f>($L370-$M370)-($N370-$O370)</f>
        <v/>
      </c>
      <c r="R370" s="62">
        <f>$L370-$N370</f>
        <v/>
      </c>
    </row>
    <row r="371">
      <c r="A371" s="59">
        <f>ROW()-5</f>
        <v/>
      </c>
      <c r="B371" s="60">
        <f>IFERROR(INDEX(tbl_Finance[Date],$A371),"")</f>
        <v/>
      </c>
      <c r="C371" s="61">
        <f>IFERROR(INDEX(tbl_Finance[Xero Invoice No],$A371),"")</f>
        <v/>
      </c>
      <c r="D371" s="61">
        <f>IFERROR(INDEX(tbl_Finance[Client],$A371),"")</f>
        <v/>
      </c>
      <c r="E371" s="61">
        <f>IFERROR(INDEX(tbl_Finance[Job Number],$A371),"")</f>
        <v/>
      </c>
      <c r="F371" s="61">
        <f>IFERROR(INDEX(tbl_Finance[Cost Centre],$A371),"")</f>
        <v/>
      </c>
      <c r="G371" s="62">
        <f>IFERROR(INDEX(tbl_Finance[Ex GST],$A371),"")</f>
        <v/>
      </c>
      <c r="H371" s="60">
        <f>IFERROR(INDEX(tbl_Finance[Defer Start],$A371),"")</f>
        <v/>
      </c>
      <c r="I371" s="60">
        <f>IFERROR(INDEX(tbl_Finance[Defer End],$A371),"")</f>
        <v/>
      </c>
      <c r="J371" s="59">
        <f>IF(OR($H371="",$I371="",$G371=""),"",MAX(1,(YEAR($I371)-YEAR($H371))*12+MONTH($I371)-MONTH($H371)+1))</f>
        <v/>
      </c>
      <c r="K371" s="62">
        <f>IF($J371="","",$G371/$J371)</f>
        <v/>
      </c>
      <c r="L371" s="62">
        <f>IF($J371="",0,$K371*MAX(0,MIN(YEAR($C$3)*12+MONTH($C$3),YEAR($I371)*12+MONTH($I371))-(YEAR($H371)*12+MONTH($H371))+1))</f>
        <v/>
      </c>
      <c r="M371" s="62">
        <f>IF($J371="",0,$K371*MAX(0,MIN(YEAR($C$3)*12+MONTH($C$3)-1,YEAR($I371)*12+MONTH($I371))-(YEAR($H371)*12+MONTH($H371))+1))</f>
        <v/>
      </c>
      <c r="N371" s="62">
        <f>IF(OR($J371="",$B371=""),0,IF(YEAR($B371)*12+MONTH($B371)&lt;=YEAR($C$3)*12+MONTH($C$3),$G371,0))</f>
        <v/>
      </c>
      <c r="O371" s="62">
        <f>IF(OR($J371="",$B371=""),0,IF(YEAR($B371)*12+MONTH($B371)&lt;=YEAR($C$3)*12+MONTH($C$3)-1,$G371,0))</f>
        <v/>
      </c>
      <c r="P371" s="62">
        <f>$M371-$O371</f>
        <v/>
      </c>
      <c r="Q371" s="62">
        <f>($L371-$M371)-($N371-$O371)</f>
        <v/>
      </c>
      <c r="R371" s="62">
        <f>$L371-$N371</f>
        <v/>
      </c>
    </row>
    <row r="372">
      <c r="A372" s="59">
        <f>ROW()-5</f>
        <v/>
      </c>
      <c r="B372" s="60">
        <f>IFERROR(INDEX(tbl_Finance[Date],$A372),"")</f>
        <v/>
      </c>
      <c r="C372" s="61">
        <f>IFERROR(INDEX(tbl_Finance[Xero Invoice No],$A372),"")</f>
        <v/>
      </c>
      <c r="D372" s="61">
        <f>IFERROR(INDEX(tbl_Finance[Client],$A372),"")</f>
        <v/>
      </c>
      <c r="E372" s="61">
        <f>IFERROR(INDEX(tbl_Finance[Job Number],$A372),"")</f>
        <v/>
      </c>
      <c r="F372" s="61">
        <f>IFERROR(INDEX(tbl_Finance[Cost Centre],$A372),"")</f>
        <v/>
      </c>
      <c r="G372" s="62">
        <f>IFERROR(INDEX(tbl_Finance[Ex GST],$A372),"")</f>
        <v/>
      </c>
      <c r="H372" s="60">
        <f>IFERROR(INDEX(tbl_Finance[Defer Start],$A372),"")</f>
        <v/>
      </c>
      <c r="I372" s="60">
        <f>IFERROR(INDEX(tbl_Finance[Defer End],$A372),"")</f>
        <v/>
      </c>
      <c r="J372" s="59">
        <f>IF(OR($H372="",$I372="",$G372=""),"",MAX(1,(YEAR($I372)-YEAR($H372))*12+MONTH($I372)-MONTH($H372)+1))</f>
        <v/>
      </c>
      <c r="K372" s="62">
        <f>IF($J372="","",$G372/$J372)</f>
        <v/>
      </c>
      <c r="L372" s="62">
        <f>IF($J372="",0,$K372*MAX(0,MIN(YEAR($C$3)*12+MONTH($C$3),YEAR($I372)*12+MONTH($I372))-(YEAR($H372)*12+MONTH($H372))+1))</f>
        <v/>
      </c>
      <c r="M372" s="62">
        <f>IF($J372="",0,$K372*MAX(0,MIN(YEAR($C$3)*12+MONTH($C$3)-1,YEAR($I372)*12+MONTH($I372))-(YEAR($H372)*12+MONTH($H372))+1))</f>
        <v/>
      </c>
      <c r="N372" s="62">
        <f>IF(OR($J372="",$B372=""),0,IF(YEAR($B372)*12+MONTH($B372)&lt;=YEAR($C$3)*12+MONTH($C$3),$G372,0))</f>
        <v/>
      </c>
      <c r="O372" s="62">
        <f>IF(OR($J372="",$B372=""),0,IF(YEAR($B372)*12+MONTH($B372)&lt;=YEAR($C$3)*12+MONTH($C$3)-1,$G372,0))</f>
        <v/>
      </c>
      <c r="P372" s="62">
        <f>$M372-$O372</f>
        <v/>
      </c>
      <c r="Q372" s="62">
        <f>($L372-$M372)-($N372-$O372)</f>
        <v/>
      </c>
      <c r="R372" s="62">
        <f>$L372-$N372</f>
        <v/>
      </c>
    </row>
    <row r="373">
      <c r="A373" s="59">
        <f>ROW()-5</f>
        <v/>
      </c>
      <c r="B373" s="60">
        <f>IFERROR(INDEX(tbl_Finance[Date],$A373),"")</f>
        <v/>
      </c>
      <c r="C373" s="61">
        <f>IFERROR(INDEX(tbl_Finance[Xero Invoice No],$A373),"")</f>
        <v/>
      </c>
      <c r="D373" s="61">
        <f>IFERROR(INDEX(tbl_Finance[Client],$A373),"")</f>
        <v/>
      </c>
      <c r="E373" s="61">
        <f>IFERROR(INDEX(tbl_Finance[Job Number],$A373),"")</f>
        <v/>
      </c>
      <c r="F373" s="61">
        <f>IFERROR(INDEX(tbl_Finance[Cost Centre],$A373),"")</f>
        <v/>
      </c>
      <c r="G373" s="62">
        <f>IFERROR(INDEX(tbl_Finance[Ex GST],$A373),"")</f>
        <v/>
      </c>
      <c r="H373" s="60">
        <f>IFERROR(INDEX(tbl_Finance[Defer Start],$A373),"")</f>
        <v/>
      </c>
      <c r="I373" s="60">
        <f>IFERROR(INDEX(tbl_Finance[Defer End],$A373),"")</f>
        <v/>
      </c>
      <c r="J373" s="59">
        <f>IF(OR($H373="",$I373="",$G373=""),"",MAX(1,(YEAR($I373)-YEAR($H373))*12+MONTH($I373)-MONTH($H373)+1))</f>
        <v/>
      </c>
      <c r="K373" s="62">
        <f>IF($J373="","",$G373/$J373)</f>
        <v/>
      </c>
      <c r="L373" s="62">
        <f>IF($J373="",0,$K373*MAX(0,MIN(YEAR($C$3)*12+MONTH($C$3),YEAR($I373)*12+MONTH($I373))-(YEAR($H373)*12+MONTH($H373))+1))</f>
        <v/>
      </c>
      <c r="M373" s="62">
        <f>IF($J373="",0,$K373*MAX(0,MIN(YEAR($C$3)*12+MONTH($C$3)-1,YEAR($I373)*12+MONTH($I373))-(YEAR($H373)*12+MONTH($H373))+1))</f>
        <v/>
      </c>
      <c r="N373" s="62">
        <f>IF(OR($J373="",$B373=""),0,IF(YEAR($B373)*12+MONTH($B373)&lt;=YEAR($C$3)*12+MONTH($C$3),$G373,0))</f>
        <v/>
      </c>
      <c r="O373" s="62">
        <f>IF(OR($J373="",$B373=""),0,IF(YEAR($B373)*12+MONTH($B373)&lt;=YEAR($C$3)*12+MONTH($C$3)-1,$G373,0))</f>
        <v/>
      </c>
      <c r="P373" s="62">
        <f>$M373-$O373</f>
        <v/>
      </c>
      <c r="Q373" s="62">
        <f>($L373-$M373)-($N373-$O373)</f>
        <v/>
      </c>
      <c r="R373" s="62">
        <f>$L373-$N373</f>
        <v/>
      </c>
    </row>
    <row r="374">
      <c r="A374" s="59">
        <f>ROW()-5</f>
        <v/>
      </c>
      <c r="B374" s="60">
        <f>IFERROR(INDEX(tbl_Finance[Date],$A374),"")</f>
        <v/>
      </c>
      <c r="C374" s="61">
        <f>IFERROR(INDEX(tbl_Finance[Xero Invoice No],$A374),"")</f>
        <v/>
      </c>
      <c r="D374" s="61">
        <f>IFERROR(INDEX(tbl_Finance[Client],$A374),"")</f>
        <v/>
      </c>
      <c r="E374" s="61">
        <f>IFERROR(INDEX(tbl_Finance[Job Number],$A374),"")</f>
        <v/>
      </c>
      <c r="F374" s="61">
        <f>IFERROR(INDEX(tbl_Finance[Cost Centre],$A374),"")</f>
        <v/>
      </c>
      <c r="G374" s="62">
        <f>IFERROR(INDEX(tbl_Finance[Ex GST],$A374),"")</f>
        <v/>
      </c>
      <c r="H374" s="60">
        <f>IFERROR(INDEX(tbl_Finance[Defer Start],$A374),"")</f>
        <v/>
      </c>
      <c r="I374" s="60">
        <f>IFERROR(INDEX(tbl_Finance[Defer End],$A374),"")</f>
        <v/>
      </c>
      <c r="J374" s="59">
        <f>IF(OR($H374="",$I374="",$G374=""),"",MAX(1,(YEAR($I374)-YEAR($H374))*12+MONTH($I374)-MONTH($H374)+1))</f>
        <v/>
      </c>
      <c r="K374" s="62">
        <f>IF($J374="","",$G374/$J374)</f>
        <v/>
      </c>
      <c r="L374" s="62">
        <f>IF($J374="",0,$K374*MAX(0,MIN(YEAR($C$3)*12+MONTH($C$3),YEAR($I374)*12+MONTH($I374))-(YEAR($H374)*12+MONTH($H374))+1))</f>
        <v/>
      </c>
      <c r="M374" s="62">
        <f>IF($J374="",0,$K374*MAX(0,MIN(YEAR($C$3)*12+MONTH($C$3)-1,YEAR($I374)*12+MONTH($I374))-(YEAR($H374)*12+MONTH($H374))+1))</f>
        <v/>
      </c>
      <c r="N374" s="62">
        <f>IF(OR($J374="",$B374=""),0,IF(YEAR($B374)*12+MONTH($B374)&lt;=YEAR($C$3)*12+MONTH($C$3),$G374,0))</f>
        <v/>
      </c>
      <c r="O374" s="62">
        <f>IF(OR($J374="",$B374=""),0,IF(YEAR($B374)*12+MONTH($B374)&lt;=YEAR($C$3)*12+MONTH($C$3)-1,$G374,0))</f>
        <v/>
      </c>
      <c r="P374" s="62">
        <f>$M374-$O374</f>
        <v/>
      </c>
      <c r="Q374" s="62">
        <f>($L374-$M374)-($N374-$O374)</f>
        <v/>
      </c>
      <c r="R374" s="62">
        <f>$L374-$N374</f>
        <v/>
      </c>
    </row>
    <row r="375">
      <c r="A375" s="59">
        <f>ROW()-5</f>
        <v/>
      </c>
      <c r="B375" s="60">
        <f>IFERROR(INDEX(tbl_Finance[Date],$A375),"")</f>
        <v/>
      </c>
      <c r="C375" s="61">
        <f>IFERROR(INDEX(tbl_Finance[Xero Invoice No],$A375),"")</f>
        <v/>
      </c>
      <c r="D375" s="61">
        <f>IFERROR(INDEX(tbl_Finance[Client],$A375),"")</f>
        <v/>
      </c>
      <c r="E375" s="61">
        <f>IFERROR(INDEX(tbl_Finance[Job Number],$A375),"")</f>
        <v/>
      </c>
      <c r="F375" s="61">
        <f>IFERROR(INDEX(tbl_Finance[Cost Centre],$A375),"")</f>
        <v/>
      </c>
      <c r="G375" s="62">
        <f>IFERROR(INDEX(tbl_Finance[Ex GST],$A375),"")</f>
        <v/>
      </c>
      <c r="H375" s="60">
        <f>IFERROR(INDEX(tbl_Finance[Defer Start],$A375),"")</f>
        <v/>
      </c>
      <c r="I375" s="60">
        <f>IFERROR(INDEX(tbl_Finance[Defer End],$A375),"")</f>
        <v/>
      </c>
      <c r="J375" s="59">
        <f>IF(OR($H375="",$I375="",$G375=""),"",MAX(1,(YEAR($I375)-YEAR($H375))*12+MONTH($I375)-MONTH($H375)+1))</f>
        <v/>
      </c>
      <c r="K375" s="62">
        <f>IF($J375="","",$G375/$J375)</f>
        <v/>
      </c>
      <c r="L375" s="62">
        <f>IF($J375="",0,$K375*MAX(0,MIN(YEAR($C$3)*12+MONTH($C$3),YEAR($I375)*12+MONTH($I375))-(YEAR($H375)*12+MONTH($H375))+1))</f>
        <v/>
      </c>
      <c r="M375" s="62">
        <f>IF($J375="",0,$K375*MAX(0,MIN(YEAR($C$3)*12+MONTH($C$3)-1,YEAR($I375)*12+MONTH($I375))-(YEAR($H375)*12+MONTH($H375))+1))</f>
        <v/>
      </c>
      <c r="N375" s="62">
        <f>IF(OR($J375="",$B375=""),0,IF(YEAR($B375)*12+MONTH($B375)&lt;=YEAR($C$3)*12+MONTH($C$3),$G375,0))</f>
        <v/>
      </c>
      <c r="O375" s="62">
        <f>IF(OR($J375="",$B375=""),0,IF(YEAR($B375)*12+MONTH($B375)&lt;=YEAR($C$3)*12+MONTH($C$3)-1,$G375,0))</f>
        <v/>
      </c>
      <c r="P375" s="62">
        <f>$M375-$O375</f>
        <v/>
      </c>
      <c r="Q375" s="62">
        <f>($L375-$M375)-($N375-$O375)</f>
        <v/>
      </c>
      <c r="R375" s="62">
        <f>$L375-$N375</f>
        <v/>
      </c>
    </row>
    <row r="376">
      <c r="A376" s="59">
        <f>ROW()-5</f>
        <v/>
      </c>
      <c r="B376" s="60">
        <f>IFERROR(INDEX(tbl_Finance[Date],$A376),"")</f>
        <v/>
      </c>
      <c r="C376" s="61">
        <f>IFERROR(INDEX(tbl_Finance[Xero Invoice No],$A376),"")</f>
        <v/>
      </c>
      <c r="D376" s="61">
        <f>IFERROR(INDEX(tbl_Finance[Client],$A376),"")</f>
        <v/>
      </c>
      <c r="E376" s="61">
        <f>IFERROR(INDEX(tbl_Finance[Job Number],$A376),"")</f>
        <v/>
      </c>
      <c r="F376" s="61">
        <f>IFERROR(INDEX(tbl_Finance[Cost Centre],$A376),"")</f>
        <v/>
      </c>
      <c r="G376" s="62">
        <f>IFERROR(INDEX(tbl_Finance[Ex GST],$A376),"")</f>
        <v/>
      </c>
      <c r="H376" s="60">
        <f>IFERROR(INDEX(tbl_Finance[Defer Start],$A376),"")</f>
        <v/>
      </c>
      <c r="I376" s="60">
        <f>IFERROR(INDEX(tbl_Finance[Defer End],$A376),"")</f>
        <v/>
      </c>
      <c r="J376" s="59">
        <f>IF(OR($H376="",$I376="",$G376=""),"",MAX(1,(YEAR($I376)-YEAR($H376))*12+MONTH($I376)-MONTH($H376)+1))</f>
        <v/>
      </c>
      <c r="K376" s="62">
        <f>IF($J376="","",$G376/$J376)</f>
        <v/>
      </c>
      <c r="L376" s="62">
        <f>IF($J376="",0,$K376*MAX(0,MIN(YEAR($C$3)*12+MONTH($C$3),YEAR($I376)*12+MONTH($I376))-(YEAR($H376)*12+MONTH($H376))+1))</f>
        <v/>
      </c>
      <c r="M376" s="62">
        <f>IF($J376="",0,$K376*MAX(0,MIN(YEAR($C$3)*12+MONTH($C$3)-1,YEAR($I376)*12+MONTH($I376))-(YEAR($H376)*12+MONTH($H376))+1))</f>
        <v/>
      </c>
      <c r="N376" s="62">
        <f>IF(OR($J376="",$B376=""),0,IF(YEAR($B376)*12+MONTH($B376)&lt;=YEAR($C$3)*12+MONTH($C$3),$G376,0))</f>
        <v/>
      </c>
      <c r="O376" s="62">
        <f>IF(OR($J376="",$B376=""),0,IF(YEAR($B376)*12+MONTH($B376)&lt;=YEAR($C$3)*12+MONTH($C$3)-1,$G376,0))</f>
        <v/>
      </c>
      <c r="P376" s="62">
        <f>$M376-$O376</f>
        <v/>
      </c>
      <c r="Q376" s="62">
        <f>($L376-$M376)-($N376-$O376)</f>
        <v/>
      </c>
      <c r="R376" s="62">
        <f>$L376-$N376</f>
        <v/>
      </c>
    </row>
    <row r="377">
      <c r="A377" s="59">
        <f>ROW()-5</f>
        <v/>
      </c>
      <c r="B377" s="60">
        <f>IFERROR(INDEX(tbl_Finance[Date],$A377),"")</f>
        <v/>
      </c>
      <c r="C377" s="61">
        <f>IFERROR(INDEX(tbl_Finance[Xero Invoice No],$A377),"")</f>
        <v/>
      </c>
      <c r="D377" s="61">
        <f>IFERROR(INDEX(tbl_Finance[Client],$A377),"")</f>
        <v/>
      </c>
      <c r="E377" s="61">
        <f>IFERROR(INDEX(tbl_Finance[Job Number],$A377),"")</f>
        <v/>
      </c>
      <c r="F377" s="61">
        <f>IFERROR(INDEX(tbl_Finance[Cost Centre],$A377),"")</f>
        <v/>
      </c>
      <c r="G377" s="62">
        <f>IFERROR(INDEX(tbl_Finance[Ex GST],$A377),"")</f>
        <v/>
      </c>
      <c r="H377" s="60">
        <f>IFERROR(INDEX(tbl_Finance[Defer Start],$A377),"")</f>
        <v/>
      </c>
      <c r="I377" s="60">
        <f>IFERROR(INDEX(tbl_Finance[Defer End],$A377),"")</f>
        <v/>
      </c>
      <c r="J377" s="59">
        <f>IF(OR($H377="",$I377="",$G377=""),"",MAX(1,(YEAR($I377)-YEAR($H377))*12+MONTH($I377)-MONTH($H377)+1))</f>
        <v/>
      </c>
      <c r="K377" s="62">
        <f>IF($J377="","",$G377/$J377)</f>
        <v/>
      </c>
      <c r="L377" s="62">
        <f>IF($J377="",0,$K377*MAX(0,MIN(YEAR($C$3)*12+MONTH($C$3),YEAR($I377)*12+MONTH($I377))-(YEAR($H377)*12+MONTH($H377))+1))</f>
        <v/>
      </c>
      <c r="M377" s="62">
        <f>IF($J377="",0,$K377*MAX(0,MIN(YEAR($C$3)*12+MONTH($C$3)-1,YEAR($I377)*12+MONTH($I377))-(YEAR($H377)*12+MONTH($H377))+1))</f>
        <v/>
      </c>
      <c r="N377" s="62">
        <f>IF(OR($J377="",$B377=""),0,IF(YEAR($B377)*12+MONTH($B377)&lt;=YEAR($C$3)*12+MONTH($C$3),$G377,0))</f>
        <v/>
      </c>
      <c r="O377" s="62">
        <f>IF(OR($J377="",$B377=""),0,IF(YEAR($B377)*12+MONTH($B377)&lt;=YEAR($C$3)*12+MONTH($C$3)-1,$G377,0))</f>
        <v/>
      </c>
      <c r="P377" s="62">
        <f>$M377-$O377</f>
        <v/>
      </c>
      <c r="Q377" s="62">
        <f>($L377-$M377)-($N377-$O377)</f>
        <v/>
      </c>
      <c r="R377" s="62">
        <f>$L377-$N377</f>
        <v/>
      </c>
    </row>
    <row r="378">
      <c r="A378" s="59">
        <f>ROW()-5</f>
        <v/>
      </c>
      <c r="B378" s="60">
        <f>IFERROR(INDEX(tbl_Finance[Date],$A378),"")</f>
        <v/>
      </c>
      <c r="C378" s="61">
        <f>IFERROR(INDEX(tbl_Finance[Xero Invoice No],$A378),"")</f>
        <v/>
      </c>
      <c r="D378" s="61">
        <f>IFERROR(INDEX(tbl_Finance[Client],$A378),"")</f>
        <v/>
      </c>
      <c r="E378" s="61">
        <f>IFERROR(INDEX(tbl_Finance[Job Number],$A378),"")</f>
        <v/>
      </c>
      <c r="F378" s="61">
        <f>IFERROR(INDEX(tbl_Finance[Cost Centre],$A378),"")</f>
        <v/>
      </c>
      <c r="G378" s="62">
        <f>IFERROR(INDEX(tbl_Finance[Ex GST],$A378),"")</f>
        <v/>
      </c>
      <c r="H378" s="60">
        <f>IFERROR(INDEX(tbl_Finance[Defer Start],$A378),"")</f>
        <v/>
      </c>
      <c r="I378" s="60">
        <f>IFERROR(INDEX(tbl_Finance[Defer End],$A378),"")</f>
        <v/>
      </c>
      <c r="J378" s="59">
        <f>IF(OR($H378="",$I378="",$G378=""),"",MAX(1,(YEAR($I378)-YEAR($H378))*12+MONTH($I378)-MONTH($H378)+1))</f>
        <v/>
      </c>
      <c r="K378" s="62">
        <f>IF($J378="","",$G378/$J378)</f>
        <v/>
      </c>
      <c r="L378" s="62">
        <f>IF($J378="",0,$K378*MAX(0,MIN(YEAR($C$3)*12+MONTH($C$3),YEAR($I378)*12+MONTH($I378))-(YEAR($H378)*12+MONTH($H378))+1))</f>
        <v/>
      </c>
      <c r="M378" s="62">
        <f>IF($J378="",0,$K378*MAX(0,MIN(YEAR($C$3)*12+MONTH($C$3)-1,YEAR($I378)*12+MONTH($I378))-(YEAR($H378)*12+MONTH($H378))+1))</f>
        <v/>
      </c>
      <c r="N378" s="62">
        <f>IF(OR($J378="",$B378=""),0,IF(YEAR($B378)*12+MONTH($B378)&lt;=YEAR($C$3)*12+MONTH($C$3),$G378,0))</f>
        <v/>
      </c>
      <c r="O378" s="62">
        <f>IF(OR($J378="",$B378=""),0,IF(YEAR($B378)*12+MONTH($B378)&lt;=YEAR($C$3)*12+MONTH($C$3)-1,$G378,0))</f>
        <v/>
      </c>
      <c r="P378" s="62">
        <f>$M378-$O378</f>
        <v/>
      </c>
      <c r="Q378" s="62">
        <f>($L378-$M378)-($N378-$O378)</f>
        <v/>
      </c>
      <c r="R378" s="62">
        <f>$L378-$N378</f>
        <v/>
      </c>
    </row>
    <row r="379">
      <c r="A379" s="59">
        <f>ROW()-5</f>
        <v/>
      </c>
      <c r="B379" s="60">
        <f>IFERROR(INDEX(tbl_Finance[Date],$A379),"")</f>
        <v/>
      </c>
      <c r="C379" s="61">
        <f>IFERROR(INDEX(tbl_Finance[Xero Invoice No],$A379),"")</f>
        <v/>
      </c>
      <c r="D379" s="61">
        <f>IFERROR(INDEX(tbl_Finance[Client],$A379),"")</f>
        <v/>
      </c>
      <c r="E379" s="61">
        <f>IFERROR(INDEX(tbl_Finance[Job Number],$A379),"")</f>
        <v/>
      </c>
      <c r="F379" s="61">
        <f>IFERROR(INDEX(tbl_Finance[Cost Centre],$A379),"")</f>
        <v/>
      </c>
      <c r="G379" s="62">
        <f>IFERROR(INDEX(tbl_Finance[Ex GST],$A379),"")</f>
        <v/>
      </c>
      <c r="H379" s="60">
        <f>IFERROR(INDEX(tbl_Finance[Defer Start],$A379),"")</f>
        <v/>
      </c>
      <c r="I379" s="60">
        <f>IFERROR(INDEX(tbl_Finance[Defer End],$A379),"")</f>
        <v/>
      </c>
      <c r="J379" s="59">
        <f>IF(OR($H379="",$I379="",$G379=""),"",MAX(1,(YEAR($I379)-YEAR($H379))*12+MONTH($I379)-MONTH($H379)+1))</f>
        <v/>
      </c>
      <c r="K379" s="62">
        <f>IF($J379="","",$G379/$J379)</f>
        <v/>
      </c>
      <c r="L379" s="62">
        <f>IF($J379="",0,$K379*MAX(0,MIN(YEAR($C$3)*12+MONTH($C$3),YEAR($I379)*12+MONTH($I379))-(YEAR($H379)*12+MONTH($H379))+1))</f>
        <v/>
      </c>
      <c r="M379" s="62">
        <f>IF($J379="",0,$K379*MAX(0,MIN(YEAR($C$3)*12+MONTH($C$3)-1,YEAR($I379)*12+MONTH($I379))-(YEAR($H379)*12+MONTH($H379))+1))</f>
        <v/>
      </c>
      <c r="N379" s="62">
        <f>IF(OR($J379="",$B379=""),0,IF(YEAR($B379)*12+MONTH($B379)&lt;=YEAR($C$3)*12+MONTH($C$3),$G379,0))</f>
        <v/>
      </c>
      <c r="O379" s="62">
        <f>IF(OR($J379="",$B379=""),0,IF(YEAR($B379)*12+MONTH($B379)&lt;=YEAR($C$3)*12+MONTH($C$3)-1,$G379,0))</f>
        <v/>
      </c>
      <c r="P379" s="62">
        <f>$M379-$O379</f>
        <v/>
      </c>
      <c r="Q379" s="62">
        <f>($L379-$M379)-($N379-$O379)</f>
        <v/>
      </c>
      <c r="R379" s="62">
        <f>$L379-$N379</f>
        <v/>
      </c>
    </row>
    <row r="380">
      <c r="A380" s="59">
        <f>ROW()-5</f>
        <v/>
      </c>
      <c r="B380" s="60">
        <f>IFERROR(INDEX(tbl_Finance[Date],$A380),"")</f>
        <v/>
      </c>
      <c r="C380" s="61">
        <f>IFERROR(INDEX(tbl_Finance[Xero Invoice No],$A380),"")</f>
        <v/>
      </c>
      <c r="D380" s="61">
        <f>IFERROR(INDEX(tbl_Finance[Client],$A380),"")</f>
        <v/>
      </c>
      <c r="E380" s="61">
        <f>IFERROR(INDEX(tbl_Finance[Job Number],$A380),"")</f>
        <v/>
      </c>
      <c r="F380" s="61">
        <f>IFERROR(INDEX(tbl_Finance[Cost Centre],$A380),"")</f>
        <v/>
      </c>
      <c r="G380" s="62">
        <f>IFERROR(INDEX(tbl_Finance[Ex GST],$A380),"")</f>
        <v/>
      </c>
      <c r="H380" s="60">
        <f>IFERROR(INDEX(tbl_Finance[Defer Start],$A380),"")</f>
        <v/>
      </c>
      <c r="I380" s="60">
        <f>IFERROR(INDEX(tbl_Finance[Defer End],$A380),"")</f>
        <v/>
      </c>
      <c r="J380" s="59">
        <f>IF(OR($H380="",$I380="",$G380=""),"",MAX(1,(YEAR($I380)-YEAR($H380))*12+MONTH($I380)-MONTH($H380)+1))</f>
        <v/>
      </c>
      <c r="K380" s="62">
        <f>IF($J380="","",$G380/$J380)</f>
        <v/>
      </c>
      <c r="L380" s="62">
        <f>IF($J380="",0,$K380*MAX(0,MIN(YEAR($C$3)*12+MONTH($C$3),YEAR($I380)*12+MONTH($I380))-(YEAR($H380)*12+MONTH($H380))+1))</f>
        <v/>
      </c>
      <c r="M380" s="62">
        <f>IF($J380="",0,$K380*MAX(0,MIN(YEAR($C$3)*12+MONTH($C$3)-1,YEAR($I380)*12+MONTH($I380))-(YEAR($H380)*12+MONTH($H380))+1))</f>
        <v/>
      </c>
      <c r="N380" s="62">
        <f>IF(OR($J380="",$B380=""),0,IF(YEAR($B380)*12+MONTH($B380)&lt;=YEAR($C$3)*12+MONTH($C$3),$G380,0))</f>
        <v/>
      </c>
      <c r="O380" s="62">
        <f>IF(OR($J380="",$B380=""),0,IF(YEAR($B380)*12+MONTH($B380)&lt;=YEAR($C$3)*12+MONTH($C$3)-1,$G380,0))</f>
        <v/>
      </c>
      <c r="P380" s="62">
        <f>$M380-$O380</f>
        <v/>
      </c>
      <c r="Q380" s="62">
        <f>($L380-$M380)-($N380-$O380)</f>
        <v/>
      </c>
      <c r="R380" s="62">
        <f>$L380-$N380</f>
        <v/>
      </c>
    </row>
    <row r="381">
      <c r="A381" s="59">
        <f>ROW()-5</f>
        <v/>
      </c>
      <c r="B381" s="60">
        <f>IFERROR(INDEX(tbl_Finance[Date],$A381),"")</f>
        <v/>
      </c>
      <c r="C381" s="61">
        <f>IFERROR(INDEX(tbl_Finance[Xero Invoice No],$A381),"")</f>
        <v/>
      </c>
      <c r="D381" s="61">
        <f>IFERROR(INDEX(tbl_Finance[Client],$A381),"")</f>
        <v/>
      </c>
      <c r="E381" s="61">
        <f>IFERROR(INDEX(tbl_Finance[Job Number],$A381),"")</f>
        <v/>
      </c>
      <c r="F381" s="61">
        <f>IFERROR(INDEX(tbl_Finance[Cost Centre],$A381),"")</f>
        <v/>
      </c>
      <c r="G381" s="62">
        <f>IFERROR(INDEX(tbl_Finance[Ex GST],$A381),"")</f>
        <v/>
      </c>
      <c r="H381" s="60">
        <f>IFERROR(INDEX(tbl_Finance[Defer Start],$A381),"")</f>
        <v/>
      </c>
      <c r="I381" s="60">
        <f>IFERROR(INDEX(tbl_Finance[Defer End],$A381),"")</f>
        <v/>
      </c>
      <c r="J381" s="59">
        <f>IF(OR($H381="",$I381="",$G381=""),"",MAX(1,(YEAR($I381)-YEAR($H381))*12+MONTH($I381)-MONTH($H381)+1))</f>
        <v/>
      </c>
      <c r="K381" s="62">
        <f>IF($J381="","",$G381/$J381)</f>
        <v/>
      </c>
      <c r="L381" s="62">
        <f>IF($J381="",0,$K381*MAX(0,MIN(YEAR($C$3)*12+MONTH($C$3),YEAR($I381)*12+MONTH($I381))-(YEAR($H381)*12+MONTH($H381))+1))</f>
        <v/>
      </c>
      <c r="M381" s="62">
        <f>IF($J381="",0,$K381*MAX(0,MIN(YEAR($C$3)*12+MONTH($C$3)-1,YEAR($I381)*12+MONTH($I381))-(YEAR($H381)*12+MONTH($H381))+1))</f>
        <v/>
      </c>
      <c r="N381" s="62">
        <f>IF(OR($J381="",$B381=""),0,IF(YEAR($B381)*12+MONTH($B381)&lt;=YEAR($C$3)*12+MONTH($C$3),$G381,0))</f>
        <v/>
      </c>
      <c r="O381" s="62">
        <f>IF(OR($J381="",$B381=""),0,IF(YEAR($B381)*12+MONTH($B381)&lt;=YEAR($C$3)*12+MONTH($C$3)-1,$G381,0))</f>
        <v/>
      </c>
      <c r="P381" s="62">
        <f>$M381-$O381</f>
        <v/>
      </c>
      <c r="Q381" s="62">
        <f>($L381-$M381)-($N381-$O381)</f>
        <v/>
      </c>
      <c r="R381" s="62">
        <f>$L381-$N381</f>
        <v/>
      </c>
    </row>
    <row r="382">
      <c r="A382" s="59">
        <f>ROW()-5</f>
        <v/>
      </c>
      <c r="B382" s="60">
        <f>IFERROR(INDEX(tbl_Finance[Date],$A382),"")</f>
        <v/>
      </c>
      <c r="C382" s="61">
        <f>IFERROR(INDEX(tbl_Finance[Xero Invoice No],$A382),"")</f>
        <v/>
      </c>
      <c r="D382" s="61">
        <f>IFERROR(INDEX(tbl_Finance[Client],$A382),"")</f>
        <v/>
      </c>
      <c r="E382" s="61">
        <f>IFERROR(INDEX(tbl_Finance[Job Number],$A382),"")</f>
        <v/>
      </c>
      <c r="F382" s="61">
        <f>IFERROR(INDEX(tbl_Finance[Cost Centre],$A382),"")</f>
        <v/>
      </c>
      <c r="G382" s="62">
        <f>IFERROR(INDEX(tbl_Finance[Ex GST],$A382),"")</f>
        <v/>
      </c>
      <c r="H382" s="60">
        <f>IFERROR(INDEX(tbl_Finance[Defer Start],$A382),"")</f>
        <v/>
      </c>
      <c r="I382" s="60">
        <f>IFERROR(INDEX(tbl_Finance[Defer End],$A382),"")</f>
        <v/>
      </c>
      <c r="J382" s="59">
        <f>IF(OR($H382="",$I382="",$G382=""),"",MAX(1,(YEAR($I382)-YEAR($H382))*12+MONTH($I382)-MONTH($H382)+1))</f>
        <v/>
      </c>
      <c r="K382" s="62">
        <f>IF($J382="","",$G382/$J382)</f>
        <v/>
      </c>
      <c r="L382" s="62">
        <f>IF($J382="",0,$K382*MAX(0,MIN(YEAR($C$3)*12+MONTH($C$3),YEAR($I382)*12+MONTH($I382))-(YEAR($H382)*12+MONTH($H382))+1))</f>
        <v/>
      </c>
      <c r="M382" s="62">
        <f>IF($J382="",0,$K382*MAX(0,MIN(YEAR($C$3)*12+MONTH($C$3)-1,YEAR($I382)*12+MONTH($I382))-(YEAR($H382)*12+MONTH($H382))+1))</f>
        <v/>
      </c>
      <c r="N382" s="62">
        <f>IF(OR($J382="",$B382=""),0,IF(YEAR($B382)*12+MONTH($B382)&lt;=YEAR($C$3)*12+MONTH($C$3),$G382,0))</f>
        <v/>
      </c>
      <c r="O382" s="62">
        <f>IF(OR($J382="",$B382=""),0,IF(YEAR($B382)*12+MONTH($B382)&lt;=YEAR($C$3)*12+MONTH($C$3)-1,$G382,0))</f>
        <v/>
      </c>
      <c r="P382" s="62">
        <f>$M382-$O382</f>
        <v/>
      </c>
      <c r="Q382" s="62">
        <f>($L382-$M382)-($N382-$O382)</f>
        <v/>
      </c>
      <c r="R382" s="62">
        <f>$L382-$N382</f>
        <v/>
      </c>
    </row>
    <row r="383">
      <c r="A383" s="59">
        <f>ROW()-5</f>
        <v/>
      </c>
      <c r="B383" s="60">
        <f>IFERROR(INDEX(tbl_Finance[Date],$A383),"")</f>
        <v/>
      </c>
      <c r="C383" s="61">
        <f>IFERROR(INDEX(tbl_Finance[Xero Invoice No],$A383),"")</f>
        <v/>
      </c>
      <c r="D383" s="61">
        <f>IFERROR(INDEX(tbl_Finance[Client],$A383),"")</f>
        <v/>
      </c>
      <c r="E383" s="61">
        <f>IFERROR(INDEX(tbl_Finance[Job Number],$A383),"")</f>
        <v/>
      </c>
      <c r="F383" s="61">
        <f>IFERROR(INDEX(tbl_Finance[Cost Centre],$A383),"")</f>
        <v/>
      </c>
      <c r="G383" s="62">
        <f>IFERROR(INDEX(tbl_Finance[Ex GST],$A383),"")</f>
        <v/>
      </c>
      <c r="H383" s="60">
        <f>IFERROR(INDEX(tbl_Finance[Defer Start],$A383),"")</f>
        <v/>
      </c>
      <c r="I383" s="60">
        <f>IFERROR(INDEX(tbl_Finance[Defer End],$A383),"")</f>
        <v/>
      </c>
      <c r="J383" s="59">
        <f>IF(OR($H383="",$I383="",$G383=""),"",MAX(1,(YEAR($I383)-YEAR($H383))*12+MONTH($I383)-MONTH($H383)+1))</f>
        <v/>
      </c>
      <c r="K383" s="62">
        <f>IF($J383="","",$G383/$J383)</f>
        <v/>
      </c>
      <c r="L383" s="62">
        <f>IF($J383="",0,$K383*MAX(0,MIN(YEAR($C$3)*12+MONTH($C$3),YEAR($I383)*12+MONTH($I383))-(YEAR($H383)*12+MONTH($H383))+1))</f>
        <v/>
      </c>
      <c r="M383" s="62">
        <f>IF($J383="",0,$K383*MAX(0,MIN(YEAR($C$3)*12+MONTH($C$3)-1,YEAR($I383)*12+MONTH($I383))-(YEAR($H383)*12+MONTH($H383))+1))</f>
        <v/>
      </c>
      <c r="N383" s="62">
        <f>IF(OR($J383="",$B383=""),0,IF(YEAR($B383)*12+MONTH($B383)&lt;=YEAR($C$3)*12+MONTH($C$3),$G383,0))</f>
        <v/>
      </c>
      <c r="O383" s="62">
        <f>IF(OR($J383="",$B383=""),0,IF(YEAR($B383)*12+MONTH($B383)&lt;=YEAR($C$3)*12+MONTH($C$3)-1,$G383,0))</f>
        <v/>
      </c>
      <c r="P383" s="62">
        <f>$M383-$O383</f>
        <v/>
      </c>
      <c r="Q383" s="62">
        <f>($L383-$M383)-($N383-$O383)</f>
        <v/>
      </c>
      <c r="R383" s="62">
        <f>$L383-$N383</f>
        <v/>
      </c>
    </row>
    <row r="384">
      <c r="A384" s="59">
        <f>ROW()-5</f>
        <v/>
      </c>
      <c r="B384" s="60">
        <f>IFERROR(INDEX(tbl_Finance[Date],$A384),"")</f>
        <v/>
      </c>
      <c r="C384" s="61">
        <f>IFERROR(INDEX(tbl_Finance[Xero Invoice No],$A384),"")</f>
        <v/>
      </c>
      <c r="D384" s="61">
        <f>IFERROR(INDEX(tbl_Finance[Client],$A384),"")</f>
        <v/>
      </c>
      <c r="E384" s="61">
        <f>IFERROR(INDEX(tbl_Finance[Job Number],$A384),"")</f>
        <v/>
      </c>
      <c r="F384" s="61">
        <f>IFERROR(INDEX(tbl_Finance[Cost Centre],$A384),"")</f>
        <v/>
      </c>
      <c r="G384" s="62">
        <f>IFERROR(INDEX(tbl_Finance[Ex GST],$A384),"")</f>
        <v/>
      </c>
      <c r="H384" s="60">
        <f>IFERROR(INDEX(tbl_Finance[Defer Start],$A384),"")</f>
        <v/>
      </c>
      <c r="I384" s="60">
        <f>IFERROR(INDEX(tbl_Finance[Defer End],$A384),"")</f>
        <v/>
      </c>
      <c r="J384" s="59">
        <f>IF(OR($H384="",$I384="",$G384=""),"",MAX(1,(YEAR($I384)-YEAR($H384))*12+MONTH($I384)-MONTH($H384)+1))</f>
        <v/>
      </c>
      <c r="K384" s="62">
        <f>IF($J384="","",$G384/$J384)</f>
        <v/>
      </c>
      <c r="L384" s="62">
        <f>IF($J384="",0,$K384*MAX(0,MIN(YEAR($C$3)*12+MONTH($C$3),YEAR($I384)*12+MONTH($I384))-(YEAR($H384)*12+MONTH($H384))+1))</f>
        <v/>
      </c>
      <c r="M384" s="62">
        <f>IF($J384="",0,$K384*MAX(0,MIN(YEAR($C$3)*12+MONTH($C$3)-1,YEAR($I384)*12+MONTH($I384))-(YEAR($H384)*12+MONTH($H384))+1))</f>
        <v/>
      </c>
      <c r="N384" s="62">
        <f>IF(OR($J384="",$B384=""),0,IF(YEAR($B384)*12+MONTH($B384)&lt;=YEAR($C$3)*12+MONTH($C$3),$G384,0))</f>
        <v/>
      </c>
      <c r="O384" s="62">
        <f>IF(OR($J384="",$B384=""),0,IF(YEAR($B384)*12+MONTH($B384)&lt;=YEAR($C$3)*12+MONTH($C$3)-1,$G384,0))</f>
        <v/>
      </c>
      <c r="P384" s="62">
        <f>$M384-$O384</f>
        <v/>
      </c>
      <c r="Q384" s="62">
        <f>($L384-$M384)-($N384-$O384)</f>
        <v/>
      </c>
      <c r="R384" s="62">
        <f>$L384-$N384</f>
        <v/>
      </c>
    </row>
    <row r="385">
      <c r="A385" s="59">
        <f>ROW()-5</f>
        <v/>
      </c>
      <c r="B385" s="60">
        <f>IFERROR(INDEX(tbl_Finance[Date],$A385),"")</f>
        <v/>
      </c>
      <c r="C385" s="61">
        <f>IFERROR(INDEX(tbl_Finance[Xero Invoice No],$A385),"")</f>
        <v/>
      </c>
      <c r="D385" s="61">
        <f>IFERROR(INDEX(tbl_Finance[Client],$A385),"")</f>
        <v/>
      </c>
      <c r="E385" s="61">
        <f>IFERROR(INDEX(tbl_Finance[Job Number],$A385),"")</f>
        <v/>
      </c>
      <c r="F385" s="61">
        <f>IFERROR(INDEX(tbl_Finance[Cost Centre],$A385),"")</f>
        <v/>
      </c>
      <c r="G385" s="62">
        <f>IFERROR(INDEX(tbl_Finance[Ex GST],$A385),"")</f>
        <v/>
      </c>
      <c r="H385" s="60">
        <f>IFERROR(INDEX(tbl_Finance[Defer Start],$A385),"")</f>
        <v/>
      </c>
      <c r="I385" s="60">
        <f>IFERROR(INDEX(tbl_Finance[Defer End],$A385),"")</f>
        <v/>
      </c>
      <c r="J385" s="59">
        <f>IF(OR($H385="",$I385="",$G385=""),"",MAX(1,(YEAR($I385)-YEAR($H385))*12+MONTH($I385)-MONTH($H385)+1))</f>
        <v/>
      </c>
      <c r="K385" s="62">
        <f>IF($J385="","",$G385/$J385)</f>
        <v/>
      </c>
      <c r="L385" s="62">
        <f>IF($J385="",0,$K385*MAX(0,MIN(YEAR($C$3)*12+MONTH($C$3),YEAR($I385)*12+MONTH($I385))-(YEAR($H385)*12+MONTH($H385))+1))</f>
        <v/>
      </c>
      <c r="M385" s="62">
        <f>IF($J385="",0,$K385*MAX(0,MIN(YEAR($C$3)*12+MONTH($C$3)-1,YEAR($I385)*12+MONTH($I385))-(YEAR($H385)*12+MONTH($H385))+1))</f>
        <v/>
      </c>
      <c r="N385" s="62">
        <f>IF(OR($J385="",$B385=""),0,IF(YEAR($B385)*12+MONTH($B385)&lt;=YEAR($C$3)*12+MONTH($C$3),$G385,0))</f>
        <v/>
      </c>
      <c r="O385" s="62">
        <f>IF(OR($J385="",$B385=""),0,IF(YEAR($B385)*12+MONTH($B385)&lt;=YEAR($C$3)*12+MONTH($C$3)-1,$G385,0))</f>
        <v/>
      </c>
      <c r="P385" s="62">
        <f>$M385-$O385</f>
        <v/>
      </c>
      <c r="Q385" s="62">
        <f>($L385-$M385)-($N385-$O385)</f>
        <v/>
      </c>
      <c r="R385" s="62">
        <f>$L385-$N385</f>
        <v/>
      </c>
    </row>
    <row r="386">
      <c r="A386" s="59">
        <f>ROW()-5</f>
        <v/>
      </c>
      <c r="B386" s="60">
        <f>IFERROR(INDEX(tbl_Finance[Date],$A386),"")</f>
        <v/>
      </c>
      <c r="C386" s="61">
        <f>IFERROR(INDEX(tbl_Finance[Xero Invoice No],$A386),"")</f>
        <v/>
      </c>
      <c r="D386" s="61">
        <f>IFERROR(INDEX(tbl_Finance[Client],$A386),"")</f>
        <v/>
      </c>
      <c r="E386" s="61">
        <f>IFERROR(INDEX(tbl_Finance[Job Number],$A386),"")</f>
        <v/>
      </c>
      <c r="F386" s="61">
        <f>IFERROR(INDEX(tbl_Finance[Cost Centre],$A386),"")</f>
        <v/>
      </c>
      <c r="G386" s="62">
        <f>IFERROR(INDEX(tbl_Finance[Ex GST],$A386),"")</f>
        <v/>
      </c>
      <c r="H386" s="60">
        <f>IFERROR(INDEX(tbl_Finance[Defer Start],$A386),"")</f>
        <v/>
      </c>
      <c r="I386" s="60">
        <f>IFERROR(INDEX(tbl_Finance[Defer End],$A386),"")</f>
        <v/>
      </c>
      <c r="J386" s="59">
        <f>IF(OR($H386="",$I386="",$G386=""),"",MAX(1,(YEAR($I386)-YEAR($H386))*12+MONTH($I386)-MONTH($H386)+1))</f>
        <v/>
      </c>
      <c r="K386" s="62">
        <f>IF($J386="","",$G386/$J386)</f>
        <v/>
      </c>
      <c r="L386" s="62">
        <f>IF($J386="",0,$K386*MAX(0,MIN(YEAR($C$3)*12+MONTH($C$3),YEAR($I386)*12+MONTH($I386))-(YEAR($H386)*12+MONTH($H386))+1))</f>
        <v/>
      </c>
      <c r="M386" s="62">
        <f>IF($J386="",0,$K386*MAX(0,MIN(YEAR($C$3)*12+MONTH($C$3)-1,YEAR($I386)*12+MONTH($I386))-(YEAR($H386)*12+MONTH($H386))+1))</f>
        <v/>
      </c>
      <c r="N386" s="62">
        <f>IF(OR($J386="",$B386=""),0,IF(YEAR($B386)*12+MONTH($B386)&lt;=YEAR($C$3)*12+MONTH($C$3),$G386,0))</f>
        <v/>
      </c>
      <c r="O386" s="62">
        <f>IF(OR($J386="",$B386=""),0,IF(YEAR($B386)*12+MONTH($B386)&lt;=YEAR($C$3)*12+MONTH($C$3)-1,$G386,0))</f>
        <v/>
      </c>
      <c r="P386" s="62">
        <f>$M386-$O386</f>
        <v/>
      </c>
      <c r="Q386" s="62">
        <f>($L386-$M386)-($N386-$O386)</f>
        <v/>
      </c>
      <c r="R386" s="62">
        <f>$L386-$N386</f>
        <v/>
      </c>
    </row>
    <row r="387">
      <c r="A387" s="59">
        <f>ROW()-5</f>
        <v/>
      </c>
      <c r="B387" s="60">
        <f>IFERROR(INDEX(tbl_Finance[Date],$A387),"")</f>
        <v/>
      </c>
      <c r="C387" s="61">
        <f>IFERROR(INDEX(tbl_Finance[Xero Invoice No],$A387),"")</f>
        <v/>
      </c>
      <c r="D387" s="61">
        <f>IFERROR(INDEX(tbl_Finance[Client],$A387),"")</f>
        <v/>
      </c>
      <c r="E387" s="61">
        <f>IFERROR(INDEX(tbl_Finance[Job Number],$A387),"")</f>
        <v/>
      </c>
      <c r="F387" s="61">
        <f>IFERROR(INDEX(tbl_Finance[Cost Centre],$A387),"")</f>
        <v/>
      </c>
      <c r="G387" s="62">
        <f>IFERROR(INDEX(tbl_Finance[Ex GST],$A387),"")</f>
        <v/>
      </c>
      <c r="H387" s="60">
        <f>IFERROR(INDEX(tbl_Finance[Defer Start],$A387),"")</f>
        <v/>
      </c>
      <c r="I387" s="60">
        <f>IFERROR(INDEX(tbl_Finance[Defer End],$A387),"")</f>
        <v/>
      </c>
      <c r="J387" s="59">
        <f>IF(OR($H387="",$I387="",$G387=""),"",MAX(1,(YEAR($I387)-YEAR($H387))*12+MONTH($I387)-MONTH($H387)+1))</f>
        <v/>
      </c>
      <c r="K387" s="62">
        <f>IF($J387="","",$G387/$J387)</f>
        <v/>
      </c>
      <c r="L387" s="62">
        <f>IF($J387="",0,$K387*MAX(0,MIN(YEAR($C$3)*12+MONTH($C$3),YEAR($I387)*12+MONTH($I387))-(YEAR($H387)*12+MONTH($H387))+1))</f>
        <v/>
      </c>
      <c r="M387" s="62">
        <f>IF($J387="",0,$K387*MAX(0,MIN(YEAR($C$3)*12+MONTH($C$3)-1,YEAR($I387)*12+MONTH($I387))-(YEAR($H387)*12+MONTH($H387))+1))</f>
        <v/>
      </c>
      <c r="N387" s="62">
        <f>IF(OR($J387="",$B387=""),0,IF(YEAR($B387)*12+MONTH($B387)&lt;=YEAR($C$3)*12+MONTH($C$3),$G387,0))</f>
        <v/>
      </c>
      <c r="O387" s="62">
        <f>IF(OR($J387="",$B387=""),0,IF(YEAR($B387)*12+MONTH($B387)&lt;=YEAR($C$3)*12+MONTH($C$3)-1,$G387,0))</f>
        <v/>
      </c>
      <c r="P387" s="62">
        <f>$M387-$O387</f>
        <v/>
      </c>
      <c r="Q387" s="62">
        <f>($L387-$M387)-($N387-$O387)</f>
        <v/>
      </c>
      <c r="R387" s="62">
        <f>$L387-$N387</f>
        <v/>
      </c>
    </row>
    <row r="388">
      <c r="A388" s="59">
        <f>ROW()-5</f>
        <v/>
      </c>
      <c r="B388" s="60">
        <f>IFERROR(INDEX(tbl_Finance[Date],$A388),"")</f>
        <v/>
      </c>
      <c r="C388" s="61">
        <f>IFERROR(INDEX(tbl_Finance[Xero Invoice No],$A388),"")</f>
        <v/>
      </c>
      <c r="D388" s="61">
        <f>IFERROR(INDEX(tbl_Finance[Client],$A388),"")</f>
        <v/>
      </c>
      <c r="E388" s="61">
        <f>IFERROR(INDEX(tbl_Finance[Job Number],$A388),"")</f>
        <v/>
      </c>
      <c r="F388" s="61">
        <f>IFERROR(INDEX(tbl_Finance[Cost Centre],$A388),"")</f>
        <v/>
      </c>
      <c r="G388" s="62">
        <f>IFERROR(INDEX(tbl_Finance[Ex GST],$A388),"")</f>
        <v/>
      </c>
      <c r="H388" s="60">
        <f>IFERROR(INDEX(tbl_Finance[Defer Start],$A388),"")</f>
        <v/>
      </c>
      <c r="I388" s="60">
        <f>IFERROR(INDEX(tbl_Finance[Defer End],$A388),"")</f>
        <v/>
      </c>
      <c r="J388" s="59">
        <f>IF(OR($H388="",$I388="",$G388=""),"",MAX(1,(YEAR($I388)-YEAR($H388))*12+MONTH($I388)-MONTH($H388)+1))</f>
        <v/>
      </c>
      <c r="K388" s="62">
        <f>IF($J388="","",$G388/$J388)</f>
        <v/>
      </c>
      <c r="L388" s="62">
        <f>IF($J388="",0,$K388*MAX(0,MIN(YEAR($C$3)*12+MONTH($C$3),YEAR($I388)*12+MONTH($I388))-(YEAR($H388)*12+MONTH($H388))+1))</f>
        <v/>
      </c>
      <c r="M388" s="62">
        <f>IF($J388="",0,$K388*MAX(0,MIN(YEAR($C$3)*12+MONTH($C$3)-1,YEAR($I388)*12+MONTH($I388))-(YEAR($H388)*12+MONTH($H388))+1))</f>
        <v/>
      </c>
      <c r="N388" s="62">
        <f>IF(OR($J388="",$B388=""),0,IF(YEAR($B388)*12+MONTH($B388)&lt;=YEAR($C$3)*12+MONTH($C$3),$G388,0))</f>
        <v/>
      </c>
      <c r="O388" s="62">
        <f>IF(OR($J388="",$B388=""),0,IF(YEAR($B388)*12+MONTH($B388)&lt;=YEAR($C$3)*12+MONTH($C$3)-1,$G388,0))</f>
        <v/>
      </c>
      <c r="P388" s="62">
        <f>$M388-$O388</f>
        <v/>
      </c>
      <c r="Q388" s="62">
        <f>($L388-$M388)-($N388-$O388)</f>
        <v/>
      </c>
      <c r="R388" s="62">
        <f>$L388-$N388</f>
        <v/>
      </c>
    </row>
    <row r="389">
      <c r="A389" s="59">
        <f>ROW()-5</f>
        <v/>
      </c>
      <c r="B389" s="60">
        <f>IFERROR(INDEX(tbl_Finance[Date],$A389),"")</f>
        <v/>
      </c>
      <c r="C389" s="61">
        <f>IFERROR(INDEX(tbl_Finance[Xero Invoice No],$A389),"")</f>
        <v/>
      </c>
      <c r="D389" s="61">
        <f>IFERROR(INDEX(tbl_Finance[Client],$A389),"")</f>
        <v/>
      </c>
      <c r="E389" s="61">
        <f>IFERROR(INDEX(tbl_Finance[Job Number],$A389),"")</f>
        <v/>
      </c>
      <c r="F389" s="61">
        <f>IFERROR(INDEX(tbl_Finance[Cost Centre],$A389),"")</f>
        <v/>
      </c>
      <c r="G389" s="62">
        <f>IFERROR(INDEX(tbl_Finance[Ex GST],$A389),"")</f>
        <v/>
      </c>
      <c r="H389" s="60">
        <f>IFERROR(INDEX(tbl_Finance[Defer Start],$A389),"")</f>
        <v/>
      </c>
      <c r="I389" s="60">
        <f>IFERROR(INDEX(tbl_Finance[Defer End],$A389),"")</f>
        <v/>
      </c>
      <c r="J389" s="59">
        <f>IF(OR($H389="",$I389="",$G389=""),"",MAX(1,(YEAR($I389)-YEAR($H389))*12+MONTH($I389)-MONTH($H389)+1))</f>
        <v/>
      </c>
      <c r="K389" s="62">
        <f>IF($J389="","",$G389/$J389)</f>
        <v/>
      </c>
      <c r="L389" s="62">
        <f>IF($J389="",0,$K389*MAX(0,MIN(YEAR($C$3)*12+MONTH($C$3),YEAR($I389)*12+MONTH($I389))-(YEAR($H389)*12+MONTH($H389))+1))</f>
        <v/>
      </c>
      <c r="M389" s="62">
        <f>IF($J389="",0,$K389*MAX(0,MIN(YEAR($C$3)*12+MONTH($C$3)-1,YEAR($I389)*12+MONTH($I389))-(YEAR($H389)*12+MONTH($H389))+1))</f>
        <v/>
      </c>
      <c r="N389" s="62">
        <f>IF(OR($J389="",$B389=""),0,IF(YEAR($B389)*12+MONTH($B389)&lt;=YEAR($C$3)*12+MONTH($C$3),$G389,0))</f>
        <v/>
      </c>
      <c r="O389" s="62">
        <f>IF(OR($J389="",$B389=""),0,IF(YEAR($B389)*12+MONTH($B389)&lt;=YEAR($C$3)*12+MONTH($C$3)-1,$G389,0))</f>
        <v/>
      </c>
      <c r="P389" s="62">
        <f>$M389-$O389</f>
        <v/>
      </c>
      <c r="Q389" s="62">
        <f>($L389-$M389)-($N389-$O389)</f>
        <v/>
      </c>
      <c r="R389" s="62">
        <f>$L389-$N389</f>
        <v/>
      </c>
    </row>
    <row r="390">
      <c r="A390" s="59">
        <f>ROW()-5</f>
        <v/>
      </c>
      <c r="B390" s="60">
        <f>IFERROR(INDEX(tbl_Finance[Date],$A390),"")</f>
        <v/>
      </c>
      <c r="C390" s="61">
        <f>IFERROR(INDEX(tbl_Finance[Xero Invoice No],$A390),"")</f>
        <v/>
      </c>
      <c r="D390" s="61">
        <f>IFERROR(INDEX(tbl_Finance[Client],$A390),"")</f>
        <v/>
      </c>
      <c r="E390" s="61">
        <f>IFERROR(INDEX(tbl_Finance[Job Number],$A390),"")</f>
        <v/>
      </c>
      <c r="F390" s="61">
        <f>IFERROR(INDEX(tbl_Finance[Cost Centre],$A390),"")</f>
        <v/>
      </c>
      <c r="G390" s="62">
        <f>IFERROR(INDEX(tbl_Finance[Ex GST],$A390),"")</f>
        <v/>
      </c>
      <c r="H390" s="60">
        <f>IFERROR(INDEX(tbl_Finance[Defer Start],$A390),"")</f>
        <v/>
      </c>
      <c r="I390" s="60">
        <f>IFERROR(INDEX(tbl_Finance[Defer End],$A390),"")</f>
        <v/>
      </c>
      <c r="J390" s="59">
        <f>IF(OR($H390="",$I390="",$G390=""),"",MAX(1,(YEAR($I390)-YEAR($H390))*12+MONTH($I390)-MONTH($H390)+1))</f>
        <v/>
      </c>
      <c r="K390" s="62">
        <f>IF($J390="","",$G390/$J390)</f>
        <v/>
      </c>
      <c r="L390" s="62">
        <f>IF($J390="",0,$K390*MAX(0,MIN(YEAR($C$3)*12+MONTH($C$3),YEAR($I390)*12+MONTH($I390))-(YEAR($H390)*12+MONTH($H390))+1))</f>
        <v/>
      </c>
      <c r="M390" s="62">
        <f>IF($J390="",0,$K390*MAX(0,MIN(YEAR($C$3)*12+MONTH($C$3)-1,YEAR($I390)*12+MONTH($I390))-(YEAR($H390)*12+MONTH($H390))+1))</f>
        <v/>
      </c>
      <c r="N390" s="62">
        <f>IF(OR($J390="",$B390=""),0,IF(YEAR($B390)*12+MONTH($B390)&lt;=YEAR($C$3)*12+MONTH($C$3),$G390,0))</f>
        <v/>
      </c>
      <c r="O390" s="62">
        <f>IF(OR($J390="",$B390=""),0,IF(YEAR($B390)*12+MONTH($B390)&lt;=YEAR($C$3)*12+MONTH($C$3)-1,$G390,0))</f>
        <v/>
      </c>
      <c r="P390" s="62">
        <f>$M390-$O390</f>
        <v/>
      </c>
      <c r="Q390" s="62">
        <f>($L390-$M390)-($N390-$O390)</f>
        <v/>
      </c>
      <c r="R390" s="62">
        <f>$L390-$N390</f>
        <v/>
      </c>
    </row>
    <row r="391">
      <c r="A391" s="59">
        <f>ROW()-5</f>
        <v/>
      </c>
      <c r="B391" s="60">
        <f>IFERROR(INDEX(tbl_Finance[Date],$A391),"")</f>
        <v/>
      </c>
      <c r="C391" s="61">
        <f>IFERROR(INDEX(tbl_Finance[Xero Invoice No],$A391),"")</f>
        <v/>
      </c>
      <c r="D391" s="61">
        <f>IFERROR(INDEX(tbl_Finance[Client],$A391),"")</f>
        <v/>
      </c>
      <c r="E391" s="61">
        <f>IFERROR(INDEX(tbl_Finance[Job Number],$A391),"")</f>
        <v/>
      </c>
      <c r="F391" s="61">
        <f>IFERROR(INDEX(tbl_Finance[Cost Centre],$A391),"")</f>
        <v/>
      </c>
      <c r="G391" s="62">
        <f>IFERROR(INDEX(tbl_Finance[Ex GST],$A391),"")</f>
        <v/>
      </c>
      <c r="H391" s="60">
        <f>IFERROR(INDEX(tbl_Finance[Defer Start],$A391),"")</f>
        <v/>
      </c>
      <c r="I391" s="60">
        <f>IFERROR(INDEX(tbl_Finance[Defer End],$A391),"")</f>
        <v/>
      </c>
      <c r="J391" s="59">
        <f>IF(OR($H391="",$I391="",$G391=""),"",MAX(1,(YEAR($I391)-YEAR($H391))*12+MONTH($I391)-MONTH($H391)+1))</f>
        <v/>
      </c>
      <c r="K391" s="62">
        <f>IF($J391="","",$G391/$J391)</f>
        <v/>
      </c>
      <c r="L391" s="62">
        <f>IF($J391="",0,$K391*MAX(0,MIN(YEAR($C$3)*12+MONTH($C$3),YEAR($I391)*12+MONTH($I391))-(YEAR($H391)*12+MONTH($H391))+1))</f>
        <v/>
      </c>
      <c r="M391" s="62">
        <f>IF($J391="",0,$K391*MAX(0,MIN(YEAR($C$3)*12+MONTH($C$3)-1,YEAR($I391)*12+MONTH($I391))-(YEAR($H391)*12+MONTH($H391))+1))</f>
        <v/>
      </c>
      <c r="N391" s="62">
        <f>IF(OR($J391="",$B391=""),0,IF(YEAR($B391)*12+MONTH($B391)&lt;=YEAR($C$3)*12+MONTH($C$3),$G391,0))</f>
        <v/>
      </c>
      <c r="O391" s="62">
        <f>IF(OR($J391="",$B391=""),0,IF(YEAR($B391)*12+MONTH($B391)&lt;=YEAR($C$3)*12+MONTH($C$3)-1,$G391,0))</f>
        <v/>
      </c>
      <c r="P391" s="62">
        <f>$M391-$O391</f>
        <v/>
      </c>
      <c r="Q391" s="62">
        <f>($L391-$M391)-($N391-$O391)</f>
        <v/>
      </c>
      <c r="R391" s="62">
        <f>$L391-$N391</f>
        <v/>
      </c>
    </row>
    <row r="392">
      <c r="A392" s="59">
        <f>ROW()-5</f>
        <v/>
      </c>
      <c r="B392" s="60">
        <f>IFERROR(INDEX(tbl_Finance[Date],$A392),"")</f>
        <v/>
      </c>
      <c r="C392" s="61">
        <f>IFERROR(INDEX(tbl_Finance[Xero Invoice No],$A392),"")</f>
        <v/>
      </c>
      <c r="D392" s="61">
        <f>IFERROR(INDEX(tbl_Finance[Client],$A392),"")</f>
        <v/>
      </c>
      <c r="E392" s="61">
        <f>IFERROR(INDEX(tbl_Finance[Job Number],$A392),"")</f>
        <v/>
      </c>
      <c r="F392" s="61">
        <f>IFERROR(INDEX(tbl_Finance[Cost Centre],$A392),"")</f>
        <v/>
      </c>
      <c r="G392" s="62">
        <f>IFERROR(INDEX(tbl_Finance[Ex GST],$A392),"")</f>
        <v/>
      </c>
      <c r="H392" s="60">
        <f>IFERROR(INDEX(tbl_Finance[Defer Start],$A392),"")</f>
        <v/>
      </c>
      <c r="I392" s="60">
        <f>IFERROR(INDEX(tbl_Finance[Defer End],$A392),"")</f>
        <v/>
      </c>
      <c r="J392" s="59">
        <f>IF(OR($H392="",$I392="",$G392=""),"",MAX(1,(YEAR($I392)-YEAR($H392))*12+MONTH($I392)-MONTH($H392)+1))</f>
        <v/>
      </c>
      <c r="K392" s="62">
        <f>IF($J392="","",$G392/$J392)</f>
        <v/>
      </c>
      <c r="L392" s="62">
        <f>IF($J392="",0,$K392*MAX(0,MIN(YEAR($C$3)*12+MONTH($C$3),YEAR($I392)*12+MONTH($I392))-(YEAR($H392)*12+MONTH($H392))+1))</f>
        <v/>
      </c>
      <c r="M392" s="62">
        <f>IF($J392="",0,$K392*MAX(0,MIN(YEAR($C$3)*12+MONTH($C$3)-1,YEAR($I392)*12+MONTH($I392))-(YEAR($H392)*12+MONTH($H392))+1))</f>
        <v/>
      </c>
      <c r="N392" s="62">
        <f>IF(OR($J392="",$B392=""),0,IF(YEAR($B392)*12+MONTH($B392)&lt;=YEAR($C$3)*12+MONTH($C$3),$G392,0))</f>
        <v/>
      </c>
      <c r="O392" s="62">
        <f>IF(OR($J392="",$B392=""),0,IF(YEAR($B392)*12+MONTH($B392)&lt;=YEAR($C$3)*12+MONTH($C$3)-1,$G392,0))</f>
        <v/>
      </c>
      <c r="P392" s="62">
        <f>$M392-$O392</f>
        <v/>
      </c>
      <c r="Q392" s="62">
        <f>($L392-$M392)-($N392-$O392)</f>
        <v/>
      </c>
      <c r="R392" s="62">
        <f>$L392-$N392</f>
        <v/>
      </c>
    </row>
    <row r="393">
      <c r="A393" s="59">
        <f>ROW()-5</f>
        <v/>
      </c>
      <c r="B393" s="60">
        <f>IFERROR(INDEX(tbl_Finance[Date],$A393),"")</f>
        <v/>
      </c>
      <c r="C393" s="61">
        <f>IFERROR(INDEX(tbl_Finance[Xero Invoice No],$A393),"")</f>
        <v/>
      </c>
      <c r="D393" s="61">
        <f>IFERROR(INDEX(tbl_Finance[Client],$A393),"")</f>
        <v/>
      </c>
      <c r="E393" s="61">
        <f>IFERROR(INDEX(tbl_Finance[Job Number],$A393),"")</f>
        <v/>
      </c>
      <c r="F393" s="61">
        <f>IFERROR(INDEX(tbl_Finance[Cost Centre],$A393),"")</f>
        <v/>
      </c>
      <c r="G393" s="62">
        <f>IFERROR(INDEX(tbl_Finance[Ex GST],$A393),"")</f>
        <v/>
      </c>
      <c r="H393" s="60">
        <f>IFERROR(INDEX(tbl_Finance[Defer Start],$A393),"")</f>
        <v/>
      </c>
      <c r="I393" s="60">
        <f>IFERROR(INDEX(tbl_Finance[Defer End],$A393),"")</f>
        <v/>
      </c>
      <c r="J393" s="59">
        <f>IF(OR($H393="",$I393="",$G393=""),"",MAX(1,(YEAR($I393)-YEAR($H393))*12+MONTH($I393)-MONTH($H393)+1))</f>
        <v/>
      </c>
      <c r="K393" s="62">
        <f>IF($J393="","",$G393/$J393)</f>
        <v/>
      </c>
      <c r="L393" s="62">
        <f>IF($J393="",0,$K393*MAX(0,MIN(YEAR($C$3)*12+MONTH($C$3),YEAR($I393)*12+MONTH($I393))-(YEAR($H393)*12+MONTH($H393))+1))</f>
        <v/>
      </c>
      <c r="M393" s="62">
        <f>IF($J393="",0,$K393*MAX(0,MIN(YEAR($C$3)*12+MONTH($C$3)-1,YEAR($I393)*12+MONTH($I393))-(YEAR($H393)*12+MONTH($H393))+1))</f>
        <v/>
      </c>
      <c r="N393" s="62">
        <f>IF(OR($J393="",$B393=""),0,IF(YEAR($B393)*12+MONTH($B393)&lt;=YEAR($C$3)*12+MONTH($C$3),$G393,0))</f>
        <v/>
      </c>
      <c r="O393" s="62">
        <f>IF(OR($J393="",$B393=""),0,IF(YEAR($B393)*12+MONTH($B393)&lt;=YEAR($C$3)*12+MONTH($C$3)-1,$G393,0))</f>
        <v/>
      </c>
      <c r="P393" s="62">
        <f>$M393-$O393</f>
        <v/>
      </c>
      <c r="Q393" s="62">
        <f>($L393-$M393)-($N393-$O393)</f>
        <v/>
      </c>
      <c r="R393" s="62">
        <f>$L393-$N393</f>
        <v/>
      </c>
    </row>
    <row r="394">
      <c r="A394" s="59">
        <f>ROW()-5</f>
        <v/>
      </c>
      <c r="B394" s="60">
        <f>IFERROR(INDEX(tbl_Finance[Date],$A394),"")</f>
        <v/>
      </c>
      <c r="C394" s="61">
        <f>IFERROR(INDEX(tbl_Finance[Xero Invoice No],$A394),"")</f>
        <v/>
      </c>
      <c r="D394" s="61">
        <f>IFERROR(INDEX(tbl_Finance[Client],$A394),"")</f>
        <v/>
      </c>
      <c r="E394" s="61">
        <f>IFERROR(INDEX(tbl_Finance[Job Number],$A394),"")</f>
        <v/>
      </c>
      <c r="F394" s="61">
        <f>IFERROR(INDEX(tbl_Finance[Cost Centre],$A394),"")</f>
        <v/>
      </c>
      <c r="G394" s="62">
        <f>IFERROR(INDEX(tbl_Finance[Ex GST],$A394),"")</f>
        <v/>
      </c>
      <c r="H394" s="60">
        <f>IFERROR(INDEX(tbl_Finance[Defer Start],$A394),"")</f>
        <v/>
      </c>
      <c r="I394" s="60">
        <f>IFERROR(INDEX(tbl_Finance[Defer End],$A394),"")</f>
        <v/>
      </c>
      <c r="J394" s="59">
        <f>IF(OR($H394="",$I394="",$G394=""),"",MAX(1,(YEAR($I394)-YEAR($H394))*12+MONTH($I394)-MONTH($H394)+1))</f>
        <v/>
      </c>
      <c r="K394" s="62">
        <f>IF($J394="","",$G394/$J394)</f>
        <v/>
      </c>
      <c r="L394" s="62">
        <f>IF($J394="",0,$K394*MAX(0,MIN(YEAR($C$3)*12+MONTH($C$3),YEAR($I394)*12+MONTH($I394))-(YEAR($H394)*12+MONTH($H394))+1))</f>
        <v/>
      </c>
      <c r="M394" s="62">
        <f>IF($J394="",0,$K394*MAX(0,MIN(YEAR($C$3)*12+MONTH($C$3)-1,YEAR($I394)*12+MONTH($I394))-(YEAR($H394)*12+MONTH($H394))+1))</f>
        <v/>
      </c>
      <c r="N394" s="62">
        <f>IF(OR($J394="",$B394=""),0,IF(YEAR($B394)*12+MONTH($B394)&lt;=YEAR($C$3)*12+MONTH($C$3),$G394,0))</f>
        <v/>
      </c>
      <c r="O394" s="62">
        <f>IF(OR($J394="",$B394=""),0,IF(YEAR($B394)*12+MONTH($B394)&lt;=YEAR($C$3)*12+MONTH($C$3)-1,$G394,0))</f>
        <v/>
      </c>
      <c r="P394" s="62">
        <f>$M394-$O394</f>
        <v/>
      </c>
      <c r="Q394" s="62">
        <f>($L394-$M394)-($N394-$O394)</f>
        <v/>
      </c>
      <c r="R394" s="62">
        <f>$L394-$N394</f>
        <v/>
      </c>
    </row>
    <row r="395">
      <c r="A395" s="59">
        <f>ROW()-5</f>
        <v/>
      </c>
      <c r="B395" s="60">
        <f>IFERROR(INDEX(tbl_Finance[Date],$A395),"")</f>
        <v/>
      </c>
      <c r="C395" s="61">
        <f>IFERROR(INDEX(tbl_Finance[Xero Invoice No],$A395),"")</f>
        <v/>
      </c>
      <c r="D395" s="61">
        <f>IFERROR(INDEX(tbl_Finance[Client],$A395),"")</f>
        <v/>
      </c>
      <c r="E395" s="61">
        <f>IFERROR(INDEX(tbl_Finance[Job Number],$A395),"")</f>
        <v/>
      </c>
      <c r="F395" s="61">
        <f>IFERROR(INDEX(tbl_Finance[Cost Centre],$A395),"")</f>
        <v/>
      </c>
      <c r="G395" s="62">
        <f>IFERROR(INDEX(tbl_Finance[Ex GST],$A395),"")</f>
        <v/>
      </c>
      <c r="H395" s="60">
        <f>IFERROR(INDEX(tbl_Finance[Defer Start],$A395),"")</f>
        <v/>
      </c>
      <c r="I395" s="60">
        <f>IFERROR(INDEX(tbl_Finance[Defer End],$A395),"")</f>
        <v/>
      </c>
      <c r="J395" s="59">
        <f>IF(OR($H395="",$I395="",$G395=""),"",MAX(1,(YEAR($I395)-YEAR($H395))*12+MONTH($I395)-MONTH($H395)+1))</f>
        <v/>
      </c>
      <c r="K395" s="62">
        <f>IF($J395="","",$G395/$J395)</f>
        <v/>
      </c>
      <c r="L395" s="62">
        <f>IF($J395="",0,$K395*MAX(0,MIN(YEAR($C$3)*12+MONTH($C$3),YEAR($I395)*12+MONTH($I395))-(YEAR($H395)*12+MONTH($H395))+1))</f>
        <v/>
      </c>
      <c r="M395" s="62">
        <f>IF($J395="",0,$K395*MAX(0,MIN(YEAR($C$3)*12+MONTH($C$3)-1,YEAR($I395)*12+MONTH($I395))-(YEAR($H395)*12+MONTH($H395))+1))</f>
        <v/>
      </c>
      <c r="N395" s="62">
        <f>IF(OR($J395="",$B395=""),0,IF(YEAR($B395)*12+MONTH($B395)&lt;=YEAR($C$3)*12+MONTH($C$3),$G395,0))</f>
        <v/>
      </c>
      <c r="O395" s="62">
        <f>IF(OR($J395="",$B395=""),0,IF(YEAR($B395)*12+MONTH($B395)&lt;=YEAR($C$3)*12+MONTH($C$3)-1,$G395,0))</f>
        <v/>
      </c>
      <c r="P395" s="62">
        <f>$M395-$O395</f>
        <v/>
      </c>
      <c r="Q395" s="62">
        <f>($L395-$M395)-($N395-$O395)</f>
        <v/>
      </c>
      <c r="R395" s="62">
        <f>$L395-$N395</f>
        <v/>
      </c>
    </row>
    <row r="396">
      <c r="A396" s="59">
        <f>ROW()-5</f>
        <v/>
      </c>
      <c r="B396" s="60">
        <f>IFERROR(INDEX(tbl_Finance[Date],$A396),"")</f>
        <v/>
      </c>
      <c r="C396" s="61">
        <f>IFERROR(INDEX(tbl_Finance[Xero Invoice No],$A396),"")</f>
        <v/>
      </c>
      <c r="D396" s="61">
        <f>IFERROR(INDEX(tbl_Finance[Client],$A396),"")</f>
        <v/>
      </c>
      <c r="E396" s="61">
        <f>IFERROR(INDEX(tbl_Finance[Job Number],$A396),"")</f>
        <v/>
      </c>
      <c r="F396" s="61">
        <f>IFERROR(INDEX(tbl_Finance[Cost Centre],$A396),"")</f>
        <v/>
      </c>
      <c r="G396" s="62">
        <f>IFERROR(INDEX(tbl_Finance[Ex GST],$A396),"")</f>
        <v/>
      </c>
      <c r="H396" s="60">
        <f>IFERROR(INDEX(tbl_Finance[Defer Start],$A396),"")</f>
        <v/>
      </c>
      <c r="I396" s="60">
        <f>IFERROR(INDEX(tbl_Finance[Defer End],$A396),"")</f>
        <v/>
      </c>
      <c r="J396" s="59">
        <f>IF(OR($H396="",$I396="",$G396=""),"",MAX(1,(YEAR($I396)-YEAR($H396))*12+MONTH($I396)-MONTH($H396)+1))</f>
        <v/>
      </c>
      <c r="K396" s="62">
        <f>IF($J396="","",$G396/$J396)</f>
        <v/>
      </c>
      <c r="L396" s="62">
        <f>IF($J396="",0,$K396*MAX(0,MIN(YEAR($C$3)*12+MONTH($C$3),YEAR($I396)*12+MONTH($I396))-(YEAR($H396)*12+MONTH($H396))+1))</f>
        <v/>
      </c>
      <c r="M396" s="62">
        <f>IF($J396="",0,$K396*MAX(0,MIN(YEAR($C$3)*12+MONTH($C$3)-1,YEAR($I396)*12+MONTH($I396))-(YEAR($H396)*12+MONTH($H396))+1))</f>
        <v/>
      </c>
      <c r="N396" s="62">
        <f>IF(OR($J396="",$B396=""),0,IF(YEAR($B396)*12+MONTH($B396)&lt;=YEAR($C$3)*12+MONTH($C$3),$G396,0))</f>
        <v/>
      </c>
      <c r="O396" s="62">
        <f>IF(OR($J396="",$B396=""),0,IF(YEAR($B396)*12+MONTH($B396)&lt;=YEAR($C$3)*12+MONTH($C$3)-1,$G396,0))</f>
        <v/>
      </c>
      <c r="P396" s="62">
        <f>$M396-$O396</f>
        <v/>
      </c>
      <c r="Q396" s="62">
        <f>($L396-$M396)-($N396-$O396)</f>
        <v/>
      </c>
      <c r="R396" s="62">
        <f>$L396-$N396</f>
        <v/>
      </c>
    </row>
    <row r="397">
      <c r="A397" s="59">
        <f>ROW()-5</f>
        <v/>
      </c>
      <c r="B397" s="60">
        <f>IFERROR(INDEX(tbl_Finance[Date],$A397),"")</f>
        <v/>
      </c>
      <c r="C397" s="61">
        <f>IFERROR(INDEX(tbl_Finance[Xero Invoice No],$A397),"")</f>
        <v/>
      </c>
      <c r="D397" s="61">
        <f>IFERROR(INDEX(tbl_Finance[Client],$A397),"")</f>
        <v/>
      </c>
      <c r="E397" s="61">
        <f>IFERROR(INDEX(tbl_Finance[Job Number],$A397),"")</f>
        <v/>
      </c>
      <c r="F397" s="61">
        <f>IFERROR(INDEX(tbl_Finance[Cost Centre],$A397),"")</f>
        <v/>
      </c>
      <c r="G397" s="62">
        <f>IFERROR(INDEX(tbl_Finance[Ex GST],$A397),"")</f>
        <v/>
      </c>
      <c r="H397" s="60">
        <f>IFERROR(INDEX(tbl_Finance[Defer Start],$A397),"")</f>
        <v/>
      </c>
      <c r="I397" s="60">
        <f>IFERROR(INDEX(tbl_Finance[Defer End],$A397),"")</f>
        <v/>
      </c>
      <c r="J397" s="59">
        <f>IF(OR($H397="",$I397="",$G397=""),"",MAX(1,(YEAR($I397)-YEAR($H397))*12+MONTH($I397)-MONTH($H397)+1))</f>
        <v/>
      </c>
      <c r="K397" s="62">
        <f>IF($J397="","",$G397/$J397)</f>
        <v/>
      </c>
      <c r="L397" s="62">
        <f>IF($J397="",0,$K397*MAX(0,MIN(YEAR($C$3)*12+MONTH($C$3),YEAR($I397)*12+MONTH($I397))-(YEAR($H397)*12+MONTH($H397))+1))</f>
        <v/>
      </c>
      <c r="M397" s="62">
        <f>IF($J397="",0,$K397*MAX(0,MIN(YEAR($C$3)*12+MONTH($C$3)-1,YEAR($I397)*12+MONTH($I397))-(YEAR($H397)*12+MONTH($H397))+1))</f>
        <v/>
      </c>
      <c r="N397" s="62">
        <f>IF(OR($J397="",$B397=""),0,IF(YEAR($B397)*12+MONTH($B397)&lt;=YEAR($C$3)*12+MONTH($C$3),$G397,0))</f>
        <v/>
      </c>
      <c r="O397" s="62">
        <f>IF(OR($J397="",$B397=""),0,IF(YEAR($B397)*12+MONTH($B397)&lt;=YEAR($C$3)*12+MONTH($C$3)-1,$G397,0))</f>
        <v/>
      </c>
      <c r="P397" s="62">
        <f>$M397-$O397</f>
        <v/>
      </c>
      <c r="Q397" s="62">
        <f>($L397-$M397)-($N397-$O397)</f>
        <v/>
      </c>
      <c r="R397" s="62">
        <f>$L397-$N397</f>
        <v/>
      </c>
    </row>
    <row r="398">
      <c r="A398" s="59">
        <f>ROW()-5</f>
        <v/>
      </c>
      <c r="B398" s="60">
        <f>IFERROR(INDEX(tbl_Finance[Date],$A398),"")</f>
        <v/>
      </c>
      <c r="C398" s="61">
        <f>IFERROR(INDEX(tbl_Finance[Xero Invoice No],$A398),"")</f>
        <v/>
      </c>
      <c r="D398" s="61">
        <f>IFERROR(INDEX(tbl_Finance[Client],$A398),"")</f>
        <v/>
      </c>
      <c r="E398" s="61">
        <f>IFERROR(INDEX(tbl_Finance[Job Number],$A398),"")</f>
        <v/>
      </c>
      <c r="F398" s="61">
        <f>IFERROR(INDEX(tbl_Finance[Cost Centre],$A398),"")</f>
        <v/>
      </c>
      <c r="G398" s="62">
        <f>IFERROR(INDEX(tbl_Finance[Ex GST],$A398),"")</f>
        <v/>
      </c>
      <c r="H398" s="60">
        <f>IFERROR(INDEX(tbl_Finance[Defer Start],$A398),"")</f>
        <v/>
      </c>
      <c r="I398" s="60">
        <f>IFERROR(INDEX(tbl_Finance[Defer End],$A398),"")</f>
        <v/>
      </c>
      <c r="J398" s="59">
        <f>IF(OR($H398="",$I398="",$G398=""),"",MAX(1,(YEAR($I398)-YEAR($H398))*12+MONTH($I398)-MONTH($H398)+1))</f>
        <v/>
      </c>
      <c r="K398" s="62">
        <f>IF($J398="","",$G398/$J398)</f>
        <v/>
      </c>
      <c r="L398" s="62">
        <f>IF($J398="",0,$K398*MAX(0,MIN(YEAR($C$3)*12+MONTH($C$3),YEAR($I398)*12+MONTH($I398))-(YEAR($H398)*12+MONTH($H398))+1))</f>
        <v/>
      </c>
      <c r="M398" s="62">
        <f>IF($J398="",0,$K398*MAX(0,MIN(YEAR($C$3)*12+MONTH($C$3)-1,YEAR($I398)*12+MONTH($I398))-(YEAR($H398)*12+MONTH($H398))+1))</f>
        <v/>
      </c>
      <c r="N398" s="62">
        <f>IF(OR($J398="",$B398=""),0,IF(YEAR($B398)*12+MONTH($B398)&lt;=YEAR($C$3)*12+MONTH($C$3),$G398,0))</f>
        <v/>
      </c>
      <c r="O398" s="62">
        <f>IF(OR($J398="",$B398=""),0,IF(YEAR($B398)*12+MONTH($B398)&lt;=YEAR($C$3)*12+MONTH($C$3)-1,$G398,0))</f>
        <v/>
      </c>
      <c r="P398" s="62">
        <f>$M398-$O398</f>
        <v/>
      </c>
      <c r="Q398" s="62">
        <f>($L398-$M398)-($N398-$O398)</f>
        <v/>
      </c>
      <c r="R398" s="62">
        <f>$L398-$N398</f>
        <v/>
      </c>
    </row>
    <row r="399">
      <c r="A399" s="59">
        <f>ROW()-5</f>
        <v/>
      </c>
      <c r="B399" s="60">
        <f>IFERROR(INDEX(tbl_Finance[Date],$A399),"")</f>
        <v/>
      </c>
      <c r="C399" s="61">
        <f>IFERROR(INDEX(tbl_Finance[Xero Invoice No],$A399),"")</f>
        <v/>
      </c>
      <c r="D399" s="61">
        <f>IFERROR(INDEX(tbl_Finance[Client],$A399),"")</f>
        <v/>
      </c>
      <c r="E399" s="61">
        <f>IFERROR(INDEX(tbl_Finance[Job Number],$A399),"")</f>
        <v/>
      </c>
      <c r="F399" s="61">
        <f>IFERROR(INDEX(tbl_Finance[Cost Centre],$A399),"")</f>
        <v/>
      </c>
      <c r="G399" s="62">
        <f>IFERROR(INDEX(tbl_Finance[Ex GST],$A399),"")</f>
        <v/>
      </c>
      <c r="H399" s="60">
        <f>IFERROR(INDEX(tbl_Finance[Defer Start],$A399),"")</f>
        <v/>
      </c>
      <c r="I399" s="60">
        <f>IFERROR(INDEX(tbl_Finance[Defer End],$A399),"")</f>
        <v/>
      </c>
      <c r="J399" s="59">
        <f>IF(OR($H399="",$I399="",$G399=""),"",MAX(1,(YEAR($I399)-YEAR($H399))*12+MONTH($I399)-MONTH($H399)+1))</f>
        <v/>
      </c>
      <c r="K399" s="62">
        <f>IF($J399="","",$G399/$J399)</f>
        <v/>
      </c>
      <c r="L399" s="62">
        <f>IF($J399="",0,$K399*MAX(0,MIN(YEAR($C$3)*12+MONTH($C$3),YEAR($I399)*12+MONTH($I399))-(YEAR($H399)*12+MONTH($H399))+1))</f>
        <v/>
      </c>
      <c r="M399" s="62">
        <f>IF($J399="",0,$K399*MAX(0,MIN(YEAR($C$3)*12+MONTH($C$3)-1,YEAR($I399)*12+MONTH($I399))-(YEAR($H399)*12+MONTH($H399))+1))</f>
        <v/>
      </c>
      <c r="N399" s="62">
        <f>IF(OR($J399="",$B399=""),0,IF(YEAR($B399)*12+MONTH($B399)&lt;=YEAR($C$3)*12+MONTH($C$3),$G399,0))</f>
        <v/>
      </c>
      <c r="O399" s="62">
        <f>IF(OR($J399="",$B399=""),0,IF(YEAR($B399)*12+MONTH($B399)&lt;=YEAR($C$3)*12+MONTH($C$3)-1,$G399,0))</f>
        <v/>
      </c>
      <c r="P399" s="62">
        <f>$M399-$O399</f>
        <v/>
      </c>
      <c r="Q399" s="62">
        <f>($L399-$M399)-($N399-$O399)</f>
        <v/>
      </c>
      <c r="R399" s="62">
        <f>$L399-$N399</f>
        <v/>
      </c>
    </row>
    <row r="400">
      <c r="A400" s="59">
        <f>ROW()-5</f>
        <v/>
      </c>
      <c r="B400" s="60">
        <f>IFERROR(INDEX(tbl_Finance[Date],$A400),"")</f>
        <v/>
      </c>
      <c r="C400" s="61">
        <f>IFERROR(INDEX(tbl_Finance[Xero Invoice No],$A400),"")</f>
        <v/>
      </c>
      <c r="D400" s="61">
        <f>IFERROR(INDEX(tbl_Finance[Client],$A400),"")</f>
        <v/>
      </c>
      <c r="E400" s="61">
        <f>IFERROR(INDEX(tbl_Finance[Job Number],$A400),"")</f>
        <v/>
      </c>
      <c r="F400" s="61">
        <f>IFERROR(INDEX(tbl_Finance[Cost Centre],$A400),"")</f>
        <v/>
      </c>
      <c r="G400" s="62">
        <f>IFERROR(INDEX(tbl_Finance[Ex GST],$A400),"")</f>
        <v/>
      </c>
      <c r="H400" s="60">
        <f>IFERROR(INDEX(tbl_Finance[Defer Start],$A400),"")</f>
        <v/>
      </c>
      <c r="I400" s="60">
        <f>IFERROR(INDEX(tbl_Finance[Defer End],$A400),"")</f>
        <v/>
      </c>
      <c r="J400" s="59">
        <f>IF(OR($H400="",$I400="",$G400=""),"",MAX(1,(YEAR($I400)-YEAR($H400))*12+MONTH($I400)-MONTH($H400)+1))</f>
        <v/>
      </c>
      <c r="K400" s="62">
        <f>IF($J400="","",$G400/$J400)</f>
        <v/>
      </c>
      <c r="L400" s="62">
        <f>IF($J400="",0,$K400*MAX(0,MIN(YEAR($C$3)*12+MONTH($C$3),YEAR($I400)*12+MONTH($I400))-(YEAR($H400)*12+MONTH($H400))+1))</f>
        <v/>
      </c>
      <c r="M400" s="62">
        <f>IF($J400="",0,$K400*MAX(0,MIN(YEAR($C$3)*12+MONTH($C$3)-1,YEAR($I400)*12+MONTH($I400))-(YEAR($H400)*12+MONTH($H400))+1))</f>
        <v/>
      </c>
      <c r="N400" s="62">
        <f>IF(OR($J400="",$B400=""),0,IF(YEAR($B400)*12+MONTH($B400)&lt;=YEAR($C$3)*12+MONTH($C$3),$G400,0))</f>
        <v/>
      </c>
      <c r="O400" s="62">
        <f>IF(OR($J400="",$B400=""),0,IF(YEAR($B400)*12+MONTH($B400)&lt;=YEAR($C$3)*12+MONTH($C$3)-1,$G400,0))</f>
        <v/>
      </c>
      <c r="P400" s="62">
        <f>$M400-$O400</f>
        <v/>
      </c>
      <c r="Q400" s="62">
        <f>($L400-$M400)-($N400-$O400)</f>
        <v/>
      </c>
      <c r="R400" s="62">
        <f>$L400-$N400</f>
        <v/>
      </c>
    </row>
    <row r="401">
      <c r="A401" s="59">
        <f>ROW()-5</f>
        <v/>
      </c>
      <c r="B401" s="60">
        <f>IFERROR(INDEX(tbl_Finance[Date],$A401),"")</f>
        <v/>
      </c>
      <c r="C401" s="61">
        <f>IFERROR(INDEX(tbl_Finance[Xero Invoice No],$A401),"")</f>
        <v/>
      </c>
      <c r="D401" s="61">
        <f>IFERROR(INDEX(tbl_Finance[Client],$A401),"")</f>
        <v/>
      </c>
      <c r="E401" s="61">
        <f>IFERROR(INDEX(tbl_Finance[Job Number],$A401),"")</f>
        <v/>
      </c>
      <c r="F401" s="61">
        <f>IFERROR(INDEX(tbl_Finance[Cost Centre],$A401),"")</f>
        <v/>
      </c>
      <c r="G401" s="62">
        <f>IFERROR(INDEX(tbl_Finance[Ex GST],$A401),"")</f>
        <v/>
      </c>
      <c r="H401" s="60">
        <f>IFERROR(INDEX(tbl_Finance[Defer Start],$A401),"")</f>
        <v/>
      </c>
      <c r="I401" s="60">
        <f>IFERROR(INDEX(tbl_Finance[Defer End],$A401),"")</f>
        <v/>
      </c>
      <c r="J401" s="59">
        <f>IF(OR($H401="",$I401="",$G401=""),"",MAX(1,(YEAR($I401)-YEAR($H401))*12+MONTH($I401)-MONTH($H401)+1))</f>
        <v/>
      </c>
      <c r="K401" s="62">
        <f>IF($J401="","",$G401/$J401)</f>
        <v/>
      </c>
      <c r="L401" s="62">
        <f>IF($J401="",0,$K401*MAX(0,MIN(YEAR($C$3)*12+MONTH($C$3),YEAR($I401)*12+MONTH($I401))-(YEAR($H401)*12+MONTH($H401))+1))</f>
        <v/>
      </c>
      <c r="M401" s="62">
        <f>IF($J401="",0,$K401*MAX(0,MIN(YEAR($C$3)*12+MONTH($C$3)-1,YEAR($I401)*12+MONTH($I401))-(YEAR($H401)*12+MONTH($H401))+1))</f>
        <v/>
      </c>
      <c r="N401" s="62">
        <f>IF(OR($J401="",$B401=""),0,IF(YEAR($B401)*12+MONTH($B401)&lt;=YEAR($C$3)*12+MONTH($C$3),$G401,0))</f>
        <v/>
      </c>
      <c r="O401" s="62">
        <f>IF(OR($J401="",$B401=""),0,IF(YEAR($B401)*12+MONTH($B401)&lt;=YEAR($C$3)*12+MONTH($C$3)-1,$G401,0))</f>
        <v/>
      </c>
      <c r="P401" s="62">
        <f>$M401-$O401</f>
        <v/>
      </c>
      <c r="Q401" s="62">
        <f>($L401-$M401)-($N401-$O401)</f>
        <v/>
      </c>
      <c r="R401" s="62">
        <f>$L401-$N401</f>
        <v/>
      </c>
    </row>
    <row r="402">
      <c r="A402" s="59">
        <f>ROW()-5</f>
        <v/>
      </c>
      <c r="B402" s="60">
        <f>IFERROR(INDEX(tbl_Finance[Date],$A402),"")</f>
        <v/>
      </c>
      <c r="C402" s="61">
        <f>IFERROR(INDEX(tbl_Finance[Xero Invoice No],$A402),"")</f>
        <v/>
      </c>
      <c r="D402" s="61">
        <f>IFERROR(INDEX(tbl_Finance[Client],$A402),"")</f>
        <v/>
      </c>
      <c r="E402" s="61">
        <f>IFERROR(INDEX(tbl_Finance[Job Number],$A402),"")</f>
        <v/>
      </c>
      <c r="F402" s="61">
        <f>IFERROR(INDEX(tbl_Finance[Cost Centre],$A402),"")</f>
        <v/>
      </c>
      <c r="G402" s="62">
        <f>IFERROR(INDEX(tbl_Finance[Ex GST],$A402),"")</f>
        <v/>
      </c>
      <c r="H402" s="60">
        <f>IFERROR(INDEX(tbl_Finance[Defer Start],$A402),"")</f>
        <v/>
      </c>
      <c r="I402" s="60">
        <f>IFERROR(INDEX(tbl_Finance[Defer End],$A402),"")</f>
        <v/>
      </c>
      <c r="J402" s="59">
        <f>IF(OR($H402="",$I402="",$G402=""),"",MAX(1,(YEAR($I402)-YEAR($H402))*12+MONTH($I402)-MONTH($H402)+1))</f>
        <v/>
      </c>
      <c r="K402" s="62">
        <f>IF($J402="","",$G402/$J402)</f>
        <v/>
      </c>
      <c r="L402" s="62">
        <f>IF($J402="",0,$K402*MAX(0,MIN(YEAR($C$3)*12+MONTH($C$3),YEAR($I402)*12+MONTH($I402))-(YEAR($H402)*12+MONTH($H402))+1))</f>
        <v/>
      </c>
      <c r="M402" s="62">
        <f>IF($J402="",0,$K402*MAX(0,MIN(YEAR($C$3)*12+MONTH($C$3)-1,YEAR($I402)*12+MONTH($I402))-(YEAR($H402)*12+MONTH($H402))+1))</f>
        <v/>
      </c>
      <c r="N402" s="62">
        <f>IF(OR($J402="",$B402=""),0,IF(YEAR($B402)*12+MONTH($B402)&lt;=YEAR($C$3)*12+MONTH($C$3),$G402,0))</f>
        <v/>
      </c>
      <c r="O402" s="62">
        <f>IF(OR($J402="",$B402=""),0,IF(YEAR($B402)*12+MONTH($B402)&lt;=YEAR($C$3)*12+MONTH($C$3)-1,$G402,0))</f>
        <v/>
      </c>
      <c r="P402" s="62">
        <f>$M402-$O402</f>
        <v/>
      </c>
      <c r="Q402" s="62">
        <f>($L402-$M402)-($N402-$O402)</f>
        <v/>
      </c>
      <c r="R402" s="62">
        <f>$L402-$N402</f>
        <v/>
      </c>
    </row>
    <row r="403">
      <c r="A403" s="59">
        <f>ROW()-5</f>
        <v/>
      </c>
      <c r="B403" s="60">
        <f>IFERROR(INDEX(tbl_Finance[Date],$A403),"")</f>
        <v/>
      </c>
      <c r="C403" s="61">
        <f>IFERROR(INDEX(tbl_Finance[Xero Invoice No],$A403),"")</f>
        <v/>
      </c>
      <c r="D403" s="61">
        <f>IFERROR(INDEX(tbl_Finance[Client],$A403),"")</f>
        <v/>
      </c>
      <c r="E403" s="61">
        <f>IFERROR(INDEX(tbl_Finance[Job Number],$A403),"")</f>
        <v/>
      </c>
      <c r="F403" s="61">
        <f>IFERROR(INDEX(tbl_Finance[Cost Centre],$A403),"")</f>
        <v/>
      </c>
      <c r="G403" s="62">
        <f>IFERROR(INDEX(tbl_Finance[Ex GST],$A403),"")</f>
        <v/>
      </c>
      <c r="H403" s="60">
        <f>IFERROR(INDEX(tbl_Finance[Defer Start],$A403),"")</f>
        <v/>
      </c>
      <c r="I403" s="60">
        <f>IFERROR(INDEX(tbl_Finance[Defer End],$A403),"")</f>
        <v/>
      </c>
      <c r="J403" s="59">
        <f>IF(OR($H403="",$I403="",$G403=""),"",MAX(1,(YEAR($I403)-YEAR($H403))*12+MONTH($I403)-MONTH($H403)+1))</f>
        <v/>
      </c>
      <c r="K403" s="62">
        <f>IF($J403="","",$G403/$J403)</f>
        <v/>
      </c>
      <c r="L403" s="62">
        <f>IF($J403="",0,$K403*MAX(0,MIN(YEAR($C$3)*12+MONTH($C$3),YEAR($I403)*12+MONTH($I403))-(YEAR($H403)*12+MONTH($H403))+1))</f>
        <v/>
      </c>
      <c r="M403" s="62">
        <f>IF($J403="",0,$K403*MAX(0,MIN(YEAR($C$3)*12+MONTH($C$3)-1,YEAR($I403)*12+MONTH($I403))-(YEAR($H403)*12+MONTH($H403))+1))</f>
        <v/>
      </c>
      <c r="N403" s="62">
        <f>IF(OR($J403="",$B403=""),0,IF(YEAR($B403)*12+MONTH($B403)&lt;=YEAR($C$3)*12+MONTH($C$3),$G403,0))</f>
        <v/>
      </c>
      <c r="O403" s="62">
        <f>IF(OR($J403="",$B403=""),0,IF(YEAR($B403)*12+MONTH($B403)&lt;=YEAR($C$3)*12+MONTH($C$3)-1,$G403,0))</f>
        <v/>
      </c>
      <c r="P403" s="62">
        <f>$M403-$O403</f>
        <v/>
      </c>
      <c r="Q403" s="62">
        <f>($L403-$M403)-($N403-$O403)</f>
        <v/>
      </c>
      <c r="R403" s="62">
        <f>$L403-$N403</f>
        <v/>
      </c>
    </row>
    <row r="404">
      <c r="A404" s="59">
        <f>ROW()-5</f>
        <v/>
      </c>
      <c r="B404" s="60">
        <f>IFERROR(INDEX(tbl_Finance[Date],$A404),"")</f>
        <v/>
      </c>
      <c r="C404" s="61">
        <f>IFERROR(INDEX(tbl_Finance[Xero Invoice No],$A404),"")</f>
        <v/>
      </c>
      <c r="D404" s="61">
        <f>IFERROR(INDEX(tbl_Finance[Client],$A404),"")</f>
        <v/>
      </c>
      <c r="E404" s="61">
        <f>IFERROR(INDEX(tbl_Finance[Job Number],$A404),"")</f>
        <v/>
      </c>
      <c r="F404" s="61">
        <f>IFERROR(INDEX(tbl_Finance[Cost Centre],$A404),"")</f>
        <v/>
      </c>
      <c r="G404" s="62">
        <f>IFERROR(INDEX(tbl_Finance[Ex GST],$A404),"")</f>
        <v/>
      </c>
      <c r="H404" s="60">
        <f>IFERROR(INDEX(tbl_Finance[Defer Start],$A404),"")</f>
        <v/>
      </c>
      <c r="I404" s="60">
        <f>IFERROR(INDEX(tbl_Finance[Defer End],$A404),"")</f>
        <v/>
      </c>
      <c r="J404" s="59">
        <f>IF(OR($H404="",$I404="",$G404=""),"",MAX(1,(YEAR($I404)-YEAR($H404))*12+MONTH($I404)-MONTH($H404)+1))</f>
        <v/>
      </c>
      <c r="K404" s="62">
        <f>IF($J404="","",$G404/$J404)</f>
        <v/>
      </c>
      <c r="L404" s="62">
        <f>IF($J404="",0,$K404*MAX(0,MIN(YEAR($C$3)*12+MONTH($C$3),YEAR($I404)*12+MONTH($I404))-(YEAR($H404)*12+MONTH($H404))+1))</f>
        <v/>
      </c>
      <c r="M404" s="62">
        <f>IF($J404="",0,$K404*MAX(0,MIN(YEAR($C$3)*12+MONTH($C$3)-1,YEAR($I404)*12+MONTH($I404))-(YEAR($H404)*12+MONTH($H404))+1))</f>
        <v/>
      </c>
      <c r="N404" s="62">
        <f>IF(OR($J404="",$B404=""),0,IF(YEAR($B404)*12+MONTH($B404)&lt;=YEAR($C$3)*12+MONTH($C$3),$G404,0))</f>
        <v/>
      </c>
      <c r="O404" s="62">
        <f>IF(OR($J404="",$B404=""),0,IF(YEAR($B404)*12+MONTH($B404)&lt;=YEAR($C$3)*12+MONTH($C$3)-1,$G404,0))</f>
        <v/>
      </c>
      <c r="P404" s="62">
        <f>$M404-$O404</f>
        <v/>
      </c>
      <c r="Q404" s="62">
        <f>($L404-$M404)-($N404-$O404)</f>
        <v/>
      </c>
      <c r="R404" s="62">
        <f>$L404-$N404</f>
        <v/>
      </c>
    </row>
    <row r="405">
      <c r="A405" s="59">
        <f>ROW()-5</f>
        <v/>
      </c>
      <c r="B405" s="60">
        <f>IFERROR(INDEX(tbl_Finance[Date],$A405),"")</f>
        <v/>
      </c>
      <c r="C405" s="61">
        <f>IFERROR(INDEX(tbl_Finance[Xero Invoice No],$A405),"")</f>
        <v/>
      </c>
      <c r="D405" s="61">
        <f>IFERROR(INDEX(tbl_Finance[Client],$A405),"")</f>
        <v/>
      </c>
      <c r="E405" s="61">
        <f>IFERROR(INDEX(tbl_Finance[Job Number],$A405),"")</f>
        <v/>
      </c>
      <c r="F405" s="61">
        <f>IFERROR(INDEX(tbl_Finance[Cost Centre],$A405),"")</f>
        <v/>
      </c>
      <c r="G405" s="62">
        <f>IFERROR(INDEX(tbl_Finance[Ex GST],$A405),"")</f>
        <v/>
      </c>
      <c r="H405" s="60">
        <f>IFERROR(INDEX(tbl_Finance[Defer Start],$A405),"")</f>
        <v/>
      </c>
      <c r="I405" s="60">
        <f>IFERROR(INDEX(tbl_Finance[Defer End],$A405),"")</f>
        <v/>
      </c>
      <c r="J405" s="59">
        <f>IF(OR($H405="",$I405="",$G405=""),"",MAX(1,(YEAR($I405)-YEAR($H405))*12+MONTH($I405)-MONTH($H405)+1))</f>
        <v/>
      </c>
      <c r="K405" s="62">
        <f>IF($J405="","",$G405/$J405)</f>
        <v/>
      </c>
      <c r="L405" s="62">
        <f>IF($J405="",0,$K405*MAX(0,MIN(YEAR($C$3)*12+MONTH($C$3),YEAR($I405)*12+MONTH($I405))-(YEAR($H405)*12+MONTH($H405))+1))</f>
        <v/>
      </c>
      <c r="M405" s="62">
        <f>IF($J405="",0,$K405*MAX(0,MIN(YEAR($C$3)*12+MONTH($C$3)-1,YEAR($I405)*12+MONTH($I405))-(YEAR($H405)*12+MONTH($H405))+1))</f>
        <v/>
      </c>
      <c r="N405" s="62">
        <f>IF(OR($J405="",$B405=""),0,IF(YEAR($B405)*12+MONTH($B405)&lt;=YEAR($C$3)*12+MONTH($C$3),$G405,0))</f>
        <v/>
      </c>
      <c r="O405" s="62">
        <f>IF(OR($J405="",$B405=""),0,IF(YEAR($B405)*12+MONTH($B405)&lt;=YEAR($C$3)*12+MONTH($C$3)-1,$G405,0))</f>
        <v/>
      </c>
      <c r="P405" s="62">
        <f>$M405-$O405</f>
        <v/>
      </c>
      <c r="Q405" s="62">
        <f>($L405-$M405)-($N405-$O405)</f>
        <v/>
      </c>
      <c r="R405" s="62">
        <f>$L405-$N405</f>
        <v/>
      </c>
    </row>
    <row r="406">
      <c r="A406" s="59">
        <f>ROW()-5</f>
        <v/>
      </c>
      <c r="B406" s="60">
        <f>IFERROR(INDEX(tbl_Finance[Date],$A406),"")</f>
        <v/>
      </c>
      <c r="C406" s="61">
        <f>IFERROR(INDEX(tbl_Finance[Xero Invoice No],$A406),"")</f>
        <v/>
      </c>
      <c r="D406" s="61">
        <f>IFERROR(INDEX(tbl_Finance[Client],$A406),"")</f>
        <v/>
      </c>
      <c r="E406" s="61">
        <f>IFERROR(INDEX(tbl_Finance[Job Number],$A406),"")</f>
        <v/>
      </c>
      <c r="F406" s="61">
        <f>IFERROR(INDEX(tbl_Finance[Cost Centre],$A406),"")</f>
        <v/>
      </c>
      <c r="G406" s="62">
        <f>IFERROR(INDEX(tbl_Finance[Ex GST],$A406),"")</f>
        <v/>
      </c>
      <c r="H406" s="60">
        <f>IFERROR(INDEX(tbl_Finance[Defer Start],$A406),"")</f>
        <v/>
      </c>
      <c r="I406" s="60">
        <f>IFERROR(INDEX(tbl_Finance[Defer End],$A406),"")</f>
        <v/>
      </c>
      <c r="J406" s="59">
        <f>IF(OR($H406="",$I406="",$G406=""),"",MAX(1,(YEAR($I406)-YEAR($H406))*12+MONTH($I406)-MONTH($H406)+1))</f>
        <v/>
      </c>
      <c r="K406" s="62">
        <f>IF($J406="","",$G406/$J406)</f>
        <v/>
      </c>
      <c r="L406" s="62">
        <f>IF($J406="",0,$K406*MAX(0,MIN(YEAR($C$3)*12+MONTH($C$3),YEAR($I406)*12+MONTH($I406))-(YEAR($H406)*12+MONTH($H406))+1))</f>
        <v/>
      </c>
      <c r="M406" s="62">
        <f>IF($J406="",0,$K406*MAX(0,MIN(YEAR($C$3)*12+MONTH($C$3)-1,YEAR($I406)*12+MONTH($I406))-(YEAR($H406)*12+MONTH($H406))+1))</f>
        <v/>
      </c>
      <c r="N406" s="62">
        <f>IF(OR($J406="",$B406=""),0,IF(YEAR($B406)*12+MONTH($B406)&lt;=YEAR($C$3)*12+MONTH($C$3),$G406,0))</f>
        <v/>
      </c>
      <c r="O406" s="62">
        <f>IF(OR($J406="",$B406=""),0,IF(YEAR($B406)*12+MONTH($B406)&lt;=YEAR($C$3)*12+MONTH($C$3)-1,$G406,0))</f>
        <v/>
      </c>
      <c r="P406" s="62">
        <f>$M406-$O406</f>
        <v/>
      </c>
      <c r="Q406" s="62">
        <f>($L406-$M406)-($N406-$O406)</f>
        <v/>
      </c>
      <c r="R406" s="62">
        <f>$L406-$N406</f>
        <v/>
      </c>
    </row>
    <row r="407">
      <c r="A407" s="59">
        <f>ROW()-5</f>
        <v/>
      </c>
      <c r="B407" s="60">
        <f>IFERROR(INDEX(tbl_Finance[Date],$A407),"")</f>
        <v/>
      </c>
      <c r="C407" s="61">
        <f>IFERROR(INDEX(tbl_Finance[Xero Invoice No],$A407),"")</f>
        <v/>
      </c>
      <c r="D407" s="61">
        <f>IFERROR(INDEX(tbl_Finance[Client],$A407),"")</f>
        <v/>
      </c>
      <c r="E407" s="61">
        <f>IFERROR(INDEX(tbl_Finance[Job Number],$A407),"")</f>
        <v/>
      </c>
      <c r="F407" s="61">
        <f>IFERROR(INDEX(tbl_Finance[Cost Centre],$A407),"")</f>
        <v/>
      </c>
      <c r="G407" s="62">
        <f>IFERROR(INDEX(tbl_Finance[Ex GST],$A407),"")</f>
        <v/>
      </c>
      <c r="H407" s="60">
        <f>IFERROR(INDEX(tbl_Finance[Defer Start],$A407),"")</f>
        <v/>
      </c>
      <c r="I407" s="60">
        <f>IFERROR(INDEX(tbl_Finance[Defer End],$A407),"")</f>
        <v/>
      </c>
      <c r="J407" s="59">
        <f>IF(OR($H407="",$I407="",$G407=""),"",MAX(1,(YEAR($I407)-YEAR($H407))*12+MONTH($I407)-MONTH($H407)+1))</f>
        <v/>
      </c>
      <c r="K407" s="62">
        <f>IF($J407="","",$G407/$J407)</f>
        <v/>
      </c>
      <c r="L407" s="62">
        <f>IF($J407="",0,$K407*MAX(0,MIN(YEAR($C$3)*12+MONTH($C$3),YEAR($I407)*12+MONTH($I407))-(YEAR($H407)*12+MONTH($H407))+1))</f>
        <v/>
      </c>
      <c r="M407" s="62">
        <f>IF($J407="",0,$K407*MAX(0,MIN(YEAR($C$3)*12+MONTH($C$3)-1,YEAR($I407)*12+MONTH($I407))-(YEAR($H407)*12+MONTH($H407))+1))</f>
        <v/>
      </c>
      <c r="N407" s="62">
        <f>IF(OR($J407="",$B407=""),0,IF(YEAR($B407)*12+MONTH($B407)&lt;=YEAR($C$3)*12+MONTH($C$3),$G407,0))</f>
        <v/>
      </c>
      <c r="O407" s="62">
        <f>IF(OR($J407="",$B407=""),0,IF(YEAR($B407)*12+MONTH($B407)&lt;=YEAR($C$3)*12+MONTH($C$3)-1,$G407,0))</f>
        <v/>
      </c>
      <c r="P407" s="62">
        <f>$M407-$O407</f>
        <v/>
      </c>
      <c r="Q407" s="62">
        <f>($L407-$M407)-($N407-$O407)</f>
        <v/>
      </c>
      <c r="R407" s="62">
        <f>$L407-$N407</f>
        <v/>
      </c>
    </row>
    <row r="408">
      <c r="A408" s="59">
        <f>ROW()-5</f>
        <v/>
      </c>
      <c r="B408" s="60">
        <f>IFERROR(INDEX(tbl_Finance[Date],$A408),"")</f>
        <v/>
      </c>
      <c r="C408" s="61">
        <f>IFERROR(INDEX(tbl_Finance[Xero Invoice No],$A408),"")</f>
        <v/>
      </c>
      <c r="D408" s="61">
        <f>IFERROR(INDEX(tbl_Finance[Client],$A408),"")</f>
        <v/>
      </c>
      <c r="E408" s="61">
        <f>IFERROR(INDEX(tbl_Finance[Job Number],$A408),"")</f>
        <v/>
      </c>
      <c r="F408" s="61">
        <f>IFERROR(INDEX(tbl_Finance[Cost Centre],$A408),"")</f>
        <v/>
      </c>
      <c r="G408" s="62">
        <f>IFERROR(INDEX(tbl_Finance[Ex GST],$A408),"")</f>
        <v/>
      </c>
      <c r="H408" s="60">
        <f>IFERROR(INDEX(tbl_Finance[Defer Start],$A408),"")</f>
        <v/>
      </c>
      <c r="I408" s="60">
        <f>IFERROR(INDEX(tbl_Finance[Defer End],$A408),"")</f>
        <v/>
      </c>
      <c r="J408" s="59">
        <f>IF(OR($H408="",$I408="",$G408=""),"",MAX(1,(YEAR($I408)-YEAR($H408))*12+MONTH($I408)-MONTH($H408)+1))</f>
        <v/>
      </c>
      <c r="K408" s="62">
        <f>IF($J408="","",$G408/$J408)</f>
        <v/>
      </c>
      <c r="L408" s="62">
        <f>IF($J408="",0,$K408*MAX(0,MIN(YEAR($C$3)*12+MONTH($C$3),YEAR($I408)*12+MONTH($I408))-(YEAR($H408)*12+MONTH($H408))+1))</f>
        <v/>
      </c>
      <c r="M408" s="62">
        <f>IF($J408="",0,$K408*MAX(0,MIN(YEAR($C$3)*12+MONTH($C$3)-1,YEAR($I408)*12+MONTH($I408))-(YEAR($H408)*12+MONTH($H408))+1))</f>
        <v/>
      </c>
      <c r="N408" s="62">
        <f>IF(OR($J408="",$B408=""),0,IF(YEAR($B408)*12+MONTH($B408)&lt;=YEAR($C$3)*12+MONTH($C$3),$G408,0))</f>
        <v/>
      </c>
      <c r="O408" s="62">
        <f>IF(OR($J408="",$B408=""),0,IF(YEAR($B408)*12+MONTH($B408)&lt;=YEAR($C$3)*12+MONTH($C$3)-1,$G408,0))</f>
        <v/>
      </c>
      <c r="P408" s="62">
        <f>$M408-$O408</f>
        <v/>
      </c>
      <c r="Q408" s="62">
        <f>($L408-$M408)-($N408-$O408)</f>
        <v/>
      </c>
      <c r="R408" s="62">
        <f>$L408-$N408</f>
        <v/>
      </c>
    </row>
    <row r="409">
      <c r="A409" s="59">
        <f>ROW()-5</f>
        <v/>
      </c>
      <c r="B409" s="60">
        <f>IFERROR(INDEX(tbl_Finance[Date],$A409),"")</f>
        <v/>
      </c>
      <c r="C409" s="61">
        <f>IFERROR(INDEX(tbl_Finance[Xero Invoice No],$A409),"")</f>
        <v/>
      </c>
      <c r="D409" s="61">
        <f>IFERROR(INDEX(tbl_Finance[Client],$A409),"")</f>
        <v/>
      </c>
      <c r="E409" s="61">
        <f>IFERROR(INDEX(tbl_Finance[Job Number],$A409),"")</f>
        <v/>
      </c>
      <c r="F409" s="61">
        <f>IFERROR(INDEX(tbl_Finance[Cost Centre],$A409),"")</f>
        <v/>
      </c>
      <c r="G409" s="62">
        <f>IFERROR(INDEX(tbl_Finance[Ex GST],$A409),"")</f>
        <v/>
      </c>
      <c r="H409" s="60">
        <f>IFERROR(INDEX(tbl_Finance[Defer Start],$A409),"")</f>
        <v/>
      </c>
      <c r="I409" s="60">
        <f>IFERROR(INDEX(tbl_Finance[Defer End],$A409),"")</f>
        <v/>
      </c>
      <c r="J409" s="59">
        <f>IF(OR($H409="",$I409="",$G409=""),"",MAX(1,(YEAR($I409)-YEAR($H409))*12+MONTH($I409)-MONTH($H409)+1))</f>
        <v/>
      </c>
      <c r="K409" s="62">
        <f>IF($J409="","",$G409/$J409)</f>
        <v/>
      </c>
      <c r="L409" s="62">
        <f>IF($J409="",0,$K409*MAX(0,MIN(YEAR($C$3)*12+MONTH($C$3),YEAR($I409)*12+MONTH($I409))-(YEAR($H409)*12+MONTH($H409))+1))</f>
        <v/>
      </c>
      <c r="M409" s="62">
        <f>IF($J409="",0,$K409*MAX(0,MIN(YEAR($C$3)*12+MONTH($C$3)-1,YEAR($I409)*12+MONTH($I409))-(YEAR($H409)*12+MONTH($H409))+1))</f>
        <v/>
      </c>
      <c r="N409" s="62">
        <f>IF(OR($J409="",$B409=""),0,IF(YEAR($B409)*12+MONTH($B409)&lt;=YEAR($C$3)*12+MONTH($C$3),$G409,0))</f>
        <v/>
      </c>
      <c r="O409" s="62">
        <f>IF(OR($J409="",$B409=""),0,IF(YEAR($B409)*12+MONTH($B409)&lt;=YEAR($C$3)*12+MONTH($C$3)-1,$G409,0))</f>
        <v/>
      </c>
      <c r="P409" s="62">
        <f>$M409-$O409</f>
        <v/>
      </c>
      <c r="Q409" s="62">
        <f>($L409-$M409)-($N409-$O409)</f>
        <v/>
      </c>
      <c r="R409" s="62">
        <f>$L409-$N409</f>
        <v/>
      </c>
    </row>
    <row r="410">
      <c r="A410" s="59">
        <f>ROW()-5</f>
        <v/>
      </c>
      <c r="B410" s="60">
        <f>IFERROR(INDEX(tbl_Finance[Date],$A410),"")</f>
        <v/>
      </c>
      <c r="C410" s="61">
        <f>IFERROR(INDEX(tbl_Finance[Xero Invoice No],$A410),"")</f>
        <v/>
      </c>
      <c r="D410" s="61">
        <f>IFERROR(INDEX(tbl_Finance[Client],$A410),"")</f>
        <v/>
      </c>
      <c r="E410" s="61">
        <f>IFERROR(INDEX(tbl_Finance[Job Number],$A410),"")</f>
        <v/>
      </c>
      <c r="F410" s="61">
        <f>IFERROR(INDEX(tbl_Finance[Cost Centre],$A410),"")</f>
        <v/>
      </c>
      <c r="G410" s="62">
        <f>IFERROR(INDEX(tbl_Finance[Ex GST],$A410),"")</f>
        <v/>
      </c>
      <c r="H410" s="60">
        <f>IFERROR(INDEX(tbl_Finance[Defer Start],$A410),"")</f>
        <v/>
      </c>
      <c r="I410" s="60">
        <f>IFERROR(INDEX(tbl_Finance[Defer End],$A410),"")</f>
        <v/>
      </c>
      <c r="J410" s="59">
        <f>IF(OR($H410="",$I410="",$G410=""),"",MAX(1,(YEAR($I410)-YEAR($H410))*12+MONTH($I410)-MONTH($H410)+1))</f>
        <v/>
      </c>
      <c r="K410" s="62">
        <f>IF($J410="","",$G410/$J410)</f>
        <v/>
      </c>
      <c r="L410" s="62">
        <f>IF($J410="",0,$K410*MAX(0,MIN(YEAR($C$3)*12+MONTH($C$3),YEAR($I410)*12+MONTH($I410))-(YEAR($H410)*12+MONTH($H410))+1))</f>
        <v/>
      </c>
      <c r="M410" s="62">
        <f>IF($J410="",0,$K410*MAX(0,MIN(YEAR($C$3)*12+MONTH($C$3)-1,YEAR($I410)*12+MONTH($I410))-(YEAR($H410)*12+MONTH($H410))+1))</f>
        <v/>
      </c>
      <c r="N410" s="62">
        <f>IF(OR($J410="",$B410=""),0,IF(YEAR($B410)*12+MONTH($B410)&lt;=YEAR($C$3)*12+MONTH($C$3),$G410,0))</f>
        <v/>
      </c>
      <c r="O410" s="62">
        <f>IF(OR($J410="",$B410=""),0,IF(YEAR($B410)*12+MONTH($B410)&lt;=YEAR($C$3)*12+MONTH($C$3)-1,$G410,0))</f>
        <v/>
      </c>
      <c r="P410" s="62">
        <f>$M410-$O410</f>
        <v/>
      </c>
      <c r="Q410" s="62">
        <f>($L410-$M410)-($N410-$O410)</f>
        <v/>
      </c>
      <c r="R410" s="62">
        <f>$L410-$N410</f>
        <v/>
      </c>
    </row>
    <row r="411">
      <c r="A411" s="59">
        <f>ROW()-5</f>
        <v/>
      </c>
      <c r="B411" s="60">
        <f>IFERROR(INDEX(tbl_Finance[Date],$A411),"")</f>
        <v/>
      </c>
      <c r="C411" s="61">
        <f>IFERROR(INDEX(tbl_Finance[Xero Invoice No],$A411),"")</f>
        <v/>
      </c>
      <c r="D411" s="61">
        <f>IFERROR(INDEX(tbl_Finance[Client],$A411),"")</f>
        <v/>
      </c>
      <c r="E411" s="61">
        <f>IFERROR(INDEX(tbl_Finance[Job Number],$A411),"")</f>
        <v/>
      </c>
      <c r="F411" s="61">
        <f>IFERROR(INDEX(tbl_Finance[Cost Centre],$A411),"")</f>
        <v/>
      </c>
      <c r="G411" s="62">
        <f>IFERROR(INDEX(tbl_Finance[Ex GST],$A411),"")</f>
        <v/>
      </c>
      <c r="H411" s="60">
        <f>IFERROR(INDEX(tbl_Finance[Defer Start],$A411),"")</f>
        <v/>
      </c>
      <c r="I411" s="60">
        <f>IFERROR(INDEX(tbl_Finance[Defer End],$A411),"")</f>
        <v/>
      </c>
      <c r="J411" s="59">
        <f>IF(OR($H411="",$I411="",$G411=""),"",MAX(1,(YEAR($I411)-YEAR($H411))*12+MONTH($I411)-MONTH($H411)+1))</f>
        <v/>
      </c>
      <c r="K411" s="62">
        <f>IF($J411="","",$G411/$J411)</f>
        <v/>
      </c>
      <c r="L411" s="62">
        <f>IF($J411="",0,$K411*MAX(0,MIN(YEAR($C$3)*12+MONTH($C$3),YEAR($I411)*12+MONTH($I411))-(YEAR($H411)*12+MONTH($H411))+1))</f>
        <v/>
      </c>
      <c r="M411" s="62">
        <f>IF($J411="",0,$K411*MAX(0,MIN(YEAR($C$3)*12+MONTH($C$3)-1,YEAR($I411)*12+MONTH($I411))-(YEAR($H411)*12+MONTH($H411))+1))</f>
        <v/>
      </c>
      <c r="N411" s="62">
        <f>IF(OR($J411="",$B411=""),0,IF(YEAR($B411)*12+MONTH($B411)&lt;=YEAR($C$3)*12+MONTH($C$3),$G411,0))</f>
        <v/>
      </c>
      <c r="O411" s="62">
        <f>IF(OR($J411="",$B411=""),0,IF(YEAR($B411)*12+MONTH($B411)&lt;=YEAR($C$3)*12+MONTH($C$3)-1,$G411,0))</f>
        <v/>
      </c>
      <c r="P411" s="62">
        <f>$M411-$O411</f>
        <v/>
      </c>
      <c r="Q411" s="62">
        <f>($L411-$M411)-($N411-$O411)</f>
        <v/>
      </c>
      <c r="R411" s="62">
        <f>$L411-$N411</f>
        <v/>
      </c>
    </row>
    <row r="412">
      <c r="A412" s="59">
        <f>ROW()-5</f>
        <v/>
      </c>
      <c r="B412" s="60">
        <f>IFERROR(INDEX(tbl_Finance[Date],$A412),"")</f>
        <v/>
      </c>
      <c r="C412" s="61">
        <f>IFERROR(INDEX(tbl_Finance[Xero Invoice No],$A412),"")</f>
        <v/>
      </c>
      <c r="D412" s="61">
        <f>IFERROR(INDEX(tbl_Finance[Client],$A412),"")</f>
        <v/>
      </c>
      <c r="E412" s="61">
        <f>IFERROR(INDEX(tbl_Finance[Job Number],$A412),"")</f>
        <v/>
      </c>
      <c r="F412" s="61">
        <f>IFERROR(INDEX(tbl_Finance[Cost Centre],$A412),"")</f>
        <v/>
      </c>
      <c r="G412" s="62">
        <f>IFERROR(INDEX(tbl_Finance[Ex GST],$A412),"")</f>
        <v/>
      </c>
      <c r="H412" s="60">
        <f>IFERROR(INDEX(tbl_Finance[Defer Start],$A412),"")</f>
        <v/>
      </c>
      <c r="I412" s="60">
        <f>IFERROR(INDEX(tbl_Finance[Defer End],$A412),"")</f>
        <v/>
      </c>
      <c r="J412" s="59">
        <f>IF(OR($H412="",$I412="",$G412=""),"",MAX(1,(YEAR($I412)-YEAR($H412))*12+MONTH($I412)-MONTH($H412)+1))</f>
        <v/>
      </c>
      <c r="K412" s="62">
        <f>IF($J412="","",$G412/$J412)</f>
        <v/>
      </c>
      <c r="L412" s="62">
        <f>IF($J412="",0,$K412*MAX(0,MIN(YEAR($C$3)*12+MONTH($C$3),YEAR($I412)*12+MONTH($I412))-(YEAR($H412)*12+MONTH($H412))+1))</f>
        <v/>
      </c>
      <c r="M412" s="62">
        <f>IF($J412="",0,$K412*MAX(0,MIN(YEAR($C$3)*12+MONTH($C$3)-1,YEAR($I412)*12+MONTH($I412))-(YEAR($H412)*12+MONTH($H412))+1))</f>
        <v/>
      </c>
      <c r="N412" s="62">
        <f>IF(OR($J412="",$B412=""),0,IF(YEAR($B412)*12+MONTH($B412)&lt;=YEAR($C$3)*12+MONTH($C$3),$G412,0))</f>
        <v/>
      </c>
      <c r="O412" s="62">
        <f>IF(OR($J412="",$B412=""),0,IF(YEAR($B412)*12+MONTH($B412)&lt;=YEAR($C$3)*12+MONTH($C$3)-1,$G412,0))</f>
        <v/>
      </c>
      <c r="P412" s="62">
        <f>$M412-$O412</f>
        <v/>
      </c>
      <c r="Q412" s="62">
        <f>($L412-$M412)-($N412-$O412)</f>
        <v/>
      </c>
      <c r="R412" s="62">
        <f>$L412-$N412</f>
        <v/>
      </c>
    </row>
    <row r="413">
      <c r="A413" s="59">
        <f>ROW()-5</f>
        <v/>
      </c>
      <c r="B413" s="60">
        <f>IFERROR(INDEX(tbl_Finance[Date],$A413),"")</f>
        <v/>
      </c>
      <c r="C413" s="61">
        <f>IFERROR(INDEX(tbl_Finance[Xero Invoice No],$A413),"")</f>
        <v/>
      </c>
      <c r="D413" s="61">
        <f>IFERROR(INDEX(tbl_Finance[Client],$A413),"")</f>
        <v/>
      </c>
      <c r="E413" s="61">
        <f>IFERROR(INDEX(tbl_Finance[Job Number],$A413),"")</f>
        <v/>
      </c>
      <c r="F413" s="61">
        <f>IFERROR(INDEX(tbl_Finance[Cost Centre],$A413),"")</f>
        <v/>
      </c>
      <c r="G413" s="62">
        <f>IFERROR(INDEX(tbl_Finance[Ex GST],$A413),"")</f>
        <v/>
      </c>
      <c r="H413" s="60">
        <f>IFERROR(INDEX(tbl_Finance[Defer Start],$A413),"")</f>
        <v/>
      </c>
      <c r="I413" s="60">
        <f>IFERROR(INDEX(tbl_Finance[Defer End],$A413),"")</f>
        <v/>
      </c>
      <c r="J413" s="59">
        <f>IF(OR($H413="",$I413="",$G413=""),"",MAX(1,(YEAR($I413)-YEAR($H413))*12+MONTH($I413)-MONTH($H413)+1))</f>
        <v/>
      </c>
      <c r="K413" s="62">
        <f>IF($J413="","",$G413/$J413)</f>
        <v/>
      </c>
      <c r="L413" s="62">
        <f>IF($J413="",0,$K413*MAX(0,MIN(YEAR($C$3)*12+MONTH($C$3),YEAR($I413)*12+MONTH($I413))-(YEAR($H413)*12+MONTH($H413))+1))</f>
        <v/>
      </c>
      <c r="M413" s="62">
        <f>IF($J413="",0,$K413*MAX(0,MIN(YEAR($C$3)*12+MONTH($C$3)-1,YEAR($I413)*12+MONTH($I413))-(YEAR($H413)*12+MONTH($H413))+1))</f>
        <v/>
      </c>
      <c r="N413" s="62">
        <f>IF(OR($J413="",$B413=""),0,IF(YEAR($B413)*12+MONTH($B413)&lt;=YEAR($C$3)*12+MONTH($C$3),$G413,0))</f>
        <v/>
      </c>
      <c r="O413" s="62">
        <f>IF(OR($J413="",$B413=""),0,IF(YEAR($B413)*12+MONTH($B413)&lt;=YEAR($C$3)*12+MONTH($C$3)-1,$G413,0))</f>
        <v/>
      </c>
      <c r="P413" s="62">
        <f>$M413-$O413</f>
        <v/>
      </c>
      <c r="Q413" s="62">
        <f>($L413-$M413)-($N413-$O413)</f>
        <v/>
      </c>
      <c r="R413" s="62">
        <f>$L413-$N413</f>
        <v/>
      </c>
    </row>
    <row r="414">
      <c r="A414" s="59">
        <f>ROW()-5</f>
        <v/>
      </c>
      <c r="B414" s="60">
        <f>IFERROR(INDEX(tbl_Finance[Date],$A414),"")</f>
        <v/>
      </c>
      <c r="C414" s="61">
        <f>IFERROR(INDEX(tbl_Finance[Xero Invoice No],$A414),"")</f>
        <v/>
      </c>
      <c r="D414" s="61">
        <f>IFERROR(INDEX(tbl_Finance[Client],$A414),"")</f>
        <v/>
      </c>
      <c r="E414" s="61">
        <f>IFERROR(INDEX(tbl_Finance[Job Number],$A414),"")</f>
        <v/>
      </c>
      <c r="F414" s="61">
        <f>IFERROR(INDEX(tbl_Finance[Cost Centre],$A414),"")</f>
        <v/>
      </c>
      <c r="G414" s="62">
        <f>IFERROR(INDEX(tbl_Finance[Ex GST],$A414),"")</f>
        <v/>
      </c>
      <c r="H414" s="60">
        <f>IFERROR(INDEX(tbl_Finance[Defer Start],$A414),"")</f>
        <v/>
      </c>
      <c r="I414" s="60">
        <f>IFERROR(INDEX(tbl_Finance[Defer End],$A414),"")</f>
        <v/>
      </c>
      <c r="J414" s="59">
        <f>IF(OR($H414="",$I414="",$G414=""),"",MAX(1,(YEAR($I414)-YEAR($H414))*12+MONTH($I414)-MONTH($H414)+1))</f>
        <v/>
      </c>
      <c r="K414" s="62">
        <f>IF($J414="","",$G414/$J414)</f>
        <v/>
      </c>
      <c r="L414" s="62">
        <f>IF($J414="",0,$K414*MAX(0,MIN(YEAR($C$3)*12+MONTH($C$3),YEAR($I414)*12+MONTH($I414))-(YEAR($H414)*12+MONTH($H414))+1))</f>
        <v/>
      </c>
      <c r="M414" s="62">
        <f>IF($J414="",0,$K414*MAX(0,MIN(YEAR($C$3)*12+MONTH($C$3)-1,YEAR($I414)*12+MONTH($I414))-(YEAR($H414)*12+MONTH($H414))+1))</f>
        <v/>
      </c>
      <c r="N414" s="62">
        <f>IF(OR($J414="",$B414=""),0,IF(YEAR($B414)*12+MONTH($B414)&lt;=YEAR($C$3)*12+MONTH($C$3),$G414,0))</f>
        <v/>
      </c>
      <c r="O414" s="62">
        <f>IF(OR($J414="",$B414=""),0,IF(YEAR($B414)*12+MONTH($B414)&lt;=YEAR($C$3)*12+MONTH($C$3)-1,$G414,0))</f>
        <v/>
      </c>
      <c r="P414" s="62">
        <f>$M414-$O414</f>
        <v/>
      </c>
      <c r="Q414" s="62">
        <f>($L414-$M414)-($N414-$O414)</f>
        <v/>
      </c>
      <c r="R414" s="62">
        <f>$L414-$N414</f>
        <v/>
      </c>
    </row>
    <row r="415">
      <c r="A415" s="59">
        <f>ROW()-5</f>
        <v/>
      </c>
      <c r="B415" s="60">
        <f>IFERROR(INDEX(tbl_Finance[Date],$A415),"")</f>
        <v/>
      </c>
      <c r="C415" s="61">
        <f>IFERROR(INDEX(tbl_Finance[Xero Invoice No],$A415),"")</f>
        <v/>
      </c>
      <c r="D415" s="61">
        <f>IFERROR(INDEX(tbl_Finance[Client],$A415),"")</f>
        <v/>
      </c>
      <c r="E415" s="61">
        <f>IFERROR(INDEX(tbl_Finance[Job Number],$A415),"")</f>
        <v/>
      </c>
      <c r="F415" s="61">
        <f>IFERROR(INDEX(tbl_Finance[Cost Centre],$A415),"")</f>
        <v/>
      </c>
      <c r="G415" s="62">
        <f>IFERROR(INDEX(tbl_Finance[Ex GST],$A415),"")</f>
        <v/>
      </c>
      <c r="H415" s="60">
        <f>IFERROR(INDEX(tbl_Finance[Defer Start],$A415),"")</f>
        <v/>
      </c>
      <c r="I415" s="60">
        <f>IFERROR(INDEX(tbl_Finance[Defer End],$A415),"")</f>
        <v/>
      </c>
      <c r="J415" s="59">
        <f>IF(OR($H415="",$I415="",$G415=""),"",MAX(1,(YEAR($I415)-YEAR($H415))*12+MONTH($I415)-MONTH($H415)+1))</f>
        <v/>
      </c>
      <c r="K415" s="62">
        <f>IF($J415="","",$G415/$J415)</f>
        <v/>
      </c>
      <c r="L415" s="62">
        <f>IF($J415="",0,$K415*MAX(0,MIN(YEAR($C$3)*12+MONTH($C$3),YEAR($I415)*12+MONTH($I415))-(YEAR($H415)*12+MONTH($H415))+1))</f>
        <v/>
      </c>
      <c r="M415" s="62">
        <f>IF($J415="",0,$K415*MAX(0,MIN(YEAR($C$3)*12+MONTH($C$3)-1,YEAR($I415)*12+MONTH($I415))-(YEAR($H415)*12+MONTH($H415))+1))</f>
        <v/>
      </c>
      <c r="N415" s="62">
        <f>IF(OR($J415="",$B415=""),0,IF(YEAR($B415)*12+MONTH($B415)&lt;=YEAR($C$3)*12+MONTH($C$3),$G415,0))</f>
        <v/>
      </c>
      <c r="O415" s="62">
        <f>IF(OR($J415="",$B415=""),0,IF(YEAR($B415)*12+MONTH($B415)&lt;=YEAR($C$3)*12+MONTH($C$3)-1,$G415,0))</f>
        <v/>
      </c>
      <c r="P415" s="62">
        <f>$M415-$O415</f>
        <v/>
      </c>
      <c r="Q415" s="62">
        <f>($L415-$M415)-($N415-$O415)</f>
        <v/>
      </c>
      <c r="R415" s="62">
        <f>$L415-$N415</f>
        <v/>
      </c>
    </row>
    <row r="416">
      <c r="A416" s="59">
        <f>ROW()-5</f>
        <v/>
      </c>
      <c r="B416" s="60">
        <f>IFERROR(INDEX(tbl_Finance[Date],$A416),"")</f>
        <v/>
      </c>
      <c r="C416" s="61">
        <f>IFERROR(INDEX(tbl_Finance[Xero Invoice No],$A416),"")</f>
        <v/>
      </c>
      <c r="D416" s="61">
        <f>IFERROR(INDEX(tbl_Finance[Client],$A416),"")</f>
        <v/>
      </c>
      <c r="E416" s="61">
        <f>IFERROR(INDEX(tbl_Finance[Job Number],$A416),"")</f>
        <v/>
      </c>
      <c r="F416" s="61">
        <f>IFERROR(INDEX(tbl_Finance[Cost Centre],$A416),"")</f>
        <v/>
      </c>
      <c r="G416" s="62">
        <f>IFERROR(INDEX(tbl_Finance[Ex GST],$A416),"")</f>
        <v/>
      </c>
      <c r="H416" s="60">
        <f>IFERROR(INDEX(tbl_Finance[Defer Start],$A416),"")</f>
        <v/>
      </c>
      <c r="I416" s="60">
        <f>IFERROR(INDEX(tbl_Finance[Defer End],$A416),"")</f>
        <v/>
      </c>
      <c r="J416" s="59">
        <f>IF(OR($H416="",$I416="",$G416=""),"",MAX(1,(YEAR($I416)-YEAR($H416))*12+MONTH($I416)-MONTH($H416)+1))</f>
        <v/>
      </c>
      <c r="K416" s="62">
        <f>IF($J416="","",$G416/$J416)</f>
        <v/>
      </c>
      <c r="L416" s="62">
        <f>IF($J416="",0,$K416*MAX(0,MIN(YEAR($C$3)*12+MONTH($C$3),YEAR($I416)*12+MONTH($I416))-(YEAR($H416)*12+MONTH($H416))+1))</f>
        <v/>
      </c>
      <c r="M416" s="62">
        <f>IF($J416="",0,$K416*MAX(0,MIN(YEAR($C$3)*12+MONTH($C$3)-1,YEAR($I416)*12+MONTH($I416))-(YEAR($H416)*12+MONTH($H416))+1))</f>
        <v/>
      </c>
      <c r="N416" s="62">
        <f>IF(OR($J416="",$B416=""),0,IF(YEAR($B416)*12+MONTH($B416)&lt;=YEAR($C$3)*12+MONTH($C$3),$G416,0))</f>
        <v/>
      </c>
      <c r="O416" s="62">
        <f>IF(OR($J416="",$B416=""),0,IF(YEAR($B416)*12+MONTH($B416)&lt;=YEAR($C$3)*12+MONTH($C$3)-1,$G416,0))</f>
        <v/>
      </c>
      <c r="P416" s="62">
        <f>$M416-$O416</f>
        <v/>
      </c>
      <c r="Q416" s="62">
        <f>($L416-$M416)-($N416-$O416)</f>
        <v/>
      </c>
      <c r="R416" s="62">
        <f>$L416-$N416</f>
        <v/>
      </c>
    </row>
    <row r="417">
      <c r="A417" s="59">
        <f>ROW()-5</f>
        <v/>
      </c>
      <c r="B417" s="60">
        <f>IFERROR(INDEX(tbl_Finance[Date],$A417),"")</f>
        <v/>
      </c>
      <c r="C417" s="61">
        <f>IFERROR(INDEX(tbl_Finance[Xero Invoice No],$A417),"")</f>
        <v/>
      </c>
      <c r="D417" s="61">
        <f>IFERROR(INDEX(tbl_Finance[Client],$A417),"")</f>
        <v/>
      </c>
      <c r="E417" s="61">
        <f>IFERROR(INDEX(tbl_Finance[Job Number],$A417),"")</f>
        <v/>
      </c>
      <c r="F417" s="61">
        <f>IFERROR(INDEX(tbl_Finance[Cost Centre],$A417),"")</f>
        <v/>
      </c>
      <c r="G417" s="62">
        <f>IFERROR(INDEX(tbl_Finance[Ex GST],$A417),"")</f>
        <v/>
      </c>
      <c r="H417" s="60">
        <f>IFERROR(INDEX(tbl_Finance[Defer Start],$A417),"")</f>
        <v/>
      </c>
      <c r="I417" s="60">
        <f>IFERROR(INDEX(tbl_Finance[Defer End],$A417),"")</f>
        <v/>
      </c>
      <c r="J417" s="59">
        <f>IF(OR($H417="",$I417="",$G417=""),"",MAX(1,(YEAR($I417)-YEAR($H417))*12+MONTH($I417)-MONTH($H417)+1))</f>
        <v/>
      </c>
      <c r="K417" s="62">
        <f>IF($J417="","",$G417/$J417)</f>
        <v/>
      </c>
      <c r="L417" s="62">
        <f>IF($J417="",0,$K417*MAX(0,MIN(YEAR($C$3)*12+MONTH($C$3),YEAR($I417)*12+MONTH($I417))-(YEAR($H417)*12+MONTH($H417))+1))</f>
        <v/>
      </c>
      <c r="M417" s="62">
        <f>IF($J417="",0,$K417*MAX(0,MIN(YEAR($C$3)*12+MONTH($C$3)-1,YEAR($I417)*12+MONTH($I417))-(YEAR($H417)*12+MONTH($H417))+1))</f>
        <v/>
      </c>
      <c r="N417" s="62">
        <f>IF(OR($J417="",$B417=""),0,IF(YEAR($B417)*12+MONTH($B417)&lt;=YEAR($C$3)*12+MONTH($C$3),$G417,0))</f>
        <v/>
      </c>
      <c r="O417" s="62">
        <f>IF(OR($J417="",$B417=""),0,IF(YEAR($B417)*12+MONTH($B417)&lt;=YEAR($C$3)*12+MONTH($C$3)-1,$G417,0))</f>
        <v/>
      </c>
      <c r="P417" s="62">
        <f>$M417-$O417</f>
        <v/>
      </c>
      <c r="Q417" s="62">
        <f>($L417-$M417)-($N417-$O417)</f>
        <v/>
      </c>
      <c r="R417" s="62">
        <f>$L417-$N417</f>
        <v/>
      </c>
    </row>
    <row r="418">
      <c r="A418" s="59">
        <f>ROW()-5</f>
        <v/>
      </c>
      <c r="B418" s="60">
        <f>IFERROR(INDEX(tbl_Finance[Date],$A418),"")</f>
        <v/>
      </c>
      <c r="C418" s="61">
        <f>IFERROR(INDEX(tbl_Finance[Xero Invoice No],$A418),"")</f>
        <v/>
      </c>
      <c r="D418" s="61">
        <f>IFERROR(INDEX(tbl_Finance[Client],$A418),"")</f>
        <v/>
      </c>
      <c r="E418" s="61">
        <f>IFERROR(INDEX(tbl_Finance[Job Number],$A418),"")</f>
        <v/>
      </c>
      <c r="F418" s="61">
        <f>IFERROR(INDEX(tbl_Finance[Cost Centre],$A418),"")</f>
        <v/>
      </c>
      <c r="G418" s="62">
        <f>IFERROR(INDEX(tbl_Finance[Ex GST],$A418),"")</f>
        <v/>
      </c>
      <c r="H418" s="60">
        <f>IFERROR(INDEX(tbl_Finance[Defer Start],$A418),"")</f>
        <v/>
      </c>
      <c r="I418" s="60">
        <f>IFERROR(INDEX(tbl_Finance[Defer End],$A418),"")</f>
        <v/>
      </c>
      <c r="J418" s="59">
        <f>IF(OR($H418="",$I418="",$G418=""),"",MAX(1,(YEAR($I418)-YEAR($H418))*12+MONTH($I418)-MONTH($H418)+1))</f>
        <v/>
      </c>
      <c r="K418" s="62">
        <f>IF($J418="","",$G418/$J418)</f>
        <v/>
      </c>
      <c r="L418" s="62">
        <f>IF($J418="",0,$K418*MAX(0,MIN(YEAR($C$3)*12+MONTH($C$3),YEAR($I418)*12+MONTH($I418))-(YEAR($H418)*12+MONTH($H418))+1))</f>
        <v/>
      </c>
      <c r="M418" s="62">
        <f>IF($J418="",0,$K418*MAX(0,MIN(YEAR($C$3)*12+MONTH($C$3)-1,YEAR($I418)*12+MONTH($I418))-(YEAR($H418)*12+MONTH($H418))+1))</f>
        <v/>
      </c>
      <c r="N418" s="62">
        <f>IF(OR($J418="",$B418=""),0,IF(YEAR($B418)*12+MONTH($B418)&lt;=YEAR($C$3)*12+MONTH($C$3),$G418,0))</f>
        <v/>
      </c>
      <c r="O418" s="62">
        <f>IF(OR($J418="",$B418=""),0,IF(YEAR($B418)*12+MONTH($B418)&lt;=YEAR($C$3)*12+MONTH($C$3)-1,$G418,0))</f>
        <v/>
      </c>
      <c r="P418" s="62">
        <f>$M418-$O418</f>
        <v/>
      </c>
      <c r="Q418" s="62">
        <f>($L418-$M418)-($N418-$O418)</f>
        <v/>
      </c>
      <c r="R418" s="62">
        <f>$L418-$N418</f>
        <v/>
      </c>
    </row>
    <row r="419">
      <c r="A419" s="59">
        <f>ROW()-5</f>
        <v/>
      </c>
      <c r="B419" s="60">
        <f>IFERROR(INDEX(tbl_Finance[Date],$A419),"")</f>
        <v/>
      </c>
      <c r="C419" s="61">
        <f>IFERROR(INDEX(tbl_Finance[Xero Invoice No],$A419),"")</f>
        <v/>
      </c>
      <c r="D419" s="61">
        <f>IFERROR(INDEX(tbl_Finance[Client],$A419),"")</f>
        <v/>
      </c>
      <c r="E419" s="61">
        <f>IFERROR(INDEX(tbl_Finance[Job Number],$A419),"")</f>
        <v/>
      </c>
      <c r="F419" s="61">
        <f>IFERROR(INDEX(tbl_Finance[Cost Centre],$A419),"")</f>
        <v/>
      </c>
      <c r="G419" s="62">
        <f>IFERROR(INDEX(tbl_Finance[Ex GST],$A419),"")</f>
        <v/>
      </c>
      <c r="H419" s="60">
        <f>IFERROR(INDEX(tbl_Finance[Defer Start],$A419),"")</f>
        <v/>
      </c>
      <c r="I419" s="60">
        <f>IFERROR(INDEX(tbl_Finance[Defer End],$A419),"")</f>
        <v/>
      </c>
      <c r="J419" s="59">
        <f>IF(OR($H419="",$I419="",$G419=""),"",MAX(1,(YEAR($I419)-YEAR($H419))*12+MONTH($I419)-MONTH($H419)+1))</f>
        <v/>
      </c>
      <c r="K419" s="62">
        <f>IF($J419="","",$G419/$J419)</f>
        <v/>
      </c>
      <c r="L419" s="62">
        <f>IF($J419="",0,$K419*MAX(0,MIN(YEAR($C$3)*12+MONTH($C$3),YEAR($I419)*12+MONTH($I419))-(YEAR($H419)*12+MONTH($H419))+1))</f>
        <v/>
      </c>
      <c r="M419" s="62">
        <f>IF($J419="",0,$K419*MAX(0,MIN(YEAR($C$3)*12+MONTH($C$3)-1,YEAR($I419)*12+MONTH($I419))-(YEAR($H419)*12+MONTH($H419))+1))</f>
        <v/>
      </c>
      <c r="N419" s="62">
        <f>IF(OR($J419="",$B419=""),0,IF(YEAR($B419)*12+MONTH($B419)&lt;=YEAR($C$3)*12+MONTH($C$3),$G419,0))</f>
        <v/>
      </c>
      <c r="O419" s="62">
        <f>IF(OR($J419="",$B419=""),0,IF(YEAR($B419)*12+MONTH($B419)&lt;=YEAR($C$3)*12+MONTH($C$3)-1,$G419,0))</f>
        <v/>
      </c>
      <c r="P419" s="62">
        <f>$M419-$O419</f>
        <v/>
      </c>
      <c r="Q419" s="62">
        <f>($L419-$M419)-($N419-$O419)</f>
        <v/>
      </c>
      <c r="R419" s="62">
        <f>$L419-$N419</f>
        <v/>
      </c>
    </row>
    <row r="420">
      <c r="A420" s="59">
        <f>ROW()-5</f>
        <v/>
      </c>
      <c r="B420" s="60">
        <f>IFERROR(INDEX(tbl_Finance[Date],$A420),"")</f>
        <v/>
      </c>
      <c r="C420" s="61">
        <f>IFERROR(INDEX(tbl_Finance[Xero Invoice No],$A420),"")</f>
        <v/>
      </c>
      <c r="D420" s="61">
        <f>IFERROR(INDEX(tbl_Finance[Client],$A420),"")</f>
        <v/>
      </c>
      <c r="E420" s="61">
        <f>IFERROR(INDEX(tbl_Finance[Job Number],$A420),"")</f>
        <v/>
      </c>
      <c r="F420" s="61">
        <f>IFERROR(INDEX(tbl_Finance[Cost Centre],$A420),"")</f>
        <v/>
      </c>
      <c r="G420" s="62">
        <f>IFERROR(INDEX(tbl_Finance[Ex GST],$A420),"")</f>
        <v/>
      </c>
      <c r="H420" s="60">
        <f>IFERROR(INDEX(tbl_Finance[Defer Start],$A420),"")</f>
        <v/>
      </c>
      <c r="I420" s="60">
        <f>IFERROR(INDEX(tbl_Finance[Defer End],$A420),"")</f>
        <v/>
      </c>
      <c r="J420" s="59">
        <f>IF(OR($H420="",$I420="",$G420=""),"",MAX(1,(YEAR($I420)-YEAR($H420))*12+MONTH($I420)-MONTH($H420)+1))</f>
        <v/>
      </c>
      <c r="K420" s="62">
        <f>IF($J420="","",$G420/$J420)</f>
        <v/>
      </c>
      <c r="L420" s="62">
        <f>IF($J420="",0,$K420*MAX(0,MIN(YEAR($C$3)*12+MONTH($C$3),YEAR($I420)*12+MONTH($I420))-(YEAR($H420)*12+MONTH($H420))+1))</f>
        <v/>
      </c>
      <c r="M420" s="62">
        <f>IF($J420="",0,$K420*MAX(0,MIN(YEAR($C$3)*12+MONTH($C$3)-1,YEAR($I420)*12+MONTH($I420))-(YEAR($H420)*12+MONTH($H420))+1))</f>
        <v/>
      </c>
      <c r="N420" s="62">
        <f>IF(OR($J420="",$B420=""),0,IF(YEAR($B420)*12+MONTH($B420)&lt;=YEAR($C$3)*12+MONTH($C$3),$G420,0))</f>
        <v/>
      </c>
      <c r="O420" s="62">
        <f>IF(OR($J420="",$B420=""),0,IF(YEAR($B420)*12+MONTH($B420)&lt;=YEAR($C$3)*12+MONTH($C$3)-1,$G420,0))</f>
        <v/>
      </c>
      <c r="P420" s="62">
        <f>$M420-$O420</f>
        <v/>
      </c>
      <c r="Q420" s="62">
        <f>($L420-$M420)-($N420-$O420)</f>
        <v/>
      </c>
      <c r="R420" s="62">
        <f>$L420-$N420</f>
        <v/>
      </c>
    </row>
    <row r="421">
      <c r="A421" s="59">
        <f>ROW()-5</f>
        <v/>
      </c>
      <c r="B421" s="60">
        <f>IFERROR(INDEX(tbl_Finance[Date],$A421),"")</f>
        <v/>
      </c>
      <c r="C421" s="61">
        <f>IFERROR(INDEX(tbl_Finance[Xero Invoice No],$A421),"")</f>
        <v/>
      </c>
      <c r="D421" s="61">
        <f>IFERROR(INDEX(tbl_Finance[Client],$A421),"")</f>
        <v/>
      </c>
      <c r="E421" s="61">
        <f>IFERROR(INDEX(tbl_Finance[Job Number],$A421),"")</f>
        <v/>
      </c>
      <c r="F421" s="61">
        <f>IFERROR(INDEX(tbl_Finance[Cost Centre],$A421),"")</f>
        <v/>
      </c>
      <c r="G421" s="62">
        <f>IFERROR(INDEX(tbl_Finance[Ex GST],$A421),"")</f>
        <v/>
      </c>
      <c r="H421" s="60">
        <f>IFERROR(INDEX(tbl_Finance[Defer Start],$A421),"")</f>
        <v/>
      </c>
      <c r="I421" s="60">
        <f>IFERROR(INDEX(tbl_Finance[Defer End],$A421),"")</f>
        <v/>
      </c>
      <c r="J421" s="59">
        <f>IF(OR($H421="",$I421="",$G421=""),"",MAX(1,(YEAR($I421)-YEAR($H421))*12+MONTH($I421)-MONTH($H421)+1))</f>
        <v/>
      </c>
      <c r="K421" s="62">
        <f>IF($J421="","",$G421/$J421)</f>
        <v/>
      </c>
      <c r="L421" s="62">
        <f>IF($J421="",0,$K421*MAX(0,MIN(YEAR($C$3)*12+MONTH($C$3),YEAR($I421)*12+MONTH($I421))-(YEAR($H421)*12+MONTH($H421))+1))</f>
        <v/>
      </c>
      <c r="M421" s="62">
        <f>IF($J421="",0,$K421*MAX(0,MIN(YEAR($C$3)*12+MONTH($C$3)-1,YEAR($I421)*12+MONTH($I421))-(YEAR($H421)*12+MONTH($H421))+1))</f>
        <v/>
      </c>
      <c r="N421" s="62">
        <f>IF(OR($J421="",$B421=""),0,IF(YEAR($B421)*12+MONTH($B421)&lt;=YEAR($C$3)*12+MONTH($C$3),$G421,0))</f>
        <v/>
      </c>
      <c r="O421" s="62">
        <f>IF(OR($J421="",$B421=""),0,IF(YEAR($B421)*12+MONTH($B421)&lt;=YEAR($C$3)*12+MONTH($C$3)-1,$G421,0))</f>
        <v/>
      </c>
      <c r="P421" s="62">
        <f>$M421-$O421</f>
        <v/>
      </c>
      <c r="Q421" s="62">
        <f>($L421-$M421)-($N421-$O421)</f>
        <v/>
      </c>
      <c r="R421" s="62">
        <f>$L421-$N421</f>
        <v/>
      </c>
    </row>
    <row r="422">
      <c r="A422" s="59">
        <f>ROW()-5</f>
        <v/>
      </c>
      <c r="B422" s="60">
        <f>IFERROR(INDEX(tbl_Finance[Date],$A422),"")</f>
        <v/>
      </c>
      <c r="C422" s="61">
        <f>IFERROR(INDEX(tbl_Finance[Xero Invoice No],$A422),"")</f>
        <v/>
      </c>
      <c r="D422" s="61">
        <f>IFERROR(INDEX(tbl_Finance[Client],$A422),"")</f>
        <v/>
      </c>
      <c r="E422" s="61">
        <f>IFERROR(INDEX(tbl_Finance[Job Number],$A422),"")</f>
        <v/>
      </c>
      <c r="F422" s="61">
        <f>IFERROR(INDEX(tbl_Finance[Cost Centre],$A422),"")</f>
        <v/>
      </c>
      <c r="G422" s="62">
        <f>IFERROR(INDEX(tbl_Finance[Ex GST],$A422),"")</f>
        <v/>
      </c>
      <c r="H422" s="60">
        <f>IFERROR(INDEX(tbl_Finance[Defer Start],$A422),"")</f>
        <v/>
      </c>
      <c r="I422" s="60">
        <f>IFERROR(INDEX(tbl_Finance[Defer End],$A422),"")</f>
        <v/>
      </c>
      <c r="J422" s="59">
        <f>IF(OR($H422="",$I422="",$G422=""),"",MAX(1,(YEAR($I422)-YEAR($H422))*12+MONTH($I422)-MONTH($H422)+1))</f>
        <v/>
      </c>
      <c r="K422" s="62">
        <f>IF($J422="","",$G422/$J422)</f>
        <v/>
      </c>
      <c r="L422" s="62">
        <f>IF($J422="",0,$K422*MAX(0,MIN(YEAR($C$3)*12+MONTH($C$3),YEAR($I422)*12+MONTH($I422))-(YEAR($H422)*12+MONTH($H422))+1))</f>
        <v/>
      </c>
      <c r="M422" s="62">
        <f>IF($J422="",0,$K422*MAX(0,MIN(YEAR($C$3)*12+MONTH($C$3)-1,YEAR($I422)*12+MONTH($I422))-(YEAR($H422)*12+MONTH($H422))+1))</f>
        <v/>
      </c>
      <c r="N422" s="62">
        <f>IF(OR($J422="",$B422=""),0,IF(YEAR($B422)*12+MONTH($B422)&lt;=YEAR($C$3)*12+MONTH($C$3),$G422,0))</f>
        <v/>
      </c>
      <c r="O422" s="62">
        <f>IF(OR($J422="",$B422=""),0,IF(YEAR($B422)*12+MONTH($B422)&lt;=YEAR($C$3)*12+MONTH($C$3)-1,$G422,0))</f>
        <v/>
      </c>
      <c r="P422" s="62">
        <f>$M422-$O422</f>
        <v/>
      </c>
      <c r="Q422" s="62">
        <f>($L422-$M422)-($N422-$O422)</f>
        <v/>
      </c>
      <c r="R422" s="62">
        <f>$L422-$N422</f>
        <v/>
      </c>
    </row>
    <row r="423">
      <c r="A423" s="59">
        <f>ROW()-5</f>
        <v/>
      </c>
      <c r="B423" s="60">
        <f>IFERROR(INDEX(tbl_Finance[Date],$A423),"")</f>
        <v/>
      </c>
      <c r="C423" s="61">
        <f>IFERROR(INDEX(tbl_Finance[Xero Invoice No],$A423),"")</f>
        <v/>
      </c>
      <c r="D423" s="61">
        <f>IFERROR(INDEX(tbl_Finance[Client],$A423),"")</f>
        <v/>
      </c>
      <c r="E423" s="61">
        <f>IFERROR(INDEX(tbl_Finance[Job Number],$A423),"")</f>
        <v/>
      </c>
      <c r="F423" s="61">
        <f>IFERROR(INDEX(tbl_Finance[Cost Centre],$A423),"")</f>
        <v/>
      </c>
      <c r="G423" s="62">
        <f>IFERROR(INDEX(tbl_Finance[Ex GST],$A423),"")</f>
        <v/>
      </c>
      <c r="H423" s="60">
        <f>IFERROR(INDEX(tbl_Finance[Defer Start],$A423),"")</f>
        <v/>
      </c>
      <c r="I423" s="60">
        <f>IFERROR(INDEX(tbl_Finance[Defer End],$A423),"")</f>
        <v/>
      </c>
      <c r="J423" s="59">
        <f>IF(OR($H423="",$I423="",$G423=""),"",MAX(1,(YEAR($I423)-YEAR($H423))*12+MONTH($I423)-MONTH($H423)+1))</f>
        <v/>
      </c>
      <c r="K423" s="62">
        <f>IF($J423="","",$G423/$J423)</f>
        <v/>
      </c>
      <c r="L423" s="62">
        <f>IF($J423="",0,$K423*MAX(0,MIN(YEAR($C$3)*12+MONTH($C$3),YEAR($I423)*12+MONTH($I423))-(YEAR($H423)*12+MONTH($H423))+1))</f>
        <v/>
      </c>
      <c r="M423" s="62">
        <f>IF($J423="",0,$K423*MAX(0,MIN(YEAR($C$3)*12+MONTH($C$3)-1,YEAR($I423)*12+MONTH($I423))-(YEAR($H423)*12+MONTH($H423))+1))</f>
        <v/>
      </c>
      <c r="N423" s="62">
        <f>IF(OR($J423="",$B423=""),0,IF(YEAR($B423)*12+MONTH($B423)&lt;=YEAR($C$3)*12+MONTH($C$3),$G423,0))</f>
        <v/>
      </c>
      <c r="O423" s="62">
        <f>IF(OR($J423="",$B423=""),0,IF(YEAR($B423)*12+MONTH($B423)&lt;=YEAR($C$3)*12+MONTH($C$3)-1,$G423,0))</f>
        <v/>
      </c>
      <c r="P423" s="62">
        <f>$M423-$O423</f>
        <v/>
      </c>
      <c r="Q423" s="62">
        <f>($L423-$M423)-($N423-$O423)</f>
        <v/>
      </c>
      <c r="R423" s="62">
        <f>$L423-$N423</f>
        <v/>
      </c>
    </row>
    <row r="424">
      <c r="A424" s="59">
        <f>ROW()-5</f>
        <v/>
      </c>
      <c r="B424" s="60">
        <f>IFERROR(INDEX(tbl_Finance[Date],$A424),"")</f>
        <v/>
      </c>
      <c r="C424" s="61">
        <f>IFERROR(INDEX(tbl_Finance[Xero Invoice No],$A424),"")</f>
        <v/>
      </c>
      <c r="D424" s="61">
        <f>IFERROR(INDEX(tbl_Finance[Client],$A424),"")</f>
        <v/>
      </c>
      <c r="E424" s="61">
        <f>IFERROR(INDEX(tbl_Finance[Job Number],$A424),"")</f>
        <v/>
      </c>
      <c r="F424" s="61">
        <f>IFERROR(INDEX(tbl_Finance[Cost Centre],$A424),"")</f>
        <v/>
      </c>
      <c r="G424" s="62">
        <f>IFERROR(INDEX(tbl_Finance[Ex GST],$A424),"")</f>
        <v/>
      </c>
      <c r="H424" s="60">
        <f>IFERROR(INDEX(tbl_Finance[Defer Start],$A424),"")</f>
        <v/>
      </c>
      <c r="I424" s="60">
        <f>IFERROR(INDEX(tbl_Finance[Defer End],$A424),"")</f>
        <v/>
      </c>
      <c r="J424" s="59">
        <f>IF(OR($H424="",$I424="",$G424=""),"",MAX(1,(YEAR($I424)-YEAR($H424))*12+MONTH($I424)-MONTH($H424)+1))</f>
        <v/>
      </c>
      <c r="K424" s="62">
        <f>IF($J424="","",$G424/$J424)</f>
        <v/>
      </c>
      <c r="L424" s="62">
        <f>IF($J424="",0,$K424*MAX(0,MIN(YEAR($C$3)*12+MONTH($C$3),YEAR($I424)*12+MONTH($I424))-(YEAR($H424)*12+MONTH($H424))+1))</f>
        <v/>
      </c>
      <c r="M424" s="62">
        <f>IF($J424="",0,$K424*MAX(0,MIN(YEAR($C$3)*12+MONTH($C$3)-1,YEAR($I424)*12+MONTH($I424))-(YEAR($H424)*12+MONTH($H424))+1))</f>
        <v/>
      </c>
      <c r="N424" s="62">
        <f>IF(OR($J424="",$B424=""),0,IF(YEAR($B424)*12+MONTH($B424)&lt;=YEAR($C$3)*12+MONTH($C$3),$G424,0))</f>
        <v/>
      </c>
      <c r="O424" s="62">
        <f>IF(OR($J424="",$B424=""),0,IF(YEAR($B424)*12+MONTH($B424)&lt;=YEAR($C$3)*12+MONTH($C$3)-1,$G424,0))</f>
        <v/>
      </c>
      <c r="P424" s="62">
        <f>$M424-$O424</f>
        <v/>
      </c>
      <c r="Q424" s="62">
        <f>($L424-$M424)-($N424-$O424)</f>
        <v/>
      </c>
      <c r="R424" s="62">
        <f>$L424-$N424</f>
        <v/>
      </c>
    </row>
    <row r="425">
      <c r="A425" s="59">
        <f>ROW()-5</f>
        <v/>
      </c>
      <c r="B425" s="60">
        <f>IFERROR(INDEX(tbl_Finance[Date],$A425),"")</f>
        <v/>
      </c>
      <c r="C425" s="61">
        <f>IFERROR(INDEX(tbl_Finance[Xero Invoice No],$A425),"")</f>
        <v/>
      </c>
      <c r="D425" s="61">
        <f>IFERROR(INDEX(tbl_Finance[Client],$A425),"")</f>
        <v/>
      </c>
      <c r="E425" s="61">
        <f>IFERROR(INDEX(tbl_Finance[Job Number],$A425),"")</f>
        <v/>
      </c>
      <c r="F425" s="61">
        <f>IFERROR(INDEX(tbl_Finance[Cost Centre],$A425),"")</f>
        <v/>
      </c>
      <c r="G425" s="62">
        <f>IFERROR(INDEX(tbl_Finance[Ex GST],$A425),"")</f>
        <v/>
      </c>
      <c r="H425" s="60">
        <f>IFERROR(INDEX(tbl_Finance[Defer Start],$A425),"")</f>
        <v/>
      </c>
      <c r="I425" s="60">
        <f>IFERROR(INDEX(tbl_Finance[Defer End],$A425),"")</f>
        <v/>
      </c>
      <c r="J425" s="59">
        <f>IF(OR($H425="",$I425="",$G425=""),"",MAX(1,(YEAR($I425)-YEAR($H425))*12+MONTH($I425)-MONTH($H425)+1))</f>
        <v/>
      </c>
      <c r="K425" s="62">
        <f>IF($J425="","",$G425/$J425)</f>
        <v/>
      </c>
      <c r="L425" s="62">
        <f>IF($J425="",0,$K425*MAX(0,MIN(YEAR($C$3)*12+MONTH($C$3),YEAR($I425)*12+MONTH($I425))-(YEAR($H425)*12+MONTH($H425))+1))</f>
        <v/>
      </c>
      <c r="M425" s="62">
        <f>IF($J425="",0,$K425*MAX(0,MIN(YEAR($C$3)*12+MONTH($C$3)-1,YEAR($I425)*12+MONTH($I425))-(YEAR($H425)*12+MONTH($H425))+1))</f>
        <v/>
      </c>
      <c r="N425" s="62">
        <f>IF(OR($J425="",$B425=""),0,IF(YEAR($B425)*12+MONTH($B425)&lt;=YEAR($C$3)*12+MONTH($C$3),$G425,0))</f>
        <v/>
      </c>
      <c r="O425" s="62">
        <f>IF(OR($J425="",$B425=""),0,IF(YEAR($B425)*12+MONTH($B425)&lt;=YEAR($C$3)*12+MONTH($C$3)-1,$G425,0))</f>
        <v/>
      </c>
      <c r="P425" s="62">
        <f>$M425-$O425</f>
        <v/>
      </c>
      <c r="Q425" s="62">
        <f>($L425-$M425)-($N425-$O425)</f>
        <v/>
      </c>
      <c r="R425" s="62">
        <f>$L425-$N425</f>
        <v/>
      </c>
    </row>
    <row r="426">
      <c r="A426" s="59">
        <f>ROW()-5</f>
        <v/>
      </c>
      <c r="B426" s="60">
        <f>IFERROR(INDEX(tbl_Finance[Date],$A426),"")</f>
        <v/>
      </c>
      <c r="C426" s="61">
        <f>IFERROR(INDEX(tbl_Finance[Xero Invoice No],$A426),"")</f>
        <v/>
      </c>
      <c r="D426" s="61">
        <f>IFERROR(INDEX(tbl_Finance[Client],$A426),"")</f>
        <v/>
      </c>
      <c r="E426" s="61">
        <f>IFERROR(INDEX(tbl_Finance[Job Number],$A426),"")</f>
        <v/>
      </c>
      <c r="F426" s="61">
        <f>IFERROR(INDEX(tbl_Finance[Cost Centre],$A426),"")</f>
        <v/>
      </c>
      <c r="G426" s="62">
        <f>IFERROR(INDEX(tbl_Finance[Ex GST],$A426),"")</f>
        <v/>
      </c>
      <c r="H426" s="60">
        <f>IFERROR(INDEX(tbl_Finance[Defer Start],$A426),"")</f>
        <v/>
      </c>
      <c r="I426" s="60">
        <f>IFERROR(INDEX(tbl_Finance[Defer End],$A426),"")</f>
        <v/>
      </c>
      <c r="J426" s="59">
        <f>IF(OR($H426="",$I426="",$G426=""),"",MAX(1,(YEAR($I426)-YEAR($H426))*12+MONTH($I426)-MONTH($H426)+1))</f>
        <v/>
      </c>
      <c r="K426" s="62">
        <f>IF($J426="","",$G426/$J426)</f>
        <v/>
      </c>
      <c r="L426" s="62">
        <f>IF($J426="",0,$K426*MAX(0,MIN(YEAR($C$3)*12+MONTH($C$3),YEAR($I426)*12+MONTH($I426))-(YEAR($H426)*12+MONTH($H426))+1))</f>
        <v/>
      </c>
      <c r="M426" s="62">
        <f>IF($J426="",0,$K426*MAX(0,MIN(YEAR($C$3)*12+MONTH($C$3)-1,YEAR($I426)*12+MONTH($I426))-(YEAR($H426)*12+MONTH($H426))+1))</f>
        <v/>
      </c>
      <c r="N426" s="62">
        <f>IF(OR($J426="",$B426=""),0,IF(YEAR($B426)*12+MONTH($B426)&lt;=YEAR($C$3)*12+MONTH($C$3),$G426,0))</f>
        <v/>
      </c>
      <c r="O426" s="62">
        <f>IF(OR($J426="",$B426=""),0,IF(YEAR($B426)*12+MONTH($B426)&lt;=YEAR($C$3)*12+MONTH($C$3)-1,$G426,0))</f>
        <v/>
      </c>
      <c r="P426" s="62">
        <f>$M426-$O426</f>
        <v/>
      </c>
      <c r="Q426" s="62">
        <f>($L426-$M426)-($N426-$O426)</f>
        <v/>
      </c>
      <c r="R426" s="62">
        <f>$L426-$N426</f>
        <v/>
      </c>
    </row>
    <row r="427">
      <c r="A427" s="59">
        <f>ROW()-5</f>
        <v/>
      </c>
      <c r="B427" s="60">
        <f>IFERROR(INDEX(tbl_Finance[Date],$A427),"")</f>
        <v/>
      </c>
      <c r="C427" s="61">
        <f>IFERROR(INDEX(tbl_Finance[Xero Invoice No],$A427),"")</f>
        <v/>
      </c>
      <c r="D427" s="61">
        <f>IFERROR(INDEX(tbl_Finance[Client],$A427),"")</f>
        <v/>
      </c>
      <c r="E427" s="61">
        <f>IFERROR(INDEX(tbl_Finance[Job Number],$A427),"")</f>
        <v/>
      </c>
      <c r="F427" s="61">
        <f>IFERROR(INDEX(tbl_Finance[Cost Centre],$A427),"")</f>
        <v/>
      </c>
      <c r="G427" s="62">
        <f>IFERROR(INDEX(tbl_Finance[Ex GST],$A427),"")</f>
        <v/>
      </c>
      <c r="H427" s="60">
        <f>IFERROR(INDEX(tbl_Finance[Defer Start],$A427),"")</f>
        <v/>
      </c>
      <c r="I427" s="60">
        <f>IFERROR(INDEX(tbl_Finance[Defer End],$A427),"")</f>
        <v/>
      </c>
      <c r="J427" s="59">
        <f>IF(OR($H427="",$I427="",$G427=""),"",MAX(1,(YEAR($I427)-YEAR($H427))*12+MONTH($I427)-MONTH($H427)+1))</f>
        <v/>
      </c>
      <c r="K427" s="62">
        <f>IF($J427="","",$G427/$J427)</f>
        <v/>
      </c>
      <c r="L427" s="62">
        <f>IF($J427="",0,$K427*MAX(0,MIN(YEAR($C$3)*12+MONTH($C$3),YEAR($I427)*12+MONTH($I427))-(YEAR($H427)*12+MONTH($H427))+1))</f>
        <v/>
      </c>
      <c r="M427" s="62">
        <f>IF($J427="",0,$K427*MAX(0,MIN(YEAR($C$3)*12+MONTH($C$3)-1,YEAR($I427)*12+MONTH($I427))-(YEAR($H427)*12+MONTH($H427))+1))</f>
        <v/>
      </c>
      <c r="N427" s="62">
        <f>IF(OR($J427="",$B427=""),0,IF(YEAR($B427)*12+MONTH($B427)&lt;=YEAR($C$3)*12+MONTH($C$3),$G427,0))</f>
        <v/>
      </c>
      <c r="O427" s="62">
        <f>IF(OR($J427="",$B427=""),0,IF(YEAR($B427)*12+MONTH($B427)&lt;=YEAR($C$3)*12+MONTH($C$3)-1,$G427,0))</f>
        <v/>
      </c>
      <c r="P427" s="62">
        <f>$M427-$O427</f>
        <v/>
      </c>
      <c r="Q427" s="62">
        <f>($L427-$M427)-($N427-$O427)</f>
        <v/>
      </c>
      <c r="R427" s="62">
        <f>$L427-$N427</f>
        <v/>
      </c>
    </row>
    <row r="428">
      <c r="A428" s="59">
        <f>ROW()-5</f>
        <v/>
      </c>
      <c r="B428" s="60">
        <f>IFERROR(INDEX(tbl_Finance[Date],$A428),"")</f>
        <v/>
      </c>
      <c r="C428" s="61">
        <f>IFERROR(INDEX(tbl_Finance[Xero Invoice No],$A428),"")</f>
        <v/>
      </c>
      <c r="D428" s="61">
        <f>IFERROR(INDEX(tbl_Finance[Client],$A428),"")</f>
        <v/>
      </c>
      <c r="E428" s="61">
        <f>IFERROR(INDEX(tbl_Finance[Job Number],$A428),"")</f>
        <v/>
      </c>
      <c r="F428" s="61">
        <f>IFERROR(INDEX(tbl_Finance[Cost Centre],$A428),"")</f>
        <v/>
      </c>
      <c r="G428" s="62">
        <f>IFERROR(INDEX(tbl_Finance[Ex GST],$A428),"")</f>
        <v/>
      </c>
      <c r="H428" s="60">
        <f>IFERROR(INDEX(tbl_Finance[Defer Start],$A428),"")</f>
        <v/>
      </c>
      <c r="I428" s="60">
        <f>IFERROR(INDEX(tbl_Finance[Defer End],$A428),"")</f>
        <v/>
      </c>
      <c r="J428" s="59">
        <f>IF(OR($H428="",$I428="",$G428=""),"",MAX(1,(YEAR($I428)-YEAR($H428))*12+MONTH($I428)-MONTH($H428)+1))</f>
        <v/>
      </c>
      <c r="K428" s="62">
        <f>IF($J428="","",$G428/$J428)</f>
        <v/>
      </c>
      <c r="L428" s="62">
        <f>IF($J428="",0,$K428*MAX(0,MIN(YEAR($C$3)*12+MONTH($C$3),YEAR($I428)*12+MONTH($I428))-(YEAR($H428)*12+MONTH($H428))+1))</f>
        <v/>
      </c>
      <c r="M428" s="62">
        <f>IF($J428="",0,$K428*MAX(0,MIN(YEAR($C$3)*12+MONTH($C$3)-1,YEAR($I428)*12+MONTH($I428))-(YEAR($H428)*12+MONTH($H428))+1))</f>
        <v/>
      </c>
      <c r="N428" s="62">
        <f>IF(OR($J428="",$B428=""),0,IF(YEAR($B428)*12+MONTH($B428)&lt;=YEAR($C$3)*12+MONTH($C$3),$G428,0))</f>
        <v/>
      </c>
      <c r="O428" s="62">
        <f>IF(OR($J428="",$B428=""),0,IF(YEAR($B428)*12+MONTH($B428)&lt;=YEAR($C$3)*12+MONTH($C$3)-1,$G428,0))</f>
        <v/>
      </c>
      <c r="P428" s="62">
        <f>$M428-$O428</f>
        <v/>
      </c>
      <c r="Q428" s="62">
        <f>($L428-$M428)-($N428-$O428)</f>
        <v/>
      </c>
      <c r="R428" s="62">
        <f>$L428-$N428</f>
        <v/>
      </c>
    </row>
    <row r="429">
      <c r="A429" s="59">
        <f>ROW()-5</f>
        <v/>
      </c>
      <c r="B429" s="60">
        <f>IFERROR(INDEX(tbl_Finance[Date],$A429),"")</f>
        <v/>
      </c>
      <c r="C429" s="61">
        <f>IFERROR(INDEX(tbl_Finance[Xero Invoice No],$A429),"")</f>
        <v/>
      </c>
      <c r="D429" s="61">
        <f>IFERROR(INDEX(tbl_Finance[Client],$A429),"")</f>
        <v/>
      </c>
      <c r="E429" s="61">
        <f>IFERROR(INDEX(tbl_Finance[Job Number],$A429),"")</f>
        <v/>
      </c>
      <c r="F429" s="61">
        <f>IFERROR(INDEX(tbl_Finance[Cost Centre],$A429),"")</f>
        <v/>
      </c>
      <c r="G429" s="62">
        <f>IFERROR(INDEX(tbl_Finance[Ex GST],$A429),"")</f>
        <v/>
      </c>
      <c r="H429" s="60">
        <f>IFERROR(INDEX(tbl_Finance[Defer Start],$A429),"")</f>
        <v/>
      </c>
      <c r="I429" s="60">
        <f>IFERROR(INDEX(tbl_Finance[Defer End],$A429),"")</f>
        <v/>
      </c>
      <c r="J429" s="59">
        <f>IF(OR($H429="",$I429="",$G429=""),"",MAX(1,(YEAR($I429)-YEAR($H429))*12+MONTH($I429)-MONTH($H429)+1))</f>
        <v/>
      </c>
      <c r="K429" s="62">
        <f>IF($J429="","",$G429/$J429)</f>
        <v/>
      </c>
      <c r="L429" s="62">
        <f>IF($J429="",0,$K429*MAX(0,MIN(YEAR($C$3)*12+MONTH($C$3),YEAR($I429)*12+MONTH($I429))-(YEAR($H429)*12+MONTH($H429))+1))</f>
        <v/>
      </c>
      <c r="M429" s="62">
        <f>IF($J429="",0,$K429*MAX(0,MIN(YEAR($C$3)*12+MONTH($C$3)-1,YEAR($I429)*12+MONTH($I429))-(YEAR($H429)*12+MONTH($H429))+1))</f>
        <v/>
      </c>
      <c r="N429" s="62">
        <f>IF(OR($J429="",$B429=""),0,IF(YEAR($B429)*12+MONTH($B429)&lt;=YEAR($C$3)*12+MONTH($C$3),$G429,0))</f>
        <v/>
      </c>
      <c r="O429" s="62">
        <f>IF(OR($J429="",$B429=""),0,IF(YEAR($B429)*12+MONTH($B429)&lt;=YEAR($C$3)*12+MONTH($C$3)-1,$G429,0))</f>
        <v/>
      </c>
      <c r="P429" s="62">
        <f>$M429-$O429</f>
        <v/>
      </c>
      <c r="Q429" s="62">
        <f>($L429-$M429)-($N429-$O429)</f>
        <v/>
      </c>
      <c r="R429" s="62">
        <f>$L429-$N429</f>
        <v/>
      </c>
    </row>
    <row r="430">
      <c r="A430" s="59">
        <f>ROW()-5</f>
        <v/>
      </c>
      <c r="B430" s="60">
        <f>IFERROR(INDEX(tbl_Finance[Date],$A430),"")</f>
        <v/>
      </c>
      <c r="C430" s="61">
        <f>IFERROR(INDEX(tbl_Finance[Xero Invoice No],$A430),"")</f>
        <v/>
      </c>
      <c r="D430" s="61">
        <f>IFERROR(INDEX(tbl_Finance[Client],$A430),"")</f>
        <v/>
      </c>
      <c r="E430" s="61">
        <f>IFERROR(INDEX(tbl_Finance[Job Number],$A430),"")</f>
        <v/>
      </c>
      <c r="F430" s="61">
        <f>IFERROR(INDEX(tbl_Finance[Cost Centre],$A430),"")</f>
        <v/>
      </c>
      <c r="G430" s="62">
        <f>IFERROR(INDEX(tbl_Finance[Ex GST],$A430),"")</f>
        <v/>
      </c>
      <c r="H430" s="60">
        <f>IFERROR(INDEX(tbl_Finance[Defer Start],$A430),"")</f>
        <v/>
      </c>
      <c r="I430" s="60">
        <f>IFERROR(INDEX(tbl_Finance[Defer End],$A430),"")</f>
        <v/>
      </c>
      <c r="J430" s="59">
        <f>IF(OR($H430="",$I430="",$G430=""),"",MAX(1,(YEAR($I430)-YEAR($H430))*12+MONTH($I430)-MONTH($H430)+1))</f>
        <v/>
      </c>
      <c r="K430" s="62">
        <f>IF($J430="","",$G430/$J430)</f>
        <v/>
      </c>
      <c r="L430" s="62">
        <f>IF($J430="",0,$K430*MAX(0,MIN(YEAR($C$3)*12+MONTH($C$3),YEAR($I430)*12+MONTH($I430))-(YEAR($H430)*12+MONTH($H430))+1))</f>
        <v/>
      </c>
      <c r="M430" s="62">
        <f>IF($J430="",0,$K430*MAX(0,MIN(YEAR($C$3)*12+MONTH($C$3)-1,YEAR($I430)*12+MONTH($I430))-(YEAR($H430)*12+MONTH($H430))+1))</f>
        <v/>
      </c>
      <c r="N430" s="62">
        <f>IF(OR($J430="",$B430=""),0,IF(YEAR($B430)*12+MONTH($B430)&lt;=YEAR($C$3)*12+MONTH($C$3),$G430,0))</f>
        <v/>
      </c>
      <c r="O430" s="62">
        <f>IF(OR($J430="",$B430=""),0,IF(YEAR($B430)*12+MONTH($B430)&lt;=YEAR($C$3)*12+MONTH($C$3)-1,$G430,0))</f>
        <v/>
      </c>
      <c r="P430" s="62">
        <f>$M430-$O430</f>
        <v/>
      </c>
      <c r="Q430" s="62">
        <f>($L430-$M430)-($N430-$O430)</f>
        <v/>
      </c>
      <c r="R430" s="62">
        <f>$L430-$N430</f>
        <v/>
      </c>
    </row>
    <row r="431">
      <c r="A431" s="59">
        <f>ROW()-5</f>
        <v/>
      </c>
      <c r="B431" s="60">
        <f>IFERROR(INDEX(tbl_Finance[Date],$A431),"")</f>
        <v/>
      </c>
      <c r="C431" s="61">
        <f>IFERROR(INDEX(tbl_Finance[Xero Invoice No],$A431),"")</f>
        <v/>
      </c>
      <c r="D431" s="61">
        <f>IFERROR(INDEX(tbl_Finance[Client],$A431),"")</f>
        <v/>
      </c>
      <c r="E431" s="61">
        <f>IFERROR(INDEX(tbl_Finance[Job Number],$A431),"")</f>
        <v/>
      </c>
      <c r="F431" s="61">
        <f>IFERROR(INDEX(tbl_Finance[Cost Centre],$A431),"")</f>
        <v/>
      </c>
      <c r="G431" s="62">
        <f>IFERROR(INDEX(tbl_Finance[Ex GST],$A431),"")</f>
        <v/>
      </c>
      <c r="H431" s="60">
        <f>IFERROR(INDEX(tbl_Finance[Defer Start],$A431),"")</f>
        <v/>
      </c>
      <c r="I431" s="60">
        <f>IFERROR(INDEX(tbl_Finance[Defer End],$A431),"")</f>
        <v/>
      </c>
      <c r="J431" s="59">
        <f>IF(OR($H431="",$I431="",$G431=""),"",MAX(1,(YEAR($I431)-YEAR($H431))*12+MONTH($I431)-MONTH($H431)+1))</f>
        <v/>
      </c>
      <c r="K431" s="62">
        <f>IF($J431="","",$G431/$J431)</f>
        <v/>
      </c>
      <c r="L431" s="62">
        <f>IF($J431="",0,$K431*MAX(0,MIN(YEAR($C$3)*12+MONTH($C$3),YEAR($I431)*12+MONTH($I431))-(YEAR($H431)*12+MONTH($H431))+1))</f>
        <v/>
      </c>
      <c r="M431" s="62">
        <f>IF($J431="",0,$K431*MAX(0,MIN(YEAR($C$3)*12+MONTH($C$3)-1,YEAR($I431)*12+MONTH($I431))-(YEAR($H431)*12+MONTH($H431))+1))</f>
        <v/>
      </c>
      <c r="N431" s="62">
        <f>IF(OR($J431="",$B431=""),0,IF(YEAR($B431)*12+MONTH($B431)&lt;=YEAR($C$3)*12+MONTH($C$3),$G431,0))</f>
        <v/>
      </c>
      <c r="O431" s="62">
        <f>IF(OR($J431="",$B431=""),0,IF(YEAR($B431)*12+MONTH($B431)&lt;=YEAR($C$3)*12+MONTH($C$3)-1,$G431,0))</f>
        <v/>
      </c>
      <c r="P431" s="62">
        <f>$M431-$O431</f>
        <v/>
      </c>
      <c r="Q431" s="62">
        <f>($L431-$M431)-($N431-$O431)</f>
        <v/>
      </c>
      <c r="R431" s="62">
        <f>$L431-$N431</f>
        <v/>
      </c>
    </row>
    <row r="432">
      <c r="A432" s="59">
        <f>ROW()-5</f>
        <v/>
      </c>
      <c r="B432" s="60">
        <f>IFERROR(INDEX(tbl_Finance[Date],$A432),"")</f>
        <v/>
      </c>
      <c r="C432" s="61">
        <f>IFERROR(INDEX(tbl_Finance[Xero Invoice No],$A432),"")</f>
        <v/>
      </c>
      <c r="D432" s="61">
        <f>IFERROR(INDEX(tbl_Finance[Client],$A432),"")</f>
        <v/>
      </c>
      <c r="E432" s="61">
        <f>IFERROR(INDEX(tbl_Finance[Job Number],$A432),"")</f>
        <v/>
      </c>
      <c r="F432" s="61">
        <f>IFERROR(INDEX(tbl_Finance[Cost Centre],$A432),"")</f>
        <v/>
      </c>
      <c r="G432" s="62">
        <f>IFERROR(INDEX(tbl_Finance[Ex GST],$A432),"")</f>
        <v/>
      </c>
      <c r="H432" s="60">
        <f>IFERROR(INDEX(tbl_Finance[Defer Start],$A432),"")</f>
        <v/>
      </c>
      <c r="I432" s="60">
        <f>IFERROR(INDEX(tbl_Finance[Defer End],$A432),"")</f>
        <v/>
      </c>
      <c r="J432" s="59">
        <f>IF(OR($H432="",$I432="",$G432=""),"",MAX(1,(YEAR($I432)-YEAR($H432))*12+MONTH($I432)-MONTH($H432)+1))</f>
        <v/>
      </c>
      <c r="K432" s="62">
        <f>IF($J432="","",$G432/$J432)</f>
        <v/>
      </c>
      <c r="L432" s="62">
        <f>IF($J432="",0,$K432*MAX(0,MIN(YEAR($C$3)*12+MONTH($C$3),YEAR($I432)*12+MONTH($I432))-(YEAR($H432)*12+MONTH($H432))+1))</f>
        <v/>
      </c>
      <c r="M432" s="62">
        <f>IF($J432="",0,$K432*MAX(0,MIN(YEAR($C$3)*12+MONTH($C$3)-1,YEAR($I432)*12+MONTH($I432))-(YEAR($H432)*12+MONTH($H432))+1))</f>
        <v/>
      </c>
      <c r="N432" s="62">
        <f>IF(OR($J432="",$B432=""),0,IF(YEAR($B432)*12+MONTH($B432)&lt;=YEAR($C$3)*12+MONTH($C$3),$G432,0))</f>
        <v/>
      </c>
      <c r="O432" s="62">
        <f>IF(OR($J432="",$B432=""),0,IF(YEAR($B432)*12+MONTH($B432)&lt;=YEAR($C$3)*12+MONTH($C$3)-1,$G432,0))</f>
        <v/>
      </c>
      <c r="P432" s="62">
        <f>$M432-$O432</f>
        <v/>
      </c>
      <c r="Q432" s="62">
        <f>($L432-$M432)-($N432-$O432)</f>
        <v/>
      </c>
      <c r="R432" s="62">
        <f>$L432-$N432</f>
        <v/>
      </c>
    </row>
    <row r="433">
      <c r="A433" s="59">
        <f>ROW()-5</f>
        <v/>
      </c>
      <c r="B433" s="60">
        <f>IFERROR(INDEX(tbl_Finance[Date],$A433),"")</f>
        <v/>
      </c>
      <c r="C433" s="61">
        <f>IFERROR(INDEX(tbl_Finance[Xero Invoice No],$A433),"")</f>
        <v/>
      </c>
      <c r="D433" s="61">
        <f>IFERROR(INDEX(tbl_Finance[Client],$A433),"")</f>
        <v/>
      </c>
      <c r="E433" s="61">
        <f>IFERROR(INDEX(tbl_Finance[Job Number],$A433),"")</f>
        <v/>
      </c>
      <c r="F433" s="61">
        <f>IFERROR(INDEX(tbl_Finance[Cost Centre],$A433),"")</f>
        <v/>
      </c>
      <c r="G433" s="62">
        <f>IFERROR(INDEX(tbl_Finance[Ex GST],$A433),"")</f>
        <v/>
      </c>
      <c r="H433" s="60">
        <f>IFERROR(INDEX(tbl_Finance[Defer Start],$A433),"")</f>
        <v/>
      </c>
      <c r="I433" s="60">
        <f>IFERROR(INDEX(tbl_Finance[Defer End],$A433),"")</f>
        <v/>
      </c>
      <c r="J433" s="59">
        <f>IF(OR($H433="",$I433="",$G433=""),"",MAX(1,(YEAR($I433)-YEAR($H433))*12+MONTH($I433)-MONTH($H433)+1))</f>
        <v/>
      </c>
      <c r="K433" s="62">
        <f>IF($J433="","",$G433/$J433)</f>
        <v/>
      </c>
      <c r="L433" s="62">
        <f>IF($J433="",0,$K433*MAX(0,MIN(YEAR($C$3)*12+MONTH($C$3),YEAR($I433)*12+MONTH($I433))-(YEAR($H433)*12+MONTH($H433))+1))</f>
        <v/>
      </c>
      <c r="M433" s="62">
        <f>IF($J433="",0,$K433*MAX(0,MIN(YEAR($C$3)*12+MONTH($C$3)-1,YEAR($I433)*12+MONTH($I433))-(YEAR($H433)*12+MONTH($H433))+1))</f>
        <v/>
      </c>
      <c r="N433" s="62">
        <f>IF(OR($J433="",$B433=""),0,IF(YEAR($B433)*12+MONTH($B433)&lt;=YEAR($C$3)*12+MONTH($C$3),$G433,0))</f>
        <v/>
      </c>
      <c r="O433" s="62">
        <f>IF(OR($J433="",$B433=""),0,IF(YEAR($B433)*12+MONTH($B433)&lt;=YEAR($C$3)*12+MONTH($C$3)-1,$G433,0))</f>
        <v/>
      </c>
      <c r="P433" s="62">
        <f>$M433-$O433</f>
        <v/>
      </c>
      <c r="Q433" s="62">
        <f>($L433-$M433)-($N433-$O433)</f>
        <v/>
      </c>
      <c r="R433" s="62">
        <f>$L433-$N433</f>
        <v/>
      </c>
    </row>
    <row r="434">
      <c r="A434" s="59">
        <f>ROW()-5</f>
        <v/>
      </c>
      <c r="B434" s="60">
        <f>IFERROR(INDEX(tbl_Finance[Date],$A434),"")</f>
        <v/>
      </c>
      <c r="C434" s="61">
        <f>IFERROR(INDEX(tbl_Finance[Xero Invoice No],$A434),"")</f>
        <v/>
      </c>
      <c r="D434" s="61">
        <f>IFERROR(INDEX(tbl_Finance[Client],$A434),"")</f>
        <v/>
      </c>
      <c r="E434" s="61">
        <f>IFERROR(INDEX(tbl_Finance[Job Number],$A434),"")</f>
        <v/>
      </c>
      <c r="F434" s="61">
        <f>IFERROR(INDEX(tbl_Finance[Cost Centre],$A434),"")</f>
        <v/>
      </c>
      <c r="G434" s="62">
        <f>IFERROR(INDEX(tbl_Finance[Ex GST],$A434),"")</f>
        <v/>
      </c>
      <c r="H434" s="60">
        <f>IFERROR(INDEX(tbl_Finance[Defer Start],$A434),"")</f>
        <v/>
      </c>
      <c r="I434" s="60">
        <f>IFERROR(INDEX(tbl_Finance[Defer End],$A434),"")</f>
        <v/>
      </c>
      <c r="J434" s="59">
        <f>IF(OR($H434="",$I434="",$G434=""),"",MAX(1,(YEAR($I434)-YEAR($H434))*12+MONTH($I434)-MONTH($H434)+1))</f>
        <v/>
      </c>
      <c r="K434" s="62">
        <f>IF($J434="","",$G434/$J434)</f>
        <v/>
      </c>
      <c r="L434" s="62">
        <f>IF($J434="",0,$K434*MAX(0,MIN(YEAR($C$3)*12+MONTH($C$3),YEAR($I434)*12+MONTH($I434))-(YEAR($H434)*12+MONTH($H434))+1))</f>
        <v/>
      </c>
      <c r="M434" s="62">
        <f>IF($J434="",0,$K434*MAX(0,MIN(YEAR($C$3)*12+MONTH($C$3)-1,YEAR($I434)*12+MONTH($I434))-(YEAR($H434)*12+MONTH($H434))+1))</f>
        <v/>
      </c>
      <c r="N434" s="62">
        <f>IF(OR($J434="",$B434=""),0,IF(YEAR($B434)*12+MONTH($B434)&lt;=YEAR($C$3)*12+MONTH($C$3),$G434,0))</f>
        <v/>
      </c>
      <c r="O434" s="62">
        <f>IF(OR($J434="",$B434=""),0,IF(YEAR($B434)*12+MONTH($B434)&lt;=YEAR($C$3)*12+MONTH($C$3)-1,$G434,0))</f>
        <v/>
      </c>
      <c r="P434" s="62">
        <f>$M434-$O434</f>
        <v/>
      </c>
      <c r="Q434" s="62">
        <f>($L434-$M434)-($N434-$O434)</f>
        <v/>
      </c>
      <c r="R434" s="62">
        <f>$L434-$N434</f>
        <v/>
      </c>
    </row>
    <row r="435">
      <c r="A435" s="59">
        <f>ROW()-5</f>
        <v/>
      </c>
      <c r="B435" s="60">
        <f>IFERROR(INDEX(tbl_Finance[Date],$A435),"")</f>
        <v/>
      </c>
      <c r="C435" s="61">
        <f>IFERROR(INDEX(tbl_Finance[Xero Invoice No],$A435),"")</f>
        <v/>
      </c>
      <c r="D435" s="61">
        <f>IFERROR(INDEX(tbl_Finance[Client],$A435),"")</f>
        <v/>
      </c>
      <c r="E435" s="61">
        <f>IFERROR(INDEX(tbl_Finance[Job Number],$A435),"")</f>
        <v/>
      </c>
      <c r="F435" s="61">
        <f>IFERROR(INDEX(tbl_Finance[Cost Centre],$A435),"")</f>
        <v/>
      </c>
      <c r="G435" s="62">
        <f>IFERROR(INDEX(tbl_Finance[Ex GST],$A435),"")</f>
        <v/>
      </c>
      <c r="H435" s="60">
        <f>IFERROR(INDEX(tbl_Finance[Defer Start],$A435),"")</f>
        <v/>
      </c>
      <c r="I435" s="60">
        <f>IFERROR(INDEX(tbl_Finance[Defer End],$A435),"")</f>
        <v/>
      </c>
      <c r="J435" s="59">
        <f>IF(OR($H435="",$I435="",$G435=""),"",MAX(1,(YEAR($I435)-YEAR($H435))*12+MONTH($I435)-MONTH($H435)+1))</f>
        <v/>
      </c>
      <c r="K435" s="62">
        <f>IF($J435="","",$G435/$J435)</f>
        <v/>
      </c>
      <c r="L435" s="62">
        <f>IF($J435="",0,$K435*MAX(0,MIN(YEAR($C$3)*12+MONTH($C$3),YEAR($I435)*12+MONTH($I435))-(YEAR($H435)*12+MONTH($H435))+1))</f>
        <v/>
      </c>
      <c r="M435" s="62">
        <f>IF($J435="",0,$K435*MAX(0,MIN(YEAR($C$3)*12+MONTH($C$3)-1,YEAR($I435)*12+MONTH($I435))-(YEAR($H435)*12+MONTH($H435))+1))</f>
        <v/>
      </c>
      <c r="N435" s="62">
        <f>IF(OR($J435="",$B435=""),0,IF(YEAR($B435)*12+MONTH($B435)&lt;=YEAR($C$3)*12+MONTH($C$3),$G435,0))</f>
        <v/>
      </c>
      <c r="O435" s="62">
        <f>IF(OR($J435="",$B435=""),0,IF(YEAR($B435)*12+MONTH($B435)&lt;=YEAR($C$3)*12+MONTH($C$3)-1,$G435,0))</f>
        <v/>
      </c>
      <c r="P435" s="62">
        <f>$M435-$O435</f>
        <v/>
      </c>
      <c r="Q435" s="62">
        <f>($L435-$M435)-($N435-$O435)</f>
        <v/>
      </c>
      <c r="R435" s="62">
        <f>$L435-$N435</f>
        <v/>
      </c>
    </row>
    <row r="436">
      <c r="A436" s="59">
        <f>ROW()-5</f>
        <v/>
      </c>
      <c r="B436" s="60">
        <f>IFERROR(INDEX(tbl_Finance[Date],$A436),"")</f>
        <v/>
      </c>
      <c r="C436" s="61">
        <f>IFERROR(INDEX(tbl_Finance[Xero Invoice No],$A436),"")</f>
        <v/>
      </c>
      <c r="D436" s="61">
        <f>IFERROR(INDEX(tbl_Finance[Client],$A436),"")</f>
        <v/>
      </c>
      <c r="E436" s="61">
        <f>IFERROR(INDEX(tbl_Finance[Job Number],$A436),"")</f>
        <v/>
      </c>
      <c r="F436" s="61">
        <f>IFERROR(INDEX(tbl_Finance[Cost Centre],$A436),"")</f>
        <v/>
      </c>
      <c r="G436" s="62">
        <f>IFERROR(INDEX(tbl_Finance[Ex GST],$A436),"")</f>
        <v/>
      </c>
      <c r="H436" s="60">
        <f>IFERROR(INDEX(tbl_Finance[Defer Start],$A436),"")</f>
        <v/>
      </c>
      <c r="I436" s="60">
        <f>IFERROR(INDEX(tbl_Finance[Defer End],$A436),"")</f>
        <v/>
      </c>
      <c r="J436" s="59">
        <f>IF(OR($H436="",$I436="",$G436=""),"",MAX(1,(YEAR($I436)-YEAR($H436))*12+MONTH($I436)-MONTH($H436)+1))</f>
        <v/>
      </c>
      <c r="K436" s="62">
        <f>IF($J436="","",$G436/$J436)</f>
        <v/>
      </c>
      <c r="L436" s="62">
        <f>IF($J436="",0,$K436*MAX(0,MIN(YEAR($C$3)*12+MONTH($C$3),YEAR($I436)*12+MONTH($I436))-(YEAR($H436)*12+MONTH($H436))+1))</f>
        <v/>
      </c>
      <c r="M436" s="62">
        <f>IF($J436="",0,$K436*MAX(0,MIN(YEAR($C$3)*12+MONTH($C$3)-1,YEAR($I436)*12+MONTH($I436))-(YEAR($H436)*12+MONTH($H436))+1))</f>
        <v/>
      </c>
      <c r="N436" s="62">
        <f>IF(OR($J436="",$B436=""),0,IF(YEAR($B436)*12+MONTH($B436)&lt;=YEAR($C$3)*12+MONTH($C$3),$G436,0))</f>
        <v/>
      </c>
      <c r="O436" s="62">
        <f>IF(OR($J436="",$B436=""),0,IF(YEAR($B436)*12+MONTH($B436)&lt;=YEAR($C$3)*12+MONTH($C$3)-1,$G436,0))</f>
        <v/>
      </c>
      <c r="P436" s="62">
        <f>$M436-$O436</f>
        <v/>
      </c>
      <c r="Q436" s="62">
        <f>($L436-$M436)-($N436-$O436)</f>
        <v/>
      </c>
      <c r="R436" s="62">
        <f>$L436-$N436</f>
        <v/>
      </c>
    </row>
    <row r="437">
      <c r="A437" s="59">
        <f>ROW()-5</f>
        <v/>
      </c>
      <c r="B437" s="60">
        <f>IFERROR(INDEX(tbl_Finance[Date],$A437),"")</f>
        <v/>
      </c>
      <c r="C437" s="61">
        <f>IFERROR(INDEX(tbl_Finance[Xero Invoice No],$A437),"")</f>
        <v/>
      </c>
      <c r="D437" s="61">
        <f>IFERROR(INDEX(tbl_Finance[Client],$A437),"")</f>
        <v/>
      </c>
      <c r="E437" s="61">
        <f>IFERROR(INDEX(tbl_Finance[Job Number],$A437),"")</f>
        <v/>
      </c>
      <c r="F437" s="61">
        <f>IFERROR(INDEX(tbl_Finance[Cost Centre],$A437),"")</f>
        <v/>
      </c>
      <c r="G437" s="62">
        <f>IFERROR(INDEX(tbl_Finance[Ex GST],$A437),"")</f>
        <v/>
      </c>
      <c r="H437" s="60">
        <f>IFERROR(INDEX(tbl_Finance[Defer Start],$A437),"")</f>
        <v/>
      </c>
      <c r="I437" s="60">
        <f>IFERROR(INDEX(tbl_Finance[Defer End],$A437),"")</f>
        <v/>
      </c>
      <c r="J437" s="59">
        <f>IF(OR($H437="",$I437="",$G437=""),"",MAX(1,(YEAR($I437)-YEAR($H437))*12+MONTH($I437)-MONTH($H437)+1))</f>
        <v/>
      </c>
      <c r="K437" s="62">
        <f>IF($J437="","",$G437/$J437)</f>
        <v/>
      </c>
      <c r="L437" s="62">
        <f>IF($J437="",0,$K437*MAX(0,MIN(YEAR($C$3)*12+MONTH($C$3),YEAR($I437)*12+MONTH($I437))-(YEAR($H437)*12+MONTH($H437))+1))</f>
        <v/>
      </c>
      <c r="M437" s="62">
        <f>IF($J437="",0,$K437*MAX(0,MIN(YEAR($C$3)*12+MONTH($C$3)-1,YEAR($I437)*12+MONTH($I437))-(YEAR($H437)*12+MONTH($H437))+1))</f>
        <v/>
      </c>
      <c r="N437" s="62">
        <f>IF(OR($J437="",$B437=""),0,IF(YEAR($B437)*12+MONTH($B437)&lt;=YEAR($C$3)*12+MONTH($C$3),$G437,0))</f>
        <v/>
      </c>
      <c r="O437" s="62">
        <f>IF(OR($J437="",$B437=""),0,IF(YEAR($B437)*12+MONTH($B437)&lt;=YEAR($C$3)*12+MONTH($C$3)-1,$G437,0))</f>
        <v/>
      </c>
      <c r="P437" s="62">
        <f>$M437-$O437</f>
        <v/>
      </c>
      <c r="Q437" s="62">
        <f>($L437-$M437)-($N437-$O437)</f>
        <v/>
      </c>
      <c r="R437" s="62">
        <f>$L437-$N437</f>
        <v/>
      </c>
    </row>
    <row r="438">
      <c r="A438" s="59">
        <f>ROW()-5</f>
        <v/>
      </c>
      <c r="B438" s="60">
        <f>IFERROR(INDEX(tbl_Finance[Date],$A438),"")</f>
        <v/>
      </c>
      <c r="C438" s="61">
        <f>IFERROR(INDEX(tbl_Finance[Xero Invoice No],$A438),"")</f>
        <v/>
      </c>
      <c r="D438" s="61">
        <f>IFERROR(INDEX(tbl_Finance[Client],$A438),"")</f>
        <v/>
      </c>
      <c r="E438" s="61">
        <f>IFERROR(INDEX(tbl_Finance[Job Number],$A438),"")</f>
        <v/>
      </c>
      <c r="F438" s="61">
        <f>IFERROR(INDEX(tbl_Finance[Cost Centre],$A438),"")</f>
        <v/>
      </c>
      <c r="G438" s="62">
        <f>IFERROR(INDEX(tbl_Finance[Ex GST],$A438),"")</f>
        <v/>
      </c>
      <c r="H438" s="60">
        <f>IFERROR(INDEX(tbl_Finance[Defer Start],$A438),"")</f>
        <v/>
      </c>
      <c r="I438" s="60">
        <f>IFERROR(INDEX(tbl_Finance[Defer End],$A438),"")</f>
        <v/>
      </c>
      <c r="J438" s="59">
        <f>IF(OR($H438="",$I438="",$G438=""),"",MAX(1,(YEAR($I438)-YEAR($H438))*12+MONTH($I438)-MONTH($H438)+1))</f>
        <v/>
      </c>
      <c r="K438" s="62">
        <f>IF($J438="","",$G438/$J438)</f>
        <v/>
      </c>
      <c r="L438" s="62">
        <f>IF($J438="",0,$K438*MAX(0,MIN(YEAR($C$3)*12+MONTH($C$3),YEAR($I438)*12+MONTH($I438))-(YEAR($H438)*12+MONTH($H438))+1))</f>
        <v/>
      </c>
      <c r="M438" s="62">
        <f>IF($J438="",0,$K438*MAX(0,MIN(YEAR($C$3)*12+MONTH($C$3)-1,YEAR($I438)*12+MONTH($I438))-(YEAR($H438)*12+MONTH($H438))+1))</f>
        <v/>
      </c>
      <c r="N438" s="62">
        <f>IF(OR($J438="",$B438=""),0,IF(YEAR($B438)*12+MONTH($B438)&lt;=YEAR($C$3)*12+MONTH($C$3),$G438,0))</f>
        <v/>
      </c>
      <c r="O438" s="62">
        <f>IF(OR($J438="",$B438=""),0,IF(YEAR($B438)*12+MONTH($B438)&lt;=YEAR($C$3)*12+MONTH($C$3)-1,$G438,0))</f>
        <v/>
      </c>
      <c r="P438" s="62">
        <f>$M438-$O438</f>
        <v/>
      </c>
      <c r="Q438" s="62">
        <f>($L438-$M438)-($N438-$O438)</f>
        <v/>
      </c>
      <c r="R438" s="62">
        <f>$L438-$N438</f>
        <v/>
      </c>
    </row>
    <row r="439">
      <c r="A439" s="59">
        <f>ROW()-5</f>
        <v/>
      </c>
      <c r="B439" s="60">
        <f>IFERROR(INDEX(tbl_Finance[Date],$A439),"")</f>
        <v/>
      </c>
      <c r="C439" s="61">
        <f>IFERROR(INDEX(tbl_Finance[Xero Invoice No],$A439),"")</f>
        <v/>
      </c>
      <c r="D439" s="61">
        <f>IFERROR(INDEX(tbl_Finance[Client],$A439),"")</f>
        <v/>
      </c>
      <c r="E439" s="61">
        <f>IFERROR(INDEX(tbl_Finance[Job Number],$A439),"")</f>
        <v/>
      </c>
      <c r="F439" s="61">
        <f>IFERROR(INDEX(tbl_Finance[Cost Centre],$A439),"")</f>
        <v/>
      </c>
      <c r="G439" s="62">
        <f>IFERROR(INDEX(tbl_Finance[Ex GST],$A439),"")</f>
        <v/>
      </c>
      <c r="H439" s="60">
        <f>IFERROR(INDEX(tbl_Finance[Defer Start],$A439),"")</f>
        <v/>
      </c>
      <c r="I439" s="60">
        <f>IFERROR(INDEX(tbl_Finance[Defer End],$A439),"")</f>
        <v/>
      </c>
      <c r="J439" s="59">
        <f>IF(OR($H439="",$I439="",$G439=""),"",MAX(1,(YEAR($I439)-YEAR($H439))*12+MONTH($I439)-MONTH($H439)+1))</f>
        <v/>
      </c>
      <c r="K439" s="62">
        <f>IF($J439="","",$G439/$J439)</f>
        <v/>
      </c>
      <c r="L439" s="62">
        <f>IF($J439="",0,$K439*MAX(0,MIN(YEAR($C$3)*12+MONTH($C$3),YEAR($I439)*12+MONTH($I439))-(YEAR($H439)*12+MONTH($H439))+1))</f>
        <v/>
      </c>
      <c r="M439" s="62">
        <f>IF($J439="",0,$K439*MAX(0,MIN(YEAR($C$3)*12+MONTH($C$3)-1,YEAR($I439)*12+MONTH($I439))-(YEAR($H439)*12+MONTH($H439))+1))</f>
        <v/>
      </c>
      <c r="N439" s="62">
        <f>IF(OR($J439="",$B439=""),0,IF(YEAR($B439)*12+MONTH($B439)&lt;=YEAR($C$3)*12+MONTH($C$3),$G439,0))</f>
        <v/>
      </c>
      <c r="O439" s="62">
        <f>IF(OR($J439="",$B439=""),0,IF(YEAR($B439)*12+MONTH($B439)&lt;=YEAR($C$3)*12+MONTH($C$3)-1,$G439,0))</f>
        <v/>
      </c>
      <c r="P439" s="62">
        <f>$M439-$O439</f>
        <v/>
      </c>
      <c r="Q439" s="62">
        <f>($L439-$M439)-($N439-$O439)</f>
        <v/>
      </c>
      <c r="R439" s="62">
        <f>$L439-$N439</f>
        <v/>
      </c>
    </row>
    <row r="440">
      <c r="A440" s="59">
        <f>ROW()-5</f>
        <v/>
      </c>
      <c r="B440" s="60">
        <f>IFERROR(INDEX(tbl_Finance[Date],$A440),"")</f>
        <v/>
      </c>
      <c r="C440" s="61">
        <f>IFERROR(INDEX(tbl_Finance[Xero Invoice No],$A440),"")</f>
        <v/>
      </c>
      <c r="D440" s="61">
        <f>IFERROR(INDEX(tbl_Finance[Client],$A440),"")</f>
        <v/>
      </c>
      <c r="E440" s="61">
        <f>IFERROR(INDEX(tbl_Finance[Job Number],$A440),"")</f>
        <v/>
      </c>
      <c r="F440" s="61">
        <f>IFERROR(INDEX(tbl_Finance[Cost Centre],$A440),"")</f>
        <v/>
      </c>
      <c r="G440" s="62">
        <f>IFERROR(INDEX(tbl_Finance[Ex GST],$A440),"")</f>
        <v/>
      </c>
      <c r="H440" s="60">
        <f>IFERROR(INDEX(tbl_Finance[Defer Start],$A440),"")</f>
        <v/>
      </c>
      <c r="I440" s="60">
        <f>IFERROR(INDEX(tbl_Finance[Defer End],$A440),"")</f>
        <v/>
      </c>
      <c r="J440" s="59">
        <f>IF(OR($H440="",$I440="",$G440=""),"",MAX(1,(YEAR($I440)-YEAR($H440))*12+MONTH($I440)-MONTH($H440)+1))</f>
        <v/>
      </c>
      <c r="K440" s="62">
        <f>IF($J440="","",$G440/$J440)</f>
        <v/>
      </c>
      <c r="L440" s="62">
        <f>IF($J440="",0,$K440*MAX(0,MIN(YEAR($C$3)*12+MONTH($C$3),YEAR($I440)*12+MONTH($I440))-(YEAR($H440)*12+MONTH($H440))+1))</f>
        <v/>
      </c>
      <c r="M440" s="62">
        <f>IF($J440="",0,$K440*MAX(0,MIN(YEAR($C$3)*12+MONTH($C$3)-1,YEAR($I440)*12+MONTH($I440))-(YEAR($H440)*12+MONTH($H440))+1))</f>
        <v/>
      </c>
      <c r="N440" s="62">
        <f>IF(OR($J440="",$B440=""),0,IF(YEAR($B440)*12+MONTH($B440)&lt;=YEAR($C$3)*12+MONTH($C$3),$G440,0))</f>
        <v/>
      </c>
      <c r="O440" s="62">
        <f>IF(OR($J440="",$B440=""),0,IF(YEAR($B440)*12+MONTH($B440)&lt;=YEAR($C$3)*12+MONTH($C$3)-1,$G440,0))</f>
        <v/>
      </c>
      <c r="P440" s="62">
        <f>$M440-$O440</f>
        <v/>
      </c>
      <c r="Q440" s="62">
        <f>($L440-$M440)-($N440-$O440)</f>
        <v/>
      </c>
      <c r="R440" s="62">
        <f>$L440-$N440</f>
        <v/>
      </c>
    </row>
    <row r="441">
      <c r="A441" s="59">
        <f>ROW()-5</f>
        <v/>
      </c>
      <c r="B441" s="60">
        <f>IFERROR(INDEX(tbl_Finance[Date],$A441),"")</f>
        <v/>
      </c>
      <c r="C441" s="61">
        <f>IFERROR(INDEX(tbl_Finance[Xero Invoice No],$A441),"")</f>
        <v/>
      </c>
      <c r="D441" s="61">
        <f>IFERROR(INDEX(tbl_Finance[Client],$A441),"")</f>
        <v/>
      </c>
      <c r="E441" s="61">
        <f>IFERROR(INDEX(tbl_Finance[Job Number],$A441),"")</f>
        <v/>
      </c>
      <c r="F441" s="61">
        <f>IFERROR(INDEX(tbl_Finance[Cost Centre],$A441),"")</f>
        <v/>
      </c>
      <c r="G441" s="62">
        <f>IFERROR(INDEX(tbl_Finance[Ex GST],$A441),"")</f>
        <v/>
      </c>
      <c r="H441" s="60">
        <f>IFERROR(INDEX(tbl_Finance[Defer Start],$A441),"")</f>
        <v/>
      </c>
      <c r="I441" s="60">
        <f>IFERROR(INDEX(tbl_Finance[Defer End],$A441),"")</f>
        <v/>
      </c>
      <c r="J441" s="59">
        <f>IF(OR($H441="",$I441="",$G441=""),"",MAX(1,(YEAR($I441)-YEAR($H441))*12+MONTH($I441)-MONTH($H441)+1))</f>
        <v/>
      </c>
      <c r="K441" s="62">
        <f>IF($J441="","",$G441/$J441)</f>
        <v/>
      </c>
      <c r="L441" s="62">
        <f>IF($J441="",0,$K441*MAX(0,MIN(YEAR($C$3)*12+MONTH($C$3),YEAR($I441)*12+MONTH($I441))-(YEAR($H441)*12+MONTH($H441))+1))</f>
        <v/>
      </c>
      <c r="M441" s="62">
        <f>IF($J441="",0,$K441*MAX(0,MIN(YEAR($C$3)*12+MONTH($C$3)-1,YEAR($I441)*12+MONTH($I441))-(YEAR($H441)*12+MONTH($H441))+1))</f>
        <v/>
      </c>
      <c r="N441" s="62">
        <f>IF(OR($J441="",$B441=""),0,IF(YEAR($B441)*12+MONTH($B441)&lt;=YEAR($C$3)*12+MONTH($C$3),$G441,0))</f>
        <v/>
      </c>
      <c r="O441" s="62">
        <f>IF(OR($J441="",$B441=""),0,IF(YEAR($B441)*12+MONTH($B441)&lt;=YEAR($C$3)*12+MONTH($C$3)-1,$G441,0))</f>
        <v/>
      </c>
      <c r="P441" s="62">
        <f>$M441-$O441</f>
        <v/>
      </c>
      <c r="Q441" s="62">
        <f>($L441-$M441)-($N441-$O441)</f>
        <v/>
      </c>
      <c r="R441" s="62">
        <f>$L441-$N441</f>
        <v/>
      </c>
    </row>
    <row r="442">
      <c r="A442" s="59">
        <f>ROW()-5</f>
        <v/>
      </c>
      <c r="B442" s="60">
        <f>IFERROR(INDEX(tbl_Finance[Date],$A442),"")</f>
        <v/>
      </c>
      <c r="C442" s="61">
        <f>IFERROR(INDEX(tbl_Finance[Xero Invoice No],$A442),"")</f>
        <v/>
      </c>
      <c r="D442" s="61">
        <f>IFERROR(INDEX(tbl_Finance[Client],$A442),"")</f>
        <v/>
      </c>
      <c r="E442" s="61">
        <f>IFERROR(INDEX(tbl_Finance[Job Number],$A442),"")</f>
        <v/>
      </c>
      <c r="F442" s="61">
        <f>IFERROR(INDEX(tbl_Finance[Cost Centre],$A442),"")</f>
        <v/>
      </c>
      <c r="G442" s="62">
        <f>IFERROR(INDEX(tbl_Finance[Ex GST],$A442),"")</f>
        <v/>
      </c>
      <c r="H442" s="60">
        <f>IFERROR(INDEX(tbl_Finance[Defer Start],$A442),"")</f>
        <v/>
      </c>
      <c r="I442" s="60">
        <f>IFERROR(INDEX(tbl_Finance[Defer End],$A442),"")</f>
        <v/>
      </c>
      <c r="J442" s="59">
        <f>IF(OR($H442="",$I442="",$G442=""),"",MAX(1,(YEAR($I442)-YEAR($H442))*12+MONTH($I442)-MONTH($H442)+1))</f>
        <v/>
      </c>
      <c r="K442" s="62">
        <f>IF($J442="","",$G442/$J442)</f>
        <v/>
      </c>
      <c r="L442" s="62">
        <f>IF($J442="",0,$K442*MAX(0,MIN(YEAR($C$3)*12+MONTH($C$3),YEAR($I442)*12+MONTH($I442))-(YEAR($H442)*12+MONTH($H442))+1))</f>
        <v/>
      </c>
      <c r="M442" s="62">
        <f>IF($J442="",0,$K442*MAX(0,MIN(YEAR($C$3)*12+MONTH($C$3)-1,YEAR($I442)*12+MONTH($I442))-(YEAR($H442)*12+MONTH($H442))+1))</f>
        <v/>
      </c>
      <c r="N442" s="62">
        <f>IF(OR($J442="",$B442=""),0,IF(YEAR($B442)*12+MONTH($B442)&lt;=YEAR($C$3)*12+MONTH($C$3),$G442,0))</f>
        <v/>
      </c>
      <c r="O442" s="62">
        <f>IF(OR($J442="",$B442=""),0,IF(YEAR($B442)*12+MONTH($B442)&lt;=YEAR($C$3)*12+MONTH($C$3)-1,$G442,0))</f>
        <v/>
      </c>
      <c r="P442" s="62">
        <f>$M442-$O442</f>
        <v/>
      </c>
      <c r="Q442" s="62">
        <f>($L442-$M442)-($N442-$O442)</f>
        <v/>
      </c>
      <c r="R442" s="62">
        <f>$L442-$N442</f>
        <v/>
      </c>
    </row>
    <row r="443">
      <c r="A443" s="59">
        <f>ROW()-5</f>
        <v/>
      </c>
      <c r="B443" s="60">
        <f>IFERROR(INDEX(tbl_Finance[Date],$A443),"")</f>
        <v/>
      </c>
      <c r="C443" s="61">
        <f>IFERROR(INDEX(tbl_Finance[Xero Invoice No],$A443),"")</f>
        <v/>
      </c>
      <c r="D443" s="61">
        <f>IFERROR(INDEX(tbl_Finance[Client],$A443),"")</f>
        <v/>
      </c>
      <c r="E443" s="61">
        <f>IFERROR(INDEX(tbl_Finance[Job Number],$A443),"")</f>
        <v/>
      </c>
      <c r="F443" s="61">
        <f>IFERROR(INDEX(tbl_Finance[Cost Centre],$A443),"")</f>
        <v/>
      </c>
      <c r="G443" s="62">
        <f>IFERROR(INDEX(tbl_Finance[Ex GST],$A443),"")</f>
        <v/>
      </c>
      <c r="H443" s="60">
        <f>IFERROR(INDEX(tbl_Finance[Defer Start],$A443),"")</f>
        <v/>
      </c>
      <c r="I443" s="60">
        <f>IFERROR(INDEX(tbl_Finance[Defer End],$A443),"")</f>
        <v/>
      </c>
      <c r="J443" s="59">
        <f>IF(OR($H443="",$I443="",$G443=""),"",MAX(1,(YEAR($I443)-YEAR($H443))*12+MONTH($I443)-MONTH($H443)+1))</f>
        <v/>
      </c>
      <c r="K443" s="62">
        <f>IF($J443="","",$G443/$J443)</f>
        <v/>
      </c>
      <c r="L443" s="62">
        <f>IF($J443="",0,$K443*MAX(0,MIN(YEAR($C$3)*12+MONTH($C$3),YEAR($I443)*12+MONTH($I443))-(YEAR($H443)*12+MONTH($H443))+1))</f>
        <v/>
      </c>
      <c r="M443" s="62">
        <f>IF($J443="",0,$K443*MAX(0,MIN(YEAR($C$3)*12+MONTH($C$3)-1,YEAR($I443)*12+MONTH($I443))-(YEAR($H443)*12+MONTH($H443))+1))</f>
        <v/>
      </c>
      <c r="N443" s="62">
        <f>IF(OR($J443="",$B443=""),0,IF(YEAR($B443)*12+MONTH($B443)&lt;=YEAR($C$3)*12+MONTH($C$3),$G443,0))</f>
        <v/>
      </c>
      <c r="O443" s="62">
        <f>IF(OR($J443="",$B443=""),0,IF(YEAR($B443)*12+MONTH($B443)&lt;=YEAR($C$3)*12+MONTH($C$3)-1,$G443,0))</f>
        <v/>
      </c>
      <c r="P443" s="62">
        <f>$M443-$O443</f>
        <v/>
      </c>
      <c r="Q443" s="62">
        <f>($L443-$M443)-($N443-$O443)</f>
        <v/>
      </c>
      <c r="R443" s="62">
        <f>$L443-$N443</f>
        <v/>
      </c>
    </row>
    <row r="444">
      <c r="A444" s="59">
        <f>ROW()-5</f>
        <v/>
      </c>
      <c r="B444" s="60">
        <f>IFERROR(INDEX(tbl_Finance[Date],$A444),"")</f>
        <v/>
      </c>
      <c r="C444" s="61">
        <f>IFERROR(INDEX(tbl_Finance[Xero Invoice No],$A444),"")</f>
        <v/>
      </c>
      <c r="D444" s="61">
        <f>IFERROR(INDEX(tbl_Finance[Client],$A444),"")</f>
        <v/>
      </c>
      <c r="E444" s="61">
        <f>IFERROR(INDEX(tbl_Finance[Job Number],$A444),"")</f>
        <v/>
      </c>
      <c r="F444" s="61">
        <f>IFERROR(INDEX(tbl_Finance[Cost Centre],$A444),"")</f>
        <v/>
      </c>
      <c r="G444" s="62">
        <f>IFERROR(INDEX(tbl_Finance[Ex GST],$A444),"")</f>
        <v/>
      </c>
      <c r="H444" s="60">
        <f>IFERROR(INDEX(tbl_Finance[Defer Start],$A444),"")</f>
        <v/>
      </c>
      <c r="I444" s="60">
        <f>IFERROR(INDEX(tbl_Finance[Defer End],$A444),"")</f>
        <v/>
      </c>
      <c r="J444" s="59">
        <f>IF(OR($H444="",$I444="",$G444=""),"",MAX(1,(YEAR($I444)-YEAR($H444))*12+MONTH($I444)-MONTH($H444)+1))</f>
        <v/>
      </c>
      <c r="K444" s="62">
        <f>IF($J444="","",$G444/$J444)</f>
        <v/>
      </c>
      <c r="L444" s="62">
        <f>IF($J444="",0,$K444*MAX(0,MIN(YEAR($C$3)*12+MONTH($C$3),YEAR($I444)*12+MONTH($I444))-(YEAR($H444)*12+MONTH($H444))+1))</f>
        <v/>
      </c>
      <c r="M444" s="62">
        <f>IF($J444="",0,$K444*MAX(0,MIN(YEAR($C$3)*12+MONTH($C$3)-1,YEAR($I444)*12+MONTH($I444))-(YEAR($H444)*12+MONTH($H444))+1))</f>
        <v/>
      </c>
      <c r="N444" s="62">
        <f>IF(OR($J444="",$B444=""),0,IF(YEAR($B444)*12+MONTH($B444)&lt;=YEAR($C$3)*12+MONTH($C$3),$G444,0))</f>
        <v/>
      </c>
      <c r="O444" s="62">
        <f>IF(OR($J444="",$B444=""),0,IF(YEAR($B444)*12+MONTH($B444)&lt;=YEAR($C$3)*12+MONTH($C$3)-1,$G444,0))</f>
        <v/>
      </c>
      <c r="P444" s="62">
        <f>$M444-$O444</f>
        <v/>
      </c>
      <c r="Q444" s="62">
        <f>($L444-$M444)-($N444-$O444)</f>
        <v/>
      </c>
      <c r="R444" s="62">
        <f>$L444-$N444</f>
        <v/>
      </c>
    </row>
    <row r="445">
      <c r="A445" s="59">
        <f>ROW()-5</f>
        <v/>
      </c>
      <c r="B445" s="60">
        <f>IFERROR(INDEX(tbl_Finance[Date],$A445),"")</f>
        <v/>
      </c>
      <c r="C445" s="61">
        <f>IFERROR(INDEX(tbl_Finance[Xero Invoice No],$A445),"")</f>
        <v/>
      </c>
      <c r="D445" s="61">
        <f>IFERROR(INDEX(tbl_Finance[Client],$A445),"")</f>
        <v/>
      </c>
      <c r="E445" s="61">
        <f>IFERROR(INDEX(tbl_Finance[Job Number],$A445),"")</f>
        <v/>
      </c>
      <c r="F445" s="61">
        <f>IFERROR(INDEX(tbl_Finance[Cost Centre],$A445),"")</f>
        <v/>
      </c>
      <c r="G445" s="62">
        <f>IFERROR(INDEX(tbl_Finance[Ex GST],$A445),"")</f>
        <v/>
      </c>
      <c r="H445" s="60">
        <f>IFERROR(INDEX(tbl_Finance[Defer Start],$A445),"")</f>
        <v/>
      </c>
      <c r="I445" s="60">
        <f>IFERROR(INDEX(tbl_Finance[Defer End],$A445),"")</f>
        <v/>
      </c>
      <c r="J445" s="59">
        <f>IF(OR($H445="",$I445="",$G445=""),"",MAX(1,(YEAR($I445)-YEAR($H445))*12+MONTH($I445)-MONTH($H445)+1))</f>
        <v/>
      </c>
      <c r="K445" s="62">
        <f>IF($J445="","",$G445/$J445)</f>
        <v/>
      </c>
      <c r="L445" s="62">
        <f>IF($J445="",0,$K445*MAX(0,MIN(YEAR($C$3)*12+MONTH($C$3),YEAR($I445)*12+MONTH($I445))-(YEAR($H445)*12+MONTH($H445))+1))</f>
        <v/>
      </c>
      <c r="M445" s="62">
        <f>IF($J445="",0,$K445*MAX(0,MIN(YEAR($C$3)*12+MONTH($C$3)-1,YEAR($I445)*12+MONTH($I445))-(YEAR($H445)*12+MONTH($H445))+1))</f>
        <v/>
      </c>
      <c r="N445" s="62">
        <f>IF(OR($J445="",$B445=""),0,IF(YEAR($B445)*12+MONTH($B445)&lt;=YEAR($C$3)*12+MONTH($C$3),$G445,0))</f>
        <v/>
      </c>
      <c r="O445" s="62">
        <f>IF(OR($J445="",$B445=""),0,IF(YEAR($B445)*12+MONTH($B445)&lt;=YEAR($C$3)*12+MONTH($C$3)-1,$G445,0))</f>
        <v/>
      </c>
      <c r="P445" s="62">
        <f>$M445-$O445</f>
        <v/>
      </c>
      <c r="Q445" s="62">
        <f>($L445-$M445)-($N445-$O445)</f>
        <v/>
      </c>
      <c r="R445" s="62">
        <f>$L445-$N445</f>
        <v/>
      </c>
    </row>
    <row r="446">
      <c r="A446" s="59">
        <f>ROW()-5</f>
        <v/>
      </c>
      <c r="B446" s="60">
        <f>IFERROR(INDEX(tbl_Finance[Date],$A446),"")</f>
        <v/>
      </c>
      <c r="C446" s="61">
        <f>IFERROR(INDEX(tbl_Finance[Xero Invoice No],$A446),"")</f>
        <v/>
      </c>
      <c r="D446" s="61">
        <f>IFERROR(INDEX(tbl_Finance[Client],$A446),"")</f>
        <v/>
      </c>
      <c r="E446" s="61">
        <f>IFERROR(INDEX(tbl_Finance[Job Number],$A446),"")</f>
        <v/>
      </c>
      <c r="F446" s="61">
        <f>IFERROR(INDEX(tbl_Finance[Cost Centre],$A446),"")</f>
        <v/>
      </c>
      <c r="G446" s="62">
        <f>IFERROR(INDEX(tbl_Finance[Ex GST],$A446),"")</f>
        <v/>
      </c>
      <c r="H446" s="60">
        <f>IFERROR(INDEX(tbl_Finance[Defer Start],$A446),"")</f>
        <v/>
      </c>
      <c r="I446" s="60">
        <f>IFERROR(INDEX(tbl_Finance[Defer End],$A446),"")</f>
        <v/>
      </c>
      <c r="J446" s="59">
        <f>IF(OR($H446="",$I446="",$G446=""),"",MAX(1,(YEAR($I446)-YEAR($H446))*12+MONTH($I446)-MONTH($H446)+1))</f>
        <v/>
      </c>
      <c r="K446" s="62">
        <f>IF($J446="","",$G446/$J446)</f>
        <v/>
      </c>
      <c r="L446" s="62">
        <f>IF($J446="",0,$K446*MAX(0,MIN(YEAR($C$3)*12+MONTH($C$3),YEAR($I446)*12+MONTH($I446))-(YEAR($H446)*12+MONTH($H446))+1))</f>
        <v/>
      </c>
      <c r="M446" s="62">
        <f>IF($J446="",0,$K446*MAX(0,MIN(YEAR($C$3)*12+MONTH($C$3)-1,YEAR($I446)*12+MONTH($I446))-(YEAR($H446)*12+MONTH($H446))+1))</f>
        <v/>
      </c>
      <c r="N446" s="62">
        <f>IF(OR($J446="",$B446=""),0,IF(YEAR($B446)*12+MONTH($B446)&lt;=YEAR($C$3)*12+MONTH($C$3),$G446,0))</f>
        <v/>
      </c>
      <c r="O446" s="62">
        <f>IF(OR($J446="",$B446=""),0,IF(YEAR($B446)*12+MONTH($B446)&lt;=YEAR($C$3)*12+MONTH($C$3)-1,$G446,0))</f>
        <v/>
      </c>
      <c r="P446" s="62">
        <f>$M446-$O446</f>
        <v/>
      </c>
      <c r="Q446" s="62">
        <f>($L446-$M446)-($N446-$O446)</f>
        <v/>
      </c>
      <c r="R446" s="62">
        <f>$L446-$N446</f>
        <v/>
      </c>
    </row>
    <row r="447">
      <c r="A447" s="59">
        <f>ROW()-5</f>
        <v/>
      </c>
      <c r="B447" s="60">
        <f>IFERROR(INDEX(tbl_Finance[Date],$A447),"")</f>
        <v/>
      </c>
      <c r="C447" s="61">
        <f>IFERROR(INDEX(tbl_Finance[Xero Invoice No],$A447),"")</f>
        <v/>
      </c>
      <c r="D447" s="61">
        <f>IFERROR(INDEX(tbl_Finance[Client],$A447),"")</f>
        <v/>
      </c>
      <c r="E447" s="61">
        <f>IFERROR(INDEX(tbl_Finance[Job Number],$A447),"")</f>
        <v/>
      </c>
      <c r="F447" s="61">
        <f>IFERROR(INDEX(tbl_Finance[Cost Centre],$A447),"")</f>
        <v/>
      </c>
      <c r="G447" s="62">
        <f>IFERROR(INDEX(tbl_Finance[Ex GST],$A447),"")</f>
        <v/>
      </c>
      <c r="H447" s="60">
        <f>IFERROR(INDEX(tbl_Finance[Defer Start],$A447),"")</f>
        <v/>
      </c>
      <c r="I447" s="60">
        <f>IFERROR(INDEX(tbl_Finance[Defer End],$A447),"")</f>
        <v/>
      </c>
      <c r="J447" s="59">
        <f>IF(OR($H447="",$I447="",$G447=""),"",MAX(1,(YEAR($I447)-YEAR($H447))*12+MONTH($I447)-MONTH($H447)+1))</f>
        <v/>
      </c>
      <c r="K447" s="62">
        <f>IF($J447="","",$G447/$J447)</f>
        <v/>
      </c>
      <c r="L447" s="62">
        <f>IF($J447="",0,$K447*MAX(0,MIN(YEAR($C$3)*12+MONTH($C$3),YEAR($I447)*12+MONTH($I447))-(YEAR($H447)*12+MONTH($H447))+1))</f>
        <v/>
      </c>
      <c r="M447" s="62">
        <f>IF($J447="",0,$K447*MAX(0,MIN(YEAR($C$3)*12+MONTH($C$3)-1,YEAR($I447)*12+MONTH($I447))-(YEAR($H447)*12+MONTH($H447))+1))</f>
        <v/>
      </c>
      <c r="N447" s="62">
        <f>IF(OR($J447="",$B447=""),0,IF(YEAR($B447)*12+MONTH($B447)&lt;=YEAR($C$3)*12+MONTH($C$3),$G447,0))</f>
        <v/>
      </c>
      <c r="O447" s="62">
        <f>IF(OR($J447="",$B447=""),0,IF(YEAR($B447)*12+MONTH($B447)&lt;=YEAR($C$3)*12+MONTH($C$3)-1,$G447,0))</f>
        <v/>
      </c>
      <c r="P447" s="62">
        <f>$M447-$O447</f>
        <v/>
      </c>
      <c r="Q447" s="62">
        <f>($L447-$M447)-($N447-$O447)</f>
        <v/>
      </c>
      <c r="R447" s="62">
        <f>$L447-$N447</f>
        <v/>
      </c>
    </row>
    <row r="448">
      <c r="A448" s="59">
        <f>ROW()-5</f>
        <v/>
      </c>
      <c r="B448" s="60">
        <f>IFERROR(INDEX(tbl_Finance[Date],$A448),"")</f>
        <v/>
      </c>
      <c r="C448" s="61">
        <f>IFERROR(INDEX(tbl_Finance[Xero Invoice No],$A448),"")</f>
        <v/>
      </c>
      <c r="D448" s="61">
        <f>IFERROR(INDEX(tbl_Finance[Client],$A448),"")</f>
        <v/>
      </c>
      <c r="E448" s="61">
        <f>IFERROR(INDEX(tbl_Finance[Job Number],$A448),"")</f>
        <v/>
      </c>
      <c r="F448" s="61">
        <f>IFERROR(INDEX(tbl_Finance[Cost Centre],$A448),"")</f>
        <v/>
      </c>
      <c r="G448" s="62">
        <f>IFERROR(INDEX(tbl_Finance[Ex GST],$A448),"")</f>
        <v/>
      </c>
      <c r="H448" s="60">
        <f>IFERROR(INDEX(tbl_Finance[Defer Start],$A448),"")</f>
        <v/>
      </c>
      <c r="I448" s="60">
        <f>IFERROR(INDEX(tbl_Finance[Defer End],$A448),"")</f>
        <v/>
      </c>
      <c r="J448" s="59">
        <f>IF(OR($H448="",$I448="",$G448=""),"",MAX(1,(YEAR($I448)-YEAR($H448))*12+MONTH($I448)-MONTH($H448)+1))</f>
        <v/>
      </c>
      <c r="K448" s="62">
        <f>IF($J448="","",$G448/$J448)</f>
        <v/>
      </c>
      <c r="L448" s="62">
        <f>IF($J448="",0,$K448*MAX(0,MIN(YEAR($C$3)*12+MONTH($C$3),YEAR($I448)*12+MONTH($I448))-(YEAR($H448)*12+MONTH($H448))+1))</f>
        <v/>
      </c>
      <c r="M448" s="62">
        <f>IF($J448="",0,$K448*MAX(0,MIN(YEAR($C$3)*12+MONTH($C$3)-1,YEAR($I448)*12+MONTH($I448))-(YEAR($H448)*12+MONTH($H448))+1))</f>
        <v/>
      </c>
      <c r="N448" s="62">
        <f>IF(OR($J448="",$B448=""),0,IF(YEAR($B448)*12+MONTH($B448)&lt;=YEAR($C$3)*12+MONTH($C$3),$G448,0))</f>
        <v/>
      </c>
      <c r="O448" s="62">
        <f>IF(OR($J448="",$B448=""),0,IF(YEAR($B448)*12+MONTH($B448)&lt;=YEAR($C$3)*12+MONTH($C$3)-1,$G448,0))</f>
        <v/>
      </c>
      <c r="P448" s="62">
        <f>$M448-$O448</f>
        <v/>
      </c>
      <c r="Q448" s="62">
        <f>($L448-$M448)-($N448-$O448)</f>
        <v/>
      </c>
      <c r="R448" s="62">
        <f>$L448-$N448</f>
        <v/>
      </c>
    </row>
    <row r="449">
      <c r="A449" s="59">
        <f>ROW()-5</f>
        <v/>
      </c>
      <c r="B449" s="60">
        <f>IFERROR(INDEX(tbl_Finance[Date],$A449),"")</f>
        <v/>
      </c>
      <c r="C449" s="61">
        <f>IFERROR(INDEX(tbl_Finance[Xero Invoice No],$A449),"")</f>
        <v/>
      </c>
      <c r="D449" s="61">
        <f>IFERROR(INDEX(tbl_Finance[Client],$A449),"")</f>
        <v/>
      </c>
      <c r="E449" s="61">
        <f>IFERROR(INDEX(tbl_Finance[Job Number],$A449),"")</f>
        <v/>
      </c>
      <c r="F449" s="61">
        <f>IFERROR(INDEX(tbl_Finance[Cost Centre],$A449),"")</f>
        <v/>
      </c>
      <c r="G449" s="62">
        <f>IFERROR(INDEX(tbl_Finance[Ex GST],$A449),"")</f>
        <v/>
      </c>
      <c r="H449" s="60">
        <f>IFERROR(INDEX(tbl_Finance[Defer Start],$A449),"")</f>
        <v/>
      </c>
      <c r="I449" s="60">
        <f>IFERROR(INDEX(tbl_Finance[Defer End],$A449),"")</f>
        <v/>
      </c>
      <c r="J449" s="59">
        <f>IF(OR($H449="",$I449="",$G449=""),"",MAX(1,(YEAR($I449)-YEAR($H449))*12+MONTH($I449)-MONTH($H449)+1))</f>
        <v/>
      </c>
      <c r="K449" s="62">
        <f>IF($J449="","",$G449/$J449)</f>
        <v/>
      </c>
      <c r="L449" s="62">
        <f>IF($J449="",0,$K449*MAX(0,MIN(YEAR($C$3)*12+MONTH($C$3),YEAR($I449)*12+MONTH($I449))-(YEAR($H449)*12+MONTH($H449))+1))</f>
        <v/>
      </c>
      <c r="M449" s="62">
        <f>IF($J449="",0,$K449*MAX(0,MIN(YEAR($C$3)*12+MONTH($C$3)-1,YEAR($I449)*12+MONTH($I449))-(YEAR($H449)*12+MONTH($H449))+1))</f>
        <v/>
      </c>
      <c r="N449" s="62">
        <f>IF(OR($J449="",$B449=""),0,IF(YEAR($B449)*12+MONTH($B449)&lt;=YEAR($C$3)*12+MONTH($C$3),$G449,0))</f>
        <v/>
      </c>
      <c r="O449" s="62">
        <f>IF(OR($J449="",$B449=""),0,IF(YEAR($B449)*12+MONTH($B449)&lt;=YEAR($C$3)*12+MONTH($C$3)-1,$G449,0))</f>
        <v/>
      </c>
      <c r="P449" s="62">
        <f>$M449-$O449</f>
        <v/>
      </c>
      <c r="Q449" s="62">
        <f>($L449-$M449)-($N449-$O449)</f>
        <v/>
      </c>
      <c r="R449" s="62">
        <f>$L449-$N449</f>
        <v/>
      </c>
    </row>
    <row r="450">
      <c r="A450" s="59">
        <f>ROW()-5</f>
        <v/>
      </c>
      <c r="B450" s="60">
        <f>IFERROR(INDEX(tbl_Finance[Date],$A450),"")</f>
        <v/>
      </c>
      <c r="C450" s="61">
        <f>IFERROR(INDEX(tbl_Finance[Xero Invoice No],$A450),"")</f>
        <v/>
      </c>
      <c r="D450" s="61">
        <f>IFERROR(INDEX(tbl_Finance[Client],$A450),"")</f>
        <v/>
      </c>
      <c r="E450" s="61">
        <f>IFERROR(INDEX(tbl_Finance[Job Number],$A450),"")</f>
        <v/>
      </c>
      <c r="F450" s="61">
        <f>IFERROR(INDEX(tbl_Finance[Cost Centre],$A450),"")</f>
        <v/>
      </c>
      <c r="G450" s="62">
        <f>IFERROR(INDEX(tbl_Finance[Ex GST],$A450),"")</f>
        <v/>
      </c>
      <c r="H450" s="60">
        <f>IFERROR(INDEX(tbl_Finance[Defer Start],$A450),"")</f>
        <v/>
      </c>
      <c r="I450" s="60">
        <f>IFERROR(INDEX(tbl_Finance[Defer End],$A450),"")</f>
        <v/>
      </c>
      <c r="J450" s="59">
        <f>IF(OR($H450="",$I450="",$G450=""),"",MAX(1,(YEAR($I450)-YEAR($H450))*12+MONTH($I450)-MONTH($H450)+1))</f>
        <v/>
      </c>
      <c r="K450" s="62">
        <f>IF($J450="","",$G450/$J450)</f>
        <v/>
      </c>
      <c r="L450" s="62">
        <f>IF($J450="",0,$K450*MAX(0,MIN(YEAR($C$3)*12+MONTH($C$3),YEAR($I450)*12+MONTH($I450))-(YEAR($H450)*12+MONTH($H450))+1))</f>
        <v/>
      </c>
      <c r="M450" s="62">
        <f>IF($J450="",0,$K450*MAX(0,MIN(YEAR($C$3)*12+MONTH($C$3)-1,YEAR($I450)*12+MONTH($I450))-(YEAR($H450)*12+MONTH($H450))+1))</f>
        <v/>
      </c>
      <c r="N450" s="62">
        <f>IF(OR($J450="",$B450=""),0,IF(YEAR($B450)*12+MONTH($B450)&lt;=YEAR($C$3)*12+MONTH($C$3),$G450,0))</f>
        <v/>
      </c>
      <c r="O450" s="62">
        <f>IF(OR($J450="",$B450=""),0,IF(YEAR($B450)*12+MONTH($B450)&lt;=YEAR($C$3)*12+MONTH($C$3)-1,$G450,0))</f>
        <v/>
      </c>
      <c r="P450" s="62">
        <f>$M450-$O450</f>
        <v/>
      </c>
      <c r="Q450" s="62">
        <f>($L450-$M450)-($N450-$O450)</f>
        <v/>
      </c>
      <c r="R450" s="62">
        <f>$L450-$N450</f>
        <v/>
      </c>
    </row>
    <row r="451">
      <c r="A451" s="59">
        <f>ROW()-5</f>
        <v/>
      </c>
      <c r="B451" s="60">
        <f>IFERROR(INDEX(tbl_Finance[Date],$A451),"")</f>
        <v/>
      </c>
      <c r="C451" s="61">
        <f>IFERROR(INDEX(tbl_Finance[Xero Invoice No],$A451),"")</f>
        <v/>
      </c>
      <c r="D451" s="61">
        <f>IFERROR(INDEX(tbl_Finance[Client],$A451),"")</f>
        <v/>
      </c>
      <c r="E451" s="61">
        <f>IFERROR(INDEX(tbl_Finance[Job Number],$A451),"")</f>
        <v/>
      </c>
      <c r="F451" s="61">
        <f>IFERROR(INDEX(tbl_Finance[Cost Centre],$A451),"")</f>
        <v/>
      </c>
      <c r="G451" s="62">
        <f>IFERROR(INDEX(tbl_Finance[Ex GST],$A451),"")</f>
        <v/>
      </c>
      <c r="H451" s="60">
        <f>IFERROR(INDEX(tbl_Finance[Defer Start],$A451),"")</f>
        <v/>
      </c>
      <c r="I451" s="60">
        <f>IFERROR(INDEX(tbl_Finance[Defer End],$A451),"")</f>
        <v/>
      </c>
      <c r="J451" s="59">
        <f>IF(OR($H451="",$I451="",$G451=""),"",MAX(1,(YEAR($I451)-YEAR($H451))*12+MONTH($I451)-MONTH($H451)+1))</f>
        <v/>
      </c>
      <c r="K451" s="62">
        <f>IF($J451="","",$G451/$J451)</f>
        <v/>
      </c>
      <c r="L451" s="62">
        <f>IF($J451="",0,$K451*MAX(0,MIN(YEAR($C$3)*12+MONTH($C$3),YEAR($I451)*12+MONTH($I451))-(YEAR($H451)*12+MONTH($H451))+1))</f>
        <v/>
      </c>
      <c r="M451" s="62">
        <f>IF($J451="",0,$K451*MAX(0,MIN(YEAR($C$3)*12+MONTH($C$3)-1,YEAR($I451)*12+MONTH($I451))-(YEAR($H451)*12+MONTH($H451))+1))</f>
        <v/>
      </c>
      <c r="N451" s="62">
        <f>IF(OR($J451="",$B451=""),0,IF(YEAR($B451)*12+MONTH($B451)&lt;=YEAR($C$3)*12+MONTH($C$3),$G451,0))</f>
        <v/>
      </c>
      <c r="O451" s="62">
        <f>IF(OR($J451="",$B451=""),0,IF(YEAR($B451)*12+MONTH($B451)&lt;=YEAR($C$3)*12+MONTH($C$3)-1,$G451,0))</f>
        <v/>
      </c>
      <c r="P451" s="62">
        <f>$M451-$O451</f>
        <v/>
      </c>
      <c r="Q451" s="62">
        <f>($L451-$M451)-($N451-$O451)</f>
        <v/>
      </c>
      <c r="R451" s="62">
        <f>$L451-$N451</f>
        <v/>
      </c>
    </row>
    <row r="452">
      <c r="A452" s="59">
        <f>ROW()-5</f>
        <v/>
      </c>
      <c r="B452" s="60">
        <f>IFERROR(INDEX(tbl_Finance[Date],$A452),"")</f>
        <v/>
      </c>
      <c r="C452" s="61">
        <f>IFERROR(INDEX(tbl_Finance[Xero Invoice No],$A452),"")</f>
        <v/>
      </c>
      <c r="D452" s="61">
        <f>IFERROR(INDEX(tbl_Finance[Client],$A452),"")</f>
        <v/>
      </c>
      <c r="E452" s="61">
        <f>IFERROR(INDEX(tbl_Finance[Job Number],$A452),"")</f>
        <v/>
      </c>
      <c r="F452" s="61">
        <f>IFERROR(INDEX(tbl_Finance[Cost Centre],$A452),"")</f>
        <v/>
      </c>
      <c r="G452" s="62">
        <f>IFERROR(INDEX(tbl_Finance[Ex GST],$A452),"")</f>
        <v/>
      </c>
      <c r="H452" s="60">
        <f>IFERROR(INDEX(tbl_Finance[Defer Start],$A452),"")</f>
        <v/>
      </c>
      <c r="I452" s="60">
        <f>IFERROR(INDEX(tbl_Finance[Defer End],$A452),"")</f>
        <v/>
      </c>
      <c r="J452" s="59">
        <f>IF(OR($H452="",$I452="",$G452=""),"",MAX(1,(YEAR($I452)-YEAR($H452))*12+MONTH($I452)-MONTH($H452)+1))</f>
        <v/>
      </c>
      <c r="K452" s="62">
        <f>IF($J452="","",$G452/$J452)</f>
        <v/>
      </c>
      <c r="L452" s="62">
        <f>IF($J452="",0,$K452*MAX(0,MIN(YEAR($C$3)*12+MONTH($C$3),YEAR($I452)*12+MONTH($I452))-(YEAR($H452)*12+MONTH($H452))+1))</f>
        <v/>
      </c>
      <c r="M452" s="62">
        <f>IF($J452="",0,$K452*MAX(0,MIN(YEAR($C$3)*12+MONTH($C$3)-1,YEAR($I452)*12+MONTH($I452))-(YEAR($H452)*12+MONTH($H452))+1))</f>
        <v/>
      </c>
      <c r="N452" s="62">
        <f>IF(OR($J452="",$B452=""),0,IF(YEAR($B452)*12+MONTH($B452)&lt;=YEAR($C$3)*12+MONTH($C$3),$G452,0))</f>
        <v/>
      </c>
      <c r="O452" s="62">
        <f>IF(OR($J452="",$B452=""),0,IF(YEAR($B452)*12+MONTH($B452)&lt;=YEAR($C$3)*12+MONTH($C$3)-1,$G452,0))</f>
        <v/>
      </c>
      <c r="P452" s="62">
        <f>$M452-$O452</f>
        <v/>
      </c>
      <c r="Q452" s="62">
        <f>($L452-$M452)-($N452-$O452)</f>
        <v/>
      </c>
      <c r="R452" s="62">
        <f>$L452-$N452</f>
        <v/>
      </c>
    </row>
    <row r="453">
      <c r="A453" s="59">
        <f>ROW()-5</f>
        <v/>
      </c>
      <c r="B453" s="60">
        <f>IFERROR(INDEX(tbl_Finance[Date],$A453),"")</f>
        <v/>
      </c>
      <c r="C453" s="61">
        <f>IFERROR(INDEX(tbl_Finance[Xero Invoice No],$A453),"")</f>
        <v/>
      </c>
      <c r="D453" s="61">
        <f>IFERROR(INDEX(tbl_Finance[Client],$A453),"")</f>
        <v/>
      </c>
      <c r="E453" s="61">
        <f>IFERROR(INDEX(tbl_Finance[Job Number],$A453),"")</f>
        <v/>
      </c>
      <c r="F453" s="61">
        <f>IFERROR(INDEX(tbl_Finance[Cost Centre],$A453),"")</f>
        <v/>
      </c>
      <c r="G453" s="62">
        <f>IFERROR(INDEX(tbl_Finance[Ex GST],$A453),"")</f>
        <v/>
      </c>
      <c r="H453" s="60">
        <f>IFERROR(INDEX(tbl_Finance[Defer Start],$A453),"")</f>
        <v/>
      </c>
      <c r="I453" s="60">
        <f>IFERROR(INDEX(tbl_Finance[Defer End],$A453),"")</f>
        <v/>
      </c>
      <c r="J453" s="59">
        <f>IF(OR($H453="",$I453="",$G453=""),"",MAX(1,(YEAR($I453)-YEAR($H453))*12+MONTH($I453)-MONTH($H453)+1))</f>
        <v/>
      </c>
      <c r="K453" s="62">
        <f>IF($J453="","",$G453/$J453)</f>
        <v/>
      </c>
      <c r="L453" s="62">
        <f>IF($J453="",0,$K453*MAX(0,MIN(YEAR($C$3)*12+MONTH($C$3),YEAR($I453)*12+MONTH($I453))-(YEAR($H453)*12+MONTH($H453))+1))</f>
        <v/>
      </c>
      <c r="M453" s="62">
        <f>IF($J453="",0,$K453*MAX(0,MIN(YEAR($C$3)*12+MONTH($C$3)-1,YEAR($I453)*12+MONTH($I453))-(YEAR($H453)*12+MONTH($H453))+1))</f>
        <v/>
      </c>
      <c r="N453" s="62">
        <f>IF(OR($J453="",$B453=""),0,IF(YEAR($B453)*12+MONTH($B453)&lt;=YEAR($C$3)*12+MONTH($C$3),$G453,0))</f>
        <v/>
      </c>
      <c r="O453" s="62">
        <f>IF(OR($J453="",$B453=""),0,IF(YEAR($B453)*12+MONTH($B453)&lt;=YEAR($C$3)*12+MONTH($C$3)-1,$G453,0))</f>
        <v/>
      </c>
      <c r="P453" s="62">
        <f>$M453-$O453</f>
        <v/>
      </c>
      <c r="Q453" s="62">
        <f>($L453-$M453)-($N453-$O453)</f>
        <v/>
      </c>
      <c r="R453" s="62">
        <f>$L453-$N453</f>
        <v/>
      </c>
    </row>
    <row r="454">
      <c r="A454" s="59">
        <f>ROW()-5</f>
        <v/>
      </c>
      <c r="B454" s="60">
        <f>IFERROR(INDEX(tbl_Finance[Date],$A454),"")</f>
        <v/>
      </c>
      <c r="C454" s="61">
        <f>IFERROR(INDEX(tbl_Finance[Xero Invoice No],$A454),"")</f>
        <v/>
      </c>
      <c r="D454" s="61">
        <f>IFERROR(INDEX(tbl_Finance[Client],$A454),"")</f>
        <v/>
      </c>
      <c r="E454" s="61">
        <f>IFERROR(INDEX(tbl_Finance[Job Number],$A454),"")</f>
        <v/>
      </c>
      <c r="F454" s="61">
        <f>IFERROR(INDEX(tbl_Finance[Cost Centre],$A454),"")</f>
        <v/>
      </c>
      <c r="G454" s="62">
        <f>IFERROR(INDEX(tbl_Finance[Ex GST],$A454),"")</f>
        <v/>
      </c>
      <c r="H454" s="60">
        <f>IFERROR(INDEX(tbl_Finance[Defer Start],$A454),"")</f>
        <v/>
      </c>
      <c r="I454" s="60">
        <f>IFERROR(INDEX(tbl_Finance[Defer End],$A454),"")</f>
        <v/>
      </c>
      <c r="J454" s="59">
        <f>IF(OR($H454="",$I454="",$G454=""),"",MAX(1,(YEAR($I454)-YEAR($H454))*12+MONTH($I454)-MONTH($H454)+1))</f>
        <v/>
      </c>
      <c r="K454" s="62">
        <f>IF($J454="","",$G454/$J454)</f>
        <v/>
      </c>
      <c r="L454" s="62">
        <f>IF($J454="",0,$K454*MAX(0,MIN(YEAR($C$3)*12+MONTH($C$3),YEAR($I454)*12+MONTH($I454))-(YEAR($H454)*12+MONTH($H454))+1))</f>
        <v/>
      </c>
      <c r="M454" s="62">
        <f>IF($J454="",0,$K454*MAX(0,MIN(YEAR($C$3)*12+MONTH($C$3)-1,YEAR($I454)*12+MONTH($I454))-(YEAR($H454)*12+MONTH($H454))+1))</f>
        <v/>
      </c>
      <c r="N454" s="62">
        <f>IF(OR($J454="",$B454=""),0,IF(YEAR($B454)*12+MONTH($B454)&lt;=YEAR($C$3)*12+MONTH($C$3),$G454,0))</f>
        <v/>
      </c>
      <c r="O454" s="62">
        <f>IF(OR($J454="",$B454=""),0,IF(YEAR($B454)*12+MONTH($B454)&lt;=YEAR($C$3)*12+MONTH($C$3)-1,$G454,0))</f>
        <v/>
      </c>
      <c r="P454" s="62">
        <f>$M454-$O454</f>
        <v/>
      </c>
      <c r="Q454" s="62">
        <f>($L454-$M454)-($N454-$O454)</f>
        <v/>
      </c>
      <c r="R454" s="62">
        <f>$L454-$N454</f>
        <v/>
      </c>
    </row>
    <row r="455">
      <c r="A455" s="59">
        <f>ROW()-5</f>
        <v/>
      </c>
      <c r="B455" s="60">
        <f>IFERROR(INDEX(tbl_Finance[Date],$A455),"")</f>
        <v/>
      </c>
      <c r="C455" s="61">
        <f>IFERROR(INDEX(tbl_Finance[Xero Invoice No],$A455),"")</f>
        <v/>
      </c>
      <c r="D455" s="61">
        <f>IFERROR(INDEX(tbl_Finance[Client],$A455),"")</f>
        <v/>
      </c>
      <c r="E455" s="61">
        <f>IFERROR(INDEX(tbl_Finance[Job Number],$A455),"")</f>
        <v/>
      </c>
      <c r="F455" s="61">
        <f>IFERROR(INDEX(tbl_Finance[Cost Centre],$A455),"")</f>
        <v/>
      </c>
      <c r="G455" s="62">
        <f>IFERROR(INDEX(tbl_Finance[Ex GST],$A455),"")</f>
        <v/>
      </c>
      <c r="H455" s="60">
        <f>IFERROR(INDEX(tbl_Finance[Defer Start],$A455),"")</f>
        <v/>
      </c>
      <c r="I455" s="60">
        <f>IFERROR(INDEX(tbl_Finance[Defer End],$A455),"")</f>
        <v/>
      </c>
      <c r="J455" s="59">
        <f>IF(OR($H455="",$I455="",$G455=""),"",MAX(1,(YEAR($I455)-YEAR($H455))*12+MONTH($I455)-MONTH($H455)+1))</f>
        <v/>
      </c>
      <c r="K455" s="62">
        <f>IF($J455="","",$G455/$J455)</f>
        <v/>
      </c>
      <c r="L455" s="62">
        <f>IF($J455="",0,$K455*MAX(0,MIN(YEAR($C$3)*12+MONTH($C$3),YEAR($I455)*12+MONTH($I455))-(YEAR($H455)*12+MONTH($H455))+1))</f>
        <v/>
      </c>
      <c r="M455" s="62">
        <f>IF($J455="",0,$K455*MAX(0,MIN(YEAR($C$3)*12+MONTH($C$3)-1,YEAR($I455)*12+MONTH($I455))-(YEAR($H455)*12+MONTH($H455))+1))</f>
        <v/>
      </c>
      <c r="N455" s="62">
        <f>IF(OR($J455="",$B455=""),0,IF(YEAR($B455)*12+MONTH($B455)&lt;=YEAR($C$3)*12+MONTH($C$3),$G455,0))</f>
        <v/>
      </c>
      <c r="O455" s="62">
        <f>IF(OR($J455="",$B455=""),0,IF(YEAR($B455)*12+MONTH($B455)&lt;=YEAR($C$3)*12+MONTH($C$3)-1,$G455,0))</f>
        <v/>
      </c>
      <c r="P455" s="62">
        <f>$M455-$O455</f>
        <v/>
      </c>
      <c r="Q455" s="62">
        <f>($L455-$M455)-($N455-$O455)</f>
        <v/>
      </c>
      <c r="R455" s="62">
        <f>$L455-$N455</f>
        <v/>
      </c>
    </row>
    <row r="456">
      <c r="A456" s="59">
        <f>ROW()-5</f>
        <v/>
      </c>
      <c r="B456" s="60">
        <f>IFERROR(INDEX(tbl_Finance[Date],$A456),"")</f>
        <v/>
      </c>
      <c r="C456" s="61">
        <f>IFERROR(INDEX(tbl_Finance[Xero Invoice No],$A456),"")</f>
        <v/>
      </c>
      <c r="D456" s="61">
        <f>IFERROR(INDEX(tbl_Finance[Client],$A456),"")</f>
        <v/>
      </c>
      <c r="E456" s="61">
        <f>IFERROR(INDEX(tbl_Finance[Job Number],$A456),"")</f>
        <v/>
      </c>
      <c r="F456" s="61">
        <f>IFERROR(INDEX(tbl_Finance[Cost Centre],$A456),"")</f>
        <v/>
      </c>
      <c r="G456" s="62">
        <f>IFERROR(INDEX(tbl_Finance[Ex GST],$A456),"")</f>
        <v/>
      </c>
      <c r="H456" s="60">
        <f>IFERROR(INDEX(tbl_Finance[Defer Start],$A456),"")</f>
        <v/>
      </c>
      <c r="I456" s="60">
        <f>IFERROR(INDEX(tbl_Finance[Defer End],$A456),"")</f>
        <v/>
      </c>
      <c r="J456" s="59">
        <f>IF(OR($H456="",$I456="",$G456=""),"",MAX(1,(YEAR($I456)-YEAR($H456))*12+MONTH($I456)-MONTH($H456)+1))</f>
        <v/>
      </c>
      <c r="K456" s="62">
        <f>IF($J456="","",$G456/$J456)</f>
        <v/>
      </c>
      <c r="L456" s="62">
        <f>IF($J456="",0,$K456*MAX(0,MIN(YEAR($C$3)*12+MONTH($C$3),YEAR($I456)*12+MONTH($I456))-(YEAR($H456)*12+MONTH($H456))+1))</f>
        <v/>
      </c>
      <c r="M456" s="62">
        <f>IF($J456="",0,$K456*MAX(0,MIN(YEAR($C$3)*12+MONTH($C$3)-1,YEAR($I456)*12+MONTH($I456))-(YEAR($H456)*12+MONTH($H456))+1))</f>
        <v/>
      </c>
      <c r="N456" s="62">
        <f>IF(OR($J456="",$B456=""),0,IF(YEAR($B456)*12+MONTH($B456)&lt;=YEAR($C$3)*12+MONTH($C$3),$G456,0))</f>
        <v/>
      </c>
      <c r="O456" s="62">
        <f>IF(OR($J456="",$B456=""),0,IF(YEAR($B456)*12+MONTH($B456)&lt;=YEAR($C$3)*12+MONTH($C$3)-1,$G456,0))</f>
        <v/>
      </c>
      <c r="P456" s="62">
        <f>$M456-$O456</f>
        <v/>
      </c>
      <c r="Q456" s="62">
        <f>($L456-$M456)-($N456-$O456)</f>
        <v/>
      </c>
      <c r="R456" s="62">
        <f>$L456-$N456</f>
        <v/>
      </c>
    </row>
    <row r="457">
      <c r="A457" s="59">
        <f>ROW()-5</f>
        <v/>
      </c>
      <c r="B457" s="60">
        <f>IFERROR(INDEX(tbl_Finance[Date],$A457),"")</f>
        <v/>
      </c>
      <c r="C457" s="61">
        <f>IFERROR(INDEX(tbl_Finance[Xero Invoice No],$A457),"")</f>
        <v/>
      </c>
      <c r="D457" s="61">
        <f>IFERROR(INDEX(tbl_Finance[Client],$A457),"")</f>
        <v/>
      </c>
      <c r="E457" s="61">
        <f>IFERROR(INDEX(tbl_Finance[Job Number],$A457),"")</f>
        <v/>
      </c>
      <c r="F457" s="61">
        <f>IFERROR(INDEX(tbl_Finance[Cost Centre],$A457),"")</f>
        <v/>
      </c>
      <c r="G457" s="62">
        <f>IFERROR(INDEX(tbl_Finance[Ex GST],$A457),"")</f>
        <v/>
      </c>
      <c r="H457" s="60">
        <f>IFERROR(INDEX(tbl_Finance[Defer Start],$A457),"")</f>
        <v/>
      </c>
      <c r="I457" s="60">
        <f>IFERROR(INDEX(tbl_Finance[Defer End],$A457),"")</f>
        <v/>
      </c>
      <c r="J457" s="59">
        <f>IF(OR($H457="",$I457="",$G457=""),"",MAX(1,(YEAR($I457)-YEAR($H457))*12+MONTH($I457)-MONTH($H457)+1))</f>
        <v/>
      </c>
      <c r="K457" s="62">
        <f>IF($J457="","",$G457/$J457)</f>
        <v/>
      </c>
      <c r="L457" s="62">
        <f>IF($J457="",0,$K457*MAX(0,MIN(YEAR($C$3)*12+MONTH($C$3),YEAR($I457)*12+MONTH($I457))-(YEAR($H457)*12+MONTH($H457))+1))</f>
        <v/>
      </c>
      <c r="M457" s="62">
        <f>IF($J457="",0,$K457*MAX(0,MIN(YEAR($C$3)*12+MONTH($C$3)-1,YEAR($I457)*12+MONTH($I457))-(YEAR($H457)*12+MONTH($H457))+1))</f>
        <v/>
      </c>
      <c r="N457" s="62">
        <f>IF(OR($J457="",$B457=""),0,IF(YEAR($B457)*12+MONTH($B457)&lt;=YEAR($C$3)*12+MONTH($C$3),$G457,0))</f>
        <v/>
      </c>
      <c r="O457" s="62">
        <f>IF(OR($J457="",$B457=""),0,IF(YEAR($B457)*12+MONTH($B457)&lt;=YEAR($C$3)*12+MONTH($C$3)-1,$G457,0))</f>
        <v/>
      </c>
      <c r="P457" s="62">
        <f>$M457-$O457</f>
        <v/>
      </c>
      <c r="Q457" s="62">
        <f>($L457-$M457)-($N457-$O457)</f>
        <v/>
      </c>
      <c r="R457" s="62">
        <f>$L457-$N457</f>
        <v/>
      </c>
    </row>
    <row r="458">
      <c r="A458" s="59">
        <f>ROW()-5</f>
        <v/>
      </c>
      <c r="B458" s="60">
        <f>IFERROR(INDEX(tbl_Finance[Date],$A458),"")</f>
        <v/>
      </c>
      <c r="C458" s="61">
        <f>IFERROR(INDEX(tbl_Finance[Xero Invoice No],$A458),"")</f>
        <v/>
      </c>
      <c r="D458" s="61">
        <f>IFERROR(INDEX(tbl_Finance[Client],$A458),"")</f>
        <v/>
      </c>
      <c r="E458" s="61">
        <f>IFERROR(INDEX(tbl_Finance[Job Number],$A458),"")</f>
        <v/>
      </c>
      <c r="F458" s="61">
        <f>IFERROR(INDEX(tbl_Finance[Cost Centre],$A458),"")</f>
        <v/>
      </c>
      <c r="G458" s="62">
        <f>IFERROR(INDEX(tbl_Finance[Ex GST],$A458),"")</f>
        <v/>
      </c>
      <c r="H458" s="60">
        <f>IFERROR(INDEX(tbl_Finance[Defer Start],$A458),"")</f>
        <v/>
      </c>
      <c r="I458" s="60">
        <f>IFERROR(INDEX(tbl_Finance[Defer End],$A458),"")</f>
        <v/>
      </c>
      <c r="J458" s="59">
        <f>IF(OR($H458="",$I458="",$G458=""),"",MAX(1,(YEAR($I458)-YEAR($H458))*12+MONTH($I458)-MONTH($H458)+1))</f>
        <v/>
      </c>
      <c r="K458" s="62">
        <f>IF($J458="","",$G458/$J458)</f>
        <v/>
      </c>
      <c r="L458" s="62">
        <f>IF($J458="",0,$K458*MAX(0,MIN(YEAR($C$3)*12+MONTH($C$3),YEAR($I458)*12+MONTH($I458))-(YEAR($H458)*12+MONTH($H458))+1))</f>
        <v/>
      </c>
      <c r="M458" s="62">
        <f>IF($J458="",0,$K458*MAX(0,MIN(YEAR($C$3)*12+MONTH($C$3)-1,YEAR($I458)*12+MONTH($I458))-(YEAR($H458)*12+MONTH($H458))+1))</f>
        <v/>
      </c>
      <c r="N458" s="62">
        <f>IF(OR($J458="",$B458=""),0,IF(YEAR($B458)*12+MONTH($B458)&lt;=YEAR($C$3)*12+MONTH($C$3),$G458,0))</f>
        <v/>
      </c>
      <c r="O458" s="62">
        <f>IF(OR($J458="",$B458=""),0,IF(YEAR($B458)*12+MONTH($B458)&lt;=YEAR($C$3)*12+MONTH($C$3)-1,$G458,0))</f>
        <v/>
      </c>
      <c r="P458" s="62">
        <f>$M458-$O458</f>
        <v/>
      </c>
      <c r="Q458" s="62">
        <f>($L458-$M458)-($N458-$O458)</f>
        <v/>
      </c>
      <c r="R458" s="62">
        <f>$L458-$N458</f>
        <v/>
      </c>
    </row>
    <row r="459">
      <c r="A459" s="59">
        <f>ROW()-5</f>
        <v/>
      </c>
      <c r="B459" s="60">
        <f>IFERROR(INDEX(tbl_Finance[Date],$A459),"")</f>
        <v/>
      </c>
      <c r="C459" s="61">
        <f>IFERROR(INDEX(tbl_Finance[Xero Invoice No],$A459),"")</f>
        <v/>
      </c>
      <c r="D459" s="61">
        <f>IFERROR(INDEX(tbl_Finance[Client],$A459),"")</f>
        <v/>
      </c>
      <c r="E459" s="61">
        <f>IFERROR(INDEX(tbl_Finance[Job Number],$A459),"")</f>
        <v/>
      </c>
      <c r="F459" s="61">
        <f>IFERROR(INDEX(tbl_Finance[Cost Centre],$A459),"")</f>
        <v/>
      </c>
      <c r="G459" s="62">
        <f>IFERROR(INDEX(tbl_Finance[Ex GST],$A459),"")</f>
        <v/>
      </c>
      <c r="H459" s="60">
        <f>IFERROR(INDEX(tbl_Finance[Defer Start],$A459),"")</f>
        <v/>
      </c>
      <c r="I459" s="60">
        <f>IFERROR(INDEX(tbl_Finance[Defer End],$A459),"")</f>
        <v/>
      </c>
      <c r="J459" s="59">
        <f>IF(OR($H459="",$I459="",$G459=""),"",MAX(1,(YEAR($I459)-YEAR($H459))*12+MONTH($I459)-MONTH($H459)+1))</f>
        <v/>
      </c>
      <c r="K459" s="62">
        <f>IF($J459="","",$G459/$J459)</f>
        <v/>
      </c>
      <c r="L459" s="62">
        <f>IF($J459="",0,$K459*MAX(0,MIN(YEAR($C$3)*12+MONTH($C$3),YEAR($I459)*12+MONTH($I459))-(YEAR($H459)*12+MONTH($H459))+1))</f>
        <v/>
      </c>
      <c r="M459" s="62">
        <f>IF($J459="",0,$K459*MAX(0,MIN(YEAR($C$3)*12+MONTH($C$3)-1,YEAR($I459)*12+MONTH($I459))-(YEAR($H459)*12+MONTH($H459))+1))</f>
        <v/>
      </c>
      <c r="N459" s="62">
        <f>IF(OR($J459="",$B459=""),0,IF(YEAR($B459)*12+MONTH($B459)&lt;=YEAR($C$3)*12+MONTH($C$3),$G459,0))</f>
        <v/>
      </c>
      <c r="O459" s="62">
        <f>IF(OR($J459="",$B459=""),0,IF(YEAR($B459)*12+MONTH($B459)&lt;=YEAR($C$3)*12+MONTH($C$3)-1,$G459,0))</f>
        <v/>
      </c>
      <c r="P459" s="62">
        <f>$M459-$O459</f>
        <v/>
      </c>
      <c r="Q459" s="62">
        <f>($L459-$M459)-($N459-$O459)</f>
        <v/>
      </c>
      <c r="R459" s="62">
        <f>$L459-$N459</f>
        <v/>
      </c>
    </row>
    <row r="460">
      <c r="A460" s="59">
        <f>ROW()-5</f>
        <v/>
      </c>
      <c r="B460" s="60">
        <f>IFERROR(INDEX(tbl_Finance[Date],$A460),"")</f>
        <v/>
      </c>
      <c r="C460" s="61">
        <f>IFERROR(INDEX(tbl_Finance[Xero Invoice No],$A460),"")</f>
        <v/>
      </c>
      <c r="D460" s="61">
        <f>IFERROR(INDEX(tbl_Finance[Client],$A460),"")</f>
        <v/>
      </c>
      <c r="E460" s="61">
        <f>IFERROR(INDEX(tbl_Finance[Job Number],$A460),"")</f>
        <v/>
      </c>
      <c r="F460" s="61">
        <f>IFERROR(INDEX(tbl_Finance[Cost Centre],$A460),"")</f>
        <v/>
      </c>
      <c r="G460" s="62">
        <f>IFERROR(INDEX(tbl_Finance[Ex GST],$A460),"")</f>
        <v/>
      </c>
      <c r="H460" s="60">
        <f>IFERROR(INDEX(tbl_Finance[Defer Start],$A460),"")</f>
        <v/>
      </c>
      <c r="I460" s="60">
        <f>IFERROR(INDEX(tbl_Finance[Defer End],$A460),"")</f>
        <v/>
      </c>
      <c r="J460" s="59">
        <f>IF(OR($H460="",$I460="",$G460=""),"",MAX(1,(YEAR($I460)-YEAR($H460))*12+MONTH($I460)-MONTH($H460)+1))</f>
        <v/>
      </c>
      <c r="K460" s="62">
        <f>IF($J460="","",$G460/$J460)</f>
        <v/>
      </c>
      <c r="L460" s="62">
        <f>IF($J460="",0,$K460*MAX(0,MIN(YEAR($C$3)*12+MONTH($C$3),YEAR($I460)*12+MONTH($I460))-(YEAR($H460)*12+MONTH($H460))+1))</f>
        <v/>
      </c>
      <c r="M460" s="62">
        <f>IF($J460="",0,$K460*MAX(0,MIN(YEAR($C$3)*12+MONTH($C$3)-1,YEAR($I460)*12+MONTH($I460))-(YEAR($H460)*12+MONTH($H460))+1))</f>
        <v/>
      </c>
      <c r="N460" s="62">
        <f>IF(OR($J460="",$B460=""),0,IF(YEAR($B460)*12+MONTH($B460)&lt;=YEAR($C$3)*12+MONTH($C$3),$G460,0))</f>
        <v/>
      </c>
      <c r="O460" s="62">
        <f>IF(OR($J460="",$B460=""),0,IF(YEAR($B460)*12+MONTH($B460)&lt;=YEAR($C$3)*12+MONTH($C$3)-1,$G460,0))</f>
        <v/>
      </c>
      <c r="P460" s="62">
        <f>$M460-$O460</f>
        <v/>
      </c>
      <c r="Q460" s="62">
        <f>($L460-$M460)-($N460-$O460)</f>
        <v/>
      </c>
      <c r="R460" s="62">
        <f>$L460-$N460</f>
        <v/>
      </c>
    </row>
    <row r="461">
      <c r="A461" s="59">
        <f>ROW()-5</f>
        <v/>
      </c>
      <c r="B461" s="60">
        <f>IFERROR(INDEX(tbl_Finance[Date],$A461),"")</f>
        <v/>
      </c>
      <c r="C461" s="61">
        <f>IFERROR(INDEX(tbl_Finance[Xero Invoice No],$A461),"")</f>
        <v/>
      </c>
      <c r="D461" s="61">
        <f>IFERROR(INDEX(tbl_Finance[Client],$A461),"")</f>
        <v/>
      </c>
      <c r="E461" s="61">
        <f>IFERROR(INDEX(tbl_Finance[Job Number],$A461),"")</f>
        <v/>
      </c>
      <c r="F461" s="61">
        <f>IFERROR(INDEX(tbl_Finance[Cost Centre],$A461),"")</f>
        <v/>
      </c>
      <c r="G461" s="62">
        <f>IFERROR(INDEX(tbl_Finance[Ex GST],$A461),"")</f>
        <v/>
      </c>
      <c r="H461" s="60">
        <f>IFERROR(INDEX(tbl_Finance[Defer Start],$A461),"")</f>
        <v/>
      </c>
      <c r="I461" s="60">
        <f>IFERROR(INDEX(tbl_Finance[Defer End],$A461),"")</f>
        <v/>
      </c>
      <c r="J461" s="59">
        <f>IF(OR($H461="",$I461="",$G461=""),"",MAX(1,(YEAR($I461)-YEAR($H461))*12+MONTH($I461)-MONTH($H461)+1))</f>
        <v/>
      </c>
      <c r="K461" s="62">
        <f>IF($J461="","",$G461/$J461)</f>
        <v/>
      </c>
      <c r="L461" s="62">
        <f>IF($J461="",0,$K461*MAX(0,MIN(YEAR($C$3)*12+MONTH($C$3),YEAR($I461)*12+MONTH($I461))-(YEAR($H461)*12+MONTH($H461))+1))</f>
        <v/>
      </c>
      <c r="M461" s="62">
        <f>IF($J461="",0,$K461*MAX(0,MIN(YEAR($C$3)*12+MONTH($C$3)-1,YEAR($I461)*12+MONTH($I461))-(YEAR($H461)*12+MONTH($H461))+1))</f>
        <v/>
      </c>
      <c r="N461" s="62">
        <f>IF(OR($J461="",$B461=""),0,IF(YEAR($B461)*12+MONTH($B461)&lt;=YEAR($C$3)*12+MONTH($C$3),$G461,0))</f>
        <v/>
      </c>
      <c r="O461" s="62">
        <f>IF(OR($J461="",$B461=""),0,IF(YEAR($B461)*12+MONTH($B461)&lt;=YEAR($C$3)*12+MONTH($C$3)-1,$G461,0))</f>
        <v/>
      </c>
      <c r="P461" s="62">
        <f>$M461-$O461</f>
        <v/>
      </c>
      <c r="Q461" s="62">
        <f>($L461-$M461)-($N461-$O461)</f>
        <v/>
      </c>
      <c r="R461" s="62">
        <f>$L461-$N461</f>
        <v/>
      </c>
    </row>
    <row r="462">
      <c r="A462" s="59">
        <f>ROW()-5</f>
        <v/>
      </c>
      <c r="B462" s="60">
        <f>IFERROR(INDEX(tbl_Finance[Date],$A462),"")</f>
        <v/>
      </c>
      <c r="C462" s="61">
        <f>IFERROR(INDEX(tbl_Finance[Xero Invoice No],$A462),"")</f>
        <v/>
      </c>
      <c r="D462" s="61">
        <f>IFERROR(INDEX(tbl_Finance[Client],$A462),"")</f>
        <v/>
      </c>
      <c r="E462" s="61">
        <f>IFERROR(INDEX(tbl_Finance[Job Number],$A462),"")</f>
        <v/>
      </c>
      <c r="F462" s="61">
        <f>IFERROR(INDEX(tbl_Finance[Cost Centre],$A462),"")</f>
        <v/>
      </c>
      <c r="G462" s="62">
        <f>IFERROR(INDEX(tbl_Finance[Ex GST],$A462),"")</f>
        <v/>
      </c>
      <c r="H462" s="60">
        <f>IFERROR(INDEX(tbl_Finance[Defer Start],$A462),"")</f>
        <v/>
      </c>
      <c r="I462" s="60">
        <f>IFERROR(INDEX(tbl_Finance[Defer End],$A462),"")</f>
        <v/>
      </c>
      <c r="J462" s="59">
        <f>IF(OR($H462="",$I462="",$G462=""),"",MAX(1,(YEAR($I462)-YEAR($H462))*12+MONTH($I462)-MONTH($H462)+1))</f>
        <v/>
      </c>
      <c r="K462" s="62">
        <f>IF($J462="","",$G462/$J462)</f>
        <v/>
      </c>
      <c r="L462" s="62">
        <f>IF($J462="",0,$K462*MAX(0,MIN(YEAR($C$3)*12+MONTH($C$3),YEAR($I462)*12+MONTH($I462))-(YEAR($H462)*12+MONTH($H462))+1))</f>
        <v/>
      </c>
      <c r="M462" s="62">
        <f>IF($J462="",0,$K462*MAX(0,MIN(YEAR($C$3)*12+MONTH($C$3)-1,YEAR($I462)*12+MONTH($I462))-(YEAR($H462)*12+MONTH($H462))+1))</f>
        <v/>
      </c>
      <c r="N462" s="62">
        <f>IF(OR($J462="",$B462=""),0,IF(YEAR($B462)*12+MONTH($B462)&lt;=YEAR($C$3)*12+MONTH($C$3),$G462,0))</f>
        <v/>
      </c>
      <c r="O462" s="62">
        <f>IF(OR($J462="",$B462=""),0,IF(YEAR($B462)*12+MONTH($B462)&lt;=YEAR($C$3)*12+MONTH($C$3)-1,$G462,0))</f>
        <v/>
      </c>
      <c r="P462" s="62">
        <f>$M462-$O462</f>
        <v/>
      </c>
      <c r="Q462" s="62">
        <f>($L462-$M462)-($N462-$O462)</f>
        <v/>
      </c>
      <c r="R462" s="62">
        <f>$L462-$N462</f>
        <v/>
      </c>
    </row>
    <row r="463">
      <c r="A463" s="59">
        <f>ROW()-5</f>
        <v/>
      </c>
      <c r="B463" s="60">
        <f>IFERROR(INDEX(tbl_Finance[Date],$A463),"")</f>
        <v/>
      </c>
      <c r="C463" s="61">
        <f>IFERROR(INDEX(tbl_Finance[Xero Invoice No],$A463),"")</f>
        <v/>
      </c>
      <c r="D463" s="61">
        <f>IFERROR(INDEX(tbl_Finance[Client],$A463),"")</f>
        <v/>
      </c>
      <c r="E463" s="61">
        <f>IFERROR(INDEX(tbl_Finance[Job Number],$A463),"")</f>
        <v/>
      </c>
      <c r="F463" s="61">
        <f>IFERROR(INDEX(tbl_Finance[Cost Centre],$A463),"")</f>
        <v/>
      </c>
      <c r="G463" s="62">
        <f>IFERROR(INDEX(tbl_Finance[Ex GST],$A463),"")</f>
        <v/>
      </c>
      <c r="H463" s="60">
        <f>IFERROR(INDEX(tbl_Finance[Defer Start],$A463),"")</f>
        <v/>
      </c>
      <c r="I463" s="60">
        <f>IFERROR(INDEX(tbl_Finance[Defer End],$A463),"")</f>
        <v/>
      </c>
      <c r="J463" s="59">
        <f>IF(OR($H463="",$I463="",$G463=""),"",MAX(1,(YEAR($I463)-YEAR($H463))*12+MONTH($I463)-MONTH($H463)+1))</f>
        <v/>
      </c>
      <c r="K463" s="62">
        <f>IF($J463="","",$G463/$J463)</f>
        <v/>
      </c>
      <c r="L463" s="62">
        <f>IF($J463="",0,$K463*MAX(0,MIN(YEAR($C$3)*12+MONTH($C$3),YEAR($I463)*12+MONTH($I463))-(YEAR($H463)*12+MONTH($H463))+1))</f>
        <v/>
      </c>
      <c r="M463" s="62">
        <f>IF($J463="",0,$K463*MAX(0,MIN(YEAR($C$3)*12+MONTH($C$3)-1,YEAR($I463)*12+MONTH($I463))-(YEAR($H463)*12+MONTH($H463))+1))</f>
        <v/>
      </c>
      <c r="N463" s="62">
        <f>IF(OR($J463="",$B463=""),0,IF(YEAR($B463)*12+MONTH($B463)&lt;=YEAR($C$3)*12+MONTH($C$3),$G463,0))</f>
        <v/>
      </c>
      <c r="O463" s="62">
        <f>IF(OR($J463="",$B463=""),0,IF(YEAR($B463)*12+MONTH($B463)&lt;=YEAR($C$3)*12+MONTH($C$3)-1,$G463,0))</f>
        <v/>
      </c>
      <c r="P463" s="62">
        <f>$M463-$O463</f>
        <v/>
      </c>
      <c r="Q463" s="62">
        <f>($L463-$M463)-($N463-$O463)</f>
        <v/>
      </c>
      <c r="R463" s="62">
        <f>$L463-$N463</f>
        <v/>
      </c>
    </row>
    <row r="464">
      <c r="A464" s="59">
        <f>ROW()-5</f>
        <v/>
      </c>
      <c r="B464" s="60">
        <f>IFERROR(INDEX(tbl_Finance[Date],$A464),"")</f>
        <v/>
      </c>
      <c r="C464" s="61">
        <f>IFERROR(INDEX(tbl_Finance[Xero Invoice No],$A464),"")</f>
        <v/>
      </c>
      <c r="D464" s="61">
        <f>IFERROR(INDEX(tbl_Finance[Client],$A464),"")</f>
        <v/>
      </c>
      <c r="E464" s="61">
        <f>IFERROR(INDEX(tbl_Finance[Job Number],$A464),"")</f>
        <v/>
      </c>
      <c r="F464" s="61">
        <f>IFERROR(INDEX(tbl_Finance[Cost Centre],$A464),"")</f>
        <v/>
      </c>
      <c r="G464" s="62">
        <f>IFERROR(INDEX(tbl_Finance[Ex GST],$A464),"")</f>
        <v/>
      </c>
      <c r="H464" s="60">
        <f>IFERROR(INDEX(tbl_Finance[Defer Start],$A464),"")</f>
        <v/>
      </c>
      <c r="I464" s="60">
        <f>IFERROR(INDEX(tbl_Finance[Defer End],$A464),"")</f>
        <v/>
      </c>
      <c r="J464" s="59">
        <f>IF(OR($H464="",$I464="",$G464=""),"",MAX(1,(YEAR($I464)-YEAR($H464))*12+MONTH($I464)-MONTH($H464)+1))</f>
        <v/>
      </c>
      <c r="K464" s="62">
        <f>IF($J464="","",$G464/$J464)</f>
        <v/>
      </c>
      <c r="L464" s="62">
        <f>IF($J464="",0,$K464*MAX(0,MIN(YEAR($C$3)*12+MONTH($C$3),YEAR($I464)*12+MONTH($I464))-(YEAR($H464)*12+MONTH($H464))+1))</f>
        <v/>
      </c>
      <c r="M464" s="62">
        <f>IF($J464="",0,$K464*MAX(0,MIN(YEAR($C$3)*12+MONTH($C$3)-1,YEAR($I464)*12+MONTH($I464))-(YEAR($H464)*12+MONTH($H464))+1))</f>
        <v/>
      </c>
      <c r="N464" s="62">
        <f>IF(OR($J464="",$B464=""),0,IF(YEAR($B464)*12+MONTH($B464)&lt;=YEAR($C$3)*12+MONTH($C$3),$G464,0))</f>
        <v/>
      </c>
      <c r="O464" s="62">
        <f>IF(OR($J464="",$B464=""),0,IF(YEAR($B464)*12+MONTH($B464)&lt;=YEAR($C$3)*12+MONTH($C$3)-1,$G464,0))</f>
        <v/>
      </c>
      <c r="P464" s="62">
        <f>$M464-$O464</f>
        <v/>
      </c>
      <c r="Q464" s="62">
        <f>($L464-$M464)-($N464-$O464)</f>
        <v/>
      </c>
      <c r="R464" s="62">
        <f>$L464-$N464</f>
        <v/>
      </c>
    </row>
    <row r="465">
      <c r="A465" s="59">
        <f>ROW()-5</f>
        <v/>
      </c>
      <c r="B465" s="60">
        <f>IFERROR(INDEX(tbl_Finance[Date],$A465),"")</f>
        <v/>
      </c>
      <c r="C465" s="61">
        <f>IFERROR(INDEX(tbl_Finance[Xero Invoice No],$A465),"")</f>
        <v/>
      </c>
      <c r="D465" s="61">
        <f>IFERROR(INDEX(tbl_Finance[Client],$A465),"")</f>
        <v/>
      </c>
      <c r="E465" s="61">
        <f>IFERROR(INDEX(tbl_Finance[Job Number],$A465),"")</f>
        <v/>
      </c>
      <c r="F465" s="61">
        <f>IFERROR(INDEX(tbl_Finance[Cost Centre],$A465),"")</f>
        <v/>
      </c>
      <c r="G465" s="62">
        <f>IFERROR(INDEX(tbl_Finance[Ex GST],$A465),"")</f>
        <v/>
      </c>
      <c r="H465" s="60">
        <f>IFERROR(INDEX(tbl_Finance[Defer Start],$A465),"")</f>
        <v/>
      </c>
      <c r="I465" s="60">
        <f>IFERROR(INDEX(tbl_Finance[Defer End],$A465),"")</f>
        <v/>
      </c>
      <c r="J465" s="59">
        <f>IF(OR($H465="",$I465="",$G465=""),"",MAX(1,(YEAR($I465)-YEAR($H465))*12+MONTH($I465)-MONTH($H465)+1))</f>
        <v/>
      </c>
      <c r="K465" s="62">
        <f>IF($J465="","",$G465/$J465)</f>
        <v/>
      </c>
      <c r="L465" s="62">
        <f>IF($J465="",0,$K465*MAX(0,MIN(YEAR($C$3)*12+MONTH($C$3),YEAR($I465)*12+MONTH($I465))-(YEAR($H465)*12+MONTH($H465))+1))</f>
        <v/>
      </c>
      <c r="M465" s="62">
        <f>IF($J465="",0,$K465*MAX(0,MIN(YEAR($C$3)*12+MONTH($C$3)-1,YEAR($I465)*12+MONTH($I465))-(YEAR($H465)*12+MONTH($H465))+1))</f>
        <v/>
      </c>
      <c r="N465" s="62">
        <f>IF(OR($J465="",$B465=""),0,IF(YEAR($B465)*12+MONTH($B465)&lt;=YEAR($C$3)*12+MONTH($C$3),$G465,0))</f>
        <v/>
      </c>
      <c r="O465" s="62">
        <f>IF(OR($J465="",$B465=""),0,IF(YEAR($B465)*12+MONTH($B465)&lt;=YEAR($C$3)*12+MONTH($C$3)-1,$G465,0))</f>
        <v/>
      </c>
      <c r="P465" s="62">
        <f>$M465-$O465</f>
        <v/>
      </c>
      <c r="Q465" s="62">
        <f>($L465-$M465)-($N465-$O465)</f>
        <v/>
      </c>
      <c r="R465" s="62">
        <f>$L465-$N465</f>
        <v/>
      </c>
    </row>
    <row r="466">
      <c r="A466" s="59">
        <f>ROW()-5</f>
        <v/>
      </c>
      <c r="B466" s="60">
        <f>IFERROR(INDEX(tbl_Finance[Date],$A466),"")</f>
        <v/>
      </c>
      <c r="C466" s="61">
        <f>IFERROR(INDEX(tbl_Finance[Xero Invoice No],$A466),"")</f>
        <v/>
      </c>
      <c r="D466" s="61">
        <f>IFERROR(INDEX(tbl_Finance[Client],$A466),"")</f>
        <v/>
      </c>
      <c r="E466" s="61">
        <f>IFERROR(INDEX(tbl_Finance[Job Number],$A466),"")</f>
        <v/>
      </c>
      <c r="F466" s="61">
        <f>IFERROR(INDEX(tbl_Finance[Cost Centre],$A466),"")</f>
        <v/>
      </c>
      <c r="G466" s="62">
        <f>IFERROR(INDEX(tbl_Finance[Ex GST],$A466),"")</f>
        <v/>
      </c>
      <c r="H466" s="60">
        <f>IFERROR(INDEX(tbl_Finance[Defer Start],$A466),"")</f>
        <v/>
      </c>
      <c r="I466" s="60">
        <f>IFERROR(INDEX(tbl_Finance[Defer End],$A466),"")</f>
        <v/>
      </c>
      <c r="J466" s="59">
        <f>IF(OR($H466="",$I466="",$G466=""),"",MAX(1,(YEAR($I466)-YEAR($H466))*12+MONTH($I466)-MONTH($H466)+1))</f>
        <v/>
      </c>
      <c r="K466" s="62">
        <f>IF($J466="","",$G466/$J466)</f>
        <v/>
      </c>
      <c r="L466" s="62">
        <f>IF($J466="",0,$K466*MAX(0,MIN(YEAR($C$3)*12+MONTH($C$3),YEAR($I466)*12+MONTH($I466))-(YEAR($H466)*12+MONTH($H466))+1))</f>
        <v/>
      </c>
      <c r="M466" s="62">
        <f>IF($J466="",0,$K466*MAX(0,MIN(YEAR($C$3)*12+MONTH($C$3)-1,YEAR($I466)*12+MONTH($I466))-(YEAR($H466)*12+MONTH($H466))+1))</f>
        <v/>
      </c>
      <c r="N466" s="62">
        <f>IF(OR($J466="",$B466=""),0,IF(YEAR($B466)*12+MONTH($B466)&lt;=YEAR($C$3)*12+MONTH($C$3),$G466,0))</f>
        <v/>
      </c>
      <c r="O466" s="62">
        <f>IF(OR($J466="",$B466=""),0,IF(YEAR($B466)*12+MONTH($B466)&lt;=YEAR($C$3)*12+MONTH($C$3)-1,$G466,0))</f>
        <v/>
      </c>
      <c r="P466" s="62">
        <f>$M466-$O466</f>
        <v/>
      </c>
      <c r="Q466" s="62">
        <f>($L466-$M466)-($N466-$O466)</f>
        <v/>
      </c>
      <c r="R466" s="62">
        <f>$L466-$N466</f>
        <v/>
      </c>
    </row>
    <row r="467">
      <c r="A467" s="59">
        <f>ROW()-5</f>
        <v/>
      </c>
      <c r="B467" s="60">
        <f>IFERROR(INDEX(tbl_Finance[Date],$A467),"")</f>
        <v/>
      </c>
      <c r="C467" s="61">
        <f>IFERROR(INDEX(tbl_Finance[Xero Invoice No],$A467),"")</f>
        <v/>
      </c>
      <c r="D467" s="61">
        <f>IFERROR(INDEX(tbl_Finance[Client],$A467),"")</f>
        <v/>
      </c>
      <c r="E467" s="61">
        <f>IFERROR(INDEX(tbl_Finance[Job Number],$A467),"")</f>
        <v/>
      </c>
      <c r="F467" s="61">
        <f>IFERROR(INDEX(tbl_Finance[Cost Centre],$A467),"")</f>
        <v/>
      </c>
      <c r="G467" s="62">
        <f>IFERROR(INDEX(tbl_Finance[Ex GST],$A467),"")</f>
        <v/>
      </c>
      <c r="H467" s="60">
        <f>IFERROR(INDEX(tbl_Finance[Defer Start],$A467),"")</f>
        <v/>
      </c>
      <c r="I467" s="60">
        <f>IFERROR(INDEX(tbl_Finance[Defer End],$A467),"")</f>
        <v/>
      </c>
      <c r="J467" s="59">
        <f>IF(OR($H467="",$I467="",$G467=""),"",MAX(1,(YEAR($I467)-YEAR($H467))*12+MONTH($I467)-MONTH($H467)+1))</f>
        <v/>
      </c>
      <c r="K467" s="62">
        <f>IF($J467="","",$G467/$J467)</f>
        <v/>
      </c>
      <c r="L467" s="62">
        <f>IF($J467="",0,$K467*MAX(0,MIN(YEAR($C$3)*12+MONTH($C$3),YEAR($I467)*12+MONTH($I467))-(YEAR($H467)*12+MONTH($H467))+1))</f>
        <v/>
      </c>
      <c r="M467" s="62">
        <f>IF($J467="",0,$K467*MAX(0,MIN(YEAR($C$3)*12+MONTH($C$3)-1,YEAR($I467)*12+MONTH($I467))-(YEAR($H467)*12+MONTH($H467))+1))</f>
        <v/>
      </c>
      <c r="N467" s="62">
        <f>IF(OR($J467="",$B467=""),0,IF(YEAR($B467)*12+MONTH($B467)&lt;=YEAR($C$3)*12+MONTH($C$3),$G467,0))</f>
        <v/>
      </c>
      <c r="O467" s="62">
        <f>IF(OR($J467="",$B467=""),0,IF(YEAR($B467)*12+MONTH($B467)&lt;=YEAR($C$3)*12+MONTH($C$3)-1,$G467,0))</f>
        <v/>
      </c>
      <c r="P467" s="62">
        <f>$M467-$O467</f>
        <v/>
      </c>
      <c r="Q467" s="62">
        <f>($L467-$M467)-($N467-$O467)</f>
        <v/>
      </c>
      <c r="R467" s="62">
        <f>$L467-$N467</f>
        <v/>
      </c>
    </row>
    <row r="468">
      <c r="A468" s="59">
        <f>ROW()-5</f>
        <v/>
      </c>
      <c r="B468" s="60">
        <f>IFERROR(INDEX(tbl_Finance[Date],$A468),"")</f>
        <v/>
      </c>
      <c r="C468" s="61">
        <f>IFERROR(INDEX(tbl_Finance[Xero Invoice No],$A468),"")</f>
        <v/>
      </c>
      <c r="D468" s="61">
        <f>IFERROR(INDEX(tbl_Finance[Client],$A468),"")</f>
        <v/>
      </c>
      <c r="E468" s="61">
        <f>IFERROR(INDEX(tbl_Finance[Job Number],$A468),"")</f>
        <v/>
      </c>
      <c r="F468" s="61">
        <f>IFERROR(INDEX(tbl_Finance[Cost Centre],$A468),"")</f>
        <v/>
      </c>
      <c r="G468" s="62">
        <f>IFERROR(INDEX(tbl_Finance[Ex GST],$A468),"")</f>
        <v/>
      </c>
      <c r="H468" s="60">
        <f>IFERROR(INDEX(tbl_Finance[Defer Start],$A468),"")</f>
        <v/>
      </c>
      <c r="I468" s="60">
        <f>IFERROR(INDEX(tbl_Finance[Defer End],$A468),"")</f>
        <v/>
      </c>
      <c r="J468" s="59">
        <f>IF(OR($H468="",$I468="",$G468=""),"",MAX(1,(YEAR($I468)-YEAR($H468))*12+MONTH($I468)-MONTH($H468)+1))</f>
        <v/>
      </c>
      <c r="K468" s="62">
        <f>IF($J468="","",$G468/$J468)</f>
        <v/>
      </c>
      <c r="L468" s="62">
        <f>IF($J468="",0,$K468*MAX(0,MIN(YEAR($C$3)*12+MONTH($C$3),YEAR($I468)*12+MONTH($I468))-(YEAR($H468)*12+MONTH($H468))+1))</f>
        <v/>
      </c>
      <c r="M468" s="62">
        <f>IF($J468="",0,$K468*MAX(0,MIN(YEAR($C$3)*12+MONTH($C$3)-1,YEAR($I468)*12+MONTH($I468))-(YEAR($H468)*12+MONTH($H468))+1))</f>
        <v/>
      </c>
      <c r="N468" s="62">
        <f>IF(OR($J468="",$B468=""),0,IF(YEAR($B468)*12+MONTH($B468)&lt;=YEAR($C$3)*12+MONTH($C$3),$G468,0))</f>
        <v/>
      </c>
      <c r="O468" s="62">
        <f>IF(OR($J468="",$B468=""),0,IF(YEAR($B468)*12+MONTH($B468)&lt;=YEAR($C$3)*12+MONTH($C$3)-1,$G468,0))</f>
        <v/>
      </c>
      <c r="P468" s="62">
        <f>$M468-$O468</f>
        <v/>
      </c>
      <c r="Q468" s="62">
        <f>($L468-$M468)-($N468-$O468)</f>
        <v/>
      </c>
      <c r="R468" s="62">
        <f>$L468-$N468</f>
        <v/>
      </c>
    </row>
    <row r="469">
      <c r="A469" s="59">
        <f>ROW()-5</f>
        <v/>
      </c>
      <c r="B469" s="60">
        <f>IFERROR(INDEX(tbl_Finance[Date],$A469),"")</f>
        <v/>
      </c>
      <c r="C469" s="61">
        <f>IFERROR(INDEX(tbl_Finance[Xero Invoice No],$A469),"")</f>
        <v/>
      </c>
      <c r="D469" s="61">
        <f>IFERROR(INDEX(tbl_Finance[Client],$A469),"")</f>
        <v/>
      </c>
      <c r="E469" s="61">
        <f>IFERROR(INDEX(tbl_Finance[Job Number],$A469),"")</f>
        <v/>
      </c>
      <c r="F469" s="61">
        <f>IFERROR(INDEX(tbl_Finance[Cost Centre],$A469),"")</f>
        <v/>
      </c>
      <c r="G469" s="62">
        <f>IFERROR(INDEX(tbl_Finance[Ex GST],$A469),"")</f>
        <v/>
      </c>
      <c r="H469" s="60">
        <f>IFERROR(INDEX(tbl_Finance[Defer Start],$A469),"")</f>
        <v/>
      </c>
      <c r="I469" s="60">
        <f>IFERROR(INDEX(tbl_Finance[Defer End],$A469),"")</f>
        <v/>
      </c>
      <c r="J469" s="59">
        <f>IF(OR($H469="",$I469="",$G469=""),"",MAX(1,(YEAR($I469)-YEAR($H469))*12+MONTH($I469)-MONTH($H469)+1))</f>
        <v/>
      </c>
      <c r="K469" s="62">
        <f>IF($J469="","",$G469/$J469)</f>
        <v/>
      </c>
      <c r="L469" s="62">
        <f>IF($J469="",0,$K469*MAX(0,MIN(YEAR($C$3)*12+MONTH($C$3),YEAR($I469)*12+MONTH($I469))-(YEAR($H469)*12+MONTH($H469))+1))</f>
        <v/>
      </c>
      <c r="M469" s="62">
        <f>IF($J469="",0,$K469*MAX(0,MIN(YEAR($C$3)*12+MONTH($C$3)-1,YEAR($I469)*12+MONTH($I469))-(YEAR($H469)*12+MONTH($H469))+1))</f>
        <v/>
      </c>
      <c r="N469" s="62">
        <f>IF(OR($J469="",$B469=""),0,IF(YEAR($B469)*12+MONTH($B469)&lt;=YEAR($C$3)*12+MONTH($C$3),$G469,0))</f>
        <v/>
      </c>
      <c r="O469" s="62">
        <f>IF(OR($J469="",$B469=""),0,IF(YEAR($B469)*12+MONTH($B469)&lt;=YEAR($C$3)*12+MONTH($C$3)-1,$G469,0))</f>
        <v/>
      </c>
      <c r="P469" s="62">
        <f>$M469-$O469</f>
        <v/>
      </c>
      <c r="Q469" s="62">
        <f>($L469-$M469)-($N469-$O469)</f>
        <v/>
      </c>
      <c r="R469" s="62">
        <f>$L469-$N469</f>
        <v/>
      </c>
    </row>
    <row r="470">
      <c r="A470" s="59">
        <f>ROW()-5</f>
        <v/>
      </c>
      <c r="B470" s="60">
        <f>IFERROR(INDEX(tbl_Finance[Date],$A470),"")</f>
        <v/>
      </c>
      <c r="C470" s="61">
        <f>IFERROR(INDEX(tbl_Finance[Xero Invoice No],$A470),"")</f>
        <v/>
      </c>
      <c r="D470" s="61">
        <f>IFERROR(INDEX(tbl_Finance[Client],$A470),"")</f>
        <v/>
      </c>
      <c r="E470" s="61">
        <f>IFERROR(INDEX(tbl_Finance[Job Number],$A470),"")</f>
        <v/>
      </c>
      <c r="F470" s="61">
        <f>IFERROR(INDEX(tbl_Finance[Cost Centre],$A470),"")</f>
        <v/>
      </c>
      <c r="G470" s="62">
        <f>IFERROR(INDEX(tbl_Finance[Ex GST],$A470),"")</f>
        <v/>
      </c>
      <c r="H470" s="60">
        <f>IFERROR(INDEX(tbl_Finance[Defer Start],$A470),"")</f>
        <v/>
      </c>
      <c r="I470" s="60">
        <f>IFERROR(INDEX(tbl_Finance[Defer End],$A470),"")</f>
        <v/>
      </c>
      <c r="J470" s="59">
        <f>IF(OR($H470="",$I470="",$G470=""),"",MAX(1,(YEAR($I470)-YEAR($H470))*12+MONTH($I470)-MONTH($H470)+1))</f>
        <v/>
      </c>
      <c r="K470" s="62">
        <f>IF($J470="","",$G470/$J470)</f>
        <v/>
      </c>
      <c r="L470" s="62">
        <f>IF($J470="",0,$K470*MAX(0,MIN(YEAR($C$3)*12+MONTH($C$3),YEAR($I470)*12+MONTH($I470))-(YEAR($H470)*12+MONTH($H470))+1))</f>
        <v/>
      </c>
      <c r="M470" s="62">
        <f>IF($J470="",0,$K470*MAX(0,MIN(YEAR($C$3)*12+MONTH($C$3)-1,YEAR($I470)*12+MONTH($I470))-(YEAR($H470)*12+MONTH($H470))+1))</f>
        <v/>
      </c>
      <c r="N470" s="62">
        <f>IF(OR($J470="",$B470=""),0,IF(YEAR($B470)*12+MONTH($B470)&lt;=YEAR($C$3)*12+MONTH($C$3),$G470,0))</f>
        <v/>
      </c>
      <c r="O470" s="62">
        <f>IF(OR($J470="",$B470=""),0,IF(YEAR($B470)*12+MONTH($B470)&lt;=YEAR($C$3)*12+MONTH($C$3)-1,$G470,0))</f>
        <v/>
      </c>
      <c r="P470" s="62">
        <f>$M470-$O470</f>
        <v/>
      </c>
      <c r="Q470" s="62">
        <f>($L470-$M470)-($N470-$O470)</f>
        <v/>
      </c>
      <c r="R470" s="62">
        <f>$L470-$N470</f>
        <v/>
      </c>
    </row>
    <row r="471">
      <c r="A471" s="59">
        <f>ROW()-5</f>
        <v/>
      </c>
      <c r="B471" s="60">
        <f>IFERROR(INDEX(tbl_Finance[Date],$A471),"")</f>
        <v/>
      </c>
      <c r="C471" s="61">
        <f>IFERROR(INDEX(tbl_Finance[Xero Invoice No],$A471),"")</f>
        <v/>
      </c>
      <c r="D471" s="61">
        <f>IFERROR(INDEX(tbl_Finance[Client],$A471),"")</f>
        <v/>
      </c>
      <c r="E471" s="61">
        <f>IFERROR(INDEX(tbl_Finance[Job Number],$A471),"")</f>
        <v/>
      </c>
      <c r="F471" s="61">
        <f>IFERROR(INDEX(tbl_Finance[Cost Centre],$A471),"")</f>
        <v/>
      </c>
      <c r="G471" s="62">
        <f>IFERROR(INDEX(tbl_Finance[Ex GST],$A471),"")</f>
        <v/>
      </c>
      <c r="H471" s="60">
        <f>IFERROR(INDEX(tbl_Finance[Defer Start],$A471),"")</f>
        <v/>
      </c>
      <c r="I471" s="60">
        <f>IFERROR(INDEX(tbl_Finance[Defer End],$A471),"")</f>
        <v/>
      </c>
      <c r="J471" s="59">
        <f>IF(OR($H471="",$I471="",$G471=""),"",MAX(1,(YEAR($I471)-YEAR($H471))*12+MONTH($I471)-MONTH($H471)+1))</f>
        <v/>
      </c>
      <c r="K471" s="62">
        <f>IF($J471="","",$G471/$J471)</f>
        <v/>
      </c>
      <c r="L471" s="62">
        <f>IF($J471="",0,$K471*MAX(0,MIN(YEAR($C$3)*12+MONTH($C$3),YEAR($I471)*12+MONTH($I471))-(YEAR($H471)*12+MONTH($H471))+1))</f>
        <v/>
      </c>
      <c r="M471" s="62">
        <f>IF($J471="",0,$K471*MAX(0,MIN(YEAR($C$3)*12+MONTH($C$3)-1,YEAR($I471)*12+MONTH($I471))-(YEAR($H471)*12+MONTH($H471))+1))</f>
        <v/>
      </c>
      <c r="N471" s="62">
        <f>IF(OR($J471="",$B471=""),0,IF(YEAR($B471)*12+MONTH($B471)&lt;=YEAR($C$3)*12+MONTH($C$3),$G471,0))</f>
        <v/>
      </c>
      <c r="O471" s="62">
        <f>IF(OR($J471="",$B471=""),0,IF(YEAR($B471)*12+MONTH($B471)&lt;=YEAR($C$3)*12+MONTH($C$3)-1,$G471,0))</f>
        <v/>
      </c>
      <c r="P471" s="62">
        <f>$M471-$O471</f>
        <v/>
      </c>
      <c r="Q471" s="62">
        <f>($L471-$M471)-($N471-$O471)</f>
        <v/>
      </c>
      <c r="R471" s="62">
        <f>$L471-$N471</f>
        <v/>
      </c>
    </row>
    <row r="472">
      <c r="A472" s="59">
        <f>ROW()-5</f>
        <v/>
      </c>
      <c r="B472" s="60">
        <f>IFERROR(INDEX(tbl_Finance[Date],$A472),"")</f>
        <v/>
      </c>
      <c r="C472" s="61">
        <f>IFERROR(INDEX(tbl_Finance[Xero Invoice No],$A472),"")</f>
        <v/>
      </c>
      <c r="D472" s="61">
        <f>IFERROR(INDEX(tbl_Finance[Client],$A472),"")</f>
        <v/>
      </c>
      <c r="E472" s="61">
        <f>IFERROR(INDEX(tbl_Finance[Job Number],$A472),"")</f>
        <v/>
      </c>
      <c r="F472" s="61">
        <f>IFERROR(INDEX(tbl_Finance[Cost Centre],$A472),"")</f>
        <v/>
      </c>
      <c r="G472" s="62">
        <f>IFERROR(INDEX(tbl_Finance[Ex GST],$A472),"")</f>
        <v/>
      </c>
      <c r="H472" s="60">
        <f>IFERROR(INDEX(tbl_Finance[Defer Start],$A472),"")</f>
        <v/>
      </c>
      <c r="I472" s="60">
        <f>IFERROR(INDEX(tbl_Finance[Defer End],$A472),"")</f>
        <v/>
      </c>
      <c r="J472" s="59">
        <f>IF(OR($H472="",$I472="",$G472=""),"",MAX(1,(YEAR($I472)-YEAR($H472))*12+MONTH($I472)-MONTH($H472)+1))</f>
        <v/>
      </c>
      <c r="K472" s="62">
        <f>IF($J472="","",$G472/$J472)</f>
        <v/>
      </c>
      <c r="L472" s="62">
        <f>IF($J472="",0,$K472*MAX(0,MIN(YEAR($C$3)*12+MONTH($C$3),YEAR($I472)*12+MONTH($I472))-(YEAR($H472)*12+MONTH($H472))+1))</f>
        <v/>
      </c>
      <c r="M472" s="62">
        <f>IF($J472="",0,$K472*MAX(0,MIN(YEAR($C$3)*12+MONTH($C$3)-1,YEAR($I472)*12+MONTH($I472))-(YEAR($H472)*12+MONTH($H472))+1))</f>
        <v/>
      </c>
      <c r="N472" s="62">
        <f>IF(OR($J472="",$B472=""),0,IF(YEAR($B472)*12+MONTH($B472)&lt;=YEAR($C$3)*12+MONTH($C$3),$G472,0))</f>
        <v/>
      </c>
      <c r="O472" s="62">
        <f>IF(OR($J472="",$B472=""),0,IF(YEAR($B472)*12+MONTH($B472)&lt;=YEAR($C$3)*12+MONTH($C$3)-1,$G472,0))</f>
        <v/>
      </c>
      <c r="P472" s="62">
        <f>$M472-$O472</f>
        <v/>
      </c>
      <c r="Q472" s="62">
        <f>($L472-$M472)-($N472-$O472)</f>
        <v/>
      </c>
      <c r="R472" s="62">
        <f>$L472-$N472</f>
        <v/>
      </c>
    </row>
    <row r="473">
      <c r="A473" s="59">
        <f>ROW()-5</f>
        <v/>
      </c>
      <c r="B473" s="60">
        <f>IFERROR(INDEX(tbl_Finance[Date],$A473),"")</f>
        <v/>
      </c>
      <c r="C473" s="61">
        <f>IFERROR(INDEX(tbl_Finance[Xero Invoice No],$A473),"")</f>
        <v/>
      </c>
      <c r="D473" s="61">
        <f>IFERROR(INDEX(tbl_Finance[Client],$A473),"")</f>
        <v/>
      </c>
      <c r="E473" s="61">
        <f>IFERROR(INDEX(tbl_Finance[Job Number],$A473),"")</f>
        <v/>
      </c>
      <c r="F473" s="61">
        <f>IFERROR(INDEX(tbl_Finance[Cost Centre],$A473),"")</f>
        <v/>
      </c>
      <c r="G473" s="62">
        <f>IFERROR(INDEX(tbl_Finance[Ex GST],$A473),"")</f>
        <v/>
      </c>
      <c r="H473" s="60">
        <f>IFERROR(INDEX(tbl_Finance[Defer Start],$A473),"")</f>
        <v/>
      </c>
      <c r="I473" s="60">
        <f>IFERROR(INDEX(tbl_Finance[Defer End],$A473),"")</f>
        <v/>
      </c>
      <c r="J473" s="59">
        <f>IF(OR($H473="",$I473="",$G473=""),"",MAX(1,(YEAR($I473)-YEAR($H473))*12+MONTH($I473)-MONTH($H473)+1))</f>
        <v/>
      </c>
      <c r="K473" s="62">
        <f>IF($J473="","",$G473/$J473)</f>
        <v/>
      </c>
      <c r="L473" s="62">
        <f>IF($J473="",0,$K473*MAX(0,MIN(YEAR($C$3)*12+MONTH($C$3),YEAR($I473)*12+MONTH($I473))-(YEAR($H473)*12+MONTH($H473))+1))</f>
        <v/>
      </c>
      <c r="M473" s="62">
        <f>IF($J473="",0,$K473*MAX(0,MIN(YEAR($C$3)*12+MONTH($C$3)-1,YEAR($I473)*12+MONTH($I473))-(YEAR($H473)*12+MONTH($H473))+1))</f>
        <v/>
      </c>
      <c r="N473" s="62">
        <f>IF(OR($J473="",$B473=""),0,IF(YEAR($B473)*12+MONTH($B473)&lt;=YEAR($C$3)*12+MONTH($C$3),$G473,0))</f>
        <v/>
      </c>
      <c r="O473" s="62">
        <f>IF(OR($J473="",$B473=""),0,IF(YEAR($B473)*12+MONTH($B473)&lt;=YEAR($C$3)*12+MONTH($C$3)-1,$G473,0))</f>
        <v/>
      </c>
      <c r="P473" s="62">
        <f>$M473-$O473</f>
        <v/>
      </c>
      <c r="Q473" s="62">
        <f>($L473-$M473)-($N473-$O473)</f>
        <v/>
      </c>
      <c r="R473" s="62">
        <f>$L473-$N473</f>
        <v/>
      </c>
    </row>
    <row r="474">
      <c r="A474" s="59">
        <f>ROW()-5</f>
        <v/>
      </c>
      <c r="B474" s="60">
        <f>IFERROR(INDEX(tbl_Finance[Date],$A474),"")</f>
        <v/>
      </c>
      <c r="C474" s="61">
        <f>IFERROR(INDEX(tbl_Finance[Xero Invoice No],$A474),"")</f>
        <v/>
      </c>
      <c r="D474" s="61">
        <f>IFERROR(INDEX(tbl_Finance[Client],$A474),"")</f>
        <v/>
      </c>
      <c r="E474" s="61">
        <f>IFERROR(INDEX(tbl_Finance[Job Number],$A474),"")</f>
        <v/>
      </c>
      <c r="F474" s="61">
        <f>IFERROR(INDEX(tbl_Finance[Cost Centre],$A474),"")</f>
        <v/>
      </c>
      <c r="G474" s="62">
        <f>IFERROR(INDEX(tbl_Finance[Ex GST],$A474),"")</f>
        <v/>
      </c>
      <c r="H474" s="60">
        <f>IFERROR(INDEX(tbl_Finance[Defer Start],$A474),"")</f>
        <v/>
      </c>
      <c r="I474" s="60">
        <f>IFERROR(INDEX(tbl_Finance[Defer End],$A474),"")</f>
        <v/>
      </c>
      <c r="J474" s="59">
        <f>IF(OR($H474="",$I474="",$G474=""),"",MAX(1,(YEAR($I474)-YEAR($H474))*12+MONTH($I474)-MONTH($H474)+1))</f>
        <v/>
      </c>
      <c r="K474" s="62">
        <f>IF($J474="","",$G474/$J474)</f>
        <v/>
      </c>
      <c r="L474" s="62">
        <f>IF($J474="",0,$K474*MAX(0,MIN(YEAR($C$3)*12+MONTH($C$3),YEAR($I474)*12+MONTH($I474))-(YEAR($H474)*12+MONTH($H474))+1))</f>
        <v/>
      </c>
      <c r="M474" s="62">
        <f>IF($J474="",0,$K474*MAX(0,MIN(YEAR($C$3)*12+MONTH($C$3)-1,YEAR($I474)*12+MONTH($I474))-(YEAR($H474)*12+MONTH($H474))+1))</f>
        <v/>
      </c>
      <c r="N474" s="62">
        <f>IF(OR($J474="",$B474=""),0,IF(YEAR($B474)*12+MONTH($B474)&lt;=YEAR($C$3)*12+MONTH($C$3),$G474,0))</f>
        <v/>
      </c>
      <c r="O474" s="62">
        <f>IF(OR($J474="",$B474=""),0,IF(YEAR($B474)*12+MONTH($B474)&lt;=YEAR($C$3)*12+MONTH($C$3)-1,$G474,0))</f>
        <v/>
      </c>
      <c r="P474" s="62">
        <f>$M474-$O474</f>
        <v/>
      </c>
      <c r="Q474" s="62">
        <f>($L474-$M474)-($N474-$O474)</f>
        <v/>
      </c>
      <c r="R474" s="62">
        <f>$L474-$N474</f>
        <v/>
      </c>
    </row>
    <row r="475">
      <c r="A475" s="59">
        <f>ROW()-5</f>
        <v/>
      </c>
      <c r="B475" s="60">
        <f>IFERROR(INDEX(tbl_Finance[Date],$A475),"")</f>
        <v/>
      </c>
      <c r="C475" s="61">
        <f>IFERROR(INDEX(tbl_Finance[Xero Invoice No],$A475),"")</f>
        <v/>
      </c>
      <c r="D475" s="61">
        <f>IFERROR(INDEX(tbl_Finance[Client],$A475),"")</f>
        <v/>
      </c>
      <c r="E475" s="61">
        <f>IFERROR(INDEX(tbl_Finance[Job Number],$A475),"")</f>
        <v/>
      </c>
      <c r="F475" s="61">
        <f>IFERROR(INDEX(tbl_Finance[Cost Centre],$A475),"")</f>
        <v/>
      </c>
      <c r="G475" s="62">
        <f>IFERROR(INDEX(tbl_Finance[Ex GST],$A475),"")</f>
        <v/>
      </c>
      <c r="H475" s="60">
        <f>IFERROR(INDEX(tbl_Finance[Defer Start],$A475),"")</f>
        <v/>
      </c>
      <c r="I475" s="60">
        <f>IFERROR(INDEX(tbl_Finance[Defer End],$A475),"")</f>
        <v/>
      </c>
      <c r="J475" s="59">
        <f>IF(OR($H475="",$I475="",$G475=""),"",MAX(1,(YEAR($I475)-YEAR($H475))*12+MONTH($I475)-MONTH($H475)+1))</f>
        <v/>
      </c>
      <c r="K475" s="62">
        <f>IF($J475="","",$G475/$J475)</f>
        <v/>
      </c>
      <c r="L475" s="62">
        <f>IF($J475="",0,$K475*MAX(0,MIN(YEAR($C$3)*12+MONTH($C$3),YEAR($I475)*12+MONTH($I475))-(YEAR($H475)*12+MONTH($H475))+1))</f>
        <v/>
      </c>
      <c r="M475" s="62">
        <f>IF($J475="",0,$K475*MAX(0,MIN(YEAR($C$3)*12+MONTH($C$3)-1,YEAR($I475)*12+MONTH($I475))-(YEAR($H475)*12+MONTH($H475))+1))</f>
        <v/>
      </c>
      <c r="N475" s="62">
        <f>IF(OR($J475="",$B475=""),0,IF(YEAR($B475)*12+MONTH($B475)&lt;=YEAR($C$3)*12+MONTH($C$3),$G475,0))</f>
        <v/>
      </c>
      <c r="O475" s="62">
        <f>IF(OR($J475="",$B475=""),0,IF(YEAR($B475)*12+MONTH($B475)&lt;=YEAR($C$3)*12+MONTH($C$3)-1,$G475,0))</f>
        <v/>
      </c>
      <c r="P475" s="62">
        <f>$M475-$O475</f>
        <v/>
      </c>
      <c r="Q475" s="62">
        <f>($L475-$M475)-($N475-$O475)</f>
        <v/>
      </c>
      <c r="R475" s="62">
        <f>$L475-$N475</f>
        <v/>
      </c>
    </row>
    <row r="476">
      <c r="A476" s="59">
        <f>ROW()-5</f>
        <v/>
      </c>
      <c r="B476" s="60">
        <f>IFERROR(INDEX(tbl_Finance[Date],$A476),"")</f>
        <v/>
      </c>
      <c r="C476" s="61">
        <f>IFERROR(INDEX(tbl_Finance[Xero Invoice No],$A476),"")</f>
        <v/>
      </c>
      <c r="D476" s="61">
        <f>IFERROR(INDEX(tbl_Finance[Client],$A476),"")</f>
        <v/>
      </c>
      <c r="E476" s="61">
        <f>IFERROR(INDEX(tbl_Finance[Job Number],$A476),"")</f>
        <v/>
      </c>
      <c r="F476" s="61">
        <f>IFERROR(INDEX(tbl_Finance[Cost Centre],$A476),"")</f>
        <v/>
      </c>
      <c r="G476" s="62">
        <f>IFERROR(INDEX(tbl_Finance[Ex GST],$A476),"")</f>
        <v/>
      </c>
      <c r="H476" s="60">
        <f>IFERROR(INDEX(tbl_Finance[Defer Start],$A476),"")</f>
        <v/>
      </c>
      <c r="I476" s="60">
        <f>IFERROR(INDEX(tbl_Finance[Defer End],$A476),"")</f>
        <v/>
      </c>
      <c r="J476" s="59">
        <f>IF(OR($H476="",$I476="",$G476=""),"",MAX(1,(YEAR($I476)-YEAR($H476))*12+MONTH($I476)-MONTH($H476)+1))</f>
        <v/>
      </c>
      <c r="K476" s="62">
        <f>IF($J476="","",$G476/$J476)</f>
        <v/>
      </c>
      <c r="L476" s="62">
        <f>IF($J476="",0,$K476*MAX(0,MIN(YEAR($C$3)*12+MONTH($C$3),YEAR($I476)*12+MONTH($I476))-(YEAR($H476)*12+MONTH($H476))+1))</f>
        <v/>
      </c>
      <c r="M476" s="62">
        <f>IF($J476="",0,$K476*MAX(0,MIN(YEAR($C$3)*12+MONTH($C$3)-1,YEAR($I476)*12+MONTH($I476))-(YEAR($H476)*12+MONTH($H476))+1))</f>
        <v/>
      </c>
      <c r="N476" s="62">
        <f>IF(OR($J476="",$B476=""),0,IF(YEAR($B476)*12+MONTH($B476)&lt;=YEAR($C$3)*12+MONTH($C$3),$G476,0))</f>
        <v/>
      </c>
      <c r="O476" s="62">
        <f>IF(OR($J476="",$B476=""),0,IF(YEAR($B476)*12+MONTH($B476)&lt;=YEAR($C$3)*12+MONTH($C$3)-1,$G476,0))</f>
        <v/>
      </c>
      <c r="P476" s="62">
        <f>$M476-$O476</f>
        <v/>
      </c>
      <c r="Q476" s="62">
        <f>($L476-$M476)-($N476-$O476)</f>
        <v/>
      </c>
      <c r="R476" s="62">
        <f>$L476-$N476</f>
        <v/>
      </c>
    </row>
    <row r="477">
      <c r="A477" s="59">
        <f>ROW()-5</f>
        <v/>
      </c>
      <c r="B477" s="60">
        <f>IFERROR(INDEX(tbl_Finance[Date],$A477),"")</f>
        <v/>
      </c>
      <c r="C477" s="61">
        <f>IFERROR(INDEX(tbl_Finance[Xero Invoice No],$A477),"")</f>
        <v/>
      </c>
      <c r="D477" s="61">
        <f>IFERROR(INDEX(tbl_Finance[Client],$A477),"")</f>
        <v/>
      </c>
      <c r="E477" s="61">
        <f>IFERROR(INDEX(tbl_Finance[Job Number],$A477),"")</f>
        <v/>
      </c>
      <c r="F477" s="61">
        <f>IFERROR(INDEX(tbl_Finance[Cost Centre],$A477),"")</f>
        <v/>
      </c>
      <c r="G477" s="62">
        <f>IFERROR(INDEX(tbl_Finance[Ex GST],$A477),"")</f>
        <v/>
      </c>
      <c r="H477" s="60">
        <f>IFERROR(INDEX(tbl_Finance[Defer Start],$A477),"")</f>
        <v/>
      </c>
      <c r="I477" s="60">
        <f>IFERROR(INDEX(tbl_Finance[Defer End],$A477),"")</f>
        <v/>
      </c>
      <c r="J477" s="59">
        <f>IF(OR($H477="",$I477="",$G477=""),"",MAX(1,(YEAR($I477)-YEAR($H477))*12+MONTH($I477)-MONTH($H477)+1))</f>
        <v/>
      </c>
      <c r="K477" s="62">
        <f>IF($J477="","",$G477/$J477)</f>
        <v/>
      </c>
      <c r="L477" s="62">
        <f>IF($J477="",0,$K477*MAX(0,MIN(YEAR($C$3)*12+MONTH($C$3),YEAR($I477)*12+MONTH($I477))-(YEAR($H477)*12+MONTH($H477))+1))</f>
        <v/>
      </c>
      <c r="M477" s="62">
        <f>IF($J477="",0,$K477*MAX(0,MIN(YEAR($C$3)*12+MONTH($C$3)-1,YEAR($I477)*12+MONTH($I477))-(YEAR($H477)*12+MONTH($H477))+1))</f>
        <v/>
      </c>
      <c r="N477" s="62">
        <f>IF(OR($J477="",$B477=""),0,IF(YEAR($B477)*12+MONTH($B477)&lt;=YEAR($C$3)*12+MONTH($C$3),$G477,0))</f>
        <v/>
      </c>
      <c r="O477" s="62">
        <f>IF(OR($J477="",$B477=""),0,IF(YEAR($B477)*12+MONTH($B477)&lt;=YEAR($C$3)*12+MONTH($C$3)-1,$G477,0))</f>
        <v/>
      </c>
      <c r="P477" s="62">
        <f>$M477-$O477</f>
        <v/>
      </c>
      <c r="Q477" s="62">
        <f>($L477-$M477)-($N477-$O477)</f>
        <v/>
      </c>
      <c r="R477" s="62">
        <f>$L477-$N477</f>
        <v/>
      </c>
    </row>
    <row r="478">
      <c r="A478" s="59">
        <f>ROW()-5</f>
        <v/>
      </c>
      <c r="B478" s="60">
        <f>IFERROR(INDEX(tbl_Finance[Date],$A478),"")</f>
        <v/>
      </c>
      <c r="C478" s="61">
        <f>IFERROR(INDEX(tbl_Finance[Xero Invoice No],$A478),"")</f>
        <v/>
      </c>
      <c r="D478" s="61">
        <f>IFERROR(INDEX(tbl_Finance[Client],$A478),"")</f>
        <v/>
      </c>
      <c r="E478" s="61">
        <f>IFERROR(INDEX(tbl_Finance[Job Number],$A478),"")</f>
        <v/>
      </c>
      <c r="F478" s="61">
        <f>IFERROR(INDEX(tbl_Finance[Cost Centre],$A478),"")</f>
        <v/>
      </c>
      <c r="G478" s="62">
        <f>IFERROR(INDEX(tbl_Finance[Ex GST],$A478),"")</f>
        <v/>
      </c>
      <c r="H478" s="60">
        <f>IFERROR(INDEX(tbl_Finance[Defer Start],$A478),"")</f>
        <v/>
      </c>
      <c r="I478" s="60">
        <f>IFERROR(INDEX(tbl_Finance[Defer End],$A478),"")</f>
        <v/>
      </c>
      <c r="J478" s="59">
        <f>IF(OR($H478="",$I478="",$G478=""),"",MAX(1,(YEAR($I478)-YEAR($H478))*12+MONTH($I478)-MONTH($H478)+1))</f>
        <v/>
      </c>
      <c r="K478" s="62">
        <f>IF($J478="","",$G478/$J478)</f>
        <v/>
      </c>
      <c r="L478" s="62">
        <f>IF($J478="",0,$K478*MAX(0,MIN(YEAR($C$3)*12+MONTH($C$3),YEAR($I478)*12+MONTH($I478))-(YEAR($H478)*12+MONTH($H478))+1))</f>
        <v/>
      </c>
      <c r="M478" s="62">
        <f>IF($J478="",0,$K478*MAX(0,MIN(YEAR($C$3)*12+MONTH($C$3)-1,YEAR($I478)*12+MONTH($I478))-(YEAR($H478)*12+MONTH($H478))+1))</f>
        <v/>
      </c>
      <c r="N478" s="62">
        <f>IF(OR($J478="",$B478=""),0,IF(YEAR($B478)*12+MONTH($B478)&lt;=YEAR($C$3)*12+MONTH($C$3),$G478,0))</f>
        <v/>
      </c>
      <c r="O478" s="62">
        <f>IF(OR($J478="",$B478=""),0,IF(YEAR($B478)*12+MONTH($B478)&lt;=YEAR($C$3)*12+MONTH($C$3)-1,$G478,0))</f>
        <v/>
      </c>
      <c r="P478" s="62">
        <f>$M478-$O478</f>
        <v/>
      </c>
      <c r="Q478" s="62">
        <f>($L478-$M478)-($N478-$O478)</f>
        <v/>
      </c>
      <c r="R478" s="62">
        <f>$L478-$N478</f>
        <v/>
      </c>
    </row>
    <row r="479">
      <c r="A479" s="59">
        <f>ROW()-5</f>
        <v/>
      </c>
      <c r="B479" s="60">
        <f>IFERROR(INDEX(tbl_Finance[Date],$A479),"")</f>
        <v/>
      </c>
      <c r="C479" s="61">
        <f>IFERROR(INDEX(tbl_Finance[Xero Invoice No],$A479),"")</f>
        <v/>
      </c>
      <c r="D479" s="61">
        <f>IFERROR(INDEX(tbl_Finance[Client],$A479),"")</f>
        <v/>
      </c>
      <c r="E479" s="61">
        <f>IFERROR(INDEX(tbl_Finance[Job Number],$A479),"")</f>
        <v/>
      </c>
      <c r="F479" s="61">
        <f>IFERROR(INDEX(tbl_Finance[Cost Centre],$A479),"")</f>
        <v/>
      </c>
      <c r="G479" s="62">
        <f>IFERROR(INDEX(tbl_Finance[Ex GST],$A479),"")</f>
        <v/>
      </c>
      <c r="H479" s="60">
        <f>IFERROR(INDEX(tbl_Finance[Defer Start],$A479),"")</f>
        <v/>
      </c>
      <c r="I479" s="60">
        <f>IFERROR(INDEX(tbl_Finance[Defer End],$A479),"")</f>
        <v/>
      </c>
      <c r="J479" s="59">
        <f>IF(OR($H479="",$I479="",$G479=""),"",MAX(1,(YEAR($I479)-YEAR($H479))*12+MONTH($I479)-MONTH($H479)+1))</f>
        <v/>
      </c>
      <c r="K479" s="62">
        <f>IF($J479="","",$G479/$J479)</f>
        <v/>
      </c>
      <c r="L479" s="62">
        <f>IF($J479="",0,$K479*MAX(0,MIN(YEAR($C$3)*12+MONTH($C$3),YEAR($I479)*12+MONTH($I479))-(YEAR($H479)*12+MONTH($H479))+1))</f>
        <v/>
      </c>
      <c r="M479" s="62">
        <f>IF($J479="",0,$K479*MAX(0,MIN(YEAR($C$3)*12+MONTH($C$3)-1,YEAR($I479)*12+MONTH($I479))-(YEAR($H479)*12+MONTH($H479))+1))</f>
        <v/>
      </c>
      <c r="N479" s="62">
        <f>IF(OR($J479="",$B479=""),0,IF(YEAR($B479)*12+MONTH($B479)&lt;=YEAR($C$3)*12+MONTH($C$3),$G479,0))</f>
        <v/>
      </c>
      <c r="O479" s="62">
        <f>IF(OR($J479="",$B479=""),0,IF(YEAR($B479)*12+MONTH($B479)&lt;=YEAR($C$3)*12+MONTH($C$3)-1,$G479,0))</f>
        <v/>
      </c>
      <c r="P479" s="62">
        <f>$M479-$O479</f>
        <v/>
      </c>
      <c r="Q479" s="62">
        <f>($L479-$M479)-($N479-$O479)</f>
        <v/>
      </c>
      <c r="R479" s="62">
        <f>$L479-$N479</f>
        <v/>
      </c>
    </row>
    <row r="480">
      <c r="A480" s="59">
        <f>ROW()-5</f>
        <v/>
      </c>
      <c r="B480" s="60">
        <f>IFERROR(INDEX(tbl_Finance[Date],$A480),"")</f>
        <v/>
      </c>
      <c r="C480" s="61">
        <f>IFERROR(INDEX(tbl_Finance[Xero Invoice No],$A480),"")</f>
        <v/>
      </c>
      <c r="D480" s="61">
        <f>IFERROR(INDEX(tbl_Finance[Client],$A480),"")</f>
        <v/>
      </c>
      <c r="E480" s="61">
        <f>IFERROR(INDEX(tbl_Finance[Job Number],$A480),"")</f>
        <v/>
      </c>
      <c r="F480" s="61">
        <f>IFERROR(INDEX(tbl_Finance[Cost Centre],$A480),"")</f>
        <v/>
      </c>
      <c r="G480" s="62">
        <f>IFERROR(INDEX(tbl_Finance[Ex GST],$A480),"")</f>
        <v/>
      </c>
      <c r="H480" s="60">
        <f>IFERROR(INDEX(tbl_Finance[Defer Start],$A480),"")</f>
        <v/>
      </c>
      <c r="I480" s="60">
        <f>IFERROR(INDEX(tbl_Finance[Defer End],$A480),"")</f>
        <v/>
      </c>
      <c r="J480" s="59">
        <f>IF(OR($H480="",$I480="",$G480=""),"",MAX(1,(YEAR($I480)-YEAR($H480))*12+MONTH($I480)-MONTH($H480)+1))</f>
        <v/>
      </c>
      <c r="K480" s="62">
        <f>IF($J480="","",$G480/$J480)</f>
        <v/>
      </c>
      <c r="L480" s="62">
        <f>IF($J480="",0,$K480*MAX(0,MIN(YEAR($C$3)*12+MONTH($C$3),YEAR($I480)*12+MONTH($I480))-(YEAR($H480)*12+MONTH($H480))+1))</f>
        <v/>
      </c>
      <c r="M480" s="62">
        <f>IF($J480="",0,$K480*MAX(0,MIN(YEAR($C$3)*12+MONTH($C$3)-1,YEAR($I480)*12+MONTH($I480))-(YEAR($H480)*12+MONTH($H480))+1))</f>
        <v/>
      </c>
      <c r="N480" s="62">
        <f>IF(OR($J480="",$B480=""),0,IF(YEAR($B480)*12+MONTH($B480)&lt;=YEAR($C$3)*12+MONTH($C$3),$G480,0))</f>
        <v/>
      </c>
      <c r="O480" s="62">
        <f>IF(OR($J480="",$B480=""),0,IF(YEAR($B480)*12+MONTH($B480)&lt;=YEAR($C$3)*12+MONTH($C$3)-1,$G480,0))</f>
        <v/>
      </c>
      <c r="P480" s="62">
        <f>$M480-$O480</f>
        <v/>
      </c>
      <c r="Q480" s="62">
        <f>($L480-$M480)-($N480-$O480)</f>
        <v/>
      </c>
      <c r="R480" s="62">
        <f>$L480-$N480</f>
        <v/>
      </c>
    </row>
    <row r="481">
      <c r="A481" s="59">
        <f>ROW()-5</f>
        <v/>
      </c>
      <c r="B481" s="60">
        <f>IFERROR(INDEX(tbl_Finance[Date],$A481),"")</f>
        <v/>
      </c>
      <c r="C481" s="61">
        <f>IFERROR(INDEX(tbl_Finance[Xero Invoice No],$A481),"")</f>
        <v/>
      </c>
      <c r="D481" s="61">
        <f>IFERROR(INDEX(tbl_Finance[Client],$A481),"")</f>
        <v/>
      </c>
      <c r="E481" s="61">
        <f>IFERROR(INDEX(tbl_Finance[Job Number],$A481),"")</f>
        <v/>
      </c>
      <c r="F481" s="61">
        <f>IFERROR(INDEX(tbl_Finance[Cost Centre],$A481),"")</f>
        <v/>
      </c>
      <c r="G481" s="62">
        <f>IFERROR(INDEX(tbl_Finance[Ex GST],$A481),"")</f>
        <v/>
      </c>
      <c r="H481" s="60">
        <f>IFERROR(INDEX(tbl_Finance[Defer Start],$A481),"")</f>
        <v/>
      </c>
      <c r="I481" s="60">
        <f>IFERROR(INDEX(tbl_Finance[Defer End],$A481),"")</f>
        <v/>
      </c>
      <c r="J481" s="59">
        <f>IF(OR($H481="",$I481="",$G481=""),"",MAX(1,(YEAR($I481)-YEAR($H481))*12+MONTH($I481)-MONTH($H481)+1))</f>
        <v/>
      </c>
      <c r="K481" s="62">
        <f>IF($J481="","",$G481/$J481)</f>
        <v/>
      </c>
      <c r="L481" s="62">
        <f>IF($J481="",0,$K481*MAX(0,MIN(YEAR($C$3)*12+MONTH($C$3),YEAR($I481)*12+MONTH($I481))-(YEAR($H481)*12+MONTH($H481))+1))</f>
        <v/>
      </c>
      <c r="M481" s="62">
        <f>IF($J481="",0,$K481*MAX(0,MIN(YEAR($C$3)*12+MONTH($C$3)-1,YEAR($I481)*12+MONTH($I481))-(YEAR($H481)*12+MONTH($H481))+1))</f>
        <v/>
      </c>
      <c r="N481" s="62">
        <f>IF(OR($J481="",$B481=""),0,IF(YEAR($B481)*12+MONTH($B481)&lt;=YEAR($C$3)*12+MONTH($C$3),$G481,0))</f>
        <v/>
      </c>
      <c r="O481" s="62">
        <f>IF(OR($J481="",$B481=""),0,IF(YEAR($B481)*12+MONTH($B481)&lt;=YEAR($C$3)*12+MONTH($C$3)-1,$G481,0))</f>
        <v/>
      </c>
      <c r="P481" s="62">
        <f>$M481-$O481</f>
        <v/>
      </c>
      <c r="Q481" s="62">
        <f>($L481-$M481)-($N481-$O481)</f>
        <v/>
      </c>
      <c r="R481" s="62">
        <f>$L481-$N481</f>
        <v/>
      </c>
    </row>
    <row r="482">
      <c r="A482" s="59">
        <f>ROW()-5</f>
        <v/>
      </c>
      <c r="B482" s="60">
        <f>IFERROR(INDEX(tbl_Finance[Date],$A482),"")</f>
        <v/>
      </c>
      <c r="C482" s="61">
        <f>IFERROR(INDEX(tbl_Finance[Xero Invoice No],$A482),"")</f>
        <v/>
      </c>
      <c r="D482" s="61">
        <f>IFERROR(INDEX(tbl_Finance[Client],$A482),"")</f>
        <v/>
      </c>
      <c r="E482" s="61">
        <f>IFERROR(INDEX(tbl_Finance[Job Number],$A482),"")</f>
        <v/>
      </c>
      <c r="F482" s="61">
        <f>IFERROR(INDEX(tbl_Finance[Cost Centre],$A482),"")</f>
        <v/>
      </c>
      <c r="G482" s="62">
        <f>IFERROR(INDEX(tbl_Finance[Ex GST],$A482),"")</f>
        <v/>
      </c>
      <c r="H482" s="60">
        <f>IFERROR(INDEX(tbl_Finance[Defer Start],$A482),"")</f>
        <v/>
      </c>
      <c r="I482" s="60">
        <f>IFERROR(INDEX(tbl_Finance[Defer End],$A482),"")</f>
        <v/>
      </c>
      <c r="J482" s="59">
        <f>IF(OR($H482="",$I482="",$G482=""),"",MAX(1,(YEAR($I482)-YEAR($H482))*12+MONTH($I482)-MONTH($H482)+1))</f>
        <v/>
      </c>
      <c r="K482" s="62">
        <f>IF($J482="","",$G482/$J482)</f>
        <v/>
      </c>
      <c r="L482" s="62">
        <f>IF($J482="",0,$K482*MAX(0,MIN(YEAR($C$3)*12+MONTH($C$3),YEAR($I482)*12+MONTH($I482))-(YEAR($H482)*12+MONTH($H482))+1))</f>
        <v/>
      </c>
      <c r="M482" s="62">
        <f>IF($J482="",0,$K482*MAX(0,MIN(YEAR($C$3)*12+MONTH($C$3)-1,YEAR($I482)*12+MONTH($I482))-(YEAR($H482)*12+MONTH($H482))+1))</f>
        <v/>
      </c>
      <c r="N482" s="62">
        <f>IF(OR($J482="",$B482=""),0,IF(YEAR($B482)*12+MONTH($B482)&lt;=YEAR($C$3)*12+MONTH($C$3),$G482,0))</f>
        <v/>
      </c>
      <c r="O482" s="62">
        <f>IF(OR($J482="",$B482=""),0,IF(YEAR($B482)*12+MONTH($B482)&lt;=YEAR($C$3)*12+MONTH($C$3)-1,$G482,0))</f>
        <v/>
      </c>
      <c r="P482" s="62">
        <f>$M482-$O482</f>
        <v/>
      </c>
      <c r="Q482" s="62">
        <f>($L482-$M482)-($N482-$O482)</f>
        <v/>
      </c>
      <c r="R482" s="62">
        <f>$L482-$N482</f>
        <v/>
      </c>
    </row>
    <row r="483">
      <c r="A483" s="59">
        <f>ROW()-5</f>
        <v/>
      </c>
      <c r="B483" s="60">
        <f>IFERROR(INDEX(tbl_Finance[Date],$A483),"")</f>
        <v/>
      </c>
      <c r="C483" s="61">
        <f>IFERROR(INDEX(tbl_Finance[Xero Invoice No],$A483),"")</f>
        <v/>
      </c>
      <c r="D483" s="61">
        <f>IFERROR(INDEX(tbl_Finance[Client],$A483),"")</f>
        <v/>
      </c>
      <c r="E483" s="61">
        <f>IFERROR(INDEX(tbl_Finance[Job Number],$A483),"")</f>
        <v/>
      </c>
      <c r="F483" s="61">
        <f>IFERROR(INDEX(tbl_Finance[Cost Centre],$A483),"")</f>
        <v/>
      </c>
      <c r="G483" s="62">
        <f>IFERROR(INDEX(tbl_Finance[Ex GST],$A483),"")</f>
        <v/>
      </c>
      <c r="H483" s="60">
        <f>IFERROR(INDEX(tbl_Finance[Defer Start],$A483),"")</f>
        <v/>
      </c>
      <c r="I483" s="60">
        <f>IFERROR(INDEX(tbl_Finance[Defer End],$A483),"")</f>
        <v/>
      </c>
      <c r="J483" s="59">
        <f>IF(OR($H483="",$I483="",$G483=""),"",MAX(1,(YEAR($I483)-YEAR($H483))*12+MONTH($I483)-MONTH($H483)+1))</f>
        <v/>
      </c>
      <c r="K483" s="62">
        <f>IF($J483="","",$G483/$J483)</f>
        <v/>
      </c>
      <c r="L483" s="62">
        <f>IF($J483="",0,$K483*MAX(0,MIN(YEAR($C$3)*12+MONTH($C$3),YEAR($I483)*12+MONTH($I483))-(YEAR($H483)*12+MONTH($H483))+1))</f>
        <v/>
      </c>
      <c r="M483" s="62">
        <f>IF($J483="",0,$K483*MAX(0,MIN(YEAR($C$3)*12+MONTH($C$3)-1,YEAR($I483)*12+MONTH($I483))-(YEAR($H483)*12+MONTH($H483))+1))</f>
        <v/>
      </c>
      <c r="N483" s="62">
        <f>IF(OR($J483="",$B483=""),0,IF(YEAR($B483)*12+MONTH($B483)&lt;=YEAR($C$3)*12+MONTH($C$3),$G483,0))</f>
        <v/>
      </c>
      <c r="O483" s="62">
        <f>IF(OR($J483="",$B483=""),0,IF(YEAR($B483)*12+MONTH($B483)&lt;=YEAR($C$3)*12+MONTH($C$3)-1,$G483,0))</f>
        <v/>
      </c>
      <c r="P483" s="62">
        <f>$M483-$O483</f>
        <v/>
      </c>
      <c r="Q483" s="62">
        <f>($L483-$M483)-($N483-$O483)</f>
        <v/>
      </c>
      <c r="R483" s="62">
        <f>$L483-$N483</f>
        <v/>
      </c>
    </row>
    <row r="484">
      <c r="A484" s="59">
        <f>ROW()-5</f>
        <v/>
      </c>
      <c r="B484" s="60">
        <f>IFERROR(INDEX(tbl_Finance[Date],$A484),"")</f>
        <v/>
      </c>
      <c r="C484" s="61">
        <f>IFERROR(INDEX(tbl_Finance[Xero Invoice No],$A484),"")</f>
        <v/>
      </c>
      <c r="D484" s="61">
        <f>IFERROR(INDEX(tbl_Finance[Client],$A484),"")</f>
        <v/>
      </c>
      <c r="E484" s="61">
        <f>IFERROR(INDEX(tbl_Finance[Job Number],$A484),"")</f>
        <v/>
      </c>
      <c r="F484" s="61">
        <f>IFERROR(INDEX(tbl_Finance[Cost Centre],$A484),"")</f>
        <v/>
      </c>
      <c r="G484" s="62">
        <f>IFERROR(INDEX(tbl_Finance[Ex GST],$A484),"")</f>
        <v/>
      </c>
      <c r="H484" s="60">
        <f>IFERROR(INDEX(tbl_Finance[Defer Start],$A484),"")</f>
        <v/>
      </c>
      <c r="I484" s="60">
        <f>IFERROR(INDEX(tbl_Finance[Defer End],$A484),"")</f>
        <v/>
      </c>
      <c r="J484" s="59">
        <f>IF(OR($H484="",$I484="",$G484=""),"",MAX(1,(YEAR($I484)-YEAR($H484))*12+MONTH($I484)-MONTH($H484)+1))</f>
        <v/>
      </c>
      <c r="K484" s="62">
        <f>IF($J484="","",$G484/$J484)</f>
        <v/>
      </c>
      <c r="L484" s="62">
        <f>IF($J484="",0,$K484*MAX(0,MIN(YEAR($C$3)*12+MONTH($C$3),YEAR($I484)*12+MONTH($I484))-(YEAR($H484)*12+MONTH($H484))+1))</f>
        <v/>
      </c>
      <c r="M484" s="62">
        <f>IF($J484="",0,$K484*MAX(0,MIN(YEAR($C$3)*12+MONTH($C$3)-1,YEAR($I484)*12+MONTH($I484))-(YEAR($H484)*12+MONTH($H484))+1))</f>
        <v/>
      </c>
      <c r="N484" s="62">
        <f>IF(OR($J484="",$B484=""),0,IF(YEAR($B484)*12+MONTH($B484)&lt;=YEAR($C$3)*12+MONTH($C$3),$G484,0))</f>
        <v/>
      </c>
      <c r="O484" s="62">
        <f>IF(OR($J484="",$B484=""),0,IF(YEAR($B484)*12+MONTH($B484)&lt;=YEAR($C$3)*12+MONTH($C$3)-1,$G484,0))</f>
        <v/>
      </c>
      <c r="P484" s="62">
        <f>$M484-$O484</f>
        <v/>
      </c>
      <c r="Q484" s="62">
        <f>($L484-$M484)-($N484-$O484)</f>
        <v/>
      </c>
      <c r="R484" s="62">
        <f>$L484-$N484</f>
        <v/>
      </c>
    </row>
    <row r="485">
      <c r="A485" s="59">
        <f>ROW()-5</f>
        <v/>
      </c>
      <c r="B485" s="60">
        <f>IFERROR(INDEX(tbl_Finance[Date],$A485),"")</f>
        <v/>
      </c>
      <c r="C485" s="61">
        <f>IFERROR(INDEX(tbl_Finance[Xero Invoice No],$A485),"")</f>
        <v/>
      </c>
      <c r="D485" s="61">
        <f>IFERROR(INDEX(tbl_Finance[Client],$A485),"")</f>
        <v/>
      </c>
      <c r="E485" s="61">
        <f>IFERROR(INDEX(tbl_Finance[Job Number],$A485),"")</f>
        <v/>
      </c>
      <c r="F485" s="61">
        <f>IFERROR(INDEX(tbl_Finance[Cost Centre],$A485),"")</f>
        <v/>
      </c>
      <c r="G485" s="62">
        <f>IFERROR(INDEX(tbl_Finance[Ex GST],$A485),"")</f>
        <v/>
      </c>
      <c r="H485" s="60">
        <f>IFERROR(INDEX(tbl_Finance[Defer Start],$A485),"")</f>
        <v/>
      </c>
      <c r="I485" s="60">
        <f>IFERROR(INDEX(tbl_Finance[Defer End],$A485),"")</f>
        <v/>
      </c>
      <c r="J485" s="59">
        <f>IF(OR($H485="",$I485="",$G485=""),"",MAX(1,(YEAR($I485)-YEAR($H485))*12+MONTH($I485)-MONTH($H485)+1))</f>
        <v/>
      </c>
      <c r="K485" s="62">
        <f>IF($J485="","",$G485/$J485)</f>
        <v/>
      </c>
      <c r="L485" s="62">
        <f>IF($J485="",0,$K485*MAX(0,MIN(YEAR($C$3)*12+MONTH($C$3),YEAR($I485)*12+MONTH($I485))-(YEAR($H485)*12+MONTH($H485))+1))</f>
        <v/>
      </c>
      <c r="M485" s="62">
        <f>IF($J485="",0,$K485*MAX(0,MIN(YEAR($C$3)*12+MONTH($C$3)-1,YEAR($I485)*12+MONTH($I485))-(YEAR($H485)*12+MONTH($H485))+1))</f>
        <v/>
      </c>
      <c r="N485" s="62">
        <f>IF(OR($J485="",$B485=""),0,IF(YEAR($B485)*12+MONTH($B485)&lt;=YEAR($C$3)*12+MONTH($C$3),$G485,0))</f>
        <v/>
      </c>
      <c r="O485" s="62">
        <f>IF(OR($J485="",$B485=""),0,IF(YEAR($B485)*12+MONTH($B485)&lt;=YEAR($C$3)*12+MONTH($C$3)-1,$G485,0))</f>
        <v/>
      </c>
      <c r="P485" s="62">
        <f>$M485-$O485</f>
        <v/>
      </c>
      <c r="Q485" s="62">
        <f>($L485-$M485)-($N485-$O485)</f>
        <v/>
      </c>
      <c r="R485" s="62">
        <f>$L485-$N485</f>
        <v/>
      </c>
    </row>
    <row r="486">
      <c r="A486" s="59">
        <f>ROW()-5</f>
        <v/>
      </c>
      <c r="B486" s="60">
        <f>IFERROR(INDEX(tbl_Finance[Date],$A486),"")</f>
        <v/>
      </c>
      <c r="C486" s="61">
        <f>IFERROR(INDEX(tbl_Finance[Xero Invoice No],$A486),"")</f>
        <v/>
      </c>
      <c r="D486" s="61">
        <f>IFERROR(INDEX(tbl_Finance[Client],$A486),"")</f>
        <v/>
      </c>
      <c r="E486" s="61">
        <f>IFERROR(INDEX(tbl_Finance[Job Number],$A486),"")</f>
        <v/>
      </c>
      <c r="F486" s="61">
        <f>IFERROR(INDEX(tbl_Finance[Cost Centre],$A486),"")</f>
        <v/>
      </c>
      <c r="G486" s="62">
        <f>IFERROR(INDEX(tbl_Finance[Ex GST],$A486),"")</f>
        <v/>
      </c>
      <c r="H486" s="60">
        <f>IFERROR(INDEX(tbl_Finance[Defer Start],$A486),"")</f>
        <v/>
      </c>
      <c r="I486" s="60">
        <f>IFERROR(INDEX(tbl_Finance[Defer End],$A486),"")</f>
        <v/>
      </c>
      <c r="J486" s="59">
        <f>IF(OR($H486="",$I486="",$G486=""),"",MAX(1,(YEAR($I486)-YEAR($H486))*12+MONTH($I486)-MONTH($H486)+1))</f>
        <v/>
      </c>
      <c r="K486" s="62">
        <f>IF($J486="","",$G486/$J486)</f>
        <v/>
      </c>
      <c r="L486" s="62">
        <f>IF($J486="",0,$K486*MAX(0,MIN(YEAR($C$3)*12+MONTH($C$3),YEAR($I486)*12+MONTH($I486))-(YEAR($H486)*12+MONTH($H486))+1))</f>
        <v/>
      </c>
      <c r="M486" s="62">
        <f>IF($J486="",0,$K486*MAX(0,MIN(YEAR($C$3)*12+MONTH($C$3)-1,YEAR($I486)*12+MONTH($I486))-(YEAR($H486)*12+MONTH($H486))+1))</f>
        <v/>
      </c>
      <c r="N486" s="62">
        <f>IF(OR($J486="",$B486=""),0,IF(YEAR($B486)*12+MONTH($B486)&lt;=YEAR($C$3)*12+MONTH($C$3),$G486,0))</f>
        <v/>
      </c>
      <c r="O486" s="62">
        <f>IF(OR($J486="",$B486=""),0,IF(YEAR($B486)*12+MONTH($B486)&lt;=YEAR($C$3)*12+MONTH($C$3)-1,$G486,0))</f>
        <v/>
      </c>
      <c r="P486" s="62">
        <f>$M486-$O486</f>
        <v/>
      </c>
      <c r="Q486" s="62">
        <f>($L486-$M486)-($N486-$O486)</f>
        <v/>
      </c>
      <c r="R486" s="62">
        <f>$L486-$N486</f>
        <v/>
      </c>
    </row>
    <row r="487">
      <c r="A487" s="59">
        <f>ROW()-5</f>
        <v/>
      </c>
      <c r="B487" s="60">
        <f>IFERROR(INDEX(tbl_Finance[Date],$A487),"")</f>
        <v/>
      </c>
      <c r="C487" s="61">
        <f>IFERROR(INDEX(tbl_Finance[Xero Invoice No],$A487),"")</f>
        <v/>
      </c>
      <c r="D487" s="61">
        <f>IFERROR(INDEX(tbl_Finance[Client],$A487),"")</f>
        <v/>
      </c>
      <c r="E487" s="61">
        <f>IFERROR(INDEX(tbl_Finance[Job Number],$A487),"")</f>
        <v/>
      </c>
      <c r="F487" s="61">
        <f>IFERROR(INDEX(tbl_Finance[Cost Centre],$A487),"")</f>
        <v/>
      </c>
      <c r="G487" s="62">
        <f>IFERROR(INDEX(tbl_Finance[Ex GST],$A487),"")</f>
        <v/>
      </c>
      <c r="H487" s="60">
        <f>IFERROR(INDEX(tbl_Finance[Defer Start],$A487),"")</f>
        <v/>
      </c>
      <c r="I487" s="60">
        <f>IFERROR(INDEX(tbl_Finance[Defer End],$A487),"")</f>
        <v/>
      </c>
      <c r="J487" s="59">
        <f>IF(OR($H487="",$I487="",$G487=""),"",MAX(1,(YEAR($I487)-YEAR($H487))*12+MONTH($I487)-MONTH($H487)+1))</f>
        <v/>
      </c>
      <c r="K487" s="62">
        <f>IF($J487="","",$G487/$J487)</f>
        <v/>
      </c>
      <c r="L487" s="62">
        <f>IF($J487="",0,$K487*MAX(0,MIN(YEAR($C$3)*12+MONTH($C$3),YEAR($I487)*12+MONTH($I487))-(YEAR($H487)*12+MONTH($H487))+1))</f>
        <v/>
      </c>
      <c r="M487" s="62">
        <f>IF($J487="",0,$K487*MAX(0,MIN(YEAR($C$3)*12+MONTH($C$3)-1,YEAR($I487)*12+MONTH($I487))-(YEAR($H487)*12+MONTH($H487))+1))</f>
        <v/>
      </c>
      <c r="N487" s="62">
        <f>IF(OR($J487="",$B487=""),0,IF(YEAR($B487)*12+MONTH($B487)&lt;=YEAR($C$3)*12+MONTH($C$3),$G487,0))</f>
        <v/>
      </c>
      <c r="O487" s="62">
        <f>IF(OR($J487="",$B487=""),0,IF(YEAR($B487)*12+MONTH($B487)&lt;=YEAR($C$3)*12+MONTH($C$3)-1,$G487,0))</f>
        <v/>
      </c>
      <c r="P487" s="62">
        <f>$M487-$O487</f>
        <v/>
      </c>
      <c r="Q487" s="62">
        <f>($L487-$M487)-($N487-$O487)</f>
        <v/>
      </c>
      <c r="R487" s="62">
        <f>$L487-$N487</f>
        <v/>
      </c>
    </row>
    <row r="488">
      <c r="A488" s="59">
        <f>ROW()-5</f>
        <v/>
      </c>
      <c r="B488" s="60">
        <f>IFERROR(INDEX(tbl_Finance[Date],$A488),"")</f>
        <v/>
      </c>
      <c r="C488" s="61">
        <f>IFERROR(INDEX(tbl_Finance[Xero Invoice No],$A488),"")</f>
        <v/>
      </c>
      <c r="D488" s="61">
        <f>IFERROR(INDEX(tbl_Finance[Client],$A488),"")</f>
        <v/>
      </c>
      <c r="E488" s="61">
        <f>IFERROR(INDEX(tbl_Finance[Job Number],$A488),"")</f>
        <v/>
      </c>
      <c r="F488" s="61">
        <f>IFERROR(INDEX(tbl_Finance[Cost Centre],$A488),"")</f>
        <v/>
      </c>
      <c r="G488" s="62">
        <f>IFERROR(INDEX(tbl_Finance[Ex GST],$A488),"")</f>
        <v/>
      </c>
      <c r="H488" s="60">
        <f>IFERROR(INDEX(tbl_Finance[Defer Start],$A488),"")</f>
        <v/>
      </c>
      <c r="I488" s="60">
        <f>IFERROR(INDEX(tbl_Finance[Defer End],$A488),"")</f>
        <v/>
      </c>
      <c r="J488" s="59">
        <f>IF(OR($H488="",$I488="",$G488=""),"",MAX(1,(YEAR($I488)-YEAR($H488))*12+MONTH($I488)-MONTH($H488)+1))</f>
        <v/>
      </c>
      <c r="K488" s="62">
        <f>IF($J488="","",$G488/$J488)</f>
        <v/>
      </c>
      <c r="L488" s="62">
        <f>IF($J488="",0,$K488*MAX(0,MIN(YEAR($C$3)*12+MONTH($C$3),YEAR($I488)*12+MONTH($I488))-(YEAR($H488)*12+MONTH($H488))+1))</f>
        <v/>
      </c>
      <c r="M488" s="62">
        <f>IF($J488="",0,$K488*MAX(0,MIN(YEAR($C$3)*12+MONTH($C$3)-1,YEAR($I488)*12+MONTH($I488))-(YEAR($H488)*12+MONTH($H488))+1))</f>
        <v/>
      </c>
      <c r="N488" s="62">
        <f>IF(OR($J488="",$B488=""),0,IF(YEAR($B488)*12+MONTH($B488)&lt;=YEAR($C$3)*12+MONTH($C$3),$G488,0))</f>
        <v/>
      </c>
      <c r="O488" s="62">
        <f>IF(OR($J488="",$B488=""),0,IF(YEAR($B488)*12+MONTH($B488)&lt;=YEAR($C$3)*12+MONTH($C$3)-1,$G488,0))</f>
        <v/>
      </c>
      <c r="P488" s="62">
        <f>$M488-$O488</f>
        <v/>
      </c>
      <c r="Q488" s="62">
        <f>($L488-$M488)-($N488-$O488)</f>
        <v/>
      </c>
      <c r="R488" s="62">
        <f>$L488-$N488</f>
        <v/>
      </c>
    </row>
    <row r="489">
      <c r="A489" s="59">
        <f>ROW()-5</f>
        <v/>
      </c>
      <c r="B489" s="60">
        <f>IFERROR(INDEX(tbl_Finance[Date],$A489),"")</f>
        <v/>
      </c>
      <c r="C489" s="61">
        <f>IFERROR(INDEX(tbl_Finance[Xero Invoice No],$A489),"")</f>
        <v/>
      </c>
      <c r="D489" s="61">
        <f>IFERROR(INDEX(tbl_Finance[Client],$A489),"")</f>
        <v/>
      </c>
      <c r="E489" s="61">
        <f>IFERROR(INDEX(tbl_Finance[Job Number],$A489),"")</f>
        <v/>
      </c>
      <c r="F489" s="61">
        <f>IFERROR(INDEX(tbl_Finance[Cost Centre],$A489),"")</f>
        <v/>
      </c>
      <c r="G489" s="62">
        <f>IFERROR(INDEX(tbl_Finance[Ex GST],$A489),"")</f>
        <v/>
      </c>
      <c r="H489" s="60">
        <f>IFERROR(INDEX(tbl_Finance[Defer Start],$A489),"")</f>
        <v/>
      </c>
      <c r="I489" s="60">
        <f>IFERROR(INDEX(tbl_Finance[Defer End],$A489),"")</f>
        <v/>
      </c>
      <c r="J489" s="59">
        <f>IF(OR($H489="",$I489="",$G489=""),"",MAX(1,(YEAR($I489)-YEAR($H489))*12+MONTH($I489)-MONTH($H489)+1))</f>
        <v/>
      </c>
      <c r="K489" s="62">
        <f>IF($J489="","",$G489/$J489)</f>
        <v/>
      </c>
      <c r="L489" s="62">
        <f>IF($J489="",0,$K489*MAX(0,MIN(YEAR($C$3)*12+MONTH($C$3),YEAR($I489)*12+MONTH($I489))-(YEAR($H489)*12+MONTH($H489))+1))</f>
        <v/>
      </c>
      <c r="M489" s="62">
        <f>IF($J489="",0,$K489*MAX(0,MIN(YEAR($C$3)*12+MONTH($C$3)-1,YEAR($I489)*12+MONTH($I489))-(YEAR($H489)*12+MONTH($H489))+1))</f>
        <v/>
      </c>
      <c r="N489" s="62">
        <f>IF(OR($J489="",$B489=""),0,IF(YEAR($B489)*12+MONTH($B489)&lt;=YEAR($C$3)*12+MONTH($C$3),$G489,0))</f>
        <v/>
      </c>
      <c r="O489" s="62">
        <f>IF(OR($J489="",$B489=""),0,IF(YEAR($B489)*12+MONTH($B489)&lt;=YEAR($C$3)*12+MONTH($C$3)-1,$G489,0))</f>
        <v/>
      </c>
      <c r="P489" s="62">
        <f>$M489-$O489</f>
        <v/>
      </c>
      <c r="Q489" s="62">
        <f>($L489-$M489)-($N489-$O489)</f>
        <v/>
      </c>
      <c r="R489" s="62">
        <f>$L489-$N489</f>
        <v/>
      </c>
    </row>
    <row r="490">
      <c r="A490" s="59">
        <f>ROW()-5</f>
        <v/>
      </c>
      <c r="B490" s="60">
        <f>IFERROR(INDEX(tbl_Finance[Date],$A490),"")</f>
        <v/>
      </c>
      <c r="C490" s="61">
        <f>IFERROR(INDEX(tbl_Finance[Xero Invoice No],$A490),"")</f>
        <v/>
      </c>
      <c r="D490" s="61">
        <f>IFERROR(INDEX(tbl_Finance[Client],$A490),"")</f>
        <v/>
      </c>
      <c r="E490" s="61">
        <f>IFERROR(INDEX(tbl_Finance[Job Number],$A490),"")</f>
        <v/>
      </c>
      <c r="F490" s="61">
        <f>IFERROR(INDEX(tbl_Finance[Cost Centre],$A490),"")</f>
        <v/>
      </c>
      <c r="G490" s="62">
        <f>IFERROR(INDEX(tbl_Finance[Ex GST],$A490),"")</f>
        <v/>
      </c>
      <c r="H490" s="60">
        <f>IFERROR(INDEX(tbl_Finance[Defer Start],$A490),"")</f>
        <v/>
      </c>
      <c r="I490" s="60">
        <f>IFERROR(INDEX(tbl_Finance[Defer End],$A490),"")</f>
        <v/>
      </c>
      <c r="J490" s="59">
        <f>IF(OR($H490="",$I490="",$G490=""),"",MAX(1,(YEAR($I490)-YEAR($H490))*12+MONTH($I490)-MONTH($H490)+1))</f>
        <v/>
      </c>
      <c r="K490" s="62">
        <f>IF($J490="","",$G490/$J490)</f>
        <v/>
      </c>
      <c r="L490" s="62">
        <f>IF($J490="",0,$K490*MAX(0,MIN(YEAR($C$3)*12+MONTH($C$3),YEAR($I490)*12+MONTH($I490))-(YEAR($H490)*12+MONTH($H490))+1))</f>
        <v/>
      </c>
      <c r="M490" s="62">
        <f>IF($J490="",0,$K490*MAX(0,MIN(YEAR($C$3)*12+MONTH($C$3)-1,YEAR($I490)*12+MONTH($I490))-(YEAR($H490)*12+MONTH($H490))+1))</f>
        <v/>
      </c>
      <c r="N490" s="62">
        <f>IF(OR($J490="",$B490=""),0,IF(YEAR($B490)*12+MONTH($B490)&lt;=YEAR($C$3)*12+MONTH($C$3),$G490,0))</f>
        <v/>
      </c>
      <c r="O490" s="62">
        <f>IF(OR($J490="",$B490=""),0,IF(YEAR($B490)*12+MONTH($B490)&lt;=YEAR($C$3)*12+MONTH($C$3)-1,$G490,0))</f>
        <v/>
      </c>
      <c r="P490" s="62">
        <f>$M490-$O490</f>
        <v/>
      </c>
      <c r="Q490" s="62">
        <f>($L490-$M490)-($N490-$O490)</f>
        <v/>
      </c>
      <c r="R490" s="62">
        <f>$L490-$N490</f>
        <v/>
      </c>
    </row>
    <row r="491">
      <c r="A491" s="59">
        <f>ROW()-5</f>
        <v/>
      </c>
      <c r="B491" s="60">
        <f>IFERROR(INDEX(tbl_Finance[Date],$A491),"")</f>
        <v/>
      </c>
      <c r="C491" s="61">
        <f>IFERROR(INDEX(tbl_Finance[Xero Invoice No],$A491),"")</f>
        <v/>
      </c>
      <c r="D491" s="61">
        <f>IFERROR(INDEX(tbl_Finance[Client],$A491),"")</f>
        <v/>
      </c>
      <c r="E491" s="61">
        <f>IFERROR(INDEX(tbl_Finance[Job Number],$A491),"")</f>
        <v/>
      </c>
      <c r="F491" s="61">
        <f>IFERROR(INDEX(tbl_Finance[Cost Centre],$A491),"")</f>
        <v/>
      </c>
      <c r="G491" s="62">
        <f>IFERROR(INDEX(tbl_Finance[Ex GST],$A491),"")</f>
        <v/>
      </c>
      <c r="H491" s="60">
        <f>IFERROR(INDEX(tbl_Finance[Defer Start],$A491),"")</f>
        <v/>
      </c>
      <c r="I491" s="60">
        <f>IFERROR(INDEX(tbl_Finance[Defer End],$A491),"")</f>
        <v/>
      </c>
      <c r="J491" s="59">
        <f>IF(OR($H491="",$I491="",$G491=""),"",MAX(1,(YEAR($I491)-YEAR($H491))*12+MONTH($I491)-MONTH($H491)+1))</f>
        <v/>
      </c>
      <c r="K491" s="62">
        <f>IF($J491="","",$G491/$J491)</f>
        <v/>
      </c>
      <c r="L491" s="62">
        <f>IF($J491="",0,$K491*MAX(0,MIN(YEAR($C$3)*12+MONTH($C$3),YEAR($I491)*12+MONTH($I491))-(YEAR($H491)*12+MONTH($H491))+1))</f>
        <v/>
      </c>
      <c r="M491" s="62">
        <f>IF($J491="",0,$K491*MAX(0,MIN(YEAR($C$3)*12+MONTH($C$3)-1,YEAR($I491)*12+MONTH($I491))-(YEAR($H491)*12+MONTH($H491))+1))</f>
        <v/>
      </c>
      <c r="N491" s="62">
        <f>IF(OR($J491="",$B491=""),0,IF(YEAR($B491)*12+MONTH($B491)&lt;=YEAR($C$3)*12+MONTH($C$3),$G491,0))</f>
        <v/>
      </c>
      <c r="O491" s="62">
        <f>IF(OR($J491="",$B491=""),0,IF(YEAR($B491)*12+MONTH($B491)&lt;=YEAR($C$3)*12+MONTH($C$3)-1,$G491,0))</f>
        <v/>
      </c>
      <c r="P491" s="62">
        <f>$M491-$O491</f>
        <v/>
      </c>
      <c r="Q491" s="62">
        <f>($L491-$M491)-($N491-$O491)</f>
        <v/>
      </c>
      <c r="R491" s="62">
        <f>$L491-$N491</f>
        <v/>
      </c>
    </row>
    <row r="492">
      <c r="A492" s="59">
        <f>ROW()-5</f>
        <v/>
      </c>
      <c r="B492" s="60">
        <f>IFERROR(INDEX(tbl_Finance[Date],$A492),"")</f>
        <v/>
      </c>
      <c r="C492" s="61">
        <f>IFERROR(INDEX(tbl_Finance[Xero Invoice No],$A492),"")</f>
        <v/>
      </c>
      <c r="D492" s="61">
        <f>IFERROR(INDEX(tbl_Finance[Client],$A492),"")</f>
        <v/>
      </c>
      <c r="E492" s="61">
        <f>IFERROR(INDEX(tbl_Finance[Job Number],$A492),"")</f>
        <v/>
      </c>
      <c r="F492" s="61">
        <f>IFERROR(INDEX(tbl_Finance[Cost Centre],$A492),"")</f>
        <v/>
      </c>
      <c r="G492" s="62">
        <f>IFERROR(INDEX(tbl_Finance[Ex GST],$A492),"")</f>
        <v/>
      </c>
      <c r="H492" s="60">
        <f>IFERROR(INDEX(tbl_Finance[Defer Start],$A492),"")</f>
        <v/>
      </c>
      <c r="I492" s="60">
        <f>IFERROR(INDEX(tbl_Finance[Defer End],$A492),"")</f>
        <v/>
      </c>
      <c r="J492" s="59">
        <f>IF(OR($H492="",$I492="",$G492=""),"",MAX(1,(YEAR($I492)-YEAR($H492))*12+MONTH($I492)-MONTH($H492)+1))</f>
        <v/>
      </c>
      <c r="K492" s="62">
        <f>IF($J492="","",$G492/$J492)</f>
        <v/>
      </c>
      <c r="L492" s="62">
        <f>IF($J492="",0,$K492*MAX(0,MIN(YEAR($C$3)*12+MONTH($C$3),YEAR($I492)*12+MONTH($I492))-(YEAR($H492)*12+MONTH($H492))+1))</f>
        <v/>
      </c>
      <c r="M492" s="62">
        <f>IF($J492="",0,$K492*MAX(0,MIN(YEAR($C$3)*12+MONTH($C$3)-1,YEAR($I492)*12+MONTH($I492))-(YEAR($H492)*12+MONTH($H492))+1))</f>
        <v/>
      </c>
      <c r="N492" s="62">
        <f>IF(OR($J492="",$B492=""),0,IF(YEAR($B492)*12+MONTH($B492)&lt;=YEAR($C$3)*12+MONTH($C$3),$G492,0))</f>
        <v/>
      </c>
      <c r="O492" s="62">
        <f>IF(OR($J492="",$B492=""),0,IF(YEAR($B492)*12+MONTH($B492)&lt;=YEAR($C$3)*12+MONTH($C$3)-1,$G492,0))</f>
        <v/>
      </c>
      <c r="P492" s="62">
        <f>$M492-$O492</f>
        <v/>
      </c>
      <c r="Q492" s="62">
        <f>($L492-$M492)-($N492-$O492)</f>
        <v/>
      </c>
      <c r="R492" s="62">
        <f>$L492-$N492</f>
        <v/>
      </c>
    </row>
    <row r="493">
      <c r="A493" s="59">
        <f>ROW()-5</f>
        <v/>
      </c>
      <c r="B493" s="60">
        <f>IFERROR(INDEX(tbl_Finance[Date],$A493),"")</f>
        <v/>
      </c>
      <c r="C493" s="61">
        <f>IFERROR(INDEX(tbl_Finance[Xero Invoice No],$A493),"")</f>
        <v/>
      </c>
      <c r="D493" s="61">
        <f>IFERROR(INDEX(tbl_Finance[Client],$A493),"")</f>
        <v/>
      </c>
      <c r="E493" s="61">
        <f>IFERROR(INDEX(tbl_Finance[Job Number],$A493),"")</f>
        <v/>
      </c>
      <c r="F493" s="61">
        <f>IFERROR(INDEX(tbl_Finance[Cost Centre],$A493),"")</f>
        <v/>
      </c>
      <c r="G493" s="62">
        <f>IFERROR(INDEX(tbl_Finance[Ex GST],$A493),"")</f>
        <v/>
      </c>
      <c r="H493" s="60">
        <f>IFERROR(INDEX(tbl_Finance[Defer Start],$A493),"")</f>
        <v/>
      </c>
      <c r="I493" s="60">
        <f>IFERROR(INDEX(tbl_Finance[Defer End],$A493),"")</f>
        <v/>
      </c>
      <c r="J493" s="59">
        <f>IF(OR($H493="",$I493="",$G493=""),"",MAX(1,(YEAR($I493)-YEAR($H493))*12+MONTH($I493)-MONTH($H493)+1))</f>
        <v/>
      </c>
      <c r="K493" s="62">
        <f>IF($J493="","",$G493/$J493)</f>
        <v/>
      </c>
      <c r="L493" s="62">
        <f>IF($J493="",0,$K493*MAX(0,MIN(YEAR($C$3)*12+MONTH($C$3),YEAR($I493)*12+MONTH($I493))-(YEAR($H493)*12+MONTH($H493))+1))</f>
        <v/>
      </c>
      <c r="M493" s="62">
        <f>IF($J493="",0,$K493*MAX(0,MIN(YEAR($C$3)*12+MONTH($C$3)-1,YEAR($I493)*12+MONTH($I493))-(YEAR($H493)*12+MONTH($H493))+1))</f>
        <v/>
      </c>
      <c r="N493" s="62">
        <f>IF(OR($J493="",$B493=""),0,IF(YEAR($B493)*12+MONTH($B493)&lt;=YEAR($C$3)*12+MONTH($C$3),$G493,0))</f>
        <v/>
      </c>
      <c r="O493" s="62">
        <f>IF(OR($J493="",$B493=""),0,IF(YEAR($B493)*12+MONTH($B493)&lt;=YEAR($C$3)*12+MONTH($C$3)-1,$G493,0))</f>
        <v/>
      </c>
      <c r="P493" s="62">
        <f>$M493-$O493</f>
        <v/>
      </c>
      <c r="Q493" s="62">
        <f>($L493-$M493)-($N493-$O493)</f>
        <v/>
      </c>
      <c r="R493" s="62">
        <f>$L493-$N493</f>
        <v/>
      </c>
    </row>
    <row r="494">
      <c r="A494" s="59">
        <f>ROW()-5</f>
        <v/>
      </c>
      <c r="B494" s="60">
        <f>IFERROR(INDEX(tbl_Finance[Date],$A494),"")</f>
        <v/>
      </c>
      <c r="C494" s="61">
        <f>IFERROR(INDEX(tbl_Finance[Xero Invoice No],$A494),"")</f>
        <v/>
      </c>
      <c r="D494" s="61">
        <f>IFERROR(INDEX(tbl_Finance[Client],$A494),"")</f>
        <v/>
      </c>
      <c r="E494" s="61">
        <f>IFERROR(INDEX(tbl_Finance[Job Number],$A494),"")</f>
        <v/>
      </c>
      <c r="F494" s="61">
        <f>IFERROR(INDEX(tbl_Finance[Cost Centre],$A494),"")</f>
        <v/>
      </c>
      <c r="G494" s="62">
        <f>IFERROR(INDEX(tbl_Finance[Ex GST],$A494),"")</f>
        <v/>
      </c>
      <c r="H494" s="60">
        <f>IFERROR(INDEX(tbl_Finance[Defer Start],$A494),"")</f>
        <v/>
      </c>
      <c r="I494" s="60">
        <f>IFERROR(INDEX(tbl_Finance[Defer End],$A494),"")</f>
        <v/>
      </c>
      <c r="J494" s="59">
        <f>IF(OR($H494="",$I494="",$G494=""),"",MAX(1,(YEAR($I494)-YEAR($H494))*12+MONTH($I494)-MONTH($H494)+1))</f>
        <v/>
      </c>
      <c r="K494" s="62">
        <f>IF($J494="","",$G494/$J494)</f>
        <v/>
      </c>
      <c r="L494" s="62">
        <f>IF($J494="",0,$K494*MAX(0,MIN(YEAR($C$3)*12+MONTH($C$3),YEAR($I494)*12+MONTH($I494))-(YEAR($H494)*12+MONTH($H494))+1))</f>
        <v/>
      </c>
      <c r="M494" s="62">
        <f>IF($J494="",0,$K494*MAX(0,MIN(YEAR($C$3)*12+MONTH($C$3)-1,YEAR($I494)*12+MONTH($I494))-(YEAR($H494)*12+MONTH($H494))+1))</f>
        <v/>
      </c>
      <c r="N494" s="62">
        <f>IF(OR($J494="",$B494=""),0,IF(YEAR($B494)*12+MONTH($B494)&lt;=YEAR($C$3)*12+MONTH($C$3),$G494,0))</f>
        <v/>
      </c>
      <c r="O494" s="62">
        <f>IF(OR($J494="",$B494=""),0,IF(YEAR($B494)*12+MONTH($B494)&lt;=YEAR($C$3)*12+MONTH($C$3)-1,$G494,0))</f>
        <v/>
      </c>
      <c r="P494" s="62">
        <f>$M494-$O494</f>
        <v/>
      </c>
      <c r="Q494" s="62">
        <f>($L494-$M494)-($N494-$O494)</f>
        <v/>
      </c>
      <c r="R494" s="62">
        <f>$L494-$N494</f>
        <v/>
      </c>
    </row>
    <row r="495">
      <c r="A495" s="59">
        <f>ROW()-5</f>
        <v/>
      </c>
      <c r="B495" s="60">
        <f>IFERROR(INDEX(tbl_Finance[Date],$A495),"")</f>
        <v/>
      </c>
      <c r="C495" s="61">
        <f>IFERROR(INDEX(tbl_Finance[Xero Invoice No],$A495),"")</f>
        <v/>
      </c>
      <c r="D495" s="61">
        <f>IFERROR(INDEX(tbl_Finance[Client],$A495),"")</f>
        <v/>
      </c>
      <c r="E495" s="61">
        <f>IFERROR(INDEX(tbl_Finance[Job Number],$A495),"")</f>
        <v/>
      </c>
      <c r="F495" s="61">
        <f>IFERROR(INDEX(tbl_Finance[Cost Centre],$A495),"")</f>
        <v/>
      </c>
      <c r="G495" s="62">
        <f>IFERROR(INDEX(tbl_Finance[Ex GST],$A495),"")</f>
        <v/>
      </c>
      <c r="H495" s="60">
        <f>IFERROR(INDEX(tbl_Finance[Defer Start],$A495),"")</f>
        <v/>
      </c>
      <c r="I495" s="60">
        <f>IFERROR(INDEX(tbl_Finance[Defer End],$A495),"")</f>
        <v/>
      </c>
      <c r="J495" s="59">
        <f>IF(OR($H495="",$I495="",$G495=""),"",MAX(1,(YEAR($I495)-YEAR($H495))*12+MONTH($I495)-MONTH($H495)+1))</f>
        <v/>
      </c>
      <c r="K495" s="62">
        <f>IF($J495="","",$G495/$J495)</f>
        <v/>
      </c>
      <c r="L495" s="62">
        <f>IF($J495="",0,$K495*MAX(0,MIN(YEAR($C$3)*12+MONTH($C$3),YEAR($I495)*12+MONTH($I495))-(YEAR($H495)*12+MONTH($H495))+1))</f>
        <v/>
      </c>
      <c r="M495" s="62">
        <f>IF($J495="",0,$K495*MAX(0,MIN(YEAR($C$3)*12+MONTH($C$3)-1,YEAR($I495)*12+MONTH($I495))-(YEAR($H495)*12+MONTH($H495))+1))</f>
        <v/>
      </c>
      <c r="N495" s="62">
        <f>IF(OR($J495="",$B495=""),0,IF(YEAR($B495)*12+MONTH($B495)&lt;=YEAR($C$3)*12+MONTH($C$3),$G495,0))</f>
        <v/>
      </c>
      <c r="O495" s="62">
        <f>IF(OR($J495="",$B495=""),0,IF(YEAR($B495)*12+MONTH($B495)&lt;=YEAR($C$3)*12+MONTH($C$3)-1,$G495,0))</f>
        <v/>
      </c>
      <c r="P495" s="62">
        <f>$M495-$O495</f>
        <v/>
      </c>
      <c r="Q495" s="62">
        <f>($L495-$M495)-($N495-$O495)</f>
        <v/>
      </c>
      <c r="R495" s="62">
        <f>$L495-$N495</f>
        <v/>
      </c>
    </row>
    <row r="496">
      <c r="A496" s="59">
        <f>ROW()-5</f>
        <v/>
      </c>
      <c r="B496" s="60">
        <f>IFERROR(INDEX(tbl_Finance[Date],$A496),"")</f>
        <v/>
      </c>
      <c r="C496" s="61">
        <f>IFERROR(INDEX(tbl_Finance[Xero Invoice No],$A496),"")</f>
        <v/>
      </c>
      <c r="D496" s="61">
        <f>IFERROR(INDEX(tbl_Finance[Client],$A496),"")</f>
        <v/>
      </c>
      <c r="E496" s="61">
        <f>IFERROR(INDEX(tbl_Finance[Job Number],$A496),"")</f>
        <v/>
      </c>
      <c r="F496" s="61">
        <f>IFERROR(INDEX(tbl_Finance[Cost Centre],$A496),"")</f>
        <v/>
      </c>
      <c r="G496" s="62">
        <f>IFERROR(INDEX(tbl_Finance[Ex GST],$A496),"")</f>
        <v/>
      </c>
      <c r="H496" s="60">
        <f>IFERROR(INDEX(tbl_Finance[Defer Start],$A496),"")</f>
        <v/>
      </c>
      <c r="I496" s="60">
        <f>IFERROR(INDEX(tbl_Finance[Defer End],$A496),"")</f>
        <v/>
      </c>
      <c r="J496" s="59">
        <f>IF(OR($H496="",$I496="",$G496=""),"",MAX(1,(YEAR($I496)-YEAR($H496))*12+MONTH($I496)-MONTH($H496)+1))</f>
        <v/>
      </c>
      <c r="K496" s="62">
        <f>IF($J496="","",$G496/$J496)</f>
        <v/>
      </c>
      <c r="L496" s="62">
        <f>IF($J496="",0,$K496*MAX(0,MIN(YEAR($C$3)*12+MONTH($C$3),YEAR($I496)*12+MONTH($I496))-(YEAR($H496)*12+MONTH($H496))+1))</f>
        <v/>
      </c>
      <c r="M496" s="62">
        <f>IF($J496="",0,$K496*MAX(0,MIN(YEAR($C$3)*12+MONTH($C$3)-1,YEAR($I496)*12+MONTH($I496))-(YEAR($H496)*12+MONTH($H496))+1))</f>
        <v/>
      </c>
      <c r="N496" s="62">
        <f>IF(OR($J496="",$B496=""),0,IF(YEAR($B496)*12+MONTH($B496)&lt;=YEAR($C$3)*12+MONTH($C$3),$G496,0))</f>
        <v/>
      </c>
      <c r="O496" s="62">
        <f>IF(OR($J496="",$B496=""),0,IF(YEAR($B496)*12+MONTH($B496)&lt;=YEAR($C$3)*12+MONTH($C$3)-1,$G496,0))</f>
        <v/>
      </c>
      <c r="P496" s="62">
        <f>$M496-$O496</f>
        <v/>
      </c>
      <c r="Q496" s="62">
        <f>($L496-$M496)-($N496-$O496)</f>
        <v/>
      </c>
      <c r="R496" s="62">
        <f>$L496-$N496</f>
        <v/>
      </c>
    </row>
    <row r="497">
      <c r="A497" s="59">
        <f>ROW()-5</f>
        <v/>
      </c>
      <c r="B497" s="60">
        <f>IFERROR(INDEX(tbl_Finance[Date],$A497),"")</f>
        <v/>
      </c>
      <c r="C497" s="61">
        <f>IFERROR(INDEX(tbl_Finance[Xero Invoice No],$A497),"")</f>
        <v/>
      </c>
      <c r="D497" s="61">
        <f>IFERROR(INDEX(tbl_Finance[Client],$A497),"")</f>
        <v/>
      </c>
      <c r="E497" s="61">
        <f>IFERROR(INDEX(tbl_Finance[Job Number],$A497),"")</f>
        <v/>
      </c>
      <c r="F497" s="61">
        <f>IFERROR(INDEX(tbl_Finance[Cost Centre],$A497),"")</f>
        <v/>
      </c>
      <c r="G497" s="62">
        <f>IFERROR(INDEX(tbl_Finance[Ex GST],$A497),"")</f>
        <v/>
      </c>
      <c r="H497" s="60">
        <f>IFERROR(INDEX(tbl_Finance[Defer Start],$A497),"")</f>
        <v/>
      </c>
      <c r="I497" s="60">
        <f>IFERROR(INDEX(tbl_Finance[Defer End],$A497),"")</f>
        <v/>
      </c>
      <c r="J497" s="59">
        <f>IF(OR($H497="",$I497="",$G497=""),"",MAX(1,(YEAR($I497)-YEAR($H497))*12+MONTH($I497)-MONTH($H497)+1))</f>
        <v/>
      </c>
      <c r="K497" s="62">
        <f>IF($J497="","",$G497/$J497)</f>
        <v/>
      </c>
      <c r="L497" s="62">
        <f>IF($J497="",0,$K497*MAX(0,MIN(YEAR($C$3)*12+MONTH($C$3),YEAR($I497)*12+MONTH($I497))-(YEAR($H497)*12+MONTH($H497))+1))</f>
        <v/>
      </c>
      <c r="M497" s="62">
        <f>IF($J497="",0,$K497*MAX(0,MIN(YEAR($C$3)*12+MONTH($C$3)-1,YEAR($I497)*12+MONTH($I497))-(YEAR($H497)*12+MONTH($H497))+1))</f>
        <v/>
      </c>
      <c r="N497" s="62">
        <f>IF(OR($J497="",$B497=""),0,IF(YEAR($B497)*12+MONTH($B497)&lt;=YEAR($C$3)*12+MONTH($C$3),$G497,0))</f>
        <v/>
      </c>
      <c r="O497" s="62">
        <f>IF(OR($J497="",$B497=""),0,IF(YEAR($B497)*12+MONTH($B497)&lt;=YEAR($C$3)*12+MONTH($C$3)-1,$G497,0))</f>
        <v/>
      </c>
      <c r="P497" s="62">
        <f>$M497-$O497</f>
        <v/>
      </c>
      <c r="Q497" s="62">
        <f>($L497-$M497)-($N497-$O497)</f>
        <v/>
      </c>
      <c r="R497" s="62">
        <f>$L497-$N497</f>
        <v/>
      </c>
    </row>
    <row r="498">
      <c r="A498" s="59">
        <f>ROW()-5</f>
        <v/>
      </c>
      <c r="B498" s="60">
        <f>IFERROR(INDEX(tbl_Finance[Date],$A498),"")</f>
        <v/>
      </c>
      <c r="C498" s="61">
        <f>IFERROR(INDEX(tbl_Finance[Xero Invoice No],$A498),"")</f>
        <v/>
      </c>
      <c r="D498" s="61">
        <f>IFERROR(INDEX(tbl_Finance[Client],$A498),"")</f>
        <v/>
      </c>
      <c r="E498" s="61">
        <f>IFERROR(INDEX(tbl_Finance[Job Number],$A498),"")</f>
        <v/>
      </c>
      <c r="F498" s="61">
        <f>IFERROR(INDEX(tbl_Finance[Cost Centre],$A498),"")</f>
        <v/>
      </c>
      <c r="G498" s="62">
        <f>IFERROR(INDEX(tbl_Finance[Ex GST],$A498),"")</f>
        <v/>
      </c>
      <c r="H498" s="60">
        <f>IFERROR(INDEX(tbl_Finance[Defer Start],$A498),"")</f>
        <v/>
      </c>
      <c r="I498" s="60">
        <f>IFERROR(INDEX(tbl_Finance[Defer End],$A498),"")</f>
        <v/>
      </c>
      <c r="J498" s="59">
        <f>IF(OR($H498="",$I498="",$G498=""),"",MAX(1,(YEAR($I498)-YEAR($H498))*12+MONTH($I498)-MONTH($H498)+1))</f>
        <v/>
      </c>
      <c r="K498" s="62">
        <f>IF($J498="","",$G498/$J498)</f>
        <v/>
      </c>
      <c r="L498" s="62">
        <f>IF($J498="",0,$K498*MAX(0,MIN(YEAR($C$3)*12+MONTH($C$3),YEAR($I498)*12+MONTH($I498))-(YEAR($H498)*12+MONTH($H498))+1))</f>
        <v/>
      </c>
      <c r="M498" s="62">
        <f>IF($J498="",0,$K498*MAX(0,MIN(YEAR($C$3)*12+MONTH($C$3)-1,YEAR($I498)*12+MONTH($I498))-(YEAR($H498)*12+MONTH($H498))+1))</f>
        <v/>
      </c>
      <c r="N498" s="62">
        <f>IF(OR($J498="",$B498=""),0,IF(YEAR($B498)*12+MONTH($B498)&lt;=YEAR($C$3)*12+MONTH($C$3),$G498,0))</f>
        <v/>
      </c>
      <c r="O498" s="62">
        <f>IF(OR($J498="",$B498=""),0,IF(YEAR($B498)*12+MONTH($B498)&lt;=YEAR($C$3)*12+MONTH($C$3)-1,$G498,0))</f>
        <v/>
      </c>
      <c r="P498" s="62">
        <f>$M498-$O498</f>
        <v/>
      </c>
      <c r="Q498" s="62">
        <f>($L498-$M498)-($N498-$O498)</f>
        <v/>
      </c>
      <c r="R498" s="62">
        <f>$L498-$N498</f>
        <v/>
      </c>
    </row>
    <row r="499">
      <c r="A499" s="59">
        <f>ROW()-5</f>
        <v/>
      </c>
      <c r="B499" s="60">
        <f>IFERROR(INDEX(tbl_Finance[Date],$A499),"")</f>
        <v/>
      </c>
      <c r="C499" s="61">
        <f>IFERROR(INDEX(tbl_Finance[Xero Invoice No],$A499),"")</f>
        <v/>
      </c>
      <c r="D499" s="61">
        <f>IFERROR(INDEX(tbl_Finance[Client],$A499),"")</f>
        <v/>
      </c>
      <c r="E499" s="61">
        <f>IFERROR(INDEX(tbl_Finance[Job Number],$A499),"")</f>
        <v/>
      </c>
      <c r="F499" s="61">
        <f>IFERROR(INDEX(tbl_Finance[Cost Centre],$A499),"")</f>
        <v/>
      </c>
      <c r="G499" s="62">
        <f>IFERROR(INDEX(tbl_Finance[Ex GST],$A499),"")</f>
        <v/>
      </c>
      <c r="H499" s="60">
        <f>IFERROR(INDEX(tbl_Finance[Defer Start],$A499),"")</f>
        <v/>
      </c>
      <c r="I499" s="60">
        <f>IFERROR(INDEX(tbl_Finance[Defer End],$A499),"")</f>
        <v/>
      </c>
      <c r="J499" s="59">
        <f>IF(OR($H499="",$I499="",$G499=""),"",MAX(1,(YEAR($I499)-YEAR($H499))*12+MONTH($I499)-MONTH($H499)+1))</f>
        <v/>
      </c>
      <c r="K499" s="62">
        <f>IF($J499="","",$G499/$J499)</f>
        <v/>
      </c>
      <c r="L499" s="62">
        <f>IF($J499="",0,$K499*MAX(0,MIN(YEAR($C$3)*12+MONTH($C$3),YEAR($I499)*12+MONTH($I499))-(YEAR($H499)*12+MONTH($H499))+1))</f>
        <v/>
      </c>
      <c r="M499" s="62">
        <f>IF($J499="",0,$K499*MAX(0,MIN(YEAR($C$3)*12+MONTH($C$3)-1,YEAR($I499)*12+MONTH($I499))-(YEAR($H499)*12+MONTH($H499))+1))</f>
        <v/>
      </c>
      <c r="N499" s="62">
        <f>IF(OR($J499="",$B499=""),0,IF(YEAR($B499)*12+MONTH($B499)&lt;=YEAR($C$3)*12+MONTH($C$3),$G499,0))</f>
        <v/>
      </c>
      <c r="O499" s="62">
        <f>IF(OR($J499="",$B499=""),0,IF(YEAR($B499)*12+MONTH($B499)&lt;=YEAR($C$3)*12+MONTH($C$3)-1,$G499,0))</f>
        <v/>
      </c>
      <c r="P499" s="62">
        <f>$M499-$O499</f>
        <v/>
      </c>
      <c r="Q499" s="62">
        <f>($L499-$M499)-($N499-$O499)</f>
        <v/>
      </c>
      <c r="R499" s="62">
        <f>$L499-$N499</f>
        <v/>
      </c>
    </row>
    <row r="500">
      <c r="A500" s="59">
        <f>ROW()-5</f>
        <v/>
      </c>
      <c r="B500" s="60">
        <f>IFERROR(INDEX(tbl_Finance[Date],$A500),"")</f>
        <v/>
      </c>
      <c r="C500" s="61">
        <f>IFERROR(INDEX(tbl_Finance[Xero Invoice No],$A500),"")</f>
        <v/>
      </c>
      <c r="D500" s="61">
        <f>IFERROR(INDEX(tbl_Finance[Client],$A500),"")</f>
        <v/>
      </c>
      <c r="E500" s="61">
        <f>IFERROR(INDEX(tbl_Finance[Job Number],$A500),"")</f>
        <v/>
      </c>
      <c r="F500" s="61">
        <f>IFERROR(INDEX(tbl_Finance[Cost Centre],$A500),"")</f>
        <v/>
      </c>
      <c r="G500" s="62">
        <f>IFERROR(INDEX(tbl_Finance[Ex GST],$A500),"")</f>
        <v/>
      </c>
      <c r="H500" s="60">
        <f>IFERROR(INDEX(tbl_Finance[Defer Start],$A500),"")</f>
        <v/>
      </c>
      <c r="I500" s="60">
        <f>IFERROR(INDEX(tbl_Finance[Defer End],$A500),"")</f>
        <v/>
      </c>
      <c r="J500" s="59">
        <f>IF(OR($H500="",$I500="",$G500=""),"",MAX(1,(YEAR($I500)-YEAR($H500))*12+MONTH($I500)-MONTH($H500)+1))</f>
        <v/>
      </c>
      <c r="K500" s="62">
        <f>IF($J500="","",$G500/$J500)</f>
        <v/>
      </c>
      <c r="L500" s="62">
        <f>IF($J500="",0,$K500*MAX(0,MIN(YEAR($C$3)*12+MONTH($C$3),YEAR($I500)*12+MONTH($I500))-(YEAR($H500)*12+MONTH($H500))+1))</f>
        <v/>
      </c>
      <c r="M500" s="62">
        <f>IF($J500="",0,$K500*MAX(0,MIN(YEAR($C$3)*12+MONTH($C$3)-1,YEAR($I500)*12+MONTH($I500))-(YEAR($H500)*12+MONTH($H500))+1))</f>
        <v/>
      </c>
      <c r="N500" s="62">
        <f>IF(OR($J500="",$B500=""),0,IF(YEAR($B500)*12+MONTH($B500)&lt;=YEAR($C$3)*12+MONTH($C$3),$G500,0))</f>
        <v/>
      </c>
      <c r="O500" s="62">
        <f>IF(OR($J500="",$B500=""),0,IF(YEAR($B500)*12+MONTH($B500)&lt;=YEAR($C$3)*12+MONTH($C$3)-1,$G500,0))</f>
        <v/>
      </c>
      <c r="P500" s="62">
        <f>$M500-$O500</f>
        <v/>
      </c>
      <c r="Q500" s="62">
        <f>($L500-$M500)-($N500-$O500)</f>
        <v/>
      </c>
      <c r="R500" s="62">
        <f>$L500-$N500</f>
        <v/>
      </c>
    </row>
    <row r="501">
      <c r="A501" s="59">
        <f>ROW()-5</f>
        <v/>
      </c>
      <c r="B501" s="60">
        <f>IFERROR(INDEX(tbl_Finance[Date],$A501),"")</f>
        <v/>
      </c>
      <c r="C501" s="61">
        <f>IFERROR(INDEX(tbl_Finance[Xero Invoice No],$A501),"")</f>
        <v/>
      </c>
      <c r="D501" s="61">
        <f>IFERROR(INDEX(tbl_Finance[Client],$A501),"")</f>
        <v/>
      </c>
      <c r="E501" s="61">
        <f>IFERROR(INDEX(tbl_Finance[Job Number],$A501),"")</f>
        <v/>
      </c>
      <c r="F501" s="61">
        <f>IFERROR(INDEX(tbl_Finance[Cost Centre],$A501),"")</f>
        <v/>
      </c>
      <c r="G501" s="62">
        <f>IFERROR(INDEX(tbl_Finance[Ex GST],$A501),"")</f>
        <v/>
      </c>
      <c r="H501" s="60">
        <f>IFERROR(INDEX(tbl_Finance[Defer Start],$A501),"")</f>
        <v/>
      </c>
      <c r="I501" s="60">
        <f>IFERROR(INDEX(tbl_Finance[Defer End],$A501),"")</f>
        <v/>
      </c>
      <c r="J501" s="59">
        <f>IF(OR($H501="",$I501="",$G501=""),"",MAX(1,(YEAR($I501)-YEAR($H501))*12+MONTH($I501)-MONTH($H501)+1))</f>
        <v/>
      </c>
      <c r="K501" s="62">
        <f>IF($J501="","",$G501/$J501)</f>
        <v/>
      </c>
      <c r="L501" s="62">
        <f>IF($J501="",0,$K501*MAX(0,MIN(YEAR($C$3)*12+MONTH($C$3),YEAR($I501)*12+MONTH($I501))-(YEAR($H501)*12+MONTH($H501))+1))</f>
        <v/>
      </c>
      <c r="M501" s="62">
        <f>IF($J501="",0,$K501*MAX(0,MIN(YEAR($C$3)*12+MONTH($C$3)-1,YEAR($I501)*12+MONTH($I501))-(YEAR($H501)*12+MONTH($H501))+1))</f>
        <v/>
      </c>
      <c r="N501" s="62">
        <f>IF(OR($J501="",$B501=""),0,IF(YEAR($B501)*12+MONTH($B501)&lt;=YEAR($C$3)*12+MONTH($C$3),$G501,0))</f>
        <v/>
      </c>
      <c r="O501" s="62">
        <f>IF(OR($J501="",$B501=""),0,IF(YEAR($B501)*12+MONTH($B501)&lt;=YEAR($C$3)*12+MONTH($C$3)-1,$G501,0))</f>
        <v/>
      </c>
      <c r="P501" s="62">
        <f>$M501-$O501</f>
        <v/>
      </c>
      <c r="Q501" s="62">
        <f>($L501-$M501)-($N501-$O501)</f>
        <v/>
      </c>
      <c r="R501" s="62">
        <f>$L501-$N501</f>
        <v/>
      </c>
    </row>
    <row r="502">
      <c r="A502" s="59">
        <f>ROW()-5</f>
        <v/>
      </c>
      <c r="B502" s="60">
        <f>IFERROR(INDEX(tbl_Finance[Date],$A502),"")</f>
        <v/>
      </c>
      <c r="C502" s="61">
        <f>IFERROR(INDEX(tbl_Finance[Xero Invoice No],$A502),"")</f>
        <v/>
      </c>
      <c r="D502" s="61">
        <f>IFERROR(INDEX(tbl_Finance[Client],$A502),"")</f>
        <v/>
      </c>
      <c r="E502" s="61">
        <f>IFERROR(INDEX(tbl_Finance[Job Number],$A502),"")</f>
        <v/>
      </c>
      <c r="F502" s="61">
        <f>IFERROR(INDEX(tbl_Finance[Cost Centre],$A502),"")</f>
        <v/>
      </c>
      <c r="G502" s="62">
        <f>IFERROR(INDEX(tbl_Finance[Ex GST],$A502),"")</f>
        <v/>
      </c>
      <c r="H502" s="60">
        <f>IFERROR(INDEX(tbl_Finance[Defer Start],$A502),"")</f>
        <v/>
      </c>
      <c r="I502" s="60">
        <f>IFERROR(INDEX(tbl_Finance[Defer End],$A502),"")</f>
        <v/>
      </c>
      <c r="J502" s="59">
        <f>IF(OR($H502="",$I502="",$G502=""),"",MAX(1,(YEAR($I502)-YEAR($H502))*12+MONTH($I502)-MONTH($H502)+1))</f>
        <v/>
      </c>
      <c r="K502" s="62">
        <f>IF($J502="","",$G502/$J502)</f>
        <v/>
      </c>
      <c r="L502" s="62">
        <f>IF($J502="",0,$K502*MAX(0,MIN(YEAR($C$3)*12+MONTH($C$3),YEAR($I502)*12+MONTH($I502))-(YEAR($H502)*12+MONTH($H502))+1))</f>
        <v/>
      </c>
      <c r="M502" s="62">
        <f>IF($J502="",0,$K502*MAX(0,MIN(YEAR($C$3)*12+MONTH($C$3)-1,YEAR($I502)*12+MONTH($I502))-(YEAR($H502)*12+MONTH($H502))+1))</f>
        <v/>
      </c>
      <c r="N502" s="62">
        <f>IF(OR($J502="",$B502=""),0,IF(YEAR($B502)*12+MONTH($B502)&lt;=YEAR($C$3)*12+MONTH($C$3),$G502,0))</f>
        <v/>
      </c>
      <c r="O502" s="62">
        <f>IF(OR($J502="",$B502=""),0,IF(YEAR($B502)*12+MONTH($B502)&lt;=YEAR($C$3)*12+MONTH($C$3)-1,$G502,0))</f>
        <v/>
      </c>
      <c r="P502" s="62">
        <f>$M502-$O502</f>
        <v/>
      </c>
      <c r="Q502" s="62">
        <f>($L502-$M502)-($N502-$O502)</f>
        <v/>
      </c>
      <c r="R502" s="62">
        <f>$L502-$N502</f>
        <v/>
      </c>
    </row>
    <row r="503">
      <c r="A503" s="59">
        <f>ROW()-5</f>
        <v/>
      </c>
      <c r="B503" s="60">
        <f>IFERROR(INDEX(tbl_Finance[Date],$A503),"")</f>
        <v/>
      </c>
      <c r="C503" s="61">
        <f>IFERROR(INDEX(tbl_Finance[Xero Invoice No],$A503),"")</f>
        <v/>
      </c>
      <c r="D503" s="61">
        <f>IFERROR(INDEX(tbl_Finance[Client],$A503),"")</f>
        <v/>
      </c>
      <c r="E503" s="61">
        <f>IFERROR(INDEX(tbl_Finance[Job Number],$A503),"")</f>
        <v/>
      </c>
      <c r="F503" s="61">
        <f>IFERROR(INDEX(tbl_Finance[Cost Centre],$A503),"")</f>
        <v/>
      </c>
      <c r="G503" s="62">
        <f>IFERROR(INDEX(tbl_Finance[Ex GST],$A503),"")</f>
        <v/>
      </c>
      <c r="H503" s="60">
        <f>IFERROR(INDEX(tbl_Finance[Defer Start],$A503),"")</f>
        <v/>
      </c>
      <c r="I503" s="60">
        <f>IFERROR(INDEX(tbl_Finance[Defer End],$A503),"")</f>
        <v/>
      </c>
      <c r="J503" s="59">
        <f>IF(OR($H503="",$I503="",$G503=""),"",MAX(1,(YEAR($I503)-YEAR($H503))*12+MONTH($I503)-MONTH($H503)+1))</f>
        <v/>
      </c>
      <c r="K503" s="62">
        <f>IF($J503="","",$G503/$J503)</f>
        <v/>
      </c>
      <c r="L503" s="62">
        <f>IF($J503="",0,$K503*MAX(0,MIN(YEAR($C$3)*12+MONTH($C$3),YEAR($I503)*12+MONTH($I503))-(YEAR($H503)*12+MONTH($H503))+1))</f>
        <v/>
      </c>
      <c r="M503" s="62">
        <f>IF($J503="",0,$K503*MAX(0,MIN(YEAR($C$3)*12+MONTH($C$3)-1,YEAR($I503)*12+MONTH($I503))-(YEAR($H503)*12+MONTH($H503))+1))</f>
        <v/>
      </c>
      <c r="N503" s="62">
        <f>IF(OR($J503="",$B503=""),0,IF(YEAR($B503)*12+MONTH($B503)&lt;=YEAR($C$3)*12+MONTH($C$3),$G503,0))</f>
        <v/>
      </c>
      <c r="O503" s="62">
        <f>IF(OR($J503="",$B503=""),0,IF(YEAR($B503)*12+MONTH($B503)&lt;=YEAR($C$3)*12+MONTH($C$3)-1,$G503,0))</f>
        <v/>
      </c>
      <c r="P503" s="62">
        <f>$M503-$O503</f>
        <v/>
      </c>
      <c r="Q503" s="62">
        <f>($L503-$M503)-($N503-$O503)</f>
        <v/>
      </c>
      <c r="R503" s="62">
        <f>$L503-$N503</f>
        <v/>
      </c>
    </row>
    <row r="504">
      <c r="A504" s="59">
        <f>ROW()-5</f>
        <v/>
      </c>
      <c r="B504" s="60">
        <f>IFERROR(INDEX(tbl_Finance[Date],$A504),"")</f>
        <v/>
      </c>
      <c r="C504" s="61">
        <f>IFERROR(INDEX(tbl_Finance[Xero Invoice No],$A504),"")</f>
        <v/>
      </c>
      <c r="D504" s="61">
        <f>IFERROR(INDEX(tbl_Finance[Client],$A504),"")</f>
        <v/>
      </c>
      <c r="E504" s="61">
        <f>IFERROR(INDEX(tbl_Finance[Job Number],$A504),"")</f>
        <v/>
      </c>
      <c r="F504" s="61">
        <f>IFERROR(INDEX(tbl_Finance[Cost Centre],$A504),"")</f>
        <v/>
      </c>
      <c r="G504" s="62">
        <f>IFERROR(INDEX(tbl_Finance[Ex GST],$A504),"")</f>
        <v/>
      </c>
      <c r="H504" s="60">
        <f>IFERROR(INDEX(tbl_Finance[Defer Start],$A504),"")</f>
        <v/>
      </c>
      <c r="I504" s="60">
        <f>IFERROR(INDEX(tbl_Finance[Defer End],$A504),"")</f>
        <v/>
      </c>
      <c r="J504" s="59">
        <f>IF(OR($H504="",$I504="",$G504=""),"",MAX(1,(YEAR($I504)-YEAR($H504))*12+MONTH($I504)-MONTH($H504)+1))</f>
        <v/>
      </c>
      <c r="K504" s="62">
        <f>IF($J504="","",$G504/$J504)</f>
        <v/>
      </c>
      <c r="L504" s="62">
        <f>IF($J504="",0,$K504*MAX(0,MIN(YEAR($C$3)*12+MONTH($C$3),YEAR($I504)*12+MONTH($I504))-(YEAR($H504)*12+MONTH($H504))+1))</f>
        <v/>
      </c>
      <c r="M504" s="62">
        <f>IF($J504="",0,$K504*MAX(0,MIN(YEAR($C$3)*12+MONTH($C$3)-1,YEAR($I504)*12+MONTH($I504))-(YEAR($H504)*12+MONTH($H504))+1))</f>
        <v/>
      </c>
      <c r="N504" s="62">
        <f>IF(OR($J504="",$B504=""),0,IF(YEAR($B504)*12+MONTH($B504)&lt;=YEAR($C$3)*12+MONTH($C$3),$G504,0))</f>
        <v/>
      </c>
      <c r="O504" s="62">
        <f>IF(OR($J504="",$B504=""),0,IF(YEAR($B504)*12+MONTH($B504)&lt;=YEAR($C$3)*12+MONTH($C$3)-1,$G504,0))</f>
        <v/>
      </c>
      <c r="P504" s="62">
        <f>$M504-$O504</f>
        <v/>
      </c>
      <c r="Q504" s="62">
        <f>($L504-$M504)-($N504-$O504)</f>
        <v/>
      </c>
      <c r="R504" s="62">
        <f>$L504-$N504</f>
        <v/>
      </c>
    </row>
    <row r="505">
      <c r="A505" s="59">
        <f>ROW()-5</f>
        <v/>
      </c>
      <c r="B505" s="60">
        <f>IFERROR(INDEX(tbl_Finance[Date],$A505),"")</f>
        <v/>
      </c>
      <c r="C505" s="61">
        <f>IFERROR(INDEX(tbl_Finance[Xero Invoice No],$A505),"")</f>
        <v/>
      </c>
      <c r="D505" s="61">
        <f>IFERROR(INDEX(tbl_Finance[Client],$A505),"")</f>
        <v/>
      </c>
      <c r="E505" s="61">
        <f>IFERROR(INDEX(tbl_Finance[Job Number],$A505),"")</f>
        <v/>
      </c>
      <c r="F505" s="61">
        <f>IFERROR(INDEX(tbl_Finance[Cost Centre],$A505),"")</f>
        <v/>
      </c>
      <c r="G505" s="62">
        <f>IFERROR(INDEX(tbl_Finance[Ex GST],$A505),"")</f>
        <v/>
      </c>
      <c r="H505" s="60">
        <f>IFERROR(INDEX(tbl_Finance[Defer Start],$A505),"")</f>
        <v/>
      </c>
      <c r="I505" s="60">
        <f>IFERROR(INDEX(tbl_Finance[Defer End],$A505),"")</f>
        <v/>
      </c>
      <c r="J505" s="59">
        <f>IF(OR($H505="",$I505="",$G505=""),"",MAX(1,(YEAR($I505)-YEAR($H505))*12+MONTH($I505)-MONTH($H505)+1))</f>
        <v/>
      </c>
      <c r="K505" s="62">
        <f>IF($J505="","",$G505/$J505)</f>
        <v/>
      </c>
      <c r="L505" s="62">
        <f>IF($J505="",0,$K505*MAX(0,MIN(YEAR($C$3)*12+MONTH($C$3),YEAR($I505)*12+MONTH($I505))-(YEAR($H505)*12+MONTH($H505))+1))</f>
        <v/>
      </c>
      <c r="M505" s="62">
        <f>IF($J505="",0,$K505*MAX(0,MIN(YEAR($C$3)*12+MONTH($C$3)-1,YEAR($I505)*12+MONTH($I505))-(YEAR($H505)*12+MONTH($H505))+1))</f>
        <v/>
      </c>
      <c r="N505" s="62">
        <f>IF(OR($J505="",$B505=""),0,IF(YEAR($B505)*12+MONTH($B505)&lt;=YEAR($C$3)*12+MONTH($C$3),$G505,0))</f>
        <v/>
      </c>
      <c r="O505" s="62">
        <f>IF(OR($J505="",$B505=""),0,IF(YEAR($B505)*12+MONTH($B505)&lt;=YEAR($C$3)*12+MONTH($C$3)-1,$G505,0))</f>
        <v/>
      </c>
      <c r="P505" s="62">
        <f>$M505-$O505</f>
        <v/>
      </c>
      <c r="Q505" s="62">
        <f>($L505-$M505)-($N505-$O505)</f>
        <v/>
      </c>
      <c r="R505" s="62">
        <f>$L505-$N505</f>
        <v/>
      </c>
    </row>
    <row r="506">
      <c r="A506" s="59">
        <f>ROW()-5</f>
        <v/>
      </c>
      <c r="B506" s="60">
        <f>IFERROR(INDEX(tbl_Finance[Date],$A506),"")</f>
        <v/>
      </c>
      <c r="C506" s="61">
        <f>IFERROR(INDEX(tbl_Finance[Xero Invoice No],$A506),"")</f>
        <v/>
      </c>
      <c r="D506" s="61">
        <f>IFERROR(INDEX(tbl_Finance[Client],$A506),"")</f>
        <v/>
      </c>
      <c r="E506" s="61">
        <f>IFERROR(INDEX(tbl_Finance[Job Number],$A506),"")</f>
        <v/>
      </c>
      <c r="F506" s="61">
        <f>IFERROR(INDEX(tbl_Finance[Cost Centre],$A506),"")</f>
        <v/>
      </c>
      <c r="G506" s="62">
        <f>IFERROR(INDEX(tbl_Finance[Ex GST],$A506),"")</f>
        <v/>
      </c>
      <c r="H506" s="60">
        <f>IFERROR(INDEX(tbl_Finance[Defer Start],$A506),"")</f>
        <v/>
      </c>
      <c r="I506" s="60">
        <f>IFERROR(INDEX(tbl_Finance[Defer End],$A506),"")</f>
        <v/>
      </c>
      <c r="J506" s="59">
        <f>IF(OR($H506="",$I506="",$G506=""),"",MAX(1,(YEAR($I506)-YEAR($H506))*12+MONTH($I506)-MONTH($H506)+1))</f>
        <v/>
      </c>
      <c r="K506" s="62">
        <f>IF($J506="","",$G506/$J506)</f>
        <v/>
      </c>
      <c r="L506" s="62">
        <f>IF($J506="",0,$K506*MAX(0,MIN(YEAR($C$3)*12+MONTH($C$3),YEAR($I506)*12+MONTH($I506))-(YEAR($H506)*12+MONTH($H506))+1))</f>
        <v/>
      </c>
      <c r="M506" s="62">
        <f>IF($J506="",0,$K506*MAX(0,MIN(YEAR($C$3)*12+MONTH($C$3)-1,YEAR($I506)*12+MONTH($I506))-(YEAR($H506)*12+MONTH($H506))+1))</f>
        <v/>
      </c>
      <c r="N506" s="62">
        <f>IF(OR($J506="",$B506=""),0,IF(YEAR($B506)*12+MONTH($B506)&lt;=YEAR($C$3)*12+MONTH($C$3),$G506,0))</f>
        <v/>
      </c>
      <c r="O506" s="62">
        <f>IF(OR($J506="",$B506=""),0,IF(YEAR($B506)*12+MONTH($B506)&lt;=YEAR($C$3)*12+MONTH($C$3)-1,$G506,0))</f>
        <v/>
      </c>
      <c r="P506" s="62">
        <f>$M506-$O506</f>
        <v/>
      </c>
      <c r="Q506" s="62">
        <f>($L506-$M506)-($N506-$O506)</f>
        <v/>
      </c>
      <c r="R506" s="62">
        <f>$L506-$N506</f>
        <v/>
      </c>
    </row>
    <row r="507">
      <c r="A507" s="59">
        <f>ROW()-5</f>
        <v/>
      </c>
      <c r="B507" s="60">
        <f>IFERROR(INDEX(tbl_Finance[Date],$A507),"")</f>
        <v/>
      </c>
      <c r="C507" s="61">
        <f>IFERROR(INDEX(tbl_Finance[Xero Invoice No],$A507),"")</f>
        <v/>
      </c>
      <c r="D507" s="61">
        <f>IFERROR(INDEX(tbl_Finance[Client],$A507),"")</f>
        <v/>
      </c>
      <c r="E507" s="61">
        <f>IFERROR(INDEX(tbl_Finance[Job Number],$A507),"")</f>
        <v/>
      </c>
      <c r="F507" s="61">
        <f>IFERROR(INDEX(tbl_Finance[Cost Centre],$A507),"")</f>
        <v/>
      </c>
      <c r="G507" s="62">
        <f>IFERROR(INDEX(tbl_Finance[Ex GST],$A507),"")</f>
        <v/>
      </c>
      <c r="H507" s="60">
        <f>IFERROR(INDEX(tbl_Finance[Defer Start],$A507),"")</f>
        <v/>
      </c>
      <c r="I507" s="60">
        <f>IFERROR(INDEX(tbl_Finance[Defer End],$A507),"")</f>
        <v/>
      </c>
      <c r="J507" s="59">
        <f>IF(OR($H507="",$I507="",$G507=""),"",MAX(1,(YEAR($I507)-YEAR($H507))*12+MONTH($I507)-MONTH($H507)+1))</f>
        <v/>
      </c>
      <c r="K507" s="62">
        <f>IF($J507="","",$G507/$J507)</f>
        <v/>
      </c>
      <c r="L507" s="62">
        <f>IF($J507="",0,$K507*MAX(0,MIN(YEAR($C$3)*12+MONTH($C$3),YEAR($I507)*12+MONTH($I507))-(YEAR($H507)*12+MONTH($H507))+1))</f>
        <v/>
      </c>
      <c r="M507" s="62">
        <f>IF($J507="",0,$K507*MAX(0,MIN(YEAR($C$3)*12+MONTH($C$3)-1,YEAR($I507)*12+MONTH($I507))-(YEAR($H507)*12+MONTH($H507))+1))</f>
        <v/>
      </c>
      <c r="N507" s="62">
        <f>IF(OR($J507="",$B507=""),0,IF(YEAR($B507)*12+MONTH($B507)&lt;=YEAR($C$3)*12+MONTH($C$3),$G507,0))</f>
        <v/>
      </c>
      <c r="O507" s="62">
        <f>IF(OR($J507="",$B507=""),0,IF(YEAR($B507)*12+MONTH($B507)&lt;=YEAR($C$3)*12+MONTH($C$3)-1,$G507,0))</f>
        <v/>
      </c>
      <c r="P507" s="62">
        <f>$M507-$O507</f>
        <v/>
      </c>
      <c r="Q507" s="62">
        <f>($L507-$M507)-($N507-$O507)</f>
        <v/>
      </c>
      <c r="R507" s="62">
        <f>$L507-$N507</f>
        <v/>
      </c>
    </row>
    <row r="508">
      <c r="A508" s="59">
        <f>ROW()-5</f>
        <v/>
      </c>
      <c r="B508" s="60">
        <f>IFERROR(INDEX(tbl_Finance[Date],$A508),"")</f>
        <v/>
      </c>
      <c r="C508" s="61">
        <f>IFERROR(INDEX(tbl_Finance[Xero Invoice No],$A508),"")</f>
        <v/>
      </c>
      <c r="D508" s="61">
        <f>IFERROR(INDEX(tbl_Finance[Client],$A508),"")</f>
        <v/>
      </c>
      <c r="E508" s="61">
        <f>IFERROR(INDEX(tbl_Finance[Job Number],$A508),"")</f>
        <v/>
      </c>
      <c r="F508" s="61">
        <f>IFERROR(INDEX(tbl_Finance[Cost Centre],$A508),"")</f>
        <v/>
      </c>
      <c r="G508" s="62">
        <f>IFERROR(INDEX(tbl_Finance[Ex GST],$A508),"")</f>
        <v/>
      </c>
      <c r="H508" s="60">
        <f>IFERROR(INDEX(tbl_Finance[Defer Start],$A508),"")</f>
        <v/>
      </c>
      <c r="I508" s="60">
        <f>IFERROR(INDEX(tbl_Finance[Defer End],$A508),"")</f>
        <v/>
      </c>
      <c r="J508" s="59">
        <f>IF(OR($H508="",$I508="",$G508=""),"",MAX(1,(YEAR($I508)-YEAR($H508))*12+MONTH($I508)-MONTH($H508)+1))</f>
        <v/>
      </c>
      <c r="K508" s="62">
        <f>IF($J508="","",$G508/$J508)</f>
        <v/>
      </c>
      <c r="L508" s="62">
        <f>IF($J508="",0,$K508*MAX(0,MIN(YEAR($C$3)*12+MONTH($C$3),YEAR($I508)*12+MONTH($I508))-(YEAR($H508)*12+MONTH($H508))+1))</f>
        <v/>
      </c>
      <c r="M508" s="62">
        <f>IF($J508="",0,$K508*MAX(0,MIN(YEAR($C$3)*12+MONTH($C$3)-1,YEAR($I508)*12+MONTH($I508))-(YEAR($H508)*12+MONTH($H508))+1))</f>
        <v/>
      </c>
      <c r="N508" s="62">
        <f>IF(OR($J508="",$B508=""),0,IF(YEAR($B508)*12+MONTH($B508)&lt;=YEAR($C$3)*12+MONTH($C$3),$G508,0))</f>
        <v/>
      </c>
      <c r="O508" s="62">
        <f>IF(OR($J508="",$B508=""),0,IF(YEAR($B508)*12+MONTH($B508)&lt;=YEAR($C$3)*12+MONTH($C$3)-1,$G508,0))</f>
        <v/>
      </c>
      <c r="P508" s="62">
        <f>$M508-$O508</f>
        <v/>
      </c>
      <c r="Q508" s="62">
        <f>($L508-$M508)-($N508-$O508)</f>
        <v/>
      </c>
      <c r="R508" s="62">
        <f>$L508-$N508</f>
        <v/>
      </c>
    </row>
    <row r="509">
      <c r="A509" s="59">
        <f>ROW()-5</f>
        <v/>
      </c>
      <c r="B509" s="60">
        <f>IFERROR(INDEX(tbl_Finance[Date],$A509),"")</f>
        <v/>
      </c>
      <c r="C509" s="61">
        <f>IFERROR(INDEX(tbl_Finance[Xero Invoice No],$A509),"")</f>
        <v/>
      </c>
      <c r="D509" s="61">
        <f>IFERROR(INDEX(tbl_Finance[Client],$A509),"")</f>
        <v/>
      </c>
      <c r="E509" s="61">
        <f>IFERROR(INDEX(tbl_Finance[Job Number],$A509),"")</f>
        <v/>
      </c>
      <c r="F509" s="61">
        <f>IFERROR(INDEX(tbl_Finance[Cost Centre],$A509),"")</f>
        <v/>
      </c>
      <c r="G509" s="62">
        <f>IFERROR(INDEX(tbl_Finance[Ex GST],$A509),"")</f>
        <v/>
      </c>
      <c r="H509" s="60">
        <f>IFERROR(INDEX(tbl_Finance[Defer Start],$A509),"")</f>
        <v/>
      </c>
      <c r="I509" s="60">
        <f>IFERROR(INDEX(tbl_Finance[Defer End],$A509),"")</f>
        <v/>
      </c>
      <c r="J509" s="59">
        <f>IF(OR($H509="",$I509="",$G509=""),"",MAX(1,(YEAR($I509)-YEAR($H509))*12+MONTH($I509)-MONTH($H509)+1))</f>
        <v/>
      </c>
      <c r="K509" s="62">
        <f>IF($J509="","",$G509/$J509)</f>
        <v/>
      </c>
      <c r="L509" s="62">
        <f>IF($J509="",0,$K509*MAX(0,MIN(YEAR($C$3)*12+MONTH($C$3),YEAR($I509)*12+MONTH($I509))-(YEAR($H509)*12+MONTH($H509))+1))</f>
        <v/>
      </c>
      <c r="M509" s="62">
        <f>IF($J509="",0,$K509*MAX(0,MIN(YEAR($C$3)*12+MONTH($C$3)-1,YEAR($I509)*12+MONTH($I509))-(YEAR($H509)*12+MONTH($H509))+1))</f>
        <v/>
      </c>
      <c r="N509" s="62">
        <f>IF(OR($J509="",$B509=""),0,IF(YEAR($B509)*12+MONTH($B509)&lt;=YEAR($C$3)*12+MONTH($C$3),$G509,0))</f>
        <v/>
      </c>
      <c r="O509" s="62">
        <f>IF(OR($J509="",$B509=""),0,IF(YEAR($B509)*12+MONTH($B509)&lt;=YEAR($C$3)*12+MONTH($C$3)-1,$G509,0))</f>
        <v/>
      </c>
      <c r="P509" s="62">
        <f>$M509-$O509</f>
        <v/>
      </c>
      <c r="Q509" s="62">
        <f>($L509-$M509)-($N509-$O509)</f>
        <v/>
      </c>
      <c r="R509" s="62">
        <f>$L509-$N509</f>
        <v/>
      </c>
    </row>
    <row r="510">
      <c r="A510" s="59">
        <f>ROW()-5</f>
        <v/>
      </c>
      <c r="B510" s="60">
        <f>IFERROR(INDEX(tbl_Finance[Date],$A510),"")</f>
        <v/>
      </c>
      <c r="C510" s="61">
        <f>IFERROR(INDEX(tbl_Finance[Xero Invoice No],$A510),"")</f>
        <v/>
      </c>
      <c r="D510" s="61">
        <f>IFERROR(INDEX(tbl_Finance[Client],$A510),"")</f>
        <v/>
      </c>
      <c r="E510" s="61">
        <f>IFERROR(INDEX(tbl_Finance[Job Number],$A510),"")</f>
        <v/>
      </c>
      <c r="F510" s="61">
        <f>IFERROR(INDEX(tbl_Finance[Cost Centre],$A510),"")</f>
        <v/>
      </c>
      <c r="G510" s="62">
        <f>IFERROR(INDEX(tbl_Finance[Ex GST],$A510),"")</f>
        <v/>
      </c>
      <c r="H510" s="60">
        <f>IFERROR(INDEX(tbl_Finance[Defer Start],$A510),"")</f>
        <v/>
      </c>
      <c r="I510" s="60">
        <f>IFERROR(INDEX(tbl_Finance[Defer End],$A510),"")</f>
        <v/>
      </c>
      <c r="J510" s="59">
        <f>IF(OR($H510="",$I510="",$G510=""),"",MAX(1,(YEAR($I510)-YEAR($H510))*12+MONTH($I510)-MONTH($H510)+1))</f>
        <v/>
      </c>
      <c r="K510" s="62">
        <f>IF($J510="","",$G510/$J510)</f>
        <v/>
      </c>
      <c r="L510" s="62">
        <f>IF($J510="",0,$K510*MAX(0,MIN(YEAR($C$3)*12+MONTH($C$3),YEAR($I510)*12+MONTH($I510))-(YEAR($H510)*12+MONTH($H510))+1))</f>
        <v/>
      </c>
      <c r="M510" s="62">
        <f>IF($J510="",0,$K510*MAX(0,MIN(YEAR($C$3)*12+MONTH($C$3)-1,YEAR($I510)*12+MONTH($I510))-(YEAR($H510)*12+MONTH($H510))+1))</f>
        <v/>
      </c>
      <c r="N510" s="62">
        <f>IF(OR($J510="",$B510=""),0,IF(YEAR($B510)*12+MONTH($B510)&lt;=YEAR($C$3)*12+MONTH($C$3),$G510,0))</f>
        <v/>
      </c>
      <c r="O510" s="62">
        <f>IF(OR($J510="",$B510=""),0,IF(YEAR($B510)*12+MONTH($B510)&lt;=YEAR($C$3)*12+MONTH($C$3)-1,$G510,0))</f>
        <v/>
      </c>
      <c r="P510" s="62">
        <f>$M510-$O510</f>
        <v/>
      </c>
      <c r="Q510" s="62">
        <f>($L510-$M510)-($N510-$O510)</f>
        <v/>
      </c>
      <c r="R510" s="62">
        <f>$L510-$N510</f>
        <v/>
      </c>
    </row>
    <row r="511">
      <c r="A511" s="59">
        <f>ROW()-5</f>
        <v/>
      </c>
      <c r="B511" s="60">
        <f>IFERROR(INDEX(tbl_Finance[Date],$A511),"")</f>
        <v/>
      </c>
      <c r="C511" s="61">
        <f>IFERROR(INDEX(tbl_Finance[Xero Invoice No],$A511),"")</f>
        <v/>
      </c>
      <c r="D511" s="61">
        <f>IFERROR(INDEX(tbl_Finance[Client],$A511),"")</f>
        <v/>
      </c>
      <c r="E511" s="61">
        <f>IFERROR(INDEX(tbl_Finance[Job Number],$A511),"")</f>
        <v/>
      </c>
      <c r="F511" s="61">
        <f>IFERROR(INDEX(tbl_Finance[Cost Centre],$A511),"")</f>
        <v/>
      </c>
      <c r="G511" s="62">
        <f>IFERROR(INDEX(tbl_Finance[Ex GST],$A511),"")</f>
        <v/>
      </c>
      <c r="H511" s="60">
        <f>IFERROR(INDEX(tbl_Finance[Defer Start],$A511),"")</f>
        <v/>
      </c>
      <c r="I511" s="60">
        <f>IFERROR(INDEX(tbl_Finance[Defer End],$A511),"")</f>
        <v/>
      </c>
      <c r="J511" s="59">
        <f>IF(OR($H511="",$I511="",$G511=""),"",MAX(1,(YEAR($I511)-YEAR($H511))*12+MONTH($I511)-MONTH($H511)+1))</f>
        <v/>
      </c>
      <c r="K511" s="62">
        <f>IF($J511="","",$G511/$J511)</f>
        <v/>
      </c>
      <c r="L511" s="62">
        <f>IF($J511="",0,$K511*MAX(0,MIN(YEAR($C$3)*12+MONTH($C$3),YEAR($I511)*12+MONTH($I511))-(YEAR($H511)*12+MONTH($H511))+1))</f>
        <v/>
      </c>
      <c r="M511" s="62">
        <f>IF($J511="",0,$K511*MAX(0,MIN(YEAR($C$3)*12+MONTH($C$3)-1,YEAR($I511)*12+MONTH($I511))-(YEAR($H511)*12+MONTH($H511))+1))</f>
        <v/>
      </c>
      <c r="N511" s="62">
        <f>IF(OR($J511="",$B511=""),0,IF(YEAR($B511)*12+MONTH($B511)&lt;=YEAR($C$3)*12+MONTH($C$3),$G511,0))</f>
        <v/>
      </c>
      <c r="O511" s="62">
        <f>IF(OR($J511="",$B511=""),0,IF(YEAR($B511)*12+MONTH($B511)&lt;=YEAR($C$3)*12+MONTH($C$3)-1,$G511,0))</f>
        <v/>
      </c>
      <c r="P511" s="62">
        <f>$M511-$O511</f>
        <v/>
      </c>
      <c r="Q511" s="62">
        <f>($L511-$M511)-($N511-$O511)</f>
        <v/>
      </c>
      <c r="R511" s="62">
        <f>$L511-$N511</f>
        <v/>
      </c>
    </row>
    <row r="512">
      <c r="A512" s="59">
        <f>ROW()-5</f>
        <v/>
      </c>
      <c r="B512" s="60">
        <f>IFERROR(INDEX(tbl_Finance[Date],$A512),"")</f>
        <v/>
      </c>
      <c r="C512" s="61">
        <f>IFERROR(INDEX(tbl_Finance[Xero Invoice No],$A512),"")</f>
        <v/>
      </c>
      <c r="D512" s="61">
        <f>IFERROR(INDEX(tbl_Finance[Client],$A512),"")</f>
        <v/>
      </c>
      <c r="E512" s="61">
        <f>IFERROR(INDEX(tbl_Finance[Job Number],$A512),"")</f>
        <v/>
      </c>
      <c r="F512" s="61">
        <f>IFERROR(INDEX(tbl_Finance[Cost Centre],$A512),"")</f>
        <v/>
      </c>
      <c r="G512" s="62">
        <f>IFERROR(INDEX(tbl_Finance[Ex GST],$A512),"")</f>
        <v/>
      </c>
      <c r="H512" s="60">
        <f>IFERROR(INDEX(tbl_Finance[Defer Start],$A512),"")</f>
        <v/>
      </c>
      <c r="I512" s="60">
        <f>IFERROR(INDEX(tbl_Finance[Defer End],$A512),"")</f>
        <v/>
      </c>
      <c r="J512" s="59">
        <f>IF(OR($H512="",$I512="",$G512=""),"",MAX(1,(YEAR($I512)-YEAR($H512))*12+MONTH($I512)-MONTH($H512)+1))</f>
        <v/>
      </c>
      <c r="K512" s="62">
        <f>IF($J512="","",$G512/$J512)</f>
        <v/>
      </c>
      <c r="L512" s="62">
        <f>IF($J512="",0,$K512*MAX(0,MIN(YEAR($C$3)*12+MONTH($C$3),YEAR($I512)*12+MONTH($I512))-(YEAR($H512)*12+MONTH($H512))+1))</f>
        <v/>
      </c>
      <c r="M512" s="62">
        <f>IF($J512="",0,$K512*MAX(0,MIN(YEAR($C$3)*12+MONTH($C$3)-1,YEAR($I512)*12+MONTH($I512))-(YEAR($H512)*12+MONTH($H512))+1))</f>
        <v/>
      </c>
      <c r="N512" s="62">
        <f>IF(OR($J512="",$B512=""),0,IF(YEAR($B512)*12+MONTH($B512)&lt;=YEAR($C$3)*12+MONTH($C$3),$G512,0))</f>
        <v/>
      </c>
      <c r="O512" s="62">
        <f>IF(OR($J512="",$B512=""),0,IF(YEAR($B512)*12+MONTH($B512)&lt;=YEAR($C$3)*12+MONTH($C$3)-1,$G512,0))</f>
        <v/>
      </c>
      <c r="P512" s="62">
        <f>$M512-$O512</f>
        <v/>
      </c>
      <c r="Q512" s="62">
        <f>($L512-$M512)-($N512-$O512)</f>
        <v/>
      </c>
      <c r="R512" s="62">
        <f>$L512-$N512</f>
        <v/>
      </c>
    </row>
    <row r="513">
      <c r="A513" s="59">
        <f>ROW()-5</f>
        <v/>
      </c>
      <c r="B513" s="60">
        <f>IFERROR(INDEX(tbl_Finance[Date],$A513),"")</f>
        <v/>
      </c>
      <c r="C513" s="61">
        <f>IFERROR(INDEX(tbl_Finance[Xero Invoice No],$A513),"")</f>
        <v/>
      </c>
      <c r="D513" s="61">
        <f>IFERROR(INDEX(tbl_Finance[Client],$A513),"")</f>
        <v/>
      </c>
      <c r="E513" s="61">
        <f>IFERROR(INDEX(tbl_Finance[Job Number],$A513),"")</f>
        <v/>
      </c>
      <c r="F513" s="61">
        <f>IFERROR(INDEX(tbl_Finance[Cost Centre],$A513),"")</f>
        <v/>
      </c>
      <c r="G513" s="62">
        <f>IFERROR(INDEX(tbl_Finance[Ex GST],$A513),"")</f>
        <v/>
      </c>
      <c r="H513" s="60">
        <f>IFERROR(INDEX(tbl_Finance[Defer Start],$A513),"")</f>
        <v/>
      </c>
      <c r="I513" s="60">
        <f>IFERROR(INDEX(tbl_Finance[Defer End],$A513),"")</f>
        <v/>
      </c>
      <c r="J513" s="59">
        <f>IF(OR($H513="",$I513="",$G513=""),"",MAX(1,(YEAR($I513)-YEAR($H513))*12+MONTH($I513)-MONTH($H513)+1))</f>
        <v/>
      </c>
      <c r="K513" s="62">
        <f>IF($J513="","",$G513/$J513)</f>
        <v/>
      </c>
      <c r="L513" s="62">
        <f>IF($J513="",0,$K513*MAX(0,MIN(YEAR($C$3)*12+MONTH($C$3),YEAR($I513)*12+MONTH($I513))-(YEAR($H513)*12+MONTH($H513))+1))</f>
        <v/>
      </c>
      <c r="M513" s="62">
        <f>IF($J513="",0,$K513*MAX(0,MIN(YEAR($C$3)*12+MONTH($C$3)-1,YEAR($I513)*12+MONTH($I513))-(YEAR($H513)*12+MONTH($H513))+1))</f>
        <v/>
      </c>
      <c r="N513" s="62">
        <f>IF(OR($J513="",$B513=""),0,IF(YEAR($B513)*12+MONTH($B513)&lt;=YEAR($C$3)*12+MONTH($C$3),$G513,0))</f>
        <v/>
      </c>
      <c r="O513" s="62">
        <f>IF(OR($J513="",$B513=""),0,IF(YEAR($B513)*12+MONTH($B513)&lt;=YEAR($C$3)*12+MONTH($C$3)-1,$G513,0))</f>
        <v/>
      </c>
      <c r="P513" s="62">
        <f>$M513-$O513</f>
        <v/>
      </c>
      <c r="Q513" s="62">
        <f>($L513-$M513)-($N513-$O513)</f>
        <v/>
      </c>
      <c r="R513" s="62">
        <f>$L513-$N513</f>
        <v/>
      </c>
    </row>
    <row r="514">
      <c r="A514" s="59">
        <f>ROW()-5</f>
        <v/>
      </c>
      <c r="B514" s="60">
        <f>IFERROR(INDEX(tbl_Finance[Date],$A514),"")</f>
        <v/>
      </c>
      <c r="C514" s="61">
        <f>IFERROR(INDEX(tbl_Finance[Xero Invoice No],$A514),"")</f>
        <v/>
      </c>
      <c r="D514" s="61">
        <f>IFERROR(INDEX(tbl_Finance[Client],$A514),"")</f>
        <v/>
      </c>
      <c r="E514" s="61">
        <f>IFERROR(INDEX(tbl_Finance[Job Number],$A514),"")</f>
        <v/>
      </c>
      <c r="F514" s="61">
        <f>IFERROR(INDEX(tbl_Finance[Cost Centre],$A514),"")</f>
        <v/>
      </c>
      <c r="G514" s="62">
        <f>IFERROR(INDEX(tbl_Finance[Ex GST],$A514),"")</f>
        <v/>
      </c>
      <c r="H514" s="60">
        <f>IFERROR(INDEX(tbl_Finance[Defer Start],$A514),"")</f>
        <v/>
      </c>
      <c r="I514" s="60">
        <f>IFERROR(INDEX(tbl_Finance[Defer End],$A514),"")</f>
        <v/>
      </c>
      <c r="J514" s="59">
        <f>IF(OR($H514="",$I514="",$G514=""),"",MAX(1,(YEAR($I514)-YEAR($H514))*12+MONTH($I514)-MONTH($H514)+1))</f>
        <v/>
      </c>
      <c r="K514" s="62">
        <f>IF($J514="","",$G514/$J514)</f>
        <v/>
      </c>
      <c r="L514" s="62">
        <f>IF($J514="",0,$K514*MAX(0,MIN(YEAR($C$3)*12+MONTH($C$3),YEAR($I514)*12+MONTH($I514))-(YEAR($H514)*12+MONTH($H514))+1))</f>
        <v/>
      </c>
      <c r="M514" s="62">
        <f>IF($J514="",0,$K514*MAX(0,MIN(YEAR($C$3)*12+MONTH($C$3)-1,YEAR($I514)*12+MONTH($I514))-(YEAR($H514)*12+MONTH($H514))+1))</f>
        <v/>
      </c>
      <c r="N514" s="62">
        <f>IF(OR($J514="",$B514=""),0,IF(YEAR($B514)*12+MONTH($B514)&lt;=YEAR($C$3)*12+MONTH($C$3),$G514,0))</f>
        <v/>
      </c>
      <c r="O514" s="62">
        <f>IF(OR($J514="",$B514=""),0,IF(YEAR($B514)*12+MONTH($B514)&lt;=YEAR($C$3)*12+MONTH($C$3)-1,$G514,0))</f>
        <v/>
      </c>
      <c r="P514" s="62">
        <f>$M514-$O514</f>
        <v/>
      </c>
      <c r="Q514" s="62">
        <f>($L514-$M514)-($N514-$O514)</f>
        <v/>
      </c>
      <c r="R514" s="62">
        <f>$L514-$N514</f>
        <v/>
      </c>
    </row>
    <row r="515">
      <c r="A515" s="59">
        <f>ROW()-5</f>
        <v/>
      </c>
      <c r="B515" s="60">
        <f>IFERROR(INDEX(tbl_Finance[Date],$A515),"")</f>
        <v/>
      </c>
      <c r="C515" s="61">
        <f>IFERROR(INDEX(tbl_Finance[Xero Invoice No],$A515),"")</f>
        <v/>
      </c>
      <c r="D515" s="61">
        <f>IFERROR(INDEX(tbl_Finance[Client],$A515),"")</f>
        <v/>
      </c>
      <c r="E515" s="61">
        <f>IFERROR(INDEX(tbl_Finance[Job Number],$A515),"")</f>
        <v/>
      </c>
      <c r="F515" s="61">
        <f>IFERROR(INDEX(tbl_Finance[Cost Centre],$A515),"")</f>
        <v/>
      </c>
      <c r="G515" s="62">
        <f>IFERROR(INDEX(tbl_Finance[Ex GST],$A515),"")</f>
        <v/>
      </c>
      <c r="H515" s="60">
        <f>IFERROR(INDEX(tbl_Finance[Defer Start],$A515),"")</f>
        <v/>
      </c>
      <c r="I515" s="60">
        <f>IFERROR(INDEX(tbl_Finance[Defer End],$A515),"")</f>
        <v/>
      </c>
      <c r="J515" s="59">
        <f>IF(OR($H515="",$I515="",$G515=""),"",MAX(1,(YEAR($I515)-YEAR($H515))*12+MONTH($I515)-MONTH($H515)+1))</f>
        <v/>
      </c>
      <c r="K515" s="62">
        <f>IF($J515="","",$G515/$J515)</f>
        <v/>
      </c>
      <c r="L515" s="62">
        <f>IF($J515="",0,$K515*MAX(0,MIN(YEAR($C$3)*12+MONTH($C$3),YEAR($I515)*12+MONTH($I515))-(YEAR($H515)*12+MONTH($H515))+1))</f>
        <v/>
      </c>
      <c r="M515" s="62">
        <f>IF($J515="",0,$K515*MAX(0,MIN(YEAR($C$3)*12+MONTH($C$3)-1,YEAR($I515)*12+MONTH($I515))-(YEAR($H515)*12+MONTH($H515))+1))</f>
        <v/>
      </c>
      <c r="N515" s="62">
        <f>IF(OR($J515="",$B515=""),0,IF(YEAR($B515)*12+MONTH($B515)&lt;=YEAR($C$3)*12+MONTH($C$3),$G515,0))</f>
        <v/>
      </c>
      <c r="O515" s="62">
        <f>IF(OR($J515="",$B515=""),0,IF(YEAR($B515)*12+MONTH($B515)&lt;=YEAR($C$3)*12+MONTH($C$3)-1,$G515,0))</f>
        <v/>
      </c>
      <c r="P515" s="62">
        <f>$M515-$O515</f>
        <v/>
      </c>
      <c r="Q515" s="62">
        <f>($L515-$M515)-($N515-$O515)</f>
        <v/>
      </c>
      <c r="R515" s="62">
        <f>$L515-$N515</f>
        <v/>
      </c>
    </row>
    <row r="516">
      <c r="A516" s="59">
        <f>ROW()-5</f>
        <v/>
      </c>
      <c r="B516" s="60">
        <f>IFERROR(INDEX(tbl_Finance[Date],$A516),"")</f>
        <v/>
      </c>
      <c r="C516" s="61">
        <f>IFERROR(INDEX(tbl_Finance[Xero Invoice No],$A516),"")</f>
        <v/>
      </c>
      <c r="D516" s="61">
        <f>IFERROR(INDEX(tbl_Finance[Client],$A516),"")</f>
        <v/>
      </c>
      <c r="E516" s="61">
        <f>IFERROR(INDEX(tbl_Finance[Job Number],$A516),"")</f>
        <v/>
      </c>
      <c r="F516" s="61">
        <f>IFERROR(INDEX(tbl_Finance[Cost Centre],$A516),"")</f>
        <v/>
      </c>
      <c r="G516" s="62">
        <f>IFERROR(INDEX(tbl_Finance[Ex GST],$A516),"")</f>
        <v/>
      </c>
      <c r="H516" s="60">
        <f>IFERROR(INDEX(tbl_Finance[Defer Start],$A516),"")</f>
        <v/>
      </c>
      <c r="I516" s="60">
        <f>IFERROR(INDEX(tbl_Finance[Defer End],$A516),"")</f>
        <v/>
      </c>
      <c r="J516" s="59">
        <f>IF(OR($H516="",$I516="",$G516=""),"",MAX(1,(YEAR($I516)-YEAR($H516))*12+MONTH($I516)-MONTH($H516)+1))</f>
        <v/>
      </c>
      <c r="K516" s="62">
        <f>IF($J516="","",$G516/$J516)</f>
        <v/>
      </c>
      <c r="L516" s="62">
        <f>IF($J516="",0,$K516*MAX(0,MIN(YEAR($C$3)*12+MONTH($C$3),YEAR($I516)*12+MONTH($I516))-(YEAR($H516)*12+MONTH($H516))+1))</f>
        <v/>
      </c>
      <c r="M516" s="62">
        <f>IF($J516="",0,$K516*MAX(0,MIN(YEAR($C$3)*12+MONTH($C$3)-1,YEAR($I516)*12+MONTH($I516))-(YEAR($H516)*12+MONTH($H516))+1))</f>
        <v/>
      </c>
      <c r="N516" s="62">
        <f>IF(OR($J516="",$B516=""),0,IF(YEAR($B516)*12+MONTH($B516)&lt;=YEAR($C$3)*12+MONTH($C$3),$G516,0))</f>
        <v/>
      </c>
      <c r="O516" s="62">
        <f>IF(OR($J516="",$B516=""),0,IF(YEAR($B516)*12+MONTH($B516)&lt;=YEAR($C$3)*12+MONTH($C$3)-1,$G516,0))</f>
        <v/>
      </c>
      <c r="P516" s="62">
        <f>$M516-$O516</f>
        <v/>
      </c>
      <c r="Q516" s="62">
        <f>($L516-$M516)-($N516-$O516)</f>
        <v/>
      </c>
      <c r="R516" s="62">
        <f>$L516-$N516</f>
        <v/>
      </c>
    </row>
    <row r="517">
      <c r="A517" s="59">
        <f>ROW()-5</f>
        <v/>
      </c>
      <c r="B517" s="60">
        <f>IFERROR(INDEX(tbl_Finance[Date],$A517),"")</f>
        <v/>
      </c>
      <c r="C517" s="61">
        <f>IFERROR(INDEX(tbl_Finance[Xero Invoice No],$A517),"")</f>
        <v/>
      </c>
      <c r="D517" s="61">
        <f>IFERROR(INDEX(tbl_Finance[Client],$A517),"")</f>
        <v/>
      </c>
      <c r="E517" s="61">
        <f>IFERROR(INDEX(tbl_Finance[Job Number],$A517),"")</f>
        <v/>
      </c>
      <c r="F517" s="61">
        <f>IFERROR(INDEX(tbl_Finance[Cost Centre],$A517),"")</f>
        <v/>
      </c>
      <c r="G517" s="62">
        <f>IFERROR(INDEX(tbl_Finance[Ex GST],$A517),"")</f>
        <v/>
      </c>
      <c r="H517" s="60">
        <f>IFERROR(INDEX(tbl_Finance[Defer Start],$A517),"")</f>
        <v/>
      </c>
      <c r="I517" s="60">
        <f>IFERROR(INDEX(tbl_Finance[Defer End],$A517),"")</f>
        <v/>
      </c>
      <c r="J517" s="59">
        <f>IF(OR($H517="",$I517="",$G517=""),"",MAX(1,(YEAR($I517)-YEAR($H517))*12+MONTH($I517)-MONTH($H517)+1))</f>
        <v/>
      </c>
      <c r="K517" s="62">
        <f>IF($J517="","",$G517/$J517)</f>
        <v/>
      </c>
      <c r="L517" s="62">
        <f>IF($J517="",0,$K517*MAX(0,MIN(YEAR($C$3)*12+MONTH($C$3),YEAR($I517)*12+MONTH($I517))-(YEAR($H517)*12+MONTH($H517))+1))</f>
        <v/>
      </c>
      <c r="M517" s="62">
        <f>IF($J517="",0,$K517*MAX(0,MIN(YEAR($C$3)*12+MONTH($C$3)-1,YEAR($I517)*12+MONTH($I517))-(YEAR($H517)*12+MONTH($H517))+1))</f>
        <v/>
      </c>
      <c r="N517" s="62">
        <f>IF(OR($J517="",$B517=""),0,IF(YEAR($B517)*12+MONTH($B517)&lt;=YEAR($C$3)*12+MONTH($C$3),$G517,0))</f>
        <v/>
      </c>
      <c r="O517" s="62">
        <f>IF(OR($J517="",$B517=""),0,IF(YEAR($B517)*12+MONTH($B517)&lt;=YEAR($C$3)*12+MONTH($C$3)-1,$G517,0))</f>
        <v/>
      </c>
      <c r="P517" s="62">
        <f>$M517-$O517</f>
        <v/>
      </c>
      <c r="Q517" s="62">
        <f>($L517-$M517)-($N517-$O517)</f>
        <v/>
      </c>
      <c r="R517" s="62">
        <f>$L517-$N517</f>
        <v/>
      </c>
    </row>
    <row r="518">
      <c r="A518" s="59">
        <f>ROW()-5</f>
        <v/>
      </c>
      <c r="B518" s="60">
        <f>IFERROR(INDEX(tbl_Finance[Date],$A518),"")</f>
        <v/>
      </c>
      <c r="C518" s="61">
        <f>IFERROR(INDEX(tbl_Finance[Xero Invoice No],$A518),"")</f>
        <v/>
      </c>
      <c r="D518" s="61">
        <f>IFERROR(INDEX(tbl_Finance[Client],$A518),"")</f>
        <v/>
      </c>
      <c r="E518" s="61">
        <f>IFERROR(INDEX(tbl_Finance[Job Number],$A518),"")</f>
        <v/>
      </c>
      <c r="F518" s="61">
        <f>IFERROR(INDEX(tbl_Finance[Cost Centre],$A518),"")</f>
        <v/>
      </c>
      <c r="G518" s="62">
        <f>IFERROR(INDEX(tbl_Finance[Ex GST],$A518),"")</f>
        <v/>
      </c>
      <c r="H518" s="60">
        <f>IFERROR(INDEX(tbl_Finance[Defer Start],$A518),"")</f>
        <v/>
      </c>
      <c r="I518" s="60">
        <f>IFERROR(INDEX(tbl_Finance[Defer End],$A518),"")</f>
        <v/>
      </c>
      <c r="J518" s="59">
        <f>IF(OR($H518="",$I518="",$G518=""),"",MAX(1,(YEAR($I518)-YEAR($H518))*12+MONTH($I518)-MONTH($H518)+1))</f>
        <v/>
      </c>
      <c r="K518" s="62">
        <f>IF($J518="","",$G518/$J518)</f>
        <v/>
      </c>
      <c r="L518" s="62">
        <f>IF($J518="",0,$K518*MAX(0,MIN(YEAR($C$3)*12+MONTH($C$3),YEAR($I518)*12+MONTH($I518))-(YEAR($H518)*12+MONTH($H518))+1))</f>
        <v/>
      </c>
      <c r="M518" s="62">
        <f>IF($J518="",0,$K518*MAX(0,MIN(YEAR($C$3)*12+MONTH($C$3)-1,YEAR($I518)*12+MONTH($I518))-(YEAR($H518)*12+MONTH($H518))+1))</f>
        <v/>
      </c>
      <c r="N518" s="62">
        <f>IF(OR($J518="",$B518=""),0,IF(YEAR($B518)*12+MONTH($B518)&lt;=YEAR($C$3)*12+MONTH($C$3),$G518,0))</f>
        <v/>
      </c>
      <c r="O518" s="62">
        <f>IF(OR($J518="",$B518=""),0,IF(YEAR($B518)*12+MONTH($B518)&lt;=YEAR($C$3)*12+MONTH($C$3)-1,$G518,0))</f>
        <v/>
      </c>
      <c r="P518" s="62">
        <f>$M518-$O518</f>
        <v/>
      </c>
      <c r="Q518" s="62">
        <f>($L518-$M518)-($N518-$O518)</f>
        <v/>
      </c>
      <c r="R518" s="62">
        <f>$L518-$N518</f>
        <v/>
      </c>
    </row>
    <row r="519">
      <c r="A519" s="59">
        <f>ROW()-5</f>
        <v/>
      </c>
      <c r="B519" s="60">
        <f>IFERROR(INDEX(tbl_Finance[Date],$A519),"")</f>
        <v/>
      </c>
      <c r="C519" s="61">
        <f>IFERROR(INDEX(tbl_Finance[Xero Invoice No],$A519),"")</f>
        <v/>
      </c>
      <c r="D519" s="61">
        <f>IFERROR(INDEX(tbl_Finance[Client],$A519),"")</f>
        <v/>
      </c>
      <c r="E519" s="61">
        <f>IFERROR(INDEX(tbl_Finance[Job Number],$A519),"")</f>
        <v/>
      </c>
      <c r="F519" s="61">
        <f>IFERROR(INDEX(tbl_Finance[Cost Centre],$A519),"")</f>
        <v/>
      </c>
      <c r="G519" s="62">
        <f>IFERROR(INDEX(tbl_Finance[Ex GST],$A519),"")</f>
        <v/>
      </c>
      <c r="H519" s="60">
        <f>IFERROR(INDEX(tbl_Finance[Defer Start],$A519),"")</f>
        <v/>
      </c>
      <c r="I519" s="60">
        <f>IFERROR(INDEX(tbl_Finance[Defer End],$A519),"")</f>
        <v/>
      </c>
      <c r="J519" s="59">
        <f>IF(OR($H519="",$I519="",$G519=""),"",MAX(1,(YEAR($I519)-YEAR($H519))*12+MONTH($I519)-MONTH($H519)+1))</f>
        <v/>
      </c>
      <c r="K519" s="62">
        <f>IF($J519="","",$G519/$J519)</f>
        <v/>
      </c>
      <c r="L519" s="62">
        <f>IF($J519="",0,$K519*MAX(0,MIN(YEAR($C$3)*12+MONTH($C$3),YEAR($I519)*12+MONTH($I519))-(YEAR($H519)*12+MONTH($H519))+1))</f>
        <v/>
      </c>
      <c r="M519" s="62">
        <f>IF($J519="",0,$K519*MAX(0,MIN(YEAR($C$3)*12+MONTH($C$3)-1,YEAR($I519)*12+MONTH($I519))-(YEAR($H519)*12+MONTH($H519))+1))</f>
        <v/>
      </c>
      <c r="N519" s="62">
        <f>IF(OR($J519="",$B519=""),0,IF(YEAR($B519)*12+MONTH($B519)&lt;=YEAR($C$3)*12+MONTH($C$3),$G519,0))</f>
        <v/>
      </c>
      <c r="O519" s="62">
        <f>IF(OR($J519="",$B519=""),0,IF(YEAR($B519)*12+MONTH($B519)&lt;=YEAR($C$3)*12+MONTH($C$3)-1,$G519,0))</f>
        <v/>
      </c>
      <c r="P519" s="62">
        <f>$M519-$O519</f>
        <v/>
      </c>
      <c r="Q519" s="62">
        <f>($L519-$M519)-($N519-$O519)</f>
        <v/>
      </c>
      <c r="R519" s="62">
        <f>$L519-$N519</f>
        <v/>
      </c>
    </row>
    <row r="520">
      <c r="A520" s="59">
        <f>ROW()-5</f>
        <v/>
      </c>
      <c r="B520" s="60">
        <f>IFERROR(INDEX(tbl_Finance[Date],$A520),"")</f>
        <v/>
      </c>
      <c r="C520" s="61">
        <f>IFERROR(INDEX(tbl_Finance[Xero Invoice No],$A520),"")</f>
        <v/>
      </c>
      <c r="D520" s="61">
        <f>IFERROR(INDEX(tbl_Finance[Client],$A520),"")</f>
        <v/>
      </c>
      <c r="E520" s="61">
        <f>IFERROR(INDEX(tbl_Finance[Job Number],$A520),"")</f>
        <v/>
      </c>
      <c r="F520" s="61">
        <f>IFERROR(INDEX(tbl_Finance[Cost Centre],$A520),"")</f>
        <v/>
      </c>
      <c r="G520" s="62">
        <f>IFERROR(INDEX(tbl_Finance[Ex GST],$A520),"")</f>
        <v/>
      </c>
      <c r="H520" s="60">
        <f>IFERROR(INDEX(tbl_Finance[Defer Start],$A520),"")</f>
        <v/>
      </c>
      <c r="I520" s="60">
        <f>IFERROR(INDEX(tbl_Finance[Defer End],$A520),"")</f>
        <v/>
      </c>
      <c r="J520" s="59">
        <f>IF(OR($H520="",$I520="",$G520=""),"",MAX(1,(YEAR($I520)-YEAR($H520))*12+MONTH($I520)-MONTH($H520)+1))</f>
        <v/>
      </c>
      <c r="K520" s="62">
        <f>IF($J520="","",$G520/$J520)</f>
        <v/>
      </c>
      <c r="L520" s="62">
        <f>IF($J520="",0,$K520*MAX(0,MIN(YEAR($C$3)*12+MONTH($C$3),YEAR($I520)*12+MONTH($I520))-(YEAR($H520)*12+MONTH($H520))+1))</f>
        <v/>
      </c>
      <c r="M520" s="62">
        <f>IF($J520="",0,$K520*MAX(0,MIN(YEAR($C$3)*12+MONTH($C$3)-1,YEAR($I520)*12+MONTH($I520))-(YEAR($H520)*12+MONTH($H520))+1))</f>
        <v/>
      </c>
      <c r="N520" s="62">
        <f>IF(OR($J520="",$B520=""),0,IF(YEAR($B520)*12+MONTH($B520)&lt;=YEAR($C$3)*12+MONTH($C$3),$G520,0))</f>
        <v/>
      </c>
      <c r="O520" s="62">
        <f>IF(OR($J520="",$B520=""),0,IF(YEAR($B520)*12+MONTH($B520)&lt;=YEAR($C$3)*12+MONTH($C$3)-1,$G520,0))</f>
        <v/>
      </c>
      <c r="P520" s="62">
        <f>$M520-$O520</f>
        <v/>
      </c>
      <c r="Q520" s="62">
        <f>($L520-$M520)-($N520-$O520)</f>
        <v/>
      </c>
      <c r="R520" s="62">
        <f>$L520-$N520</f>
        <v/>
      </c>
    </row>
    <row r="521">
      <c r="A521" s="59">
        <f>ROW()-5</f>
        <v/>
      </c>
      <c r="B521" s="60">
        <f>IFERROR(INDEX(tbl_Finance[Date],$A521),"")</f>
        <v/>
      </c>
      <c r="C521" s="61">
        <f>IFERROR(INDEX(tbl_Finance[Xero Invoice No],$A521),"")</f>
        <v/>
      </c>
      <c r="D521" s="61">
        <f>IFERROR(INDEX(tbl_Finance[Client],$A521),"")</f>
        <v/>
      </c>
      <c r="E521" s="61">
        <f>IFERROR(INDEX(tbl_Finance[Job Number],$A521),"")</f>
        <v/>
      </c>
      <c r="F521" s="61">
        <f>IFERROR(INDEX(tbl_Finance[Cost Centre],$A521),"")</f>
        <v/>
      </c>
      <c r="G521" s="62">
        <f>IFERROR(INDEX(tbl_Finance[Ex GST],$A521),"")</f>
        <v/>
      </c>
      <c r="H521" s="60">
        <f>IFERROR(INDEX(tbl_Finance[Defer Start],$A521),"")</f>
        <v/>
      </c>
      <c r="I521" s="60">
        <f>IFERROR(INDEX(tbl_Finance[Defer End],$A521),"")</f>
        <v/>
      </c>
      <c r="J521" s="59">
        <f>IF(OR($H521="",$I521="",$G521=""),"",MAX(1,(YEAR($I521)-YEAR($H521))*12+MONTH($I521)-MONTH($H521)+1))</f>
        <v/>
      </c>
      <c r="K521" s="62">
        <f>IF($J521="","",$G521/$J521)</f>
        <v/>
      </c>
      <c r="L521" s="62">
        <f>IF($J521="",0,$K521*MAX(0,MIN(YEAR($C$3)*12+MONTH($C$3),YEAR($I521)*12+MONTH($I521))-(YEAR($H521)*12+MONTH($H521))+1))</f>
        <v/>
      </c>
      <c r="M521" s="62">
        <f>IF($J521="",0,$K521*MAX(0,MIN(YEAR($C$3)*12+MONTH($C$3)-1,YEAR($I521)*12+MONTH($I521))-(YEAR($H521)*12+MONTH($H521))+1))</f>
        <v/>
      </c>
      <c r="N521" s="62">
        <f>IF(OR($J521="",$B521=""),0,IF(YEAR($B521)*12+MONTH($B521)&lt;=YEAR($C$3)*12+MONTH($C$3),$G521,0))</f>
        <v/>
      </c>
      <c r="O521" s="62">
        <f>IF(OR($J521="",$B521=""),0,IF(YEAR($B521)*12+MONTH($B521)&lt;=YEAR($C$3)*12+MONTH($C$3)-1,$G521,0))</f>
        <v/>
      </c>
      <c r="P521" s="62">
        <f>$M521-$O521</f>
        <v/>
      </c>
      <c r="Q521" s="62">
        <f>($L521-$M521)-($N521-$O521)</f>
        <v/>
      </c>
      <c r="R521" s="62">
        <f>$L521-$N521</f>
        <v/>
      </c>
    </row>
    <row r="522">
      <c r="A522" s="59">
        <f>ROW()-5</f>
        <v/>
      </c>
      <c r="B522" s="60">
        <f>IFERROR(INDEX(tbl_Finance[Date],$A522),"")</f>
        <v/>
      </c>
      <c r="C522" s="61">
        <f>IFERROR(INDEX(tbl_Finance[Xero Invoice No],$A522),"")</f>
        <v/>
      </c>
      <c r="D522" s="61">
        <f>IFERROR(INDEX(tbl_Finance[Client],$A522),"")</f>
        <v/>
      </c>
      <c r="E522" s="61">
        <f>IFERROR(INDEX(tbl_Finance[Job Number],$A522),"")</f>
        <v/>
      </c>
      <c r="F522" s="61">
        <f>IFERROR(INDEX(tbl_Finance[Cost Centre],$A522),"")</f>
        <v/>
      </c>
      <c r="G522" s="62">
        <f>IFERROR(INDEX(tbl_Finance[Ex GST],$A522),"")</f>
        <v/>
      </c>
      <c r="H522" s="60">
        <f>IFERROR(INDEX(tbl_Finance[Defer Start],$A522),"")</f>
        <v/>
      </c>
      <c r="I522" s="60">
        <f>IFERROR(INDEX(tbl_Finance[Defer End],$A522),"")</f>
        <v/>
      </c>
      <c r="J522" s="59">
        <f>IF(OR($H522="",$I522="",$G522=""),"",MAX(1,(YEAR($I522)-YEAR($H522))*12+MONTH($I522)-MONTH($H522)+1))</f>
        <v/>
      </c>
      <c r="K522" s="62">
        <f>IF($J522="","",$G522/$J522)</f>
        <v/>
      </c>
      <c r="L522" s="62">
        <f>IF($J522="",0,$K522*MAX(0,MIN(YEAR($C$3)*12+MONTH($C$3),YEAR($I522)*12+MONTH($I522))-(YEAR($H522)*12+MONTH($H522))+1))</f>
        <v/>
      </c>
      <c r="M522" s="62">
        <f>IF($J522="",0,$K522*MAX(0,MIN(YEAR($C$3)*12+MONTH($C$3)-1,YEAR($I522)*12+MONTH($I522))-(YEAR($H522)*12+MONTH($H522))+1))</f>
        <v/>
      </c>
      <c r="N522" s="62">
        <f>IF(OR($J522="",$B522=""),0,IF(YEAR($B522)*12+MONTH($B522)&lt;=YEAR($C$3)*12+MONTH($C$3),$G522,0))</f>
        <v/>
      </c>
      <c r="O522" s="62">
        <f>IF(OR($J522="",$B522=""),0,IF(YEAR($B522)*12+MONTH($B522)&lt;=YEAR($C$3)*12+MONTH($C$3)-1,$G522,0))</f>
        <v/>
      </c>
      <c r="P522" s="62">
        <f>$M522-$O522</f>
        <v/>
      </c>
      <c r="Q522" s="62">
        <f>($L522-$M522)-($N522-$O522)</f>
        <v/>
      </c>
      <c r="R522" s="62">
        <f>$L522-$N522</f>
        <v/>
      </c>
    </row>
    <row r="523">
      <c r="A523" s="59">
        <f>ROW()-5</f>
        <v/>
      </c>
      <c r="B523" s="60">
        <f>IFERROR(INDEX(tbl_Finance[Date],$A523),"")</f>
        <v/>
      </c>
      <c r="C523" s="61">
        <f>IFERROR(INDEX(tbl_Finance[Xero Invoice No],$A523),"")</f>
        <v/>
      </c>
      <c r="D523" s="61">
        <f>IFERROR(INDEX(tbl_Finance[Client],$A523),"")</f>
        <v/>
      </c>
      <c r="E523" s="61">
        <f>IFERROR(INDEX(tbl_Finance[Job Number],$A523),"")</f>
        <v/>
      </c>
      <c r="F523" s="61">
        <f>IFERROR(INDEX(tbl_Finance[Cost Centre],$A523),"")</f>
        <v/>
      </c>
      <c r="G523" s="62">
        <f>IFERROR(INDEX(tbl_Finance[Ex GST],$A523),"")</f>
        <v/>
      </c>
      <c r="H523" s="60">
        <f>IFERROR(INDEX(tbl_Finance[Defer Start],$A523),"")</f>
        <v/>
      </c>
      <c r="I523" s="60">
        <f>IFERROR(INDEX(tbl_Finance[Defer End],$A523),"")</f>
        <v/>
      </c>
      <c r="J523" s="59">
        <f>IF(OR($H523="",$I523="",$G523=""),"",MAX(1,(YEAR($I523)-YEAR($H523))*12+MONTH($I523)-MONTH($H523)+1))</f>
        <v/>
      </c>
      <c r="K523" s="62">
        <f>IF($J523="","",$G523/$J523)</f>
        <v/>
      </c>
      <c r="L523" s="62">
        <f>IF($J523="",0,$K523*MAX(0,MIN(YEAR($C$3)*12+MONTH($C$3),YEAR($I523)*12+MONTH($I523))-(YEAR($H523)*12+MONTH($H523))+1))</f>
        <v/>
      </c>
      <c r="M523" s="62">
        <f>IF($J523="",0,$K523*MAX(0,MIN(YEAR($C$3)*12+MONTH($C$3)-1,YEAR($I523)*12+MONTH($I523))-(YEAR($H523)*12+MONTH($H523))+1))</f>
        <v/>
      </c>
      <c r="N523" s="62">
        <f>IF(OR($J523="",$B523=""),0,IF(YEAR($B523)*12+MONTH($B523)&lt;=YEAR($C$3)*12+MONTH($C$3),$G523,0))</f>
        <v/>
      </c>
      <c r="O523" s="62">
        <f>IF(OR($J523="",$B523=""),0,IF(YEAR($B523)*12+MONTH($B523)&lt;=YEAR($C$3)*12+MONTH($C$3)-1,$G523,0))</f>
        <v/>
      </c>
      <c r="P523" s="62">
        <f>$M523-$O523</f>
        <v/>
      </c>
      <c r="Q523" s="62">
        <f>($L523-$M523)-($N523-$O523)</f>
        <v/>
      </c>
      <c r="R523" s="62">
        <f>$L523-$N523</f>
        <v/>
      </c>
    </row>
    <row r="524">
      <c r="A524" s="59">
        <f>ROW()-5</f>
        <v/>
      </c>
      <c r="B524" s="60">
        <f>IFERROR(INDEX(tbl_Finance[Date],$A524),"")</f>
        <v/>
      </c>
      <c r="C524" s="61">
        <f>IFERROR(INDEX(tbl_Finance[Xero Invoice No],$A524),"")</f>
        <v/>
      </c>
      <c r="D524" s="61">
        <f>IFERROR(INDEX(tbl_Finance[Client],$A524),"")</f>
        <v/>
      </c>
      <c r="E524" s="61">
        <f>IFERROR(INDEX(tbl_Finance[Job Number],$A524),"")</f>
        <v/>
      </c>
      <c r="F524" s="61">
        <f>IFERROR(INDEX(tbl_Finance[Cost Centre],$A524),"")</f>
        <v/>
      </c>
      <c r="G524" s="62">
        <f>IFERROR(INDEX(tbl_Finance[Ex GST],$A524),"")</f>
        <v/>
      </c>
      <c r="H524" s="60">
        <f>IFERROR(INDEX(tbl_Finance[Defer Start],$A524),"")</f>
        <v/>
      </c>
      <c r="I524" s="60">
        <f>IFERROR(INDEX(tbl_Finance[Defer End],$A524),"")</f>
        <v/>
      </c>
      <c r="J524" s="59">
        <f>IF(OR($H524="",$I524="",$G524=""),"",MAX(1,(YEAR($I524)-YEAR($H524))*12+MONTH($I524)-MONTH($H524)+1))</f>
        <v/>
      </c>
      <c r="K524" s="62">
        <f>IF($J524="","",$G524/$J524)</f>
        <v/>
      </c>
      <c r="L524" s="62">
        <f>IF($J524="",0,$K524*MAX(0,MIN(YEAR($C$3)*12+MONTH($C$3),YEAR($I524)*12+MONTH($I524))-(YEAR($H524)*12+MONTH($H524))+1))</f>
        <v/>
      </c>
      <c r="M524" s="62">
        <f>IF($J524="",0,$K524*MAX(0,MIN(YEAR($C$3)*12+MONTH($C$3)-1,YEAR($I524)*12+MONTH($I524))-(YEAR($H524)*12+MONTH($H524))+1))</f>
        <v/>
      </c>
      <c r="N524" s="62">
        <f>IF(OR($J524="",$B524=""),0,IF(YEAR($B524)*12+MONTH($B524)&lt;=YEAR($C$3)*12+MONTH($C$3),$G524,0))</f>
        <v/>
      </c>
      <c r="O524" s="62">
        <f>IF(OR($J524="",$B524=""),0,IF(YEAR($B524)*12+MONTH($B524)&lt;=YEAR($C$3)*12+MONTH($C$3)-1,$G524,0))</f>
        <v/>
      </c>
      <c r="P524" s="62">
        <f>$M524-$O524</f>
        <v/>
      </c>
      <c r="Q524" s="62">
        <f>($L524-$M524)-($N524-$O524)</f>
        <v/>
      </c>
      <c r="R524" s="62">
        <f>$L524-$N524</f>
        <v/>
      </c>
    </row>
    <row r="525">
      <c r="A525" s="59">
        <f>ROW()-5</f>
        <v/>
      </c>
      <c r="B525" s="60">
        <f>IFERROR(INDEX(tbl_Finance[Date],$A525),"")</f>
        <v/>
      </c>
      <c r="C525" s="61">
        <f>IFERROR(INDEX(tbl_Finance[Xero Invoice No],$A525),"")</f>
        <v/>
      </c>
      <c r="D525" s="61">
        <f>IFERROR(INDEX(tbl_Finance[Client],$A525),"")</f>
        <v/>
      </c>
      <c r="E525" s="61">
        <f>IFERROR(INDEX(tbl_Finance[Job Number],$A525),"")</f>
        <v/>
      </c>
      <c r="F525" s="61">
        <f>IFERROR(INDEX(tbl_Finance[Cost Centre],$A525),"")</f>
        <v/>
      </c>
      <c r="G525" s="62">
        <f>IFERROR(INDEX(tbl_Finance[Ex GST],$A525),"")</f>
        <v/>
      </c>
      <c r="H525" s="60">
        <f>IFERROR(INDEX(tbl_Finance[Defer Start],$A525),"")</f>
        <v/>
      </c>
      <c r="I525" s="60">
        <f>IFERROR(INDEX(tbl_Finance[Defer End],$A525),"")</f>
        <v/>
      </c>
      <c r="J525" s="59">
        <f>IF(OR($H525="",$I525="",$G525=""),"",MAX(1,(YEAR($I525)-YEAR($H525))*12+MONTH($I525)-MONTH($H525)+1))</f>
        <v/>
      </c>
      <c r="K525" s="62">
        <f>IF($J525="","",$G525/$J525)</f>
        <v/>
      </c>
      <c r="L525" s="62">
        <f>IF($J525="",0,$K525*MAX(0,MIN(YEAR($C$3)*12+MONTH($C$3),YEAR($I525)*12+MONTH($I525))-(YEAR($H525)*12+MONTH($H525))+1))</f>
        <v/>
      </c>
      <c r="M525" s="62">
        <f>IF($J525="",0,$K525*MAX(0,MIN(YEAR($C$3)*12+MONTH($C$3)-1,YEAR($I525)*12+MONTH($I525))-(YEAR($H525)*12+MONTH($H525))+1))</f>
        <v/>
      </c>
      <c r="N525" s="62">
        <f>IF(OR($J525="",$B525=""),0,IF(YEAR($B525)*12+MONTH($B525)&lt;=YEAR($C$3)*12+MONTH($C$3),$G525,0))</f>
        <v/>
      </c>
      <c r="O525" s="62">
        <f>IF(OR($J525="",$B525=""),0,IF(YEAR($B525)*12+MONTH($B525)&lt;=YEAR($C$3)*12+MONTH($C$3)-1,$G525,0))</f>
        <v/>
      </c>
      <c r="P525" s="62">
        <f>$M525-$O525</f>
        <v/>
      </c>
      <c r="Q525" s="62">
        <f>($L525-$M525)-($N525-$O525)</f>
        <v/>
      </c>
      <c r="R525" s="62">
        <f>$L525-$N525</f>
        <v/>
      </c>
    </row>
    <row r="526">
      <c r="A526" s="59">
        <f>ROW()-5</f>
        <v/>
      </c>
      <c r="B526" s="60">
        <f>IFERROR(INDEX(tbl_Finance[Date],$A526),"")</f>
        <v/>
      </c>
      <c r="C526" s="61">
        <f>IFERROR(INDEX(tbl_Finance[Xero Invoice No],$A526),"")</f>
        <v/>
      </c>
      <c r="D526" s="61">
        <f>IFERROR(INDEX(tbl_Finance[Client],$A526),"")</f>
        <v/>
      </c>
      <c r="E526" s="61">
        <f>IFERROR(INDEX(tbl_Finance[Job Number],$A526),"")</f>
        <v/>
      </c>
      <c r="F526" s="61">
        <f>IFERROR(INDEX(tbl_Finance[Cost Centre],$A526),"")</f>
        <v/>
      </c>
      <c r="G526" s="62">
        <f>IFERROR(INDEX(tbl_Finance[Ex GST],$A526),"")</f>
        <v/>
      </c>
      <c r="H526" s="60">
        <f>IFERROR(INDEX(tbl_Finance[Defer Start],$A526),"")</f>
        <v/>
      </c>
      <c r="I526" s="60">
        <f>IFERROR(INDEX(tbl_Finance[Defer End],$A526),"")</f>
        <v/>
      </c>
      <c r="J526" s="59">
        <f>IF(OR($H526="",$I526="",$G526=""),"",MAX(1,(YEAR($I526)-YEAR($H526))*12+MONTH($I526)-MONTH($H526)+1))</f>
        <v/>
      </c>
      <c r="K526" s="62">
        <f>IF($J526="","",$G526/$J526)</f>
        <v/>
      </c>
      <c r="L526" s="62">
        <f>IF($J526="",0,$K526*MAX(0,MIN(YEAR($C$3)*12+MONTH($C$3),YEAR($I526)*12+MONTH($I526))-(YEAR($H526)*12+MONTH($H526))+1))</f>
        <v/>
      </c>
      <c r="M526" s="62">
        <f>IF($J526="",0,$K526*MAX(0,MIN(YEAR($C$3)*12+MONTH($C$3)-1,YEAR($I526)*12+MONTH($I526))-(YEAR($H526)*12+MONTH($H526))+1))</f>
        <v/>
      </c>
      <c r="N526" s="62">
        <f>IF(OR($J526="",$B526=""),0,IF(YEAR($B526)*12+MONTH($B526)&lt;=YEAR($C$3)*12+MONTH($C$3),$G526,0))</f>
        <v/>
      </c>
      <c r="O526" s="62">
        <f>IF(OR($J526="",$B526=""),0,IF(YEAR($B526)*12+MONTH($B526)&lt;=YEAR($C$3)*12+MONTH($C$3)-1,$G526,0))</f>
        <v/>
      </c>
      <c r="P526" s="62">
        <f>$M526-$O526</f>
        <v/>
      </c>
      <c r="Q526" s="62">
        <f>($L526-$M526)-($N526-$O526)</f>
        <v/>
      </c>
      <c r="R526" s="62">
        <f>$L526-$N526</f>
        <v/>
      </c>
    </row>
    <row r="527">
      <c r="A527" s="59">
        <f>ROW()-5</f>
        <v/>
      </c>
      <c r="B527" s="60">
        <f>IFERROR(INDEX(tbl_Finance[Date],$A527),"")</f>
        <v/>
      </c>
      <c r="C527" s="61">
        <f>IFERROR(INDEX(tbl_Finance[Xero Invoice No],$A527),"")</f>
        <v/>
      </c>
      <c r="D527" s="61">
        <f>IFERROR(INDEX(tbl_Finance[Client],$A527),"")</f>
        <v/>
      </c>
      <c r="E527" s="61">
        <f>IFERROR(INDEX(tbl_Finance[Job Number],$A527),"")</f>
        <v/>
      </c>
      <c r="F527" s="61">
        <f>IFERROR(INDEX(tbl_Finance[Cost Centre],$A527),"")</f>
        <v/>
      </c>
      <c r="G527" s="62">
        <f>IFERROR(INDEX(tbl_Finance[Ex GST],$A527),"")</f>
        <v/>
      </c>
      <c r="H527" s="60">
        <f>IFERROR(INDEX(tbl_Finance[Defer Start],$A527),"")</f>
        <v/>
      </c>
      <c r="I527" s="60">
        <f>IFERROR(INDEX(tbl_Finance[Defer End],$A527),"")</f>
        <v/>
      </c>
      <c r="J527" s="59">
        <f>IF(OR($H527="",$I527="",$G527=""),"",MAX(1,(YEAR($I527)-YEAR($H527))*12+MONTH($I527)-MONTH($H527)+1))</f>
        <v/>
      </c>
      <c r="K527" s="62">
        <f>IF($J527="","",$G527/$J527)</f>
        <v/>
      </c>
      <c r="L527" s="62">
        <f>IF($J527="",0,$K527*MAX(0,MIN(YEAR($C$3)*12+MONTH($C$3),YEAR($I527)*12+MONTH($I527))-(YEAR($H527)*12+MONTH($H527))+1))</f>
        <v/>
      </c>
      <c r="M527" s="62">
        <f>IF($J527="",0,$K527*MAX(0,MIN(YEAR($C$3)*12+MONTH($C$3)-1,YEAR($I527)*12+MONTH($I527))-(YEAR($H527)*12+MONTH($H527))+1))</f>
        <v/>
      </c>
      <c r="N527" s="62">
        <f>IF(OR($J527="",$B527=""),0,IF(YEAR($B527)*12+MONTH($B527)&lt;=YEAR($C$3)*12+MONTH($C$3),$G527,0))</f>
        <v/>
      </c>
      <c r="O527" s="62">
        <f>IF(OR($J527="",$B527=""),0,IF(YEAR($B527)*12+MONTH($B527)&lt;=YEAR($C$3)*12+MONTH($C$3)-1,$G527,0))</f>
        <v/>
      </c>
      <c r="P527" s="62">
        <f>$M527-$O527</f>
        <v/>
      </c>
      <c r="Q527" s="62">
        <f>($L527-$M527)-($N527-$O527)</f>
        <v/>
      </c>
      <c r="R527" s="62">
        <f>$L527-$N527</f>
        <v/>
      </c>
    </row>
    <row r="528">
      <c r="A528" s="59">
        <f>ROW()-5</f>
        <v/>
      </c>
      <c r="B528" s="60">
        <f>IFERROR(INDEX(tbl_Finance[Date],$A528),"")</f>
        <v/>
      </c>
      <c r="C528" s="61">
        <f>IFERROR(INDEX(tbl_Finance[Xero Invoice No],$A528),"")</f>
        <v/>
      </c>
      <c r="D528" s="61">
        <f>IFERROR(INDEX(tbl_Finance[Client],$A528),"")</f>
        <v/>
      </c>
      <c r="E528" s="61">
        <f>IFERROR(INDEX(tbl_Finance[Job Number],$A528),"")</f>
        <v/>
      </c>
      <c r="F528" s="61">
        <f>IFERROR(INDEX(tbl_Finance[Cost Centre],$A528),"")</f>
        <v/>
      </c>
      <c r="G528" s="62">
        <f>IFERROR(INDEX(tbl_Finance[Ex GST],$A528),"")</f>
        <v/>
      </c>
      <c r="H528" s="60">
        <f>IFERROR(INDEX(tbl_Finance[Defer Start],$A528),"")</f>
        <v/>
      </c>
      <c r="I528" s="60">
        <f>IFERROR(INDEX(tbl_Finance[Defer End],$A528),"")</f>
        <v/>
      </c>
      <c r="J528" s="59">
        <f>IF(OR($H528="",$I528="",$G528=""),"",MAX(1,(YEAR($I528)-YEAR($H528))*12+MONTH($I528)-MONTH($H528)+1))</f>
        <v/>
      </c>
      <c r="K528" s="62">
        <f>IF($J528="","",$G528/$J528)</f>
        <v/>
      </c>
      <c r="L528" s="62">
        <f>IF($J528="",0,$K528*MAX(0,MIN(YEAR($C$3)*12+MONTH($C$3),YEAR($I528)*12+MONTH($I528))-(YEAR($H528)*12+MONTH($H528))+1))</f>
        <v/>
      </c>
      <c r="M528" s="62">
        <f>IF($J528="",0,$K528*MAX(0,MIN(YEAR($C$3)*12+MONTH($C$3)-1,YEAR($I528)*12+MONTH($I528))-(YEAR($H528)*12+MONTH($H528))+1))</f>
        <v/>
      </c>
      <c r="N528" s="62">
        <f>IF(OR($J528="",$B528=""),0,IF(YEAR($B528)*12+MONTH($B528)&lt;=YEAR($C$3)*12+MONTH($C$3),$G528,0))</f>
        <v/>
      </c>
      <c r="O528" s="62">
        <f>IF(OR($J528="",$B528=""),0,IF(YEAR($B528)*12+MONTH($B528)&lt;=YEAR($C$3)*12+MONTH($C$3)-1,$G528,0))</f>
        <v/>
      </c>
      <c r="P528" s="62">
        <f>$M528-$O528</f>
        <v/>
      </c>
      <c r="Q528" s="62">
        <f>($L528-$M528)-($N528-$O528)</f>
        <v/>
      </c>
      <c r="R528" s="62">
        <f>$L528-$N528</f>
        <v/>
      </c>
    </row>
    <row r="529">
      <c r="A529" s="59">
        <f>ROW()-5</f>
        <v/>
      </c>
      <c r="B529" s="60">
        <f>IFERROR(INDEX(tbl_Finance[Date],$A529),"")</f>
        <v/>
      </c>
      <c r="C529" s="61">
        <f>IFERROR(INDEX(tbl_Finance[Xero Invoice No],$A529),"")</f>
        <v/>
      </c>
      <c r="D529" s="61">
        <f>IFERROR(INDEX(tbl_Finance[Client],$A529),"")</f>
        <v/>
      </c>
      <c r="E529" s="61">
        <f>IFERROR(INDEX(tbl_Finance[Job Number],$A529),"")</f>
        <v/>
      </c>
      <c r="F529" s="61">
        <f>IFERROR(INDEX(tbl_Finance[Cost Centre],$A529),"")</f>
        <v/>
      </c>
      <c r="G529" s="62">
        <f>IFERROR(INDEX(tbl_Finance[Ex GST],$A529),"")</f>
        <v/>
      </c>
      <c r="H529" s="60">
        <f>IFERROR(INDEX(tbl_Finance[Defer Start],$A529),"")</f>
        <v/>
      </c>
      <c r="I529" s="60">
        <f>IFERROR(INDEX(tbl_Finance[Defer End],$A529),"")</f>
        <v/>
      </c>
      <c r="J529" s="59">
        <f>IF(OR($H529="",$I529="",$G529=""),"",MAX(1,(YEAR($I529)-YEAR($H529))*12+MONTH($I529)-MONTH($H529)+1))</f>
        <v/>
      </c>
      <c r="K529" s="62">
        <f>IF($J529="","",$G529/$J529)</f>
        <v/>
      </c>
      <c r="L529" s="62">
        <f>IF($J529="",0,$K529*MAX(0,MIN(YEAR($C$3)*12+MONTH($C$3),YEAR($I529)*12+MONTH($I529))-(YEAR($H529)*12+MONTH($H529))+1))</f>
        <v/>
      </c>
      <c r="M529" s="62">
        <f>IF($J529="",0,$K529*MAX(0,MIN(YEAR($C$3)*12+MONTH($C$3)-1,YEAR($I529)*12+MONTH($I529))-(YEAR($H529)*12+MONTH($H529))+1))</f>
        <v/>
      </c>
      <c r="N529" s="62">
        <f>IF(OR($J529="",$B529=""),0,IF(YEAR($B529)*12+MONTH($B529)&lt;=YEAR($C$3)*12+MONTH($C$3),$G529,0))</f>
        <v/>
      </c>
      <c r="O529" s="62">
        <f>IF(OR($J529="",$B529=""),0,IF(YEAR($B529)*12+MONTH($B529)&lt;=YEAR($C$3)*12+MONTH($C$3)-1,$G529,0))</f>
        <v/>
      </c>
      <c r="P529" s="62">
        <f>$M529-$O529</f>
        <v/>
      </c>
      <c r="Q529" s="62">
        <f>($L529-$M529)-($N529-$O529)</f>
        <v/>
      </c>
      <c r="R529" s="62">
        <f>$L529-$N529</f>
        <v/>
      </c>
    </row>
    <row r="530">
      <c r="A530" s="59">
        <f>ROW()-5</f>
        <v/>
      </c>
      <c r="B530" s="60">
        <f>IFERROR(INDEX(tbl_Finance[Date],$A530),"")</f>
        <v/>
      </c>
      <c r="C530" s="61">
        <f>IFERROR(INDEX(tbl_Finance[Xero Invoice No],$A530),"")</f>
        <v/>
      </c>
      <c r="D530" s="61">
        <f>IFERROR(INDEX(tbl_Finance[Client],$A530),"")</f>
        <v/>
      </c>
      <c r="E530" s="61">
        <f>IFERROR(INDEX(tbl_Finance[Job Number],$A530),"")</f>
        <v/>
      </c>
      <c r="F530" s="61">
        <f>IFERROR(INDEX(tbl_Finance[Cost Centre],$A530),"")</f>
        <v/>
      </c>
      <c r="G530" s="62">
        <f>IFERROR(INDEX(tbl_Finance[Ex GST],$A530),"")</f>
        <v/>
      </c>
      <c r="H530" s="60">
        <f>IFERROR(INDEX(tbl_Finance[Defer Start],$A530),"")</f>
        <v/>
      </c>
      <c r="I530" s="60">
        <f>IFERROR(INDEX(tbl_Finance[Defer End],$A530),"")</f>
        <v/>
      </c>
      <c r="J530" s="59">
        <f>IF(OR($H530="",$I530="",$G530=""),"",MAX(1,(YEAR($I530)-YEAR($H530))*12+MONTH($I530)-MONTH($H530)+1))</f>
        <v/>
      </c>
      <c r="K530" s="62">
        <f>IF($J530="","",$G530/$J530)</f>
        <v/>
      </c>
      <c r="L530" s="62">
        <f>IF($J530="",0,$K530*MAX(0,MIN(YEAR($C$3)*12+MONTH($C$3),YEAR($I530)*12+MONTH($I530))-(YEAR($H530)*12+MONTH($H530))+1))</f>
        <v/>
      </c>
      <c r="M530" s="62">
        <f>IF($J530="",0,$K530*MAX(0,MIN(YEAR($C$3)*12+MONTH($C$3)-1,YEAR($I530)*12+MONTH($I530))-(YEAR($H530)*12+MONTH($H530))+1))</f>
        <v/>
      </c>
      <c r="N530" s="62">
        <f>IF(OR($J530="",$B530=""),0,IF(YEAR($B530)*12+MONTH($B530)&lt;=YEAR($C$3)*12+MONTH($C$3),$G530,0))</f>
        <v/>
      </c>
      <c r="O530" s="62">
        <f>IF(OR($J530="",$B530=""),0,IF(YEAR($B530)*12+MONTH($B530)&lt;=YEAR($C$3)*12+MONTH($C$3)-1,$G530,0))</f>
        <v/>
      </c>
      <c r="P530" s="62">
        <f>$M530-$O530</f>
        <v/>
      </c>
      <c r="Q530" s="62">
        <f>($L530-$M530)-($N530-$O530)</f>
        <v/>
      </c>
      <c r="R530" s="62">
        <f>$L530-$N530</f>
        <v/>
      </c>
    </row>
    <row r="531">
      <c r="A531" s="59">
        <f>ROW()-5</f>
        <v/>
      </c>
      <c r="B531" s="60">
        <f>IFERROR(INDEX(tbl_Finance[Date],$A531),"")</f>
        <v/>
      </c>
      <c r="C531" s="61">
        <f>IFERROR(INDEX(tbl_Finance[Xero Invoice No],$A531),"")</f>
        <v/>
      </c>
      <c r="D531" s="61">
        <f>IFERROR(INDEX(tbl_Finance[Client],$A531),"")</f>
        <v/>
      </c>
      <c r="E531" s="61">
        <f>IFERROR(INDEX(tbl_Finance[Job Number],$A531),"")</f>
        <v/>
      </c>
      <c r="F531" s="61">
        <f>IFERROR(INDEX(tbl_Finance[Cost Centre],$A531),"")</f>
        <v/>
      </c>
      <c r="G531" s="62">
        <f>IFERROR(INDEX(tbl_Finance[Ex GST],$A531),"")</f>
        <v/>
      </c>
      <c r="H531" s="60">
        <f>IFERROR(INDEX(tbl_Finance[Defer Start],$A531),"")</f>
        <v/>
      </c>
      <c r="I531" s="60">
        <f>IFERROR(INDEX(tbl_Finance[Defer End],$A531),"")</f>
        <v/>
      </c>
      <c r="J531" s="59">
        <f>IF(OR($H531="",$I531="",$G531=""),"",MAX(1,(YEAR($I531)-YEAR($H531))*12+MONTH($I531)-MONTH($H531)+1))</f>
        <v/>
      </c>
      <c r="K531" s="62">
        <f>IF($J531="","",$G531/$J531)</f>
        <v/>
      </c>
      <c r="L531" s="62">
        <f>IF($J531="",0,$K531*MAX(0,MIN(YEAR($C$3)*12+MONTH($C$3),YEAR($I531)*12+MONTH($I531))-(YEAR($H531)*12+MONTH($H531))+1))</f>
        <v/>
      </c>
      <c r="M531" s="62">
        <f>IF($J531="",0,$K531*MAX(0,MIN(YEAR($C$3)*12+MONTH($C$3)-1,YEAR($I531)*12+MONTH($I531))-(YEAR($H531)*12+MONTH($H531))+1))</f>
        <v/>
      </c>
      <c r="N531" s="62">
        <f>IF(OR($J531="",$B531=""),0,IF(YEAR($B531)*12+MONTH($B531)&lt;=YEAR($C$3)*12+MONTH($C$3),$G531,0))</f>
        <v/>
      </c>
      <c r="O531" s="62">
        <f>IF(OR($J531="",$B531=""),0,IF(YEAR($B531)*12+MONTH($B531)&lt;=YEAR($C$3)*12+MONTH($C$3)-1,$G531,0))</f>
        <v/>
      </c>
      <c r="P531" s="62">
        <f>$M531-$O531</f>
        <v/>
      </c>
      <c r="Q531" s="62">
        <f>($L531-$M531)-($N531-$O531)</f>
        <v/>
      </c>
      <c r="R531" s="62">
        <f>$L531-$N531</f>
        <v/>
      </c>
    </row>
    <row r="532">
      <c r="A532" s="59">
        <f>ROW()-5</f>
        <v/>
      </c>
      <c r="B532" s="60">
        <f>IFERROR(INDEX(tbl_Finance[Date],$A532),"")</f>
        <v/>
      </c>
      <c r="C532" s="61">
        <f>IFERROR(INDEX(tbl_Finance[Xero Invoice No],$A532),"")</f>
        <v/>
      </c>
      <c r="D532" s="61">
        <f>IFERROR(INDEX(tbl_Finance[Client],$A532),"")</f>
        <v/>
      </c>
      <c r="E532" s="61">
        <f>IFERROR(INDEX(tbl_Finance[Job Number],$A532),"")</f>
        <v/>
      </c>
      <c r="F532" s="61">
        <f>IFERROR(INDEX(tbl_Finance[Cost Centre],$A532),"")</f>
        <v/>
      </c>
      <c r="G532" s="62">
        <f>IFERROR(INDEX(tbl_Finance[Ex GST],$A532),"")</f>
        <v/>
      </c>
      <c r="H532" s="60">
        <f>IFERROR(INDEX(tbl_Finance[Defer Start],$A532),"")</f>
        <v/>
      </c>
      <c r="I532" s="60">
        <f>IFERROR(INDEX(tbl_Finance[Defer End],$A532),"")</f>
        <v/>
      </c>
      <c r="J532" s="59">
        <f>IF(OR($H532="",$I532="",$G532=""),"",MAX(1,(YEAR($I532)-YEAR($H532))*12+MONTH($I532)-MONTH($H532)+1))</f>
        <v/>
      </c>
      <c r="K532" s="62">
        <f>IF($J532="","",$G532/$J532)</f>
        <v/>
      </c>
      <c r="L532" s="62">
        <f>IF($J532="",0,$K532*MAX(0,MIN(YEAR($C$3)*12+MONTH($C$3),YEAR($I532)*12+MONTH($I532))-(YEAR($H532)*12+MONTH($H532))+1))</f>
        <v/>
      </c>
      <c r="M532" s="62">
        <f>IF($J532="",0,$K532*MAX(0,MIN(YEAR($C$3)*12+MONTH($C$3)-1,YEAR($I532)*12+MONTH($I532))-(YEAR($H532)*12+MONTH($H532))+1))</f>
        <v/>
      </c>
      <c r="N532" s="62">
        <f>IF(OR($J532="",$B532=""),0,IF(YEAR($B532)*12+MONTH($B532)&lt;=YEAR($C$3)*12+MONTH($C$3),$G532,0))</f>
        <v/>
      </c>
      <c r="O532" s="62">
        <f>IF(OR($J532="",$B532=""),0,IF(YEAR($B532)*12+MONTH($B532)&lt;=YEAR($C$3)*12+MONTH($C$3)-1,$G532,0))</f>
        <v/>
      </c>
      <c r="P532" s="62">
        <f>$M532-$O532</f>
        <v/>
      </c>
      <c r="Q532" s="62">
        <f>($L532-$M532)-($N532-$O532)</f>
        <v/>
      </c>
      <c r="R532" s="62">
        <f>$L532-$N532</f>
        <v/>
      </c>
    </row>
    <row r="533">
      <c r="A533" s="59">
        <f>ROW()-5</f>
        <v/>
      </c>
      <c r="B533" s="60">
        <f>IFERROR(INDEX(tbl_Finance[Date],$A533),"")</f>
        <v/>
      </c>
      <c r="C533" s="61">
        <f>IFERROR(INDEX(tbl_Finance[Xero Invoice No],$A533),"")</f>
        <v/>
      </c>
      <c r="D533" s="61">
        <f>IFERROR(INDEX(tbl_Finance[Client],$A533),"")</f>
        <v/>
      </c>
      <c r="E533" s="61">
        <f>IFERROR(INDEX(tbl_Finance[Job Number],$A533),"")</f>
        <v/>
      </c>
      <c r="F533" s="61">
        <f>IFERROR(INDEX(tbl_Finance[Cost Centre],$A533),"")</f>
        <v/>
      </c>
      <c r="G533" s="62">
        <f>IFERROR(INDEX(tbl_Finance[Ex GST],$A533),"")</f>
        <v/>
      </c>
      <c r="H533" s="60">
        <f>IFERROR(INDEX(tbl_Finance[Defer Start],$A533),"")</f>
        <v/>
      </c>
      <c r="I533" s="60">
        <f>IFERROR(INDEX(tbl_Finance[Defer End],$A533),"")</f>
        <v/>
      </c>
      <c r="J533" s="59">
        <f>IF(OR($H533="",$I533="",$G533=""),"",MAX(1,(YEAR($I533)-YEAR($H533))*12+MONTH($I533)-MONTH($H533)+1))</f>
        <v/>
      </c>
      <c r="K533" s="62">
        <f>IF($J533="","",$G533/$J533)</f>
        <v/>
      </c>
      <c r="L533" s="62">
        <f>IF($J533="",0,$K533*MAX(0,MIN(YEAR($C$3)*12+MONTH($C$3),YEAR($I533)*12+MONTH($I533))-(YEAR($H533)*12+MONTH($H533))+1))</f>
        <v/>
      </c>
      <c r="M533" s="62">
        <f>IF($J533="",0,$K533*MAX(0,MIN(YEAR($C$3)*12+MONTH($C$3)-1,YEAR($I533)*12+MONTH($I533))-(YEAR($H533)*12+MONTH($H533))+1))</f>
        <v/>
      </c>
      <c r="N533" s="62">
        <f>IF(OR($J533="",$B533=""),0,IF(YEAR($B533)*12+MONTH($B533)&lt;=YEAR($C$3)*12+MONTH($C$3),$G533,0))</f>
        <v/>
      </c>
      <c r="O533" s="62">
        <f>IF(OR($J533="",$B533=""),0,IF(YEAR($B533)*12+MONTH($B533)&lt;=YEAR($C$3)*12+MONTH($C$3)-1,$G533,0))</f>
        <v/>
      </c>
      <c r="P533" s="62">
        <f>$M533-$O533</f>
        <v/>
      </c>
      <c r="Q533" s="62">
        <f>($L533-$M533)-($N533-$O533)</f>
        <v/>
      </c>
      <c r="R533" s="62">
        <f>$L533-$N533</f>
        <v/>
      </c>
    </row>
    <row r="534">
      <c r="A534" s="59">
        <f>ROW()-5</f>
        <v/>
      </c>
      <c r="B534" s="60">
        <f>IFERROR(INDEX(tbl_Finance[Date],$A534),"")</f>
        <v/>
      </c>
      <c r="C534" s="61">
        <f>IFERROR(INDEX(tbl_Finance[Xero Invoice No],$A534),"")</f>
        <v/>
      </c>
      <c r="D534" s="61">
        <f>IFERROR(INDEX(tbl_Finance[Client],$A534),"")</f>
        <v/>
      </c>
      <c r="E534" s="61">
        <f>IFERROR(INDEX(tbl_Finance[Job Number],$A534),"")</f>
        <v/>
      </c>
      <c r="F534" s="61">
        <f>IFERROR(INDEX(tbl_Finance[Cost Centre],$A534),"")</f>
        <v/>
      </c>
      <c r="G534" s="62">
        <f>IFERROR(INDEX(tbl_Finance[Ex GST],$A534),"")</f>
        <v/>
      </c>
      <c r="H534" s="60">
        <f>IFERROR(INDEX(tbl_Finance[Defer Start],$A534),"")</f>
        <v/>
      </c>
      <c r="I534" s="60">
        <f>IFERROR(INDEX(tbl_Finance[Defer End],$A534),"")</f>
        <v/>
      </c>
      <c r="J534" s="59">
        <f>IF(OR($H534="",$I534="",$G534=""),"",MAX(1,(YEAR($I534)-YEAR($H534))*12+MONTH($I534)-MONTH($H534)+1))</f>
        <v/>
      </c>
      <c r="K534" s="62">
        <f>IF($J534="","",$G534/$J534)</f>
        <v/>
      </c>
      <c r="L534" s="62">
        <f>IF($J534="",0,$K534*MAX(0,MIN(YEAR($C$3)*12+MONTH($C$3),YEAR($I534)*12+MONTH($I534))-(YEAR($H534)*12+MONTH($H534))+1))</f>
        <v/>
      </c>
      <c r="M534" s="62">
        <f>IF($J534="",0,$K534*MAX(0,MIN(YEAR($C$3)*12+MONTH($C$3)-1,YEAR($I534)*12+MONTH($I534))-(YEAR($H534)*12+MONTH($H534))+1))</f>
        <v/>
      </c>
      <c r="N534" s="62">
        <f>IF(OR($J534="",$B534=""),0,IF(YEAR($B534)*12+MONTH($B534)&lt;=YEAR($C$3)*12+MONTH($C$3),$G534,0))</f>
        <v/>
      </c>
      <c r="O534" s="62">
        <f>IF(OR($J534="",$B534=""),0,IF(YEAR($B534)*12+MONTH($B534)&lt;=YEAR($C$3)*12+MONTH($C$3)-1,$G534,0))</f>
        <v/>
      </c>
      <c r="P534" s="62">
        <f>$M534-$O534</f>
        <v/>
      </c>
      <c r="Q534" s="62">
        <f>($L534-$M534)-($N534-$O534)</f>
        <v/>
      </c>
      <c r="R534" s="62">
        <f>$L534-$N534</f>
        <v/>
      </c>
    </row>
    <row r="535">
      <c r="A535" s="59">
        <f>ROW()-5</f>
        <v/>
      </c>
      <c r="B535" s="60">
        <f>IFERROR(INDEX(tbl_Finance[Date],$A535),"")</f>
        <v/>
      </c>
      <c r="C535" s="61">
        <f>IFERROR(INDEX(tbl_Finance[Xero Invoice No],$A535),"")</f>
        <v/>
      </c>
      <c r="D535" s="61">
        <f>IFERROR(INDEX(tbl_Finance[Client],$A535),"")</f>
        <v/>
      </c>
      <c r="E535" s="61">
        <f>IFERROR(INDEX(tbl_Finance[Job Number],$A535),"")</f>
        <v/>
      </c>
      <c r="F535" s="61">
        <f>IFERROR(INDEX(tbl_Finance[Cost Centre],$A535),"")</f>
        <v/>
      </c>
      <c r="G535" s="62">
        <f>IFERROR(INDEX(tbl_Finance[Ex GST],$A535),"")</f>
        <v/>
      </c>
      <c r="H535" s="60">
        <f>IFERROR(INDEX(tbl_Finance[Defer Start],$A535),"")</f>
        <v/>
      </c>
      <c r="I535" s="60">
        <f>IFERROR(INDEX(tbl_Finance[Defer End],$A535),"")</f>
        <v/>
      </c>
      <c r="J535" s="59">
        <f>IF(OR($H535="",$I535="",$G535=""),"",MAX(1,(YEAR($I535)-YEAR($H535))*12+MONTH($I535)-MONTH($H535)+1))</f>
        <v/>
      </c>
      <c r="K535" s="62">
        <f>IF($J535="","",$G535/$J535)</f>
        <v/>
      </c>
      <c r="L535" s="62">
        <f>IF($J535="",0,$K535*MAX(0,MIN(YEAR($C$3)*12+MONTH($C$3),YEAR($I535)*12+MONTH($I535))-(YEAR($H535)*12+MONTH($H535))+1))</f>
        <v/>
      </c>
      <c r="M535" s="62">
        <f>IF($J535="",0,$K535*MAX(0,MIN(YEAR($C$3)*12+MONTH($C$3)-1,YEAR($I535)*12+MONTH($I535))-(YEAR($H535)*12+MONTH($H535))+1))</f>
        <v/>
      </c>
      <c r="N535" s="62">
        <f>IF(OR($J535="",$B535=""),0,IF(YEAR($B535)*12+MONTH($B535)&lt;=YEAR($C$3)*12+MONTH($C$3),$G535,0))</f>
        <v/>
      </c>
      <c r="O535" s="62">
        <f>IF(OR($J535="",$B535=""),0,IF(YEAR($B535)*12+MONTH($B535)&lt;=YEAR($C$3)*12+MONTH($C$3)-1,$G535,0))</f>
        <v/>
      </c>
      <c r="P535" s="62">
        <f>$M535-$O535</f>
        <v/>
      </c>
      <c r="Q535" s="62">
        <f>($L535-$M535)-($N535-$O535)</f>
        <v/>
      </c>
      <c r="R535" s="62">
        <f>$L535-$N535</f>
        <v/>
      </c>
    </row>
    <row r="536">
      <c r="A536" s="59">
        <f>ROW()-5</f>
        <v/>
      </c>
      <c r="B536" s="60">
        <f>IFERROR(INDEX(tbl_Finance[Date],$A536),"")</f>
        <v/>
      </c>
      <c r="C536" s="61">
        <f>IFERROR(INDEX(tbl_Finance[Xero Invoice No],$A536),"")</f>
        <v/>
      </c>
      <c r="D536" s="61">
        <f>IFERROR(INDEX(tbl_Finance[Client],$A536),"")</f>
        <v/>
      </c>
      <c r="E536" s="61">
        <f>IFERROR(INDEX(tbl_Finance[Job Number],$A536),"")</f>
        <v/>
      </c>
      <c r="F536" s="61">
        <f>IFERROR(INDEX(tbl_Finance[Cost Centre],$A536),"")</f>
        <v/>
      </c>
      <c r="G536" s="62">
        <f>IFERROR(INDEX(tbl_Finance[Ex GST],$A536),"")</f>
        <v/>
      </c>
      <c r="H536" s="60">
        <f>IFERROR(INDEX(tbl_Finance[Defer Start],$A536),"")</f>
        <v/>
      </c>
      <c r="I536" s="60">
        <f>IFERROR(INDEX(tbl_Finance[Defer End],$A536),"")</f>
        <v/>
      </c>
      <c r="J536" s="59">
        <f>IF(OR($H536="",$I536="",$G536=""),"",MAX(1,(YEAR($I536)-YEAR($H536))*12+MONTH($I536)-MONTH($H536)+1))</f>
        <v/>
      </c>
      <c r="K536" s="62">
        <f>IF($J536="","",$G536/$J536)</f>
        <v/>
      </c>
      <c r="L536" s="62">
        <f>IF($J536="",0,$K536*MAX(0,MIN(YEAR($C$3)*12+MONTH($C$3),YEAR($I536)*12+MONTH($I536))-(YEAR($H536)*12+MONTH($H536))+1))</f>
        <v/>
      </c>
      <c r="M536" s="62">
        <f>IF($J536="",0,$K536*MAX(0,MIN(YEAR($C$3)*12+MONTH($C$3)-1,YEAR($I536)*12+MONTH($I536))-(YEAR($H536)*12+MONTH($H536))+1))</f>
        <v/>
      </c>
      <c r="N536" s="62">
        <f>IF(OR($J536="",$B536=""),0,IF(YEAR($B536)*12+MONTH($B536)&lt;=YEAR($C$3)*12+MONTH($C$3),$G536,0))</f>
        <v/>
      </c>
      <c r="O536" s="62">
        <f>IF(OR($J536="",$B536=""),0,IF(YEAR($B536)*12+MONTH($B536)&lt;=YEAR($C$3)*12+MONTH($C$3)-1,$G536,0))</f>
        <v/>
      </c>
      <c r="P536" s="62">
        <f>$M536-$O536</f>
        <v/>
      </c>
      <c r="Q536" s="62">
        <f>($L536-$M536)-($N536-$O536)</f>
        <v/>
      </c>
      <c r="R536" s="62">
        <f>$L536-$N536</f>
        <v/>
      </c>
    </row>
    <row r="537">
      <c r="A537" s="59">
        <f>ROW()-5</f>
        <v/>
      </c>
      <c r="B537" s="60">
        <f>IFERROR(INDEX(tbl_Finance[Date],$A537),"")</f>
        <v/>
      </c>
      <c r="C537" s="61">
        <f>IFERROR(INDEX(tbl_Finance[Xero Invoice No],$A537),"")</f>
        <v/>
      </c>
      <c r="D537" s="61">
        <f>IFERROR(INDEX(tbl_Finance[Client],$A537),"")</f>
        <v/>
      </c>
      <c r="E537" s="61">
        <f>IFERROR(INDEX(tbl_Finance[Job Number],$A537),"")</f>
        <v/>
      </c>
      <c r="F537" s="61">
        <f>IFERROR(INDEX(tbl_Finance[Cost Centre],$A537),"")</f>
        <v/>
      </c>
      <c r="G537" s="62">
        <f>IFERROR(INDEX(tbl_Finance[Ex GST],$A537),"")</f>
        <v/>
      </c>
      <c r="H537" s="60">
        <f>IFERROR(INDEX(tbl_Finance[Defer Start],$A537),"")</f>
        <v/>
      </c>
      <c r="I537" s="60">
        <f>IFERROR(INDEX(tbl_Finance[Defer End],$A537),"")</f>
        <v/>
      </c>
      <c r="J537" s="59">
        <f>IF(OR($H537="",$I537="",$G537=""),"",MAX(1,(YEAR($I537)-YEAR($H537))*12+MONTH($I537)-MONTH($H537)+1))</f>
        <v/>
      </c>
      <c r="K537" s="62">
        <f>IF($J537="","",$G537/$J537)</f>
        <v/>
      </c>
      <c r="L537" s="62">
        <f>IF($J537="",0,$K537*MAX(0,MIN(YEAR($C$3)*12+MONTH($C$3),YEAR($I537)*12+MONTH($I537))-(YEAR($H537)*12+MONTH($H537))+1))</f>
        <v/>
      </c>
      <c r="M537" s="62">
        <f>IF($J537="",0,$K537*MAX(0,MIN(YEAR($C$3)*12+MONTH($C$3)-1,YEAR($I537)*12+MONTH($I537))-(YEAR($H537)*12+MONTH($H537))+1))</f>
        <v/>
      </c>
      <c r="N537" s="62">
        <f>IF(OR($J537="",$B537=""),0,IF(YEAR($B537)*12+MONTH($B537)&lt;=YEAR($C$3)*12+MONTH($C$3),$G537,0))</f>
        <v/>
      </c>
      <c r="O537" s="62">
        <f>IF(OR($J537="",$B537=""),0,IF(YEAR($B537)*12+MONTH($B537)&lt;=YEAR($C$3)*12+MONTH($C$3)-1,$G537,0))</f>
        <v/>
      </c>
      <c r="P537" s="62">
        <f>$M537-$O537</f>
        <v/>
      </c>
      <c r="Q537" s="62">
        <f>($L537-$M537)-($N537-$O537)</f>
        <v/>
      </c>
      <c r="R537" s="62">
        <f>$L537-$N537</f>
        <v/>
      </c>
    </row>
    <row r="538">
      <c r="A538" s="59">
        <f>ROW()-5</f>
        <v/>
      </c>
      <c r="B538" s="60">
        <f>IFERROR(INDEX(tbl_Finance[Date],$A538),"")</f>
        <v/>
      </c>
      <c r="C538" s="61">
        <f>IFERROR(INDEX(tbl_Finance[Xero Invoice No],$A538),"")</f>
        <v/>
      </c>
      <c r="D538" s="61">
        <f>IFERROR(INDEX(tbl_Finance[Client],$A538),"")</f>
        <v/>
      </c>
      <c r="E538" s="61">
        <f>IFERROR(INDEX(tbl_Finance[Job Number],$A538),"")</f>
        <v/>
      </c>
      <c r="F538" s="61">
        <f>IFERROR(INDEX(tbl_Finance[Cost Centre],$A538),"")</f>
        <v/>
      </c>
      <c r="G538" s="62">
        <f>IFERROR(INDEX(tbl_Finance[Ex GST],$A538),"")</f>
        <v/>
      </c>
      <c r="H538" s="60">
        <f>IFERROR(INDEX(tbl_Finance[Defer Start],$A538),"")</f>
        <v/>
      </c>
      <c r="I538" s="60">
        <f>IFERROR(INDEX(tbl_Finance[Defer End],$A538),"")</f>
        <v/>
      </c>
      <c r="J538" s="59">
        <f>IF(OR($H538="",$I538="",$G538=""),"",MAX(1,(YEAR($I538)-YEAR($H538))*12+MONTH($I538)-MONTH($H538)+1))</f>
        <v/>
      </c>
      <c r="K538" s="62">
        <f>IF($J538="","",$G538/$J538)</f>
        <v/>
      </c>
      <c r="L538" s="62">
        <f>IF($J538="",0,$K538*MAX(0,MIN(YEAR($C$3)*12+MONTH($C$3),YEAR($I538)*12+MONTH($I538))-(YEAR($H538)*12+MONTH($H538))+1))</f>
        <v/>
      </c>
      <c r="M538" s="62">
        <f>IF($J538="",0,$K538*MAX(0,MIN(YEAR($C$3)*12+MONTH($C$3)-1,YEAR($I538)*12+MONTH($I538))-(YEAR($H538)*12+MONTH($H538))+1))</f>
        <v/>
      </c>
      <c r="N538" s="62">
        <f>IF(OR($J538="",$B538=""),0,IF(YEAR($B538)*12+MONTH($B538)&lt;=YEAR($C$3)*12+MONTH($C$3),$G538,0))</f>
        <v/>
      </c>
      <c r="O538" s="62">
        <f>IF(OR($J538="",$B538=""),0,IF(YEAR($B538)*12+MONTH($B538)&lt;=YEAR($C$3)*12+MONTH($C$3)-1,$G538,0))</f>
        <v/>
      </c>
      <c r="P538" s="62">
        <f>$M538-$O538</f>
        <v/>
      </c>
      <c r="Q538" s="62">
        <f>($L538-$M538)-($N538-$O538)</f>
        <v/>
      </c>
      <c r="R538" s="62">
        <f>$L538-$N538</f>
        <v/>
      </c>
    </row>
    <row r="539">
      <c r="A539" s="59">
        <f>ROW()-5</f>
        <v/>
      </c>
      <c r="B539" s="60">
        <f>IFERROR(INDEX(tbl_Finance[Date],$A539),"")</f>
        <v/>
      </c>
      <c r="C539" s="61">
        <f>IFERROR(INDEX(tbl_Finance[Xero Invoice No],$A539),"")</f>
        <v/>
      </c>
      <c r="D539" s="61">
        <f>IFERROR(INDEX(tbl_Finance[Client],$A539),"")</f>
        <v/>
      </c>
      <c r="E539" s="61">
        <f>IFERROR(INDEX(tbl_Finance[Job Number],$A539),"")</f>
        <v/>
      </c>
      <c r="F539" s="61">
        <f>IFERROR(INDEX(tbl_Finance[Cost Centre],$A539),"")</f>
        <v/>
      </c>
      <c r="G539" s="62">
        <f>IFERROR(INDEX(tbl_Finance[Ex GST],$A539),"")</f>
        <v/>
      </c>
      <c r="H539" s="60">
        <f>IFERROR(INDEX(tbl_Finance[Defer Start],$A539),"")</f>
        <v/>
      </c>
      <c r="I539" s="60">
        <f>IFERROR(INDEX(tbl_Finance[Defer End],$A539),"")</f>
        <v/>
      </c>
      <c r="J539" s="59">
        <f>IF(OR($H539="",$I539="",$G539=""),"",MAX(1,(YEAR($I539)-YEAR($H539))*12+MONTH($I539)-MONTH($H539)+1))</f>
        <v/>
      </c>
      <c r="K539" s="62">
        <f>IF($J539="","",$G539/$J539)</f>
        <v/>
      </c>
      <c r="L539" s="62">
        <f>IF($J539="",0,$K539*MAX(0,MIN(YEAR($C$3)*12+MONTH($C$3),YEAR($I539)*12+MONTH($I539))-(YEAR($H539)*12+MONTH($H539))+1))</f>
        <v/>
      </c>
      <c r="M539" s="62">
        <f>IF($J539="",0,$K539*MAX(0,MIN(YEAR($C$3)*12+MONTH($C$3)-1,YEAR($I539)*12+MONTH($I539))-(YEAR($H539)*12+MONTH($H539))+1))</f>
        <v/>
      </c>
      <c r="N539" s="62">
        <f>IF(OR($J539="",$B539=""),0,IF(YEAR($B539)*12+MONTH($B539)&lt;=YEAR($C$3)*12+MONTH($C$3),$G539,0))</f>
        <v/>
      </c>
      <c r="O539" s="62">
        <f>IF(OR($J539="",$B539=""),0,IF(YEAR($B539)*12+MONTH($B539)&lt;=YEAR($C$3)*12+MONTH($C$3)-1,$G539,0))</f>
        <v/>
      </c>
      <c r="P539" s="62">
        <f>$M539-$O539</f>
        <v/>
      </c>
      <c r="Q539" s="62">
        <f>($L539-$M539)-($N539-$O539)</f>
        <v/>
      </c>
      <c r="R539" s="62">
        <f>$L539-$N539</f>
        <v/>
      </c>
    </row>
    <row r="540">
      <c r="A540" s="59">
        <f>ROW()-5</f>
        <v/>
      </c>
      <c r="B540" s="60">
        <f>IFERROR(INDEX(tbl_Finance[Date],$A540),"")</f>
        <v/>
      </c>
      <c r="C540" s="61">
        <f>IFERROR(INDEX(tbl_Finance[Xero Invoice No],$A540),"")</f>
        <v/>
      </c>
      <c r="D540" s="61">
        <f>IFERROR(INDEX(tbl_Finance[Client],$A540),"")</f>
        <v/>
      </c>
      <c r="E540" s="61">
        <f>IFERROR(INDEX(tbl_Finance[Job Number],$A540),"")</f>
        <v/>
      </c>
      <c r="F540" s="61">
        <f>IFERROR(INDEX(tbl_Finance[Cost Centre],$A540),"")</f>
        <v/>
      </c>
      <c r="G540" s="62">
        <f>IFERROR(INDEX(tbl_Finance[Ex GST],$A540),"")</f>
        <v/>
      </c>
      <c r="H540" s="60">
        <f>IFERROR(INDEX(tbl_Finance[Defer Start],$A540),"")</f>
        <v/>
      </c>
      <c r="I540" s="60">
        <f>IFERROR(INDEX(tbl_Finance[Defer End],$A540),"")</f>
        <v/>
      </c>
      <c r="J540" s="59">
        <f>IF(OR($H540="",$I540="",$G540=""),"",MAX(1,(YEAR($I540)-YEAR($H540))*12+MONTH($I540)-MONTH($H540)+1))</f>
        <v/>
      </c>
      <c r="K540" s="62">
        <f>IF($J540="","",$G540/$J540)</f>
        <v/>
      </c>
      <c r="L540" s="62">
        <f>IF($J540="",0,$K540*MAX(0,MIN(YEAR($C$3)*12+MONTH($C$3),YEAR($I540)*12+MONTH($I540))-(YEAR($H540)*12+MONTH($H540))+1))</f>
        <v/>
      </c>
      <c r="M540" s="62">
        <f>IF($J540="",0,$K540*MAX(0,MIN(YEAR($C$3)*12+MONTH($C$3)-1,YEAR($I540)*12+MONTH($I540))-(YEAR($H540)*12+MONTH($H540))+1))</f>
        <v/>
      </c>
      <c r="N540" s="62">
        <f>IF(OR($J540="",$B540=""),0,IF(YEAR($B540)*12+MONTH($B540)&lt;=YEAR($C$3)*12+MONTH($C$3),$G540,0))</f>
        <v/>
      </c>
      <c r="O540" s="62">
        <f>IF(OR($J540="",$B540=""),0,IF(YEAR($B540)*12+MONTH($B540)&lt;=YEAR($C$3)*12+MONTH($C$3)-1,$G540,0))</f>
        <v/>
      </c>
      <c r="P540" s="62">
        <f>$M540-$O540</f>
        <v/>
      </c>
      <c r="Q540" s="62">
        <f>($L540-$M540)-($N540-$O540)</f>
        <v/>
      </c>
      <c r="R540" s="62">
        <f>$L540-$N540</f>
        <v/>
      </c>
    </row>
    <row r="541">
      <c r="A541" s="59">
        <f>ROW()-5</f>
        <v/>
      </c>
      <c r="B541" s="60">
        <f>IFERROR(INDEX(tbl_Finance[Date],$A541),"")</f>
        <v/>
      </c>
      <c r="C541" s="61">
        <f>IFERROR(INDEX(tbl_Finance[Xero Invoice No],$A541),"")</f>
        <v/>
      </c>
      <c r="D541" s="61">
        <f>IFERROR(INDEX(tbl_Finance[Client],$A541),"")</f>
        <v/>
      </c>
      <c r="E541" s="61">
        <f>IFERROR(INDEX(tbl_Finance[Job Number],$A541),"")</f>
        <v/>
      </c>
      <c r="F541" s="61">
        <f>IFERROR(INDEX(tbl_Finance[Cost Centre],$A541),"")</f>
        <v/>
      </c>
      <c r="G541" s="62">
        <f>IFERROR(INDEX(tbl_Finance[Ex GST],$A541),"")</f>
        <v/>
      </c>
      <c r="H541" s="60">
        <f>IFERROR(INDEX(tbl_Finance[Defer Start],$A541),"")</f>
        <v/>
      </c>
      <c r="I541" s="60">
        <f>IFERROR(INDEX(tbl_Finance[Defer End],$A541),"")</f>
        <v/>
      </c>
      <c r="J541" s="59">
        <f>IF(OR($H541="",$I541="",$G541=""),"",MAX(1,(YEAR($I541)-YEAR($H541))*12+MONTH($I541)-MONTH($H541)+1))</f>
        <v/>
      </c>
      <c r="K541" s="62">
        <f>IF($J541="","",$G541/$J541)</f>
        <v/>
      </c>
      <c r="L541" s="62">
        <f>IF($J541="",0,$K541*MAX(0,MIN(YEAR($C$3)*12+MONTH($C$3),YEAR($I541)*12+MONTH($I541))-(YEAR($H541)*12+MONTH($H541))+1))</f>
        <v/>
      </c>
      <c r="M541" s="62">
        <f>IF($J541="",0,$K541*MAX(0,MIN(YEAR($C$3)*12+MONTH($C$3)-1,YEAR($I541)*12+MONTH($I541))-(YEAR($H541)*12+MONTH($H541))+1))</f>
        <v/>
      </c>
      <c r="N541" s="62">
        <f>IF(OR($J541="",$B541=""),0,IF(YEAR($B541)*12+MONTH($B541)&lt;=YEAR($C$3)*12+MONTH($C$3),$G541,0))</f>
        <v/>
      </c>
      <c r="O541" s="62">
        <f>IF(OR($J541="",$B541=""),0,IF(YEAR($B541)*12+MONTH($B541)&lt;=YEAR($C$3)*12+MONTH($C$3)-1,$G541,0))</f>
        <v/>
      </c>
      <c r="P541" s="62">
        <f>$M541-$O541</f>
        <v/>
      </c>
      <c r="Q541" s="62">
        <f>($L541-$M541)-($N541-$O541)</f>
        <v/>
      </c>
      <c r="R541" s="62">
        <f>$L541-$N541</f>
        <v/>
      </c>
    </row>
    <row r="542">
      <c r="A542" s="59">
        <f>ROW()-5</f>
        <v/>
      </c>
      <c r="B542" s="60">
        <f>IFERROR(INDEX(tbl_Finance[Date],$A542),"")</f>
        <v/>
      </c>
      <c r="C542" s="61">
        <f>IFERROR(INDEX(tbl_Finance[Xero Invoice No],$A542),"")</f>
        <v/>
      </c>
      <c r="D542" s="61">
        <f>IFERROR(INDEX(tbl_Finance[Client],$A542),"")</f>
        <v/>
      </c>
      <c r="E542" s="61">
        <f>IFERROR(INDEX(tbl_Finance[Job Number],$A542),"")</f>
        <v/>
      </c>
      <c r="F542" s="61">
        <f>IFERROR(INDEX(tbl_Finance[Cost Centre],$A542),"")</f>
        <v/>
      </c>
      <c r="G542" s="62">
        <f>IFERROR(INDEX(tbl_Finance[Ex GST],$A542),"")</f>
        <v/>
      </c>
      <c r="H542" s="60">
        <f>IFERROR(INDEX(tbl_Finance[Defer Start],$A542),"")</f>
        <v/>
      </c>
      <c r="I542" s="60">
        <f>IFERROR(INDEX(tbl_Finance[Defer End],$A542),"")</f>
        <v/>
      </c>
      <c r="J542" s="59">
        <f>IF(OR($H542="",$I542="",$G542=""),"",MAX(1,(YEAR($I542)-YEAR($H542))*12+MONTH($I542)-MONTH($H542)+1))</f>
        <v/>
      </c>
      <c r="K542" s="62">
        <f>IF($J542="","",$G542/$J542)</f>
        <v/>
      </c>
      <c r="L542" s="62">
        <f>IF($J542="",0,$K542*MAX(0,MIN(YEAR($C$3)*12+MONTH($C$3),YEAR($I542)*12+MONTH($I542))-(YEAR($H542)*12+MONTH($H542))+1))</f>
        <v/>
      </c>
      <c r="M542" s="62">
        <f>IF($J542="",0,$K542*MAX(0,MIN(YEAR($C$3)*12+MONTH($C$3)-1,YEAR($I542)*12+MONTH($I542))-(YEAR($H542)*12+MONTH($H542))+1))</f>
        <v/>
      </c>
      <c r="N542" s="62">
        <f>IF(OR($J542="",$B542=""),0,IF(YEAR($B542)*12+MONTH($B542)&lt;=YEAR($C$3)*12+MONTH($C$3),$G542,0))</f>
        <v/>
      </c>
      <c r="O542" s="62">
        <f>IF(OR($J542="",$B542=""),0,IF(YEAR($B542)*12+MONTH($B542)&lt;=YEAR($C$3)*12+MONTH($C$3)-1,$G542,0))</f>
        <v/>
      </c>
      <c r="P542" s="62">
        <f>$M542-$O542</f>
        <v/>
      </c>
      <c r="Q542" s="62">
        <f>($L542-$M542)-($N542-$O542)</f>
        <v/>
      </c>
      <c r="R542" s="62">
        <f>$L542-$N542</f>
        <v/>
      </c>
    </row>
    <row r="543">
      <c r="A543" s="59">
        <f>ROW()-5</f>
        <v/>
      </c>
      <c r="B543" s="60">
        <f>IFERROR(INDEX(tbl_Finance[Date],$A543),"")</f>
        <v/>
      </c>
      <c r="C543" s="61">
        <f>IFERROR(INDEX(tbl_Finance[Xero Invoice No],$A543),"")</f>
        <v/>
      </c>
      <c r="D543" s="61">
        <f>IFERROR(INDEX(tbl_Finance[Client],$A543),"")</f>
        <v/>
      </c>
      <c r="E543" s="61">
        <f>IFERROR(INDEX(tbl_Finance[Job Number],$A543),"")</f>
        <v/>
      </c>
      <c r="F543" s="61">
        <f>IFERROR(INDEX(tbl_Finance[Cost Centre],$A543),"")</f>
        <v/>
      </c>
      <c r="G543" s="62">
        <f>IFERROR(INDEX(tbl_Finance[Ex GST],$A543),"")</f>
        <v/>
      </c>
      <c r="H543" s="60">
        <f>IFERROR(INDEX(tbl_Finance[Defer Start],$A543),"")</f>
        <v/>
      </c>
      <c r="I543" s="60">
        <f>IFERROR(INDEX(tbl_Finance[Defer End],$A543),"")</f>
        <v/>
      </c>
      <c r="J543" s="59">
        <f>IF(OR($H543="",$I543="",$G543=""),"",MAX(1,(YEAR($I543)-YEAR($H543))*12+MONTH($I543)-MONTH($H543)+1))</f>
        <v/>
      </c>
      <c r="K543" s="62">
        <f>IF($J543="","",$G543/$J543)</f>
        <v/>
      </c>
      <c r="L543" s="62">
        <f>IF($J543="",0,$K543*MAX(0,MIN(YEAR($C$3)*12+MONTH($C$3),YEAR($I543)*12+MONTH($I543))-(YEAR($H543)*12+MONTH($H543))+1))</f>
        <v/>
      </c>
      <c r="M543" s="62">
        <f>IF($J543="",0,$K543*MAX(0,MIN(YEAR($C$3)*12+MONTH($C$3)-1,YEAR($I543)*12+MONTH($I543))-(YEAR($H543)*12+MONTH($H543))+1))</f>
        <v/>
      </c>
      <c r="N543" s="62">
        <f>IF(OR($J543="",$B543=""),0,IF(YEAR($B543)*12+MONTH($B543)&lt;=YEAR($C$3)*12+MONTH($C$3),$G543,0))</f>
        <v/>
      </c>
      <c r="O543" s="62">
        <f>IF(OR($J543="",$B543=""),0,IF(YEAR($B543)*12+MONTH($B543)&lt;=YEAR($C$3)*12+MONTH($C$3)-1,$G543,0))</f>
        <v/>
      </c>
      <c r="P543" s="62">
        <f>$M543-$O543</f>
        <v/>
      </c>
      <c r="Q543" s="62">
        <f>($L543-$M543)-($N543-$O543)</f>
        <v/>
      </c>
      <c r="R543" s="62">
        <f>$L543-$N543</f>
        <v/>
      </c>
    </row>
    <row r="544">
      <c r="A544" s="59">
        <f>ROW()-5</f>
        <v/>
      </c>
      <c r="B544" s="60">
        <f>IFERROR(INDEX(tbl_Finance[Date],$A544),"")</f>
        <v/>
      </c>
      <c r="C544" s="61">
        <f>IFERROR(INDEX(tbl_Finance[Xero Invoice No],$A544),"")</f>
        <v/>
      </c>
      <c r="D544" s="61">
        <f>IFERROR(INDEX(tbl_Finance[Client],$A544),"")</f>
        <v/>
      </c>
      <c r="E544" s="61">
        <f>IFERROR(INDEX(tbl_Finance[Job Number],$A544),"")</f>
        <v/>
      </c>
      <c r="F544" s="61">
        <f>IFERROR(INDEX(tbl_Finance[Cost Centre],$A544),"")</f>
        <v/>
      </c>
      <c r="G544" s="62">
        <f>IFERROR(INDEX(tbl_Finance[Ex GST],$A544),"")</f>
        <v/>
      </c>
      <c r="H544" s="60">
        <f>IFERROR(INDEX(tbl_Finance[Defer Start],$A544),"")</f>
        <v/>
      </c>
      <c r="I544" s="60">
        <f>IFERROR(INDEX(tbl_Finance[Defer End],$A544),"")</f>
        <v/>
      </c>
      <c r="J544" s="59">
        <f>IF(OR($H544="",$I544="",$G544=""),"",MAX(1,(YEAR($I544)-YEAR($H544))*12+MONTH($I544)-MONTH($H544)+1))</f>
        <v/>
      </c>
      <c r="K544" s="62">
        <f>IF($J544="","",$G544/$J544)</f>
        <v/>
      </c>
      <c r="L544" s="62">
        <f>IF($J544="",0,$K544*MAX(0,MIN(YEAR($C$3)*12+MONTH($C$3),YEAR($I544)*12+MONTH($I544))-(YEAR($H544)*12+MONTH($H544))+1))</f>
        <v/>
      </c>
      <c r="M544" s="62">
        <f>IF($J544="",0,$K544*MAX(0,MIN(YEAR($C$3)*12+MONTH($C$3)-1,YEAR($I544)*12+MONTH($I544))-(YEAR($H544)*12+MONTH($H544))+1))</f>
        <v/>
      </c>
      <c r="N544" s="62">
        <f>IF(OR($J544="",$B544=""),0,IF(YEAR($B544)*12+MONTH($B544)&lt;=YEAR($C$3)*12+MONTH($C$3),$G544,0))</f>
        <v/>
      </c>
      <c r="O544" s="62">
        <f>IF(OR($J544="",$B544=""),0,IF(YEAR($B544)*12+MONTH($B544)&lt;=YEAR($C$3)*12+MONTH($C$3)-1,$G544,0))</f>
        <v/>
      </c>
      <c r="P544" s="62">
        <f>$M544-$O544</f>
        <v/>
      </c>
      <c r="Q544" s="62">
        <f>($L544-$M544)-($N544-$O544)</f>
        <v/>
      </c>
      <c r="R544" s="62">
        <f>$L544-$N544</f>
        <v/>
      </c>
    </row>
    <row r="545">
      <c r="A545" s="59">
        <f>ROW()-5</f>
        <v/>
      </c>
      <c r="B545" s="60">
        <f>IFERROR(INDEX(tbl_Finance[Date],$A545),"")</f>
        <v/>
      </c>
      <c r="C545" s="61">
        <f>IFERROR(INDEX(tbl_Finance[Xero Invoice No],$A545),"")</f>
        <v/>
      </c>
      <c r="D545" s="61">
        <f>IFERROR(INDEX(tbl_Finance[Client],$A545),"")</f>
        <v/>
      </c>
      <c r="E545" s="61">
        <f>IFERROR(INDEX(tbl_Finance[Job Number],$A545),"")</f>
        <v/>
      </c>
      <c r="F545" s="61">
        <f>IFERROR(INDEX(tbl_Finance[Cost Centre],$A545),"")</f>
        <v/>
      </c>
      <c r="G545" s="62">
        <f>IFERROR(INDEX(tbl_Finance[Ex GST],$A545),"")</f>
        <v/>
      </c>
      <c r="H545" s="60">
        <f>IFERROR(INDEX(tbl_Finance[Defer Start],$A545),"")</f>
        <v/>
      </c>
      <c r="I545" s="60">
        <f>IFERROR(INDEX(tbl_Finance[Defer End],$A545),"")</f>
        <v/>
      </c>
      <c r="J545" s="59">
        <f>IF(OR($H545="",$I545="",$G545=""),"",MAX(1,(YEAR($I545)-YEAR($H545))*12+MONTH($I545)-MONTH($H545)+1))</f>
        <v/>
      </c>
      <c r="K545" s="62">
        <f>IF($J545="","",$G545/$J545)</f>
        <v/>
      </c>
      <c r="L545" s="62">
        <f>IF($J545="",0,$K545*MAX(0,MIN(YEAR($C$3)*12+MONTH($C$3),YEAR($I545)*12+MONTH($I545))-(YEAR($H545)*12+MONTH($H545))+1))</f>
        <v/>
      </c>
      <c r="M545" s="62">
        <f>IF($J545="",0,$K545*MAX(0,MIN(YEAR($C$3)*12+MONTH($C$3)-1,YEAR($I545)*12+MONTH($I545))-(YEAR($H545)*12+MONTH($H545))+1))</f>
        <v/>
      </c>
      <c r="N545" s="62">
        <f>IF(OR($J545="",$B545=""),0,IF(YEAR($B545)*12+MONTH($B545)&lt;=YEAR($C$3)*12+MONTH($C$3),$G545,0))</f>
        <v/>
      </c>
      <c r="O545" s="62">
        <f>IF(OR($J545="",$B545=""),0,IF(YEAR($B545)*12+MONTH($B545)&lt;=YEAR($C$3)*12+MONTH($C$3)-1,$G545,0))</f>
        <v/>
      </c>
      <c r="P545" s="62">
        <f>$M545-$O545</f>
        <v/>
      </c>
      <c r="Q545" s="62">
        <f>($L545-$M545)-($N545-$O545)</f>
        <v/>
      </c>
      <c r="R545" s="62">
        <f>$L545-$N545</f>
        <v/>
      </c>
    </row>
    <row r="546">
      <c r="A546" s="59">
        <f>ROW()-5</f>
        <v/>
      </c>
      <c r="B546" s="60">
        <f>IFERROR(INDEX(tbl_Finance[Date],$A546),"")</f>
        <v/>
      </c>
      <c r="C546" s="61">
        <f>IFERROR(INDEX(tbl_Finance[Xero Invoice No],$A546),"")</f>
        <v/>
      </c>
      <c r="D546" s="61">
        <f>IFERROR(INDEX(tbl_Finance[Client],$A546),"")</f>
        <v/>
      </c>
      <c r="E546" s="61">
        <f>IFERROR(INDEX(tbl_Finance[Job Number],$A546),"")</f>
        <v/>
      </c>
      <c r="F546" s="61">
        <f>IFERROR(INDEX(tbl_Finance[Cost Centre],$A546),"")</f>
        <v/>
      </c>
      <c r="G546" s="62">
        <f>IFERROR(INDEX(tbl_Finance[Ex GST],$A546),"")</f>
        <v/>
      </c>
      <c r="H546" s="60">
        <f>IFERROR(INDEX(tbl_Finance[Defer Start],$A546),"")</f>
        <v/>
      </c>
      <c r="I546" s="60">
        <f>IFERROR(INDEX(tbl_Finance[Defer End],$A546),"")</f>
        <v/>
      </c>
      <c r="J546" s="59">
        <f>IF(OR($H546="",$I546="",$G546=""),"",MAX(1,(YEAR($I546)-YEAR($H546))*12+MONTH($I546)-MONTH($H546)+1))</f>
        <v/>
      </c>
      <c r="K546" s="62">
        <f>IF($J546="","",$G546/$J546)</f>
        <v/>
      </c>
      <c r="L546" s="62">
        <f>IF($J546="",0,$K546*MAX(0,MIN(YEAR($C$3)*12+MONTH($C$3),YEAR($I546)*12+MONTH($I546))-(YEAR($H546)*12+MONTH($H546))+1))</f>
        <v/>
      </c>
      <c r="M546" s="62">
        <f>IF($J546="",0,$K546*MAX(0,MIN(YEAR($C$3)*12+MONTH($C$3)-1,YEAR($I546)*12+MONTH($I546))-(YEAR($H546)*12+MONTH($H546))+1))</f>
        <v/>
      </c>
      <c r="N546" s="62">
        <f>IF(OR($J546="",$B546=""),0,IF(YEAR($B546)*12+MONTH($B546)&lt;=YEAR($C$3)*12+MONTH($C$3),$G546,0))</f>
        <v/>
      </c>
      <c r="O546" s="62">
        <f>IF(OR($J546="",$B546=""),0,IF(YEAR($B546)*12+MONTH($B546)&lt;=YEAR($C$3)*12+MONTH($C$3)-1,$G546,0))</f>
        <v/>
      </c>
      <c r="P546" s="62">
        <f>$M546-$O546</f>
        <v/>
      </c>
      <c r="Q546" s="62">
        <f>($L546-$M546)-($N546-$O546)</f>
        <v/>
      </c>
      <c r="R546" s="62">
        <f>$L546-$N546</f>
        <v/>
      </c>
    </row>
    <row r="547">
      <c r="A547" s="59">
        <f>ROW()-5</f>
        <v/>
      </c>
      <c r="B547" s="60">
        <f>IFERROR(INDEX(tbl_Finance[Date],$A547),"")</f>
        <v/>
      </c>
      <c r="C547" s="61">
        <f>IFERROR(INDEX(tbl_Finance[Xero Invoice No],$A547),"")</f>
        <v/>
      </c>
      <c r="D547" s="61">
        <f>IFERROR(INDEX(tbl_Finance[Client],$A547),"")</f>
        <v/>
      </c>
      <c r="E547" s="61">
        <f>IFERROR(INDEX(tbl_Finance[Job Number],$A547),"")</f>
        <v/>
      </c>
      <c r="F547" s="61">
        <f>IFERROR(INDEX(tbl_Finance[Cost Centre],$A547),"")</f>
        <v/>
      </c>
      <c r="G547" s="62">
        <f>IFERROR(INDEX(tbl_Finance[Ex GST],$A547),"")</f>
        <v/>
      </c>
      <c r="H547" s="60">
        <f>IFERROR(INDEX(tbl_Finance[Defer Start],$A547),"")</f>
        <v/>
      </c>
      <c r="I547" s="60">
        <f>IFERROR(INDEX(tbl_Finance[Defer End],$A547),"")</f>
        <v/>
      </c>
      <c r="J547" s="59">
        <f>IF(OR($H547="",$I547="",$G547=""),"",MAX(1,(YEAR($I547)-YEAR($H547))*12+MONTH($I547)-MONTH($H547)+1))</f>
        <v/>
      </c>
      <c r="K547" s="62">
        <f>IF($J547="","",$G547/$J547)</f>
        <v/>
      </c>
      <c r="L547" s="62">
        <f>IF($J547="",0,$K547*MAX(0,MIN(YEAR($C$3)*12+MONTH($C$3),YEAR($I547)*12+MONTH($I547))-(YEAR($H547)*12+MONTH($H547))+1))</f>
        <v/>
      </c>
      <c r="M547" s="62">
        <f>IF($J547="",0,$K547*MAX(0,MIN(YEAR($C$3)*12+MONTH($C$3)-1,YEAR($I547)*12+MONTH($I547))-(YEAR($H547)*12+MONTH($H547))+1))</f>
        <v/>
      </c>
      <c r="N547" s="62">
        <f>IF(OR($J547="",$B547=""),0,IF(YEAR($B547)*12+MONTH($B547)&lt;=YEAR($C$3)*12+MONTH($C$3),$G547,0))</f>
        <v/>
      </c>
      <c r="O547" s="62">
        <f>IF(OR($J547="",$B547=""),0,IF(YEAR($B547)*12+MONTH($B547)&lt;=YEAR($C$3)*12+MONTH($C$3)-1,$G547,0))</f>
        <v/>
      </c>
      <c r="P547" s="62">
        <f>$M547-$O547</f>
        <v/>
      </c>
      <c r="Q547" s="62">
        <f>($L547-$M547)-($N547-$O547)</f>
        <v/>
      </c>
      <c r="R547" s="62">
        <f>$L547-$N547</f>
        <v/>
      </c>
    </row>
    <row r="548">
      <c r="A548" s="59">
        <f>ROW()-5</f>
        <v/>
      </c>
      <c r="B548" s="60">
        <f>IFERROR(INDEX(tbl_Finance[Date],$A548),"")</f>
        <v/>
      </c>
      <c r="C548" s="61">
        <f>IFERROR(INDEX(tbl_Finance[Xero Invoice No],$A548),"")</f>
        <v/>
      </c>
      <c r="D548" s="61">
        <f>IFERROR(INDEX(tbl_Finance[Client],$A548),"")</f>
        <v/>
      </c>
      <c r="E548" s="61">
        <f>IFERROR(INDEX(tbl_Finance[Job Number],$A548),"")</f>
        <v/>
      </c>
      <c r="F548" s="61">
        <f>IFERROR(INDEX(tbl_Finance[Cost Centre],$A548),"")</f>
        <v/>
      </c>
      <c r="G548" s="62">
        <f>IFERROR(INDEX(tbl_Finance[Ex GST],$A548),"")</f>
        <v/>
      </c>
      <c r="H548" s="60">
        <f>IFERROR(INDEX(tbl_Finance[Defer Start],$A548),"")</f>
        <v/>
      </c>
      <c r="I548" s="60">
        <f>IFERROR(INDEX(tbl_Finance[Defer End],$A548),"")</f>
        <v/>
      </c>
      <c r="J548" s="59">
        <f>IF(OR($H548="",$I548="",$G548=""),"",MAX(1,(YEAR($I548)-YEAR($H548))*12+MONTH($I548)-MONTH($H548)+1))</f>
        <v/>
      </c>
      <c r="K548" s="62">
        <f>IF($J548="","",$G548/$J548)</f>
        <v/>
      </c>
      <c r="L548" s="62">
        <f>IF($J548="",0,$K548*MAX(0,MIN(YEAR($C$3)*12+MONTH($C$3),YEAR($I548)*12+MONTH($I548))-(YEAR($H548)*12+MONTH($H548))+1))</f>
        <v/>
      </c>
      <c r="M548" s="62">
        <f>IF($J548="",0,$K548*MAX(0,MIN(YEAR($C$3)*12+MONTH($C$3)-1,YEAR($I548)*12+MONTH($I548))-(YEAR($H548)*12+MONTH($H548))+1))</f>
        <v/>
      </c>
      <c r="N548" s="62">
        <f>IF(OR($J548="",$B548=""),0,IF(YEAR($B548)*12+MONTH($B548)&lt;=YEAR($C$3)*12+MONTH($C$3),$G548,0))</f>
        <v/>
      </c>
      <c r="O548" s="62">
        <f>IF(OR($J548="",$B548=""),0,IF(YEAR($B548)*12+MONTH($B548)&lt;=YEAR($C$3)*12+MONTH($C$3)-1,$G548,0))</f>
        <v/>
      </c>
      <c r="P548" s="62">
        <f>$M548-$O548</f>
        <v/>
      </c>
      <c r="Q548" s="62">
        <f>($L548-$M548)-($N548-$O548)</f>
        <v/>
      </c>
      <c r="R548" s="62">
        <f>$L548-$N548</f>
        <v/>
      </c>
    </row>
    <row r="549">
      <c r="A549" s="59">
        <f>ROW()-5</f>
        <v/>
      </c>
      <c r="B549" s="60">
        <f>IFERROR(INDEX(tbl_Finance[Date],$A549),"")</f>
        <v/>
      </c>
      <c r="C549" s="61">
        <f>IFERROR(INDEX(tbl_Finance[Xero Invoice No],$A549),"")</f>
        <v/>
      </c>
      <c r="D549" s="61">
        <f>IFERROR(INDEX(tbl_Finance[Client],$A549),"")</f>
        <v/>
      </c>
      <c r="E549" s="61">
        <f>IFERROR(INDEX(tbl_Finance[Job Number],$A549),"")</f>
        <v/>
      </c>
      <c r="F549" s="61">
        <f>IFERROR(INDEX(tbl_Finance[Cost Centre],$A549),"")</f>
        <v/>
      </c>
      <c r="G549" s="62">
        <f>IFERROR(INDEX(tbl_Finance[Ex GST],$A549),"")</f>
        <v/>
      </c>
      <c r="H549" s="60">
        <f>IFERROR(INDEX(tbl_Finance[Defer Start],$A549),"")</f>
        <v/>
      </c>
      <c r="I549" s="60">
        <f>IFERROR(INDEX(tbl_Finance[Defer End],$A549),"")</f>
        <v/>
      </c>
      <c r="J549" s="59">
        <f>IF(OR($H549="",$I549="",$G549=""),"",MAX(1,(YEAR($I549)-YEAR($H549))*12+MONTH($I549)-MONTH($H549)+1))</f>
        <v/>
      </c>
      <c r="K549" s="62">
        <f>IF($J549="","",$G549/$J549)</f>
        <v/>
      </c>
      <c r="L549" s="62">
        <f>IF($J549="",0,$K549*MAX(0,MIN(YEAR($C$3)*12+MONTH($C$3),YEAR($I549)*12+MONTH($I549))-(YEAR($H549)*12+MONTH($H549))+1))</f>
        <v/>
      </c>
      <c r="M549" s="62">
        <f>IF($J549="",0,$K549*MAX(0,MIN(YEAR($C$3)*12+MONTH($C$3)-1,YEAR($I549)*12+MONTH($I549))-(YEAR($H549)*12+MONTH($H549))+1))</f>
        <v/>
      </c>
      <c r="N549" s="62">
        <f>IF(OR($J549="",$B549=""),0,IF(YEAR($B549)*12+MONTH($B549)&lt;=YEAR($C$3)*12+MONTH($C$3),$G549,0))</f>
        <v/>
      </c>
      <c r="O549" s="62">
        <f>IF(OR($J549="",$B549=""),0,IF(YEAR($B549)*12+MONTH($B549)&lt;=YEAR($C$3)*12+MONTH($C$3)-1,$G549,0))</f>
        <v/>
      </c>
      <c r="P549" s="62">
        <f>$M549-$O549</f>
        <v/>
      </c>
      <c r="Q549" s="62">
        <f>($L549-$M549)-($N549-$O549)</f>
        <v/>
      </c>
      <c r="R549" s="62">
        <f>$L549-$N549</f>
        <v/>
      </c>
    </row>
    <row r="550">
      <c r="A550" s="59">
        <f>ROW()-5</f>
        <v/>
      </c>
      <c r="B550" s="60">
        <f>IFERROR(INDEX(tbl_Finance[Date],$A550),"")</f>
        <v/>
      </c>
      <c r="C550" s="61">
        <f>IFERROR(INDEX(tbl_Finance[Xero Invoice No],$A550),"")</f>
        <v/>
      </c>
      <c r="D550" s="61">
        <f>IFERROR(INDEX(tbl_Finance[Client],$A550),"")</f>
        <v/>
      </c>
      <c r="E550" s="61">
        <f>IFERROR(INDEX(tbl_Finance[Job Number],$A550),"")</f>
        <v/>
      </c>
      <c r="F550" s="61">
        <f>IFERROR(INDEX(tbl_Finance[Cost Centre],$A550),"")</f>
        <v/>
      </c>
      <c r="G550" s="62">
        <f>IFERROR(INDEX(tbl_Finance[Ex GST],$A550),"")</f>
        <v/>
      </c>
      <c r="H550" s="60">
        <f>IFERROR(INDEX(tbl_Finance[Defer Start],$A550),"")</f>
        <v/>
      </c>
      <c r="I550" s="60">
        <f>IFERROR(INDEX(tbl_Finance[Defer End],$A550),"")</f>
        <v/>
      </c>
      <c r="J550" s="59">
        <f>IF(OR($H550="",$I550="",$G550=""),"",MAX(1,(YEAR($I550)-YEAR($H550))*12+MONTH($I550)-MONTH($H550)+1))</f>
        <v/>
      </c>
      <c r="K550" s="62">
        <f>IF($J550="","",$G550/$J550)</f>
        <v/>
      </c>
      <c r="L550" s="62">
        <f>IF($J550="",0,$K550*MAX(0,MIN(YEAR($C$3)*12+MONTH($C$3),YEAR($I550)*12+MONTH($I550))-(YEAR($H550)*12+MONTH($H550))+1))</f>
        <v/>
      </c>
      <c r="M550" s="62">
        <f>IF($J550="",0,$K550*MAX(0,MIN(YEAR($C$3)*12+MONTH($C$3)-1,YEAR($I550)*12+MONTH($I550))-(YEAR($H550)*12+MONTH($H550))+1))</f>
        <v/>
      </c>
      <c r="N550" s="62">
        <f>IF(OR($J550="",$B550=""),0,IF(YEAR($B550)*12+MONTH($B550)&lt;=YEAR($C$3)*12+MONTH($C$3),$G550,0))</f>
        <v/>
      </c>
      <c r="O550" s="62">
        <f>IF(OR($J550="",$B550=""),0,IF(YEAR($B550)*12+MONTH($B550)&lt;=YEAR($C$3)*12+MONTH($C$3)-1,$G550,0))</f>
        <v/>
      </c>
      <c r="P550" s="62">
        <f>$M550-$O550</f>
        <v/>
      </c>
      <c r="Q550" s="62">
        <f>($L550-$M550)-($N550-$O550)</f>
        <v/>
      </c>
      <c r="R550" s="62">
        <f>$L550-$N550</f>
        <v/>
      </c>
    </row>
    <row r="551">
      <c r="A551" s="59">
        <f>ROW()-5</f>
        <v/>
      </c>
      <c r="B551" s="60">
        <f>IFERROR(INDEX(tbl_Finance[Date],$A551),"")</f>
        <v/>
      </c>
      <c r="C551" s="61">
        <f>IFERROR(INDEX(tbl_Finance[Xero Invoice No],$A551),"")</f>
        <v/>
      </c>
      <c r="D551" s="61">
        <f>IFERROR(INDEX(tbl_Finance[Client],$A551),"")</f>
        <v/>
      </c>
      <c r="E551" s="61">
        <f>IFERROR(INDEX(tbl_Finance[Job Number],$A551),"")</f>
        <v/>
      </c>
      <c r="F551" s="61">
        <f>IFERROR(INDEX(tbl_Finance[Cost Centre],$A551),"")</f>
        <v/>
      </c>
      <c r="G551" s="62">
        <f>IFERROR(INDEX(tbl_Finance[Ex GST],$A551),"")</f>
        <v/>
      </c>
      <c r="H551" s="60">
        <f>IFERROR(INDEX(tbl_Finance[Defer Start],$A551),"")</f>
        <v/>
      </c>
      <c r="I551" s="60">
        <f>IFERROR(INDEX(tbl_Finance[Defer End],$A551),"")</f>
        <v/>
      </c>
      <c r="J551" s="59">
        <f>IF(OR($H551="",$I551="",$G551=""),"",MAX(1,(YEAR($I551)-YEAR($H551))*12+MONTH($I551)-MONTH($H551)+1))</f>
        <v/>
      </c>
      <c r="K551" s="62">
        <f>IF($J551="","",$G551/$J551)</f>
        <v/>
      </c>
      <c r="L551" s="62">
        <f>IF($J551="",0,$K551*MAX(0,MIN(YEAR($C$3)*12+MONTH($C$3),YEAR($I551)*12+MONTH($I551))-(YEAR($H551)*12+MONTH($H551))+1))</f>
        <v/>
      </c>
      <c r="M551" s="62">
        <f>IF($J551="",0,$K551*MAX(0,MIN(YEAR($C$3)*12+MONTH($C$3)-1,YEAR($I551)*12+MONTH($I551))-(YEAR($H551)*12+MONTH($H551))+1))</f>
        <v/>
      </c>
      <c r="N551" s="62">
        <f>IF(OR($J551="",$B551=""),0,IF(YEAR($B551)*12+MONTH($B551)&lt;=YEAR($C$3)*12+MONTH($C$3),$G551,0))</f>
        <v/>
      </c>
      <c r="O551" s="62">
        <f>IF(OR($J551="",$B551=""),0,IF(YEAR($B551)*12+MONTH($B551)&lt;=YEAR($C$3)*12+MONTH($C$3)-1,$G551,0))</f>
        <v/>
      </c>
      <c r="P551" s="62">
        <f>$M551-$O551</f>
        <v/>
      </c>
      <c r="Q551" s="62">
        <f>($L551-$M551)-($N551-$O551)</f>
        <v/>
      </c>
      <c r="R551" s="62">
        <f>$L551-$N551</f>
        <v/>
      </c>
    </row>
    <row r="552">
      <c r="A552" s="59">
        <f>ROW()-5</f>
        <v/>
      </c>
      <c r="B552" s="60">
        <f>IFERROR(INDEX(tbl_Finance[Date],$A552),"")</f>
        <v/>
      </c>
      <c r="C552" s="61">
        <f>IFERROR(INDEX(tbl_Finance[Xero Invoice No],$A552),"")</f>
        <v/>
      </c>
      <c r="D552" s="61">
        <f>IFERROR(INDEX(tbl_Finance[Client],$A552),"")</f>
        <v/>
      </c>
      <c r="E552" s="61">
        <f>IFERROR(INDEX(tbl_Finance[Job Number],$A552),"")</f>
        <v/>
      </c>
      <c r="F552" s="61">
        <f>IFERROR(INDEX(tbl_Finance[Cost Centre],$A552),"")</f>
        <v/>
      </c>
      <c r="G552" s="62">
        <f>IFERROR(INDEX(tbl_Finance[Ex GST],$A552),"")</f>
        <v/>
      </c>
      <c r="H552" s="60">
        <f>IFERROR(INDEX(tbl_Finance[Defer Start],$A552),"")</f>
        <v/>
      </c>
      <c r="I552" s="60">
        <f>IFERROR(INDEX(tbl_Finance[Defer End],$A552),"")</f>
        <v/>
      </c>
      <c r="J552" s="59">
        <f>IF(OR($H552="",$I552="",$G552=""),"",MAX(1,(YEAR($I552)-YEAR($H552))*12+MONTH($I552)-MONTH($H552)+1))</f>
        <v/>
      </c>
      <c r="K552" s="62">
        <f>IF($J552="","",$G552/$J552)</f>
        <v/>
      </c>
      <c r="L552" s="62">
        <f>IF($J552="",0,$K552*MAX(0,MIN(YEAR($C$3)*12+MONTH($C$3),YEAR($I552)*12+MONTH($I552))-(YEAR($H552)*12+MONTH($H552))+1))</f>
        <v/>
      </c>
      <c r="M552" s="62">
        <f>IF($J552="",0,$K552*MAX(0,MIN(YEAR($C$3)*12+MONTH($C$3)-1,YEAR($I552)*12+MONTH($I552))-(YEAR($H552)*12+MONTH($H552))+1))</f>
        <v/>
      </c>
      <c r="N552" s="62">
        <f>IF(OR($J552="",$B552=""),0,IF(YEAR($B552)*12+MONTH($B552)&lt;=YEAR($C$3)*12+MONTH($C$3),$G552,0))</f>
        <v/>
      </c>
      <c r="O552" s="62">
        <f>IF(OR($J552="",$B552=""),0,IF(YEAR($B552)*12+MONTH($B552)&lt;=YEAR($C$3)*12+MONTH($C$3)-1,$G552,0))</f>
        <v/>
      </c>
      <c r="P552" s="62">
        <f>$M552-$O552</f>
        <v/>
      </c>
      <c r="Q552" s="62">
        <f>($L552-$M552)-($N552-$O552)</f>
        <v/>
      </c>
      <c r="R552" s="62">
        <f>$L552-$N552</f>
        <v/>
      </c>
    </row>
    <row r="553">
      <c r="A553" s="59">
        <f>ROW()-5</f>
        <v/>
      </c>
      <c r="B553" s="60">
        <f>IFERROR(INDEX(tbl_Finance[Date],$A553),"")</f>
        <v/>
      </c>
      <c r="C553" s="61">
        <f>IFERROR(INDEX(tbl_Finance[Xero Invoice No],$A553),"")</f>
        <v/>
      </c>
      <c r="D553" s="61">
        <f>IFERROR(INDEX(tbl_Finance[Client],$A553),"")</f>
        <v/>
      </c>
      <c r="E553" s="61">
        <f>IFERROR(INDEX(tbl_Finance[Job Number],$A553),"")</f>
        <v/>
      </c>
      <c r="F553" s="61">
        <f>IFERROR(INDEX(tbl_Finance[Cost Centre],$A553),"")</f>
        <v/>
      </c>
      <c r="G553" s="62">
        <f>IFERROR(INDEX(tbl_Finance[Ex GST],$A553),"")</f>
        <v/>
      </c>
      <c r="H553" s="60">
        <f>IFERROR(INDEX(tbl_Finance[Defer Start],$A553),"")</f>
        <v/>
      </c>
      <c r="I553" s="60">
        <f>IFERROR(INDEX(tbl_Finance[Defer End],$A553),"")</f>
        <v/>
      </c>
      <c r="J553" s="59">
        <f>IF(OR($H553="",$I553="",$G553=""),"",MAX(1,(YEAR($I553)-YEAR($H553))*12+MONTH($I553)-MONTH($H553)+1))</f>
        <v/>
      </c>
      <c r="K553" s="62">
        <f>IF($J553="","",$G553/$J553)</f>
        <v/>
      </c>
      <c r="L553" s="62">
        <f>IF($J553="",0,$K553*MAX(0,MIN(YEAR($C$3)*12+MONTH($C$3),YEAR($I553)*12+MONTH($I553))-(YEAR($H553)*12+MONTH($H553))+1))</f>
        <v/>
      </c>
      <c r="M553" s="62">
        <f>IF($J553="",0,$K553*MAX(0,MIN(YEAR($C$3)*12+MONTH($C$3)-1,YEAR($I553)*12+MONTH($I553))-(YEAR($H553)*12+MONTH($H553))+1))</f>
        <v/>
      </c>
      <c r="N553" s="62">
        <f>IF(OR($J553="",$B553=""),0,IF(YEAR($B553)*12+MONTH($B553)&lt;=YEAR($C$3)*12+MONTH($C$3),$G553,0))</f>
        <v/>
      </c>
      <c r="O553" s="62">
        <f>IF(OR($J553="",$B553=""),0,IF(YEAR($B553)*12+MONTH($B553)&lt;=YEAR($C$3)*12+MONTH($C$3)-1,$G553,0))</f>
        <v/>
      </c>
      <c r="P553" s="62">
        <f>$M553-$O553</f>
        <v/>
      </c>
      <c r="Q553" s="62">
        <f>($L553-$M553)-($N553-$O553)</f>
        <v/>
      </c>
      <c r="R553" s="62">
        <f>$L553-$N553</f>
        <v/>
      </c>
    </row>
    <row r="554">
      <c r="A554" s="59">
        <f>ROW()-5</f>
        <v/>
      </c>
      <c r="B554" s="60">
        <f>IFERROR(INDEX(tbl_Finance[Date],$A554),"")</f>
        <v/>
      </c>
      <c r="C554" s="61">
        <f>IFERROR(INDEX(tbl_Finance[Xero Invoice No],$A554),"")</f>
        <v/>
      </c>
      <c r="D554" s="61">
        <f>IFERROR(INDEX(tbl_Finance[Client],$A554),"")</f>
        <v/>
      </c>
      <c r="E554" s="61">
        <f>IFERROR(INDEX(tbl_Finance[Job Number],$A554),"")</f>
        <v/>
      </c>
      <c r="F554" s="61">
        <f>IFERROR(INDEX(tbl_Finance[Cost Centre],$A554),"")</f>
        <v/>
      </c>
      <c r="G554" s="62">
        <f>IFERROR(INDEX(tbl_Finance[Ex GST],$A554),"")</f>
        <v/>
      </c>
      <c r="H554" s="60">
        <f>IFERROR(INDEX(tbl_Finance[Defer Start],$A554),"")</f>
        <v/>
      </c>
      <c r="I554" s="60">
        <f>IFERROR(INDEX(tbl_Finance[Defer End],$A554),"")</f>
        <v/>
      </c>
      <c r="J554" s="59">
        <f>IF(OR($H554="",$I554="",$G554=""),"",MAX(1,(YEAR($I554)-YEAR($H554))*12+MONTH($I554)-MONTH($H554)+1))</f>
        <v/>
      </c>
      <c r="K554" s="62">
        <f>IF($J554="","",$G554/$J554)</f>
        <v/>
      </c>
      <c r="L554" s="62">
        <f>IF($J554="",0,$K554*MAX(0,MIN(YEAR($C$3)*12+MONTH($C$3),YEAR($I554)*12+MONTH($I554))-(YEAR($H554)*12+MONTH($H554))+1))</f>
        <v/>
      </c>
      <c r="M554" s="62">
        <f>IF($J554="",0,$K554*MAX(0,MIN(YEAR($C$3)*12+MONTH($C$3)-1,YEAR($I554)*12+MONTH($I554))-(YEAR($H554)*12+MONTH($H554))+1))</f>
        <v/>
      </c>
      <c r="N554" s="62">
        <f>IF(OR($J554="",$B554=""),0,IF(YEAR($B554)*12+MONTH($B554)&lt;=YEAR($C$3)*12+MONTH($C$3),$G554,0))</f>
        <v/>
      </c>
      <c r="O554" s="62">
        <f>IF(OR($J554="",$B554=""),0,IF(YEAR($B554)*12+MONTH($B554)&lt;=YEAR($C$3)*12+MONTH($C$3)-1,$G554,0))</f>
        <v/>
      </c>
      <c r="P554" s="62">
        <f>$M554-$O554</f>
        <v/>
      </c>
      <c r="Q554" s="62">
        <f>($L554-$M554)-($N554-$O554)</f>
        <v/>
      </c>
      <c r="R554" s="62">
        <f>$L554-$N554</f>
        <v/>
      </c>
    </row>
    <row r="555">
      <c r="A555" s="59">
        <f>ROW()-5</f>
        <v/>
      </c>
      <c r="B555" s="60">
        <f>IFERROR(INDEX(tbl_Finance[Date],$A555),"")</f>
        <v/>
      </c>
      <c r="C555" s="61">
        <f>IFERROR(INDEX(tbl_Finance[Xero Invoice No],$A555),"")</f>
        <v/>
      </c>
      <c r="D555" s="61">
        <f>IFERROR(INDEX(tbl_Finance[Client],$A555),"")</f>
        <v/>
      </c>
      <c r="E555" s="61">
        <f>IFERROR(INDEX(tbl_Finance[Job Number],$A555),"")</f>
        <v/>
      </c>
      <c r="F555" s="61">
        <f>IFERROR(INDEX(tbl_Finance[Cost Centre],$A555),"")</f>
        <v/>
      </c>
      <c r="G555" s="62">
        <f>IFERROR(INDEX(tbl_Finance[Ex GST],$A555),"")</f>
        <v/>
      </c>
      <c r="H555" s="60">
        <f>IFERROR(INDEX(tbl_Finance[Defer Start],$A555),"")</f>
        <v/>
      </c>
      <c r="I555" s="60">
        <f>IFERROR(INDEX(tbl_Finance[Defer End],$A555),"")</f>
        <v/>
      </c>
      <c r="J555" s="59">
        <f>IF(OR($H555="",$I555="",$G555=""),"",MAX(1,(YEAR($I555)-YEAR($H555))*12+MONTH($I555)-MONTH($H555)+1))</f>
        <v/>
      </c>
      <c r="K555" s="62">
        <f>IF($J555="","",$G555/$J555)</f>
        <v/>
      </c>
      <c r="L555" s="62">
        <f>IF($J555="",0,$K555*MAX(0,MIN(YEAR($C$3)*12+MONTH($C$3),YEAR($I555)*12+MONTH($I555))-(YEAR($H555)*12+MONTH($H555))+1))</f>
        <v/>
      </c>
      <c r="M555" s="62">
        <f>IF($J555="",0,$K555*MAX(0,MIN(YEAR($C$3)*12+MONTH($C$3)-1,YEAR($I555)*12+MONTH($I555))-(YEAR($H555)*12+MONTH($H555))+1))</f>
        <v/>
      </c>
      <c r="N555" s="62">
        <f>IF(OR($J555="",$B555=""),0,IF(YEAR($B555)*12+MONTH($B555)&lt;=YEAR($C$3)*12+MONTH($C$3),$G555,0))</f>
        <v/>
      </c>
      <c r="O555" s="62">
        <f>IF(OR($J555="",$B555=""),0,IF(YEAR($B555)*12+MONTH($B555)&lt;=YEAR($C$3)*12+MONTH($C$3)-1,$G555,0))</f>
        <v/>
      </c>
      <c r="P555" s="62">
        <f>$M555-$O555</f>
        <v/>
      </c>
      <c r="Q555" s="62">
        <f>($L555-$M555)-($N555-$O555)</f>
        <v/>
      </c>
      <c r="R555" s="62">
        <f>$L555-$N555</f>
        <v/>
      </c>
    </row>
    <row r="556">
      <c r="A556" s="59">
        <f>ROW()-5</f>
        <v/>
      </c>
      <c r="B556" s="60">
        <f>IFERROR(INDEX(tbl_Finance[Date],$A556),"")</f>
        <v/>
      </c>
      <c r="C556" s="61">
        <f>IFERROR(INDEX(tbl_Finance[Xero Invoice No],$A556),"")</f>
        <v/>
      </c>
      <c r="D556" s="61">
        <f>IFERROR(INDEX(tbl_Finance[Client],$A556),"")</f>
        <v/>
      </c>
      <c r="E556" s="61">
        <f>IFERROR(INDEX(tbl_Finance[Job Number],$A556),"")</f>
        <v/>
      </c>
      <c r="F556" s="61">
        <f>IFERROR(INDEX(tbl_Finance[Cost Centre],$A556),"")</f>
        <v/>
      </c>
      <c r="G556" s="62">
        <f>IFERROR(INDEX(tbl_Finance[Ex GST],$A556),"")</f>
        <v/>
      </c>
      <c r="H556" s="60">
        <f>IFERROR(INDEX(tbl_Finance[Defer Start],$A556),"")</f>
        <v/>
      </c>
      <c r="I556" s="60">
        <f>IFERROR(INDEX(tbl_Finance[Defer End],$A556),"")</f>
        <v/>
      </c>
      <c r="J556" s="59">
        <f>IF(OR($H556="",$I556="",$G556=""),"",MAX(1,(YEAR($I556)-YEAR($H556))*12+MONTH($I556)-MONTH($H556)+1))</f>
        <v/>
      </c>
      <c r="K556" s="62">
        <f>IF($J556="","",$G556/$J556)</f>
        <v/>
      </c>
      <c r="L556" s="62">
        <f>IF($J556="",0,$K556*MAX(0,MIN(YEAR($C$3)*12+MONTH($C$3),YEAR($I556)*12+MONTH($I556))-(YEAR($H556)*12+MONTH($H556))+1))</f>
        <v/>
      </c>
      <c r="M556" s="62">
        <f>IF($J556="",0,$K556*MAX(0,MIN(YEAR($C$3)*12+MONTH($C$3)-1,YEAR($I556)*12+MONTH($I556))-(YEAR($H556)*12+MONTH($H556))+1))</f>
        <v/>
      </c>
      <c r="N556" s="62">
        <f>IF(OR($J556="",$B556=""),0,IF(YEAR($B556)*12+MONTH($B556)&lt;=YEAR($C$3)*12+MONTH($C$3),$G556,0))</f>
        <v/>
      </c>
      <c r="O556" s="62">
        <f>IF(OR($J556="",$B556=""),0,IF(YEAR($B556)*12+MONTH($B556)&lt;=YEAR($C$3)*12+MONTH($C$3)-1,$G556,0))</f>
        <v/>
      </c>
      <c r="P556" s="62">
        <f>$M556-$O556</f>
        <v/>
      </c>
      <c r="Q556" s="62">
        <f>($L556-$M556)-($N556-$O556)</f>
        <v/>
      </c>
      <c r="R556" s="62">
        <f>$L556-$N556</f>
        <v/>
      </c>
    </row>
    <row r="557">
      <c r="A557" s="59">
        <f>ROW()-5</f>
        <v/>
      </c>
      <c r="B557" s="60">
        <f>IFERROR(INDEX(tbl_Finance[Date],$A557),"")</f>
        <v/>
      </c>
      <c r="C557" s="61">
        <f>IFERROR(INDEX(tbl_Finance[Xero Invoice No],$A557),"")</f>
        <v/>
      </c>
      <c r="D557" s="61">
        <f>IFERROR(INDEX(tbl_Finance[Client],$A557),"")</f>
        <v/>
      </c>
      <c r="E557" s="61">
        <f>IFERROR(INDEX(tbl_Finance[Job Number],$A557),"")</f>
        <v/>
      </c>
      <c r="F557" s="61">
        <f>IFERROR(INDEX(tbl_Finance[Cost Centre],$A557),"")</f>
        <v/>
      </c>
      <c r="G557" s="62">
        <f>IFERROR(INDEX(tbl_Finance[Ex GST],$A557),"")</f>
        <v/>
      </c>
      <c r="H557" s="60">
        <f>IFERROR(INDEX(tbl_Finance[Defer Start],$A557),"")</f>
        <v/>
      </c>
      <c r="I557" s="60">
        <f>IFERROR(INDEX(tbl_Finance[Defer End],$A557),"")</f>
        <v/>
      </c>
      <c r="J557" s="59">
        <f>IF(OR($H557="",$I557="",$G557=""),"",MAX(1,(YEAR($I557)-YEAR($H557))*12+MONTH($I557)-MONTH($H557)+1))</f>
        <v/>
      </c>
      <c r="K557" s="62">
        <f>IF($J557="","",$G557/$J557)</f>
        <v/>
      </c>
      <c r="L557" s="62">
        <f>IF($J557="",0,$K557*MAX(0,MIN(YEAR($C$3)*12+MONTH($C$3),YEAR($I557)*12+MONTH($I557))-(YEAR($H557)*12+MONTH($H557))+1))</f>
        <v/>
      </c>
      <c r="M557" s="62">
        <f>IF($J557="",0,$K557*MAX(0,MIN(YEAR($C$3)*12+MONTH($C$3)-1,YEAR($I557)*12+MONTH($I557))-(YEAR($H557)*12+MONTH($H557))+1))</f>
        <v/>
      </c>
      <c r="N557" s="62">
        <f>IF(OR($J557="",$B557=""),0,IF(YEAR($B557)*12+MONTH($B557)&lt;=YEAR($C$3)*12+MONTH($C$3),$G557,0))</f>
        <v/>
      </c>
      <c r="O557" s="62">
        <f>IF(OR($J557="",$B557=""),0,IF(YEAR($B557)*12+MONTH($B557)&lt;=YEAR($C$3)*12+MONTH($C$3)-1,$G557,0))</f>
        <v/>
      </c>
      <c r="P557" s="62">
        <f>$M557-$O557</f>
        <v/>
      </c>
      <c r="Q557" s="62">
        <f>($L557-$M557)-($N557-$O557)</f>
        <v/>
      </c>
      <c r="R557" s="62">
        <f>$L557-$N557</f>
        <v/>
      </c>
    </row>
    <row r="558">
      <c r="A558" s="59">
        <f>ROW()-5</f>
        <v/>
      </c>
      <c r="B558" s="60">
        <f>IFERROR(INDEX(tbl_Finance[Date],$A558),"")</f>
        <v/>
      </c>
      <c r="C558" s="61">
        <f>IFERROR(INDEX(tbl_Finance[Xero Invoice No],$A558),"")</f>
        <v/>
      </c>
      <c r="D558" s="61">
        <f>IFERROR(INDEX(tbl_Finance[Client],$A558),"")</f>
        <v/>
      </c>
      <c r="E558" s="61">
        <f>IFERROR(INDEX(tbl_Finance[Job Number],$A558),"")</f>
        <v/>
      </c>
      <c r="F558" s="61">
        <f>IFERROR(INDEX(tbl_Finance[Cost Centre],$A558),"")</f>
        <v/>
      </c>
      <c r="G558" s="62">
        <f>IFERROR(INDEX(tbl_Finance[Ex GST],$A558),"")</f>
        <v/>
      </c>
      <c r="H558" s="60">
        <f>IFERROR(INDEX(tbl_Finance[Defer Start],$A558),"")</f>
        <v/>
      </c>
      <c r="I558" s="60">
        <f>IFERROR(INDEX(tbl_Finance[Defer End],$A558),"")</f>
        <v/>
      </c>
      <c r="J558" s="59">
        <f>IF(OR($H558="",$I558="",$G558=""),"",MAX(1,(YEAR($I558)-YEAR($H558))*12+MONTH($I558)-MONTH($H558)+1))</f>
        <v/>
      </c>
      <c r="K558" s="62">
        <f>IF($J558="","",$G558/$J558)</f>
        <v/>
      </c>
      <c r="L558" s="62">
        <f>IF($J558="",0,$K558*MAX(0,MIN(YEAR($C$3)*12+MONTH($C$3),YEAR($I558)*12+MONTH($I558))-(YEAR($H558)*12+MONTH($H558))+1))</f>
        <v/>
      </c>
      <c r="M558" s="62">
        <f>IF($J558="",0,$K558*MAX(0,MIN(YEAR($C$3)*12+MONTH($C$3)-1,YEAR($I558)*12+MONTH($I558))-(YEAR($H558)*12+MONTH($H558))+1))</f>
        <v/>
      </c>
      <c r="N558" s="62">
        <f>IF(OR($J558="",$B558=""),0,IF(YEAR($B558)*12+MONTH($B558)&lt;=YEAR($C$3)*12+MONTH($C$3),$G558,0))</f>
        <v/>
      </c>
      <c r="O558" s="62">
        <f>IF(OR($J558="",$B558=""),0,IF(YEAR($B558)*12+MONTH($B558)&lt;=YEAR($C$3)*12+MONTH($C$3)-1,$G558,0))</f>
        <v/>
      </c>
      <c r="P558" s="62">
        <f>$M558-$O558</f>
        <v/>
      </c>
      <c r="Q558" s="62">
        <f>($L558-$M558)-($N558-$O558)</f>
        <v/>
      </c>
      <c r="R558" s="62">
        <f>$L558-$N558</f>
        <v/>
      </c>
    </row>
    <row r="559">
      <c r="A559" s="59">
        <f>ROW()-5</f>
        <v/>
      </c>
      <c r="B559" s="60">
        <f>IFERROR(INDEX(tbl_Finance[Date],$A559),"")</f>
        <v/>
      </c>
      <c r="C559" s="61">
        <f>IFERROR(INDEX(tbl_Finance[Xero Invoice No],$A559),"")</f>
        <v/>
      </c>
      <c r="D559" s="61">
        <f>IFERROR(INDEX(tbl_Finance[Client],$A559),"")</f>
        <v/>
      </c>
      <c r="E559" s="61">
        <f>IFERROR(INDEX(tbl_Finance[Job Number],$A559),"")</f>
        <v/>
      </c>
      <c r="F559" s="61">
        <f>IFERROR(INDEX(tbl_Finance[Cost Centre],$A559),"")</f>
        <v/>
      </c>
      <c r="G559" s="62">
        <f>IFERROR(INDEX(tbl_Finance[Ex GST],$A559),"")</f>
        <v/>
      </c>
      <c r="H559" s="60">
        <f>IFERROR(INDEX(tbl_Finance[Defer Start],$A559),"")</f>
        <v/>
      </c>
      <c r="I559" s="60">
        <f>IFERROR(INDEX(tbl_Finance[Defer End],$A559),"")</f>
        <v/>
      </c>
      <c r="J559" s="59">
        <f>IF(OR($H559="",$I559="",$G559=""),"",MAX(1,(YEAR($I559)-YEAR($H559))*12+MONTH($I559)-MONTH($H559)+1))</f>
        <v/>
      </c>
      <c r="K559" s="62">
        <f>IF($J559="","",$G559/$J559)</f>
        <v/>
      </c>
      <c r="L559" s="62">
        <f>IF($J559="",0,$K559*MAX(0,MIN(YEAR($C$3)*12+MONTH($C$3),YEAR($I559)*12+MONTH($I559))-(YEAR($H559)*12+MONTH($H559))+1))</f>
        <v/>
      </c>
      <c r="M559" s="62">
        <f>IF($J559="",0,$K559*MAX(0,MIN(YEAR($C$3)*12+MONTH($C$3)-1,YEAR($I559)*12+MONTH($I559))-(YEAR($H559)*12+MONTH($H559))+1))</f>
        <v/>
      </c>
      <c r="N559" s="62">
        <f>IF(OR($J559="",$B559=""),0,IF(YEAR($B559)*12+MONTH($B559)&lt;=YEAR($C$3)*12+MONTH($C$3),$G559,0))</f>
        <v/>
      </c>
      <c r="O559" s="62">
        <f>IF(OR($J559="",$B559=""),0,IF(YEAR($B559)*12+MONTH($B559)&lt;=YEAR($C$3)*12+MONTH($C$3)-1,$G559,0))</f>
        <v/>
      </c>
      <c r="P559" s="62">
        <f>$M559-$O559</f>
        <v/>
      </c>
      <c r="Q559" s="62">
        <f>($L559-$M559)-($N559-$O559)</f>
        <v/>
      </c>
      <c r="R559" s="62">
        <f>$L559-$N559</f>
        <v/>
      </c>
    </row>
    <row r="560">
      <c r="A560" s="59">
        <f>ROW()-5</f>
        <v/>
      </c>
      <c r="B560" s="60">
        <f>IFERROR(INDEX(tbl_Finance[Date],$A560),"")</f>
        <v/>
      </c>
      <c r="C560" s="61">
        <f>IFERROR(INDEX(tbl_Finance[Xero Invoice No],$A560),"")</f>
        <v/>
      </c>
      <c r="D560" s="61">
        <f>IFERROR(INDEX(tbl_Finance[Client],$A560),"")</f>
        <v/>
      </c>
      <c r="E560" s="61">
        <f>IFERROR(INDEX(tbl_Finance[Job Number],$A560),"")</f>
        <v/>
      </c>
      <c r="F560" s="61">
        <f>IFERROR(INDEX(tbl_Finance[Cost Centre],$A560),"")</f>
        <v/>
      </c>
      <c r="G560" s="62">
        <f>IFERROR(INDEX(tbl_Finance[Ex GST],$A560),"")</f>
        <v/>
      </c>
      <c r="H560" s="60">
        <f>IFERROR(INDEX(tbl_Finance[Defer Start],$A560),"")</f>
        <v/>
      </c>
      <c r="I560" s="60">
        <f>IFERROR(INDEX(tbl_Finance[Defer End],$A560),"")</f>
        <v/>
      </c>
      <c r="J560" s="59">
        <f>IF(OR($H560="",$I560="",$G560=""),"",MAX(1,(YEAR($I560)-YEAR($H560))*12+MONTH($I560)-MONTH($H560)+1))</f>
        <v/>
      </c>
      <c r="K560" s="62">
        <f>IF($J560="","",$G560/$J560)</f>
        <v/>
      </c>
      <c r="L560" s="62">
        <f>IF($J560="",0,$K560*MAX(0,MIN(YEAR($C$3)*12+MONTH($C$3),YEAR($I560)*12+MONTH($I560))-(YEAR($H560)*12+MONTH($H560))+1))</f>
        <v/>
      </c>
      <c r="M560" s="62">
        <f>IF($J560="",0,$K560*MAX(0,MIN(YEAR($C$3)*12+MONTH($C$3)-1,YEAR($I560)*12+MONTH($I560))-(YEAR($H560)*12+MONTH($H560))+1))</f>
        <v/>
      </c>
      <c r="N560" s="62">
        <f>IF(OR($J560="",$B560=""),0,IF(YEAR($B560)*12+MONTH($B560)&lt;=YEAR($C$3)*12+MONTH($C$3),$G560,0))</f>
        <v/>
      </c>
      <c r="O560" s="62">
        <f>IF(OR($J560="",$B560=""),0,IF(YEAR($B560)*12+MONTH($B560)&lt;=YEAR($C$3)*12+MONTH($C$3)-1,$G560,0))</f>
        <v/>
      </c>
      <c r="P560" s="62">
        <f>$M560-$O560</f>
        <v/>
      </c>
      <c r="Q560" s="62">
        <f>($L560-$M560)-($N560-$O560)</f>
        <v/>
      </c>
      <c r="R560" s="62">
        <f>$L560-$N560</f>
        <v/>
      </c>
    </row>
    <row r="561">
      <c r="A561" s="59">
        <f>ROW()-5</f>
        <v/>
      </c>
      <c r="B561" s="60">
        <f>IFERROR(INDEX(tbl_Finance[Date],$A561),"")</f>
        <v/>
      </c>
      <c r="C561" s="61">
        <f>IFERROR(INDEX(tbl_Finance[Xero Invoice No],$A561),"")</f>
        <v/>
      </c>
      <c r="D561" s="61">
        <f>IFERROR(INDEX(tbl_Finance[Client],$A561),"")</f>
        <v/>
      </c>
      <c r="E561" s="61">
        <f>IFERROR(INDEX(tbl_Finance[Job Number],$A561),"")</f>
        <v/>
      </c>
      <c r="F561" s="61">
        <f>IFERROR(INDEX(tbl_Finance[Cost Centre],$A561),"")</f>
        <v/>
      </c>
      <c r="G561" s="62">
        <f>IFERROR(INDEX(tbl_Finance[Ex GST],$A561),"")</f>
        <v/>
      </c>
      <c r="H561" s="60">
        <f>IFERROR(INDEX(tbl_Finance[Defer Start],$A561),"")</f>
        <v/>
      </c>
      <c r="I561" s="60">
        <f>IFERROR(INDEX(tbl_Finance[Defer End],$A561),"")</f>
        <v/>
      </c>
      <c r="J561" s="59">
        <f>IF(OR($H561="",$I561="",$G561=""),"",MAX(1,(YEAR($I561)-YEAR($H561))*12+MONTH($I561)-MONTH($H561)+1))</f>
        <v/>
      </c>
      <c r="K561" s="62">
        <f>IF($J561="","",$G561/$J561)</f>
        <v/>
      </c>
      <c r="L561" s="62">
        <f>IF($J561="",0,$K561*MAX(0,MIN(YEAR($C$3)*12+MONTH($C$3),YEAR($I561)*12+MONTH($I561))-(YEAR($H561)*12+MONTH($H561))+1))</f>
        <v/>
      </c>
      <c r="M561" s="62">
        <f>IF($J561="",0,$K561*MAX(0,MIN(YEAR($C$3)*12+MONTH($C$3)-1,YEAR($I561)*12+MONTH($I561))-(YEAR($H561)*12+MONTH($H561))+1))</f>
        <v/>
      </c>
      <c r="N561" s="62">
        <f>IF(OR($J561="",$B561=""),0,IF(YEAR($B561)*12+MONTH($B561)&lt;=YEAR($C$3)*12+MONTH($C$3),$G561,0))</f>
        <v/>
      </c>
      <c r="O561" s="62">
        <f>IF(OR($J561="",$B561=""),0,IF(YEAR($B561)*12+MONTH($B561)&lt;=YEAR($C$3)*12+MONTH($C$3)-1,$G561,0))</f>
        <v/>
      </c>
      <c r="P561" s="62">
        <f>$M561-$O561</f>
        <v/>
      </c>
      <c r="Q561" s="62">
        <f>($L561-$M561)-($N561-$O561)</f>
        <v/>
      </c>
      <c r="R561" s="62">
        <f>$L561-$N561</f>
        <v/>
      </c>
    </row>
    <row r="562">
      <c r="A562" s="59">
        <f>ROW()-5</f>
        <v/>
      </c>
      <c r="B562" s="60">
        <f>IFERROR(INDEX(tbl_Finance[Date],$A562),"")</f>
        <v/>
      </c>
      <c r="C562" s="61">
        <f>IFERROR(INDEX(tbl_Finance[Xero Invoice No],$A562),"")</f>
        <v/>
      </c>
      <c r="D562" s="61">
        <f>IFERROR(INDEX(tbl_Finance[Client],$A562),"")</f>
        <v/>
      </c>
      <c r="E562" s="61">
        <f>IFERROR(INDEX(tbl_Finance[Job Number],$A562),"")</f>
        <v/>
      </c>
      <c r="F562" s="61">
        <f>IFERROR(INDEX(tbl_Finance[Cost Centre],$A562),"")</f>
        <v/>
      </c>
      <c r="G562" s="62">
        <f>IFERROR(INDEX(tbl_Finance[Ex GST],$A562),"")</f>
        <v/>
      </c>
      <c r="H562" s="60">
        <f>IFERROR(INDEX(tbl_Finance[Defer Start],$A562),"")</f>
        <v/>
      </c>
      <c r="I562" s="60">
        <f>IFERROR(INDEX(tbl_Finance[Defer End],$A562),"")</f>
        <v/>
      </c>
      <c r="J562" s="59">
        <f>IF(OR($H562="",$I562="",$G562=""),"",MAX(1,(YEAR($I562)-YEAR($H562))*12+MONTH($I562)-MONTH($H562)+1))</f>
        <v/>
      </c>
      <c r="K562" s="62">
        <f>IF($J562="","",$G562/$J562)</f>
        <v/>
      </c>
      <c r="L562" s="62">
        <f>IF($J562="",0,$K562*MAX(0,MIN(YEAR($C$3)*12+MONTH($C$3),YEAR($I562)*12+MONTH($I562))-(YEAR($H562)*12+MONTH($H562))+1))</f>
        <v/>
      </c>
      <c r="M562" s="62">
        <f>IF($J562="",0,$K562*MAX(0,MIN(YEAR($C$3)*12+MONTH($C$3)-1,YEAR($I562)*12+MONTH($I562))-(YEAR($H562)*12+MONTH($H562))+1))</f>
        <v/>
      </c>
      <c r="N562" s="62">
        <f>IF(OR($J562="",$B562=""),0,IF(YEAR($B562)*12+MONTH($B562)&lt;=YEAR($C$3)*12+MONTH($C$3),$G562,0))</f>
        <v/>
      </c>
      <c r="O562" s="62">
        <f>IF(OR($J562="",$B562=""),0,IF(YEAR($B562)*12+MONTH($B562)&lt;=YEAR($C$3)*12+MONTH($C$3)-1,$G562,0))</f>
        <v/>
      </c>
      <c r="P562" s="62">
        <f>$M562-$O562</f>
        <v/>
      </c>
      <c r="Q562" s="62">
        <f>($L562-$M562)-($N562-$O562)</f>
        <v/>
      </c>
      <c r="R562" s="62">
        <f>$L562-$N562</f>
        <v/>
      </c>
    </row>
    <row r="563">
      <c r="A563" s="59">
        <f>ROW()-5</f>
        <v/>
      </c>
      <c r="B563" s="60">
        <f>IFERROR(INDEX(tbl_Finance[Date],$A563),"")</f>
        <v/>
      </c>
      <c r="C563" s="61">
        <f>IFERROR(INDEX(tbl_Finance[Xero Invoice No],$A563),"")</f>
        <v/>
      </c>
      <c r="D563" s="61">
        <f>IFERROR(INDEX(tbl_Finance[Client],$A563),"")</f>
        <v/>
      </c>
      <c r="E563" s="61">
        <f>IFERROR(INDEX(tbl_Finance[Job Number],$A563),"")</f>
        <v/>
      </c>
      <c r="F563" s="61">
        <f>IFERROR(INDEX(tbl_Finance[Cost Centre],$A563),"")</f>
        <v/>
      </c>
      <c r="G563" s="62">
        <f>IFERROR(INDEX(tbl_Finance[Ex GST],$A563),"")</f>
        <v/>
      </c>
      <c r="H563" s="60">
        <f>IFERROR(INDEX(tbl_Finance[Defer Start],$A563),"")</f>
        <v/>
      </c>
      <c r="I563" s="60">
        <f>IFERROR(INDEX(tbl_Finance[Defer End],$A563),"")</f>
        <v/>
      </c>
      <c r="J563" s="59">
        <f>IF(OR($H563="",$I563="",$G563=""),"",MAX(1,(YEAR($I563)-YEAR($H563))*12+MONTH($I563)-MONTH($H563)+1))</f>
        <v/>
      </c>
      <c r="K563" s="62">
        <f>IF($J563="","",$G563/$J563)</f>
        <v/>
      </c>
      <c r="L563" s="62">
        <f>IF($J563="",0,$K563*MAX(0,MIN(YEAR($C$3)*12+MONTH($C$3),YEAR($I563)*12+MONTH($I563))-(YEAR($H563)*12+MONTH($H563))+1))</f>
        <v/>
      </c>
      <c r="M563" s="62">
        <f>IF($J563="",0,$K563*MAX(0,MIN(YEAR($C$3)*12+MONTH($C$3)-1,YEAR($I563)*12+MONTH($I563))-(YEAR($H563)*12+MONTH($H563))+1))</f>
        <v/>
      </c>
      <c r="N563" s="62">
        <f>IF(OR($J563="",$B563=""),0,IF(YEAR($B563)*12+MONTH($B563)&lt;=YEAR($C$3)*12+MONTH($C$3),$G563,0))</f>
        <v/>
      </c>
      <c r="O563" s="62">
        <f>IF(OR($J563="",$B563=""),0,IF(YEAR($B563)*12+MONTH($B563)&lt;=YEAR($C$3)*12+MONTH($C$3)-1,$G563,0))</f>
        <v/>
      </c>
      <c r="P563" s="62">
        <f>$M563-$O563</f>
        <v/>
      </c>
      <c r="Q563" s="62">
        <f>($L563-$M563)-($N563-$O563)</f>
        <v/>
      </c>
      <c r="R563" s="62">
        <f>$L563-$N563</f>
        <v/>
      </c>
    </row>
    <row r="564">
      <c r="A564" s="59">
        <f>ROW()-5</f>
        <v/>
      </c>
      <c r="B564" s="60">
        <f>IFERROR(INDEX(tbl_Finance[Date],$A564),"")</f>
        <v/>
      </c>
      <c r="C564" s="61">
        <f>IFERROR(INDEX(tbl_Finance[Xero Invoice No],$A564),"")</f>
        <v/>
      </c>
      <c r="D564" s="61">
        <f>IFERROR(INDEX(tbl_Finance[Client],$A564),"")</f>
        <v/>
      </c>
      <c r="E564" s="61">
        <f>IFERROR(INDEX(tbl_Finance[Job Number],$A564),"")</f>
        <v/>
      </c>
      <c r="F564" s="61">
        <f>IFERROR(INDEX(tbl_Finance[Cost Centre],$A564),"")</f>
        <v/>
      </c>
      <c r="G564" s="62">
        <f>IFERROR(INDEX(tbl_Finance[Ex GST],$A564),"")</f>
        <v/>
      </c>
      <c r="H564" s="60">
        <f>IFERROR(INDEX(tbl_Finance[Defer Start],$A564),"")</f>
        <v/>
      </c>
      <c r="I564" s="60">
        <f>IFERROR(INDEX(tbl_Finance[Defer End],$A564),"")</f>
        <v/>
      </c>
      <c r="J564" s="59">
        <f>IF(OR($H564="",$I564="",$G564=""),"",MAX(1,(YEAR($I564)-YEAR($H564))*12+MONTH($I564)-MONTH($H564)+1))</f>
        <v/>
      </c>
      <c r="K564" s="62">
        <f>IF($J564="","",$G564/$J564)</f>
        <v/>
      </c>
      <c r="L564" s="62">
        <f>IF($J564="",0,$K564*MAX(0,MIN(YEAR($C$3)*12+MONTH($C$3),YEAR($I564)*12+MONTH($I564))-(YEAR($H564)*12+MONTH($H564))+1))</f>
        <v/>
      </c>
      <c r="M564" s="62">
        <f>IF($J564="",0,$K564*MAX(0,MIN(YEAR($C$3)*12+MONTH($C$3)-1,YEAR($I564)*12+MONTH($I564))-(YEAR($H564)*12+MONTH($H564))+1))</f>
        <v/>
      </c>
      <c r="N564" s="62">
        <f>IF(OR($J564="",$B564=""),0,IF(YEAR($B564)*12+MONTH($B564)&lt;=YEAR($C$3)*12+MONTH($C$3),$G564,0))</f>
        <v/>
      </c>
      <c r="O564" s="62">
        <f>IF(OR($J564="",$B564=""),0,IF(YEAR($B564)*12+MONTH($B564)&lt;=YEAR($C$3)*12+MONTH($C$3)-1,$G564,0))</f>
        <v/>
      </c>
      <c r="P564" s="62">
        <f>$M564-$O564</f>
        <v/>
      </c>
      <c r="Q564" s="62">
        <f>($L564-$M564)-($N564-$O564)</f>
        <v/>
      </c>
      <c r="R564" s="62">
        <f>$L564-$N564</f>
        <v/>
      </c>
    </row>
    <row r="565">
      <c r="A565" s="59">
        <f>ROW()-5</f>
        <v/>
      </c>
      <c r="B565" s="60">
        <f>IFERROR(INDEX(tbl_Finance[Date],$A565),"")</f>
        <v/>
      </c>
      <c r="C565" s="61">
        <f>IFERROR(INDEX(tbl_Finance[Xero Invoice No],$A565),"")</f>
        <v/>
      </c>
      <c r="D565" s="61">
        <f>IFERROR(INDEX(tbl_Finance[Client],$A565),"")</f>
        <v/>
      </c>
      <c r="E565" s="61">
        <f>IFERROR(INDEX(tbl_Finance[Job Number],$A565),"")</f>
        <v/>
      </c>
      <c r="F565" s="61">
        <f>IFERROR(INDEX(tbl_Finance[Cost Centre],$A565),"")</f>
        <v/>
      </c>
      <c r="G565" s="62">
        <f>IFERROR(INDEX(tbl_Finance[Ex GST],$A565),"")</f>
        <v/>
      </c>
      <c r="H565" s="60">
        <f>IFERROR(INDEX(tbl_Finance[Defer Start],$A565),"")</f>
        <v/>
      </c>
      <c r="I565" s="60">
        <f>IFERROR(INDEX(tbl_Finance[Defer End],$A565),"")</f>
        <v/>
      </c>
      <c r="J565" s="59">
        <f>IF(OR($H565="",$I565="",$G565=""),"",MAX(1,(YEAR($I565)-YEAR($H565))*12+MONTH($I565)-MONTH($H565)+1))</f>
        <v/>
      </c>
      <c r="K565" s="62">
        <f>IF($J565="","",$G565/$J565)</f>
        <v/>
      </c>
      <c r="L565" s="62">
        <f>IF($J565="",0,$K565*MAX(0,MIN(YEAR($C$3)*12+MONTH($C$3),YEAR($I565)*12+MONTH($I565))-(YEAR($H565)*12+MONTH($H565))+1))</f>
        <v/>
      </c>
      <c r="M565" s="62">
        <f>IF($J565="",0,$K565*MAX(0,MIN(YEAR($C$3)*12+MONTH($C$3)-1,YEAR($I565)*12+MONTH($I565))-(YEAR($H565)*12+MONTH($H565))+1))</f>
        <v/>
      </c>
      <c r="N565" s="62">
        <f>IF(OR($J565="",$B565=""),0,IF(YEAR($B565)*12+MONTH($B565)&lt;=YEAR($C$3)*12+MONTH($C$3),$G565,0))</f>
        <v/>
      </c>
      <c r="O565" s="62">
        <f>IF(OR($J565="",$B565=""),0,IF(YEAR($B565)*12+MONTH($B565)&lt;=YEAR($C$3)*12+MONTH($C$3)-1,$G565,0))</f>
        <v/>
      </c>
      <c r="P565" s="62">
        <f>$M565-$O565</f>
        <v/>
      </c>
      <c r="Q565" s="62">
        <f>($L565-$M565)-($N565-$O565)</f>
        <v/>
      </c>
      <c r="R565" s="62">
        <f>$L565-$N565</f>
        <v/>
      </c>
    </row>
    <row r="566">
      <c r="A566" s="59">
        <f>ROW()-5</f>
        <v/>
      </c>
      <c r="B566" s="60">
        <f>IFERROR(INDEX(tbl_Finance[Date],$A566),"")</f>
        <v/>
      </c>
      <c r="C566" s="61">
        <f>IFERROR(INDEX(tbl_Finance[Xero Invoice No],$A566),"")</f>
        <v/>
      </c>
      <c r="D566" s="61">
        <f>IFERROR(INDEX(tbl_Finance[Client],$A566),"")</f>
        <v/>
      </c>
      <c r="E566" s="61">
        <f>IFERROR(INDEX(tbl_Finance[Job Number],$A566),"")</f>
        <v/>
      </c>
      <c r="F566" s="61">
        <f>IFERROR(INDEX(tbl_Finance[Cost Centre],$A566),"")</f>
        <v/>
      </c>
      <c r="G566" s="62">
        <f>IFERROR(INDEX(tbl_Finance[Ex GST],$A566),"")</f>
        <v/>
      </c>
      <c r="H566" s="60">
        <f>IFERROR(INDEX(tbl_Finance[Defer Start],$A566),"")</f>
        <v/>
      </c>
      <c r="I566" s="60">
        <f>IFERROR(INDEX(tbl_Finance[Defer End],$A566),"")</f>
        <v/>
      </c>
      <c r="J566" s="59">
        <f>IF(OR($H566="",$I566="",$G566=""),"",MAX(1,(YEAR($I566)-YEAR($H566))*12+MONTH($I566)-MONTH($H566)+1))</f>
        <v/>
      </c>
      <c r="K566" s="62">
        <f>IF($J566="","",$G566/$J566)</f>
        <v/>
      </c>
      <c r="L566" s="62">
        <f>IF($J566="",0,$K566*MAX(0,MIN(YEAR($C$3)*12+MONTH($C$3),YEAR($I566)*12+MONTH($I566))-(YEAR($H566)*12+MONTH($H566))+1))</f>
        <v/>
      </c>
      <c r="M566" s="62">
        <f>IF($J566="",0,$K566*MAX(0,MIN(YEAR($C$3)*12+MONTH($C$3)-1,YEAR($I566)*12+MONTH($I566))-(YEAR($H566)*12+MONTH($H566))+1))</f>
        <v/>
      </c>
      <c r="N566" s="62">
        <f>IF(OR($J566="",$B566=""),0,IF(YEAR($B566)*12+MONTH($B566)&lt;=YEAR($C$3)*12+MONTH($C$3),$G566,0))</f>
        <v/>
      </c>
      <c r="O566" s="62">
        <f>IF(OR($J566="",$B566=""),0,IF(YEAR($B566)*12+MONTH($B566)&lt;=YEAR($C$3)*12+MONTH($C$3)-1,$G566,0))</f>
        <v/>
      </c>
      <c r="P566" s="62">
        <f>$M566-$O566</f>
        <v/>
      </c>
      <c r="Q566" s="62">
        <f>($L566-$M566)-($N566-$O566)</f>
        <v/>
      </c>
      <c r="R566" s="62">
        <f>$L566-$N566</f>
        <v/>
      </c>
    </row>
    <row r="567">
      <c r="A567" s="59">
        <f>ROW()-5</f>
        <v/>
      </c>
      <c r="B567" s="60">
        <f>IFERROR(INDEX(tbl_Finance[Date],$A567),"")</f>
        <v/>
      </c>
      <c r="C567" s="61">
        <f>IFERROR(INDEX(tbl_Finance[Xero Invoice No],$A567),"")</f>
        <v/>
      </c>
      <c r="D567" s="61">
        <f>IFERROR(INDEX(tbl_Finance[Client],$A567),"")</f>
        <v/>
      </c>
      <c r="E567" s="61">
        <f>IFERROR(INDEX(tbl_Finance[Job Number],$A567),"")</f>
        <v/>
      </c>
      <c r="F567" s="61">
        <f>IFERROR(INDEX(tbl_Finance[Cost Centre],$A567),"")</f>
        <v/>
      </c>
      <c r="G567" s="62">
        <f>IFERROR(INDEX(tbl_Finance[Ex GST],$A567),"")</f>
        <v/>
      </c>
      <c r="H567" s="60">
        <f>IFERROR(INDEX(tbl_Finance[Defer Start],$A567),"")</f>
        <v/>
      </c>
      <c r="I567" s="60">
        <f>IFERROR(INDEX(tbl_Finance[Defer End],$A567),"")</f>
        <v/>
      </c>
      <c r="J567" s="59">
        <f>IF(OR($H567="",$I567="",$G567=""),"",MAX(1,(YEAR($I567)-YEAR($H567))*12+MONTH($I567)-MONTH($H567)+1))</f>
        <v/>
      </c>
      <c r="K567" s="62">
        <f>IF($J567="","",$G567/$J567)</f>
        <v/>
      </c>
      <c r="L567" s="62">
        <f>IF($J567="",0,$K567*MAX(0,MIN(YEAR($C$3)*12+MONTH($C$3),YEAR($I567)*12+MONTH($I567))-(YEAR($H567)*12+MONTH($H567))+1))</f>
        <v/>
      </c>
      <c r="M567" s="62">
        <f>IF($J567="",0,$K567*MAX(0,MIN(YEAR($C$3)*12+MONTH($C$3)-1,YEAR($I567)*12+MONTH($I567))-(YEAR($H567)*12+MONTH($H567))+1))</f>
        <v/>
      </c>
      <c r="N567" s="62">
        <f>IF(OR($J567="",$B567=""),0,IF(YEAR($B567)*12+MONTH($B567)&lt;=YEAR($C$3)*12+MONTH($C$3),$G567,0))</f>
        <v/>
      </c>
      <c r="O567" s="62">
        <f>IF(OR($J567="",$B567=""),0,IF(YEAR($B567)*12+MONTH($B567)&lt;=YEAR($C$3)*12+MONTH($C$3)-1,$G567,0))</f>
        <v/>
      </c>
      <c r="P567" s="62">
        <f>$M567-$O567</f>
        <v/>
      </c>
      <c r="Q567" s="62">
        <f>($L567-$M567)-($N567-$O567)</f>
        <v/>
      </c>
      <c r="R567" s="62">
        <f>$L567-$N567</f>
        <v/>
      </c>
    </row>
    <row r="568">
      <c r="A568" s="59">
        <f>ROW()-5</f>
        <v/>
      </c>
      <c r="B568" s="60">
        <f>IFERROR(INDEX(tbl_Finance[Date],$A568),"")</f>
        <v/>
      </c>
      <c r="C568" s="61">
        <f>IFERROR(INDEX(tbl_Finance[Xero Invoice No],$A568),"")</f>
        <v/>
      </c>
      <c r="D568" s="61">
        <f>IFERROR(INDEX(tbl_Finance[Client],$A568),"")</f>
        <v/>
      </c>
      <c r="E568" s="61">
        <f>IFERROR(INDEX(tbl_Finance[Job Number],$A568),"")</f>
        <v/>
      </c>
      <c r="F568" s="61">
        <f>IFERROR(INDEX(tbl_Finance[Cost Centre],$A568),"")</f>
        <v/>
      </c>
      <c r="G568" s="62">
        <f>IFERROR(INDEX(tbl_Finance[Ex GST],$A568),"")</f>
        <v/>
      </c>
      <c r="H568" s="60">
        <f>IFERROR(INDEX(tbl_Finance[Defer Start],$A568),"")</f>
        <v/>
      </c>
      <c r="I568" s="60">
        <f>IFERROR(INDEX(tbl_Finance[Defer End],$A568),"")</f>
        <v/>
      </c>
      <c r="J568" s="59">
        <f>IF(OR($H568="",$I568="",$G568=""),"",MAX(1,(YEAR($I568)-YEAR($H568))*12+MONTH($I568)-MONTH($H568)+1))</f>
        <v/>
      </c>
      <c r="K568" s="62">
        <f>IF($J568="","",$G568/$J568)</f>
        <v/>
      </c>
      <c r="L568" s="62">
        <f>IF($J568="",0,$K568*MAX(0,MIN(YEAR($C$3)*12+MONTH($C$3),YEAR($I568)*12+MONTH($I568))-(YEAR($H568)*12+MONTH($H568))+1))</f>
        <v/>
      </c>
      <c r="M568" s="62">
        <f>IF($J568="",0,$K568*MAX(0,MIN(YEAR($C$3)*12+MONTH($C$3)-1,YEAR($I568)*12+MONTH($I568))-(YEAR($H568)*12+MONTH($H568))+1))</f>
        <v/>
      </c>
      <c r="N568" s="62">
        <f>IF(OR($J568="",$B568=""),0,IF(YEAR($B568)*12+MONTH($B568)&lt;=YEAR($C$3)*12+MONTH($C$3),$G568,0))</f>
        <v/>
      </c>
      <c r="O568" s="62">
        <f>IF(OR($J568="",$B568=""),0,IF(YEAR($B568)*12+MONTH($B568)&lt;=YEAR($C$3)*12+MONTH($C$3)-1,$G568,0))</f>
        <v/>
      </c>
      <c r="P568" s="62">
        <f>$M568-$O568</f>
        <v/>
      </c>
      <c r="Q568" s="62">
        <f>($L568-$M568)-($N568-$O568)</f>
        <v/>
      </c>
      <c r="R568" s="62">
        <f>$L568-$N568</f>
        <v/>
      </c>
    </row>
    <row r="569">
      <c r="A569" s="59">
        <f>ROW()-5</f>
        <v/>
      </c>
      <c r="B569" s="60">
        <f>IFERROR(INDEX(tbl_Finance[Date],$A569),"")</f>
        <v/>
      </c>
      <c r="C569" s="61">
        <f>IFERROR(INDEX(tbl_Finance[Xero Invoice No],$A569),"")</f>
        <v/>
      </c>
      <c r="D569" s="61">
        <f>IFERROR(INDEX(tbl_Finance[Client],$A569),"")</f>
        <v/>
      </c>
      <c r="E569" s="61">
        <f>IFERROR(INDEX(tbl_Finance[Job Number],$A569),"")</f>
        <v/>
      </c>
      <c r="F569" s="61">
        <f>IFERROR(INDEX(tbl_Finance[Cost Centre],$A569),"")</f>
        <v/>
      </c>
      <c r="G569" s="62">
        <f>IFERROR(INDEX(tbl_Finance[Ex GST],$A569),"")</f>
        <v/>
      </c>
      <c r="H569" s="60">
        <f>IFERROR(INDEX(tbl_Finance[Defer Start],$A569),"")</f>
        <v/>
      </c>
      <c r="I569" s="60">
        <f>IFERROR(INDEX(tbl_Finance[Defer End],$A569),"")</f>
        <v/>
      </c>
      <c r="J569" s="59">
        <f>IF(OR($H569="",$I569="",$G569=""),"",MAX(1,(YEAR($I569)-YEAR($H569))*12+MONTH($I569)-MONTH($H569)+1))</f>
        <v/>
      </c>
      <c r="K569" s="62">
        <f>IF($J569="","",$G569/$J569)</f>
        <v/>
      </c>
      <c r="L569" s="62">
        <f>IF($J569="",0,$K569*MAX(0,MIN(YEAR($C$3)*12+MONTH($C$3),YEAR($I569)*12+MONTH($I569))-(YEAR($H569)*12+MONTH($H569))+1))</f>
        <v/>
      </c>
      <c r="M569" s="62">
        <f>IF($J569="",0,$K569*MAX(0,MIN(YEAR($C$3)*12+MONTH($C$3)-1,YEAR($I569)*12+MONTH($I569))-(YEAR($H569)*12+MONTH($H569))+1))</f>
        <v/>
      </c>
      <c r="N569" s="62">
        <f>IF(OR($J569="",$B569=""),0,IF(YEAR($B569)*12+MONTH($B569)&lt;=YEAR($C$3)*12+MONTH($C$3),$G569,0))</f>
        <v/>
      </c>
      <c r="O569" s="62">
        <f>IF(OR($J569="",$B569=""),0,IF(YEAR($B569)*12+MONTH($B569)&lt;=YEAR($C$3)*12+MONTH($C$3)-1,$G569,0))</f>
        <v/>
      </c>
      <c r="P569" s="62">
        <f>$M569-$O569</f>
        <v/>
      </c>
      <c r="Q569" s="62">
        <f>($L569-$M569)-($N569-$O569)</f>
        <v/>
      </c>
      <c r="R569" s="62">
        <f>$L569-$N569</f>
        <v/>
      </c>
    </row>
    <row r="570">
      <c r="A570" s="59">
        <f>ROW()-5</f>
        <v/>
      </c>
      <c r="B570" s="60">
        <f>IFERROR(INDEX(tbl_Finance[Date],$A570),"")</f>
        <v/>
      </c>
      <c r="C570" s="61">
        <f>IFERROR(INDEX(tbl_Finance[Xero Invoice No],$A570),"")</f>
        <v/>
      </c>
      <c r="D570" s="61">
        <f>IFERROR(INDEX(tbl_Finance[Client],$A570),"")</f>
        <v/>
      </c>
      <c r="E570" s="61">
        <f>IFERROR(INDEX(tbl_Finance[Job Number],$A570),"")</f>
        <v/>
      </c>
      <c r="F570" s="61">
        <f>IFERROR(INDEX(tbl_Finance[Cost Centre],$A570),"")</f>
        <v/>
      </c>
      <c r="G570" s="62">
        <f>IFERROR(INDEX(tbl_Finance[Ex GST],$A570),"")</f>
        <v/>
      </c>
      <c r="H570" s="60">
        <f>IFERROR(INDEX(tbl_Finance[Defer Start],$A570),"")</f>
        <v/>
      </c>
      <c r="I570" s="60">
        <f>IFERROR(INDEX(tbl_Finance[Defer End],$A570),"")</f>
        <v/>
      </c>
      <c r="J570" s="59">
        <f>IF(OR($H570="",$I570="",$G570=""),"",MAX(1,(YEAR($I570)-YEAR($H570))*12+MONTH($I570)-MONTH($H570)+1))</f>
        <v/>
      </c>
      <c r="K570" s="62">
        <f>IF($J570="","",$G570/$J570)</f>
        <v/>
      </c>
      <c r="L570" s="62">
        <f>IF($J570="",0,$K570*MAX(0,MIN(YEAR($C$3)*12+MONTH($C$3),YEAR($I570)*12+MONTH($I570))-(YEAR($H570)*12+MONTH($H570))+1))</f>
        <v/>
      </c>
      <c r="M570" s="62">
        <f>IF($J570="",0,$K570*MAX(0,MIN(YEAR($C$3)*12+MONTH($C$3)-1,YEAR($I570)*12+MONTH($I570))-(YEAR($H570)*12+MONTH($H570))+1))</f>
        <v/>
      </c>
      <c r="N570" s="62">
        <f>IF(OR($J570="",$B570=""),0,IF(YEAR($B570)*12+MONTH($B570)&lt;=YEAR($C$3)*12+MONTH($C$3),$G570,0))</f>
        <v/>
      </c>
      <c r="O570" s="62">
        <f>IF(OR($J570="",$B570=""),0,IF(YEAR($B570)*12+MONTH($B570)&lt;=YEAR($C$3)*12+MONTH($C$3)-1,$G570,0))</f>
        <v/>
      </c>
      <c r="P570" s="62">
        <f>$M570-$O570</f>
        <v/>
      </c>
      <c r="Q570" s="62">
        <f>($L570-$M570)-($N570-$O570)</f>
        <v/>
      </c>
      <c r="R570" s="62">
        <f>$L570-$N570</f>
        <v/>
      </c>
    </row>
    <row r="571">
      <c r="A571" s="59">
        <f>ROW()-5</f>
        <v/>
      </c>
      <c r="B571" s="60">
        <f>IFERROR(INDEX(tbl_Finance[Date],$A571),"")</f>
        <v/>
      </c>
      <c r="C571" s="61">
        <f>IFERROR(INDEX(tbl_Finance[Xero Invoice No],$A571),"")</f>
        <v/>
      </c>
      <c r="D571" s="61">
        <f>IFERROR(INDEX(tbl_Finance[Client],$A571),"")</f>
        <v/>
      </c>
      <c r="E571" s="61">
        <f>IFERROR(INDEX(tbl_Finance[Job Number],$A571),"")</f>
        <v/>
      </c>
      <c r="F571" s="61">
        <f>IFERROR(INDEX(tbl_Finance[Cost Centre],$A571),"")</f>
        <v/>
      </c>
      <c r="G571" s="62">
        <f>IFERROR(INDEX(tbl_Finance[Ex GST],$A571),"")</f>
        <v/>
      </c>
      <c r="H571" s="60">
        <f>IFERROR(INDEX(tbl_Finance[Defer Start],$A571),"")</f>
        <v/>
      </c>
      <c r="I571" s="60">
        <f>IFERROR(INDEX(tbl_Finance[Defer End],$A571),"")</f>
        <v/>
      </c>
      <c r="J571" s="59">
        <f>IF(OR($H571="",$I571="",$G571=""),"",MAX(1,(YEAR($I571)-YEAR($H571))*12+MONTH($I571)-MONTH($H571)+1))</f>
        <v/>
      </c>
      <c r="K571" s="62">
        <f>IF($J571="","",$G571/$J571)</f>
        <v/>
      </c>
      <c r="L571" s="62">
        <f>IF($J571="",0,$K571*MAX(0,MIN(YEAR($C$3)*12+MONTH($C$3),YEAR($I571)*12+MONTH($I571))-(YEAR($H571)*12+MONTH($H571))+1))</f>
        <v/>
      </c>
      <c r="M571" s="62">
        <f>IF($J571="",0,$K571*MAX(0,MIN(YEAR($C$3)*12+MONTH($C$3)-1,YEAR($I571)*12+MONTH($I571))-(YEAR($H571)*12+MONTH($H571))+1))</f>
        <v/>
      </c>
      <c r="N571" s="62">
        <f>IF(OR($J571="",$B571=""),0,IF(YEAR($B571)*12+MONTH($B571)&lt;=YEAR($C$3)*12+MONTH($C$3),$G571,0))</f>
        <v/>
      </c>
      <c r="O571" s="62">
        <f>IF(OR($J571="",$B571=""),0,IF(YEAR($B571)*12+MONTH($B571)&lt;=YEAR($C$3)*12+MONTH($C$3)-1,$G571,0))</f>
        <v/>
      </c>
      <c r="P571" s="62">
        <f>$M571-$O571</f>
        <v/>
      </c>
      <c r="Q571" s="62">
        <f>($L571-$M571)-($N571-$O571)</f>
        <v/>
      </c>
      <c r="R571" s="62">
        <f>$L571-$N571</f>
        <v/>
      </c>
    </row>
    <row r="572">
      <c r="A572" s="59">
        <f>ROW()-5</f>
        <v/>
      </c>
      <c r="B572" s="60">
        <f>IFERROR(INDEX(tbl_Finance[Date],$A572),"")</f>
        <v/>
      </c>
      <c r="C572" s="61">
        <f>IFERROR(INDEX(tbl_Finance[Xero Invoice No],$A572),"")</f>
        <v/>
      </c>
      <c r="D572" s="61">
        <f>IFERROR(INDEX(tbl_Finance[Client],$A572),"")</f>
        <v/>
      </c>
      <c r="E572" s="61">
        <f>IFERROR(INDEX(tbl_Finance[Job Number],$A572),"")</f>
        <v/>
      </c>
      <c r="F572" s="61">
        <f>IFERROR(INDEX(tbl_Finance[Cost Centre],$A572),"")</f>
        <v/>
      </c>
      <c r="G572" s="62">
        <f>IFERROR(INDEX(tbl_Finance[Ex GST],$A572),"")</f>
        <v/>
      </c>
      <c r="H572" s="60">
        <f>IFERROR(INDEX(tbl_Finance[Defer Start],$A572),"")</f>
        <v/>
      </c>
      <c r="I572" s="60">
        <f>IFERROR(INDEX(tbl_Finance[Defer End],$A572),"")</f>
        <v/>
      </c>
      <c r="J572" s="59">
        <f>IF(OR($H572="",$I572="",$G572=""),"",MAX(1,(YEAR($I572)-YEAR($H572))*12+MONTH($I572)-MONTH($H572)+1))</f>
        <v/>
      </c>
      <c r="K572" s="62">
        <f>IF($J572="","",$G572/$J572)</f>
        <v/>
      </c>
      <c r="L572" s="62">
        <f>IF($J572="",0,$K572*MAX(0,MIN(YEAR($C$3)*12+MONTH($C$3),YEAR($I572)*12+MONTH($I572))-(YEAR($H572)*12+MONTH($H572))+1))</f>
        <v/>
      </c>
      <c r="M572" s="62">
        <f>IF($J572="",0,$K572*MAX(0,MIN(YEAR($C$3)*12+MONTH($C$3)-1,YEAR($I572)*12+MONTH($I572))-(YEAR($H572)*12+MONTH($H572))+1))</f>
        <v/>
      </c>
      <c r="N572" s="62">
        <f>IF(OR($J572="",$B572=""),0,IF(YEAR($B572)*12+MONTH($B572)&lt;=YEAR($C$3)*12+MONTH($C$3),$G572,0))</f>
        <v/>
      </c>
      <c r="O572" s="62">
        <f>IF(OR($J572="",$B572=""),0,IF(YEAR($B572)*12+MONTH($B572)&lt;=YEAR($C$3)*12+MONTH($C$3)-1,$G572,0))</f>
        <v/>
      </c>
      <c r="P572" s="62">
        <f>$M572-$O572</f>
        <v/>
      </c>
      <c r="Q572" s="62">
        <f>($L572-$M572)-($N572-$O572)</f>
        <v/>
      </c>
      <c r="R572" s="62">
        <f>$L572-$N572</f>
        <v/>
      </c>
    </row>
    <row r="573">
      <c r="A573" s="59">
        <f>ROW()-5</f>
        <v/>
      </c>
      <c r="B573" s="60">
        <f>IFERROR(INDEX(tbl_Finance[Date],$A573),"")</f>
        <v/>
      </c>
      <c r="C573" s="61">
        <f>IFERROR(INDEX(tbl_Finance[Xero Invoice No],$A573),"")</f>
        <v/>
      </c>
      <c r="D573" s="61">
        <f>IFERROR(INDEX(tbl_Finance[Client],$A573),"")</f>
        <v/>
      </c>
      <c r="E573" s="61">
        <f>IFERROR(INDEX(tbl_Finance[Job Number],$A573),"")</f>
        <v/>
      </c>
      <c r="F573" s="61">
        <f>IFERROR(INDEX(tbl_Finance[Cost Centre],$A573),"")</f>
        <v/>
      </c>
      <c r="G573" s="62">
        <f>IFERROR(INDEX(tbl_Finance[Ex GST],$A573),"")</f>
        <v/>
      </c>
      <c r="H573" s="60">
        <f>IFERROR(INDEX(tbl_Finance[Defer Start],$A573),"")</f>
        <v/>
      </c>
      <c r="I573" s="60">
        <f>IFERROR(INDEX(tbl_Finance[Defer End],$A573),"")</f>
        <v/>
      </c>
      <c r="J573" s="59">
        <f>IF(OR($H573="",$I573="",$G573=""),"",MAX(1,(YEAR($I573)-YEAR($H573))*12+MONTH($I573)-MONTH($H573)+1))</f>
        <v/>
      </c>
      <c r="K573" s="62">
        <f>IF($J573="","",$G573/$J573)</f>
        <v/>
      </c>
      <c r="L573" s="62">
        <f>IF($J573="",0,$K573*MAX(0,MIN(YEAR($C$3)*12+MONTH($C$3),YEAR($I573)*12+MONTH($I573))-(YEAR($H573)*12+MONTH($H573))+1))</f>
        <v/>
      </c>
      <c r="M573" s="62">
        <f>IF($J573="",0,$K573*MAX(0,MIN(YEAR($C$3)*12+MONTH($C$3)-1,YEAR($I573)*12+MONTH($I573))-(YEAR($H573)*12+MONTH($H573))+1))</f>
        <v/>
      </c>
      <c r="N573" s="62">
        <f>IF(OR($J573="",$B573=""),0,IF(YEAR($B573)*12+MONTH($B573)&lt;=YEAR($C$3)*12+MONTH($C$3),$G573,0))</f>
        <v/>
      </c>
      <c r="O573" s="62">
        <f>IF(OR($J573="",$B573=""),0,IF(YEAR($B573)*12+MONTH($B573)&lt;=YEAR($C$3)*12+MONTH($C$3)-1,$G573,0))</f>
        <v/>
      </c>
      <c r="P573" s="62">
        <f>$M573-$O573</f>
        <v/>
      </c>
      <c r="Q573" s="62">
        <f>($L573-$M573)-($N573-$O573)</f>
        <v/>
      </c>
      <c r="R573" s="62">
        <f>$L573-$N573</f>
        <v/>
      </c>
    </row>
    <row r="574">
      <c r="A574" s="59">
        <f>ROW()-5</f>
        <v/>
      </c>
      <c r="B574" s="60">
        <f>IFERROR(INDEX(tbl_Finance[Date],$A574),"")</f>
        <v/>
      </c>
      <c r="C574" s="61">
        <f>IFERROR(INDEX(tbl_Finance[Xero Invoice No],$A574),"")</f>
        <v/>
      </c>
      <c r="D574" s="61">
        <f>IFERROR(INDEX(tbl_Finance[Client],$A574),"")</f>
        <v/>
      </c>
      <c r="E574" s="61">
        <f>IFERROR(INDEX(tbl_Finance[Job Number],$A574),"")</f>
        <v/>
      </c>
      <c r="F574" s="61">
        <f>IFERROR(INDEX(tbl_Finance[Cost Centre],$A574),"")</f>
        <v/>
      </c>
      <c r="G574" s="62">
        <f>IFERROR(INDEX(tbl_Finance[Ex GST],$A574),"")</f>
        <v/>
      </c>
      <c r="H574" s="60">
        <f>IFERROR(INDEX(tbl_Finance[Defer Start],$A574),"")</f>
        <v/>
      </c>
      <c r="I574" s="60">
        <f>IFERROR(INDEX(tbl_Finance[Defer End],$A574),"")</f>
        <v/>
      </c>
      <c r="J574" s="59">
        <f>IF(OR($H574="",$I574="",$G574=""),"",MAX(1,(YEAR($I574)-YEAR($H574))*12+MONTH($I574)-MONTH($H574)+1))</f>
        <v/>
      </c>
      <c r="K574" s="62">
        <f>IF($J574="","",$G574/$J574)</f>
        <v/>
      </c>
      <c r="L574" s="62">
        <f>IF($J574="",0,$K574*MAX(0,MIN(YEAR($C$3)*12+MONTH($C$3),YEAR($I574)*12+MONTH($I574))-(YEAR($H574)*12+MONTH($H574))+1))</f>
        <v/>
      </c>
      <c r="M574" s="62">
        <f>IF($J574="",0,$K574*MAX(0,MIN(YEAR($C$3)*12+MONTH($C$3)-1,YEAR($I574)*12+MONTH($I574))-(YEAR($H574)*12+MONTH($H574))+1))</f>
        <v/>
      </c>
      <c r="N574" s="62">
        <f>IF(OR($J574="",$B574=""),0,IF(YEAR($B574)*12+MONTH($B574)&lt;=YEAR($C$3)*12+MONTH($C$3),$G574,0))</f>
        <v/>
      </c>
      <c r="O574" s="62">
        <f>IF(OR($J574="",$B574=""),0,IF(YEAR($B574)*12+MONTH($B574)&lt;=YEAR($C$3)*12+MONTH($C$3)-1,$G574,0))</f>
        <v/>
      </c>
      <c r="P574" s="62">
        <f>$M574-$O574</f>
        <v/>
      </c>
      <c r="Q574" s="62">
        <f>($L574-$M574)-($N574-$O574)</f>
        <v/>
      </c>
      <c r="R574" s="62">
        <f>$L574-$N574</f>
        <v/>
      </c>
    </row>
    <row r="575">
      <c r="A575" s="59">
        <f>ROW()-5</f>
        <v/>
      </c>
      <c r="B575" s="60">
        <f>IFERROR(INDEX(tbl_Finance[Date],$A575),"")</f>
        <v/>
      </c>
      <c r="C575" s="61">
        <f>IFERROR(INDEX(tbl_Finance[Xero Invoice No],$A575),"")</f>
        <v/>
      </c>
      <c r="D575" s="61">
        <f>IFERROR(INDEX(tbl_Finance[Client],$A575),"")</f>
        <v/>
      </c>
      <c r="E575" s="61">
        <f>IFERROR(INDEX(tbl_Finance[Job Number],$A575),"")</f>
        <v/>
      </c>
      <c r="F575" s="61">
        <f>IFERROR(INDEX(tbl_Finance[Cost Centre],$A575),"")</f>
        <v/>
      </c>
      <c r="G575" s="62">
        <f>IFERROR(INDEX(tbl_Finance[Ex GST],$A575),"")</f>
        <v/>
      </c>
      <c r="H575" s="60">
        <f>IFERROR(INDEX(tbl_Finance[Defer Start],$A575),"")</f>
        <v/>
      </c>
      <c r="I575" s="60">
        <f>IFERROR(INDEX(tbl_Finance[Defer End],$A575),"")</f>
        <v/>
      </c>
      <c r="J575" s="59">
        <f>IF(OR($H575="",$I575="",$G575=""),"",MAX(1,(YEAR($I575)-YEAR($H575))*12+MONTH($I575)-MONTH($H575)+1))</f>
        <v/>
      </c>
      <c r="K575" s="62">
        <f>IF($J575="","",$G575/$J575)</f>
        <v/>
      </c>
      <c r="L575" s="62">
        <f>IF($J575="",0,$K575*MAX(0,MIN(YEAR($C$3)*12+MONTH($C$3),YEAR($I575)*12+MONTH($I575))-(YEAR($H575)*12+MONTH($H575))+1))</f>
        <v/>
      </c>
      <c r="M575" s="62">
        <f>IF($J575="",0,$K575*MAX(0,MIN(YEAR($C$3)*12+MONTH($C$3)-1,YEAR($I575)*12+MONTH($I575))-(YEAR($H575)*12+MONTH($H575))+1))</f>
        <v/>
      </c>
      <c r="N575" s="62">
        <f>IF(OR($J575="",$B575=""),0,IF(YEAR($B575)*12+MONTH($B575)&lt;=YEAR($C$3)*12+MONTH($C$3),$G575,0))</f>
        <v/>
      </c>
      <c r="O575" s="62">
        <f>IF(OR($J575="",$B575=""),0,IF(YEAR($B575)*12+MONTH($B575)&lt;=YEAR($C$3)*12+MONTH($C$3)-1,$G575,0))</f>
        <v/>
      </c>
      <c r="P575" s="62">
        <f>$M575-$O575</f>
        <v/>
      </c>
      <c r="Q575" s="62">
        <f>($L575-$M575)-($N575-$O575)</f>
        <v/>
      </c>
      <c r="R575" s="62">
        <f>$L575-$N575</f>
        <v/>
      </c>
    </row>
    <row r="576">
      <c r="A576" s="59">
        <f>ROW()-5</f>
        <v/>
      </c>
      <c r="B576" s="60">
        <f>IFERROR(INDEX(tbl_Finance[Date],$A576),"")</f>
        <v/>
      </c>
      <c r="C576" s="61">
        <f>IFERROR(INDEX(tbl_Finance[Xero Invoice No],$A576),"")</f>
        <v/>
      </c>
      <c r="D576" s="61">
        <f>IFERROR(INDEX(tbl_Finance[Client],$A576),"")</f>
        <v/>
      </c>
      <c r="E576" s="61">
        <f>IFERROR(INDEX(tbl_Finance[Job Number],$A576),"")</f>
        <v/>
      </c>
      <c r="F576" s="61">
        <f>IFERROR(INDEX(tbl_Finance[Cost Centre],$A576),"")</f>
        <v/>
      </c>
      <c r="G576" s="62">
        <f>IFERROR(INDEX(tbl_Finance[Ex GST],$A576),"")</f>
        <v/>
      </c>
      <c r="H576" s="60">
        <f>IFERROR(INDEX(tbl_Finance[Defer Start],$A576),"")</f>
        <v/>
      </c>
      <c r="I576" s="60">
        <f>IFERROR(INDEX(tbl_Finance[Defer End],$A576),"")</f>
        <v/>
      </c>
      <c r="J576" s="59">
        <f>IF(OR($H576="",$I576="",$G576=""),"",MAX(1,(YEAR($I576)-YEAR($H576))*12+MONTH($I576)-MONTH($H576)+1))</f>
        <v/>
      </c>
      <c r="K576" s="62">
        <f>IF($J576="","",$G576/$J576)</f>
        <v/>
      </c>
      <c r="L576" s="62">
        <f>IF($J576="",0,$K576*MAX(0,MIN(YEAR($C$3)*12+MONTH($C$3),YEAR($I576)*12+MONTH($I576))-(YEAR($H576)*12+MONTH($H576))+1))</f>
        <v/>
      </c>
      <c r="M576" s="62">
        <f>IF($J576="",0,$K576*MAX(0,MIN(YEAR($C$3)*12+MONTH($C$3)-1,YEAR($I576)*12+MONTH($I576))-(YEAR($H576)*12+MONTH($H576))+1))</f>
        <v/>
      </c>
      <c r="N576" s="62">
        <f>IF(OR($J576="",$B576=""),0,IF(YEAR($B576)*12+MONTH($B576)&lt;=YEAR($C$3)*12+MONTH($C$3),$G576,0))</f>
        <v/>
      </c>
      <c r="O576" s="62">
        <f>IF(OR($J576="",$B576=""),0,IF(YEAR($B576)*12+MONTH($B576)&lt;=YEAR($C$3)*12+MONTH($C$3)-1,$G576,0))</f>
        <v/>
      </c>
      <c r="P576" s="62">
        <f>$M576-$O576</f>
        <v/>
      </c>
      <c r="Q576" s="62">
        <f>($L576-$M576)-($N576-$O576)</f>
        <v/>
      </c>
      <c r="R576" s="62">
        <f>$L576-$N576</f>
        <v/>
      </c>
    </row>
    <row r="577">
      <c r="A577" s="59">
        <f>ROW()-5</f>
        <v/>
      </c>
      <c r="B577" s="60">
        <f>IFERROR(INDEX(tbl_Finance[Date],$A577),"")</f>
        <v/>
      </c>
      <c r="C577" s="61">
        <f>IFERROR(INDEX(tbl_Finance[Xero Invoice No],$A577),"")</f>
        <v/>
      </c>
      <c r="D577" s="61">
        <f>IFERROR(INDEX(tbl_Finance[Client],$A577),"")</f>
        <v/>
      </c>
      <c r="E577" s="61">
        <f>IFERROR(INDEX(tbl_Finance[Job Number],$A577),"")</f>
        <v/>
      </c>
      <c r="F577" s="61">
        <f>IFERROR(INDEX(tbl_Finance[Cost Centre],$A577),"")</f>
        <v/>
      </c>
      <c r="G577" s="62">
        <f>IFERROR(INDEX(tbl_Finance[Ex GST],$A577),"")</f>
        <v/>
      </c>
      <c r="H577" s="60">
        <f>IFERROR(INDEX(tbl_Finance[Defer Start],$A577),"")</f>
        <v/>
      </c>
      <c r="I577" s="60">
        <f>IFERROR(INDEX(tbl_Finance[Defer End],$A577),"")</f>
        <v/>
      </c>
      <c r="J577" s="59">
        <f>IF(OR($H577="",$I577="",$G577=""),"",MAX(1,(YEAR($I577)-YEAR($H577))*12+MONTH($I577)-MONTH($H577)+1))</f>
        <v/>
      </c>
      <c r="K577" s="62">
        <f>IF($J577="","",$G577/$J577)</f>
        <v/>
      </c>
      <c r="L577" s="62">
        <f>IF($J577="",0,$K577*MAX(0,MIN(YEAR($C$3)*12+MONTH($C$3),YEAR($I577)*12+MONTH($I577))-(YEAR($H577)*12+MONTH($H577))+1))</f>
        <v/>
      </c>
      <c r="M577" s="62">
        <f>IF($J577="",0,$K577*MAX(0,MIN(YEAR($C$3)*12+MONTH($C$3)-1,YEAR($I577)*12+MONTH($I577))-(YEAR($H577)*12+MONTH($H577))+1))</f>
        <v/>
      </c>
      <c r="N577" s="62">
        <f>IF(OR($J577="",$B577=""),0,IF(YEAR($B577)*12+MONTH($B577)&lt;=YEAR($C$3)*12+MONTH($C$3),$G577,0))</f>
        <v/>
      </c>
      <c r="O577" s="62">
        <f>IF(OR($J577="",$B577=""),0,IF(YEAR($B577)*12+MONTH($B577)&lt;=YEAR($C$3)*12+MONTH($C$3)-1,$G577,0))</f>
        <v/>
      </c>
      <c r="P577" s="62">
        <f>$M577-$O577</f>
        <v/>
      </c>
      <c r="Q577" s="62">
        <f>($L577-$M577)-($N577-$O577)</f>
        <v/>
      </c>
      <c r="R577" s="62">
        <f>$L577-$N577</f>
        <v/>
      </c>
    </row>
    <row r="578">
      <c r="A578" s="59">
        <f>ROW()-5</f>
        <v/>
      </c>
      <c r="B578" s="60">
        <f>IFERROR(INDEX(tbl_Finance[Date],$A578),"")</f>
        <v/>
      </c>
      <c r="C578" s="61">
        <f>IFERROR(INDEX(tbl_Finance[Xero Invoice No],$A578),"")</f>
        <v/>
      </c>
      <c r="D578" s="61">
        <f>IFERROR(INDEX(tbl_Finance[Client],$A578),"")</f>
        <v/>
      </c>
      <c r="E578" s="61">
        <f>IFERROR(INDEX(tbl_Finance[Job Number],$A578),"")</f>
        <v/>
      </c>
      <c r="F578" s="61">
        <f>IFERROR(INDEX(tbl_Finance[Cost Centre],$A578),"")</f>
        <v/>
      </c>
      <c r="G578" s="62">
        <f>IFERROR(INDEX(tbl_Finance[Ex GST],$A578),"")</f>
        <v/>
      </c>
      <c r="H578" s="60">
        <f>IFERROR(INDEX(tbl_Finance[Defer Start],$A578),"")</f>
        <v/>
      </c>
      <c r="I578" s="60">
        <f>IFERROR(INDEX(tbl_Finance[Defer End],$A578),"")</f>
        <v/>
      </c>
      <c r="J578" s="59">
        <f>IF(OR($H578="",$I578="",$G578=""),"",MAX(1,(YEAR($I578)-YEAR($H578))*12+MONTH($I578)-MONTH($H578)+1))</f>
        <v/>
      </c>
      <c r="K578" s="62">
        <f>IF($J578="","",$G578/$J578)</f>
        <v/>
      </c>
      <c r="L578" s="62">
        <f>IF($J578="",0,$K578*MAX(0,MIN(YEAR($C$3)*12+MONTH($C$3),YEAR($I578)*12+MONTH($I578))-(YEAR($H578)*12+MONTH($H578))+1))</f>
        <v/>
      </c>
      <c r="M578" s="62">
        <f>IF($J578="",0,$K578*MAX(0,MIN(YEAR($C$3)*12+MONTH($C$3)-1,YEAR($I578)*12+MONTH($I578))-(YEAR($H578)*12+MONTH($H578))+1))</f>
        <v/>
      </c>
      <c r="N578" s="62">
        <f>IF(OR($J578="",$B578=""),0,IF(YEAR($B578)*12+MONTH($B578)&lt;=YEAR($C$3)*12+MONTH($C$3),$G578,0))</f>
        <v/>
      </c>
      <c r="O578" s="62">
        <f>IF(OR($J578="",$B578=""),0,IF(YEAR($B578)*12+MONTH($B578)&lt;=YEAR($C$3)*12+MONTH($C$3)-1,$G578,0))</f>
        <v/>
      </c>
      <c r="P578" s="62">
        <f>$M578-$O578</f>
        <v/>
      </c>
      <c r="Q578" s="62">
        <f>($L578-$M578)-($N578-$O578)</f>
        <v/>
      </c>
      <c r="R578" s="62">
        <f>$L578-$N578</f>
        <v/>
      </c>
    </row>
    <row r="579">
      <c r="A579" s="59">
        <f>ROW()-5</f>
        <v/>
      </c>
      <c r="B579" s="60">
        <f>IFERROR(INDEX(tbl_Finance[Date],$A579),"")</f>
        <v/>
      </c>
      <c r="C579" s="61">
        <f>IFERROR(INDEX(tbl_Finance[Xero Invoice No],$A579),"")</f>
        <v/>
      </c>
      <c r="D579" s="61">
        <f>IFERROR(INDEX(tbl_Finance[Client],$A579),"")</f>
        <v/>
      </c>
      <c r="E579" s="61">
        <f>IFERROR(INDEX(tbl_Finance[Job Number],$A579),"")</f>
        <v/>
      </c>
      <c r="F579" s="61">
        <f>IFERROR(INDEX(tbl_Finance[Cost Centre],$A579),"")</f>
        <v/>
      </c>
      <c r="G579" s="62">
        <f>IFERROR(INDEX(tbl_Finance[Ex GST],$A579),"")</f>
        <v/>
      </c>
      <c r="H579" s="60">
        <f>IFERROR(INDEX(tbl_Finance[Defer Start],$A579),"")</f>
        <v/>
      </c>
      <c r="I579" s="60">
        <f>IFERROR(INDEX(tbl_Finance[Defer End],$A579),"")</f>
        <v/>
      </c>
      <c r="J579" s="59">
        <f>IF(OR($H579="",$I579="",$G579=""),"",MAX(1,(YEAR($I579)-YEAR($H579))*12+MONTH($I579)-MONTH($H579)+1))</f>
        <v/>
      </c>
      <c r="K579" s="62">
        <f>IF($J579="","",$G579/$J579)</f>
        <v/>
      </c>
      <c r="L579" s="62">
        <f>IF($J579="",0,$K579*MAX(0,MIN(YEAR($C$3)*12+MONTH($C$3),YEAR($I579)*12+MONTH($I579))-(YEAR($H579)*12+MONTH($H579))+1))</f>
        <v/>
      </c>
      <c r="M579" s="62">
        <f>IF($J579="",0,$K579*MAX(0,MIN(YEAR($C$3)*12+MONTH($C$3)-1,YEAR($I579)*12+MONTH($I579))-(YEAR($H579)*12+MONTH($H579))+1))</f>
        <v/>
      </c>
      <c r="N579" s="62">
        <f>IF(OR($J579="",$B579=""),0,IF(YEAR($B579)*12+MONTH($B579)&lt;=YEAR($C$3)*12+MONTH($C$3),$G579,0))</f>
        <v/>
      </c>
      <c r="O579" s="62">
        <f>IF(OR($J579="",$B579=""),0,IF(YEAR($B579)*12+MONTH($B579)&lt;=YEAR($C$3)*12+MONTH($C$3)-1,$G579,0))</f>
        <v/>
      </c>
      <c r="P579" s="62">
        <f>$M579-$O579</f>
        <v/>
      </c>
      <c r="Q579" s="62">
        <f>($L579-$M579)-($N579-$O579)</f>
        <v/>
      </c>
      <c r="R579" s="62">
        <f>$L579-$N579</f>
        <v/>
      </c>
    </row>
  </sheetData>
  <autoFilter ref="A5:R579"/>
  <pageMargins left="0.75" right="0.75" top="1" bottom="1" header="0.5" footer="0.5"/>
</worksheet>
</file>

<file path=xl/worksheets/sheet7.xml><?xml version="1.0" encoding="utf-8"?>
<worksheet xmlns="http://schemas.openxmlformats.org/spreadsheetml/2006/main">
  <sheetPr>
    <tabColor rgb="005B708A"/>
    <outlinePr summaryBelow="1" summaryRight="1"/>
    <pageSetUpPr/>
  </sheetPr>
  <dimension ref="A1:Q431"/>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18" customWidth="1" min="12" max="12"/>
    <col width="40" customWidth="1" min="13" max="13"/>
    <col width="14" customWidth="1" min="14" max="14"/>
    <col width="13" customWidth="1" min="15" max="15"/>
    <col width="16" customWidth="1" min="16" max="16"/>
    <col width="38" customWidth="1" min="17" max="17"/>
  </cols>
  <sheetData>
    <row r="1" ht="24" customHeight="1">
      <c r="A1" s="18" t="inlineStr">
        <is>
          <t>Onsite - Job Detail</t>
        </is>
      </c>
    </row>
    <row r="2" ht="16" customHeight="1">
      <c r="A2" s="2" t="inlineStr">
        <is>
          <t>Onsite / Support jobs. One row per job number. Client, invoice count and revenue come from the Finance sheet - fill in the columns from PO / Reference onwards.</t>
        </is>
      </c>
    </row>
    <row r="3" ht="22" customHeight="1">
      <c r="A3" s="19">
        <f>"Revenue Ex GST  "&amp;TEXT(SUBTOTAL(109,tbl_Onsite[Revenue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0" t="inlineStr">
        <is>
          <t>PO / Reference</t>
        </is>
      </c>
      <c r="M4" s="20" t="inlineStr">
        <is>
          <t>Qwilr Quote</t>
        </is>
      </c>
      <c r="N4" s="21" t="inlineStr">
        <is>
          <t>Open Qwilr</t>
        </is>
      </c>
      <c r="O4" s="20" t="inlineStr">
        <is>
          <t>Billable Hours</t>
        </is>
      </c>
      <c r="P4" s="20" t="inlineStr">
        <is>
          <t>Approved By</t>
        </is>
      </c>
      <c r="Q4" s="20" t="inlineStr">
        <is>
          <t>Notes</t>
        </is>
      </c>
    </row>
    <row r="5" ht="15" customHeight="1">
      <c r="A5" s="63">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inlineStr">
        <is>
          <t>1350</t>
        </is>
      </c>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4" t="n"/>
      <c r="M5" s="24" t="n"/>
      <c r="N5" s="25">
        <f>IF(M5="","",HYPERLINK(IF(LEFT(M5,4)="http",M5,set_QwilrBase&amp;M5),"Open quote"))</f>
        <v/>
      </c>
      <c r="O5" s="64" t="n"/>
      <c r="P5" s="24" t="n"/>
      <c r="Q5" s="24" t="inlineStr">
        <is>
          <t>174.05 hours</t>
        </is>
      </c>
    </row>
    <row r="6" ht="15" customHeight="1">
      <c r="A6" s="63">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inlineStr">
        <is>
          <t>585/586/1755</t>
        </is>
      </c>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4" t="n"/>
      <c r="M6" s="24" t="n"/>
      <c r="N6" s="25">
        <f>IF(M6="","",HYPERLINK(IF(LEFT(M6,4)="http",M6,set_QwilrBase&amp;M6),"Open quote"))</f>
        <v/>
      </c>
      <c r="O6" s="64" t="n"/>
      <c r="P6" s="24" t="n"/>
      <c r="Q6" s="24" t="inlineStr">
        <is>
          <t>Deduct 3hrs for TN 01/07 &amp; 6hrs for NP 14/07</t>
        </is>
      </c>
    </row>
    <row r="7" ht="15" customHeight="1">
      <c r="A7" s="63">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inlineStr">
        <is>
          <t>587</t>
        </is>
      </c>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4" t="n"/>
      <c r="M7" s="24" t="n"/>
      <c r="N7" s="25">
        <f>IF(M7="","",HYPERLINK(IF(LEFT(M7,4)="http",M7,set_QwilrBase&amp;M7),"Open quote"))</f>
        <v/>
      </c>
      <c r="O7" s="64" t="n"/>
      <c r="P7" s="24" t="n"/>
      <c r="Q7" s="24" t="n"/>
    </row>
    <row r="8" ht="15" customHeight="1">
      <c r="A8" s="63">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inlineStr">
        <is>
          <t>2846/1401/725/1400/1530/1862/2402/2849/974</t>
        </is>
      </c>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4" t="n"/>
      <c r="M8" s="24" t="n"/>
      <c r="N8" s="25">
        <f>IF(M8="","",HYPERLINK(IF(LEFT(M8,4)="http",M8,set_QwilrBase&amp;M8),"Open quote"))</f>
        <v/>
      </c>
      <c r="O8" s="64" t="n"/>
      <c r="P8" s="24" t="n"/>
      <c r="Q8" s="24" t="n"/>
    </row>
    <row r="9" ht="15" customHeight="1">
      <c r="A9" s="63">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inlineStr">
        <is>
          <t>732/1144</t>
        </is>
      </c>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4" t="n"/>
      <c r="M9" s="24" t="n"/>
      <c r="N9" s="25">
        <f>IF(M9="","",HYPERLINK(IF(LEFT(M9,4)="http",M9,set_QwilrBase&amp;M9),"Open quote"))</f>
        <v/>
      </c>
      <c r="O9" s="64" t="n"/>
      <c r="P9" s="24" t="n"/>
      <c r="Q9" s="24" t="n"/>
    </row>
    <row r="10" ht="15" customHeight="1">
      <c r="A10" s="63">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inlineStr">
        <is>
          <t>2192</t>
        </is>
      </c>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4" t="n"/>
      <c r="M10" s="24" t="n"/>
      <c r="N10" s="25">
        <f>IF(M10="","",HYPERLINK(IF(LEFT(M10,4)="http",M10,set_QwilrBase&amp;M10),"Open quote"))</f>
        <v/>
      </c>
      <c r="O10" s="64" t="n"/>
      <c r="P10" s="24" t="n"/>
      <c r="Q10" s="24" t="n"/>
    </row>
    <row r="11" ht="15" customHeight="1">
      <c r="A11" s="63">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inlineStr">
        <is>
          <t>2488</t>
        </is>
      </c>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4" t="n"/>
      <c r="M11" s="24" t="n"/>
      <c r="N11" s="25">
        <f>IF(M11="","",HYPERLINK(IF(LEFT(M11,4)="http",M11,set_QwilrBase&amp;M11),"Open quote"))</f>
        <v/>
      </c>
      <c r="O11" s="64" t="n"/>
      <c r="P11" s="24" t="n"/>
      <c r="Q11" s="24" t="n"/>
    </row>
    <row r="12" ht="15" customHeight="1">
      <c r="A12" s="63">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inlineStr">
        <is>
          <t>26021602</t>
        </is>
      </c>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4" t="n"/>
      <c r="M12" s="24" t="n"/>
      <c r="N12" s="25">
        <f>IF(M12="","",HYPERLINK(IF(LEFT(M12,4)="http",M12,set_QwilrBase&amp;M12),"Open quote"))</f>
        <v/>
      </c>
      <c r="O12" s="64" t="n"/>
      <c r="P12" s="24" t="n"/>
      <c r="Q12" s="24" t="n"/>
    </row>
    <row r="13" ht="15" customHeight="1">
      <c r="A13" s="63">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inlineStr">
        <is>
          <t>26043001</t>
        </is>
      </c>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4" t="n"/>
      <c r="M13" s="24" t="n"/>
      <c r="N13" s="25">
        <f>IF(M13="","",HYPERLINK(IF(LEFT(M13,4)="http",M13,set_QwilrBase&amp;M13),"Open quote"))</f>
        <v/>
      </c>
      <c r="O13" s="64" t="n"/>
      <c r="P13" s="24" t="n"/>
      <c r="Q13" s="24" t="inlineStr">
        <is>
          <t>Deduct 8hrs CN for 03/07</t>
        </is>
      </c>
    </row>
    <row r="14" ht="15" customHeight="1">
      <c r="A14" s="63">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inlineStr">
        <is>
          <t>25101301B</t>
        </is>
      </c>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4" t="n"/>
      <c r="M14" s="24" t="n"/>
      <c r="N14" s="25">
        <f>IF(M14="","",HYPERLINK(IF(LEFT(M14,4)="http",M14,set_QwilrBase&amp;M14),"Open quote"))</f>
        <v/>
      </c>
      <c r="O14" s="64" t="n"/>
      <c r="P14" s="24" t="n"/>
      <c r="Q14" s="24" t="n"/>
    </row>
    <row r="15" ht="15" customHeight="1">
      <c r="A15" s="63">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inlineStr">
        <is>
          <t>2880</t>
        </is>
      </c>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4" t="n"/>
      <c r="M15" s="24" t="n"/>
      <c r="N15" s="25">
        <f>IF(M15="","",HYPERLINK(IF(LEFT(M15,4)="http",M15,set_QwilrBase&amp;M15),"Open quote"))</f>
        <v/>
      </c>
      <c r="O15" s="64" t="n"/>
      <c r="P15" s="24" t="n"/>
      <c r="Q15" s="24" t="inlineStr">
        <is>
          <t>2 months extension</t>
        </is>
      </c>
    </row>
    <row r="16" ht="15" customHeight="1">
      <c r="A16" s="63">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inlineStr">
        <is>
          <t>3056</t>
        </is>
      </c>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4" t="n"/>
      <c r="M16" s="24" t="n"/>
      <c r="N16" s="25">
        <f>IF(M16="","",HYPERLINK(IF(LEFT(M16,4)="http",M16,set_QwilrBase&amp;M16),"Open quote"))</f>
        <v/>
      </c>
      <c r="O16" s="64" t="n"/>
      <c r="P16" s="24" t="n"/>
      <c r="Q16" s="24" t="n"/>
    </row>
    <row r="17" ht="15" customHeight="1">
      <c r="A17" s="63">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inlineStr">
        <is>
          <t>20250731</t>
        </is>
      </c>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4" t="n"/>
      <c r="M17" s="24" t="n"/>
      <c r="N17" s="25">
        <f>IF(M17="","",HYPERLINK(IF(LEFT(M17,4)="http",M17,set_QwilrBase&amp;M17),"Open quote"))</f>
        <v/>
      </c>
      <c r="O17" s="64" t="n"/>
      <c r="P17" s="24" t="n"/>
      <c r="Q17" s="24" t="inlineStr">
        <is>
          <t>PO2601703215</t>
        </is>
      </c>
    </row>
    <row r="18" ht="15" customHeight="1">
      <c r="A18" s="63">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inlineStr">
        <is>
          <t>1668</t>
        </is>
      </c>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4" t="n"/>
      <c r="M18" s="24" t="n"/>
      <c r="N18" s="25">
        <f>IF(M18="","",HYPERLINK(IF(LEFT(M18,4)="http",M18,set_QwilrBase&amp;M18),"Open quote"))</f>
        <v/>
      </c>
      <c r="O18" s="64" t="n"/>
      <c r="P18" s="24" t="n"/>
      <c r="Q18" s="24" t="n"/>
    </row>
    <row r="19" ht="15" customHeight="1">
      <c r="A19" s="63">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inlineStr">
        <is>
          <t>2540</t>
        </is>
      </c>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4" t="n"/>
      <c r="M19" s="24" t="n"/>
      <c r="N19" s="25">
        <f>IF(M19="","",HYPERLINK(IF(LEFT(M19,4)="http",M19,set_QwilrBase&amp;M19),"Open quote"))</f>
        <v/>
      </c>
      <c r="O19" s="64" t="n"/>
      <c r="P19" s="24" t="n"/>
      <c r="Q19" s="24" t="inlineStr">
        <is>
          <t>PO2601703274</t>
        </is>
      </c>
    </row>
    <row r="20" ht="15" customHeight="1">
      <c r="A20" s="63">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inlineStr">
        <is>
          <t>26062501/2347</t>
        </is>
      </c>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4" t="n"/>
      <c r="M20" s="24" t="n"/>
      <c r="N20" s="25">
        <f>IF(M20="","",HYPERLINK(IF(LEFT(M20,4)="http",M20,set_QwilrBase&amp;M20),"Open quote"))</f>
        <v/>
      </c>
      <c r="O20" s="64" t="n"/>
      <c r="P20" s="24" t="n"/>
      <c r="Q20" s="24" t="n"/>
    </row>
    <row r="21" ht="15" customHeight="1">
      <c r="A21" s="63">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inlineStr">
        <is>
          <t>2026021101</t>
        </is>
      </c>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4" t="n"/>
      <c r="M21" s="24" t="n"/>
      <c r="N21" s="25">
        <f>IF(M21="","",HYPERLINK(IF(LEFT(M21,4)="http",M21,set_QwilrBase&amp;M21),"Open quote"))</f>
        <v/>
      </c>
      <c r="O21" s="64" t="n"/>
      <c r="P21" s="24" t="n"/>
      <c r="Q21" s="24" t="inlineStr">
        <is>
          <t>Invoice 1/2</t>
        </is>
      </c>
    </row>
    <row r="22" ht="15" customHeight="1">
      <c r="A22" s="63">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inlineStr">
        <is>
          <t>26022301</t>
        </is>
      </c>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4" t="n"/>
      <c r="M22" s="24" t="n"/>
      <c r="N22" s="25">
        <f>IF(M22="","",HYPERLINK(IF(LEFT(M22,4)="http",M22,set_QwilrBase&amp;M22),"Open quote"))</f>
        <v/>
      </c>
      <c r="O22" s="64" t="n"/>
      <c r="P22" s="24" t="n"/>
      <c r="Q22" s="24" t="inlineStr">
        <is>
          <t>Split TBC - Xero split this with production ($850)</t>
        </is>
      </c>
    </row>
    <row r="23" ht="15" customHeight="1">
      <c r="A23" s="63">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inlineStr">
        <is>
          <t>2608502</t>
        </is>
      </c>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4" t="n"/>
      <c r="M23" s="24" t="n"/>
      <c r="N23" s="25">
        <f>IF(M23="","",HYPERLINK(IF(LEFT(M23,4)="http",M23,set_QwilrBase&amp;M23),"Open quote"))</f>
        <v/>
      </c>
      <c r="O23" s="64" t="n"/>
      <c r="P23" s="24" t="n"/>
      <c r="Q23" s="24" t="inlineStr">
        <is>
          <t>8419.62 differe from invoice amount</t>
        </is>
      </c>
    </row>
    <row r="24" ht="15" customHeight="1">
      <c r="A24" s="63">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inlineStr">
        <is>
          <t>26073102</t>
        </is>
      </c>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4" t="n"/>
      <c r="M24" s="24" t="n"/>
      <c r="N24" s="25">
        <f>IF(M24="","",HYPERLINK(IF(LEFT(M24,4)="http",M24,set_QwilrBase&amp;M24),"Open quote"))</f>
        <v/>
      </c>
      <c r="O24" s="64" t="n"/>
      <c r="P24" s="24" t="n"/>
      <c r="Q24" s="24" t="n"/>
    </row>
    <row r="25" ht="15" customHeight="1">
      <c r="A25" s="63">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inlineStr">
        <is>
          <t>26081301</t>
        </is>
      </c>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4" t="n"/>
      <c r="M25" s="24" t="n"/>
      <c r="N25" s="25">
        <f>IF(M25="","",HYPERLINK(IF(LEFT(M25,4)="http",M25,set_QwilrBase&amp;M25),"Open quote"))</f>
        <v/>
      </c>
      <c r="O25" s="64" t="n"/>
      <c r="P25" s="24" t="n"/>
      <c r="Q25" s="24" t="inlineStr">
        <is>
          <t>November</t>
        </is>
      </c>
    </row>
    <row r="26" ht="15" customHeight="1">
      <c r="A26" s="63">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inlineStr">
        <is>
          <t>585, 586</t>
        </is>
      </c>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4" t="n"/>
      <c r="M26" s="24" t="n"/>
      <c r="N26" s="25">
        <f>IF(M26="","",HYPERLINK(IF(LEFT(M26,4)="http",M26,set_QwilrBase&amp;M26),"Open quote"))</f>
        <v/>
      </c>
      <c r="O26" s="64" t="n"/>
      <c r="P26" s="24" t="n"/>
      <c r="Q26" s="24" t="n"/>
    </row>
    <row r="27" ht="15" customHeight="1">
      <c r="A27" s="63">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inlineStr">
        <is>
          <t>26073103</t>
        </is>
      </c>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4" t="n"/>
      <c r="M27" s="24" t="n"/>
      <c r="N27" s="25">
        <f>IF(M27="","",HYPERLINK(IF(LEFT(M27,4)="http",M27,set_QwilrBase&amp;M27),"Open quote"))</f>
        <v/>
      </c>
      <c r="O27" s="64" t="n"/>
      <c r="P27" s="24" t="n"/>
      <c r="Q27" s="24" t="inlineStr">
        <is>
          <t>https://protect.checkpoint.com/v2/r04/___https://app.qwilr.com/%23/page/6a6fe5279de8ab6be4a65917___.Y3A0YTpjb3Jwb3JhdGV0ZWNobm9sb2d5c2VydmljZXNwdHlsdGQ6YzpvOmI1YjBhMWJiMjVjM2UxZGViYmNmN2MyYzg2MGMwOGIwOjc6YjdkZDo5NzUxYWEwYjZkNTAxZWIyMGNiNmQ4OWExM2E0MmQ4OWQ0YjVkZmFkYjk0Y2UxYjUzODI4ODM5ODhhNzE3MTM4OnQ6VDpG</t>
        </is>
      </c>
    </row>
    <row r="28" ht="15" customHeight="1">
      <c r="A28" s="63">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inlineStr">
        <is>
          <t>26082801</t>
        </is>
      </c>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4" t="n"/>
      <c r="M28" s="24" t="n"/>
      <c r="N28" s="25">
        <f>IF(M28="","",HYPERLINK(IF(LEFT(M28,4)="http",M28,set_QwilrBase&amp;M28),"Open quote"))</f>
        <v/>
      </c>
      <c r="O28" s="64" t="n"/>
      <c r="P28" s="24" t="n"/>
      <c r="Q28" s="24" t="inlineStr">
        <is>
          <t>This was not actually for Shell - error in quote. End client was Wotton Kearney.</t>
        </is>
      </c>
    </row>
    <row r="29" ht="15" customHeight="1">
      <c r="A29" s="63">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inlineStr">
        <is>
          <t>2608603</t>
        </is>
      </c>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4" t="n"/>
      <c r="M29" s="24" t="n"/>
      <c r="N29" s="25">
        <f>IF(M29="","",HYPERLINK(IF(LEFT(M29,4)="http",M29,set_QwilrBase&amp;M29),"Open quote"))</f>
        <v/>
      </c>
      <c r="O29" s="64" t="n"/>
      <c r="P29" s="24" t="n"/>
      <c r="Q29" s="24" t="n"/>
    </row>
    <row r="30" ht="15" customHeight="1">
      <c r="A30" s="63">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inlineStr">
        <is>
          <t>26073107</t>
        </is>
      </c>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4" t="n"/>
      <c r="M30" s="24" t="n"/>
      <c r="N30" s="25">
        <f>IF(M30="","",HYPERLINK(IF(LEFT(M30,4)="http",M30,set_QwilrBase&amp;M30),"Open quote"))</f>
        <v/>
      </c>
      <c r="O30" s="64" t="n"/>
      <c r="P30" s="24" t="n"/>
      <c r="Q30" s="24" t="n"/>
    </row>
    <row r="31" ht="15" customHeight="1">
      <c r="A31" s="63">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inlineStr">
        <is>
          <t>26082704</t>
        </is>
      </c>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4" t="n"/>
      <c r="M31" s="24" t="n"/>
      <c r="N31" s="25">
        <f>IF(M31="","",HYPERLINK(IF(LEFT(M31,4)="http",M31,set_QwilrBase&amp;M31),"Open quote"))</f>
        <v/>
      </c>
      <c r="O31" s="64" t="n"/>
      <c r="P31" s="24" t="n"/>
      <c r="Q31" s="24" t="n"/>
    </row>
    <row r="32" ht="15" customHeight="1">
      <c r="A32" s="63">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n"/>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4" t="n"/>
      <c r="M32" s="24" t="n"/>
      <c r="N32" s="25">
        <f>IF(M32="","",HYPERLINK(IF(LEFT(M32,4)="http",M32,set_QwilrBase&amp;M32),"Open quote"))</f>
        <v/>
      </c>
      <c r="O32" s="64" t="n"/>
      <c r="P32" s="24" t="n"/>
      <c r="Q32" s="24" t="n"/>
    </row>
    <row r="33" ht="15" customHeight="1">
      <c r="A33" s="63">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n"/>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4" t="n"/>
      <c r="M33" s="24" t="n"/>
      <c r="N33" s="25">
        <f>IF(M33="","",HYPERLINK(IF(LEFT(M33,4)="http",M33,set_QwilrBase&amp;M33),"Open quote"))</f>
        <v/>
      </c>
      <c r="O33" s="64" t="n"/>
      <c r="P33" s="24" t="n"/>
      <c r="Q33" s="24" t="n"/>
    </row>
    <row r="34" ht="15" customHeight="1">
      <c r="A34" s="63">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n"/>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4" t="n"/>
      <c r="M34" s="24" t="n"/>
      <c r="N34" s="25">
        <f>IF(M34="","",HYPERLINK(IF(LEFT(M34,4)="http",M34,set_QwilrBase&amp;M34),"Open quote"))</f>
        <v/>
      </c>
      <c r="O34" s="64" t="n"/>
      <c r="P34" s="24" t="n"/>
      <c r="Q34" s="24" t="n"/>
    </row>
    <row r="35" ht="15" customHeight="1">
      <c r="A35" s="63">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n"/>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4" t="n"/>
      <c r="M35" s="24" t="n"/>
      <c r="N35" s="25">
        <f>IF(M35="","",HYPERLINK(IF(LEFT(M35,4)="http",M35,set_QwilrBase&amp;M35),"Open quote"))</f>
        <v/>
      </c>
      <c r="O35" s="64" t="n"/>
      <c r="P35" s="24" t="n"/>
      <c r="Q35" s="24" t="n"/>
    </row>
    <row r="36" ht="15" customHeight="1">
      <c r="A36" s="63">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n"/>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4" t="n"/>
      <c r="M36" s="24" t="n"/>
      <c r="N36" s="25">
        <f>IF(M36="","",HYPERLINK(IF(LEFT(M36,4)="http",M36,set_QwilrBase&amp;M36),"Open quote"))</f>
        <v/>
      </c>
      <c r="O36" s="64" t="n"/>
      <c r="P36" s="24" t="n"/>
      <c r="Q36" s="24" t="n"/>
    </row>
    <row r="37" ht="15" customHeight="1">
      <c r="A37" s="63">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n"/>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4" t="n"/>
      <c r="M37" s="24" t="n"/>
      <c r="N37" s="25">
        <f>IF(M37="","",HYPERLINK(IF(LEFT(M37,4)="http",M37,set_QwilrBase&amp;M37),"Open quote"))</f>
        <v/>
      </c>
      <c r="O37" s="64" t="n"/>
      <c r="P37" s="24" t="n"/>
      <c r="Q37" s="24" t="n"/>
    </row>
    <row r="38" ht="15" customHeight="1">
      <c r="A38" s="63">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n"/>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4" t="n"/>
      <c r="M38" s="24" t="n"/>
      <c r="N38" s="25">
        <f>IF(M38="","",HYPERLINK(IF(LEFT(M38,4)="http",M38,set_QwilrBase&amp;M38),"Open quote"))</f>
        <v/>
      </c>
      <c r="O38" s="64" t="n"/>
      <c r="P38" s="24" t="n"/>
      <c r="Q38" s="24" t="n"/>
    </row>
    <row r="39" ht="15" customHeight="1">
      <c r="A39" s="63">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n"/>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4" t="n"/>
      <c r="M39" s="24" t="n"/>
      <c r="N39" s="25">
        <f>IF(M39="","",HYPERLINK(IF(LEFT(M39,4)="http",M39,set_QwilrBase&amp;M39),"Open quote"))</f>
        <v/>
      </c>
      <c r="O39" s="64" t="n"/>
      <c r="P39" s="24" t="n"/>
      <c r="Q39" s="24" t="n"/>
    </row>
    <row r="40" ht="15" customHeight="1">
      <c r="A40" s="63">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n"/>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4" t="n"/>
      <c r="M40" s="24" t="n"/>
      <c r="N40" s="25">
        <f>IF(M40="","",HYPERLINK(IF(LEFT(M40,4)="http",M40,set_QwilrBase&amp;M40),"Open quote"))</f>
        <v/>
      </c>
      <c r="O40" s="64" t="n"/>
      <c r="P40" s="24" t="n"/>
      <c r="Q40" s="24" t="n"/>
    </row>
    <row r="41" ht="15" customHeight="1">
      <c r="A41" s="63">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n"/>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4" t="n"/>
      <c r="M41" s="24" t="n"/>
      <c r="N41" s="25">
        <f>IF(M41="","",HYPERLINK(IF(LEFT(M41,4)="http",M41,set_QwilrBase&amp;M41),"Open quote"))</f>
        <v/>
      </c>
      <c r="O41" s="64" t="n"/>
      <c r="P41" s="24" t="n"/>
      <c r="Q41" s="24" t="n"/>
    </row>
    <row r="42" ht="15" customHeight="1">
      <c r="A42" s="63">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n"/>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4" t="n"/>
      <c r="M42" s="24" t="n"/>
      <c r="N42" s="25">
        <f>IF(M42="","",HYPERLINK(IF(LEFT(M42,4)="http",M42,set_QwilrBase&amp;M42),"Open quote"))</f>
        <v/>
      </c>
      <c r="O42" s="64" t="n"/>
      <c r="P42" s="24" t="n"/>
      <c r="Q42" s="24" t="n"/>
    </row>
    <row r="43" ht="15" customHeight="1">
      <c r="A43" s="63">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n"/>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4" t="n"/>
      <c r="M43" s="24" t="n"/>
      <c r="N43" s="25">
        <f>IF(M43="","",HYPERLINK(IF(LEFT(M43,4)="http",M43,set_QwilrBase&amp;M43),"Open quote"))</f>
        <v/>
      </c>
      <c r="O43" s="64" t="n"/>
      <c r="P43" s="24" t="n"/>
      <c r="Q43" s="24" t="n"/>
    </row>
    <row r="44" ht="15" customHeight="1">
      <c r="A44" s="63">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n"/>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4" t="n"/>
      <c r="M44" s="24" t="n"/>
      <c r="N44" s="25">
        <f>IF(M44="","",HYPERLINK(IF(LEFT(M44,4)="http",M44,set_QwilrBase&amp;M44),"Open quote"))</f>
        <v/>
      </c>
      <c r="O44" s="64" t="n"/>
      <c r="P44" s="24" t="n"/>
      <c r="Q44" s="24" t="n"/>
    </row>
    <row r="45" ht="15" customHeight="1">
      <c r="A45" s="63">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n"/>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4" t="n"/>
      <c r="M45" s="24" t="n"/>
      <c r="N45" s="25">
        <f>IF(M45="","",HYPERLINK(IF(LEFT(M45,4)="http",M45,set_QwilrBase&amp;M45),"Open quote"))</f>
        <v/>
      </c>
      <c r="O45" s="64" t="n"/>
      <c r="P45" s="24" t="n"/>
      <c r="Q45" s="24" t="n"/>
    </row>
    <row r="46" ht="15" customHeight="1">
      <c r="A46" s="63">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n"/>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4" t="n"/>
      <c r="M46" s="24" t="n"/>
      <c r="N46" s="25">
        <f>IF(M46="","",HYPERLINK(IF(LEFT(M46,4)="http",M46,set_QwilrBase&amp;M46),"Open quote"))</f>
        <v/>
      </c>
      <c r="O46" s="64" t="n"/>
      <c r="P46" s="24" t="n"/>
      <c r="Q46" s="24" t="n"/>
    </row>
    <row r="47" ht="15" customHeight="1">
      <c r="A47" s="63">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n"/>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4" t="n"/>
      <c r="M47" s="24" t="n"/>
      <c r="N47" s="25">
        <f>IF(M47="","",HYPERLINK(IF(LEFT(M47,4)="http",M47,set_QwilrBase&amp;M47),"Open quote"))</f>
        <v/>
      </c>
      <c r="O47" s="64" t="n"/>
      <c r="P47" s="24" t="n"/>
      <c r="Q47" s="24" t="n"/>
    </row>
    <row r="48" ht="15" customHeight="1">
      <c r="A48" s="63">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n"/>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4" t="n"/>
      <c r="M48" s="24" t="n"/>
      <c r="N48" s="25">
        <f>IF(M48="","",HYPERLINK(IF(LEFT(M48,4)="http",M48,set_QwilrBase&amp;M48),"Open quote"))</f>
        <v/>
      </c>
      <c r="O48" s="64" t="n"/>
      <c r="P48" s="24" t="n"/>
      <c r="Q48" s="24" t="n"/>
    </row>
    <row r="49" ht="15" customHeight="1">
      <c r="A49" s="63">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n"/>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4" t="n"/>
      <c r="M49" s="24" t="n"/>
      <c r="N49" s="25">
        <f>IF(M49="","",HYPERLINK(IF(LEFT(M49,4)="http",M49,set_QwilrBase&amp;M49),"Open quote"))</f>
        <v/>
      </c>
      <c r="O49" s="64" t="n"/>
      <c r="P49" s="24" t="n"/>
      <c r="Q49" s="24" t="n"/>
    </row>
    <row r="50" ht="15" customHeight="1">
      <c r="A50" s="63">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n"/>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4" t="n"/>
      <c r="M50" s="24" t="n"/>
      <c r="N50" s="25">
        <f>IF(M50="","",HYPERLINK(IF(LEFT(M50,4)="http",M50,set_QwilrBase&amp;M50),"Open quote"))</f>
        <v/>
      </c>
      <c r="O50" s="64" t="n"/>
      <c r="P50" s="24" t="n"/>
      <c r="Q50" s="24" t="n"/>
    </row>
    <row r="51" ht="15" customHeight="1">
      <c r="A51" s="63">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n"/>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4" t="n"/>
      <c r="M51" s="24" t="n"/>
      <c r="N51" s="25">
        <f>IF(M51="","",HYPERLINK(IF(LEFT(M51,4)="http",M51,set_QwilrBase&amp;M51),"Open quote"))</f>
        <v/>
      </c>
      <c r="O51" s="64" t="n"/>
      <c r="P51" s="24" t="n"/>
      <c r="Q51" s="24" t="n"/>
    </row>
    <row r="52" ht="15" customHeight="1">
      <c r="A52" s="63">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n"/>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4" t="n"/>
      <c r="M52" s="24" t="n"/>
      <c r="N52" s="25">
        <f>IF(M52="","",HYPERLINK(IF(LEFT(M52,4)="http",M52,set_QwilrBase&amp;M52),"Open quote"))</f>
        <v/>
      </c>
      <c r="O52" s="64" t="n"/>
      <c r="P52" s="24" t="n"/>
      <c r="Q52" s="24" t="n"/>
    </row>
    <row r="53" ht="15" customHeight="1">
      <c r="A53" s="63">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n"/>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4" t="n"/>
      <c r="M53" s="24" t="n"/>
      <c r="N53" s="25">
        <f>IF(M53="","",HYPERLINK(IF(LEFT(M53,4)="http",M53,set_QwilrBase&amp;M53),"Open quote"))</f>
        <v/>
      </c>
      <c r="O53" s="64" t="n"/>
      <c r="P53" s="24" t="n"/>
      <c r="Q53" s="24" t="n"/>
    </row>
    <row r="54" ht="15" customHeight="1">
      <c r="A54" s="63">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n"/>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4" t="n"/>
      <c r="M54" s="24" t="n"/>
      <c r="N54" s="25">
        <f>IF(M54="","",HYPERLINK(IF(LEFT(M54,4)="http",M54,set_QwilrBase&amp;M54),"Open quote"))</f>
        <v/>
      </c>
      <c r="O54" s="64" t="n"/>
      <c r="P54" s="24" t="n"/>
      <c r="Q54" s="24" t="n"/>
    </row>
    <row r="55" ht="15" customHeight="1">
      <c r="A55" s="63">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n"/>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4" t="n"/>
      <c r="M55" s="24" t="n"/>
      <c r="N55" s="25">
        <f>IF(M55="","",HYPERLINK(IF(LEFT(M55,4)="http",M55,set_QwilrBase&amp;M55),"Open quote"))</f>
        <v/>
      </c>
      <c r="O55" s="64" t="n"/>
      <c r="P55" s="24" t="n"/>
      <c r="Q55" s="24" t="n"/>
    </row>
    <row r="56" ht="15" customHeight="1">
      <c r="A56" s="63">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n"/>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4" t="n"/>
      <c r="M56" s="24" t="n"/>
      <c r="N56" s="25">
        <f>IF(M56="","",HYPERLINK(IF(LEFT(M56,4)="http",M56,set_QwilrBase&amp;M56),"Open quote"))</f>
        <v/>
      </c>
      <c r="O56" s="64" t="n"/>
      <c r="P56" s="24" t="n"/>
      <c r="Q56" s="24" t="n"/>
    </row>
    <row r="57" ht="15" customHeight="1">
      <c r="A57" s="63">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n"/>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4" t="n"/>
      <c r="M57" s="24" t="n"/>
      <c r="N57" s="25">
        <f>IF(M57="","",HYPERLINK(IF(LEFT(M57,4)="http",M57,set_QwilrBase&amp;M57),"Open quote"))</f>
        <v/>
      </c>
      <c r="O57" s="64" t="n"/>
      <c r="P57" s="24" t="n"/>
      <c r="Q57" s="24" t="n"/>
    </row>
    <row r="58" ht="15" customHeight="1">
      <c r="A58" s="63">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n"/>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4" t="n"/>
      <c r="M58" s="24" t="n"/>
      <c r="N58" s="25">
        <f>IF(M58="","",HYPERLINK(IF(LEFT(M58,4)="http",M58,set_QwilrBase&amp;M58),"Open quote"))</f>
        <v/>
      </c>
      <c r="O58" s="64" t="n"/>
      <c r="P58" s="24" t="n"/>
      <c r="Q58" s="24" t="n"/>
    </row>
    <row r="59" ht="15" customHeight="1">
      <c r="A59" s="63">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n"/>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4" t="n"/>
      <c r="M59" s="24" t="n"/>
      <c r="N59" s="25">
        <f>IF(M59="","",HYPERLINK(IF(LEFT(M59,4)="http",M59,set_QwilrBase&amp;M59),"Open quote"))</f>
        <v/>
      </c>
      <c r="O59" s="64" t="n"/>
      <c r="P59" s="24" t="n"/>
      <c r="Q59" s="24" t="n"/>
    </row>
    <row r="60" ht="15" customHeight="1">
      <c r="A60" s="63">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n"/>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4" t="n"/>
      <c r="M60" s="24" t="n"/>
      <c r="N60" s="25">
        <f>IF(M60="","",HYPERLINK(IF(LEFT(M60,4)="http",M60,set_QwilrBase&amp;M60),"Open quote"))</f>
        <v/>
      </c>
      <c r="O60" s="64" t="n"/>
      <c r="P60" s="24" t="n"/>
      <c r="Q60" s="24" t="n"/>
    </row>
    <row r="61" ht="15" customHeight="1">
      <c r="A61" s="63">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n"/>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4" t="n"/>
      <c r="M61" s="24" t="n"/>
      <c r="N61" s="25">
        <f>IF(M61="","",HYPERLINK(IF(LEFT(M61,4)="http",M61,set_QwilrBase&amp;M61),"Open quote"))</f>
        <v/>
      </c>
      <c r="O61" s="64" t="n"/>
      <c r="P61" s="24" t="n"/>
      <c r="Q61" s="24" t="n"/>
    </row>
    <row r="62" ht="15" customHeight="1">
      <c r="A62" s="63">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n"/>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4" t="n"/>
      <c r="M62" s="24" t="n"/>
      <c r="N62" s="25">
        <f>IF(M62="","",HYPERLINK(IF(LEFT(M62,4)="http",M62,set_QwilrBase&amp;M62),"Open quote"))</f>
        <v/>
      </c>
      <c r="O62" s="64" t="n"/>
      <c r="P62" s="24" t="n"/>
      <c r="Q62" s="24" t="n"/>
    </row>
    <row r="63" ht="15" customHeight="1">
      <c r="A63" s="63">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4" t="n"/>
      <c r="M63" s="24" t="n"/>
      <c r="N63" s="25">
        <f>IF(M63="","",HYPERLINK(IF(LEFT(M63,4)="http",M63,set_QwilrBase&amp;M63),"Open quote"))</f>
        <v/>
      </c>
      <c r="O63" s="64" t="n"/>
      <c r="P63" s="24" t="n"/>
      <c r="Q63" s="24" t="n"/>
    </row>
    <row r="64" ht="15" customHeight="1">
      <c r="A64" s="63">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4" t="n"/>
      <c r="M64" s="24" t="n"/>
      <c r="N64" s="25">
        <f>IF(M64="","",HYPERLINK(IF(LEFT(M64,4)="http",M64,set_QwilrBase&amp;M64),"Open quote"))</f>
        <v/>
      </c>
      <c r="O64" s="64" t="n"/>
      <c r="P64" s="24" t="n"/>
      <c r="Q64" s="24" t="n"/>
    </row>
    <row r="65" ht="15" customHeight="1">
      <c r="A65" s="63">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4" t="n"/>
      <c r="M65" s="24" t="n"/>
      <c r="N65" s="25">
        <f>IF(M65="","",HYPERLINK(IF(LEFT(M65,4)="http",M65,set_QwilrBase&amp;M65),"Open quote"))</f>
        <v/>
      </c>
      <c r="O65" s="64" t="n"/>
      <c r="P65" s="24" t="n"/>
      <c r="Q65" s="24" t="n"/>
    </row>
    <row r="66" ht="15" customHeight="1">
      <c r="A66" s="63">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4" t="n"/>
      <c r="M66" s="24" t="n"/>
      <c r="N66" s="25">
        <f>IF(M66="","",HYPERLINK(IF(LEFT(M66,4)="http",M66,set_QwilrBase&amp;M66),"Open quote"))</f>
        <v/>
      </c>
      <c r="O66" s="64" t="n"/>
      <c r="P66" s="24" t="n"/>
      <c r="Q66" s="24" t="n"/>
    </row>
    <row r="67" ht="15" customHeight="1">
      <c r="A67" s="63">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4" t="n"/>
      <c r="M67" s="24" t="n"/>
      <c r="N67" s="25">
        <f>IF(M67="","",HYPERLINK(IF(LEFT(M67,4)="http",M67,set_QwilrBase&amp;M67),"Open quote"))</f>
        <v/>
      </c>
      <c r="O67" s="64" t="n"/>
      <c r="P67" s="24" t="n"/>
      <c r="Q67" s="24" t="n"/>
    </row>
    <row r="68" ht="15" customHeight="1">
      <c r="A68" s="63">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4" t="n"/>
      <c r="M68" s="24" t="n"/>
      <c r="N68" s="25">
        <f>IF(M68="","",HYPERLINK(IF(LEFT(M68,4)="http",M68,set_QwilrBase&amp;M68),"Open quote"))</f>
        <v/>
      </c>
      <c r="O68" s="64" t="n"/>
      <c r="P68" s="24" t="n"/>
      <c r="Q68" s="24" t="n"/>
    </row>
    <row r="69" ht="15" customHeight="1">
      <c r="A69" s="63">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4" t="n"/>
      <c r="M69" s="24" t="n"/>
      <c r="N69" s="25">
        <f>IF(M69="","",HYPERLINK(IF(LEFT(M69,4)="http",M69,set_QwilrBase&amp;M69),"Open quote"))</f>
        <v/>
      </c>
      <c r="O69" s="64" t="n"/>
      <c r="P69" s="24" t="n"/>
      <c r="Q69" s="24" t="n"/>
    </row>
    <row r="70" ht="15" customHeight="1">
      <c r="A70" s="63">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4" t="n"/>
      <c r="M70" s="24" t="n"/>
      <c r="N70" s="25">
        <f>IF(M70="","",HYPERLINK(IF(LEFT(M70,4)="http",M70,set_QwilrBase&amp;M70),"Open quote"))</f>
        <v/>
      </c>
      <c r="O70" s="64" t="n"/>
      <c r="P70" s="24" t="n"/>
      <c r="Q70" s="24" t="n"/>
    </row>
    <row r="71" ht="15" customHeight="1">
      <c r="A71" s="63">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4" t="n"/>
      <c r="M71" s="24" t="n"/>
      <c r="N71" s="25">
        <f>IF(M71="","",HYPERLINK(IF(LEFT(M71,4)="http",M71,set_QwilrBase&amp;M71),"Open quote"))</f>
        <v/>
      </c>
      <c r="O71" s="64" t="n"/>
      <c r="P71" s="24" t="n"/>
      <c r="Q71" s="24" t="n"/>
    </row>
    <row r="72" ht="15" customHeight="1">
      <c r="A72" s="63">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4" t="n"/>
      <c r="M72" s="24" t="n"/>
      <c r="N72" s="25">
        <f>IF(M72="","",HYPERLINK(IF(LEFT(M72,4)="http",M72,set_QwilrBase&amp;M72),"Open quote"))</f>
        <v/>
      </c>
      <c r="O72" s="64" t="n"/>
      <c r="P72" s="24" t="n"/>
      <c r="Q72" s="24" t="n"/>
    </row>
    <row r="73" ht="15" customHeight="1">
      <c r="A73" s="63">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4" t="n"/>
      <c r="M73" s="24" t="n"/>
      <c r="N73" s="25">
        <f>IF(M73="","",HYPERLINK(IF(LEFT(M73,4)="http",M73,set_QwilrBase&amp;M73),"Open quote"))</f>
        <v/>
      </c>
      <c r="O73" s="64" t="n"/>
      <c r="P73" s="24" t="n"/>
      <c r="Q73" s="24" t="n"/>
    </row>
    <row r="74" ht="15" customHeight="1">
      <c r="A74" s="63">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4" t="n"/>
      <c r="M74" s="24" t="n"/>
      <c r="N74" s="25">
        <f>IF(M74="","",HYPERLINK(IF(LEFT(M74,4)="http",M74,set_QwilrBase&amp;M74),"Open quote"))</f>
        <v/>
      </c>
      <c r="O74" s="64" t="n"/>
      <c r="P74" s="24" t="n"/>
      <c r="Q74" s="24" t="n"/>
    </row>
    <row r="75" ht="15" customHeight="1">
      <c r="A75" s="63">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4" t="n"/>
      <c r="M75" s="24" t="n"/>
      <c r="N75" s="25">
        <f>IF(M75="","",HYPERLINK(IF(LEFT(M75,4)="http",M75,set_QwilrBase&amp;M75),"Open quote"))</f>
        <v/>
      </c>
      <c r="O75" s="64" t="n"/>
      <c r="P75" s="24" t="n"/>
      <c r="Q75" s="24" t="n"/>
    </row>
    <row r="76" ht="15" customHeight="1">
      <c r="A76" s="63">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4" t="n"/>
      <c r="M76" s="24" t="n"/>
      <c r="N76" s="25">
        <f>IF(M76="","",HYPERLINK(IF(LEFT(M76,4)="http",M76,set_QwilrBase&amp;M76),"Open quote"))</f>
        <v/>
      </c>
      <c r="O76" s="64" t="n"/>
      <c r="P76" s="24" t="n"/>
      <c r="Q76" s="24" t="n"/>
    </row>
    <row r="77" ht="15" customHeight="1">
      <c r="A77" s="63">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4" t="n"/>
      <c r="M77" s="24" t="n"/>
      <c r="N77" s="25">
        <f>IF(M77="","",HYPERLINK(IF(LEFT(M77,4)="http",M77,set_QwilrBase&amp;M77),"Open quote"))</f>
        <v/>
      </c>
      <c r="O77" s="64" t="n"/>
      <c r="P77" s="24" t="n"/>
      <c r="Q77" s="24" t="n"/>
    </row>
    <row r="78" ht="15" customHeight="1">
      <c r="A78" s="63">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4" t="n"/>
      <c r="M78" s="24" t="n"/>
      <c r="N78" s="25">
        <f>IF(M78="","",HYPERLINK(IF(LEFT(M78,4)="http",M78,set_QwilrBase&amp;M78),"Open quote"))</f>
        <v/>
      </c>
      <c r="O78" s="64" t="n"/>
      <c r="P78" s="24" t="n"/>
      <c r="Q78" s="24" t="n"/>
    </row>
    <row r="79" ht="15" customHeight="1">
      <c r="A79" s="63">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4" t="n"/>
      <c r="M79" s="24" t="n"/>
      <c r="N79" s="25">
        <f>IF(M79="","",HYPERLINK(IF(LEFT(M79,4)="http",M79,set_QwilrBase&amp;M79),"Open quote"))</f>
        <v/>
      </c>
      <c r="O79" s="64" t="n"/>
      <c r="P79" s="24" t="n"/>
      <c r="Q79" s="24" t="n"/>
    </row>
    <row r="80" ht="15" customHeight="1">
      <c r="A80" s="63">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4" t="n"/>
      <c r="M80" s="24" t="n"/>
      <c r="N80" s="25">
        <f>IF(M80="","",HYPERLINK(IF(LEFT(M80,4)="http",M80,set_QwilrBase&amp;M80),"Open quote"))</f>
        <v/>
      </c>
      <c r="O80" s="64" t="n"/>
      <c r="P80" s="24" t="n"/>
      <c r="Q80" s="24" t="n"/>
    </row>
    <row r="81" ht="15" customHeight="1">
      <c r="A81" s="63">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4" t="n"/>
      <c r="M81" s="24" t="n"/>
      <c r="N81" s="25">
        <f>IF(M81="","",HYPERLINK(IF(LEFT(M81,4)="http",M81,set_QwilrBase&amp;M81),"Open quote"))</f>
        <v/>
      </c>
      <c r="O81" s="64" t="n"/>
      <c r="P81" s="24" t="n"/>
      <c r="Q81" s="24" t="n"/>
    </row>
    <row r="82" ht="15" customHeight="1">
      <c r="A82" s="63">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4" t="n"/>
      <c r="M82" s="24" t="n"/>
      <c r="N82" s="25">
        <f>IF(M82="","",HYPERLINK(IF(LEFT(M82,4)="http",M82,set_QwilrBase&amp;M82),"Open quote"))</f>
        <v/>
      </c>
      <c r="O82" s="64" t="n"/>
      <c r="P82" s="24" t="n"/>
      <c r="Q82" s="24" t="n"/>
    </row>
    <row r="83" ht="15" customHeight="1">
      <c r="A83" s="63">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4" t="n"/>
      <c r="M83" s="24" t="n"/>
      <c r="N83" s="25">
        <f>IF(M83="","",HYPERLINK(IF(LEFT(M83,4)="http",M83,set_QwilrBase&amp;M83),"Open quote"))</f>
        <v/>
      </c>
      <c r="O83" s="64" t="n"/>
      <c r="P83" s="24" t="n"/>
      <c r="Q83" s="24" t="n"/>
    </row>
    <row r="84" ht="15" customHeight="1">
      <c r="A84" s="63">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4" t="n"/>
      <c r="M84" s="24" t="n"/>
      <c r="N84" s="25">
        <f>IF(M84="","",HYPERLINK(IF(LEFT(M84,4)="http",M84,set_QwilrBase&amp;M84),"Open quote"))</f>
        <v/>
      </c>
      <c r="O84" s="64" t="n"/>
      <c r="P84" s="24" t="n"/>
      <c r="Q84" s="24" t="n"/>
    </row>
    <row r="85" ht="15" customHeight="1">
      <c r="A85" s="63">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4" t="n"/>
      <c r="M85" s="24" t="n"/>
      <c r="N85" s="25">
        <f>IF(M85="","",HYPERLINK(IF(LEFT(M85,4)="http",M85,set_QwilrBase&amp;M85),"Open quote"))</f>
        <v/>
      </c>
      <c r="O85" s="64" t="n"/>
      <c r="P85" s="24" t="n"/>
      <c r="Q85" s="24" t="n"/>
    </row>
    <row r="86" ht="15" customHeight="1">
      <c r="A86" s="63">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4" t="n"/>
      <c r="M86" s="24" t="n"/>
      <c r="N86" s="25">
        <f>IF(M86="","",HYPERLINK(IF(LEFT(M86,4)="http",M86,set_QwilrBase&amp;M86),"Open quote"))</f>
        <v/>
      </c>
      <c r="O86" s="64" t="n"/>
      <c r="P86" s="24" t="n"/>
      <c r="Q86" s="24" t="n"/>
    </row>
    <row r="87" ht="15" customHeight="1">
      <c r="A87" s="63">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4" t="n"/>
      <c r="M87" s="24" t="n"/>
      <c r="N87" s="25">
        <f>IF(M87="","",HYPERLINK(IF(LEFT(M87,4)="http",M87,set_QwilrBase&amp;M87),"Open quote"))</f>
        <v/>
      </c>
      <c r="O87" s="64" t="n"/>
      <c r="P87" s="24" t="n"/>
      <c r="Q87" s="24" t="n"/>
    </row>
    <row r="88" ht="15" customHeight="1">
      <c r="A88" s="63">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4" t="n"/>
      <c r="M88" s="24" t="n"/>
      <c r="N88" s="25">
        <f>IF(M88="","",HYPERLINK(IF(LEFT(M88,4)="http",M88,set_QwilrBase&amp;M88),"Open quote"))</f>
        <v/>
      </c>
      <c r="O88" s="64" t="n"/>
      <c r="P88" s="24" t="n"/>
      <c r="Q88" s="24" t="n"/>
    </row>
    <row r="89" ht="15" customHeight="1">
      <c r="A89" s="63">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4" t="n"/>
      <c r="M89" s="24" t="n"/>
      <c r="N89" s="25">
        <f>IF(M89="","",HYPERLINK(IF(LEFT(M89,4)="http",M89,set_QwilrBase&amp;M89),"Open quote"))</f>
        <v/>
      </c>
      <c r="O89" s="64" t="n"/>
      <c r="P89" s="24" t="n"/>
      <c r="Q89" s="24" t="n"/>
    </row>
    <row r="90" ht="15" customHeight="1">
      <c r="A90" s="63">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4" t="n"/>
      <c r="M90" s="24" t="n"/>
      <c r="N90" s="25">
        <f>IF(M90="","",HYPERLINK(IF(LEFT(M90,4)="http",M90,set_QwilrBase&amp;M90),"Open quote"))</f>
        <v/>
      </c>
      <c r="O90" s="64" t="n"/>
      <c r="P90" s="24" t="n"/>
      <c r="Q90" s="24" t="n"/>
    </row>
    <row r="91" ht="15" customHeight="1">
      <c r="A91" s="63">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4" t="n"/>
      <c r="M91" s="24" t="n"/>
      <c r="N91" s="25">
        <f>IF(M91="","",HYPERLINK(IF(LEFT(M91,4)="http",M91,set_QwilrBase&amp;M91),"Open quote"))</f>
        <v/>
      </c>
      <c r="O91" s="64" t="n"/>
      <c r="P91" s="24" t="n"/>
      <c r="Q91" s="24" t="n"/>
    </row>
    <row r="92" ht="15" customHeight="1">
      <c r="A92" s="63">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4" t="n"/>
      <c r="M92" s="24" t="n"/>
      <c r="N92" s="25">
        <f>IF(M92="","",HYPERLINK(IF(LEFT(M92,4)="http",M92,set_QwilrBase&amp;M92),"Open quote"))</f>
        <v/>
      </c>
      <c r="O92" s="64" t="n"/>
      <c r="P92" s="24" t="n"/>
      <c r="Q92" s="24" t="n"/>
    </row>
    <row r="93" ht="15" customHeight="1">
      <c r="A93" s="63">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4" t="n"/>
      <c r="M93" s="24" t="n"/>
      <c r="N93" s="25">
        <f>IF(M93="","",HYPERLINK(IF(LEFT(M93,4)="http",M93,set_QwilrBase&amp;M93),"Open quote"))</f>
        <v/>
      </c>
      <c r="O93" s="64" t="n"/>
      <c r="P93" s="24" t="n"/>
      <c r="Q93" s="24" t="n"/>
    </row>
    <row r="94" ht="15" customHeight="1">
      <c r="A94" s="63">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4" t="n"/>
      <c r="M94" s="24" t="n"/>
      <c r="N94" s="25">
        <f>IF(M94="","",HYPERLINK(IF(LEFT(M94,4)="http",M94,set_QwilrBase&amp;M94),"Open quote"))</f>
        <v/>
      </c>
      <c r="O94" s="64" t="n"/>
      <c r="P94" s="24" t="n"/>
      <c r="Q94" s="24" t="n"/>
    </row>
    <row r="95" ht="15" customHeight="1">
      <c r="A95" s="63">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4" t="n"/>
      <c r="M95" s="24" t="n"/>
      <c r="N95" s="25">
        <f>IF(M95="","",HYPERLINK(IF(LEFT(M95,4)="http",M95,set_QwilrBase&amp;M95),"Open quote"))</f>
        <v/>
      </c>
      <c r="O95" s="64" t="n"/>
      <c r="P95" s="24" t="n"/>
      <c r="Q95" s="24" t="n"/>
    </row>
    <row r="96" ht="15" customHeight="1">
      <c r="A96" s="63">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4" t="n"/>
      <c r="M96" s="24" t="n"/>
      <c r="N96" s="25">
        <f>IF(M96="","",HYPERLINK(IF(LEFT(M96,4)="http",M96,set_QwilrBase&amp;M96),"Open quote"))</f>
        <v/>
      </c>
      <c r="O96" s="64" t="n"/>
      <c r="P96" s="24" t="n"/>
      <c r="Q96" s="24" t="n"/>
    </row>
    <row r="97" ht="15" customHeight="1">
      <c r="A97" s="63">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4" t="n"/>
      <c r="M97" s="24" t="n"/>
      <c r="N97" s="25">
        <f>IF(M97="","",HYPERLINK(IF(LEFT(M97,4)="http",M97,set_QwilrBase&amp;M97),"Open quote"))</f>
        <v/>
      </c>
      <c r="O97" s="64" t="n"/>
      <c r="P97" s="24" t="n"/>
      <c r="Q97" s="24" t="n"/>
    </row>
    <row r="98" ht="15" customHeight="1">
      <c r="A98" s="63">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4" t="n"/>
      <c r="M98" s="24" t="n"/>
      <c r="N98" s="25">
        <f>IF(M98="","",HYPERLINK(IF(LEFT(M98,4)="http",M98,set_QwilrBase&amp;M98),"Open quote"))</f>
        <v/>
      </c>
      <c r="O98" s="64" t="n"/>
      <c r="P98" s="24" t="n"/>
      <c r="Q98" s="24" t="n"/>
    </row>
    <row r="99" ht="15" customHeight="1">
      <c r="A99" s="63">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4" t="n"/>
      <c r="M99" s="24" t="n"/>
      <c r="N99" s="25">
        <f>IF(M99="","",HYPERLINK(IF(LEFT(M99,4)="http",M99,set_QwilrBase&amp;M99),"Open quote"))</f>
        <v/>
      </c>
      <c r="O99" s="64" t="n"/>
      <c r="P99" s="24" t="n"/>
      <c r="Q99" s="24" t="n"/>
    </row>
    <row r="100" ht="15" customHeight="1">
      <c r="A100" s="63">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4" t="n"/>
      <c r="M100" s="24" t="n"/>
      <c r="N100" s="25">
        <f>IF(M100="","",HYPERLINK(IF(LEFT(M100,4)="http",M100,set_QwilrBase&amp;M100),"Open quote"))</f>
        <v/>
      </c>
      <c r="O100" s="64" t="n"/>
      <c r="P100" s="24" t="n"/>
      <c r="Q100" s="24" t="n"/>
    </row>
    <row r="101" ht="15" customHeight="1">
      <c r="A101" s="63">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4" t="n"/>
      <c r="M101" s="24" t="n"/>
      <c r="N101" s="25">
        <f>IF(M101="","",HYPERLINK(IF(LEFT(M101,4)="http",M101,set_QwilrBase&amp;M101),"Open quote"))</f>
        <v/>
      </c>
      <c r="O101" s="64" t="n"/>
      <c r="P101" s="24" t="n"/>
      <c r="Q101" s="24" t="n"/>
    </row>
    <row r="102" ht="15" customHeight="1">
      <c r="A102" s="63">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4" t="n"/>
      <c r="M102" s="24" t="n"/>
      <c r="N102" s="25">
        <f>IF(M102="","",HYPERLINK(IF(LEFT(M102,4)="http",M102,set_QwilrBase&amp;M102),"Open quote"))</f>
        <v/>
      </c>
      <c r="O102" s="64" t="n"/>
      <c r="P102" s="24" t="n"/>
      <c r="Q102" s="24" t="n"/>
    </row>
    <row r="103" ht="15" customHeight="1">
      <c r="A103" s="63">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4" t="n"/>
      <c r="M103" s="24" t="n"/>
      <c r="N103" s="25">
        <f>IF(M103="","",HYPERLINK(IF(LEFT(M103,4)="http",M103,set_QwilrBase&amp;M103),"Open quote"))</f>
        <v/>
      </c>
      <c r="O103" s="64" t="n"/>
      <c r="P103" s="24" t="n"/>
      <c r="Q103" s="24" t="n"/>
    </row>
    <row r="104" ht="15" customHeight="1">
      <c r="A104" s="63">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4" t="n"/>
      <c r="M104" s="24" t="n"/>
      <c r="N104" s="25">
        <f>IF(M104="","",HYPERLINK(IF(LEFT(M104,4)="http",M104,set_QwilrBase&amp;M104),"Open quote"))</f>
        <v/>
      </c>
      <c r="O104" s="64" t="n"/>
      <c r="P104" s="24" t="n"/>
      <c r="Q104" s="24" t="n"/>
    </row>
    <row r="105" ht="15" customHeight="1">
      <c r="A105" s="63">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4" t="n"/>
      <c r="M105" s="24" t="n"/>
      <c r="N105" s="25">
        <f>IF(M105="","",HYPERLINK(IF(LEFT(M105,4)="http",M105,set_QwilrBase&amp;M105),"Open quote"))</f>
        <v/>
      </c>
      <c r="O105" s="64" t="n"/>
      <c r="P105" s="24" t="n"/>
      <c r="Q105" s="24" t="n"/>
    </row>
    <row r="106" ht="15" customHeight="1">
      <c r="A106" s="63">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4" t="n"/>
      <c r="M106" s="24" t="n"/>
      <c r="N106" s="25">
        <f>IF(M106="","",HYPERLINK(IF(LEFT(M106,4)="http",M106,set_QwilrBase&amp;M106),"Open quote"))</f>
        <v/>
      </c>
      <c r="O106" s="64" t="n"/>
      <c r="P106" s="24" t="n"/>
      <c r="Q106" s="24" t="n"/>
    </row>
    <row r="107" ht="15" customHeight="1">
      <c r="A107" s="63">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4" t="n"/>
      <c r="M107" s="24" t="n"/>
      <c r="N107" s="25">
        <f>IF(M107="","",HYPERLINK(IF(LEFT(M107,4)="http",M107,set_QwilrBase&amp;M107),"Open quote"))</f>
        <v/>
      </c>
      <c r="O107" s="64" t="n"/>
      <c r="P107" s="24" t="n"/>
      <c r="Q107" s="24" t="n"/>
    </row>
    <row r="108" ht="15" customHeight="1">
      <c r="A108" s="63">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4" t="n"/>
      <c r="M108" s="24" t="n"/>
      <c r="N108" s="25">
        <f>IF(M108="","",HYPERLINK(IF(LEFT(M108,4)="http",M108,set_QwilrBase&amp;M108),"Open quote"))</f>
        <v/>
      </c>
      <c r="O108" s="64" t="n"/>
      <c r="P108" s="24" t="n"/>
      <c r="Q108" s="24" t="n"/>
    </row>
    <row r="109" ht="15" customHeight="1">
      <c r="A109" s="63">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4" t="n"/>
      <c r="M109" s="24" t="n"/>
      <c r="N109" s="25">
        <f>IF(M109="","",HYPERLINK(IF(LEFT(M109,4)="http",M109,set_QwilrBase&amp;M109),"Open quote"))</f>
        <v/>
      </c>
      <c r="O109" s="64" t="n"/>
      <c r="P109" s="24" t="n"/>
      <c r="Q109" s="24" t="n"/>
    </row>
    <row r="110" ht="15" customHeight="1">
      <c r="A110" s="63">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4" t="n"/>
      <c r="M110" s="24" t="n"/>
      <c r="N110" s="25">
        <f>IF(M110="","",HYPERLINK(IF(LEFT(M110,4)="http",M110,set_QwilrBase&amp;M110),"Open quote"))</f>
        <v/>
      </c>
      <c r="O110" s="64" t="n"/>
      <c r="P110" s="24" t="n"/>
      <c r="Q110" s="24" t="n"/>
    </row>
    <row r="111" ht="15" customHeight="1">
      <c r="A111" s="63">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4" t="n"/>
      <c r="M111" s="24" t="n"/>
      <c r="N111" s="25">
        <f>IF(M111="","",HYPERLINK(IF(LEFT(M111,4)="http",M111,set_QwilrBase&amp;M111),"Open quote"))</f>
        <v/>
      </c>
      <c r="O111" s="64" t="n"/>
      <c r="P111" s="24" t="n"/>
      <c r="Q111" s="24" t="n"/>
    </row>
    <row r="112" ht="15" customHeight="1">
      <c r="A112" s="63">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4" t="n"/>
      <c r="M112" s="24" t="n"/>
      <c r="N112" s="25">
        <f>IF(M112="","",HYPERLINK(IF(LEFT(M112,4)="http",M112,set_QwilrBase&amp;M112),"Open quote"))</f>
        <v/>
      </c>
      <c r="O112" s="64" t="n"/>
      <c r="P112" s="24" t="n"/>
      <c r="Q112" s="24" t="n"/>
    </row>
    <row r="113" ht="15" customHeight="1">
      <c r="A113" s="63">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4" t="n"/>
      <c r="M113" s="24" t="n"/>
      <c r="N113" s="25">
        <f>IF(M113="","",HYPERLINK(IF(LEFT(M113,4)="http",M113,set_QwilrBase&amp;M113),"Open quote"))</f>
        <v/>
      </c>
      <c r="O113" s="64" t="n"/>
      <c r="P113" s="24" t="n"/>
      <c r="Q113" s="24" t="n"/>
    </row>
    <row r="114" ht="15" customHeight="1">
      <c r="A114" s="63">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4" t="n"/>
      <c r="M114" s="24" t="n"/>
      <c r="N114" s="25">
        <f>IF(M114="","",HYPERLINK(IF(LEFT(M114,4)="http",M114,set_QwilrBase&amp;M114),"Open quote"))</f>
        <v/>
      </c>
      <c r="O114" s="64" t="n"/>
      <c r="P114" s="24" t="n"/>
      <c r="Q114" s="24" t="n"/>
    </row>
    <row r="115" ht="15" customHeight="1">
      <c r="A115" s="63">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4" t="n"/>
      <c r="M115" s="24" t="n"/>
      <c r="N115" s="25">
        <f>IF(M115="","",HYPERLINK(IF(LEFT(M115,4)="http",M115,set_QwilrBase&amp;M115),"Open quote"))</f>
        <v/>
      </c>
      <c r="O115" s="64" t="n"/>
      <c r="P115" s="24" t="n"/>
      <c r="Q115" s="24" t="n"/>
    </row>
    <row r="116" ht="15" customHeight="1">
      <c r="A116" s="63">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4" t="n"/>
      <c r="M116" s="24" t="n"/>
      <c r="N116" s="25">
        <f>IF(M116="","",HYPERLINK(IF(LEFT(M116,4)="http",M116,set_QwilrBase&amp;M116),"Open quote"))</f>
        <v/>
      </c>
      <c r="O116" s="64" t="n"/>
      <c r="P116" s="24" t="n"/>
      <c r="Q116" s="24" t="n"/>
    </row>
    <row r="117" ht="15" customHeight="1">
      <c r="A117" s="63">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4" t="n"/>
      <c r="M117" s="24" t="n"/>
      <c r="N117" s="25">
        <f>IF(M117="","",HYPERLINK(IF(LEFT(M117,4)="http",M117,set_QwilrBase&amp;M117),"Open quote"))</f>
        <v/>
      </c>
      <c r="O117" s="64" t="n"/>
      <c r="P117" s="24" t="n"/>
      <c r="Q117" s="24" t="n"/>
    </row>
    <row r="118" ht="15" customHeight="1">
      <c r="A118" s="63">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4" t="n"/>
      <c r="M118" s="24" t="n"/>
      <c r="N118" s="25">
        <f>IF(M118="","",HYPERLINK(IF(LEFT(M118,4)="http",M118,set_QwilrBase&amp;M118),"Open quote"))</f>
        <v/>
      </c>
      <c r="O118" s="64" t="n"/>
      <c r="P118" s="24" t="n"/>
      <c r="Q118" s="24" t="n"/>
    </row>
    <row r="119" ht="15" customHeight="1">
      <c r="A119" s="63">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4" t="n"/>
      <c r="M119" s="24" t="n"/>
      <c r="N119" s="25">
        <f>IF(M119="","",HYPERLINK(IF(LEFT(M119,4)="http",M119,set_QwilrBase&amp;M119),"Open quote"))</f>
        <v/>
      </c>
      <c r="O119" s="64" t="n"/>
      <c r="P119" s="24" t="n"/>
      <c r="Q119" s="24" t="n"/>
    </row>
    <row r="120" ht="15" customHeight="1">
      <c r="A120" s="63">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4" t="n"/>
      <c r="M120" s="24" t="n"/>
      <c r="N120" s="25">
        <f>IF(M120="","",HYPERLINK(IF(LEFT(M120,4)="http",M120,set_QwilrBase&amp;M120),"Open quote"))</f>
        <v/>
      </c>
      <c r="O120" s="64" t="n"/>
      <c r="P120" s="24" t="n"/>
      <c r="Q120" s="24" t="n"/>
    </row>
    <row r="121" ht="15" customHeight="1">
      <c r="A121" s="63">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4" t="n"/>
      <c r="M121" s="24" t="n"/>
      <c r="N121" s="25">
        <f>IF(M121="","",HYPERLINK(IF(LEFT(M121,4)="http",M121,set_QwilrBase&amp;M121),"Open quote"))</f>
        <v/>
      </c>
      <c r="O121" s="64" t="n"/>
      <c r="P121" s="24" t="n"/>
      <c r="Q121" s="24" t="n"/>
    </row>
    <row r="122" ht="15" customHeight="1">
      <c r="A122" s="63">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4" t="n"/>
      <c r="M122" s="24" t="n"/>
      <c r="N122" s="25">
        <f>IF(M122="","",HYPERLINK(IF(LEFT(M122,4)="http",M122,set_QwilrBase&amp;M122),"Open quote"))</f>
        <v/>
      </c>
      <c r="O122" s="64" t="n"/>
      <c r="P122" s="24" t="n"/>
      <c r="Q122" s="24" t="n"/>
    </row>
    <row r="123" ht="15" customHeight="1">
      <c r="A123" s="63">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4" t="n"/>
      <c r="M123" s="24" t="n"/>
      <c r="N123" s="25">
        <f>IF(M123="","",HYPERLINK(IF(LEFT(M123,4)="http",M123,set_QwilrBase&amp;M123),"Open quote"))</f>
        <v/>
      </c>
      <c r="O123" s="64" t="n"/>
      <c r="P123" s="24" t="n"/>
      <c r="Q123" s="24" t="n"/>
    </row>
    <row r="124" ht="15" customHeight="1">
      <c r="A124" s="63">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4" t="n"/>
      <c r="M124" s="24" t="n"/>
      <c r="N124" s="25">
        <f>IF(M124="","",HYPERLINK(IF(LEFT(M124,4)="http",M124,set_QwilrBase&amp;M124),"Open quote"))</f>
        <v/>
      </c>
      <c r="O124" s="64" t="n"/>
      <c r="P124" s="24" t="n"/>
      <c r="Q124" s="24" t="n"/>
    </row>
    <row r="125" ht="15" customHeight="1">
      <c r="A125" s="63">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4" t="n"/>
      <c r="M125" s="24" t="n"/>
      <c r="N125" s="25">
        <f>IF(M125="","",HYPERLINK(IF(LEFT(M125,4)="http",M125,set_QwilrBase&amp;M125),"Open quote"))</f>
        <v/>
      </c>
      <c r="O125" s="64" t="n"/>
      <c r="P125" s="24" t="n"/>
      <c r="Q125" s="24" t="n"/>
    </row>
    <row r="126" ht="15" customHeight="1">
      <c r="A126" s="63">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4" t="n"/>
      <c r="M126" s="24" t="n"/>
      <c r="N126" s="25">
        <f>IF(M126="","",HYPERLINK(IF(LEFT(M126,4)="http",M126,set_QwilrBase&amp;M126),"Open quote"))</f>
        <v/>
      </c>
      <c r="O126" s="64" t="n"/>
      <c r="P126" s="24" t="n"/>
      <c r="Q126" s="24" t="n"/>
    </row>
    <row r="127" ht="15" customHeight="1">
      <c r="A127" s="63">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4" t="n"/>
      <c r="M127" s="24" t="n"/>
      <c r="N127" s="25">
        <f>IF(M127="","",HYPERLINK(IF(LEFT(M127,4)="http",M127,set_QwilrBase&amp;M127),"Open quote"))</f>
        <v/>
      </c>
      <c r="O127" s="64" t="n"/>
      <c r="P127" s="24" t="n"/>
      <c r="Q127" s="24" t="n"/>
    </row>
    <row r="128" ht="15" customHeight="1">
      <c r="A128" s="63">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4" t="n"/>
      <c r="M128" s="24" t="n"/>
      <c r="N128" s="25">
        <f>IF(M128="","",HYPERLINK(IF(LEFT(M128,4)="http",M128,set_QwilrBase&amp;M128),"Open quote"))</f>
        <v/>
      </c>
      <c r="O128" s="64" t="n"/>
      <c r="P128" s="24" t="n"/>
      <c r="Q128" s="24" t="n"/>
    </row>
    <row r="129" ht="15" customHeight="1">
      <c r="A129" s="63">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4" t="n"/>
      <c r="M129" s="24" t="n"/>
      <c r="N129" s="25">
        <f>IF(M129="","",HYPERLINK(IF(LEFT(M129,4)="http",M129,set_QwilrBase&amp;M129),"Open quote"))</f>
        <v/>
      </c>
      <c r="O129" s="64" t="n"/>
      <c r="P129" s="24" t="n"/>
      <c r="Q129" s="24" t="n"/>
    </row>
    <row r="130" ht="15" customHeight="1">
      <c r="A130" s="63">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4" t="n"/>
      <c r="M130" s="24" t="n"/>
      <c r="N130" s="25">
        <f>IF(M130="","",HYPERLINK(IF(LEFT(M130,4)="http",M130,set_QwilrBase&amp;M130),"Open quote"))</f>
        <v/>
      </c>
      <c r="O130" s="64" t="n"/>
      <c r="P130" s="24" t="n"/>
      <c r="Q130" s="24" t="n"/>
    </row>
    <row r="131" ht="15" customHeight="1">
      <c r="A131" s="63">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4" t="n"/>
      <c r="M131" s="24" t="n"/>
      <c r="N131" s="25">
        <f>IF(M131="","",HYPERLINK(IF(LEFT(M131,4)="http",M131,set_QwilrBase&amp;M131),"Open quote"))</f>
        <v/>
      </c>
      <c r="O131" s="64" t="n"/>
      <c r="P131" s="24" t="n"/>
      <c r="Q131" s="24" t="n"/>
    </row>
    <row r="132" ht="15" customHeight="1">
      <c r="A132" s="63">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4" t="n"/>
      <c r="M132" s="24" t="n"/>
      <c r="N132" s="25">
        <f>IF(M132="","",HYPERLINK(IF(LEFT(M132,4)="http",M132,set_QwilrBase&amp;M132),"Open quote"))</f>
        <v/>
      </c>
      <c r="O132" s="64" t="n"/>
      <c r="P132" s="24" t="n"/>
      <c r="Q132" s="24" t="n"/>
    </row>
    <row r="133" ht="15" customHeight="1">
      <c r="A133" s="63">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4" t="n"/>
      <c r="M133" s="24" t="n"/>
      <c r="N133" s="25">
        <f>IF(M133="","",HYPERLINK(IF(LEFT(M133,4)="http",M133,set_QwilrBase&amp;M133),"Open quote"))</f>
        <v/>
      </c>
      <c r="O133" s="64" t="n"/>
      <c r="P133" s="24" t="n"/>
      <c r="Q133" s="24" t="n"/>
    </row>
    <row r="134" ht="15" customHeight="1">
      <c r="A134" s="63">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4" t="n"/>
      <c r="M134" s="24" t="n"/>
      <c r="N134" s="25">
        <f>IF(M134="","",HYPERLINK(IF(LEFT(M134,4)="http",M134,set_QwilrBase&amp;M134),"Open quote"))</f>
        <v/>
      </c>
      <c r="O134" s="64" t="n"/>
      <c r="P134" s="24" t="n"/>
      <c r="Q134" s="24" t="n"/>
    </row>
    <row r="135" ht="15" customHeight="1">
      <c r="A135" s="63">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4" t="n"/>
      <c r="M135" s="24" t="n"/>
      <c r="N135" s="25">
        <f>IF(M135="","",HYPERLINK(IF(LEFT(M135,4)="http",M135,set_QwilrBase&amp;M135),"Open quote"))</f>
        <v/>
      </c>
      <c r="O135" s="64" t="n"/>
      <c r="P135" s="24" t="n"/>
      <c r="Q135" s="24" t="n"/>
    </row>
    <row r="136" ht="15" customHeight="1">
      <c r="A136" s="63">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4" t="n"/>
      <c r="M136" s="24" t="n"/>
      <c r="N136" s="25">
        <f>IF(M136="","",HYPERLINK(IF(LEFT(M136,4)="http",M136,set_QwilrBase&amp;M136),"Open quote"))</f>
        <v/>
      </c>
      <c r="O136" s="64" t="n"/>
      <c r="P136" s="24" t="n"/>
      <c r="Q136" s="24" t="n"/>
    </row>
    <row r="137" ht="15" customHeight="1">
      <c r="A137" s="63">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4" t="n"/>
      <c r="M137" s="24" t="n"/>
      <c r="N137" s="25">
        <f>IF(M137="","",HYPERLINK(IF(LEFT(M137,4)="http",M137,set_QwilrBase&amp;M137),"Open quote"))</f>
        <v/>
      </c>
      <c r="O137" s="64" t="n"/>
      <c r="P137" s="24" t="n"/>
      <c r="Q137" s="24" t="n"/>
    </row>
    <row r="138" ht="15" customHeight="1">
      <c r="A138" s="63">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4" t="n"/>
      <c r="M138" s="24" t="n"/>
      <c r="N138" s="25">
        <f>IF(M138="","",HYPERLINK(IF(LEFT(M138,4)="http",M138,set_QwilrBase&amp;M138),"Open quote"))</f>
        <v/>
      </c>
      <c r="O138" s="64" t="n"/>
      <c r="P138" s="24" t="n"/>
      <c r="Q138" s="24" t="n"/>
    </row>
    <row r="139" ht="15" customHeight="1">
      <c r="A139" s="63">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4" t="n"/>
      <c r="M139" s="24" t="n"/>
      <c r="N139" s="25">
        <f>IF(M139="","",HYPERLINK(IF(LEFT(M139,4)="http",M139,set_QwilrBase&amp;M139),"Open quote"))</f>
        <v/>
      </c>
      <c r="O139" s="64" t="n"/>
      <c r="P139" s="24" t="n"/>
      <c r="Q139" s="24" t="n"/>
    </row>
    <row r="140" ht="15" customHeight="1">
      <c r="A140" s="63">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4" t="n"/>
      <c r="M140" s="24" t="n"/>
      <c r="N140" s="25">
        <f>IF(M140="","",HYPERLINK(IF(LEFT(M140,4)="http",M140,set_QwilrBase&amp;M140),"Open quote"))</f>
        <v/>
      </c>
      <c r="O140" s="64" t="n"/>
      <c r="P140" s="24" t="n"/>
      <c r="Q140" s="24" t="n"/>
    </row>
    <row r="141" ht="15" customHeight="1">
      <c r="A141" s="63">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4" t="n"/>
      <c r="M141" s="24" t="n"/>
      <c r="N141" s="25">
        <f>IF(M141="","",HYPERLINK(IF(LEFT(M141,4)="http",M141,set_QwilrBase&amp;M141),"Open quote"))</f>
        <v/>
      </c>
      <c r="O141" s="64" t="n"/>
      <c r="P141" s="24" t="n"/>
      <c r="Q141" s="24" t="n"/>
    </row>
    <row r="142" ht="15" customHeight="1">
      <c r="A142" s="63">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4" t="n"/>
      <c r="M142" s="24" t="n"/>
      <c r="N142" s="25">
        <f>IF(M142="","",HYPERLINK(IF(LEFT(M142,4)="http",M142,set_QwilrBase&amp;M142),"Open quote"))</f>
        <v/>
      </c>
      <c r="O142" s="64" t="n"/>
      <c r="P142" s="24" t="n"/>
      <c r="Q142" s="24" t="n"/>
    </row>
    <row r="143" ht="15" customHeight="1">
      <c r="A143" s="63">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4" t="n"/>
      <c r="M143" s="24" t="n"/>
      <c r="N143" s="25">
        <f>IF(M143="","",HYPERLINK(IF(LEFT(M143,4)="http",M143,set_QwilrBase&amp;M143),"Open quote"))</f>
        <v/>
      </c>
      <c r="O143" s="64" t="n"/>
      <c r="P143" s="24" t="n"/>
      <c r="Q143" s="24" t="n"/>
    </row>
    <row r="144" ht="15" customHeight="1">
      <c r="A144" s="63">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4" t="n"/>
      <c r="M144" s="24" t="n"/>
      <c r="N144" s="25">
        <f>IF(M144="","",HYPERLINK(IF(LEFT(M144,4)="http",M144,set_QwilrBase&amp;M144),"Open quote"))</f>
        <v/>
      </c>
      <c r="O144" s="64" t="n"/>
      <c r="P144" s="24" t="n"/>
      <c r="Q144" s="24" t="n"/>
    </row>
    <row r="145" ht="15" customHeight="1">
      <c r="A145" s="63">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4" t="n"/>
      <c r="M145" s="24" t="n"/>
      <c r="N145" s="25">
        <f>IF(M145="","",HYPERLINK(IF(LEFT(M145,4)="http",M145,set_QwilrBase&amp;M145),"Open quote"))</f>
        <v/>
      </c>
      <c r="O145" s="64" t="n"/>
      <c r="P145" s="24" t="n"/>
      <c r="Q145" s="24" t="n"/>
    </row>
    <row r="146" ht="15" customHeight="1">
      <c r="A146" s="63">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4" t="n"/>
      <c r="M146" s="24" t="n"/>
      <c r="N146" s="25">
        <f>IF(M146="","",HYPERLINK(IF(LEFT(M146,4)="http",M146,set_QwilrBase&amp;M146),"Open quote"))</f>
        <v/>
      </c>
      <c r="O146" s="64" t="n"/>
      <c r="P146" s="24" t="n"/>
      <c r="Q146" s="24" t="n"/>
    </row>
    <row r="147" ht="15" customHeight="1">
      <c r="A147" s="63">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4" t="n"/>
      <c r="M147" s="24" t="n"/>
      <c r="N147" s="25">
        <f>IF(M147="","",HYPERLINK(IF(LEFT(M147,4)="http",M147,set_QwilrBase&amp;M147),"Open quote"))</f>
        <v/>
      </c>
      <c r="O147" s="64" t="n"/>
      <c r="P147" s="24" t="n"/>
      <c r="Q147" s="24" t="n"/>
    </row>
    <row r="148" ht="15" customHeight="1">
      <c r="A148" s="63">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4" t="n"/>
      <c r="M148" s="24" t="n"/>
      <c r="N148" s="25">
        <f>IF(M148="","",HYPERLINK(IF(LEFT(M148,4)="http",M148,set_QwilrBase&amp;M148),"Open quote"))</f>
        <v/>
      </c>
      <c r="O148" s="64" t="n"/>
      <c r="P148" s="24" t="n"/>
      <c r="Q148" s="24" t="n"/>
    </row>
    <row r="149" ht="15" customHeight="1">
      <c r="A149" s="63">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4" t="n"/>
      <c r="M149" s="24" t="n"/>
      <c r="N149" s="25">
        <f>IF(M149="","",HYPERLINK(IF(LEFT(M149,4)="http",M149,set_QwilrBase&amp;M149),"Open quote"))</f>
        <v/>
      </c>
      <c r="O149" s="64" t="n"/>
      <c r="P149" s="24" t="n"/>
      <c r="Q149" s="24" t="n"/>
    </row>
    <row r="150" ht="15" customHeight="1">
      <c r="A150" s="63">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4" t="n"/>
      <c r="M150" s="24" t="n"/>
      <c r="N150" s="25">
        <f>IF(M150="","",HYPERLINK(IF(LEFT(M150,4)="http",M150,set_QwilrBase&amp;M150),"Open quote"))</f>
        <v/>
      </c>
      <c r="O150" s="64" t="n"/>
      <c r="P150" s="24" t="n"/>
      <c r="Q150" s="24" t="n"/>
    </row>
    <row r="151" ht="15" customHeight="1">
      <c r="A151" s="63">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4" t="n"/>
      <c r="M151" s="24" t="n"/>
      <c r="N151" s="25">
        <f>IF(M151="","",HYPERLINK(IF(LEFT(M151,4)="http",M151,set_QwilrBase&amp;M151),"Open quote"))</f>
        <v/>
      </c>
      <c r="O151" s="64" t="n"/>
      <c r="P151" s="24" t="n"/>
      <c r="Q151" s="24" t="n"/>
    </row>
    <row r="152" ht="15" customHeight="1">
      <c r="A152" s="63">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4" t="n"/>
      <c r="M152" s="24" t="n"/>
      <c r="N152" s="25">
        <f>IF(M152="","",HYPERLINK(IF(LEFT(M152,4)="http",M152,set_QwilrBase&amp;M152),"Open quote"))</f>
        <v/>
      </c>
      <c r="O152" s="64" t="n"/>
      <c r="P152" s="24" t="n"/>
      <c r="Q152" s="24" t="n"/>
    </row>
    <row r="153" ht="15" customHeight="1">
      <c r="A153" s="63">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4" t="n"/>
      <c r="M153" s="24" t="n"/>
      <c r="N153" s="25">
        <f>IF(M153="","",HYPERLINK(IF(LEFT(M153,4)="http",M153,set_QwilrBase&amp;M153),"Open quote"))</f>
        <v/>
      </c>
      <c r="O153" s="64" t="n"/>
      <c r="P153" s="24" t="n"/>
      <c r="Q153" s="24" t="n"/>
    </row>
    <row r="154" ht="15" customHeight="1">
      <c r="A154" s="63">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4" t="n"/>
      <c r="M154" s="24" t="n"/>
      <c r="N154" s="25">
        <f>IF(M154="","",HYPERLINK(IF(LEFT(M154,4)="http",M154,set_QwilrBase&amp;M154),"Open quote"))</f>
        <v/>
      </c>
      <c r="O154" s="64" t="n"/>
      <c r="P154" s="24" t="n"/>
      <c r="Q154" s="24" t="n"/>
    </row>
    <row r="155" ht="15" customHeight="1">
      <c r="A155" s="63">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4" t="n"/>
      <c r="M155" s="24" t="n"/>
      <c r="N155" s="25">
        <f>IF(M155="","",HYPERLINK(IF(LEFT(M155,4)="http",M155,set_QwilrBase&amp;M155),"Open quote"))</f>
        <v/>
      </c>
      <c r="O155" s="64" t="n"/>
      <c r="P155" s="24" t="n"/>
      <c r="Q155" s="24" t="n"/>
    </row>
    <row r="156" ht="15" customHeight="1">
      <c r="A156" s="63">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4" t="n"/>
      <c r="M156" s="24" t="n"/>
      <c r="N156" s="25">
        <f>IF(M156="","",HYPERLINK(IF(LEFT(M156,4)="http",M156,set_QwilrBase&amp;M156),"Open quote"))</f>
        <v/>
      </c>
      <c r="O156" s="64" t="n"/>
      <c r="P156" s="24" t="n"/>
      <c r="Q156" s="24" t="n"/>
    </row>
    <row r="157" ht="15" customHeight="1">
      <c r="A157" s="63">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4" t="n"/>
      <c r="M157" s="24" t="n"/>
      <c r="N157" s="25">
        <f>IF(M157="","",HYPERLINK(IF(LEFT(M157,4)="http",M157,set_QwilrBase&amp;M157),"Open quote"))</f>
        <v/>
      </c>
      <c r="O157" s="64" t="n"/>
      <c r="P157" s="24" t="n"/>
      <c r="Q157" s="24" t="n"/>
    </row>
    <row r="158" ht="15" customHeight="1">
      <c r="A158" s="63">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4" t="n"/>
      <c r="M158" s="24" t="n"/>
      <c r="N158" s="25">
        <f>IF(M158="","",HYPERLINK(IF(LEFT(M158,4)="http",M158,set_QwilrBase&amp;M158),"Open quote"))</f>
        <v/>
      </c>
      <c r="O158" s="64" t="n"/>
      <c r="P158" s="24" t="n"/>
      <c r="Q158" s="24" t="n"/>
    </row>
    <row r="159" ht="15" customHeight="1">
      <c r="A159" s="63">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4" t="n"/>
      <c r="M159" s="24" t="n"/>
      <c r="N159" s="25">
        <f>IF(M159="","",HYPERLINK(IF(LEFT(M159,4)="http",M159,set_QwilrBase&amp;M159),"Open quote"))</f>
        <v/>
      </c>
      <c r="O159" s="64" t="n"/>
      <c r="P159" s="24" t="n"/>
      <c r="Q159" s="24" t="n"/>
    </row>
    <row r="160" ht="15" customHeight="1">
      <c r="A160" s="63">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4" t="n"/>
      <c r="M160" s="24" t="n"/>
      <c r="N160" s="25">
        <f>IF(M160="","",HYPERLINK(IF(LEFT(M160,4)="http",M160,set_QwilrBase&amp;M160),"Open quote"))</f>
        <v/>
      </c>
      <c r="O160" s="64" t="n"/>
      <c r="P160" s="24" t="n"/>
      <c r="Q160" s="24" t="n"/>
    </row>
    <row r="161" ht="15" customHeight="1">
      <c r="A161" s="63">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4" t="n"/>
      <c r="M161" s="24" t="n"/>
      <c r="N161" s="25">
        <f>IF(M161="","",HYPERLINK(IF(LEFT(M161,4)="http",M161,set_QwilrBase&amp;M161),"Open quote"))</f>
        <v/>
      </c>
      <c r="O161" s="64" t="n"/>
      <c r="P161" s="24" t="n"/>
      <c r="Q161" s="24" t="n"/>
    </row>
    <row r="162" ht="15" customHeight="1">
      <c r="A162" s="63">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4" t="n"/>
      <c r="M162" s="24" t="n"/>
      <c r="N162" s="25">
        <f>IF(M162="","",HYPERLINK(IF(LEFT(M162,4)="http",M162,set_QwilrBase&amp;M162),"Open quote"))</f>
        <v/>
      </c>
      <c r="O162" s="64" t="n"/>
      <c r="P162" s="24" t="n"/>
      <c r="Q162" s="24" t="n"/>
    </row>
    <row r="163" ht="15" customHeight="1">
      <c r="A163" s="63">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4" t="n"/>
      <c r="M163" s="24" t="n"/>
      <c r="N163" s="25">
        <f>IF(M163="","",HYPERLINK(IF(LEFT(M163,4)="http",M163,set_QwilrBase&amp;M163),"Open quote"))</f>
        <v/>
      </c>
      <c r="O163" s="64" t="n"/>
      <c r="P163" s="24" t="n"/>
      <c r="Q163" s="24" t="n"/>
    </row>
    <row r="164" ht="15" customHeight="1">
      <c r="A164" s="63">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4" t="n"/>
      <c r="M164" s="24" t="n"/>
      <c r="N164" s="25">
        <f>IF(M164="","",HYPERLINK(IF(LEFT(M164,4)="http",M164,set_QwilrBase&amp;M164),"Open quote"))</f>
        <v/>
      </c>
      <c r="O164" s="64" t="n"/>
      <c r="P164" s="24" t="n"/>
      <c r="Q164" s="24" t="n"/>
    </row>
    <row r="165" ht="15" customHeight="1">
      <c r="A165" s="63">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4" t="n"/>
      <c r="M165" s="24" t="n"/>
      <c r="N165" s="25">
        <f>IF(M165="","",HYPERLINK(IF(LEFT(M165,4)="http",M165,set_QwilrBase&amp;M165),"Open quote"))</f>
        <v/>
      </c>
      <c r="O165" s="64" t="n"/>
      <c r="P165" s="24" t="n"/>
      <c r="Q165" s="24" t="n"/>
    </row>
    <row r="166" ht="15" customHeight="1">
      <c r="A166" s="63">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4" t="n"/>
      <c r="M166" s="24" t="n"/>
      <c r="N166" s="25">
        <f>IF(M166="","",HYPERLINK(IF(LEFT(M166,4)="http",M166,set_QwilrBase&amp;M166),"Open quote"))</f>
        <v/>
      </c>
      <c r="O166" s="64" t="n"/>
      <c r="P166" s="24" t="n"/>
      <c r="Q166" s="24" t="n"/>
    </row>
    <row r="167" ht="15" customHeight="1">
      <c r="A167" s="63">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4" t="n"/>
      <c r="M167" s="24" t="n"/>
      <c r="N167" s="25">
        <f>IF(M167="","",HYPERLINK(IF(LEFT(M167,4)="http",M167,set_QwilrBase&amp;M167),"Open quote"))</f>
        <v/>
      </c>
      <c r="O167" s="64" t="n"/>
      <c r="P167" s="24" t="n"/>
      <c r="Q167" s="24" t="n"/>
    </row>
    <row r="168" ht="15" customHeight="1">
      <c r="A168" s="63">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4" t="n"/>
      <c r="M168" s="24" t="n"/>
      <c r="N168" s="25">
        <f>IF(M168="","",HYPERLINK(IF(LEFT(M168,4)="http",M168,set_QwilrBase&amp;M168),"Open quote"))</f>
        <v/>
      </c>
      <c r="O168" s="64" t="n"/>
      <c r="P168" s="24" t="n"/>
      <c r="Q168" s="24" t="n"/>
    </row>
    <row r="169" ht="15" customHeight="1">
      <c r="A169" s="63">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4" t="n"/>
      <c r="M169" s="24" t="n"/>
      <c r="N169" s="25">
        <f>IF(M169="","",HYPERLINK(IF(LEFT(M169,4)="http",M169,set_QwilrBase&amp;M169),"Open quote"))</f>
        <v/>
      </c>
      <c r="O169" s="64" t="n"/>
      <c r="P169" s="24" t="n"/>
      <c r="Q169" s="24" t="n"/>
    </row>
    <row r="170" ht="15" customHeight="1">
      <c r="A170" s="63">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4" t="n"/>
      <c r="M170" s="24" t="n"/>
      <c r="N170" s="25">
        <f>IF(M170="","",HYPERLINK(IF(LEFT(M170,4)="http",M170,set_QwilrBase&amp;M170),"Open quote"))</f>
        <v/>
      </c>
      <c r="O170" s="64" t="n"/>
      <c r="P170" s="24" t="n"/>
      <c r="Q170" s="24" t="n"/>
    </row>
    <row r="171" ht="15" customHeight="1">
      <c r="A171" s="63">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4" t="n"/>
      <c r="M171" s="24" t="n"/>
      <c r="N171" s="25">
        <f>IF(M171="","",HYPERLINK(IF(LEFT(M171,4)="http",M171,set_QwilrBase&amp;M171),"Open quote"))</f>
        <v/>
      </c>
      <c r="O171" s="64" t="n"/>
      <c r="P171" s="24" t="n"/>
      <c r="Q171" s="24" t="n"/>
    </row>
    <row r="172" ht="15" customHeight="1">
      <c r="A172" s="63">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4" t="n"/>
      <c r="M172" s="24" t="n"/>
      <c r="N172" s="25">
        <f>IF(M172="","",HYPERLINK(IF(LEFT(M172,4)="http",M172,set_QwilrBase&amp;M172),"Open quote"))</f>
        <v/>
      </c>
      <c r="O172" s="64" t="n"/>
      <c r="P172" s="24" t="n"/>
      <c r="Q172" s="24" t="n"/>
    </row>
    <row r="173" ht="15" customHeight="1">
      <c r="A173" s="63">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4" t="n"/>
      <c r="M173" s="24" t="n"/>
      <c r="N173" s="25">
        <f>IF(M173="","",HYPERLINK(IF(LEFT(M173,4)="http",M173,set_QwilrBase&amp;M173),"Open quote"))</f>
        <v/>
      </c>
      <c r="O173" s="64" t="n"/>
      <c r="P173" s="24" t="n"/>
      <c r="Q173" s="24" t="n"/>
    </row>
    <row r="174" ht="15" customHeight="1">
      <c r="A174" s="63">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4" t="n"/>
      <c r="M174" s="24" t="n"/>
      <c r="N174" s="25">
        <f>IF(M174="","",HYPERLINK(IF(LEFT(M174,4)="http",M174,set_QwilrBase&amp;M174),"Open quote"))</f>
        <v/>
      </c>
      <c r="O174" s="64" t="n"/>
      <c r="P174" s="24" t="n"/>
      <c r="Q174" s="24" t="n"/>
    </row>
    <row r="175" ht="15" customHeight="1">
      <c r="A175" s="63">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4" t="n"/>
      <c r="M175" s="24" t="n"/>
      <c r="N175" s="25">
        <f>IF(M175="","",HYPERLINK(IF(LEFT(M175,4)="http",M175,set_QwilrBase&amp;M175),"Open quote"))</f>
        <v/>
      </c>
      <c r="O175" s="64" t="n"/>
      <c r="P175" s="24" t="n"/>
      <c r="Q175" s="24" t="n"/>
    </row>
    <row r="176" ht="15" customHeight="1">
      <c r="A176" s="63">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4" t="n"/>
      <c r="M176" s="24" t="n"/>
      <c r="N176" s="25">
        <f>IF(M176="","",HYPERLINK(IF(LEFT(M176,4)="http",M176,set_QwilrBase&amp;M176),"Open quote"))</f>
        <v/>
      </c>
      <c r="O176" s="64" t="n"/>
      <c r="P176" s="24" t="n"/>
      <c r="Q176" s="24" t="n"/>
    </row>
    <row r="177" ht="15" customHeight="1">
      <c r="A177" s="63">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4" t="n"/>
      <c r="M177" s="24" t="n"/>
      <c r="N177" s="25">
        <f>IF(M177="","",HYPERLINK(IF(LEFT(M177,4)="http",M177,set_QwilrBase&amp;M177),"Open quote"))</f>
        <v/>
      </c>
      <c r="O177" s="64" t="n"/>
      <c r="P177" s="24" t="n"/>
      <c r="Q177" s="24" t="n"/>
    </row>
    <row r="178" ht="15" customHeight="1">
      <c r="A178" s="63">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4" t="n"/>
      <c r="M178" s="24" t="n"/>
      <c r="N178" s="25">
        <f>IF(M178="","",HYPERLINK(IF(LEFT(M178,4)="http",M178,set_QwilrBase&amp;M178),"Open quote"))</f>
        <v/>
      </c>
      <c r="O178" s="64" t="n"/>
      <c r="P178" s="24" t="n"/>
      <c r="Q178" s="24" t="n"/>
    </row>
    <row r="179" ht="15" customHeight="1">
      <c r="A179" s="63">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4" t="n"/>
      <c r="M179" s="24" t="n"/>
      <c r="N179" s="25">
        <f>IF(M179="","",HYPERLINK(IF(LEFT(M179,4)="http",M179,set_QwilrBase&amp;M179),"Open quote"))</f>
        <v/>
      </c>
      <c r="O179" s="64" t="n"/>
      <c r="P179" s="24" t="n"/>
      <c r="Q179" s="24" t="n"/>
    </row>
    <row r="180" ht="15" customHeight="1">
      <c r="A180" s="63">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4" t="n"/>
      <c r="M180" s="24" t="n"/>
      <c r="N180" s="25">
        <f>IF(M180="","",HYPERLINK(IF(LEFT(M180,4)="http",M180,set_QwilrBase&amp;M180),"Open quote"))</f>
        <v/>
      </c>
      <c r="O180" s="64" t="n"/>
      <c r="P180" s="24" t="n"/>
      <c r="Q180" s="24" t="n"/>
    </row>
    <row r="181" ht="15" customHeight="1">
      <c r="A181" s="63">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4" t="n"/>
      <c r="M181" s="24" t="n"/>
      <c r="N181" s="25">
        <f>IF(M181="","",HYPERLINK(IF(LEFT(M181,4)="http",M181,set_QwilrBase&amp;M181),"Open quote"))</f>
        <v/>
      </c>
      <c r="O181" s="64" t="n"/>
      <c r="P181" s="24" t="n"/>
      <c r="Q181" s="24" t="n"/>
    </row>
    <row r="182" ht="15" customHeight="1">
      <c r="A182" s="63">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4" t="n"/>
      <c r="M182" s="24" t="n"/>
      <c r="N182" s="25">
        <f>IF(M182="","",HYPERLINK(IF(LEFT(M182,4)="http",M182,set_QwilrBase&amp;M182),"Open quote"))</f>
        <v/>
      </c>
      <c r="O182" s="64" t="n"/>
      <c r="P182" s="24" t="n"/>
      <c r="Q182" s="24" t="n"/>
    </row>
    <row r="183" ht="15" customHeight="1">
      <c r="A183" s="63">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4" t="n"/>
      <c r="M183" s="24" t="n"/>
      <c r="N183" s="25">
        <f>IF(M183="","",HYPERLINK(IF(LEFT(M183,4)="http",M183,set_QwilrBase&amp;M183),"Open quote"))</f>
        <v/>
      </c>
      <c r="O183" s="64" t="n"/>
      <c r="P183" s="24" t="n"/>
      <c r="Q183" s="24" t="n"/>
    </row>
    <row r="184" ht="15" customHeight="1">
      <c r="A184" s="63">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4" t="n"/>
      <c r="M184" s="24" t="n"/>
      <c r="N184" s="25">
        <f>IF(M184="","",HYPERLINK(IF(LEFT(M184,4)="http",M184,set_QwilrBase&amp;M184),"Open quote"))</f>
        <v/>
      </c>
      <c r="O184" s="64" t="n"/>
      <c r="P184" s="24" t="n"/>
      <c r="Q184" s="24" t="n"/>
    </row>
    <row r="185" ht="15" customHeight="1">
      <c r="A185" s="63">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4" t="n"/>
      <c r="M185" s="24" t="n"/>
      <c r="N185" s="25">
        <f>IF(M185="","",HYPERLINK(IF(LEFT(M185,4)="http",M185,set_QwilrBase&amp;M185),"Open quote"))</f>
        <v/>
      </c>
      <c r="O185" s="64" t="n"/>
      <c r="P185" s="24" t="n"/>
      <c r="Q185" s="24" t="n"/>
    </row>
    <row r="186" ht="15" customHeight="1">
      <c r="A186" s="63">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4" t="n"/>
      <c r="M186" s="24" t="n"/>
      <c r="N186" s="25">
        <f>IF(M186="","",HYPERLINK(IF(LEFT(M186,4)="http",M186,set_QwilrBase&amp;M186),"Open quote"))</f>
        <v/>
      </c>
      <c r="O186" s="64" t="n"/>
      <c r="P186" s="24" t="n"/>
      <c r="Q186" s="24" t="n"/>
    </row>
    <row r="187" ht="15" customHeight="1">
      <c r="A187" s="63">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4" t="n"/>
      <c r="M187" s="24" t="n"/>
      <c r="N187" s="25">
        <f>IF(M187="","",HYPERLINK(IF(LEFT(M187,4)="http",M187,set_QwilrBase&amp;M187),"Open quote"))</f>
        <v/>
      </c>
      <c r="O187" s="64" t="n"/>
      <c r="P187" s="24" t="n"/>
      <c r="Q187" s="24" t="n"/>
    </row>
    <row r="188" ht="15" customHeight="1">
      <c r="A188" s="63">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4" t="n"/>
      <c r="M188" s="24" t="n"/>
      <c r="N188" s="25">
        <f>IF(M188="","",HYPERLINK(IF(LEFT(M188,4)="http",M188,set_QwilrBase&amp;M188),"Open quote"))</f>
        <v/>
      </c>
      <c r="O188" s="64" t="n"/>
      <c r="P188" s="24" t="n"/>
      <c r="Q188" s="24" t="n"/>
    </row>
    <row r="189" ht="15" customHeight="1">
      <c r="A189" s="63">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4" t="n"/>
      <c r="M189" s="24" t="n"/>
      <c r="N189" s="25">
        <f>IF(M189="","",HYPERLINK(IF(LEFT(M189,4)="http",M189,set_QwilrBase&amp;M189),"Open quote"))</f>
        <v/>
      </c>
      <c r="O189" s="64" t="n"/>
      <c r="P189" s="24" t="n"/>
      <c r="Q189" s="24" t="n"/>
    </row>
    <row r="190" ht="15" customHeight="1">
      <c r="A190" s="63">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4" t="n"/>
      <c r="M190" s="24" t="n"/>
      <c r="N190" s="25">
        <f>IF(M190="","",HYPERLINK(IF(LEFT(M190,4)="http",M190,set_QwilrBase&amp;M190),"Open quote"))</f>
        <v/>
      </c>
      <c r="O190" s="64" t="n"/>
      <c r="P190" s="24" t="n"/>
      <c r="Q190" s="24" t="n"/>
    </row>
    <row r="191" ht="15" customHeight="1">
      <c r="A191" s="63">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4" t="n"/>
      <c r="M191" s="24" t="n"/>
      <c r="N191" s="25">
        <f>IF(M191="","",HYPERLINK(IF(LEFT(M191,4)="http",M191,set_QwilrBase&amp;M191),"Open quote"))</f>
        <v/>
      </c>
      <c r="O191" s="64" t="n"/>
      <c r="P191" s="24" t="n"/>
      <c r="Q191" s="24" t="n"/>
    </row>
    <row r="192" ht="15" customHeight="1">
      <c r="A192" s="63">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4" t="n"/>
      <c r="M192" s="24" t="n"/>
      <c r="N192" s="25">
        <f>IF(M192="","",HYPERLINK(IF(LEFT(M192,4)="http",M192,set_QwilrBase&amp;M192),"Open quote"))</f>
        <v/>
      </c>
      <c r="O192" s="64" t="n"/>
      <c r="P192" s="24" t="n"/>
      <c r="Q192" s="24" t="n"/>
    </row>
    <row r="193" ht="15" customHeight="1">
      <c r="A193" s="63">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4" t="n"/>
      <c r="M193" s="24" t="n"/>
      <c r="N193" s="25">
        <f>IF(M193="","",HYPERLINK(IF(LEFT(M193,4)="http",M193,set_QwilrBase&amp;M193),"Open quote"))</f>
        <v/>
      </c>
      <c r="O193" s="64" t="n"/>
      <c r="P193" s="24" t="n"/>
      <c r="Q193" s="24" t="n"/>
    </row>
    <row r="194" ht="15" customHeight="1">
      <c r="A194" s="63">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4" t="n"/>
      <c r="M194" s="24" t="n"/>
      <c r="N194" s="25">
        <f>IF(M194="","",HYPERLINK(IF(LEFT(M194,4)="http",M194,set_QwilrBase&amp;M194),"Open quote"))</f>
        <v/>
      </c>
      <c r="O194" s="64" t="n"/>
      <c r="P194" s="24" t="n"/>
      <c r="Q194" s="24" t="n"/>
    </row>
    <row r="195" ht="15" customHeight="1">
      <c r="A195" s="63">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4" t="n"/>
      <c r="M195" s="24" t="n"/>
      <c r="N195" s="25">
        <f>IF(M195="","",HYPERLINK(IF(LEFT(M195,4)="http",M195,set_QwilrBase&amp;M195),"Open quote"))</f>
        <v/>
      </c>
      <c r="O195" s="64" t="n"/>
      <c r="P195" s="24" t="n"/>
      <c r="Q195" s="24" t="n"/>
    </row>
    <row r="196" ht="15" customHeight="1">
      <c r="A196" s="63">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4" t="n"/>
      <c r="M196" s="24" t="n"/>
      <c r="N196" s="25">
        <f>IF(M196="","",HYPERLINK(IF(LEFT(M196,4)="http",M196,set_QwilrBase&amp;M196),"Open quote"))</f>
        <v/>
      </c>
      <c r="O196" s="64" t="n"/>
      <c r="P196" s="24" t="n"/>
      <c r="Q196" s="24" t="n"/>
    </row>
    <row r="197" ht="15" customHeight="1">
      <c r="A197" s="63">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4" t="n"/>
      <c r="M197" s="24" t="n"/>
      <c r="N197" s="25">
        <f>IF(M197="","",HYPERLINK(IF(LEFT(M197,4)="http",M197,set_QwilrBase&amp;M197),"Open quote"))</f>
        <v/>
      </c>
      <c r="O197" s="64" t="n"/>
      <c r="P197" s="24" t="n"/>
      <c r="Q197" s="24" t="n"/>
    </row>
    <row r="198" ht="15" customHeight="1">
      <c r="A198" s="63">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4" t="n"/>
      <c r="M198" s="24" t="n"/>
      <c r="N198" s="25">
        <f>IF(M198="","",HYPERLINK(IF(LEFT(M198,4)="http",M198,set_QwilrBase&amp;M198),"Open quote"))</f>
        <v/>
      </c>
      <c r="O198" s="64" t="n"/>
      <c r="P198" s="24" t="n"/>
      <c r="Q198" s="24" t="n"/>
    </row>
    <row r="199" ht="15" customHeight="1">
      <c r="A199" s="63">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4" t="n"/>
      <c r="M199" s="24" t="n"/>
      <c r="N199" s="25">
        <f>IF(M199="","",HYPERLINK(IF(LEFT(M199,4)="http",M199,set_QwilrBase&amp;M199),"Open quote"))</f>
        <v/>
      </c>
      <c r="O199" s="64" t="n"/>
      <c r="P199" s="24" t="n"/>
      <c r="Q199" s="24" t="n"/>
    </row>
    <row r="200" ht="15" customHeight="1">
      <c r="A200" s="63">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4" t="n"/>
      <c r="M200" s="24" t="n"/>
      <c r="N200" s="25">
        <f>IF(M200="","",HYPERLINK(IF(LEFT(M200,4)="http",M200,set_QwilrBase&amp;M200),"Open quote"))</f>
        <v/>
      </c>
      <c r="O200" s="64" t="n"/>
      <c r="P200" s="24" t="n"/>
      <c r="Q200" s="24" t="n"/>
    </row>
    <row r="201" ht="15" customHeight="1">
      <c r="A201" s="63">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4" t="n"/>
      <c r="M201" s="24" t="n"/>
      <c r="N201" s="25">
        <f>IF(M201="","",HYPERLINK(IF(LEFT(M201,4)="http",M201,set_QwilrBase&amp;M201),"Open quote"))</f>
        <v/>
      </c>
      <c r="O201" s="64" t="n"/>
      <c r="P201" s="24" t="n"/>
      <c r="Q201" s="24" t="n"/>
    </row>
    <row r="202" ht="15" customHeight="1">
      <c r="A202" s="63">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4" t="n"/>
      <c r="M202" s="24" t="n"/>
      <c r="N202" s="25">
        <f>IF(M202="","",HYPERLINK(IF(LEFT(M202,4)="http",M202,set_QwilrBase&amp;M202),"Open quote"))</f>
        <v/>
      </c>
      <c r="O202" s="64" t="n"/>
      <c r="P202" s="24" t="n"/>
      <c r="Q202" s="24" t="n"/>
    </row>
    <row r="203" ht="15" customHeight="1">
      <c r="A203" s="63">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4" t="n"/>
      <c r="M203" s="24" t="n"/>
      <c r="N203" s="25">
        <f>IF(M203="","",HYPERLINK(IF(LEFT(M203,4)="http",M203,set_QwilrBase&amp;M203),"Open quote"))</f>
        <v/>
      </c>
      <c r="O203" s="64" t="n"/>
      <c r="P203" s="24" t="n"/>
      <c r="Q203" s="24" t="n"/>
    </row>
    <row r="204" ht="15" customHeight="1">
      <c r="A204" s="63">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4" t="n"/>
      <c r="M204" s="24" t="n"/>
      <c r="N204" s="25">
        <f>IF(M204="","",HYPERLINK(IF(LEFT(M204,4)="http",M204,set_QwilrBase&amp;M204),"Open quote"))</f>
        <v/>
      </c>
      <c r="O204" s="64" t="n"/>
      <c r="P204" s="24" t="n"/>
      <c r="Q204" s="24" t="n"/>
    </row>
    <row r="205" ht="15" customHeight="1">
      <c r="A205" s="63">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4" t="n"/>
      <c r="M205" s="24" t="n"/>
      <c r="N205" s="25">
        <f>IF(M205="","",HYPERLINK(IF(LEFT(M205,4)="http",M205,set_QwilrBase&amp;M205),"Open quote"))</f>
        <v/>
      </c>
      <c r="O205" s="64" t="n"/>
      <c r="P205" s="24" t="n"/>
      <c r="Q205" s="24" t="n"/>
    </row>
    <row r="206" ht="15" customHeight="1">
      <c r="A206" s="63">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4" t="n"/>
      <c r="M206" s="24" t="n"/>
      <c r="N206" s="25">
        <f>IF(M206="","",HYPERLINK(IF(LEFT(M206,4)="http",M206,set_QwilrBase&amp;M206),"Open quote"))</f>
        <v/>
      </c>
      <c r="O206" s="64" t="n"/>
      <c r="P206" s="24" t="n"/>
      <c r="Q206" s="24" t="n"/>
    </row>
    <row r="207" ht="15" customHeight="1">
      <c r="A207" s="63">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4" t="n"/>
      <c r="M207" s="24" t="n"/>
      <c r="N207" s="25">
        <f>IF(M207="","",HYPERLINK(IF(LEFT(M207,4)="http",M207,set_QwilrBase&amp;M207),"Open quote"))</f>
        <v/>
      </c>
      <c r="O207" s="64" t="n"/>
      <c r="P207" s="24" t="n"/>
      <c r="Q207" s="24" t="n"/>
    </row>
    <row r="208" ht="15" customHeight="1">
      <c r="A208" s="63">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4" t="n"/>
      <c r="M208" s="24" t="n"/>
      <c r="N208" s="25">
        <f>IF(M208="","",HYPERLINK(IF(LEFT(M208,4)="http",M208,set_QwilrBase&amp;M208),"Open quote"))</f>
        <v/>
      </c>
      <c r="O208" s="64" t="n"/>
      <c r="P208" s="24" t="n"/>
      <c r="Q208" s="24" t="n"/>
    </row>
    <row r="209" ht="15" customHeight="1">
      <c r="A209" s="63">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4" t="n"/>
      <c r="M209" s="24" t="n"/>
      <c r="N209" s="25">
        <f>IF(M209="","",HYPERLINK(IF(LEFT(M209,4)="http",M209,set_QwilrBase&amp;M209),"Open quote"))</f>
        <v/>
      </c>
      <c r="O209" s="64" t="n"/>
      <c r="P209" s="24" t="n"/>
      <c r="Q209" s="24" t="n"/>
    </row>
    <row r="210" ht="15" customHeight="1">
      <c r="A210" s="63">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4" t="n"/>
      <c r="M210" s="24" t="n"/>
      <c r="N210" s="25">
        <f>IF(M210="","",HYPERLINK(IF(LEFT(M210,4)="http",M210,set_QwilrBase&amp;M210),"Open quote"))</f>
        <v/>
      </c>
      <c r="O210" s="64" t="n"/>
      <c r="P210" s="24" t="n"/>
      <c r="Q210" s="24" t="n"/>
    </row>
    <row r="211" ht="15" customHeight="1">
      <c r="A211" s="63">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4" t="n"/>
      <c r="M211" s="24" t="n"/>
      <c r="N211" s="25">
        <f>IF(M211="","",HYPERLINK(IF(LEFT(M211,4)="http",M211,set_QwilrBase&amp;M211),"Open quote"))</f>
        <v/>
      </c>
      <c r="O211" s="64" t="n"/>
      <c r="P211" s="24" t="n"/>
      <c r="Q211" s="24" t="n"/>
    </row>
    <row r="212" ht="15" customHeight="1">
      <c r="A212" s="63">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4" t="n"/>
      <c r="M212" s="24" t="n"/>
      <c r="N212" s="25">
        <f>IF(M212="","",HYPERLINK(IF(LEFT(M212,4)="http",M212,set_QwilrBase&amp;M212),"Open quote"))</f>
        <v/>
      </c>
      <c r="O212" s="64" t="n"/>
      <c r="P212" s="24" t="n"/>
      <c r="Q212" s="24" t="n"/>
    </row>
    <row r="213" ht="15" customHeight="1">
      <c r="A213" s="63">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4" t="n"/>
      <c r="M213" s="24" t="n"/>
      <c r="N213" s="25">
        <f>IF(M213="","",HYPERLINK(IF(LEFT(M213,4)="http",M213,set_QwilrBase&amp;M213),"Open quote"))</f>
        <v/>
      </c>
      <c r="O213" s="64" t="n"/>
      <c r="P213" s="24" t="n"/>
      <c r="Q213" s="24" t="n"/>
    </row>
    <row r="214" ht="15" customHeight="1">
      <c r="A214" s="63">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4" t="n"/>
      <c r="M214" s="24" t="n"/>
      <c r="N214" s="25">
        <f>IF(M214="","",HYPERLINK(IF(LEFT(M214,4)="http",M214,set_QwilrBase&amp;M214),"Open quote"))</f>
        <v/>
      </c>
      <c r="O214" s="64" t="n"/>
      <c r="P214" s="24" t="n"/>
      <c r="Q214" s="24" t="n"/>
    </row>
    <row r="215" ht="15" customHeight="1">
      <c r="A215" s="63">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4" t="n"/>
      <c r="M215" s="24" t="n"/>
      <c r="N215" s="25">
        <f>IF(M215="","",HYPERLINK(IF(LEFT(M215,4)="http",M215,set_QwilrBase&amp;M215),"Open quote"))</f>
        <v/>
      </c>
      <c r="O215" s="64" t="n"/>
      <c r="P215" s="24" t="n"/>
      <c r="Q215" s="24" t="n"/>
    </row>
    <row r="216" ht="15" customHeight="1">
      <c r="A216" s="63">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4" t="n"/>
      <c r="M216" s="24" t="n"/>
      <c r="N216" s="25">
        <f>IF(M216="","",HYPERLINK(IF(LEFT(M216,4)="http",M216,set_QwilrBase&amp;M216),"Open quote"))</f>
        <v/>
      </c>
      <c r="O216" s="64" t="n"/>
      <c r="P216" s="24" t="n"/>
      <c r="Q216" s="24" t="n"/>
    </row>
    <row r="217" ht="15" customHeight="1">
      <c r="A217" s="63">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4" t="n"/>
      <c r="M217" s="24" t="n"/>
      <c r="N217" s="25">
        <f>IF(M217="","",HYPERLINK(IF(LEFT(M217,4)="http",M217,set_QwilrBase&amp;M217),"Open quote"))</f>
        <v/>
      </c>
      <c r="O217" s="64" t="n"/>
      <c r="P217" s="24" t="n"/>
      <c r="Q217" s="24" t="n"/>
    </row>
    <row r="218" ht="15" customHeight="1">
      <c r="A218" s="63">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4" t="n"/>
      <c r="M218" s="24" t="n"/>
      <c r="N218" s="25">
        <f>IF(M218="","",HYPERLINK(IF(LEFT(M218,4)="http",M218,set_QwilrBase&amp;M218),"Open quote"))</f>
        <v/>
      </c>
      <c r="O218" s="64" t="n"/>
      <c r="P218" s="24" t="n"/>
      <c r="Q218" s="24" t="n"/>
    </row>
    <row r="219" ht="15" customHeight="1">
      <c r="A219" s="63">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4" t="n"/>
      <c r="M219" s="24" t="n"/>
      <c r="N219" s="25">
        <f>IF(M219="","",HYPERLINK(IF(LEFT(M219,4)="http",M219,set_QwilrBase&amp;M219),"Open quote"))</f>
        <v/>
      </c>
      <c r="O219" s="64" t="n"/>
      <c r="P219" s="24" t="n"/>
      <c r="Q219" s="24" t="n"/>
    </row>
    <row r="220" ht="15" customHeight="1">
      <c r="A220" s="63">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4" t="n"/>
      <c r="M220" s="24" t="n"/>
      <c r="N220" s="25">
        <f>IF(M220="","",HYPERLINK(IF(LEFT(M220,4)="http",M220,set_QwilrBase&amp;M220),"Open quote"))</f>
        <v/>
      </c>
      <c r="O220" s="64" t="n"/>
      <c r="P220" s="24" t="n"/>
      <c r="Q220" s="24" t="n"/>
    </row>
    <row r="221" ht="15" customHeight="1">
      <c r="A221" s="63">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4" t="n"/>
      <c r="M221" s="24" t="n"/>
      <c r="N221" s="25">
        <f>IF(M221="","",HYPERLINK(IF(LEFT(M221,4)="http",M221,set_QwilrBase&amp;M221),"Open quote"))</f>
        <v/>
      </c>
      <c r="O221" s="64" t="n"/>
      <c r="P221" s="24" t="n"/>
      <c r="Q221" s="24" t="n"/>
    </row>
    <row r="222" ht="15" customHeight="1">
      <c r="A222" s="63">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4" t="n"/>
      <c r="M222" s="24" t="n"/>
      <c r="N222" s="25">
        <f>IF(M222="","",HYPERLINK(IF(LEFT(M222,4)="http",M222,set_QwilrBase&amp;M222),"Open quote"))</f>
        <v/>
      </c>
      <c r="O222" s="64" t="n"/>
      <c r="P222" s="24" t="n"/>
      <c r="Q222" s="24" t="n"/>
    </row>
    <row r="223" ht="15" customHeight="1">
      <c r="A223" s="63">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4" t="n"/>
      <c r="M223" s="24" t="n"/>
      <c r="N223" s="25">
        <f>IF(M223="","",HYPERLINK(IF(LEFT(M223,4)="http",M223,set_QwilrBase&amp;M223),"Open quote"))</f>
        <v/>
      </c>
      <c r="O223" s="64" t="n"/>
      <c r="P223" s="24" t="n"/>
      <c r="Q223" s="24" t="n"/>
    </row>
    <row r="224" ht="15" customHeight="1">
      <c r="A224" s="63">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4" t="n"/>
      <c r="M224" s="24" t="n"/>
      <c r="N224" s="25">
        <f>IF(M224="","",HYPERLINK(IF(LEFT(M224,4)="http",M224,set_QwilrBase&amp;M224),"Open quote"))</f>
        <v/>
      </c>
      <c r="O224" s="64" t="n"/>
      <c r="P224" s="24" t="n"/>
      <c r="Q224" s="24" t="n"/>
    </row>
    <row r="225" ht="15" customHeight="1">
      <c r="A225" s="63">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4" t="n"/>
      <c r="M225" s="24" t="n"/>
      <c r="N225" s="25">
        <f>IF(M225="","",HYPERLINK(IF(LEFT(M225,4)="http",M225,set_QwilrBase&amp;M225),"Open quote"))</f>
        <v/>
      </c>
      <c r="O225" s="64" t="n"/>
      <c r="P225" s="24" t="n"/>
      <c r="Q225" s="24" t="n"/>
    </row>
    <row r="226" ht="15" customHeight="1">
      <c r="A226" s="63">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4" t="n"/>
      <c r="M226" s="24" t="n"/>
      <c r="N226" s="25">
        <f>IF(M226="","",HYPERLINK(IF(LEFT(M226,4)="http",M226,set_QwilrBase&amp;M226),"Open quote"))</f>
        <v/>
      </c>
      <c r="O226" s="64" t="n"/>
      <c r="P226" s="24" t="n"/>
      <c r="Q226" s="24" t="n"/>
    </row>
    <row r="227" ht="15" customHeight="1">
      <c r="A227" s="63">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4" t="n"/>
      <c r="M227" s="24" t="n"/>
      <c r="N227" s="25">
        <f>IF(M227="","",HYPERLINK(IF(LEFT(M227,4)="http",M227,set_QwilrBase&amp;M227),"Open quote"))</f>
        <v/>
      </c>
      <c r="O227" s="64" t="n"/>
      <c r="P227" s="24" t="n"/>
      <c r="Q227" s="24" t="n"/>
    </row>
    <row r="228" ht="15" customHeight="1">
      <c r="A228" s="63">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4" t="n"/>
      <c r="M228" s="24" t="n"/>
      <c r="N228" s="25">
        <f>IF(M228="","",HYPERLINK(IF(LEFT(M228,4)="http",M228,set_QwilrBase&amp;M228),"Open quote"))</f>
        <v/>
      </c>
      <c r="O228" s="64" t="n"/>
      <c r="P228" s="24" t="n"/>
      <c r="Q228" s="24" t="n"/>
    </row>
    <row r="229" ht="15" customHeight="1">
      <c r="A229" s="63">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4" t="n"/>
      <c r="M229" s="24" t="n"/>
      <c r="N229" s="25">
        <f>IF(M229="","",HYPERLINK(IF(LEFT(M229,4)="http",M229,set_QwilrBase&amp;M229),"Open quote"))</f>
        <v/>
      </c>
      <c r="O229" s="64" t="n"/>
      <c r="P229" s="24" t="n"/>
      <c r="Q229" s="24" t="n"/>
    </row>
    <row r="230" ht="15" customHeight="1">
      <c r="A230" s="63">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4" t="n"/>
      <c r="M230" s="24" t="n"/>
      <c r="N230" s="25">
        <f>IF(M230="","",HYPERLINK(IF(LEFT(M230,4)="http",M230,set_QwilrBase&amp;M230),"Open quote"))</f>
        <v/>
      </c>
      <c r="O230" s="64" t="n"/>
      <c r="P230" s="24" t="n"/>
      <c r="Q230" s="24" t="n"/>
    </row>
    <row r="231" ht="15" customHeight="1">
      <c r="A231" s="63">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4" t="n"/>
      <c r="M231" s="24" t="n"/>
      <c r="N231" s="25">
        <f>IF(M231="","",HYPERLINK(IF(LEFT(M231,4)="http",M231,set_QwilrBase&amp;M231),"Open quote"))</f>
        <v/>
      </c>
      <c r="O231" s="64" t="n"/>
      <c r="P231" s="24" t="n"/>
      <c r="Q231" s="24" t="n"/>
    </row>
    <row r="232" ht="15" customHeight="1">
      <c r="A232" s="63">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4" t="n"/>
      <c r="M232" s="24" t="n"/>
      <c r="N232" s="25">
        <f>IF(M232="","",HYPERLINK(IF(LEFT(M232,4)="http",M232,set_QwilrBase&amp;M232),"Open quote"))</f>
        <v/>
      </c>
      <c r="O232" s="64" t="n"/>
      <c r="P232" s="24" t="n"/>
      <c r="Q232" s="24" t="n"/>
    </row>
    <row r="233" ht="15" customHeight="1">
      <c r="A233" s="63">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4" t="n"/>
      <c r="M233" s="24" t="n"/>
      <c r="N233" s="25">
        <f>IF(M233="","",HYPERLINK(IF(LEFT(M233,4)="http",M233,set_QwilrBase&amp;M233),"Open quote"))</f>
        <v/>
      </c>
      <c r="O233" s="64" t="n"/>
      <c r="P233" s="24" t="n"/>
      <c r="Q233" s="24" t="n"/>
    </row>
    <row r="234" ht="15" customHeight="1">
      <c r="A234" s="63">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4" t="n"/>
      <c r="M234" s="24" t="n"/>
      <c r="N234" s="25">
        <f>IF(M234="","",HYPERLINK(IF(LEFT(M234,4)="http",M234,set_QwilrBase&amp;M234),"Open quote"))</f>
        <v/>
      </c>
      <c r="O234" s="64" t="n"/>
      <c r="P234" s="24" t="n"/>
      <c r="Q234" s="24" t="n"/>
    </row>
    <row r="235" ht="15" customHeight="1">
      <c r="A235" s="63">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4" t="n"/>
      <c r="M235" s="24" t="n"/>
      <c r="N235" s="25">
        <f>IF(M235="","",HYPERLINK(IF(LEFT(M235,4)="http",M235,set_QwilrBase&amp;M235),"Open quote"))</f>
        <v/>
      </c>
      <c r="O235" s="64" t="n"/>
      <c r="P235" s="24" t="n"/>
      <c r="Q235" s="24" t="n"/>
    </row>
    <row r="236" ht="15" customHeight="1">
      <c r="A236" s="63">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4" t="n"/>
      <c r="M236" s="24" t="n"/>
      <c r="N236" s="25">
        <f>IF(M236="","",HYPERLINK(IF(LEFT(M236,4)="http",M236,set_QwilrBase&amp;M236),"Open quote"))</f>
        <v/>
      </c>
      <c r="O236" s="64" t="n"/>
      <c r="P236" s="24" t="n"/>
      <c r="Q236" s="24" t="n"/>
    </row>
    <row r="237" ht="15" customHeight="1">
      <c r="A237" s="63">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4" t="n"/>
      <c r="M237" s="24" t="n"/>
      <c r="N237" s="25">
        <f>IF(M237="","",HYPERLINK(IF(LEFT(M237,4)="http",M237,set_QwilrBase&amp;M237),"Open quote"))</f>
        <v/>
      </c>
      <c r="O237" s="64" t="n"/>
      <c r="P237" s="24" t="n"/>
      <c r="Q237" s="24" t="n"/>
    </row>
    <row r="238" ht="15" customHeight="1">
      <c r="A238" s="63">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4" t="n"/>
      <c r="M238" s="24" t="n"/>
      <c r="N238" s="25">
        <f>IF(M238="","",HYPERLINK(IF(LEFT(M238,4)="http",M238,set_QwilrBase&amp;M238),"Open quote"))</f>
        <v/>
      </c>
      <c r="O238" s="64" t="n"/>
      <c r="P238" s="24" t="n"/>
      <c r="Q238" s="24" t="n"/>
    </row>
    <row r="239" ht="15" customHeight="1">
      <c r="A239" s="63">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4" t="n"/>
      <c r="M239" s="24" t="n"/>
      <c r="N239" s="25">
        <f>IF(M239="","",HYPERLINK(IF(LEFT(M239,4)="http",M239,set_QwilrBase&amp;M239),"Open quote"))</f>
        <v/>
      </c>
      <c r="O239" s="64" t="n"/>
      <c r="P239" s="24" t="n"/>
      <c r="Q239" s="24" t="n"/>
    </row>
    <row r="240" ht="15" customHeight="1">
      <c r="A240" s="63">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4" t="n"/>
      <c r="M240" s="24" t="n"/>
      <c r="N240" s="25">
        <f>IF(M240="","",HYPERLINK(IF(LEFT(M240,4)="http",M240,set_QwilrBase&amp;M240),"Open quote"))</f>
        <v/>
      </c>
      <c r="O240" s="64" t="n"/>
      <c r="P240" s="24" t="n"/>
      <c r="Q240" s="24" t="n"/>
    </row>
    <row r="241" ht="15" customHeight="1">
      <c r="A241" s="63">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4" t="n"/>
      <c r="M241" s="24" t="n"/>
      <c r="N241" s="25">
        <f>IF(M241="","",HYPERLINK(IF(LEFT(M241,4)="http",M241,set_QwilrBase&amp;M241),"Open quote"))</f>
        <v/>
      </c>
      <c r="O241" s="64" t="n"/>
      <c r="P241" s="24" t="n"/>
      <c r="Q241" s="24" t="n"/>
    </row>
    <row r="242" ht="15" customHeight="1">
      <c r="A242" s="63">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4" t="n"/>
      <c r="M242" s="24" t="n"/>
      <c r="N242" s="25">
        <f>IF(M242="","",HYPERLINK(IF(LEFT(M242,4)="http",M242,set_QwilrBase&amp;M242),"Open quote"))</f>
        <v/>
      </c>
      <c r="O242" s="64" t="n"/>
      <c r="P242" s="24" t="n"/>
      <c r="Q242" s="24" t="n"/>
    </row>
    <row r="243" ht="15" customHeight="1">
      <c r="A243" s="63">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4" t="n"/>
      <c r="M243" s="24" t="n"/>
      <c r="N243" s="25">
        <f>IF(M243="","",HYPERLINK(IF(LEFT(M243,4)="http",M243,set_QwilrBase&amp;M243),"Open quote"))</f>
        <v/>
      </c>
      <c r="O243" s="64" t="n"/>
      <c r="P243" s="24" t="n"/>
      <c r="Q243" s="24" t="n"/>
    </row>
    <row r="244" ht="15" customHeight="1">
      <c r="A244" s="63">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4" t="n"/>
      <c r="M244" s="24" t="n"/>
      <c r="N244" s="25">
        <f>IF(M244="","",HYPERLINK(IF(LEFT(M244,4)="http",M244,set_QwilrBase&amp;M244),"Open quote"))</f>
        <v/>
      </c>
      <c r="O244" s="64" t="n"/>
      <c r="P244" s="24" t="n"/>
      <c r="Q244" s="24" t="n"/>
    </row>
    <row r="245" ht="15" customHeight="1">
      <c r="A245" s="63">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4" t="n"/>
      <c r="M245" s="24" t="n"/>
      <c r="N245" s="25">
        <f>IF(M245="","",HYPERLINK(IF(LEFT(M245,4)="http",M245,set_QwilrBase&amp;M245),"Open quote"))</f>
        <v/>
      </c>
      <c r="O245" s="64" t="n"/>
      <c r="P245" s="24" t="n"/>
      <c r="Q245" s="24" t="n"/>
    </row>
    <row r="246" ht="15" customHeight="1">
      <c r="A246" s="63">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4" t="n"/>
      <c r="M246" s="24" t="n"/>
      <c r="N246" s="25">
        <f>IF(M246="","",HYPERLINK(IF(LEFT(M246,4)="http",M246,set_QwilrBase&amp;M246),"Open quote"))</f>
        <v/>
      </c>
      <c r="O246" s="64" t="n"/>
      <c r="P246" s="24" t="n"/>
      <c r="Q246" s="24" t="n"/>
    </row>
    <row r="247" ht="15" customHeight="1">
      <c r="A247" s="63">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4" t="n"/>
      <c r="M247" s="24" t="n"/>
      <c r="N247" s="25">
        <f>IF(M247="","",HYPERLINK(IF(LEFT(M247,4)="http",M247,set_QwilrBase&amp;M247),"Open quote"))</f>
        <v/>
      </c>
      <c r="O247" s="64" t="n"/>
      <c r="P247" s="24" t="n"/>
      <c r="Q247" s="24" t="n"/>
    </row>
    <row r="248" ht="15" customHeight="1">
      <c r="A248" s="63">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4" t="n"/>
      <c r="M248" s="24" t="n"/>
      <c r="N248" s="25">
        <f>IF(M248="","",HYPERLINK(IF(LEFT(M248,4)="http",M248,set_QwilrBase&amp;M248),"Open quote"))</f>
        <v/>
      </c>
      <c r="O248" s="64" t="n"/>
      <c r="P248" s="24" t="n"/>
      <c r="Q248" s="24" t="n"/>
    </row>
    <row r="249" ht="15" customHeight="1">
      <c r="A249" s="63">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4" t="n"/>
      <c r="M249" s="24" t="n"/>
      <c r="N249" s="25">
        <f>IF(M249="","",HYPERLINK(IF(LEFT(M249,4)="http",M249,set_QwilrBase&amp;M249),"Open quote"))</f>
        <v/>
      </c>
      <c r="O249" s="64" t="n"/>
      <c r="P249" s="24" t="n"/>
      <c r="Q249" s="24" t="n"/>
    </row>
    <row r="250" ht="15" customHeight="1">
      <c r="A250" s="63">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4" t="n"/>
      <c r="M250" s="24" t="n"/>
      <c r="N250" s="25">
        <f>IF(M250="","",HYPERLINK(IF(LEFT(M250,4)="http",M250,set_QwilrBase&amp;M250),"Open quote"))</f>
        <v/>
      </c>
      <c r="O250" s="64" t="n"/>
      <c r="P250" s="24" t="n"/>
      <c r="Q250" s="24" t="n"/>
    </row>
    <row r="251" ht="15" customHeight="1">
      <c r="A251" s="63">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4" t="n"/>
      <c r="M251" s="24" t="n"/>
      <c r="N251" s="25">
        <f>IF(M251="","",HYPERLINK(IF(LEFT(M251,4)="http",M251,set_QwilrBase&amp;M251),"Open quote"))</f>
        <v/>
      </c>
      <c r="O251" s="64" t="n"/>
      <c r="P251" s="24" t="n"/>
      <c r="Q251" s="24" t="n"/>
    </row>
    <row r="252" ht="15" customHeight="1">
      <c r="A252" s="63">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4" t="n"/>
      <c r="M252" s="24" t="n"/>
      <c r="N252" s="25">
        <f>IF(M252="","",HYPERLINK(IF(LEFT(M252,4)="http",M252,set_QwilrBase&amp;M252),"Open quote"))</f>
        <v/>
      </c>
      <c r="O252" s="64" t="n"/>
      <c r="P252" s="24" t="n"/>
      <c r="Q252" s="24" t="n"/>
    </row>
    <row r="253" ht="15" customHeight="1">
      <c r="A253" s="63">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4" t="n"/>
      <c r="M253" s="24" t="n"/>
      <c r="N253" s="25">
        <f>IF(M253="","",HYPERLINK(IF(LEFT(M253,4)="http",M253,set_QwilrBase&amp;M253),"Open quote"))</f>
        <v/>
      </c>
      <c r="O253" s="64" t="n"/>
      <c r="P253" s="24" t="n"/>
      <c r="Q253" s="24" t="n"/>
    </row>
    <row r="254" ht="15" customHeight="1">
      <c r="A254" s="63">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4" t="n"/>
      <c r="M254" s="24" t="n"/>
      <c r="N254" s="25">
        <f>IF(M254="","",HYPERLINK(IF(LEFT(M254,4)="http",M254,set_QwilrBase&amp;M254),"Open quote"))</f>
        <v/>
      </c>
      <c r="O254" s="64" t="n"/>
      <c r="P254" s="24" t="n"/>
      <c r="Q254" s="24" t="n"/>
    </row>
    <row r="255" ht="15" customHeight="1">
      <c r="A255" s="63">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4" t="n"/>
      <c r="M255" s="24" t="n"/>
      <c r="N255" s="25">
        <f>IF(M255="","",HYPERLINK(IF(LEFT(M255,4)="http",M255,set_QwilrBase&amp;M255),"Open quote"))</f>
        <v/>
      </c>
      <c r="O255" s="64" t="n"/>
      <c r="P255" s="24" t="n"/>
      <c r="Q255" s="24" t="n"/>
    </row>
    <row r="256" ht="15" customHeight="1">
      <c r="A256" s="63">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4" t="n"/>
      <c r="M256" s="24" t="n"/>
      <c r="N256" s="25">
        <f>IF(M256="","",HYPERLINK(IF(LEFT(M256,4)="http",M256,set_QwilrBase&amp;M256),"Open quote"))</f>
        <v/>
      </c>
      <c r="O256" s="64" t="n"/>
      <c r="P256" s="24" t="n"/>
      <c r="Q256" s="24" t="n"/>
    </row>
    <row r="257" ht="15" customHeight="1">
      <c r="A257" s="63">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4" t="n"/>
      <c r="M257" s="24" t="n"/>
      <c r="N257" s="25">
        <f>IF(M257="","",HYPERLINK(IF(LEFT(M257,4)="http",M257,set_QwilrBase&amp;M257),"Open quote"))</f>
        <v/>
      </c>
      <c r="O257" s="64" t="n"/>
      <c r="P257" s="24" t="n"/>
      <c r="Q257" s="24" t="n"/>
    </row>
    <row r="258" ht="15" customHeight="1">
      <c r="A258" s="63">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4" t="n"/>
      <c r="M258" s="24" t="n"/>
      <c r="N258" s="25">
        <f>IF(M258="","",HYPERLINK(IF(LEFT(M258,4)="http",M258,set_QwilrBase&amp;M258),"Open quote"))</f>
        <v/>
      </c>
      <c r="O258" s="64" t="n"/>
      <c r="P258" s="24" t="n"/>
      <c r="Q258" s="24" t="n"/>
    </row>
    <row r="259" ht="15" customHeight="1">
      <c r="A259" s="63">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4" t="n"/>
      <c r="M259" s="24" t="n"/>
      <c r="N259" s="25">
        <f>IF(M259="","",HYPERLINK(IF(LEFT(M259,4)="http",M259,set_QwilrBase&amp;M259),"Open quote"))</f>
        <v/>
      </c>
      <c r="O259" s="64" t="n"/>
      <c r="P259" s="24" t="n"/>
      <c r="Q259" s="24" t="n"/>
    </row>
    <row r="260" ht="15" customHeight="1">
      <c r="A260" s="63">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4" t="n"/>
      <c r="M260" s="24" t="n"/>
      <c r="N260" s="25">
        <f>IF(M260="","",HYPERLINK(IF(LEFT(M260,4)="http",M260,set_QwilrBase&amp;M260),"Open quote"))</f>
        <v/>
      </c>
      <c r="O260" s="64" t="n"/>
      <c r="P260" s="24" t="n"/>
      <c r="Q260" s="24" t="n"/>
    </row>
    <row r="261" ht="15" customHeight="1">
      <c r="A261" s="63">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4" t="n"/>
      <c r="M261" s="24" t="n"/>
      <c r="N261" s="25">
        <f>IF(M261="","",HYPERLINK(IF(LEFT(M261,4)="http",M261,set_QwilrBase&amp;M261),"Open quote"))</f>
        <v/>
      </c>
      <c r="O261" s="64" t="n"/>
      <c r="P261" s="24" t="n"/>
      <c r="Q261" s="24" t="n"/>
    </row>
    <row r="262" ht="15" customHeight="1">
      <c r="A262" s="63">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4" t="n"/>
      <c r="M262" s="24" t="n"/>
      <c r="N262" s="25">
        <f>IF(M262="","",HYPERLINK(IF(LEFT(M262,4)="http",M262,set_QwilrBase&amp;M262),"Open quote"))</f>
        <v/>
      </c>
      <c r="O262" s="64" t="n"/>
      <c r="P262" s="24" t="n"/>
      <c r="Q262" s="24" t="n"/>
    </row>
    <row r="263" ht="15" customHeight="1">
      <c r="A263" s="63">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4" t="n"/>
      <c r="M263" s="24" t="n"/>
      <c r="N263" s="25">
        <f>IF(M263="","",HYPERLINK(IF(LEFT(M263,4)="http",M263,set_QwilrBase&amp;M263),"Open quote"))</f>
        <v/>
      </c>
      <c r="O263" s="64" t="n"/>
      <c r="P263" s="24" t="n"/>
      <c r="Q263" s="24" t="n"/>
    </row>
    <row r="264" ht="15" customHeight="1">
      <c r="A264" s="63">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4" t="n"/>
      <c r="M264" s="24" t="n"/>
      <c r="N264" s="25">
        <f>IF(M264="","",HYPERLINK(IF(LEFT(M264,4)="http",M264,set_QwilrBase&amp;M264),"Open quote"))</f>
        <v/>
      </c>
      <c r="O264" s="64" t="n"/>
      <c r="P264" s="24" t="n"/>
      <c r="Q264" s="24" t="n"/>
    </row>
    <row r="265" ht="15" customHeight="1">
      <c r="A265" s="63">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4" t="n"/>
      <c r="M265" s="24" t="n"/>
      <c r="N265" s="25">
        <f>IF(M265="","",HYPERLINK(IF(LEFT(M265,4)="http",M265,set_QwilrBase&amp;M265),"Open quote"))</f>
        <v/>
      </c>
      <c r="O265" s="64" t="n"/>
      <c r="P265" s="24" t="n"/>
      <c r="Q265" s="24" t="n"/>
    </row>
    <row r="266" ht="15" customHeight="1">
      <c r="A266" s="63">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4" t="n"/>
      <c r="M266" s="24" t="n"/>
      <c r="N266" s="25">
        <f>IF(M266="","",HYPERLINK(IF(LEFT(M266,4)="http",M266,set_QwilrBase&amp;M266),"Open quote"))</f>
        <v/>
      </c>
      <c r="O266" s="64" t="n"/>
      <c r="P266" s="24" t="n"/>
      <c r="Q266" s="24" t="n"/>
    </row>
    <row r="267" ht="15" customHeight="1">
      <c r="A267" s="63">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4" t="n"/>
      <c r="M267" s="24" t="n"/>
      <c r="N267" s="25">
        <f>IF(M267="","",HYPERLINK(IF(LEFT(M267,4)="http",M267,set_QwilrBase&amp;M267),"Open quote"))</f>
        <v/>
      </c>
      <c r="O267" s="64" t="n"/>
      <c r="P267" s="24" t="n"/>
      <c r="Q267" s="24" t="n"/>
    </row>
    <row r="268" ht="15" customHeight="1">
      <c r="A268" s="63">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4" t="n"/>
      <c r="M268" s="24" t="n"/>
      <c r="N268" s="25">
        <f>IF(M268="","",HYPERLINK(IF(LEFT(M268,4)="http",M268,set_QwilrBase&amp;M268),"Open quote"))</f>
        <v/>
      </c>
      <c r="O268" s="64" t="n"/>
      <c r="P268" s="24" t="n"/>
      <c r="Q268" s="24" t="n"/>
    </row>
    <row r="269" ht="15" customHeight="1">
      <c r="A269" s="63">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4" t="n"/>
      <c r="M269" s="24" t="n"/>
      <c r="N269" s="25">
        <f>IF(M269="","",HYPERLINK(IF(LEFT(M269,4)="http",M269,set_QwilrBase&amp;M269),"Open quote"))</f>
        <v/>
      </c>
      <c r="O269" s="64" t="n"/>
      <c r="P269" s="24" t="n"/>
      <c r="Q269" s="24" t="n"/>
    </row>
    <row r="270" ht="15" customHeight="1">
      <c r="A270" s="63">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4" t="n"/>
      <c r="M270" s="24" t="n"/>
      <c r="N270" s="25">
        <f>IF(M270="","",HYPERLINK(IF(LEFT(M270,4)="http",M270,set_QwilrBase&amp;M270),"Open quote"))</f>
        <v/>
      </c>
      <c r="O270" s="64" t="n"/>
      <c r="P270" s="24" t="n"/>
      <c r="Q270" s="24" t="n"/>
    </row>
    <row r="271" ht="15" customHeight="1">
      <c r="A271" s="63">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4" t="n"/>
      <c r="M271" s="24" t="n"/>
      <c r="N271" s="25">
        <f>IF(M271="","",HYPERLINK(IF(LEFT(M271,4)="http",M271,set_QwilrBase&amp;M271),"Open quote"))</f>
        <v/>
      </c>
      <c r="O271" s="64" t="n"/>
      <c r="P271" s="24" t="n"/>
      <c r="Q271" s="24" t="n"/>
    </row>
    <row r="272" ht="15" customHeight="1">
      <c r="A272" s="63">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4" t="n"/>
      <c r="M272" s="24" t="n"/>
      <c r="N272" s="25">
        <f>IF(M272="","",HYPERLINK(IF(LEFT(M272,4)="http",M272,set_QwilrBase&amp;M272),"Open quote"))</f>
        <v/>
      </c>
      <c r="O272" s="64" t="n"/>
      <c r="P272" s="24" t="n"/>
      <c r="Q272" s="24" t="n"/>
    </row>
    <row r="273" ht="15" customHeight="1">
      <c r="A273" s="63">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4" t="n"/>
      <c r="M273" s="24" t="n"/>
      <c r="N273" s="25">
        <f>IF(M273="","",HYPERLINK(IF(LEFT(M273,4)="http",M273,set_QwilrBase&amp;M273),"Open quote"))</f>
        <v/>
      </c>
      <c r="O273" s="64" t="n"/>
      <c r="P273" s="24" t="n"/>
      <c r="Q273" s="24" t="n"/>
    </row>
    <row r="274" ht="15" customHeight="1">
      <c r="A274" s="63">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4" t="n"/>
      <c r="M274" s="24" t="n"/>
      <c r="N274" s="25">
        <f>IF(M274="","",HYPERLINK(IF(LEFT(M274,4)="http",M274,set_QwilrBase&amp;M274),"Open quote"))</f>
        <v/>
      </c>
      <c r="O274" s="64" t="n"/>
      <c r="P274" s="24" t="n"/>
      <c r="Q274" s="24" t="n"/>
    </row>
    <row r="275" ht="15" customHeight="1">
      <c r="A275" s="63">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4" t="n"/>
      <c r="M275" s="24" t="n"/>
      <c r="N275" s="25">
        <f>IF(M275="","",HYPERLINK(IF(LEFT(M275,4)="http",M275,set_QwilrBase&amp;M275),"Open quote"))</f>
        <v/>
      </c>
      <c r="O275" s="64" t="n"/>
      <c r="P275" s="24" t="n"/>
      <c r="Q275" s="24" t="n"/>
    </row>
    <row r="276" ht="15" customHeight="1">
      <c r="A276" s="63">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4" t="n"/>
      <c r="M276" s="24" t="n"/>
      <c r="N276" s="25">
        <f>IF(M276="","",HYPERLINK(IF(LEFT(M276,4)="http",M276,set_QwilrBase&amp;M276),"Open quote"))</f>
        <v/>
      </c>
      <c r="O276" s="64" t="n"/>
      <c r="P276" s="24" t="n"/>
      <c r="Q276" s="24" t="n"/>
    </row>
    <row r="277" ht="15" customHeight="1">
      <c r="A277" s="63">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4" t="n"/>
      <c r="M277" s="24" t="n"/>
      <c r="N277" s="25">
        <f>IF(M277="","",HYPERLINK(IF(LEFT(M277,4)="http",M277,set_QwilrBase&amp;M277),"Open quote"))</f>
        <v/>
      </c>
      <c r="O277" s="64" t="n"/>
      <c r="P277" s="24" t="n"/>
      <c r="Q277" s="24" t="n"/>
    </row>
    <row r="278" ht="15" customHeight="1">
      <c r="A278" s="63">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4" t="n"/>
      <c r="M278" s="24" t="n"/>
      <c r="N278" s="25">
        <f>IF(M278="","",HYPERLINK(IF(LEFT(M278,4)="http",M278,set_QwilrBase&amp;M278),"Open quote"))</f>
        <v/>
      </c>
      <c r="O278" s="64" t="n"/>
      <c r="P278" s="24" t="n"/>
      <c r="Q278" s="24" t="n"/>
    </row>
    <row r="279" ht="15" customHeight="1">
      <c r="A279" s="63">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4" t="n"/>
      <c r="M279" s="24" t="n"/>
      <c r="N279" s="25">
        <f>IF(M279="","",HYPERLINK(IF(LEFT(M279,4)="http",M279,set_QwilrBase&amp;M279),"Open quote"))</f>
        <v/>
      </c>
      <c r="O279" s="64" t="n"/>
      <c r="P279" s="24" t="n"/>
      <c r="Q279" s="24" t="n"/>
    </row>
    <row r="280" ht="15" customHeight="1">
      <c r="A280" s="63">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4" t="n"/>
      <c r="M280" s="24" t="n"/>
      <c r="N280" s="25">
        <f>IF(M280="","",HYPERLINK(IF(LEFT(M280,4)="http",M280,set_QwilrBase&amp;M280),"Open quote"))</f>
        <v/>
      </c>
      <c r="O280" s="64" t="n"/>
      <c r="P280" s="24" t="n"/>
      <c r="Q280" s="24" t="n"/>
    </row>
    <row r="281" ht="15" customHeight="1">
      <c r="A281" s="63">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4" t="n"/>
      <c r="M281" s="24" t="n"/>
      <c r="N281" s="25">
        <f>IF(M281="","",HYPERLINK(IF(LEFT(M281,4)="http",M281,set_QwilrBase&amp;M281),"Open quote"))</f>
        <v/>
      </c>
      <c r="O281" s="64" t="n"/>
      <c r="P281" s="24" t="n"/>
      <c r="Q281" s="24" t="n"/>
    </row>
    <row r="282" ht="15" customHeight="1">
      <c r="A282" s="63">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4" t="n"/>
      <c r="M282" s="24" t="n"/>
      <c r="N282" s="25">
        <f>IF(M282="","",HYPERLINK(IF(LEFT(M282,4)="http",M282,set_QwilrBase&amp;M282),"Open quote"))</f>
        <v/>
      </c>
      <c r="O282" s="64" t="n"/>
      <c r="P282" s="24" t="n"/>
      <c r="Q282" s="24" t="n"/>
    </row>
    <row r="283" ht="15" customHeight="1">
      <c r="A283" s="63">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4" t="n"/>
      <c r="M283" s="24" t="n"/>
      <c r="N283" s="25">
        <f>IF(M283="","",HYPERLINK(IF(LEFT(M283,4)="http",M283,set_QwilrBase&amp;M283),"Open quote"))</f>
        <v/>
      </c>
      <c r="O283" s="64" t="n"/>
      <c r="P283" s="24" t="n"/>
      <c r="Q283" s="24" t="n"/>
    </row>
    <row r="284" ht="15" customHeight="1">
      <c r="A284" s="63">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4" t="n"/>
      <c r="M284" s="24" t="n"/>
      <c r="N284" s="25">
        <f>IF(M284="","",HYPERLINK(IF(LEFT(M284,4)="http",M284,set_QwilrBase&amp;M284),"Open quote"))</f>
        <v/>
      </c>
      <c r="O284" s="64" t="n"/>
      <c r="P284" s="24" t="n"/>
      <c r="Q284" s="24" t="n"/>
    </row>
    <row r="285" ht="15" customHeight="1">
      <c r="A285" s="63">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4" t="n"/>
      <c r="M285" s="24" t="n"/>
      <c r="N285" s="25">
        <f>IF(M285="","",HYPERLINK(IF(LEFT(M285,4)="http",M285,set_QwilrBase&amp;M285),"Open quote"))</f>
        <v/>
      </c>
      <c r="O285" s="64" t="n"/>
      <c r="P285" s="24" t="n"/>
      <c r="Q285" s="24" t="n"/>
    </row>
    <row r="286" ht="15" customHeight="1">
      <c r="A286" s="63">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4" t="n"/>
      <c r="M286" s="24" t="n"/>
      <c r="N286" s="25">
        <f>IF(M286="","",HYPERLINK(IF(LEFT(M286,4)="http",M286,set_QwilrBase&amp;M286),"Open quote"))</f>
        <v/>
      </c>
      <c r="O286" s="64" t="n"/>
      <c r="P286" s="24" t="n"/>
      <c r="Q286" s="24" t="n"/>
    </row>
    <row r="287" ht="15" customHeight="1">
      <c r="A287" s="63">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4" t="n"/>
      <c r="M287" s="24" t="n"/>
      <c r="N287" s="25">
        <f>IF(M287="","",HYPERLINK(IF(LEFT(M287,4)="http",M287,set_QwilrBase&amp;M287),"Open quote"))</f>
        <v/>
      </c>
      <c r="O287" s="64" t="n"/>
      <c r="P287" s="24" t="n"/>
      <c r="Q287" s="24" t="n"/>
    </row>
    <row r="288" ht="15" customHeight="1">
      <c r="A288" s="63">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4" t="n"/>
      <c r="M288" s="24" t="n"/>
      <c r="N288" s="25">
        <f>IF(M288="","",HYPERLINK(IF(LEFT(M288,4)="http",M288,set_QwilrBase&amp;M288),"Open quote"))</f>
        <v/>
      </c>
      <c r="O288" s="64" t="n"/>
      <c r="P288" s="24" t="n"/>
      <c r="Q288" s="24" t="n"/>
    </row>
    <row r="289" ht="15" customHeight="1">
      <c r="A289" s="63">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4" t="n"/>
      <c r="M289" s="24" t="n"/>
      <c r="N289" s="25">
        <f>IF(M289="","",HYPERLINK(IF(LEFT(M289,4)="http",M289,set_QwilrBase&amp;M289),"Open quote"))</f>
        <v/>
      </c>
      <c r="O289" s="64" t="n"/>
      <c r="P289" s="24" t="n"/>
      <c r="Q289" s="24" t="n"/>
    </row>
    <row r="290" ht="15" customHeight="1">
      <c r="A290" s="63">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4" t="n"/>
      <c r="M290" s="24" t="n"/>
      <c r="N290" s="25">
        <f>IF(M290="","",HYPERLINK(IF(LEFT(M290,4)="http",M290,set_QwilrBase&amp;M290),"Open quote"))</f>
        <v/>
      </c>
      <c r="O290" s="64" t="n"/>
      <c r="P290" s="24" t="n"/>
      <c r="Q290" s="24" t="n"/>
    </row>
    <row r="291" ht="15" customHeight="1">
      <c r="A291" s="63">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4" t="n"/>
      <c r="M291" s="24" t="n"/>
      <c r="N291" s="25">
        <f>IF(M291="","",HYPERLINK(IF(LEFT(M291,4)="http",M291,set_QwilrBase&amp;M291),"Open quote"))</f>
        <v/>
      </c>
      <c r="O291" s="64" t="n"/>
      <c r="P291" s="24" t="n"/>
      <c r="Q291" s="24" t="n"/>
    </row>
    <row r="292" ht="15" customHeight="1">
      <c r="A292" s="63">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4" t="n"/>
      <c r="M292" s="24" t="n"/>
      <c r="N292" s="25">
        <f>IF(M292="","",HYPERLINK(IF(LEFT(M292,4)="http",M292,set_QwilrBase&amp;M292),"Open quote"))</f>
        <v/>
      </c>
      <c r="O292" s="64" t="n"/>
      <c r="P292" s="24" t="n"/>
      <c r="Q292" s="24" t="n"/>
    </row>
    <row r="293" ht="15" customHeight="1">
      <c r="A293" s="63">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4" t="n"/>
      <c r="M293" s="24" t="n"/>
      <c r="N293" s="25">
        <f>IF(M293="","",HYPERLINK(IF(LEFT(M293,4)="http",M293,set_QwilrBase&amp;M293),"Open quote"))</f>
        <v/>
      </c>
      <c r="O293" s="64" t="n"/>
      <c r="P293" s="24" t="n"/>
      <c r="Q293" s="24" t="n"/>
    </row>
    <row r="294" ht="15" customHeight="1">
      <c r="A294" s="63">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4" t="n"/>
      <c r="M294" s="24" t="n"/>
      <c r="N294" s="25">
        <f>IF(M294="","",HYPERLINK(IF(LEFT(M294,4)="http",M294,set_QwilrBase&amp;M294),"Open quote"))</f>
        <v/>
      </c>
      <c r="O294" s="64" t="n"/>
      <c r="P294" s="24" t="n"/>
      <c r="Q294" s="24" t="n"/>
    </row>
    <row r="295" ht="15" customHeight="1">
      <c r="A295" s="63">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4" t="n"/>
      <c r="M295" s="24" t="n"/>
      <c r="N295" s="25">
        <f>IF(M295="","",HYPERLINK(IF(LEFT(M295,4)="http",M295,set_QwilrBase&amp;M295),"Open quote"))</f>
        <v/>
      </c>
      <c r="O295" s="64" t="n"/>
      <c r="P295" s="24" t="n"/>
      <c r="Q295" s="24" t="n"/>
    </row>
    <row r="296" ht="15" customHeight="1">
      <c r="A296" s="63">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4" t="n"/>
      <c r="M296" s="24" t="n"/>
      <c r="N296" s="25">
        <f>IF(M296="","",HYPERLINK(IF(LEFT(M296,4)="http",M296,set_QwilrBase&amp;M296),"Open quote"))</f>
        <v/>
      </c>
      <c r="O296" s="64" t="n"/>
      <c r="P296" s="24" t="n"/>
      <c r="Q296" s="24" t="n"/>
    </row>
    <row r="297" ht="15" customHeight="1">
      <c r="A297" s="63">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4" t="n"/>
      <c r="M297" s="24" t="n"/>
      <c r="N297" s="25">
        <f>IF(M297="","",HYPERLINK(IF(LEFT(M297,4)="http",M297,set_QwilrBase&amp;M297),"Open quote"))</f>
        <v/>
      </c>
      <c r="O297" s="64" t="n"/>
      <c r="P297" s="24" t="n"/>
      <c r="Q297" s="24" t="n"/>
    </row>
    <row r="298" ht="15" customHeight="1">
      <c r="A298" s="63">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4" t="n"/>
      <c r="M298" s="24" t="n"/>
      <c r="N298" s="25">
        <f>IF(M298="","",HYPERLINK(IF(LEFT(M298,4)="http",M298,set_QwilrBase&amp;M298),"Open quote"))</f>
        <v/>
      </c>
      <c r="O298" s="64" t="n"/>
      <c r="P298" s="24" t="n"/>
      <c r="Q298" s="24" t="n"/>
    </row>
    <row r="299" ht="15" customHeight="1">
      <c r="A299" s="63">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4" t="n"/>
      <c r="M299" s="24" t="n"/>
      <c r="N299" s="25">
        <f>IF(M299="","",HYPERLINK(IF(LEFT(M299,4)="http",M299,set_QwilrBase&amp;M299),"Open quote"))</f>
        <v/>
      </c>
      <c r="O299" s="64" t="n"/>
      <c r="P299" s="24" t="n"/>
      <c r="Q299" s="24" t="n"/>
    </row>
    <row r="300" ht="15" customHeight="1">
      <c r="A300" s="63">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4" t="n"/>
      <c r="M300" s="24" t="n"/>
      <c r="N300" s="25">
        <f>IF(M300="","",HYPERLINK(IF(LEFT(M300,4)="http",M300,set_QwilrBase&amp;M300),"Open quote"))</f>
        <v/>
      </c>
      <c r="O300" s="64" t="n"/>
      <c r="P300" s="24" t="n"/>
      <c r="Q300" s="24" t="n"/>
    </row>
    <row r="301" ht="15" customHeight="1">
      <c r="A301" s="63">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4" t="n"/>
      <c r="M301" s="24" t="n"/>
      <c r="N301" s="25">
        <f>IF(M301="","",HYPERLINK(IF(LEFT(M301,4)="http",M301,set_QwilrBase&amp;M301),"Open quote"))</f>
        <v/>
      </c>
      <c r="O301" s="64" t="n"/>
      <c r="P301" s="24" t="n"/>
      <c r="Q301" s="24" t="n"/>
    </row>
    <row r="302" ht="15" customHeight="1">
      <c r="A302" s="63">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4" t="n"/>
      <c r="M302" s="24" t="n"/>
      <c r="N302" s="25">
        <f>IF(M302="","",HYPERLINK(IF(LEFT(M302,4)="http",M302,set_QwilrBase&amp;M302),"Open quote"))</f>
        <v/>
      </c>
      <c r="O302" s="64" t="n"/>
      <c r="P302" s="24" t="n"/>
      <c r="Q302" s="24" t="n"/>
    </row>
    <row r="303" ht="15" customHeight="1">
      <c r="A303" s="63">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4" t="n"/>
      <c r="M303" s="24" t="n"/>
      <c r="N303" s="25">
        <f>IF(M303="","",HYPERLINK(IF(LEFT(M303,4)="http",M303,set_QwilrBase&amp;M303),"Open quote"))</f>
        <v/>
      </c>
      <c r="O303" s="64" t="n"/>
      <c r="P303" s="24" t="n"/>
      <c r="Q303" s="24" t="n"/>
    </row>
    <row r="304" ht="15" customHeight="1">
      <c r="A304" s="63">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4" t="n"/>
      <c r="M304" s="24" t="n"/>
      <c r="N304" s="25">
        <f>IF(M304="","",HYPERLINK(IF(LEFT(M304,4)="http",M304,set_QwilrBase&amp;M304),"Open quote"))</f>
        <v/>
      </c>
      <c r="O304" s="64" t="n"/>
      <c r="P304" s="24" t="n"/>
      <c r="Q304" s="24" t="n"/>
    </row>
    <row r="305" ht="15" customHeight="1">
      <c r="A305" s="63">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4" t="n"/>
      <c r="M305" s="24" t="n"/>
      <c r="N305" s="25">
        <f>IF(M305="","",HYPERLINK(IF(LEFT(M305,4)="http",M305,set_QwilrBase&amp;M305),"Open quote"))</f>
        <v/>
      </c>
      <c r="O305" s="64" t="n"/>
      <c r="P305" s="24" t="n"/>
      <c r="Q305" s="24" t="n"/>
    </row>
    <row r="306" ht="15" customHeight="1">
      <c r="A306" s="63">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4" t="n"/>
      <c r="M306" s="24" t="n"/>
      <c r="N306" s="25">
        <f>IF(M306="","",HYPERLINK(IF(LEFT(M306,4)="http",M306,set_QwilrBase&amp;M306),"Open quote"))</f>
        <v/>
      </c>
      <c r="O306" s="64" t="n"/>
      <c r="P306" s="24" t="n"/>
      <c r="Q306" s="24" t="n"/>
    </row>
    <row r="307" ht="15" customHeight="1">
      <c r="A307" s="63">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4" t="n"/>
      <c r="M307" s="24" t="n"/>
      <c r="N307" s="25">
        <f>IF(M307="","",HYPERLINK(IF(LEFT(M307,4)="http",M307,set_QwilrBase&amp;M307),"Open quote"))</f>
        <v/>
      </c>
      <c r="O307" s="64" t="n"/>
      <c r="P307" s="24" t="n"/>
      <c r="Q307" s="24" t="n"/>
    </row>
    <row r="308" ht="15" customHeight="1">
      <c r="A308" s="63">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4" t="n"/>
      <c r="M308" s="24" t="n"/>
      <c r="N308" s="25">
        <f>IF(M308="","",HYPERLINK(IF(LEFT(M308,4)="http",M308,set_QwilrBase&amp;M308),"Open quote"))</f>
        <v/>
      </c>
      <c r="O308" s="64" t="n"/>
      <c r="P308" s="24" t="n"/>
      <c r="Q308" s="24" t="n"/>
    </row>
    <row r="309" ht="15" customHeight="1">
      <c r="A309" s="63">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4" t="n"/>
      <c r="M309" s="24" t="n"/>
      <c r="N309" s="25">
        <f>IF(M309="","",HYPERLINK(IF(LEFT(M309,4)="http",M309,set_QwilrBase&amp;M309),"Open quote"))</f>
        <v/>
      </c>
      <c r="O309" s="64" t="n"/>
      <c r="P309" s="24" t="n"/>
      <c r="Q309" s="24" t="n"/>
    </row>
    <row r="310" ht="15" customHeight="1">
      <c r="A310" s="63">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4" t="n"/>
      <c r="M310" s="24" t="n"/>
      <c r="N310" s="25">
        <f>IF(M310="","",HYPERLINK(IF(LEFT(M310,4)="http",M310,set_QwilrBase&amp;M310),"Open quote"))</f>
        <v/>
      </c>
      <c r="O310" s="64" t="n"/>
      <c r="P310" s="24" t="n"/>
      <c r="Q310" s="24" t="n"/>
    </row>
    <row r="311" ht="15" customHeight="1">
      <c r="A311" s="63">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4" t="n"/>
      <c r="M311" s="24" t="n"/>
      <c r="N311" s="25">
        <f>IF(M311="","",HYPERLINK(IF(LEFT(M311,4)="http",M311,set_QwilrBase&amp;M311),"Open quote"))</f>
        <v/>
      </c>
      <c r="O311" s="64" t="n"/>
      <c r="P311" s="24" t="n"/>
      <c r="Q311" s="24" t="n"/>
    </row>
    <row r="312" ht="15" customHeight="1">
      <c r="A312" s="63">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4" t="n"/>
      <c r="M312" s="24" t="n"/>
      <c r="N312" s="25">
        <f>IF(M312="","",HYPERLINK(IF(LEFT(M312,4)="http",M312,set_QwilrBase&amp;M312),"Open quote"))</f>
        <v/>
      </c>
      <c r="O312" s="64" t="n"/>
      <c r="P312" s="24" t="n"/>
      <c r="Q312" s="24" t="n"/>
    </row>
    <row r="313" ht="15" customHeight="1">
      <c r="A313" s="63">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4" t="n"/>
      <c r="M313" s="24" t="n"/>
      <c r="N313" s="25">
        <f>IF(M313="","",HYPERLINK(IF(LEFT(M313,4)="http",M313,set_QwilrBase&amp;M313),"Open quote"))</f>
        <v/>
      </c>
      <c r="O313" s="64" t="n"/>
      <c r="P313" s="24" t="n"/>
      <c r="Q313" s="24" t="n"/>
    </row>
    <row r="314" ht="15" customHeight="1">
      <c r="A314" s="63">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4" t="n"/>
      <c r="M314" s="24" t="n"/>
      <c r="N314" s="25">
        <f>IF(M314="","",HYPERLINK(IF(LEFT(M314,4)="http",M314,set_QwilrBase&amp;M314),"Open quote"))</f>
        <v/>
      </c>
      <c r="O314" s="64" t="n"/>
      <c r="P314" s="24" t="n"/>
      <c r="Q314" s="24" t="n"/>
    </row>
    <row r="315" ht="15" customHeight="1">
      <c r="A315" s="63">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4" t="n"/>
      <c r="M315" s="24" t="n"/>
      <c r="N315" s="25">
        <f>IF(M315="","",HYPERLINK(IF(LEFT(M315,4)="http",M315,set_QwilrBase&amp;M315),"Open quote"))</f>
        <v/>
      </c>
      <c r="O315" s="64" t="n"/>
      <c r="P315" s="24" t="n"/>
      <c r="Q315" s="24" t="n"/>
    </row>
    <row r="316" ht="15" customHeight="1">
      <c r="A316" s="63">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4" t="n"/>
      <c r="M316" s="24" t="n"/>
      <c r="N316" s="25">
        <f>IF(M316="","",HYPERLINK(IF(LEFT(M316,4)="http",M316,set_QwilrBase&amp;M316),"Open quote"))</f>
        <v/>
      </c>
      <c r="O316" s="64" t="n"/>
      <c r="P316" s="24" t="n"/>
      <c r="Q316" s="24" t="n"/>
    </row>
    <row r="317" ht="15" customHeight="1">
      <c r="A317" s="63">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4" t="n"/>
      <c r="M317" s="24" t="n"/>
      <c r="N317" s="25">
        <f>IF(M317="","",HYPERLINK(IF(LEFT(M317,4)="http",M317,set_QwilrBase&amp;M317),"Open quote"))</f>
        <v/>
      </c>
      <c r="O317" s="64" t="n"/>
      <c r="P317" s="24" t="n"/>
      <c r="Q317" s="24" t="n"/>
    </row>
    <row r="318" ht="15" customHeight="1">
      <c r="A318" s="63">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4" t="n"/>
      <c r="M318" s="24" t="n"/>
      <c r="N318" s="25">
        <f>IF(M318="","",HYPERLINK(IF(LEFT(M318,4)="http",M318,set_QwilrBase&amp;M318),"Open quote"))</f>
        <v/>
      </c>
      <c r="O318" s="64" t="n"/>
      <c r="P318" s="24" t="n"/>
      <c r="Q318" s="24" t="n"/>
    </row>
    <row r="319" ht="15" customHeight="1">
      <c r="A319" s="63">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4" t="n"/>
      <c r="M319" s="24" t="n"/>
      <c r="N319" s="25">
        <f>IF(M319="","",HYPERLINK(IF(LEFT(M319,4)="http",M319,set_QwilrBase&amp;M319),"Open quote"))</f>
        <v/>
      </c>
      <c r="O319" s="64" t="n"/>
      <c r="P319" s="24" t="n"/>
      <c r="Q319" s="24" t="n"/>
    </row>
    <row r="320" ht="15" customHeight="1">
      <c r="A320" s="63">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4" t="n"/>
      <c r="M320" s="24" t="n"/>
      <c r="N320" s="25">
        <f>IF(M320="","",HYPERLINK(IF(LEFT(M320,4)="http",M320,set_QwilrBase&amp;M320),"Open quote"))</f>
        <v/>
      </c>
      <c r="O320" s="64" t="n"/>
      <c r="P320" s="24" t="n"/>
      <c r="Q320" s="24" t="n"/>
    </row>
    <row r="321" ht="15" customHeight="1">
      <c r="A321" s="63">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4" t="n"/>
      <c r="M321" s="24" t="n"/>
      <c r="N321" s="25">
        <f>IF(M321="","",HYPERLINK(IF(LEFT(M321,4)="http",M321,set_QwilrBase&amp;M321),"Open quote"))</f>
        <v/>
      </c>
      <c r="O321" s="64" t="n"/>
      <c r="P321" s="24" t="n"/>
      <c r="Q321" s="24" t="n"/>
    </row>
    <row r="322" ht="15" customHeight="1">
      <c r="A322" s="63">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4" t="n"/>
      <c r="M322" s="24" t="n"/>
      <c r="N322" s="25">
        <f>IF(M322="","",HYPERLINK(IF(LEFT(M322,4)="http",M322,set_QwilrBase&amp;M322),"Open quote"))</f>
        <v/>
      </c>
      <c r="O322" s="64" t="n"/>
      <c r="P322" s="24" t="n"/>
      <c r="Q322" s="24" t="n"/>
    </row>
    <row r="323" ht="15" customHeight="1">
      <c r="A323" s="63">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4" t="n"/>
      <c r="M323" s="24" t="n"/>
      <c r="N323" s="25">
        <f>IF(M323="","",HYPERLINK(IF(LEFT(M323,4)="http",M323,set_QwilrBase&amp;M323),"Open quote"))</f>
        <v/>
      </c>
      <c r="O323" s="64" t="n"/>
      <c r="P323" s="24" t="n"/>
      <c r="Q323" s="24" t="n"/>
    </row>
    <row r="324" ht="15" customHeight="1">
      <c r="A324" s="63">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4" t="n"/>
      <c r="M324" s="24" t="n"/>
      <c r="N324" s="25">
        <f>IF(M324="","",HYPERLINK(IF(LEFT(M324,4)="http",M324,set_QwilrBase&amp;M324),"Open quote"))</f>
        <v/>
      </c>
      <c r="O324" s="64" t="n"/>
      <c r="P324" s="24" t="n"/>
      <c r="Q324" s="24" t="n"/>
    </row>
    <row r="325" ht="15" customHeight="1">
      <c r="A325" s="63">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4" t="n"/>
      <c r="M325" s="24" t="n"/>
      <c r="N325" s="25">
        <f>IF(M325="","",HYPERLINK(IF(LEFT(M325,4)="http",M325,set_QwilrBase&amp;M325),"Open quote"))</f>
        <v/>
      </c>
      <c r="O325" s="64" t="n"/>
      <c r="P325" s="24" t="n"/>
      <c r="Q325" s="24" t="n"/>
    </row>
    <row r="326" ht="15" customHeight="1">
      <c r="A326" s="63">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4" t="n"/>
      <c r="M326" s="24" t="n"/>
      <c r="N326" s="25">
        <f>IF(M326="","",HYPERLINK(IF(LEFT(M326,4)="http",M326,set_QwilrBase&amp;M326),"Open quote"))</f>
        <v/>
      </c>
      <c r="O326" s="64" t="n"/>
      <c r="P326" s="24" t="n"/>
      <c r="Q326" s="24" t="n"/>
    </row>
    <row r="327" ht="15" customHeight="1">
      <c r="A327" s="63">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4" t="n"/>
      <c r="M327" s="24" t="n"/>
      <c r="N327" s="25">
        <f>IF(M327="","",HYPERLINK(IF(LEFT(M327,4)="http",M327,set_QwilrBase&amp;M327),"Open quote"))</f>
        <v/>
      </c>
      <c r="O327" s="64" t="n"/>
      <c r="P327" s="24" t="n"/>
      <c r="Q327" s="24" t="n"/>
    </row>
    <row r="328" ht="15" customHeight="1">
      <c r="A328" s="63">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4" t="n"/>
      <c r="M328" s="24" t="n"/>
      <c r="N328" s="25">
        <f>IF(M328="","",HYPERLINK(IF(LEFT(M328,4)="http",M328,set_QwilrBase&amp;M328),"Open quote"))</f>
        <v/>
      </c>
      <c r="O328" s="64" t="n"/>
      <c r="P328" s="24" t="n"/>
      <c r="Q328" s="24" t="n"/>
    </row>
    <row r="329" ht="15" customHeight="1">
      <c r="A329" s="63">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4" t="n"/>
      <c r="M329" s="24" t="n"/>
      <c r="N329" s="25">
        <f>IF(M329="","",HYPERLINK(IF(LEFT(M329,4)="http",M329,set_QwilrBase&amp;M329),"Open quote"))</f>
        <v/>
      </c>
      <c r="O329" s="64" t="n"/>
      <c r="P329" s="24" t="n"/>
      <c r="Q329" s="24" t="n"/>
    </row>
    <row r="330" ht="15" customHeight="1">
      <c r="A330" s="63">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4" t="n"/>
      <c r="M330" s="24" t="n"/>
      <c r="N330" s="25">
        <f>IF(M330="","",HYPERLINK(IF(LEFT(M330,4)="http",M330,set_QwilrBase&amp;M330),"Open quote"))</f>
        <v/>
      </c>
      <c r="O330" s="64" t="n"/>
      <c r="P330" s="24" t="n"/>
      <c r="Q330" s="24" t="n"/>
    </row>
    <row r="331" ht="15" customHeight="1">
      <c r="A331" s="63">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4" t="n"/>
      <c r="M331" s="24" t="n"/>
      <c r="N331" s="25">
        <f>IF(M331="","",HYPERLINK(IF(LEFT(M331,4)="http",M331,set_QwilrBase&amp;M331),"Open quote"))</f>
        <v/>
      </c>
      <c r="O331" s="64" t="n"/>
      <c r="P331" s="24" t="n"/>
      <c r="Q331" s="24" t="n"/>
    </row>
    <row r="332" ht="15" customHeight="1">
      <c r="A332" s="63">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4" t="n"/>
      <c r="M332" s="24" t="n"/>
      <c r="N332" s="25">
        <f>IF(M332="","",HYPERLINK(IF(LEFT(M332,4)="http",M332,set_QwilrBase&amp;M332),"Open quote"))</f>
        <v/>
      </c>
      <c r="O332" s="64" t="n"/>
      <c r="P332" s="24" t="n"/>
      <c r="Q332" s="24" t="n"/>
    </row>
    <row r="333" ht="15" customHeight="1">
      <c r="A333" s="63">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4" t="n"/>
      <c r="M333" s="24" t="n"/>
      <c r="N333" s="25">
        <f>IF(M333="","",HYPERLINK(IF(LEFT(M333,4)="http",M333,set_QwilrBase&amp;M333),"Open quote"))</f>
        <v/>
      </c>
      <c r="O333" s="64" t="n"/>
      <c r="P333" s="24" t="n"/>
      <c r="Q333" s="24" t="n"/>
    </row>
    <row r="334" ht="15" customHeight="1">
      <c r="A334" s="63">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4" t="n"/>
      <c r="M334" s="24" t="n"/>
      <c r="N334" s="25">
        <f>IF(M334="","",HYPERLINK(IF(LEFT(M334,4)="http",M334,set_QwilrBase&amp;M334),"Open quote"))</f>
        <v/>
      </c>
      <c r="O334" s="64" t="n"/>
      <c r="P334" s="24" t="n"/>
      <c r="Q334" s="24" t="n"/>
    </row>
    <row r="335" ht="15" customHeight="1">
      <c r="A335" s="63">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4" t="n"/>
      <c r="M335" s="24" t="n"/>
      <c r="N335" s="25">
        <f>IF(M335="","",HYPERLINK(IF(LEFT(M335,4)="http",M335,set_QwilrBase&amp;M335),"Open quote"))</f>
        <v/>
      </c>
      <c r="O335" s="64" t="n"/>
      <c r="P335" s="24" t="n"/>
      <c r="Q335" s="24" t="n"/>
    </row>
    <row r="336" ht="15" customHeight="1">
      <c r="A336" s="63">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4" t="n"/>
      <c r="M336" s="24" t="n"/>
      <c r="N336" s="25">
        <f>IF(M336="","",HYPERLINK(IF(LEFT(M336,4)="http",M336,set_QwilrBase&amp;M336),"Open quote"))</f>
        <v/>
      </c>
      <c r="O336" s="64" t="n"/>
      <c r="P336" s="24" t="n"/>
      <c r="Q336" s="24" t="n"/>
    </row>
    <row r="337" ht="15" customHeight="1">
      <c r="A337" s="63">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4" t="n"/>
      <c r="M337" s="24" t="n"/>
      <c r="N337" s="25">
        <f>IF(M337="","",HYPERLINK(IF(LEFT(M337,4)="http",M337,set_QwilrBase&amp;M337),"Open quote"))</f>
        <v/>
      </c>
      <c r="O337" s="64" t="n"/>
      <c r="P337" s="24" t="n"/>
      <c r="Q337" s="24" t="n"/>
    </row>
    <row r="338" ht="15" customHeight="1">
      <c r="A338" s="63">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4" t="n"/>
      <c r="M338" s="24" t="n"/>
      <c r="N338" s="25">
        <f>IF(M338="","",HYPERLINK(IF(LEFT(M338,4)="http",M338,set_QwilrBase&amp;M338),"Open quote"))</f>
        <v/>
      </c>
      <c r="O338" s="64" t="n"/>
      <c r="P338" s="24" t="n"/>
      <c r="Q338" s="24" t="n"/>
    </row>
    <row r="339" ht="15" customHeight="1">
      <c r="A339" s="63">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4" t="n"/>
      <c r="M339" s="24" t="n"/>
      <c r="N339" s="25">
        <f>IF(M339="","",HYPERLINK(IF(LEFT(M339,4)="http",M339,set_QwilrBase&amp;M339),"Open quote"))</f>
        <v/>
      </c>
      <c r="O339" s="64" t="n"/>
      <c r="P339" s="24" t="n"/>
      <c r="Q339" s="24" t="n"/>
    </row>
    <row r="340" ht="15" customHeight="1">
      <c r="A340" s="63">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4" t="n"/>
      <c r="M340" s="24" t="n"/>
      <c r="N340" s="25">
        <f>IF(M340="","",HYPERLINK(IF(LEFT(M340,4)="http",M340,set_QwilrBase&amp;M340),"Open quote"))</f>
        <v/>
      </c>
      <c r="O340" s="64" t="n"/>
      <c r="P340" s="24" t="n"/>
      <c r="Q340" s="24" t="n"/>
    </row>
    <row r="341" ht="15" customHeight="1">
      <c r="A341" s="63">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4" t="n"/>
      <c r="M341" s="24" t="n"/>
      <c r="N341" s="25">
        <f>IF(M341="","",HYPERLINK(IF(LEFT(M341,4)="http",M341,set_QwilrBase&amp;M341),"Open quote"))</f>
        <v/>
      </c>
      <c r="O341" s="64" t="n"/>
      <c r="P341" s="24" t="n"/>
      <c r="Q341" s="24" t="n"/>
    </row>
    <row r="342" ht="15" customHeight="1">
      <c r="A342" s="63">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4" t="n"/>
      <c r="M342" s="24" t="n"/>
      <c r="N342" s="25">
        <f>IF(M342="","",HYPERLINK(IF(LEFT(M342,4)="http",M342,set_QwilrBase&amp;M342),"Open quote"))</f>
        <v/>
      </c>
      <c r="O342" s="64" t="n"/>
      <c r="P342" s="24" t="n"/>
      <c r="Q342" s="24" t="n"/>
    </row>
    <row r="343" ht="15" customHeight="1">
      <c r="A343" s="63">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4" t="n"/>
      <c r="M343" s="24" t="n"/>
      <c r="N343" s="25">
        <f>IF(M343="","",HYPERLINK(IF(LEFT(M343,4)="http",M343,set_QwilrBase&amp;M343),"Open quote"))</f>
        <v/>
      </c>
      <c r="O343" s="64" t="n"/>
      <c r="P343" s="24" t="n"/>
      <c r="Q343" s="24" t="n"/>
    </row>
    <row r="344" ht="15" customHeight="1">
      <c r="A344" s="63">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4" t="n"/>
      <c r="M344" s="24" t="n"/>
      <c r="N344" s="25">
        <f>IF(M344="","",HYPERLINK(IF(LEFT(M344,4)="http",M344,set_QwilrBase&amp;M344),"Open quote"))</f>
        <v/>
      </c>
      <c r="O344" s="64" t="n"/>
      <c r="P344" s="24" t="n"/>
      <c r="Q344" s="24" t="n"/>
    </row>
    <row r="345" ht="15" customHeight="1">
      <c r="A345" s="63">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4" t="n"/>
      <c r="M345" s="24" t="n"/>
      <c r="N345" s="25">
        <f>IF(M345="","",HYPERLINK(IF(LEFT(M345,4)="http",M345,set_QwilrBase&amp;M345),"Open quote"))</f>
        <v/>
      </c>
      <c r="O345" s="64" t="n"/>
      <c r="P345" s="24" t="n"/>
      <c r="Q345" s="24" t="n"/>
    </row>
    <row r="346" ht="15" customHeight="1">
      <c r="A346" s="63">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4" t="n"/>
      <c r="M346" s="24" t="n"/>
      <c r="N346" s="25">
        <f>IF(M346="","",HYPERLINK(IF(LEFT(M346,4)="http",M346,set_QwilrBase&amp;M346),"Open quote"))</f>
        <v/>
      </c>
      <c r="O346" s="64" t="n"/>
      <c r="P346" s="24" t="n"/>
      <c r="Q346" s="24" t="n"/>
    </row>
    <row r="347" ht="15" customHeight="1">
      <c r="A347" s="63">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4" t="n"/>
      <c r="M347" s="24" t="n"/>
      <c r="N347" s="25">
        <f>IF(M347="","",HYPERLINK(IF(LEFT(M347,4)="http",M347,set_QwilrBase&amp;M347),"Open quote"))</f>
        <v/>
      </c>
      <c r="O347" s="64" t="n"/>
      <c r="P347" s="24" t="n"/>
      <c r="Q347" s="24" t="n"/>
    </row>
    <row r="348" ht="15" customHeight="1">
      <c r="A348" s="63">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4" t="n"/>
      <c r="M348" s="24" t="n"/>
      <c r="N348" s="25">
        <f>IF(M348="","",HYPERLINK(IF(LEFT(M348,4)="http",M348,set_QwilrBase&amp;M348),"Open quote"))</f>
        <v/>
      </c>
      <c r="O348" s="64" t="n"/>
      <c r="P348" s="24" t="n"/>
      <c r="Q348" s="24" t="n"/>
    </row>
    <row r="349" ht="15" customHeight="1">
      <c r="A349" s="63">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4" t="n"/>
      <c r="M349" s="24" t="n"/>
      <c r="N349" s="25">
        <f>IF(M349="","",HYPERLINK(IF(LEFT(M349,4)="http",M349,set_QwilrBase&amp;M349),"Open quote"))</f>
        <v/>
      </c>
      <c r="O349" s="64" t="n"/>
      <c r="P349" s="24" t="n"/>
      <c r="Q349" s="24" t="n"/>
    </row>
    <row r="350" ht="15" customHeight="1">
      <c r="A350" s="63">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4" t="n"/>
      <c r="M350" s="24" t="n"/>
      <c r="N350" s="25">
        <f>IF(M350="","",HYPERLINK(IF(LEFT(M350,4)="http",M350,set_QwilrBase&amp;M350),"Open quote"))</f>
        <v/>
      </c>
      <c r="O350" s="64" t="n"/>
      <c r="P350" s="24" t="n"/>
      <c r="Q350" s="24" t="n"/>
    </row>
    <row r="351" ht="15" customHeight="1">
      <c r="A351" s="63">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4" t="n"/>
      <c r="M351" s="24" t="n"/>
      <c r="N351" s="25">
        <f>IF(M351="","",HYPERLINK(IF(LEFT(M351,4)="http",M351,set_QwilrBase&amp;M351),"Open quote"))</f>
        <v/>
      </c>
      <c r="O351" s="64" t="n"/>
      <c r="P351" s="24" t="n"/>
      <c r="Q351" s="24" t="n"/>
    </row>
    <row r="352" ht="15" customHeight="1">
      <c r="A352" s="63">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4" t="n"/>
      <c r="M352" s="24" t="n"/>
      <c r="N352" s="25">
        <f>IF(M352="","",HYPERLINK(IF(LEFT(M352,4)="http",M352,set_QwilrBase&amp;M352),"Open quote"))</f>
        <v/>
      </c>
      <c r="O352" s="64" t="n"/>
      <c r="P352" s="24" t="n"/>
      <c r="Q352" s="24" t="n"/>
    </row>
    <row r="353" ht="15" customHeight="1">
      <c r="A353" s="63">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4" t="n"/>
      <c r="M353" s="24" t="n"/>
      <c r="N353" s="25">
        <f>IF(M353="","",HYPERLINK(IF(LEFT(M353,4)="http",M353,set_QwilrBase&amp;M353),"Open quote"))</f>
        <v/>
      </c>
      <c r="O353" s="64" t="n"/>
      <c r="P353" s="24" t="n"/>
      <c r="Q353" s="24" t="n"/>
    </row>
    <row r="354" ht="15" customHeight="1">
      <c r="A354" s="63">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4" t="n"/>
      <c r="M354" s="24" t="n"/>
      <c r="N354" s="25">
        <f>IF(M354="","",HYPERLINK(IF(LEFT(M354,4)="http",M354,set_QwilrBase&amp;M354),"Open quote"))</f>
        <v/>
      </c>
      <c r="O354" s="64" t="n"/>
      <c r="P354" s="24" t="n"/>
      <c r="Q354" s="24" t="n"/>
    </row>
    <row r="355" ht="15" customHeight="1">
      <c r="A355" s="63">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4" t="n"/>
      <c r="M355" s="24" t="n"/>
      <c r="N355" s="25">
        <f>IF(M355="","",HYPERLINK(IF(LEFT(M355,4)="http",M355,set_QwilrBase&amp;M355),"Open quote"))</f>
        <v/>
      </c>
      <c r="O355" s="64" t="n"/>
      <c r="P355" s="24" t="n"/>
      <c r="Q355" s="24" t="n"/>
    </row>
    <row r="356" ht="15" customHeight="1">
      <c r="A356" s="63">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4" t="n"/>
      <c r="M356" s="24" t="n"/>
      <c r="N356" s="25">
        <f>IF(M356="","",HYPERLINK(IF(LEFT(M356,4)="http",M356,set_QwilrBase&amp;M356),"Open quote"))</f>
        <v/>
      </c>
      <c r="O356" s="64" t="n"/>
      <c r="P356" s="24" t="n"/>
      <c r="Q356" s="24" t="n"/>
    </row>
    <row r="357" ht="15" customHeight="1">
      <c r="A357" s="63">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4" t="n"/>
      <c r="M357" s="24" t="n"/>
      <c r="N357" s="25">
        <f>IF(M357="","",HYPERLINK(IF(LEFT(M357,4)="http",M357,set_QwilrBase&amp;M357),"Open quote"))</f>
        <v/>
      </c>
      <c r="O357" s="64" t="n"/>
      <c r="P357" s="24" t="n"/>
      <c r="Q357" s="24" t="n"/>
    </row>
    <row r="358" ht="15" customHeight="1">
      <c r="A358" s="63">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4" t="n"/>
      <c r="M358" s="24" t="n"/>
      <c r="N358" s="25">
        <f>IF(M358="","",HYPERLINK(IF(LEFT(M358,4)="http",M358,set_QwilrBase&amp;M358),"Open quote"))</f>
        <v/>
      </c>
      <c r="O358" s="64" t="n"/>
      <c r="P358" s="24" t="n"/>
      <c r="Q358" s="24" t="n"/>
    </row>
    <row r="359" ht="15" customHeight="1">
      <c r="A359" s="63">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4" t="n"/>
      <c r="M359" s="24" t="n"/>
      <c r="N359" s="25">
        <f>IF(M359="","",HYPERLINK(IF(LEFT(M359,4)="http",M359,set_QwilrBase&amp;M359),"Open quote"))</f>
        <v/>
      </c>
      <c r="O359" s="64" t="n"/>
      <c r="P359" s="24" t="n"/>
      <c r="Q359" s="24" t="n"/>
    </row>
    <row r="360" ht="15" customHeight="1">
      <c r="A360" s="63">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4" t="n"/>
      <c r="M360" s="24" t="n"/>
      <c r="N360" s="25">
        <f>IF(M360="","",HYPERLINK(IF(LEFT(M360,4)="http",M360,set_QwilrBase&amp;M360),"Open quote"))</f>
        <v/>
      </c>
      <c r="O360" s="64" t="n"/>
      <c r="P360" s="24" t="n"/>
      <c r="Q360" s="24" t="n"/>
    </row>
    <row r="361" ht="15" customHeight="1">
      <c r="A361" s="63">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4" t="n"/>
      <c r="M361" s="24" t="n"/>
      <c r="N361" s="25">
        <f>IF(M361="","",HYPERLINK(IF(LEFT(M361,4)="http",M361,set_QwilrBase&amp;M361),"Open quote"))</f>
        <v/>
      </c>
      <c r="O361" s="64" t="n"/>
      <c r="P361" s="24" t="n"/>
      <c r="Q361" s="24" t="n"/>
    </row>
    <row r="362" ht="15" customHeight="1">
      <c r="A362" s="63">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4" t="n"/>
      <c r="M362" s="24" t="n"/>
      <c r="N362" s="25">
        <f>IF(M362="","",HYPERLINK(IF(LEFT(M362,4)="http",M362,set_QwilrBase&amp;M362),"Open quote"))</f>
        <v/>
      </c>
      <c r="O362" s="64" t="n"/>
      <c r="P362" s="24" t="n"/>
      <c r="Q362" s="24" t="n"/>
    </row>
    <row r="363" ht="15" customHeight="1">
      <c r="A363" s="63">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4" t="n"/>
      <c r="M363" s="24" t="n"/>
      <c r="N363" s="25">
        <f>IF(M363="","",HYPERLINK(IF(LEFT(M363,4)="http",M363,set_QwilrBase&amp;M363),"Open quote"))</f>
        <v/>
      </c>
      <c r="O363" s="64" t="n"/>
      <c r="P363" s="24" t="n"/>
      <c r="Q363" s="24" t="n"/>
    </row>
    <row r="364" ht="15" customHeight="1">
      <c r="A364" s="63">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4" t="n"/>
      <c r="M364" s="24" t="n"/>
      <c r="N364" s="25">
        <f>IF(M364="","",HYPERLINK(IF(LEFT(M364,4)="http",M364,set_QwilrBase&amp;M364),"Open quote"))</f>
        <v/>
      </c>
      <c r="O364" s="64" t="n"/>
      <c r="P364" s="24" t="n"/>
      <c r="Q364" s="24" t="n"/>
    </row>
    <row r="365" ht="15" customHeight="1">
      <c r="A365" s="63">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4" t="n"/>
      <c r="M365" s="24" t="n"/>
      <c r="N365" s="25">
        <f>IF(M365="","",HYPERLINK(IF(LEFT(M365,4)="http",M365,set_QwilrBase&amp;M365),"Open quote"))</f>
        <v/>
      </c>
      <c r="O365" s="64" t="n"/>
      <c r="P365" s="24" t="n"/>
      <c r="Q365" s="24" t="n"/>
    </row>
    <row r="366" ht="15" customHeight="1">
      <c r="A366" s="63">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4" t="n"/>
      <c r="M366" s="24" t="n"/>
      <c r="N366" s="25">
        <f>IF(M366="","",HYPERLINK(IF(LEFT(M366,4)="http",M366,set_QwilrBase&amp;M366),"Open quote"))</f>
        <v/>
      </c>
      <c r="O366" s="64" t="n"/>
      <c r="P366" s="24" t="n"/>
      <c r="Q366" s="24" t="n"/>
    </row>
    <row r="367" ht="15" customHeight="1">
      <c r="A367" s="63">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4" t="n"/>
      <c r="M367" s="24" t="n"/>
      <c r="N367" s="25">
        <f>IF(M367="","",HYPERLINK(IF(LEFT(M367,4)="http",M367,set_QwilrBase&amp;M367),"Open quote"))</f>
        <v/>
      </c>
      <c r="O367" s="64" t="n"/>
      <c r="P367" s="24" t="n"/>
      <c r="Q367" s="24" t="n"/>
    </row>
    <row r="368" ht="15" customHeight="1">
      <c r="A368" s="63">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4" t="n"/>
      <c r="M368" s="24" t="n"/>
      <c r="N368" s="25">
        <f>IF(M368="","",HYPERLINK(IF(LEFT(M368,4)="http",M368,set_QwilrBase&amp;M368),"Open quote"))</f>
        <v/>
      </c>
      <c r="O368" s="64" t="n"/>
      <c r="P368" s="24" t="n"/>
      <c r="Q368" s="24" t="n"/>
    </row>
    <row r="369" ht="15" customHeight="1">
      <c r="A369" s="63">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4" t="n"/>
      <c r="M369" s="24" t="n"/>
      <c r="N369" s="25">
        <f>IF(M369="","",HYPERLINK(IF(LEFT(M369,4)="http",M369,set_QwilrBase&amp;M369),"Open quote"))</f>
        <v/>
      </c>
      <c r="O369" s="64" t="n"/>
      <c r="P369" s="24" t="n"/>
      <c r="Q369" s="24" t="n"/>
    </row>
    <row r="370" ht="15" customHeight="1">
      <c r="A370" s="63">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4" t="n"/>
      <c r="M370" s="24" t="n"/>
      <c r="N370" s="25">
        <f>IF(M370="","",HYPERLINK(IF(LEFT(M370,4)="http",M370,set_QwilrBase&amp;M370),"Open quote"))</f>
        <v/>
      </c>
      <c r="O370" s="64" t="n"/>
      <c r="P370" s="24" t="n"/>
      <c r="Q370" s="24" t="n"/>
    </row>
    <row r="371" ht="15" customHeight="1">
      <c r="A371" s="63">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4" t="n"/>
      <c r="M371" s="24" t="n"/>
      <c r="N371" s="25">
        <f>IF(M371="","",HYPERLINK(IF(LEFT(M371,4)="http",M371,set_QwilrBase&amp;M371),"Open quote"))</f>
        <v/>
      </c>
      <c r="O371" s="64" t="n"/>
      <c r="P371" s="24" t="n"/>
      <c r="Q371" s="24" t="n"/>
    </row>
    <row r="372" ht="15" customHeight="1">
      <c r="A372" s="63">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4" t="n"/>
      <c r="M372" s="24" t="n"/>
      <c r="N372" s="25">
        <f>IF(M372="","",HYPERLINK(IF(LEFT(M372,4)="http",M372,set_QwilrBase&amp;M372),"Open quote"))</f>
        <v/>
      </c>
      <c r="O372" s="64" t="n"/>
      <c r="P372" s="24" t="n"/>
      <c r="Q372" s="24" t="n"/>
    </row>
    <row r="373" ht="15" customHeight="1">
      <c r="A373" s="63">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4" t="n"/>
      <c r="M373" s="24" t="n"/>
      <c r="N373" s="25">
        <f>IF(M373="","",HYPERLINK(IF(LEFT(M373,4)="http",M373,set_QwilrBase&amp;M373),"Open quote"))</f>
        <v/>
      </c>
      <c r="O373" s="64" t="n"/>
      <c r="P373" s="24" t="n"/>
      <c r="Q373" s="24" t="n"/>
    </row>
    <row r="374" ht="15" customHeight="1">
      <c r="A374" s="63">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4" t="n"/>
      <c r="M374" s="24" t="n"/>
      <c r="N374" s="25">
        <f>IF(M374="","",HYPERLINK(IF(LEFT(M374,4)="http",M374,set_QwilrBase&amp;M374),"Open quote"))</f>
        <v/>
      </c>
      <c r="O374" s="64" t="n"/>
      <c r="P374" s="24" t="n"/>
      <c r="Q374" s="24" t="n"/>
    </row>
    <row r="375" ht="15" customHeight="1">
      <c r="A375" s="63">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4" t="n"/>
      <c r="M375" s="24" t="n"/>
      <c r="N375" s="25">
        <f>IF(M375="","",HYPERLINK(IF(LEFT(M375,4)="http",M375,set_QwilrBase&amp;M375),"Open quote"))</f>
        <v/>
      </c>
      <c r="O375" s="64" t="n"/>
      <c r="P375" s="24" t="n"/>
      <c r="Q375" s="24" t="n"/>
    </row>
    <row r="376" ht="15" customHeight="1">
      <c r="A376" s="63">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4" t="n"/>
      <c r="M376" s="24" t="n"/>
      <c r="N376" s="25">
        <f>IF(M376="","",HYPERLINK(IF(LEFT(M376,4)="http",M376,set_QwilrBase&amp;M376),"Open quote"))</f>
        <v/>
      </c>
      <c r="O376" s="64" t="n"/>
      <c r="P376" s="24" t="n"/>
      <c r="Q376" s="24" t="n"/>
    </row>
    <row r="377" ht="15" customHeight="1">
      <c r="A377" s="63">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4" t="n"/>
      <c r="M377" s="24" t="n"/>
      <c r="N377" s="25">
        <f>IF(M377="","",HYPERLINK(IF(LEFT(M377,4)="http",M377,set_QwilrBase&amp;M377),"Open quote"))</f>
        <v/>
      </c>
      <c r="O377" s="64" t="n"/>
      <c r="P377" s="24" t="n"/>
      <c r="Q377" s="24" t="n"/>
    </row>
    <row r="378" ht="15" customHeight="1">
      <c r="A378" s="63">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4" t="n"/>
      <c r="M378" s="24" t="n"/>
      <c r="N378" s="25">
        <f>IF(M378="","",HYPERLINK(IF(LEFT(M378,4)="http",M378,set_QwilrBase&amp;M378),"Open quote"))</f>
        <v/>
      </c>
      <c r="O378" s="64" t="n"/>
      <c r="P378" s="24" t="n"/>
      <c r="Q378" s="24" t="n"/>
    </row>
    <row r="379" ht="15" customHeight="1">
      <c r="A379" s="63">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4" t="n"/>
      <c r="M379" s="24" t="n"/>
      <c r="N379" s="25">
        <f>IF(M379="","",HYPERLINK(IF(LEFT(M379,4)="http",M379,set_QwilrBase&amp;M379),"Open quote"))</f>
        <v/>
      </c>
      <c r="O379" s="64" t="n"/>
      <c r="P379" s="24" t="n"/>
      <c r="Q379" s="24" t="n"/>
    </row>
    <row r="380" ht="15" customHeight="1">
      <c r="A380" s="63">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4" t="n"/>
      <c r="M380" s="24" t="n"/>
      <c r="N380" s="25">
        <f>IF(M380="","",HYPERLINK(IF(LEFT(M380,4)="http",M380,set_QwilrBase&amp;M380),"Open quote"))</f>
        <v/>
      </c>
      <c r="O380" s="64" t="n"/>
      <c r="P380" s="24" t="n"/>
      <c r="Q380" s="24" t="n"/>
    </row>
    <row r="381" ht="15" customHeight="1">
      <c r="A381" s="63">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4" t="n"/>
      <c r="M381" s="24" t="n"/>
      <c r="N381" s="25">
        <f>IF(M381="","",HYPERLINK(IF(LEFT(M381,4)="http",M381,set_QwilrBase&amp;M381),"Open quote"))</f>
        <v/>
      </c>
      <c r="O381" s="64" t="n"/>
      <c r="P381" s="24" t="n"/>
      <c r="Q381" s="24" t="n"/>
    </row>
    <row r="382" ht="15" customHeight="1">
      <c r="A382" s="63">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4" t="n"/>
      <c r="M382" s="24" t="n"/>
      <c r="N382" s="25">
        <f>IF(M382="","",HYPERLINK(IF(LEFT(M382,4)="http",M382,set_QwilrBase&amp;M382),"Open quote"))</f>
        <v/>
      </c>
      <c r="O382" s="64" t="n"/>
      <c r="P382" s="24" t="n"/>
      <c r="Q382" s="24" t="n"/>
    </row>
    <row r="383" ht="15" customHeight="1">
      <c r="A383" s="63">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4" t="n"/>
      <c r="M383" s="24" t="n"/>
      <c r="N383" s="25">
        <f>IF(M383="","",HYPERLINK(IF(LEFT(M383,4)="http",M383,set_QwilrBase&amp;M383),"Open quote"))</f>
        <v/>
      </c>
      <c r="O383" s="64" t="n"/>
      <c r="P383" s="24" t="n"/>
      <c r="Q383" s="24" t="n"/>
    </row>
    <row r="384" ht="15" customHeight="1">
      <c r="A384" s="63">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4" t="n"/>
      <c r="M384" s="24" t="n"/>
      <c r="N384" s="25">
        <f>IF(M384="","",HYPERLINK(IF(LEFT(M384,4)="http",M384,set_QwilrBase&amp;M384),"Open quote"))</f>
        <v/>
      </c>
      <c r="O384" s="64" t="n"/>
      <c r="P384" s="24" t="n"/>
      <c r="Q384" s="24" t="n"/>
    </row>
    <row r="385" ht="15" customHeight="1">
      <c r="A385" s="63">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4" t="n"/>
      <c r="M385" s="24" t="n"/>
      <c r="N385" s="25">
        <f>IF(M385="","",HYPERLINK(IF(LEFT(M385,4)="http",M385,set_QwilrBase&amp;M385),"Open quote"))</f>
        <v/>
      </c>
      <c r="O385" s="64" t="n"/>
      <c r="P385" s="24" t="n"/>
      <c r="Q385" s="24" t="n"/>
    </row>
    <row r="386" ht="15" customHeight="1">
      <c r="A386" s="63">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4" t="n"/>
      <c r="M386" s="24" t="n"/>
      <c r="N386" s="25">
        <f>IF(M386="","",HYPERLINK(IF(LEFT(M386,4)="http",M386,set_QwilrBase&amp;M386),"Open quote"))</f>
        <v/>
      </c>
      <c r="O386" s="64" t="n"/>
      <c r="P386" s="24" t="n"/>
      <c r="Q386" s="24" t="n"/>
    </row>
    <row r="387" ht="15" customHeight="1">
      <c r="A387" s="63">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4" t="n"/>
      <c r="M387" s="24" t="n"/>
      <c r="N387" s="25">
        <f>IF(M387="","",HYPERLINK(IF(LEFT(M387,4)="http",M387,set_QwilrBase&amp;M387),"Open quote"))</f>
        <v/>
      </c>
      <c r="O387" s="64" t="n"/>
      <c r="P387" s="24" t="n"/>
      <c r="Q387" s="24" t="n"/>
    </row>
    <row r="388" ht="15" customHeight="1">
      <c r="A388" s="63">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4" t="n"/>
      <c r="M388" s="24" t="n"/>
      <c r="N388" s="25">
        <f>IF(M388="","",HYPERLINK(IF(LEFT(M388,4)="http",M388,set_QwilrBase&amp;M388),"Open quote"))</f>
        <v/>
      </c>
      <c r="O388" s="64" t="n"/>
      <c r="P388" s="24" t="n"/>
      <c r="Q388" s="24" t="n"/>
    </row>
    <row r="389" ht="15" customHeight="1">
      <c r="A389" s="63">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4" t="n"/>
      <c r="M389" s="24" t="n"/>
      <c r="N389" s="25">
        <f>IF(M389="","",HYPERLINK(IF(LEFT(M389,4)="http",M389,set_QwilrBase&amp;M389),"Open quote"))</f>
        <v/>
      </c>
      <c r="O389" s="64" t="n"/>
      <c r="P389" s="24" t="n"/>
      <c r="Q389" s="24" t="n"/>
    </row>
    <row r="390" ht="15" customHeight="1">
      <c r="A390" s="63">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4" t="n"/>
      <c r="M390" s="24" t="n"/>
      <c r="N390" s="25">
        <f>IF(M390="","",HYPERLINK(IF(LEFT(M390,4)="http",M390,set_QwilrBase&amp;M390),"Open quote"))</f>
        <v/>
      </c>
      <c r="O390" s="64" t="n"/>
      <c r="P390" s="24" t="n"/>
      <c r="Q390" s="24" t="n"/>
    </row>
    <row r="391" ht="15" customHeight="1">
      <c r="A391" s="63">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4" t="n"/>
      <c r="M391" s="24" t="n"/>
      <c r="N391" s="25">
        <f>IF(M391="","",HYPERLINK(IF(LEFT(M391,4)="http",M391,set_QwilrBase&amp;M391),"Open quote"))</f>
        <v/>
      </c>
      <c r="O391" s="64" t="n"/>
      <c r="P391" s="24" t="n"/>
      <c r="Q391" s="24" t="n"/>
    </row>
    <row r="392" ht="15" customHeight="1">
      <c r="A392" s="63">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4" t="n"/>
      <c r="M392" s="24" t="n"/>
      <c r="N392" s="25">
        <f>IF(M392="","",HYPERLINK(IF(LEFT(M392,4)="http",M392,set_QwilrBase&amp;M392),"Open quote"))</f>
        <v/>
      </c>
      <c r="O392" s="64" t="n"/>
      <c r="P392" s="24" t="n"/>
      <c r="Q392" s="24" t="n"/>
    </row>
    <row r="393" ht="15" customHeight="1">
      <c r="A393" s="63">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4" t="n"/>
      <c r="M393" s="24" t="n"/>
      <c r="N393" s="25">
        <f>IF(M393="","",HYPERLINK(IF(LEFT(M393,4)="http",M393,set_QwilrBase&amp;M393),"Open quote"))</f>
        <v/>
      </c>
      <c r="O393" s="64" t="n"/>
      <c r="P393" s="24" t="n"/>
      <c r="Q393" s="24" t="n"/>
    </row>
    <row r="394" ht="15" customHeight="1">
      <c r="A394" s="63">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4" t="n"/>
      <c r="M394" s="24" t="n"/>
      <c r="N394" s="25">
        <f>IF(M394="","",HYPERLINK(IF(LEFT(M394,4)="http",M394,set_QwilrBase&amp;M394),"Open quote"))</f>
        <v/>
      </c>
      <c r="O394" s="64" t="n"/>
      <c r="P394" s="24" t="n"/>
      <c r="Q394" s="24" t="n"/>
    </row>
    <row r="395" ht="15" customHeight="1">
      <c r="A395" s="63">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4" t="n"/>
      <c r="M395" s="24" t="n"/>
      <c r="N395" s="25">
        <f>IF(M395="","",HYPERLINK(IF(LEFT(M395,4)="http",M395,set_QwilrBase&amp;M395),"Open quote"))</f>
        <v/>
      </c>
      <c r="O395" s="64" t="n"/>
      <c r="P395" s="24" t="n"/>
      <c r="Q395" s="24" t="n"/>
    </row>
    <row r="396" ht="15" customHeight="1">
      <c r="A396" s="63">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4" t="n"/>
      <c r="M396" s="24" t="n"/>
      <c r="N396" s="25">
        <f>IF(M396="","",HYPERLINK(IF(LEFT(M396,4)="http",M396,set_QwilrBase&amp;M396),"Open quote"))</f>
        <v/>
      </c>
      <c r="O396" s="64" t="n"/>
      <c r="P396" s="24" t="n"/>
      <c r="Q396" s="24" t="n"/>
    </row>
    <row r="397" ht="15" customHeight="1">
      <c r="A397" s="63">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4" t="n"/>
      <c r="M397" s="24" t="n"/>
      <c r="N397" s="25">
        <f>IF(M397="","",HYPERLINK(IF(LEFT(M397,4)="http",M397,set_QwilrBase&amp;M397),"Open quote"))</f>
        <v/>
      </c>
      <c r="O397" s="64" t="n"/>
      <c r="P397" s="24" t="n"/>
      <c r="Q397" s="24" t="n"/>
    </row>
    <row r="398" ht="15" customHeight="1">
      <c r="A398" s="63">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4" t="n"/>
      <c r="M398" s="24" t="n"/>
      <c r="N398" s="25">
        <f>IF(M398="","",HYPERLINK(IF(LEFT(M398,4)="http",M398,set_QwilrBase&amp;M398),"Open quote"))</f>
        <v/>
      </c>
      <c r="O398" s="64" t="n"/>
      <c r="P398" s="24" t="n"/>
      <c r="Q398" s="24" t="n"/>
    </row>
    <row r="399" ht="15" customHeight="1">
      <c r="A399" s="63">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4" t="n"/>
      <c r="M399" s="24" t="n"/>
      <c r="N399" s="25">
        <f>IF(M399="","",HYPERLINK(IF(LEFT(M399,4)="http",M399,set_QwilrBase&amp;M399),"Open quote"))</f>
        <v/>
      </c>
      <c r="O399" s="64" t="n"/>
      <c r="P399" s="24" t="n"/>
      <c r="Q399" s="24" t="n"/>
    </row>
    <row r="400" ht="15" customHeight="1">
      <c r="A400" s="63">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4" t="n"/>
      <c r="M400" s="24" t="n"/>
      <c r="N400" s="25">
        <f>IF(M400="","",HYPERLINK(IF(LEFT(M400,4)="http",M400,set_QwilrBase&amp;M400),"Open quote"))</f>
        <v/>
      </c>
      <c r="O400" s="64" t="n"/>
      <c r="P400" s="24" t="n"/>
      <c r="Q400" s="24" t="n"/>
    </row>
    <row r="401" ht="15" customHeight="1">
      <c r="A401" s="63">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4" t="n"/>
      <c r="M401" s="24" t="n"/>
      <c r="N401" s="25">
        <f>IF(M401="","",HYPERLINK(IF(LEFT(M401,4)="http",M401,set_QwilrBase&amp;M401),"Open quote"))</f>
        <v/>
      </c>
      <c r="O401" s="64" t="n"/>
      <c r="P401" s="24" t="n"/>
      <c r="Q401" s="24" t="n"/>
    </row>
    <row r="402" ht="15" customHeight="1">
      <c r="A402" s="63">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4" t="n"/>
      <c r="M402" s="24" t="n"/>
      <c r="N402" s="25">
        <f>IF(M402="","",HYPERLINK(IF(LEFT(M402,4)="http",M402,set_QwilrBase&amp;M402),"Open quote"))</f>
        <v/>
      </c>
      <c r="O402" s="64" t="n"/>
      <c r="P402" s="24" t="n"/>
      <c r="Q402" s="24" t="n"/>
    </row>
    <row r="403" ht="15" customHeight="1">
      <c r="A403" s="63">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4" t="n"/>
      <c r="M403" s="24" t="n"/>
      <c r="N403" s="25">
        <f>IF(M403="","",HYPERLINK(IF(LEFT(M403,4)="http",M403,set_QwilrBase&amp;M403),"Open quote"))</f>
        <v/>
      </c>
      <c r="O403" s="64" t="n"/>
      <c r="P403" s="24" t="n"/>
      <c r="Q403" s="24" t="n"/>
    </row>
    <row r="404" ht="15" customHeight="1">
      <c r="A404" s="63">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4" t="n"/>
      <c r="M404" s="24" t="n"/>
      <c r="N404" s="25">
        <f>IF(M404="","",HYPERLINK(IF(LEFT(M404,4)="http",M404,set_QwilrBase&amp;M404),"Open quote"))</f>
        <v/>
      </c>
      <c r="O404" s="64" t="n"/>
      <c r="P404" s="24" t="n"/>
      <c r="Q404" s="24" t="n"/>
    </row>
    <row r="405" ht="15" customHeight="1">
      <c r="A405" s="63">
        <f>IF(C405="","",IFERROR(IF(SUMPRODUCT(MAX((tbl_Finance[Job Number]=C405&amp;"")*(tbl_Finance[Xero Invoice No]&lt;&gt;"")*tbl_Finance[Date]))=0,"",SUMPRODUCT(MAX((tbl_Finance[Job Number]=C405&amp;"")*(tbl_Finance[Xero Invoice No]&lt;&gt;"")*tbl_Finance[Date]))),""))</f>
        <v/>
      </c>
      <c r="B405" s="25">
        <f>IF(C405="","",IF(COUNTIFS(tbl_Finance[Job Number],C405&amp;"",tbl_Finance[Xero Invoice No],"&lt;&gt;")=0,"",IFERROR(IF(COUNTIFS(tbl_Finance[Job Number],C405&amp;"",tbl_Finance[Xero Invoice No],LOOKUP(2,1/((tbl_Finance[Job Number]=C405&amp;"")*(tbl_Finance[Xero Invoice No]&lt;&gt;"")),tbl_Finance[Xero Invoice No]))=COUNTIFS(tbl_Finance[Job Number],C405&amp;"",tbl_Finance[Xero Invoice No],"&lt;&gt;"),LOOKUP(2,1/((tbl_Finance[Job Number]=C405&amp;"")*(tbl_Finance[Xero Invoice No]&lt;&gt;"")),tbl_Finance[Xero Invoice No]),LOOKUP(2,1/((tbl_Finance[Job Number]=C405&amp;"")*(tbl_Finance[Xero Invoice No]&lt;&gt;"")),tbl_Finance[Xero Invoice No])&amp;" +more"),"")))</f>
        <v/>
      </c>
      <c r="C405" s="24" t="n"/>
      <c r="D405" s="25">
        <f>IF(C405="","",IF(COUNTIF(lst_Jobs,C405&amp;"")&gt;0,"OK","CHECK"))</f>
        <v/>
      </c>
      <c r="E405" s="25">
        <f>IF(C405="","",IFERROR(INDEX(lst_JobName,MATCH(C405&amp;"",lst_Jobs,0)),""))</f>
        <v/>
      </c>
      <c r="F405" s="25">
        <f>IF(C405="","",IFERROR(INDEX(tbl_Finance[Client],MATCH(C405&amp;"",tbl_Finance[Job Number],0)),""))</f>
        <v/>
      </c>
      <c r="G405" s="28">
        <f>IF(C405="","",COUNTIFS(tbl_Finance[Job Number],C405&amp;"",tbl_Finance[Ex GST],"&lt;&gt;"))</f>
        <v/>
      </c>
      <c r="H405" s="27">
        <f>IF(C405="","",SUMIFS(tbl_Finance[Ex GST],tbl_Finance[Job Number],C405&amp;""))</f>
        <v/>
      </c>
      <c r="I405" s="27">
        <f>IF(C405="","",SUMIFS(tbl_Finance[Ex GST],tbl_Finance[Job Number],C405&amp;"",tbl_Finance[Xero Invoice No],"&lt;&gt;"))</f>
        <v/>
      </c>
      <c r="J405" s="27">
        <f>IF(C405="","",H405-I405)</f>
        <v/>
      </c>
      <c r="K405" s="25">
        <f>IF(C405="","",IF(G405=0,"not invoiced yet",SUBSTITUTE(TRIM(IF(COUNTIFS(tbl_Finance[Job Number],C405&amp;"",tbl_Finance[Cost Centre],"ONSITE")&gt;0,"ONSITE ","")&amp;IF(COUNTIFS(tbl_Finance[Job Number],C405&amp;"",tbl_Finance[Cost Centre],"PRODUCTION")&gt;0,"PRODUCTION ","")&amp;IF(COUNTIFS(tbl_Finance[Job Number],C405&amp;"",tbl_Finance[Cost Centre],"VIDEO")&gt;0,"VIDEO ","")&amp;IF(COUNTIFS(tbl_Finance[Job Number],C405&amp;"",tbl_Finance[Cost Centre],"INTEGRATION")&gt;0,"INTEGRATION ","")&amp;IF(COUNTIFS(tbl_Finance[Job Number],C405&amp;"",tbl_Finance[Cost Centre],"CONSULTING")&gt;0,"CONSULTING ","")&amp;IF(COUNTIFS(tbl_Finance[Job Number],C405&amp;"",tbl_Finance[Cost Centre],"CTS")&gt;0,"CTS ",""))," ",", ")))</f>
        <v/>
      </c>
      <c r="L405" s="24" t="n"/>
      <c r="M405" s="24" t="n"/>
      <c r="N405" s="25">
        <f>IF(M405="","",HYPERLINK(IF(LEFT(M405,4)="http",M405,set_QwilrBase&amp;M405),"Open quote"))</f>
        <v/>
      </c>
      <c r="O405" s="64" t="n"/>
      <c r="P405" s="24" t="n"/>
      <c r="Q405" s="24" t="n"/>
    </row>
    <row r="406" ht="15" customHeight="1">
      <c r="A406" s="63">
        <f>IF(C406="","",IFERROR(IF(SUMPRODUCT(MAX((tbl_Finance[Job Number]=C406&amp;"")*(tbl_Finance[Xero Invoice No]&lt;&gt;"")*tbl_Finance[Date]))=0,"",SUMPRODUCT(MAX((tbl_Finance[Job Number]=C406&amp;"")*(tbl_Finance[Xero Invoice No]&lt;&gt;"")*tbl_Finance[Date]))),""))</f>
        <v/>
      </c>
      <c r="B406" s="25">
        <f>IF(C406="","",IF(COUNTIFS(tbl_Finance[Job Number],C406&amp;"",tbl_Finance[Xero Invoice No],"&lt;&gt;")=0,"",IFERROR(IF(COUNTIFS(tbl_Finance[Job Number],C406&amp;"",tbl_Finance[Xero Invoice No],LOOKUP(2,1/((tbl_Finance[Job Number]=C406&amp;"")*(tbl_Finance[Xero Invoice No]&lt;&gt;"")),tbl_Finance[Xero Invoice No]))=COUNTIFS(tbl_Finance[Job Number],C406&amp;"",tbl_Finance[Xero Invoice No],"&lt;&gt;"),LOOKUP(2,1/((tbl_Finance[Job Number]=C406&amp;"")*(tbl_Finance[Xero Invoice No]&lt;&gt;"")),tbl_Finance[Xero Invoice No]),LOOKUP(2,1/((tbl_Finance[Job Number]=C406&amp;"")*(tbl_Finance[Xero Invoice No]&lt;&gt;"")),tbl_Finance[Xero Invoice No])&amp;" +more"),"")))</f>
        <v/>
      </c>
      <c r="C406" s="24" t="n"/>
      <c r="D406" s="25">
        <f>IF(C406="","",IF(COUNTIF(lst_Jobs,C406&amp;"")&gt;0,"OK","CHECK"))</f>
        <v/>
      </c>
      <c r="E406" s="25">
        <f>IF(C406="","",IFERROR(INDEX(lst_JobName,MATCH(C406&amp;"",lst_Jobs,0)),""))</f>
        <v/>
      </c>
      <c r="F406" s="25">
        <f>IF(C406="","",IFERROR(INDEX(tbl_Finance[Client],MATCH(C406&amp;"",tbl_Finance[Job Number],0)),""))</f>
        <v/>
      </c>
      <c r="G406" s="28">
        <f>IF(C406="","",COUNTIFS(tbl_Finance[Job Number],C406&amp;"",tbl_Finance[Ex GST],"&lt;&gt;"))</f>
        <v/>
      </c>
      <c r="H406" s="27">
        <f>IF(C406="","",SUMIFS(tbl_Finance[Ex GST],tbl_Finance[Job Number],C406&amp;""))</f>
        <v/>
      </c>
      <c r="I406" s="27">
        <f>IF(C406="","",SUMIFS(tbl_Finance[Ex GST],tbl_Finance[Job Number],C406&amp;"",tbl_Finance[Xero Invoice No],"&lt;&gt;"))</f>
        <v/>
      </c>
      <c r="J406" s="27">
        <f>IF(C406="","",H406-I406)</f>
        <v/>
      </c>
      <c r="K406" s="25">
        <f>IF(C406="","",IF(G406=0,"not invoiced yet",SUBSTITUTE(TRIM(IF(COUNTIFS(tbl_Finance[Job Number],C406&amp;"",tbl_Finance[Cost Centre],"ONSITE")&gt;0,"ONSITE ","")&amp;IF(COUNTIFS(tbl_Finance[Job Number],C406&amp;"",tbl_Finance[Cost Centre],"PRODUCTION")&gt;0,"PRODUCTION ","")&amp;IF(COUNTIFS(tbl_Finance[Job Number],C406&amp;"",tbl_Finance[Cost Centre],"VIDEO")&gt;0,"VIDEO ","")&amp;IF(COUNTIFS(tbl_Finance[Job Number],C406&amp;"",tbl_Finance[Cost Centre],"INTEGRATION")&gt;0,"INTEGRATION ","")&amp;IF(COUNTIFS(tbl_Finance[Job Number],C406&amp;"",tbl_Finance[Cost Centre],"CONSULTING")&gt;0,"CONSULTING ","")&amp;IF(COUNTIFS(tbl_Finance[Job Number],C406&amp;"",tbl_Finance[Cost Centre],"CTS")&gt;0,"CTS ",""))," ",", ")))</f>
        <v/>
      </c>
      <c r="L406" s="24" t="n"/>
      <c r="M406" s="24" t="n"/>
      <c r="N406" s="25">
        <f>IF(M406="","",HYPERLINK(IF(LEFT(M406,4)="http",M406,set_QwilrBase&amp;M406),"Open quote"))</f>
        <v/>
      </c>
      <c r="O406" s="64" t="n"/>
      <c r="P406" s="24" t="n"/>
      <c r="Q406" s="24" t="n"/>
    </row>
    <row r="407" ht="15" customHeight="1">
      <c r="A407" s="63">
        <f>IF(C407="","",IFERROR(IF(SUMPRODUCT(MAX((tbl_Finance[Job Number]=C407&amp;"")*(tbl_Finance[Xero Invoice No]&lt;&gt;"")*tbl_Finance[Date]))=0,"",SUMPRODUCT(MAX((tbl_Finance[Job Number]=C407&amp;"")*(tbl_Finance[Xero Invoice No]&lt;&gt;"")*tbl_Finance[Date]))),""))</f>
        <v/>
      </c>
      <c r="B407" s="25">
        <f>IF(C407="","",IF(COUNTIFS(tbl_Finance[Job Number],C407&amp;"",tbl_Finance[Xero Invoice No],"&lt;&gt;")=0,"",IFERROR(IF(COUNTIFS(tbl_Finance[Job Number],C407&amp;"",tbl_Finance[Xero Invoice No],LOOKUP(2,1/((tbl_Finance[Job Number]=C407&amp;"")*(tbl_Finance[Xero Invoice No]&lt;&gt;"")),tbl_Finance[Xero Invoice No]))=COUNTIFS(tbl_Finance[Job Number],C407&amp;"",tbl_Finance[Xero Invoice No],"&lt;&gt;"),LOOKUP(2,1/((tbl_Finance[Job Number]=C407&amp;"")*(tbl_Finance[Xero Invoice No]&lt;&gt;"")),tbl_Finance[Xero Invoice No]),LOOKUP(2,1/((tbl_Finance[Job Number]=C407&amp;"")*(tbl_Finance[Xero Invoice No]&lt;&gt;"")),tbl_Finance[Xero Invoice No])&amp;" +more"),"")))</f>
        <v/>
      </c>
      <c r="C407" s="24" t="n"/>
      <c r="D407" s="25">
        <f>IF(C407="","",IF(COUNTIF(lst_Jobs,C407&amp;"")&gt;0,"OK","CHECK"))</f>
        <v/>
      </c>
      <c r="E407" s="25">
        <f>IF(C407="","",IFERROR(INDEX(lst_JobName,MATCH(C407&amp;"",lst_Jobs,0)),""))</f>
        <v/>
      </c>
      <c r="F407" s="25">
        <f>IF(C407="","",IFERROR(INDEX(tbl_Finance[Client],MATCH(C407&amp;"",tbl_Finance[Job Number],0)),""))</f>
        <v/>
      </c>
      <c r="G407" s="28">
        <f>IF(C407="","",COUNTIFS(tbl_Finance[Job Number],C407&amp;"",tbl_Finance[Ex GST],"&lt;&gt;"))</f>
        <v/>
      </c>
      <c r="H407" s="27">
        <f>IF(C407="","",SUMIFS(tbl_Finance[Ex GST],tbl_Finance[Job Number],C407&amp;""))</f>
        <v/>
      </c>
      <c r="I407" s="27">
        <f>IF(C407="","",SUMIFS(tbl_Finance[Ex GST],tbl_Finance[Job Number],C407&amp;"",tbl_Finance[Xero Invoice No],"&lt;&gt;"))</f>
        <v/>
      </c>
      <c r="J407" s="27">
        <f>IF(C407="","",H407-I407)</f>
        <v/>
      </c>
      <c r="K407" s="25">
        <f>IF(C407="","",IF(G407=0,"not invoiced yet",SUBSTITUTE(TRIM(IF(COUNTIFS(tbl_Finance[Job Number],C407&amp;"",tbl_Finance[Cost Centre],"ONSITE")&gt;0,"ONSITE ","")&amp;IF(COUNTIFS(tbl_Finance[Job Number],C407&amp;"",tbl_Finance[Cost Centre],"PRODUCTION")&gt;0,"PRODUCTION ","")&amp;IF(COUNTIFS(tbl_Finance[Job Number],C407&amp;"",tbl_Finance[Cost Centre],"VIDEO")&gt;0,"VIDEO ","")&amp;IF(COUNTIFS(tbl_Finance[Job Number],C407&amp;"",tbl_Finance[Cost Centre],"INTEGRATION")&gt;0,"INTEGRATION ","")&amp;IF(COUNTIFS(tbl_Finance[Job Number],C407&amp;"",tbl_Finance[Cost Centre],"CONSULTING")&gt;0,"CONSULTING ","")&amp;IF(COUNTIFS(tbl_Finance[Job Number],C407&amp;"",tbl_Finance[Cost Centre],"CTS")&gt;0,"CTS ",""))," ",", ")))</f>
        <v/>
      </c>
      <c r="L407" s="24" t="n"/>
      <c r="M407" s="24" t="n"/>
      <c r="N407" s="25">
        <f>IF(M407="","",HYPERLINK(IF(LEFT(M407,4)="http",M407,set_QwilrBase&amp;M407),"Open quote"))</f>
        <v/>
      </c>
      <c r="O407" s="64" t="n"/>
      <c r="P407" s="24" t="n"/>
      <c r="Q407" s="24" t="n"/>
    </row>
    <row r="408" ht="15" customHeight="1">
      <c r="A408" s="63">
        <f>IF(C408="","",IFERROR(IF(SUMPRODUCT(MAX((tbl_Finance[Job Number]=C408&amp;"")*(tbl_Finance[Xero Invoice No]&lt;&gt;"")*tbl_Finance[Date]))=0,"",SUMPRODUCT(MAX((tbl_Finance[Job Number]=C408&amp;"")*(tbl_Finance[Xero Invoice No]&lt;&gt;"")*tbl_Finance[Date]))),""))</f>
        <v/>
      </c>
      <c r="B408" s="25">
        <f>IF(C408="","",IF(COUNTIFS(tbl_Finance[Job Number],C408&amp;"",tbl_Finance[Xero Invoice No],"&lt;&gt;")=0,"",IFERROR(IF(COUNTIFS(tbl_Finance[Job Number],C408&amp;"",tbl_Finance[Xero Invoice No],LOOKUP(2,1/((tbl_Finance[Job Number]=C408&amp;"")*(tbl_Finance[Xero Invoice No]&lt;&gt;"")),tbl_Finance[Xero Invoice No]))=COUNTIFS(tbl_Finance[Job Number],C408&amp;"",tbl_Finance[Xero Invoice No],"&lt;&gt;"),LOOKUP(2,1/((tbl_Finance[Job Number]=C408&amp;"")*(tbl_Finance[Xero Invoice No]&lt;&gt;"")),tbl_Finance[Xero Invoice No]),LOOKUP(2,1/((tbl_Finance[Job Number]=C408&amp;"")*(tbl_Finance[Xero Invoice No]&lt;&gt;"")),tbl_Finance[Xero Invoice No])&amp;" +more"),"")))</f>
        <v/>
      </c>
      <c r="C408" s="24" t="n"/>
      <c r="D408" s="25">
        <f>IF(C408="","",IF(COUNTIF(lst_Jobs,C408&amp;"")&gt;0,"OK","CHECK"))</f>
        <v/>
      </c>
      <c r="E408" s="25">
        <f>IF(C408="","",IFERROR(INDEX(lst_JobName,MATCH(C408&amp;"",lst_Jobs,0)),""))</f>
        <v/>
      </c>
      <c r="F408" s="25">
        <f>IF(C408="","",IFERROR(INDEX(tbl_Finance[Client],MATCH(C408&amp;"",tbl_Finance[Job Number],0)),""))</f>
        <v/>
      </c>
      <c r="G408" s="28">
        <f>IF(C408="","",COUNTIFS(tbl_Finance[Job Number],C408&amp;"",tbl_Finance[Ex GST],"&lt;&gt;"))</f>
        <v/>
      </c>
      <c r="H408" s="27">
        <f>IF(C408="","",SUMIFS(tbl_Finance[Ex GST],tbl_Finance[Job Number],C408&amp;""))</f>
        <v/>
      </c>
      <c r="I408" s="27">
        <f>IF(C408="","",SUMIFS(tbl_Finance[Ex GST],tbl_Finance[Job Number],C408&amp;"",tbl_Finance[Xero Invoice No],"&lt;&gt;"))</f>
        <v/>
      </c>
      <c r="J408" s="27">
        <f>IF(C408="","",H408-I408)</f>
        <v/>
      </c>
      <c r="K408" s="25">
        <f>IF(C408="","",IF(G408=0,"not invoiced yet",SUBSTITUTE(TRIM(IF(COUNTIFS(tbl_Finance[Job Number],C408&amp;"",tbl_Finance[Cost Centre],"ONSITE")&gt;0,"ONSITE ","")&amp;IF(COUNTIFS(tbl_Finance[Job Number],C408&amp;"",tbl_Finance[Cost Centre],"PRODUCTION")&gt;0,"PRODUCTION ","")&amp;IF(COUNTIFS(tbl_Finance[Job Number],C408&amp;"",tbl_Finance[Cost Centre],"VIDEO")&gt;0,"VIDEO ","")&amp;IF(COUNTIFS(tbl_Finance[Job Number],C408&amp;"",tbl_Finance[Cost Centre],"INTEGRATION")&gt;0,"INTEGRATION ","")&amp;IF(COUNTIFS(tbl_Finance[Job Number],C408&amp;"",tbl_Finance[Cost Centre],"CONSULTING")&gt;0,"CONSULTING ","")&amp;IF(COUNTIFS(tbl_Finance[Job Number],C408&amp;"",tbl_Finance[Cost Centre],"CTS")&gt;0,"CTS ",""))," ",", ")))</f>
        <v/>
      </c>
      <c r="L408" s="24" t="n"/>
      <c r="M408" s="24" t="n"/>
      <c r="N408" s="25">
        <f>IF(M408="","",HYPERLINK(IF(LEFT(M408,4)="http",M408,set_QwilrBase&amp;M408),"Open quote"))</f>
        <v/>
      </c>
      <c r="O408" s="64" t="n"/>
      <c r="P408" s="24" t="n"/>
      <c r="Q408" s="24" t="n"/>
    </row>
    <row r="409" ht="15" customHeight="1">
      <c r="A409" s="63">
        <f>IF(C409="","",IFERROR(IF(SUMPRODUCT(MAX((tbl_Finance[Job Number]=C409&amp;"")*(tbl_Finance[Xero Invoice No]&lt;&gt;"")*tbl_Finance[Date]))=0,"",SUMPRODUCT(MAX((tbl_Finance[Job Number]=C409&amp;"")*(tbl_Finance[Xero Invoice No]&lt;&gt;"")*tbl_Finance[Date]))),""))</f>
        <v/>
      </c>
      <c r="B409" s="25">
        <f>IF(C409="","",IF(COUNTIFS(tbl_Finance[Job Number],C409&amp;"",tbl_Finance[Xero Invoice No],"&lt;&gt;")=0,"",IFERROR(IF(COUNTIFS(tbl_Finance[Job Number],C409&amp;"",tbl_Finance[Xero Invoice No],LOOKUP(2,1/((tbl_Finance[Job Number]=C409&amp;"")*(tbl_Finance[Xero Invoice No]&lt;&gt;"")),tbl_Finance[Xero Invoice No]))=COUNTIFS(tbl_Finance[Job Number],C409&amp;"",tbl_Finance[Xero Invoice No],"&lt;&gt;"),LOOKUP(2,1/((tbl_Finance[Job Number]=C409&amp;"")*(tbl_Finance[Xero Invoice No]&lt;&gt;"")),tbl_Finance[Xero Invoice No]),LOOKUP(2,1/((tbl_Finance[Job Number]=C409&amp;"")*(tbl_Finance[Xero Invoice No]&lt;&gt;"")),tbl_Finance[Xero Invoice No])&amp;" +more"),"")))</f>
        <v/>
      </c>
      <c r="C409" s="24" t="n"/>
      <c r="D409" s="25">
        <f>IF(C409="","",IF(COUNTIF(lst_Jobs,C409&amp;"")&gt;0,"OK","CHECK"))</f>
        <v/>
      </c>
      <c r="E409" s="25">
        <f>IF(C409="","",IFERROR(INDEX(lst_JobName,MATCH(C409&amp;"",lst_Jobs,0)),""))</f>
        <v/>
      </c>
      <c r="F409" s="25">
        <f>IF(C409="","",IFERROR(INDEX(tbl_Finance[Client],MATCH(C409&amp;"",tbl_Finance[Job Number],0)),""))</f>
        <v/>
      </c>
      <c r="G409" s="28">
        <f>IF(C409="","",COUNTIFS(tbl_Finance[Job Number],C409&amp;"",tbl_Finance[Ex GST],"&lt;&gt;"))</f>
        <v/>
      </c>
      <c r="H409" s="27">
        <f>IF(C409="","",SUMIFS(tbl_Finance[Ex GST],tbl_Finance[Job Number],C409&amp;""))</f>
        <v/>
      </c>
      <c r="I409" s="27">
        <f>IF(C409="","",SUMIFS(tbl_Finance[Ex GST],tbl_Finance[Job Number],C409&amp;"",tbl_Finance[Xero Invoice No],"&lt;&gt;"))</f>
        <v/>
      </c>
      <c r="J409" s="27">
        <f>IF(C409="","",H409-I409)</f>
        <v/>
      </c>
      <c r="K409" s="25">
        <f>IF(C409="","",IF(G409=0,"not invoiced yet",SUBSTITUTE(TRIM(IF(COUNTIFS(tbl_Finance[Job Number],C409&amp;"",tbl_Finance[Cost Centre],"ONSITE")&gt;0,"ONSITE ","")&amp;IF(COUNTIFS(tbl_Finance[Job Number],C409&amp;"",tbl_Finance[Cost Centre],"PRODUCTION")&gt;0,"PRODUCTION ","")&amp;IF(COUNTIFS(tbl_Finance[Job Number],C409&amp;"",tbl_Finance[Cost Centre],"VIDEO")&gt;0,"VIDEO ","")&amp;IF(COUNTIFS(tbl_Finance[Job Number],C409&amp;"",tbl_Finance[Cost Centre],"INTEGRATION")&gt;0,"INTEGRATION ","")&amp;IF(COUNTIFS(tbl_Finance[Job Number],C409&amp;"",tbl_Finance[Cost Centre],"CONSULTING")&gt;0,"CONSULTING ","")&amp;IF(COUNTIFS(tbl_Finance[Job Number],C409&amp;"",tbl_Finance[Cost Centre],"CTS")&gt;0,"CTS ",""))," ",", ")))</f>
        <v/>
      </c>
      <c r="L409" s="24" t="n"/>
      <c r="M409" s="24" t="n"/>
      <c r="N409" s="25">
        <f>IF(M409="","",HYPERLINK(IF(LEFT(M409,4)="http",M409,set_QwilrBase&amp;M409),"Open quote"))</f>
        <v/>
      </c>
      <c r="O409" s="64" t="n"/>
      <c r="P409" s="24" t="n"/>
      <c r="Q409" s="24" t="n"/>
    </row>
    <row r="410" ht="15" customHeight="1">
      <c r="A410" s="63">
        <f>IF(C410="","",IFERROR(IF(SUMPRODUCT(MAX((tbl_Finance[Job Number]=C410&amp;"")*(tbl_Finance[Xero Invoice No]&lt;&gt;"")*tbl_Finance[Date]))=0,"",SUMPRODUCT(MAX((tbl_Finance[Job Number]=C410&amp;"")*(tbl_Finance[Xero Invoice No]&lt;&gt;"")*tbl_Finance[Date]))),""))</f>
        <v/>
      </c>
      <c r="B410" s="25">
        <f>IF(C410="","",IF(COUNTIFS(tbl_Finance[Job Number],C410&amp;"",tbl_Finance[Xero Invoice No],"&lt;&gt;")=0,"",IFERROR(IF(COUNTIFS(tbl_Finance[Job Number],C410&amp;"",tbl_Finance[Xero Invoice No],LOOKUP(2,1/((tbl_Finance[Job Number]=C410&amp;"")*(tbl_Finance[Xero Invoice No]&lt;&gt;"")),tbl_Finance[Xero Invoice No]))=COUNTIFS(tbl_Finance[Job Number],C410&amp;"",tbl_Finance[Xero Invoice No],"&lt;&gt;"),LOOKUP(2,1/((tbl_Finance[Job Number]=C410&amp;"")*(tbl_Finance[Xero Invoice No]&lt;&gt;"")),tbl_Finance[Xero Invoice No]),LOOKUP(2,1/((tbl_Finance[Job Number]=C410&amp;"")*(tbl_Finance[Xero Invoice No]&lt;&gt;"")),tbl_Finance[Xero Invoice No])&amp;" +more"),"")))</f>
        <v/>
      </c>
      <c r="C410" s="24" t="n"/>
      <c r="D410" s="25">
        <f>IF(C410="","",IF(COUNTIF(lst_Jobs,C410&amp;"")&gt;0,"OK","CHECK"))</f>
        <v/>
      </c>
      <c r="E410" s="25">
        <f>IF(C410="","",IFERROR(INDEX(lst_JobName,MATCH(C410&amp;"",lst_Jobs,0)),""))</f>
        <v/>
      </c>
      <c r="F410" s="25">
        <f>IF(C410="","",IFERROR(INDEX(tbl_Finance[Client],MATCH(C410&amp;"",tbl_Finance[Job Number],0)),""))</f>
        <v/>
      </c>
      <c r="G410" s="28">
        <f>IF(C410="","",COUNTIFS(tbl_Finance[Job Number],C410&amp;"",tbl_Finance[Ex GST],"&lt;&gt;"))</f>
        <v/>
      </c>
      <c r="H410" s="27">
        <f>IF(C410="","",SUMIFS(tbl_Finance[Ex GST],tbl_Finance[Job Number],C410&amp;""))</f>
        <v/>
      </c>
      <c r="I410" s="27">
        <f>IF(C410="","",SUMIFS(tbl_Finance[Ex GST],tbl_Finance[Job Number],C410&amp;"",tbl_Finance[Xero Invoice No],"&lt;&gt;"))</f>
        <v/>
      </c>
      <c r="J410" s="27">
        <f>IF(C410="","",H410-I410)</f>
        <v/>
      </c>
      <c r="K410" s="25">
        <f>IF(C410="","",IF(G410=0,"not invoiced yet",SUBSTITUTE(TRIM(IF(COUNTIFS(tbl_Finance[Job Number],C410&amp;"",tbl_Finance[Cost Centre],"ONSITE")&gt;0,"ONSITE ","")&amp;IF(COUNTIFS(tbl_Finance[Job Number],C410&amp;"",tbl_Finance[Cost Centre],"PRODUCTION")&gt;0,"PRODUCTION ","")&amp;IF(COUNTIFS(tbl_Finance[Job Number],C410&amp;"",tbl_Finance[Cost Centre],"VIDEO")&gt;0,"VIDEO ","")&amp;IF(COUNTIFS(tbl_Finance[Job Number],C410&amp;"",tbl_Finance[Cost Centre],"INTEGRATION")&gt;0,"INTEGRATION ","")&amp;IF(COUNTIFS(tbl_Finance[Job Number],C410&amp;"",tbl_Finance[Cost Centre],"CONSULTING")&gt;0,"CONSULTING ","")&amp;IF(COUNTIFS(tbl_Finance[Job Number],C410&amp;"",tbl_Finance[Cost Centre],"CTS")&gt;0,"CTS ",""))," ",", ")))</f>
        <v/>
      </c>
      <c r="L410" s="24" t="n"/>
      <c r="M410" s="24" t="n"/>
      <c r="N410" s="25">
        <f>IF(M410="","",HYPERLINK(IF(LEFT(M410,4)="http",M410,set_QwilrBase&amp;M410),"Open quote"))</f>
        <v/>
      </c>
      <c r="O410" s="64" t="n"/>
      <c r="P410" s="24" t="n"/>
      <c r="Q410" s="24" t="n"/>
    </row>
    <row r="411" ht="15" customHeight="1">
      <c r="A411" s="63">
        <f>IF(C411="","",IFERROR(IF(SUMPRODUCT(MAX((tbl_Finance[Job Number]=C411&amp;"")*(tbl_Finance[Xero Invoice No]&lt;&gt;"")*tbl_Finance[Date]))=0,"",SUMPRODUCT(MAX((tbl_Finance[Job Number]=C411&amp;"")*(tbl_Finance[Xero Invoice No]&lt;&gt;"")*tbl_Finance[Date]))),""))</f>
        <v/>
      </c>
      <c r="B411" s="25">
        <f>IF(C411="","",IF(COUNTIFS(tbl_Finance[Job Number],C411&amp;"",tbl_Finance[Xero Invoice No],"&lt;&gt;")=0,"",IFERROR(IF(COUNTIFS(tbl_Finance[Job Number],C411&amp;"",tbl_Finance[Xero Invoice No],LOOKUP(2,1/((tbl_Finance[Job Number]=C411&amp;"")*(tbl_Finance[Xero Invoice No]&lt;&gt;"")),tbl_Finance[Xero Invoice No]))=COUNTIFS(tbl_Finance[Job Number],C411&amp;"",tbl_Finance[Xero Invoice No],"&lt;&gt;"),LOOKUP(2,1/((tbl_Finance[Job Number]=C411&amp;"")*(tbl_Finance[Xero Invoice No]&lt;&gt;"")),tbl_Finance[Xero Invoice No]),LOOKUP(2,1/((tbl_Finance[Job Number]=C411&amp;"")*(tbl_Finance[Xero Invoice No]&lt;&gt;"")),tbl_Finance[Xero Invoice No])&amp;" +more"),"")))</f>
        <v/>
      </c>
      <c r="C411" s="24" t="n"/>
      <c r="D411" s="25">
        <f>IF(C411="","",IF(COUNTIF(lst_Jobs,C411&amp;"")&gt;0,"OK","CHECK"))</f>
        <v/>
      </c>
      <c r="E411" s="25">
        <f>IF(C411="","",IFERROR(INDEX(lst_JobName,MATCH(C411&amp;"",lst_Jobs,0)),""))</f>
        <v/>
      </c>
      <c r="F411" s="25">
        <f>IF(C411="","",IFERROR(INDEX(tbl_Finance[Client],MATCH(C411&amp;"",tbl_Finance[Job Number],0)),""))</f>
        <v/>
      </c>
      <c r="G411" s="28">
        <f>IF(C411="","",COUNTIFS(tbl_Finance[Job Number],C411&amp;"",tbl_Finance[Ex GST],"&lt;&gt;"))</f>
        <v/>
      </c>
      <c r="H411" s="27">
        <f>IF(C411="","",SUMIFS(tbl_Finance[Ex GST],tbl_Finance[Job Number],C411&amp;""))</f>
        <v/>
      </c>
      <c r="I411" s="27">
        <f>IF(C411="","",SUMIFS(tbl_Finance[Ex GST],tbl_Finance[Job Number],C411&amp;"",tbl_Finance[Xero Invoice No],"&lt;&gt;"))</f>
        <v/>
      </c>
      <c r="J411" s="27">
        <f>IF(C411="","",H411-I411)</f>
        <v/>
      </c>
      <c r="K411" s="25">
        <f>IF(C411="","",IF(G411=0,"not invoiced yet",SUBSTITUTE(TRIM(IF(COUNTIFS(tbl_Finance[Job Number],C411&amp;"",tbl_Finance[Cost Centre],"ONSITE")&gt;0,"ONSITE ","")&amp;IF(COUNTIFS(tbl_Finance[Job Number],C411&amp;"",tbl_Finance[Cost Centre],"PRODUCTION")&gt;0,"PRODUCTION ","")&amp;IF(COUNTIFS(tbl_Finance[Job Number],C411&amp;"",tbl_Finance[Cost Centre],"VIDEO")&gt;0,"VIDEO ","")&amp;IF(COUNTIFS(tbl_Finance[Job Number],C411&amp;"",tbl_Finance[Cost Centre],"INTEGRATION")&gt;0,"INTEGRATION ","")&amp;IF(COUNTIFS(tbl_Finance[Job Number],C411&amp;"",tbl_Finance[Cost Centre],"CONSULTING")&gt;0,"CONSULTING ","")&amp;IF(COUNTIFS(tbl_Finance[Job Number],C411&amp;"",tbl_Finance[Cost Centre],"CTS")&gt;0,"CTS ",""))," ",", ")))</f>
        <v/>
      </c>
      <c r="L411" s="24" t="n"/>
      <c r="M411" s="24" t="n"/>
      <c r="N411" s="25">
        <f>IF(M411="","",HYPERLINK(IF(LEFT(M411,4)="http",M411,set_QwilrBase&amp;M411),"Open quote"))</f>
        <v/>
      </c>
      <c r="O411" s="64" t="n"/>
      <c r="P411" s="24" t="n"/>
      <c r="Q411" s="24" t="n"/>
    </row>
    <row r="412" ht="15" customHeight="1">
      <c r="A412" s="63">
        <f>IF(C412="","",IFERROR(IF(SUMPRODUCT(MAX((tbl_Finance[Job Number]=C412&amp;"")*(tbl_Finance[Xero Invoice No]&lt;&gt;"")*tbl_Finance[Date]))=0,"",SUMPRODUCT(MAX((tbl_Finance[Job Number]=C412&amp;"")*(tbl_Finance[Xero Invoice No]&lt;&gt;"")*tbl_Finance[Date]))),""))</f>
        <v/>
      </c>
      <c r="B412" s="25">
        <f>IF(C412="","",IF(COUNTIFS(tbl_Finance[Job Number],C412&amp;"",tbl_Finance[Xero Invoice No],"&lt;&gt;")=0,"",IFERROR(IF(COUNTIFS(tbl_Finance[Job Number],C412&amp;"",tbl_Finance[Xero Invoice No],LOOKUP(2,1/((tbl_Finance[Job Number]=C412&amp;"")*(tbl_Finance[Xero Invoice No]&lt;&gt;"")),tbl_Finance[Xero Invoice No]))=COUNTIFS(tbl_Finance[Job Number],C412&amp;"",tbl_Finance[Xero Invoice No],"&lt;&gt;"),LOOKUP(2,1/((tbl_Finance[Job Number]=C412&amp;"")*(tbl_Finance[Xero Invoice No]&lt;&gt;"")),tbl_Finance[Xero Invoice No]),LOOKUP(2,1/((tbl_Finance[Job Number]=C412&amp;"")*(tbl_Finance[Xero Invoice No]&lt;&gt;"")),tbl_Finance[Xero Invoice No])&amp;" +more"),"")))</f>
        <v/>
      </c>
      <c r="C412" s="24" t="n"/>
      <c r="D412" s="25">
        <f>IF(C412="","",IF(COUNTIF(lst_Jobs,C412&amp;"")&gt;0,"OK","CHECK"))</f>
        <v/>
      </c>
      <c r="E412" s="25">
        <f>IF(C412="","",IFERROR(INDEX(lst_JobName,MATCH(C412&amp;"",lst_Jobs,0)),""))</f>
        <v/>
      </c>
      <c r="F412" s="25">
        <f>IF(C412="","",IFERROR(INDEX(tbl_Finance[Client],MATCH(C412&amp;"",tbl_Finance[Job Number],0)),""))</f>
        <v/>
      </c>
      <c r="G412" s="28">
        <f>IF(C412="","",COUNTIFS(tbl_Finance[Job Number],C412&amp;"",tbl_Finance[Ex GST],"&lt;&gt;"))</f>
        <v/>
      </c>
      <c r="H412" s="27">
        <f>IF(C412="","",SUMIFS(tbl_Finance[Ex GST],tbl_Finance[Job Number],C412&amp;""))</f>
        <v/>
      </c>
      <c r="I412" s="27">
        <f>IF(C412="","",SUMIFS(tbl_Finance[Ex GST],tbl_Finance[Job Number],C412&amp;"",tbl_Finance[Xero Invoice No],"&lt;&gt;"))</f>
        <v/>
      </c>
      <c r="J412" s="27">
        <f>IF(C412="","",H412-I412)</f>
        <v/>
      </c>
      <c r="K412" s="25">
        <f>IF(C412="","",IF(G412=0,"not invoiced yet",SUBSTITUTE(TRIM(IF(COUNTIFS(tbl_Finance[Job Number],C412&amp;"",tbl_Finance[Cost Centre],"ONSITE")&gt;0,"ONSITE ","")&amp;IF(COUNTIFS(tbl_Finance[Job Number],C412&amp;"",tbl_Finance[Cost Centre],"PRODUCTION")&gt;0,"PRODUCTION ","")&amp;IF(COUNTIFS(tbl_Finance[Job Number],C412&amp;"",tbl_Finance[Cost Centre],"VIDEO")&gt;0,"VIDEO ","")&amp;IF(COUNTIFS(tbl_Finance[Job Number],C412&amp;"",tbl_Finance[Cost Centre],"INTEGRATION")&gt;0,"INTEGRATION ","")&amp;IF(COUNTIFS(tbl_Finance[Job Number],C412&amp;"",tbl_Finance[Cost Centre],"CONSULTING")&gt;0,"CONSULTING ","")&amp;IF(COUNTIFS(tbl_Finance[Job Number],C412&amp;"",tbl_Finance[Cost Centre],"CTS")&gt;0,"CTS ",""))," ",", ")))</f>
        <v/>
      </c>
      <c r="L412" s="24" t="n"/>
      <c r="M412" s="24" t="n"/>
      <c r="N412" s="25">
        <f>IF(M412="","",HYPERLINK(IF(LEFT(M412,4)="http",M412,set_QwilrBase&amp;M412),"Open quote"))</f>
        <v/>
      </c>
      <c r="O412" s="64" t="n"/>
      <c r="P412" s="24" t="n"/>
      <c r="Q412" s="24" t="n"/>
    </row>
    <row r="413" ht="15" customHeight="1">
      <c r="A413" s="63">
        <f>IF(C413="","",IFERROR(IF(SUMPRODUCT(MAX((tbl_Finance[Job Number]=C413&amp;"")*(tbl_Finance[Xero Invoice No]&lt;&gt;"")*tbl_Finance[Date]))=0,"",SUMPRODUCT(MAX((tbl_Finance[Job Number]=C413&amp;"")*(tbl_Finance[Xero Invoice No]&lt;&gt;"")*tbl_Finance[Date]))),""))</f>
        <v/>
      </c>
      <c r="B413" s="25">
        <f>IF(C413="","",IF(COUNTIFS(tbl_Finance[Job Number],C413&amp;"",tbl_Finance[Xero Invoice No],"&lt;&gt;")=0,"",IFERROR(IF(COUNTIFS(tbl_Finance[Job Number],C413&amp;"",tbl_Finance[Xero Invoice No],LOOKUP(2,1/((tbl_Finance[Job Number]=C413&amp;"")*(tbl_Finance[Xero Invoice No]&lt;&gt;"")),tbl_Finance[Xero Invoice No]))=COUNTIFS(tbl_Finance[Job Number],C413&amp;"",tbl_Finance[Xero Invoice No],"&lt;&gt;"),LOOKUP(2,1/((tbl_Finance[Job Number]=C413&amp;"")*(tbl_Finance[Xero Invoice No]&lt;&gt;"")),tbl_Finance[Xero Invoice No]),LOOKUP(2,1/((tbl_Finance[Job Number]=C413&amp;"")*(tbl_Finance[Xero Invoice No]&lt;&gt;"")),tbl_Finance[Xero Invoice No])&amp;" +more"),"")))</f>
        <v/>
      </c>
      <c r="C413" s="24" t="n"/>
      <c r="D413" s="25">
        <f>IF(C413="","",IF(COUNTIF(lst_Jobs,C413&amp;"")&gt;0,"OK","CHECK"))</f>
        <v/>
      </c>
      <c r="E413" s="25">
        <f>IF(C413="","",IFERROR(INDEX(lst_JobName,MATCH(C413&amp;"",lst_Jobs,0)),""))</f>
        <v/>
      </c>
      <c r="F413" s="25">
        <f>IF(C413="","",IFERROR(INDEX(tbl_Finance[Client],MATCH(C413&amp;"",tbl_Finance[Job Number],0)),""))</f>
        <v/>
      </c>
      <c r="G413" s="28">
        <f>IF(C413="","",COUNTIFS(tbl_Finance[Job Number],C413&amp;"",tbl_Finance[Ex GST],"&lt;&gt;"))</f>
        <v/>
      </c>
      <c r="H413" s="27">
        <f>IF(C413="","",SUMIFS(tbl_Finance[Ex GST],tbl_Finance[Job Number],C413&amp;""))</f>
        <v/>
      </c>
      <c r="I413" s="27">
        <f>IF(C413="","",SUMIFS(tbl_Finance[Ex GST],tbl_Finance[Job Number],C413&amp;"",tbl_Finance[Xero Invoice No],"&lt;&gt;"))</f>
        <v/>
      </c>
      <c r="J413" s="27">
        <f>IF(C413="","",H413-I413)</f>
        <v/>
      </c>
      <c r="K413" s="25">
        <f>IF(C413="","",IF(G413=0,"not invoiced yet",SUBSTITUTE(TRIM(IF(COUNTIFS(tbl_Finance[Job Number],C413&amp;"",tbl_Finance[Cost Centre],"ONSITE")&gt;0,"ONSITE ","")&amp;IF(COUNTIFS(tbl_Finance[Job Number],C413&amp;"",tbl_Finance[Cost Centre],"PRODUCTION")&gt;0,"PRODUCTION ","")&amp;IF(COUNTIFS(tbl_Finance[Job Number],C413&amp;"",tbl_Finance[Cost Centre],"VIDEO")&gt;0,"VIDEO ","")&amp;IF(COUNTIFS(tbl_Finance[Job Number],C413&amp;"",tbl_Finance[Cost Centre],"INTEGRATION")&gt;0,"INTEGRATION ","")&amp;IF(COUNTIFS(tbl_Finance[Job Number],C413&amp;"",tbl_Finance[Cost Centre],"CONSULTING")&gt;0,"CONSULTING ","")&amp;IF(COUNTIFS(tbl_Finance[Job Number],C413&amp;"",tbl_Finance[Cost Centre],"CTS")&gt;0,"CTS ",""))," ",", ")))</f>
        <v/>
      </c>
      <c r="L413" s="24" t="n"/>
      <c r="M413" s="24" t="n"/>
      <c r="N413" s="25">
        <f>IF(M413="","",HYPERLINK(IF(LEFT(M413,4)="http",M413,set_QwilrBase&amp;M413),"Open quote"))</f>
        <v/>
      </c>
      <c r="O413" s="64" t="n"/>
      <c r="P413" s="24" t="n"/>
      <c r="Q413" s="24" t="n"/>
    </row>
    <row r="414" ht="15" customHeight="1">
      <c r="A414" s="63">
        <f>IF(C414="","",IFERROR(IF(SUMPRODUCT(MAX((tbl_Finance[Job Number]=C414&amp;"")*(tbl_Finance[Xero Invoice No]&lt;&gt;"")*tbl_Finance[Date]))=0,"",SUMPRODUCT(MAX((tbl_Finance[Job Number]=C414&amp;"")*(tbl_Finance[Xero Invoice No]&lt;&gt;"")*tbl_Finance[Date]))),""))</f>
        <v/>
      </c>
      <c r="B414" s="25">
        <f>IF(C414="","",IF(COUNTIFS(tbl_Finance[Job Number],C414&amp;"",tbl_Finance[Xero Invoice No],"&lt;&gt;")=0,"",IFERROR(IF(COUNTIFS(tbl_Finance[Job Number],C414&amp;"",tbl_Finance[Xero Invoice No],LOOKUP(2,1/((tbl_Finance[Job Number]=C414&amp;"")*(tbl_Finance[Xero Invoice No]&lt;&gt;"")),tbl_Finance[Xero Invoice No]))=COUNTIFS(tbl_Finance[Job Number],C414&amp;"",tbl_Finance[Xero Invoice No],"&lt;&gt;"),LOOKUP(2,1/((tbl_Finance[Job Number]=C414&amp;"")*(tbl_Finance[Xero Invoice No]&lt;&gt;"")),tbl_Finance[Xero Invoice No]),LOOKUP(2,1/((tbl_Finance[Job Number]=C414&amp;"")*(tbl_Finance[Xero Invoice No]&lt;&gt;"")),tbl_Finance[Xero Invoice No])&amp;" +more"),"")))</f>
        <v/>
      </c>
      <c r="C414" s="24" t="n"/>
      <c r="D414" s="25">
        <f>IF(C414="","",IF(COUNTIF(lst_Jobs,C414&amp;"")&gt;0,"OK","CHECK"))</f>
        <v/>
      </c>
      <c r="E414" s="25">
        <f>IF(C414="","",IFERROR(INDEX(lst_JobName,MATCH(C414&amp;"",lst_Jobs,0)),""))</f>
        <v/>
      </c>
      <c r="F414" s="25">
        <f>IF(C414="","",IFERROR(INDEX(tbl_Finance[Client],MATCH(C414&amp;"",tbl_Finance[Job Number],0)),""))</f>
        <v/>
      </c>
      <c r="G414" s="28">
        <f>IF(C414="","",COUNTIFS(tbl_Finance[Job Number],C414&amp;"",tbl_Finance[Ex GST],"&lt;&gt;"))</f>
        <v/>
      </c>
      <c r="H414" s="27">
        <f>IF(C414="","",SUMIFS(tbl_Finance[Ex GST],tbl_Finance[Job Number],C414&amp;""))</f>
        <v/>
      </c>
      <c r="I414" s="27">
        <f>IF(C414="","",SUMIFS(tbl_Finance[Ex GST],tbl_Finance[Job Number],C414&amp;"",tbl_Finance[Xero Invoice No],"&lt;&gt;"))</f>
        <v/>
      </c>
      <c r="J414" s="27">
        <f>IF(C414="","",H414-I414)</f>
        <v/>
      </c>
      <c r="K414" s="25">
        <f>IF(C414="","",IF(G414=0,"not invoiced yet",SUBSTITUTE(TRIM(IF(COUNTIFS(tbl_Finance[Job Number],C414&amp;"",tbl_Finance[Cost Centre],"ONSITE")&gt;0,"ONSITE ","")&amp;IF(COUNTIFS(tbl_Finance[Job Number],C414&amp;"",tbl_Finance[Cost Centre],"PRODUCTION")&gt;0,"PRODUCTION ","")&amp;IF(COUNTIFS(tbl_Finance[Job Number],C414&amp;"",tbl_Finance[Cost Centre],"VIDEO")&gt;0,"VIDEO ","")&amp;IF(COUNTIFS(tbl_Finance[Job Number],C414&amp;"",tbl_Finance[Cost Centre],"INTEGRATION")&gt;0,"INTEGRATION ","")&amp;IF(COUNTIFS(tbl_Finance[Job Number],C414&amp;"",tbl_Finance[Cost Centre],"CONSULTING")&gt;0,"CONSULTING ","")&amp;IF(COUNTIFS(tbl_Finance[Job Number],C414&amp;"",tbl_Finance[Cost Centre],"CTS")&gt;0,"CTS ",""))," ",", ")))</f>
        <v/>
      </c>
      <c r="L414" s="24" t="n"/>
      <c r="M414" s="24" t="n"/>
      <c r="N414" s="25">
        <f>IF(M414="","",HYPERLINK(IF(LEFT(M414,4)="http",M414,set_QwilrBase&amp;M414),"Open quote"))</f>
        <v/>
      </c>
      <c r="O414" s="64" t="n"/>
      <c r="P414" s="24" t="n"/>
      <c r="Q414" s="24" t="n"/>
    </row>
    <row r="415" ht="15" customHeight="1">
      <c r="A415" s="63">
        <f>IF(C415="","",IFERROR(IF(SUMPRODUCT(MAX((tbl_Finance[Job Number]=C415&amp;"")*(tbl_Finance[Xero Invoice No]&lt;&gt;"")*tbl_Finance[Date]))=0,"",SUMPRODUCT(MAX((tbl_Finance[Job Number]=C415&amp;"")*(tbl_Finance[Xero Invoice No]&lt;&gt;"")*tbl_Finance[Date]))),""))</f>
        <v/>
      </c>
      <c r="B415" s="25">
        <f>IF(C415="","",IF(COUNTIFS(tbl_Finance[Job Number],C415&amp;"",tbl_Finance[Xero Invoice No],"&lt;&gt;")=0,"",IFERROR(IF(COUNTIFS(tbl_Finance[Job Number],C415&amp;"",tbl_Finance[Xero Invoice No],LOOKUP(2,1/((tbl_Finance[Job Number]=C415&amp;"")*(tbl_Finance[Xero Invoice No]&lt;&gt;"")),tbl_Finance[Xero Invoice No]))=COUNTIFS(tbl_Finance[Job Number],C415&amp;"",tbl_Finance[Xero Invoice No],"&lt;&gt;"),LOOKUP(2,1/((tbl_Finance[Job Number]=C415&amp;"")*(tbl_Finance[Xero Invoice No]&lt;&gt;"")),tbl_Finance[Xero Invoice No]),LOOKUP(2,1/((tbl_Finance[Job Number]=C415&amp;"")*(tbl_Finance[Xero Invoice No]&lt;&gt;"")),tbl_Finance[Xero Invoice No])&amp;" +more"),"")))</f>
        <v/>
      </c>
      <c r="C415" s="24" t="n"/>
      <c r="D415" s="25">
        <f>IF(C415="","",IF(COUNTIF(lst_Jobs,C415&amp;"")&gt;0,"OK","CHECK"))</f>
        <v/>
      </c>
      <c r="E415" s="25">
        <f>IF(C415="","",IFERROR(INDEX(lst_JobName,MATCH(C415&amp;"",lst_Jobs,0)),""))</f>
        <v/>
      </c>
      <c r="F415" s="25">
        <f>IF(C415="","",IFERROR(INDEX(tbl_Finance[Client],MATCH(C415&amp;"",tbl_Finance[Job Number],0)),""))</f>
        <v/>
      </c>
      <c r="G415" s="28">
        <f>IF(C415="","",COUNTIFS(tbl_Finance[Job Number],C415&amp;"",tbl_Finance[Ex GST],"&lt;&gt;"))</f>
        <v/>
      </c>
      <c r="H415" s="27">
        <f>IF(C415="","",SUMIFS(tbl_Finance[Ex GST],tbl_Finance[Job Number],C415&amp;""))</f>
        <v/>
      </c>
      <c r="I415" s="27">
        <f>IF(C415="","",SUMIFS(tbl_Finance[Ex GST],tbl_Finance[Job Number],C415&amp;"",tbl_Finance[Xero Invoice No],"&lt;&gt;"))</f>
        <v/>
      </c>
      <c r="J415" s="27">
        <f>IF(C415="","",H415-I415)</f>
        <v/>
      </c>
      <c r="K415" s="25">
        <f>IF(C415="","",IF(G415=0,"not invoiced yet",SUBSTITUTE(TRIM(IF(COUNTIFS(tbl_Finance[Job Number],C415&amp;"",tbl_Finance[Cost Centre],"ONSITE")&gt;0,"ONSITE ","")&amp;IF(COUNTIFS(tbl_Finance[Job Number],C415&amp;"",tbl_Finance[Cost Centre],"PRODUCTION")&gt;0,"PRODUCTION ","")&amp;IF(COUNTIFS(tbl_Finance[Job Number],C415&amp;"",tbl_Finance[Cost Centre],"VIDEO")&gt;0,"VIDEO ","")&amp;IF(COUNTIFS(tbl_Finance[Job Number],C415&amp;"",tbl_Finance[Cost Centre],"INTEGRATION")&gt;0,"INTEGRATION ","")&amp;IF(COUNTIFS(tbl_Finance[Job Number],C415&amp;"",tbl_Finance[Cost Centre],"CONSULTING")&gt;0,"CONSULTING ","")&amp;IF(COUNTIFS(tbl_Finance[Job Number],C415&amp;"",tbl_Finance[Cost Centre],"CTS")&gt;0,"CTS ",""))," ",", ")))</f>
        <v/>
      </c>
      <c r="L415" s="24" t="n"/>
      <c r="M415" s="24" t="n"/>
      <c r="N415" s="25">
        <f>IF(M415="","",HYPERLINK(IF(LEFT(M415,4)="http",M415,set_QwilrBase&amp;M415),"Open quote"))</f>
        <v/>
      </c>
      <c r="O415" s="64" t="n"/>
      <c r="P415" s="24" t="n"/>
      <c r="Q415" s="24" t="n"/>
    </row>
    <row r="416" ht="15" customHeight="1">
      <c r="A416" s="63">
        <f>IF(C416="","",IFERROR(IF(SUMPRODUCT(MAX((tbl_Finance[Job Number]=C416&amp;"")*(tbl_Finance[Xero Invoice No]&lt;&gt;"")*tbl_Finance[Date]))=0,"",SUMPRODUCT(MAX((tbl_Finance[Job Number]=C416&amp;"")*(tbl_Finance[Xero Invoice No]&lt;&gt;"")*tbl_Finance[Date]))),""))</f>
        <v/>
      </c>
      <c r="B416" s="25">
        <f>IF(C416="","",IF(COUNTIFS(tbl_Finance[Job Number],C416&amp;"",tbl_Finance[Xero Invoice No],"&lt;&gt;")=0,"",IFERROR(IF(COUNTIFS(tbl_Finance[Job Number],C416&amp;"",tbl_Finance[Xero Invoice No],LOOKUP(2,1/((tbl_Finance[Job Number]=C416&amp;"")*(tbl_Finance[Xero Invoice No]&lt;&gt;"")),tbl_Finance[Xero Invoice No]))=COUNTIFS(tbl_Finance[Job Number],C416&amp;"",tbl_Finance[Xero Invoice No],"&lt;&gt;"),LOOKUP(2,1/((tbl_Finance[Job Number]=C416&amp;"")*(tbl_Finance[Xero Invoice No]&lt;&gt;"")),tbl_Finance[Xero Invoice No]),LOOKUP(2,1/((tbl_Finance[Job Number]=C416&amp;"")*(tbl_Finance[Xero Invoice No]&lt;&gt;"")),tbl_Finance[Xero Invoice No])&amp;" +more"),"")))</f>
        <v/>
      </c>
      <c r="C416" s="24" t="n"/>
      <c r="D416" s="25">
        <f>IF(C416="","",IF(COUNTIF(lst_Jobs,C416&amp;"")&gt;0,"OK","CHECK"))</f>
        <v/>
      </c>
      <c r="E416" s="25">
        <f>IF(C416="","",IFERROR(INDEX(lst_JobName,MATCH(C416&amp;"",lst_Jobs,0)),""))</f>
        <v/>
      </c>
      <c r="F416" s="25">
        <f>IF(C416="","",IFERROR(INDEX(tbl_Finance[Client],MATCH(C416&amp;"",tbl_Finance[Job Number],0)),""))</f>
        <v/>
      </c>
      <c r="G416" s="28">
        <f>IF(C416="","",COUNTIFS(tbl_Finance[Job Number],C416&amp;"",tbl_Finance[Ex GST],"&lt;&gt;"))</f>
        <v/>
      </c>
      <c r="H416" s="27">
        <f>IF(C416="","",SUMIFS(tbl_Finance[Ex GST],tbl_Finance[Job Number],C416&amp;""))</f>
        <v/>
      </c>
      <c r="I416" s="27">
        <f>IF(C416="","",SUMIFS(tbl_Finance[Ex GST],tbl_Finance[Job Number],C416&amp;"",tbl_Finance[Xero Invoice No],"&lt;&gt;"))</f>
        <v/>
      </c>
      <c r="J416" s="27">
        <f>IF(C416="","",H416-I416)</f>
        <v/>
      </c>
      <c r="K416" s="25">
        <f>IF(C416="","",IF(G416=0,"not invoiced yet",SUBSTITUTE(TRIM(IF(COUNTIFS(tbl_Finance[Job Number],C416&amp;"",tbl_Finance[Cost Centre],"ONSITE")&gt;0,"ONSITE ","")&amp;IF(COUNTIFS(tbl_Finance[Job Number],C416&amp;"",tbl_Finance[Cost Centre],"PRODUCTION")&gt;0,"PRODUCTION ","")&amp;IF(COUNTIFS(tbl_Finance[Job Number],C416&amp;"",tbl_Finance[Cost Centre],"VIDEO")&gt;0,"VIDEO ","")&amp;IF(COUNTIFS(tbl_Finance[Job Number],C416&amp;"",tbl_Finance[Cost Centre],"INTEGRATION")&gt;0,"INTEGRATION ","")&amp;IF(COUNTIFS(tbl_Finance[Job Number],C416&amp;"",tbl_Finance[Cost Centre],"CONSULTING")&gt;0,"CONSULTING ","")&amp;IF(COUNTIFS(tbl_Finance[Job Number],C416&amp;"",tbl_Finance[Cost Centre],"CTS")&gt;0,"CTS ",""))," ",", ")))</f>
        <v/>
      </c>
      <c r="L416" s="24" t="n"/>
      <c r="M416" s="24" t="n"/>
      <c r="N416" s="25">
        <f>IF(M416="","",HYPERLINK(IF(LEFT(M416,4)="http",M416,set_QwilrBase&amp;M416),"Open quote"))</f>
        <v/>
      </c>
      <c r="O416" s="64" t="n"/>
      <c r="P416" s="24" t="n"/>
      <c r="Q416" s="24" t="n"/>
    </row>
    <row r="417" ht="15" customHeight="1">
      <c r="A417" s="63">
        <f>IF(C417="","",IFERROR(IF(SUMPRODUCT(MAX((tbl_Finance[Job Number]=C417&amp;"")*(tbl_Finance[Xero Invoice No]&lt;&gt;"")*tbl_Finance[Date]))=0,"",SUMPRODUCT(MAX((tbl_Finance[Job Number]=C417&amp;"")*(tbl_Finance[Xero Invoice No]&lt;&gt;"")*tbl_Finance[Date]))),""))</f>
        <v/>
      </c>
      <c r="B417" s="25">
        <f>IF(C417="","",IF(COUNTIFS(tbl_Finance[Job Number],C417&amp;"",tbl_Finance[Xero Invoice No],"&lt;&gt;")=0,"",IFERROR(IF(COUNTIFS(tbl_Finance[Job Number],C417&amp;"",tbl_Finance[Xero Invoice No],LOOKUP(2,1/((tbl_Finance[Job Number]=C417&amp;"")*(tbl_Finance[Xero Invoice No]&lt;&gt;"")),tbl_Finance[Xero Invoice No]))=COUNTIFS(tbl_Finance[Job Number],C417&amp;"",tbl_Finance[Xero Invoice No],"&lt;&gt;"),LOOKUP(2,1/((tbl_Finance[Job Number]=C417&amp;"")*(tbl_Finance[Xero Invoice No]&lt;&gt;"")),tbl_Finance[Xero Invoice No]),LOOKUP(2,1/((tbl_Finance[Job Number]=C417&amp;"")*(tbl_Finance[Xero Invoice No]&lt;&gt;"")),tbl_Finance[Xero Invoice No])&amp;" +more"),"")))</f>
        <v/>
      </c>
      <c r="C417" s="24" t="n"/>
      <c r="D417" s="25">
        <f>IF(C417="","",IF(COUNTIF(lst_Jobs,C417&amp;"")&gt;0,"OK","CHECK"))</f>
        <v/>
      </c>
      <c r="E417" s="25">
        <f>IF(C417="","",IFERROR(INDEX(lst_JobName,MATCH(C417&amp;"",lst_Jobs,0)),""))</f>
        <v/>
      </c>
      <c r="F417" s="25">
        <f>IF(C417="","",IFERROR(INDEX(tbl_Finance[Client],MATCH(C417&amp;"",tbl_Finance[Job Number],0)),""))</f>
        <v/>
      </c>
      <c r="G417" s="28">
        <f>IF(C417="","",COUNTIFS(tbl_Finance[Job Number],C417&amp;"",tbl_Finance[Ex GST],"&lt;&gt;"))</f>
        <v/>
      </c>
      <c r="H417" s="27">
        <f>IF(C417="","",SUMIFS(tbl_Finance[Ex GST],tbl_Finance[Job Number],C417&amp;""))</f>
        <v/>
      </c>
      <c r="I417" s="27">
        <f>IF(C417="","",SUMIFS(tbl_Finance[Ex GST],tbl_Finance[Job Number],C417&amp;"",tbl_Finance[Xero Invoice No],"&lt;&gt;"))</f>
        <v/>
      </c>
      <c r="J417" s="27">
        <f>IF(C417="","",H417-I417)</f>
        <v/>
      </c>
      <c r="K417" s="25">
        <f>IF(C417="","",IF(G417=0,"not invoiced yet",SUBSTITUTE(TRIM(IF(COUNTIFS(tbl_Finance[Job Number],C417&amp;"",tbl_Finance[Cost Centre],"ONSITE")&gt;0,"ONSITE ","")&amp;IF(COUNTIFS(tbl_Finance[Job Number],C417&amp;"",tbl_Finance[Cost Centre],"PRODUCTION")&gt;0,"PRODUCTION ","")&amp;IF(COUNTIFS(tbl_Finance[Job Number],C417&amp;"",tbl_Finance[Cost Centre],"VIDEO")&gt;0,"VIDEO ","")&amp;IF(COUNTIFS(tbl_Finance[Job Number],C417&amp;"",tbl_Finance[Cost Centre],"INTEGRATION")&gt;0,"INTEGRATION ","")&amp;IF(COUNTIFS(tbl_Finance[Job Number],C417&amp;"",tbl_Finance[Cost Centre],"CONSULTING")&gt;0,"CONSULTING ","")&amp;IF(COUNTIFS(tbl_Finance[Job Number],C417&amp;"",tbl_Finance[Cost Centre],"CTS")&gt;0,"CTS ",""))," ",", ")))</f>
        <v/>
      </c>
      <c r="L417" s="24" t="n"/>
      <c r="M417" s="24" t="n"/>
      <c r="N417" s="25">
        <f>IF(M417="","",HYPERLINK(IF(LEFT(M417,4)="http",M417,set_QwilrBase&amp;M417),"Open quote"))</f>
        <v/>
      </c>
      <c r="O417" s="64" t="n"/>
      <c r="P417" s="24" t="n"/>
      <c r="Q417" s="24" t="n"/>
    </row>
    <row r="418" ht="15" customHeight="1">
      <c r="A418" s="63">
        <f>IF(C418="","",IFERROR(IF(SUMPRODUCT(MAX((tbl_Finance[Job Number]=C418&amp;"")*(tbl_Finance[Xero Invoice No]&lt;&gt;"")*tbl_Finance[Date]))=0,"",SUMPRODUCT(MAX((tbl_Finance[Job Number]=C418&amp;"")*(tbl_Finance[Xero Invoice No]&lt;&gt;"")*tbl_Finance[Date]))),""))</f>
        <v/>
      </c>
      <c r="B418" s="25">
        <f>IF(C418="","",IF(COUNTIFS(tbl_Finance[Job Number],C418&amp;"",tbl_Finance[Xero Invoice No],"&lt;&gt;")=0,"",IFERROR(IF(COUNTIFS(tbl_Finance[Job Number],C418&amp;"",tbl_Finance[Xero Invoice No],LOOKUP(2,1/((tbl_Finance[Job Number]=C418&amp;"")*(tbl_Finance[Xero Invoice No]&lt;&gt;"")),tbl_Finance[Xero Invoice No]))=COUNTIFS(tbl_Finance[Job Number],C418&amp;"",tbl_Finance[Xero Invoice No],"&lt;&gt;"),LOOKUP(2,1/((tbl_Finance[Job Number]=C418&amp;"")*(tbl_Finance[Xero Invoice No]&lt;&gt;"")),tbl_Finance[Xero Invoice No]),LOOKUP(2,1/((tbl_Finance[Job Number]=C418&amp;"")*(tbl_Finance[Xero Invoice No]&lt;&gt;"")),tbl_Finance[Xero Invoice No])&amp;" +more"),"")))</f>
        <v/>
      </c>
      <c r="C418" s="24" t="n"/>
      <c r="D418" s="25">
        <f>IF(C418="","",IF(COUNTIF(lst_Jobs,C418&amp;"")&gt;0,"OK","CHECK"))</f>
        <v/>
      </c>
      <c r="E418" s="25">
        <f>IF(C418="","",IFERROR(INDEX(lst_JobName,MATCH(C418&amp;"",lst_Jobs,0)),""))</f>
        <v/>
      </c>
      <c r="F418" s="25">
        <f>IF(C418="","",IFERROR(INDEX(tbl_Finance[Client],MATCH(C418&amp;"",tbl_Finance[Job Number],0)),""))</f>
        <v/>
      </c>
      <c r="G418" s="28">
        <f>IF(C418="","",COUNTIFS(tbl_Finance[Job Number],C418&amp;"",tbl_Finance[Ex GST],"&lt;&gt;"))</f>
        <v/>
      </c>
      <c r="H418" s="27">
        <f>IF(C418="","",SUMIFS(tbl_Finance[Ex GST],tbl_Finance[Job Number],C418&amp;""))</f>
        <v/>
      </c>
      <c r="I418" s="27">
        <f>IF(C418="","",SUMIFS(tbl_Finance[Ex GST],tbl_Finance[Job Number],C418&amp;"",tbl_Finance[Xero Invoice No],"&lt;&gt;"))</f>
        <v/>
      </c>
      <c r="J418" s="27">
        <f>IF(C418="","",H418-I418)</f>
        <v/>
      </c>
      <c r="K418" s="25">
        <f>IF(C418="","",IF(G418=0,"not invoiced yet",SUBSTITUTE(TRIM(IF(COUNTIFS(tbl_Finance[Job Number],C418&amp;"",tbl_Finance[Cost Centre],"ONSITE")&gt;0,"ONSITE ","")&amp;IF(COUNTIFS(tbl_Finance[Job Number],C418&amp;"",tbl_Finance[Cost Centre],"PRODUCTION")&gt;0,"PRODUCTION ","")&amp;IF(COUNTIFS(tbl_Finance[Job Number],C418&amp;"",tbl_Finance[Cost Centre],"VIDEO")&gt;0,"VIDEO ","")&amp;IF(COUNTIFS(tbl_Finance[Job Number],C418&amp;"",tbl_Finance[Cost Centre],"INTEGRATION")&gt;0,"INTEGRATION ","")&amp;IF(COUNTIFS(tbl_Finance[Job Number],C418&amp;"",tbl_Finance[Cost Centre],"CONSULTING")&gt;0,"CONSULTING ","")&amp;IF(COUNTIFS(tbl_Finance[Job Number],C418&amp;"",tbl_Finance[Cost Centre],"CTS")&gt;0,"CTS ",""))," ",", ")))</f>
        <v/>
      </c>
      <c r="L418" s="24" t="n"/>
      <c r="M418" s="24" t="n"/>
      <c r="N418" s="25">
        <f>IF(M418="","",HYPERLINK(IF(LEFT(M418,4)="http",M418,set_QwilrBase&amp;M418),"Open quote"))</f>
        <v/>
      </c>
      <c r="O418" s="64" t="n"/>
      <c r="P418" s="24" t="n"/>
      <c r="Q418" s="24" t="n"/>
    </row>
    <row r="419" ht="15" customHeight="1">
      <c r="A419" s="63">
        <f>IF(C419="","",IFERROR(IF(SUMPRODUCT(MAX((tbl_Finance[Job Number]=C419&amp;"")*(tbl_Finance[Xero Invoice No]&lt;&gt;"")*tbl_Finance[Date]))=0,"",SUMPRODUCT(MAX((tbl_Finance[Job Number]=C419&amp;"")*(tbl_Finance[Xero Invoice No]&lt;&gt;"")*tbl_Finance[Date]))),""))</f>
        <v/>
      </c>
      <c r="B419" s="25">
        <f>IF(C419="","",IF(COUNTIFS(tbl_Finance[Job Number],C419&amp;"",tbl_Finance[Xero Invoice No],"&lt;&gt;")=0,"",IFERROR(IF(COUNTIFS(tbl_Finance[Job Number],C419&amp;"",tbl_Finance[Xero Invoice No],LOOKUP(2,1/((tbl_Finance[Job Number]=C419&amp;"")*(tbl_Finance[Xero Invoice No]&lt;&gt;"")),tbl_Finance[Xero Invoice No]))=COUNTIFS(tbl_Finance[Job Number],C419&amp;"",tbl_Finance[Xero Invoice No],"&lt;&gt;"),LOOKUP(2,1/((tbl_Finance[Job Number]=C419&amp;"")*(tbl_Finance[Xero Invoice No]&lt;&gt;"")),tbl_Finance[Xero Invoice No]),LOOKUP(2,1/((tbl_Finance[Job Number]=C419&amp;"")*(tbl_Finance[Xero Invoice No]&lt;&gt;"")),tbl_Finance[Xero Invoice No])&amp;" +more"),"")))</f>
        <v/>
      </c>
      <c r="C419" s="24" t="n"/>
      <c r="D419" s="25">
        <f>IF(C419="","",IF(COUNTIF(lst_Jobs,C419&amp;"")&gt;0,"OK","CHECK"))</f>
        <v/>
      </c>
      <c r="E419" s="25">
        <f>IF(C419="","",IFERROR(INDEX(lst_JobName,MATCH(C419&amp;"",lst_Jobs,0)),""))</f>
        <v/>
      </c>
      <c r="F419" s="25">
        <f>IF(C419="","",IFERROR(INDEX(tbl_Finance[Client],MATCH(C419&amp;"",tbl_Finance[Job Number],0)),""))</f>
        <v/>
      </c>
      <c r="G419" s="28">
        <f>IF(C419="","",COUNTIFS(tbl_Finance[Job Number],C419&amp;"",tbl_Finance[Ex GST],"&lt;&gt;"))</f>
        <v/>
      </c>
      <c r="H419" s="27">
        <f>IF(C419="","",SUMIFS(tbl_Finance[Ex GST],tbl_Finance[Job Number],C419&amp;""))</f>
        <v/>
      </c>
      <c r="I419" s="27">
        <f>IF(C419="","",SUMIFS(tbl_Finance[Ex GST],tbl_Finance[Job Number],C419&amp;"",tbl_Finance[Xero Invoice No],"&lt;&gt;"))</f>
        <v/>
      </c>
      <c r="J419" s="27">
        <f>IF(C419="","",H419-I419)</f>
        <v/>
      </c>
      <c r="K419" s="25">
        <f>IF(C419="","",IF(G419=0,"not invoiced yet",SUBSTITUTE(TRIM(IF(COUNTIFS(tbl_Finance[Job Number],C419&amp;"",tbl_Finance[Cost Centre],"ONSITE")&gt;0,"ONSITE ","")&amp;IF(COUNTIFS(tbl_Finance[Job Number],C419&amp;"",tbl_Finance[Cost Centre],"PRODUCTION")&gt;0,"PRODUCTION ","")&amp;IF(COUNTIFS(tbl_Finance[Job Number],C419&amp;"",tbl_Finance[Cost Centre],"VIDEO")&gt;0,"VIDEO ","")&amp;IF(COUNTIFS(tbl_Finance[Job Number],C419&amp;"",tbl_Finance[Cost Centre],"INTEGRATION")&gt;0,"INTEGRATION ","")&amp;IF(COUNTIFS(tbl_Finance[Job Number],C419&amp;"",tbl_Finance[Cost Centre],"CONSULTING")&gt;0,"CONSULTING ","")&amp;IF(COUNTIFS(tbl_Finance[Job Number],C419&amp;"",tbl_Finance[Cost Centre],"CTS")&gt;0,"CTS ",""))," ",", ")))</f>
        <v/>
      </c>
      <c r="L419" s="24" t="n"/>
      <c r="M419" s="24" t="n"/>
      <c r="N419" s="25">
        <f>IF(M419="","",HYPERLINK(IF(LEFT(M419,4)="http",M419,set_QwilrBase&amp;M419),"Open quote"))</f>
        <v/>
      </c>
      <c r="O419" s="64" t="n"/>
      <c r="P419" s="24" t="n"/>
      <c r="Q419" s="24" t="n"/>
    </row>
    <row r="420" ht="15" customHeight="1">
      <c r="A420" s="63">
        <f>IF(C420="","",IFERROR(IF(SUMPRODUCT(MAX((tbl_Finance[Job Number]=C420&amp;"")*(tbl_Finance[Xero Invoice No]&lt;&gt;"")*tbl_Finance[Date]))=0,"",SUMPRODUCT(MAX((tbl_Finance[Job Number]=C420&amp;"")*(tbl_Finance[Xero Invoice No]&lt;&gt;"")*tbl_Finance[Date]))),""))</f>
        <v/>
      </c>
      <c r="B420" s="25">
        <f>IF(C420="","",IF(COUNTIFS(tbl_Finance[Job Number],C420&amp;"",tbl_Finance[Xero Invoice No],"&lt;&gt;")=0,"",IFERROR(IF(COUNTIFS(tbl_Finance[Job Number],C420&amp;"",tbl_Finance[Xero Invoice No],LOOKUP(2,1/((tbl_Finance[Job Number]=C420&amp;"")*(tbl_Finance[Xero Invoice No]&lt;&gt;"")),tbl_Finance[Xero Invoice No]))=COUNTIFS(tbl_Finance[Job Number],C420&amp;"",tbl_Finance[Xero Invoice No],"&lt;&gt;"),LOOKUP(2,1/((tbl_Finance[Job Number]=C420&amp;"")*(tbl_Finance[Xero Invoice No]&lt;&gt;"")),tbl_Finance[Xero Invoice No]),LOOKUP(2,1/((tbl_Finance[Job Number]=C420&amp;"")*(tbl_Finance[Xero Invoice No]&lt;&gt;"")),tbl_Finance[Xero Invoice No])&amp;" +more"),"")))</f>
        <v/>
      </c>
      <c r="C420" s="24" t="n"/>
      <c r="D420" s="25">
        <f>IF(C420="","",IF(COUNTIF(lst_Jobs,C420&amp;"")&gt;0,"OK","CHECK"))</f>
        <v/>
      </c>
      <c r="E420" s="25">
        <f>IF(C420="","",IFERROR(INDEX(lst_JobName,MATCH(C420&amp;"",lst_Jobs,0)),""))</f>
        <v/>
      </c>
      <c r="F420" s="25">
        <f>IF(C420="","",IFERROR(INDEX(tbl_Finance[Client],MATCH(C420&amp;"",tbl_Finance[Job Number],0)),""))</f>
        <v/>
      </c>
      <c r="G420" s="28">
        <f>IF(C420="","",COUNTIFS(tbl_Finance[Job Number],C420&amp;"",tbl_Finance[Ex GST],"&lt;&gt;"))</f>
        <v/>
      </c>
      <c r="H420" s="27">
        <f>IF(C420="","",SUMIFS(tbl_Finance[Ex GST],tbl_Finance[Job Number],C420&amp;""))</f>
        <v/>
      </c>
      <c r="I420" s="27">
        <f>IF(C420="","",SUMIFS(tbl_Finance[Ex GST],tbl_Finance[Job Number],C420&amp;"",tbl_Finance[Xero Invoice No],"&lt;&gt;"))</f>
        <v/>
      </c>
      <c r="J420" s="27">
        <f>IF(C420="","",H420-I420)</f>
        <v/>
      </c>
      <c r="K420" s="25">
        <f>IF(C420="","",IF(G420=0,"not invoiced yet",SUBSTITUTE(TRIM(IF(COUNTIFS(tbl_Finance[Job Number],C420&amp;"",tbl_Finance[Cost Centre],"ONSITE")&gt;0,"ONSITE ","")&amp;IF(COUNTIFS(tbl_Finance[Job Number],C420&amp;"",tbl_Finance[Cost Centre],"PRODUCTION")&gt;0,"PRODUCTION ","")&amp;IF(COUNTIFS(tbl_Finance[Job Number],C420&amp;"",tbl_Finance[Cost Centre],"VIDEO")&gt;0,"VIDEO ","")&amp;IF(COUNTIFS(tbl_Finance[Job Number],C420&amp;"",tbl_Finance[Cost Centre],"INTEGRATION")&gt;0,"INTEGRATION ","")&amp;IF(COUNTIFS(tbl_Finance[Job Number],C420&amp;"",tbl_Finance[Cost Centre],"CONSULTING")&gt;0,"CONSULTING ","")&amp;IF(COUNTIFS(tbl_Finance[Job Number],C420&amp;"",tbl_Finance[Cost Centre],"CTS")&gt;0,"CTS ",""))," ",", ")))</f>
        <v/>
      </c>
      <c r="L420" s="24" t="n"/>
      <c r="M420" s="24" t="n"/>
      <c r="N420" s="25">
        <f>IF(M420="","",HYPERLINK(IF(LEFT(M420,4)="http",M420,set_QwilrBase&amp;M420),"Open quote"))</f>
        <v/>
      </c>
      <c r="O420" s="64" t="n"/>
      <c r="P420" s="24" t="n"/>
      <c r="Q420" s="24" t="n"/>
    </row>
    <row r="421" ht="15" customHeight="1">
      <c r="A421" s="63">
        <f>IF(C421="","",IFERROR(IF(SUMPRODUCT(MAX((tbl_Finance[Job Number]=C421&amp;"")*(tbl_Finance[Xero Invoice No]&lt;&gt;"")*tbl_Finance[Date]))=0,"",SUMPRODUCT(MAX((tbl_Finance[Job Number]=C421&amp;"")*(tbl_Finance[Xero Invoice No]&lt;&gt;"")*tbl_Finance[Date]))),""))</f>
        <v/>
      </c>
      <c r="B421" s="25">
        <f>IF(C421="","",IF(COUNTIFS(tbl_Finance[Job Number],C421&amp;"",tbl_Finance[Xero Invoice No],"&lt;&gt;")=0,"",IFERROR(IF(COUNTIFS(tbl_Finance[Job Number],C421&amp;"",tbl_Finance[Xero Invoice No],LOOKUP(2,1/((tbl_Finance[Job Number]=C421&amp;"")*(tbl_Finance[Xero Invoice No]&lt;&gt;"")),tbl_Finance[Xero Invoice No]))=COUNTIFS(tbl_Finance[Job Number],C421&amp;"",tbl_Finance[Xero Invoice No],"&lt;&gt;"),LOOKUP(2,1/((tbl_Finance[Job Number]=C421&amp;"")*(tbl_Finance[Xero Invoice No]&lt;&gt;"")),tbl_Finance[Xero Invoice No]),LOOKUP(2,1/((tbl_Finance[Job Number]=C421&amp;"")*(tbl_Finance[Xero Invoice No]&lt;&gt;"")),tbl_Finance[Xero Invoice No])&amp;" +more"),"")))</f>
        <v/>
      </c>
      <c r="C421" s="24" t="n"/>
      <c r="D421" s="25">
        <f>IF(C421="","",IF(COUNTIF(lst_Jobs,C421&amp;"")&gt;0,"OK","CHECK"))</f>
        <v/>
      </c>
      <c r="E421" s="25">
        <f>IF(C421="","",IFERROR(INDEX(lst_JobName,MATCH(C421&amp;"",lst_Jobs,0)),""))</f>
        <v/>
      </c>
      <c r="F421" s="25">
        <f>IF(C421="","",IFERROR(INDEX(tbl_Finance[Client],MATCH(C421&amp;"",tbl_Finance[Job Number],0)),""))</f>
        <v/>
      </c>
      <c r="G421" s="28">
        <f>IF(C421="","",COUNTIFS(tbl_Finance[Job Number],C421&amp;"",tbl_Finance[Ex GST],"&lt;&gt;"))</f>
        <v/>
      </c>
      <c r="H421" s="27">
        <f>IF(C421="","",SUMIFS(tbl_Finance[Ex GST],tbl_Finance[Job Number],C421&amp;""))</f>
        <v/>
      </c>
      <c r="I421" s="27">
        <f>IF(C421="","",SUMIFS(tbl_Finance[Ex GST],tbl_Finance[Job Number],C421&amp;"",tbl_Finance[Xero Invoice No],"&lt;&gt;"))</f>
        <v/>
      </c>
      <c r="J421" s="27">
        <f>IF(C421="","",H421-I421)</f>
        <v/>
      </c>
      <c r="K421" s="25">
        <f>IF(C421="","",IF(G421=0,"not invoiced yet",SUBSTITUTE(TRIM(IF(COUNTIFS(tbl_Finance[Job Number],C421&amp;"",tbl_Finance[Cost Centre],"ONSITE")&gt;0,"ONSITE ","")&amp;IF(COUNTIFS(tbl_Finance[Job Number],C421&amp;"",tbl_Finance[Cost Centre],"PRODUCTION")&gt;0,"PRODUCTION ","")&amp;IF(COUNTIFS(tbl_Finance[Job Number],C421&amp;"",tbl_Finance[Cost Centre],"VIDEO")&gt;0,"VIDEO ","")&amp;IF(COUNTIFS(tbl_Finance[Job Number],C421&amp;"",tbl_Finance[Cost Centre],"INTEGRATION")&gt;0,"INTEGRATION ","")&amp;IF(COUNTIFS(tbl_Finance[Job Number],C421&amp;"",tbl_Finance[Cost Centre],"CONSULTING")&gt;0,"CONSULTING ","")&amp;IF(COUNTIFS(tbl_Finance[Job Number],C421&amp;"",tbl_Finance[Cost Centre],"CTS")&gt;0,"CTS ",""))," ",", ")))</f>
        <v/>
      </c>
      <c r="L421" s="24" t="n"/>
      <c r="M421" s="24" t="n"/>
      <c r="N421" s="25">
        <f>IF(M421="","",HYPERLINK(IF(LEFT(M421,4)="http",M421,set_QwilrBase&amp;M421),"Open quote"))</f>
        <v/>
      </c>
      <c r="O421" s="64" t="n"/>
      <c r="P421" s="24" t="n"/>
      <c r="Q421" s="24" t="n"/>
    </row>
    <row r="422" ht="15" customHeight="1">
      <c r="A422" s="63">
        <f>IF(C422="","",IFERROR(IF(SUMPRODUCT(MAX((tbl_Finance[Job Number]=C422&amp;"")*(tbl_Finance[Xero Invoice No]&lt;&gt;"")*tbl_Finance[Date]))=0,"",SUMPRODUCT(MAX((tbl_Finance[Job Number]=C422&amp;"")*(tbl_Finance[Xero Invoice No]&lt;&gt;"")*tbl_Finance[Date]))),""))</f>
        <v/>
      </c>
      <c r="B422" s="25">
        <f>IF(C422="","",IF(COUNTIFS(tbl_Finance[Job Number],C422&amp;"",tbl_Finance[Xero Invoice No],"&lt;&gt;")=0,"",IFERROR(IF(COUNTIFS(tbl_Finance[Job Number],C422&amp;"",tbl_Finance[Xero Invoice No],LOOKUP(2,1/((tbl_Finance[Job Number]=C422&amp;"")*(tbl_Finance[Xero Invoice No]&lt;&gt;"")),tbl_Finance[Xero Invoice No]))=COUNTIFS(tbl_Finance[Job Number],C422&amp;"",tbl_Finance[Xero Invoice No],"&lt;&gt;"),LOOKUP(2,1/((tbl_Finance[Job Number]=C422&amp;"")*(tbl_Finance[Xero Invoice No]&lt;&gt;"")),tbl_Finance[Xero Invoice No]),LOOKUP(2,1/((tbl_Finance[Job Number]=C422&amp;"")*(tbl_Finance[Xero Invoice No]&lt;&gt;"")),tbl_Finance[Xero Invoice No])&amp;" +more"),"")))</f>
        <v/>
      </c>
      <c r="C422" s="24" t="n"/>
      <c r="D422" s="25">
        <f>IF(C422="","",IF(COUNTIF(lst_Jobs,C422&amp;"")&gt;0,"OK","CHECK"))</f>
        <v/>
      </c>
      <c r="E422" s="25">
        <f>IF(C422="","",IFERROR(INDEX(lst_JobName,MATCH(C422&amp;"",lst_Jobs,0)),""))</f>
        <v/>
      </c>
      <c r="F422" s="25">
        <f>IF(C422="","",IFERROR(INDEX(tbl_Finance[Client],MATCH(C422&amp;"",tbl_Finance[Job Number],0)),""))</f>
        <v/>
      </c>
      <c r="G422" s="28">
        <f>IF(C422="","",COUNTIFS(tbl_Finance[Job Number],C422&amp;"",tbl_Finance[Ex GST],"&lt;&gt;"))</f>
        <v/>
      </c>
      <c r="H422" s="27">
        <f>IF(C422="","",SUMIFS(tbl_Finance[Ex GST],tbl_Finance[Job Number],C422&amp;""))</f>
        <v/>
      </c>
      <c r="I422" s="27">
        <f>IF(C422="","",SUMIFS(tbl_Finance[Ex GST],tbl_Finance[Job Number],C422&amp;"",tbl_Finance[Xero Invoice No],"&lt;&gt;"))</f>
        <v/>
      </c>
      <c r="J422" s="27">
        <f>IF(C422="","",H422-I422)</f>
        <v/>
      </c>
      <c r="K422" s="25">
        <f>IF(C422="","",IF(G422=0,"not invoiced yet",SUBSTITUTE(TRIM(IF(COUNTIFS(tbl_Finance[Job Number],C422&amp;"",tbl_Finance[Cost Centre],"ONSITE")&gt;0,"ONSITE ","")&amp;IF(COUNTIFS(tbl_Finance[Job Number],C422&amp;"",tbl_Finance[Cost Centre],"PRODUCTION")&gt;0,"PRODUCTION ","")&amp;IF(COUNTIFS(tbl_Finance[Job Number],C422&amp;"",tbl_Finance[Cost Centre],"VIDEO")&gt;0,"VIDEO ","")&amp;IF(COUNTIFS(tbl_Finance[Job Number],C422&amp;"",tbl_Finance[Cost Centre],"INTEGRATION")&gt;0,"INTEGRATION ","")&amp;IF(COUNTIFS(tbl_Finance[Job Number],C422&amp;"",tbl_Finance[Cost Centre],"CONSULTING")&gt;0,"CONSULTING ","")&amp;IF(COUNTIFS(tbl_Finance[Job Number],C422&amp;"",tbl_Finance[Cost Centre],"CTS")&gt;0,"CTS ",""))," ",", ")))</f>
        <v/>
      </c>
      <c r="L422" s="24" t="n"/>
      <c r="M422" s="24" t="n"/>
      <c r="N422" s="25">
        <f>IF(M422="","",HYPERLINK(IF(LEFT(M422,4)="http",M422,set_QwilrBase&amp;M422),"Open quote"))</f>
        <v/>
      </c>
      <c r="O422" s="64" t="n"/>
      <c r="P422" s="24" t="n"/>
      <c r="Q422" s="24" t="n"/>
    </row>
    <row r="423" ht="15" customHeight="1">
      <c r="A423" s="63">
        <f>IF(C423="","",IFERROR(IF(SUMPRODUCT(MAX((tbl_Finance[Job Number]=C423&amp;"")*(tbl_Finance[Xero Invoice No]&lt;&gt;"")*tbl_Finance[Date]))=0,"",SUMPRODUCT(MAX((tbl_Finance[Job Number]=C423&amp;"")*(tbl_Finance[Xero Invoice No]&lt;&gt;"")*tbl_Finance[Date]))),""))</f>
        <v/>
      </c>
      <c r="B423" s="25">
        <f>IF(C423="","",IF(COUNTIFS(tbl_Finance[Job Number],C423&amp;"",tbl_Finance[Xero Invoice No],"&lt;&gt;")=0,"",IFERROR(IF(COUNTIFS(tbl_Finance[Job Number],C423&amp;"",tbl_Finance[Xero Invoice No],LOOKUP(2,1/((tbl_Finance[Job Number]=C423&amp;"")*(tbl_Finance[Xero Invoice No]&lt;&gt;"")),tbl_Finance[Xero Invoice No]))=COUNTIFS(tbl_Finance[Job Number],C423&amp;"",tbl_Finance[Xero Invoice No],"&lt;&gt;"),LOOKUP(2,1/((tbl_Finance[Job Number]=C423&amp;"")*(tbl_Finance[Xero Invoice No]&lt;&gt;"")),tbl_Finance[Xero Invoice No]),LOOKUP(2,1/((tbl_Finance[Job Number]=C423&amp;"")*(tbl_Finance[Xero Invoice No]&lt;&gt;"")),tbl_Finance[Xero Invoice No])&amp;" +more"),"")))</f>
        <v/>
      </c>
      <c r="C423" s="24" t="n"/>
      <c r="D423" s="25">
        <f>IF(C423="","",IF(COUNTIF(lst_Jobs,C423&amp;"")&gt;0,"OK","CHECK"))</f>
        <v/>
      </c>
      <c r="E423" s="25">
        <f>IF(C423="","",IFERROR(INDEX(lst_JobName,MATCH(C423&amp;"",lst_Jobs,0)),""))</f>
        <v/>
      </c>
      <c r="F423" s="25">
        <f>IF(C423="","",IFERROR(INDEX(tbl_Finance[Client],MATCH(C423&amp;"",tbl_Finance[Job Number],0)),""))</f>
        <v/>
      </c>
      <c r="G423" s="28">
        <f>IF(C423="","",COUNTIFS(tbl_Finance[Job Number],C423&amp;"",tbl_Finance[Ex GST],"&lt;&gt;"))</f>
        <v/>
      </c>
      <c r="H423" s="27">
        <f>IF(C423="","",SUMIFS(tbl_Finance[Ex GST],tbl_Finance[Job Number],C423&amp;""))</f>
        <v/>
      </c>
      <c r="I423" s="27">
        <f>IF(C423="","",SUMIFS(tbl_Finance[Ex GST],tbl_Finance[Job Number],C423&amp;"",tbl_Finance[Xero Invoice No],"&lt;&gt;"))</f>
        <v/>
      </c>
      <c r="J423" s="27">
        <f>IF(C423="","",H423-I423)</f>
        <v/>
      </c>
      <c r="K423" s="25">
        <f>IF(C423="","",IF(G423=0,"not invoiced yet",SUBSTITUTE(TRIM(IF(COUNTIFS(tbl_Finance[Job Number],C423&amp;"",tbl_Finance[Cost Centre],"ONSITE")&gt;0,"ONSITE ","")&amp;IF(COUNTIFS(tbl_Finance[Job Number],C423&amp;"",tbl_Finance[Cost Centre],"PRODUCTION")&gt;0,"PRODUCTION ","")&amp;IF(COUNTIFS(tbl_Finance[Job Number],C423&amp;"",tbl_Finance[Cost Centre],"VIDEO")&gt;0,"VIDEO ","")&amp;IF(COUNTIFS(tbl_Finance[Job Number],C423&amp;"",tbl_Finance[Cost Centre],"INTEGRATION")&gt;0,"INTEGRATION ","")&amp;IF(COUNTIFS(tbl_Finance[Job Number],C423&amp;"",tbl_Finance[Cost Centre],"CONSULTING")&gt;0,"CONSULTING ","")&amp;IF(COUNTIFS(tbl_Finance[Job Number],C423&amp;"",tbl_Finance[Cost Centre],"CTS")&gt;0,"CTS ",""))," ",", ")))</f>
        <v/>
      </c>
      <c r="L423" s="24" t="n"/>
      <c r="M423" s="24" t="n"/>
      <c r="N423" s="25">
        <f>IF(M423="","",HYPERLINK(IF(LEFT(M423,4)="http",M423,set_QwilrBase&amp;M423),"Open quote"))</f>
        <v/>
      </c>
      <c r="O423" s="64" t="n"/>
      <c r="P423" s="24" t="n"/>
      <c r="Q423" s="24" t="n"/>
    </row>
    <row r="424" ht="15" customHeight="1">
      <c r="A424" s="63">
        <f>IF(C424="","",IFERROR(IF(SUMPRODUCT(MAX((tbl_Finance[Job Number]=C424&amp;"")*(tbl_Finance[Xero Invoice No]&lt;&gt;"")*tbl_Finance[Date]))=0,"",SUMPRODUCT(MAX((tbl_Finance[Job Number]=C424&amp;"")*(tbl_Finance[Xero Invoice No]&lt;&gt;"")*tbl_Finance[Date]))),""))</f>
        <v/>
      </c>
      <c r="B424" s="25">
        <f>IF(C424="","",IF(COUNTIFS(tbl_Finance[Job Number],C424&amp;"",tbl_Finance[Xero Invoice No],"&lt;&gt;")=0,"",IFERROR(IF(COUNTIFS(tbl_Finance[Job Number],C424&amp;"",tbl_Finance[Xero Invoice No],LOOKUP(2,1/((tbl_Finance[Job Number]=C424&amp;"")*(tbl_Finance[Xero Invoice No]&lt;&gt;"")),tbl_Finance[Xero Invoice No]))=COUNTIFS(tbl_Finance[Job Number],C424&amp;"",tbl_Finance[Xero Invoice No],"&lt;&gt;"),LOOKUP(2,1/((tbl_Finance[Job Number]=C424&amp;"")*(tbl_Finance[Xero Invoice No]&lt;&gt;"")),tbl_Finance[Xero Invoice No]),LOOKUP(2,1/((tbl_Finance[Job Number]=C424&amp;"")*(tbl_Finance[Xero Invoice No]&lt;&gt;"")),tbl_Finance[Xero Invoice No])&amp;" +more"),"")))</f>
        <v/>
      </c>
      <c r="C424" s="24" t="n"/>
      <c r="D424" s="25">
        <f>IF(C424="","",IF(COUNTIF(lst_Jobs,C424&amp;"")&gt;0,"OK","CHECK"))</f>
        <v/>
      </c>
      <c r="E424" s="25">
        <f>IF(C424="","",IFERROR(INDEX(lst_JobName,MATCH(C424&amp;"",lst_Jobs,0)),""))</f>
        <v/>
      </c>
      <c r="F424" s="25">
        <f>IF(C424="","",IFERROR(INDEX(tbl_Finance[Client],MATCH(C424&amp;"",tbl_Finance[Job Number],0)),""))</f>
        <v/>
      </c>
      <c r="G424" s="28">
        <f>IF(C424="","",COUNTIFS(tbl_Finance[Job Number],C424&amp;"",tbl_Finance[Ex GST],"&lt;&gt;"))</f>
        <v/>
      </c>
      <c r="H424" s="27">
        <f>IF(C424="","",SUMIFS(tbl_Finance[Ex GST],tbl_Finance[Job Number],C424&amp;""))</f>
        <v/>
      </c>
      <c r="I424" s="27">
        <f>IF(C424="","",SUMIFS(tbl_Finance[Ex GST],tbl_Finance[Job Number],C424&amp;"",tbl_Finance[Xero Invoice No],"&lt;&gt;"))</f>
        <v/>
      </c>
      <c r="J424" s="27">
        <f>IF(C424="","",H424-I424)</f>
        <v/>
      </c>
      <c r="K424" s="25">
        <f>IF(C424="","",IF(G424=0,"not invoiced yet",SUBSTITUTE(TRIM(IF(COUNTIFS(tbl_Finance[Job Number],C424&amp;"",tbl_Finance[Cost Centre],"ONSITE")&gt;0,"ONSITE ","")&amp;IF(COUNTIFS(tbl_Finance[Job Number],C424&amp;"",tbl_Finance[Cost Centre],"PRODUCTION")&gt;0,"PRODUCTION ","")&amp;IF(COUNTIFS(tbl_Finance[Job Number],C424&amp;"",tbl_Finance[Cost Centre],"VIDEO")&gt;0,"VIDEO ","")&amp;IF(COUNTIFS(tbl_Finance[Job Number],C424&amp;"",tbl_Finance[Cost Centre],"INTEGRATION")&gt;0,"INTEGRATION ","")&amp;IF(COUNTIFS(tbl_Finance[Job Number],C424&amp;"",tbl_Finance[Cost Centre],"CONSULTING")&gt;0,"CONSULTING ","")&amp;IF(COUNTIFS(tbl_Finance[Job Number],C424&amp;"",tbl_Finance[Cost Centre],"CTS")&gt;0,"CTS ",""))," ",", ")))</f>
        <v/>
      </c>
      <c r="L424" s="24" t="n"/>
      <c r="M424" s="24" t="n"/>
      <c r="N424" s="25">
        <f>IF(M424="","",HYPERLINK(IF(LEFT(M424,4)="http",M424,set_QwilrBase&amp;M424),"Open quote"))</f>
        <v/>
      </c>
      <c r="O424" s="64" t="n"/>
      <c r="P424" s="24" t="n"/>
      <c r="Q424" s="24" t="n"/>
    </row>
    <row r="425" ht="15" customHeight="1">
      <c r="A425" s="63">
        <f>IF(C425="","",IFERROR(IF(SUMPRODUCT(MAX((tbl_Finance[Job Number]=C425&amp;"")*(tbl_Finance[Xero Invoice No]&lt;&gt;"")*tbl_Finance[Date]))=0,"",SUMPRODUCT(MAX((tbl_Finance[Job Number]=C425&amp;"")*(tbl_Finance[Xero Invoice No]&lt;&gt;"")*tbl_Finance[Date]))),""))</f>
        <v/>
      </c>
      <c r="B425" s="25">
        <f>IF(C425="","",IF(COUNTIFS(tbl_Finance[Job Number],C425&amp;"",tbl_Finance[Xero Invoice No],"&lt;&gt;")=0,"",IFERROR(IF(COUNTIFS(tbl_Finance[Job Number],C425&amp;"",tbl_Finance[Xero Invoice No],LOOKUP(2,1/((tbl_Finance[Job Number]=C425&amp;"")*(tbl_Finance[Xero Invoice No]&lt;&gt;"")),tbl_Finance[Xero Invoice No]))=COUNTIFS(tbl_Finance[Job Number],C425&amp;"",tbl_Finance[Xero Invoice No],"&lt;&gt;"),LOOKUP(2,1/((tbl_Finance[Job Number]=C425&amp;"")*(tbl_Finance[Xero Invoice No]&lt;&gt;"")),tbl_Finance[Xero Invoice No]),LOOKUP(2,1/((tbl_Finance[Job Number]=C425&amp;"")*(tbl_Finance[Xero Invoice No]&lt;&gt;"")),tbl_Finance[Xero Invoice No])&amp;" +more"),"")))</f>
        <v/>
      </c>
      <c r="C425" s="24" t="n"/>
      <c r="D425" s="25">
        <f>IF(C425="","",IF(COUNTIF(lst_Jobs,C425&amp;"")&gt;0,"OK","CHECK"))</f>
        <v/>
      </c>
      <c r="E425" s="25">
        <f>IF(C425="","",IFERROR(INDEX(lst_JobName,MATCH(C425&amp;"",lst_Jobs,0)),""))</f>
        <v/>
      </c>
      <c r="F425" s="25">
        <f>IF(C425="","",IFERROR(INDEX(tbl_Finance[Client],MATCH(C425&amp;"",tbl_Finance[Job Number],0)),""))</f>
        <v/>
      </c>
      <c r="G425" s="28">
        <f>IF(C425="","",COUNTIFS(tbl_Finance[Job Number],C425&amp;"",tbl_Finance[Ex GST],"&lt;&gt;"))</f>
        <v/>
      </c>
      <c r="H425" s="27">
        <f>IF(C425="","",SUMIFS(tbl_Finance[Ex GST],tbl_Finance[Job Number],C425&amp;""))</f>
        <v/>
      </c>
      <c r="I425" s="27">
        <f>IF(C425="","",SUMIFS(tbl_Finance[Ex GST],tbl_Finance[Job Number],C425&amp;"",tbl_Finance[Xero Invoice No],"&lt;&gt;"))</f>
        <v/>
      </c>
      <c r="J425" s="27">
        <f>IF(C425="","",H425-I425)</f>
        <v/>
      </c>
      <c r="K425" s="25">
        <f>IF(C425="","",IF(G425=0,"not invoiced yet",SUBSTITUTE(TRIM(IF(COUNTIFS(tbl_Finance[Job Number],C425&amp;"",tbl_Finance[Cost Centre],"ONSITE")&gt;0,"ONSITE ","")&amp;IF(COUNTIFS(tbl_Finance[Job Number],C425&amp;"",tbl_Finance[Cost Centre],"PRODUCTION")&gt;0,"PRODUCTION ","")&amp;IF(COUNTIFS(tbl_Finance[Job Number],C425&amp;"",tbl_Finance[Cost Centre],"VIDEO")&gt;0,"VIDEO ","")&amp;IF(COUNTIFS(tbl_Finance[Job Number],C425&amp;"",tbl_Finance[Cost Centre],"INTEGRATION")&gt;0,"INTEGRATION ","")&amp;IF(COUNTIFS(tbl_Finance[Job Number],C425&amp;"",tbl_Finance[Cost Centre],"CONSULTING")&gt;0,"CONSULTING ","")&amp;IF(COUNTIFS(tbl_Finance[Job Number],C425&amp;"",tbl_Finance[Cost Centre],"CTS")&gt;0,"CTS ",""))," ",", ")))</f>
        <v/>
      </c>
      <c r="L425" s="24" t="n"/>
      <c r="M425" s="24" t="n"/>
      <c r="N425" s="25">
        <f>IF(M425="","",HYPERLINK(IF(LEFT(M425,4)="http",M425,set_QwilrBase&amp;M425),"Open quote"))</f>
        <v/>
      </c>
      <c r="O425" s="64" t="n"/>
      <c r="P425" s="24" t="n"/>
      <c r="Q425" s="24" t="n"/>
    </row>
    <row r="426" ht="15" customHeight="1">
      <c r="A426" s="63">
        <f>IF(C426="","",IFERROR(IF(SUMPRODUCT(MAX((tbl_Finance[Job Number]=C426&amp;"")*(tbl_Finance[Xero Invoice No]&lt;&gt;"")*tbl_Finance[Date]))=0,"",SUMPRODUCT(MAX((tbl_Finance[Job Number]=C426&amp;"")*(tbl_Finance[Xero Invoice No]&lt;&gt;"")*tbl_Finance[Date]))),""))</f>
        <v/>
      </c>
      <c r="B426" s="25">
        <f>IF(C426="","",IF(COUNTIFS(tbl_Finance[Job Number],C426&amp;"",tbl_Finance[Xero Invoice No],"&lt;&gt;")=0,"",IFERROR(IF(COUNTIFS(tbl_Finance[Job Number],C426&amp;"",tbl_Finance[Xero Invoice No],LOOKUP(2,1/((tbl_Finance[Job Number]=C426&amp;"")*(tbl_Finance[Xero Invoice No]&lt;&gt;"")),tbl_Finance[Xero Invoice No]))=COUNTIFS(tbl_Finance[Job Number],C426&amp;"",tbl_Finance[Xero Invoice No],"&lt;&gt;"),LOOKUP(2,1/((tbl_Finance[Job Number]=C426&amp;"")*(tbl_Finance[Xero Invoice No]&lt;&gt;"")),tbl_Finance[Xero Invoice No]),LOOKUP(2,1/((tbl_Finance[Job Number]=C426&amp;"")*(tbl_Finance[Xero Invoice No]&lt;&gt;"")),tbl_Finance[Xero Invoice No])&amp;" +more"),"")))</f>
        <v/>
      </c>
      <c r="C426" s="24" t="n"/>
      <c r="D426" s="25">
        <f>IF(C426="","",IF(COUNTIF(lst_Jobs,C426&amp;"")&gt;0,"OK","CHECK"))</f>
        <v/>
      </c>
      <c r="E426" s="25">
        <f>IF(C426="","",IFERROR(INDEX(lst_JobName,MATCH(C426&amp;"",lst_Jobs,0)),""))</f>
        <v/>
      </c>
      <c r="F426" s="25">
        <f>IF(C426="","",IFERROR(INDEX(tbl_Finance[Client],MATCH(C426&amp;"",tbl_Finance[Job Number],0)),""))</f>
        <v/>
      </c>
      <c r="G426" s="28">
        <f>IF(C426="","",COUNTIFS(tbl_Finance[Job Number],C426&amp;"",tbl_Finance[Ex GST],"&lt;&gt;"))</f>
        <v/>
      </c>
      <c r="H426" s="27">
        <f>IF(C426="","",SUMIFS(tbl_Finance[Ex GST],tbl_Finance[Job Number],C426&amp;""))</f>
        <v/>
      </c>
      <c r="I426" s="27">
        <f>IF(C426="","",SUMIFS(tbl_Finance[Ex GST],tbl_Finance[Job Number],C426&amp;"",tbl_Finance[Xero Invoice No],"&lt;&gt;"))</f>
        <v/>
      </c>
      <c r="J426" s="27">
        <f>IF(C426="","",H426-I426)</f>
        <v/>
      </c>
      <c r="K426" s="25">
        <f>IF(C426="","",IF(G426=0,"not invoiced yet",SUBSTITUTE(TRIM(IF(COUNTIFS(tbl_Finance[Job Number],C426&amp;"",tbl_Finance[Cost Centre],"ONSITE")&gt;0,"ONSITE ","")&amp;IF(COUNTIFS(tbl_Finance[Job Number],C426&amp;"",tbl_Finance[Cost Centre],"PRODUCTION")&gt;0,"PRODUCTION ","")&amp;IF(COUNTIFS(tbl_Finance[Job Number],C426&amp;"",tbl_Finance[Cost Centre],"VIDEO")&gt;0,"VIDEO ","")&amp;IF(COUNTIFS(tbl_Finance[Job Number],C426&amp;"",tbl_Finance[Cost Centre],"INTEGRATION")&gt;0,"INTEGRATION ","")&amp;IF(COUNTIFS(tbl_Finance[Job Number],C426&amp;"",tbl_Finance[Cost Centre],"CONSULTING")&gt;0,"CONSULTING ","")&amp;IF(COUNTIFS(tbl_Finance[Job Number],C426&amp;"",tbl_Finance[Cost Centre],"CTS")&gt;0,"CTS ",""))," ",", ")))</f>
        <v/>
      </c>
      <c r="L426" s="24" t="n"/>
      <c r="M426" s="24" t="n"/>
      <c r="N426" s="25">
        <f>IF(M426="","",HYPERLINK(IF(LEFT(M426,4)="http",M426,set_QwilrBase&amp;M426),"Open quote"))</f>
        <v/>
      </c>
      <c r="O426" s="64" t="n"/>
      <c r="P426" s="24" t="n"/>
      <c r="Q426" s="24" t="n"/>
    </row>
    <row r="427" ht="15" customHeight="1">
      <c r="A427" s="63">
        <f>IF(C427="","",IFERROR(IF(SUMPRODUCT(MAX((tbl_Finance[Job Number]=C427&amp;"")*(tbl_Finance[Xero Invoice No]&lt;&gt;"")*tbl_Finance[Date]))=0,"",SUMPRODUCT(MAX((tbl_Finance[Job Number]=C427&amp;"")*(tbl_Finance[Xero Invoice No]&lt;&gt;"")*tbl_Finance[Date]))),""))</f>
        <v/>
      </c>
      <c r="B427" s="25">
        <f>IF(C427="","",IF(COUNTIFS(tbl_Finance[Job Number],C427&amp;"",tbl_Finance[Xero Invoice No],"&lt;&gt;")=0,"",IFERROR(IF(COUNTIFS(tbl_Finance[Job Number],C427&amp;"",tbl_Finance[Xero Invoice No],LOOKUP(2,1/((tbl_Finance[Job Number]=C427&amp;"")*(tbl_Finance[Xero Invoice No]&lt;&gt;"")),tbl_Finance[Xero Invoice No]))=COUNTIFS(tbl_Finance[Job Number],C427&amp;"",tbl_Finance[Xero Invoice No],"&lt;&gt;"),LOOKUP(2,1/((tbl_Finance[Job Number]=C427&amp;"")*(tbl_Finance[Xero Invoice No]&lt;&gt;"")),tbl_Finance[Xero Invoice No]),LOOKUP(2,1/((tbl_Finance[Job Number]=C427&amp;"")*(tbl_Finance[Xero Invoice No]&lt;&gt;"")),tbl_Finance[Xero Invoice No])&amp;" +more"),"")))</f>
        <v/>
      </c>
      <c r="C427" s="24" t="n"/>
      <c r="D427" s="25">
        <f>IF(C427="","",IF(COUNTIF(lst_Jobs,C427&amp;"")&gt;0,"OK","CHECK"))</f>
        <v/>
      </c>
      <c r="E427" s="25">
        <f>IF(C427="","",IFERROR(INDEX(lst_JobName,MATCH(C427&amp;"",lst_Jobs,0)),""))</f>
        <v/>
      </c>
      <c r="F427" s="25">
        <f>IF(C427="","",IFERROR(INDEX(tbl_Finance[Client],MATCH(C427&amp;"",tbl_Finance[Job Number],0)),""))</f>
        <v/>
      </c>
      <c r="G427" s="28">
        <f>IF(C427="","",COUNTIFS(tbl_Finance[Job Number],C427&amp;"",tbl_Finance[Ex GST],"&lt;&gt;"))</f>
        <v/>
      </c>
      <c r="H427" s="27">
        <f>IF(C427="","",SUMIFS(tbl_Finance[Ex GST],tbl_Finance[Job Number],C427&amp;""))</f>
        <v/>
      </c>
      <c r="I427" s="27">
        <f>IF(C427="","",SUMIFS(tbl_Finance[Ex GST],tbl_Finance[Job Number],C427&amp;"",tbl_Finance[Xero Invoice No],"&lt;&gt;"))</f>
        <v/>
      </c>
      <c r="J427" s="27">
        <f>IF(C427="","",H427-I427)</f>
        <v/>
      </c>
      <c r="K427" s="25">
        <f>IF(C427="","",IF(G427=0,"not invoiced yet",SUBSTITUTE(TRIM(IF(COUNTIFS(tbl_Finance[Job Number],C427&amp;"",tbl_Finance[Cost Centre],"ONSITE")&gt;0,"ONSITE ","")&amp;IF(COUNTIFS(tbl_Finance[Job Number],C427&amp;"",tbl_Finance[Cost Centre],"PRODUCTION")&gt;0,"PRODUCTION ","")&amp;IF(COUNTIFS(tbl_Finance[Job Number],C427&amp;"",tbl_Finance[Cost Centre],"VIDEO")&gt;0,"VIDEO ","")&amp;IF(COUNTIFS(tbl_Finance[Job Number],C427&amp;"",tbl_Finance[Cost Centre],"INTEGRATION")&gt;0,"INTEGRATION ","")&amp;IF(COUNTIFS(tbl_Finance[Job Number],C427&amp;"",tbl_Finance[Cost Centre],"CONSULTING")&gt;0,"CONSULTING ","")&amp;IF(COUNTIFS(tbl_Finance[Job Number],C427&amp;"",tbl_Finance[Cost Centre],"CTS")&gt;0,"CTS ",""))," ",", ")))</f>
        <v/>
      </c>
      <c r="L427" s="24" t="n"/>
      <c r="M427" s="24" t="n"/>
      <c r="N427" s="25">
        <f>IF(M427="","",HYPERLINK(IF(LEFT(M427,4)="http",M427,set_QwilrBase&amp;M427),"Open quote"))</f>
        <v/>
      </c>
      <c r="O427" s="64" t="n"/>
      <c r="P427" s="24" t="n"/>
      <c r="Q427" s="24" t="n"/>
    </row>
    <row r="428" ht="15" customHeight="1">
      <c r="A428" s="63">
        <f>IF(C428="","",IFERROR(IF(SUMPRODUCT(MAX((tbl_Finance[Job Number]=C428&amp;"")*(tbl_Finance[Xero Invoice No]&lt;&gt;"")*tbl_Finance[Date]))=0,"",SUMPRODUCT(MAX((tbl_Finance[Job Number]=C428&amp;"")*(tbl_Finance[Xero Invoice No]&lt;&gt;"")*tbl_Finance[Date]))),""))</f>
        <v/>
      </c>
      <c r="B428" s="25">
        <f>IF(C428="","",IF(COUNTIFS(tbl_Finance[Job Number],C428&amp;"",tbl_Finance[Xero Invoice No],"&lt;&gt;")=0,"",IFERROR(IF(COUNTIFS(tbl_Finance[Job Number],C428&amp;"",tbl_Finance[Xero Invoice No],LOOKUP(2,1/((tbl_Finance[Job Number]=C428&amp;"")*(tbl_Finance[Xero Invoice No]&lt;&gt;"")),tbl_Finance[Xero Invoice No]))=COUNTIFS(tbl_Finance[Job Number],C428&amp;"",tbl_Finance[Xero Invoice No],"&lt;&gt;"),LOOKUP(2,1/((tbl_Finance[Job Number]=C428&amp;"")*(tbl_Finance[Xero Invoice No]&lt;&gt;"")),tbl_Finance[Xero Invoice No]),LOOKUP(2,1/((tbl_Finance[Job Number]=C428&amp;"")*(tbl_Finance[Xero Invoice No]&lt;&gt;"")),tbl_Finance[Xero Invoice No])&amp;" +more"),"")))</f>
        <v/>
      </c>
      <c r="C428" s="24" t="n"/>
      <c r="D428" s="25">
        <f>IF(C428="","",IF(COUNTIF(lst_Jobs,C428&amp;"")&gt;0,"OK","CHECK"))</f>
        <v/>
      </c>
      <c r="E428" s="25">
        <f>IF(C428="","",IFERROR(INDEX(lst_JobName,MATCH(C428&amp;"",lst_Jobs,0)),""))</f>
        <v/>
      </c>
      <c r="F428" s="25">
        <f>IF(C428="","",IFERROR(INDEX(tbl_Finance[Client],MATCH(C428&amp;"",tbl_Finance[Job Number],0)),""))</f>
        <v/>
      </c>
      <c r="G428" s="28">
        <f>IF(C428="","",COUNTIFS(tbl_Finance[Job Number],C428&amp;"",tbl_Finance[Ex GST],"&lt;&gt;"))</f>
        <v/>
      </c>
      <c r="H428" s="27">
        <f>IF(C428="","",SUMIFS(tbl_Finance[Ex GST],tbl_Finance[Job Number],C428&amp;""))</f>
        <v/>
      </c>
      <c r="I428" s="27">
        <f>IF(C428="","",SUMIFS(tbl_Finance[Ex GST],tbl_Finance[Job Number],C428&amp;"",tbl_Finance[Xero Invoice No],"&lt;&gt;"))</f>
        <v/>
      </c>
      <c r="J428" s="27">
        <f>IF(C428="","",H428-I428)</f>
        <v/>
      </c>
      <c r="K428" s="25">
        <f>IF(C428="","",IF(G428=0,"not invoiced yet",SUBSTITUTE(TRIM(IF(COUNTIFS(tbl_Finance[Job Number],C428&amp;"",tbl_Finance[Cost Centre],"ONSITE")&gt;0,"ONSITE ","")&amp;IF(COUNTIFS(tbl_Finance[Job Number],C428&amp;"",tbl_Finance[Cost Centre],"PRODUCTION")&gt;0,"PRODUCTION ","")&amp;IF(COUNTIFS(tbl_Finance[Job Number],C428&amp;"",tbl_Finance[Cost Centre],"VIDEO")&gt;0,"VIDEO ","")&amp;IF(COUNTIFS(tbl_Finance[Job Number],C428&amp;"",tbl_Finance[Cost Centre],"INTEGRATION")&gt;0,"INTEGRATION ","")&amp;IF(COUNTIFS(tbl_Finance[Job Number],C428&amp;"",tbl_Finance[Cost Centre],"CONSULTING")&gt;0,"CONSULTING ","")&amp;IF(COUNTIFS(tbl_Finance[Job Number],C428&amp;"",tbl_Finance[Cost Centre],"CTS")&gt;0,"CTS ",""))," ",", ")))</f>
        <v/>
      </c>
      <c r="L428" s="24" t="n"/>
      <c r="M428" s="24" t="n"/>
      <c r="N428" s="25">
        <f>IF(M428="","",HYPERLINK(IF(LEFT(M428,4)="http",M428,set_QwilrBase&amp;M428),"Open quote"))</f>
        <v/>
      </c>
      <c r="O428" s="64" t="n"/>
      <c r="P428" s="24" t="n"/>
      <c r="Q428" s="24" t="n"/>
    </row>
    <row r="429" ht="15" customHeight="1">
      <c r="A429" s="63">
        <f>IF(C429="","",IFERROR(IF(SUMPRODUCT(MAX((tbl_Finance[Job Number]=C429&amp;"")*(tbl_Finance[Xero Invoice No]&lt;&gt;"")*tbl_Finance[Date]))=0,"",SUMPRODUCT(MAX((tbl_Finance[Job Number]=C429&amp;"")*(tbl_Finance[Xero Invoice No]&lt;&gt;"")*tbl_Finance[Date]))),""))</f>
        <v/>
      </c>
      <c r="B429" s="25">
        <f>IF(C429="","",IF(COUNTIFS(tbl_Finance[Job Number],C429&amp;"",tbl_Finance[Xero Invoice No],"&lt;&gt;")=0,"",IFERROR(IF(COUNTIFS(tbl_Finance[Job Number],C429&amp;"",tbl_Finance[Xero Invoice No],LOOKUP(2,1/((tbl_Finance[Job Number]=C429&amp;"")*(tbl_Finance[Xero Invoice No]&lt;&gt;"")),tbl_Finance[Xero Invoice No]))=COUNTIFS(tbl_Finance[Job Number],C429&amp;"",tbl_Finance[Xero Invoice No],"&lt;&gt;"),LOOKUP(2,1/((tbl_Finance[Job Number]=C429&amp;"")*(tbl_Finance[Xero Invoice No]&lt;&gt;"")),tbl_Finance[Xero Invoice No]),LOOKUP(2,1/((tbl_Finance[Job Number]=C429&amp;"")*(tbl_Finance[Xero Invoice No]&lt;&gt;"")),tbl_Finance[Xero Invoice No])&amp;" +more"),"")))</f>
        <v/>
      </c>
      <c r="C429" s="24" t="n"/>
      <c r="D429" s="25">
        <f>IF(C429="","",IF(COUNTIF(lst_Jobs,C429&amp;"")&gt;0,"OK","CHECK"))</f>
        <v/>
      </c>
      <c r="E429" s="25">
        <f>IF(C429="","",IFERROR(INDEX(lst_JobName,MATCH(C429&amp;"",lst_Jobs,0)),""))</f>
        <v/>
      </c>
      <c r="F429" s="25">
        <f>IF(C429="","",IFERROR(INDEX(tbl_Finance[Client],MATCH(C429&amp;"",tbl_Finance[Job Number],0)),""))</f>
        <v/>
      </c>
      <c r="G429" s="28">
        <f>IF(C429="","",COUNTIFS(tbl_Finance[Job Number],C429&amp;"",tbl_Finance[Ex GST],"&lt;&gt;"))</f>
        <v/>
      </c>
      <c r="H429" s="27">
        <f>IF(C429="","",SUMIFS(tbl_Finance[Ex GST],tbl_Finance[Job Number],C429&amp;""))</f>
        <v/>
      </c>
      <c r="I429" s="27">
        <f>IF(C429="","",SUMIFS(tbl_Finance[Ex GST],tbl_Finance[Job Number],C429&amp;"",tbl_Finance[Xero Invoice No],"&lt;&gt;"))</f>
        <v/>
      </c>
      <c r="J429" s="27">
        <f>IF(C429="","",H429-I429)</f>
        <v/>
      </c>
      <c r="K429" s="25">
        <f>IF(C429="","",IF(G429=0,"not invoiced yet",SUBSTITUTE(TRIM(IF(COUNTIFS(tbl_Finance[Job Number],C429&amp;"",tbl_Finance[Cost Centre],"ONSITE")&gt;0,"ONSITE ","")&amp;IF(COUNTIFS(tbl_Finance[Job Number],C429&amp;"",tbl_Finance[Cost Centre],"PRODUCTION")&gt;0,"PRODUCTION ","")&amp;IF(COUNTIFS(tbl_Finance[Job Number],C429&amp;"",tbl_Finance[Cost Centre],"VIDEO")&gt;0,"VIDEO ","")&amp;IF(COUNTIFS(tbl_Finance[Job Number],C429&amp;"",tbl_Finance[Cost Centre],"INTEGRATION")&gt;0,"INTEGRATION ","")&amp;IF(COUNTIFS(tbl_Finance[Job Number],C429&amp;"",tbl_Finance[Cost Centre],"CONSULTING")&gt;0,"CONSULTING ","")&amp;IF(COUNTIFS(tbl_Finance[Job Number],C429&amp;"",tbl_Finance[Cost Centre],"CTS")&gt;0,"CTS ",""))," ",", ")))</f>
        <v/>
      </c>
      <c r="L429" s="24" t="n"/>
      <c r="M429" s="24" t="n"/>
      <c r="N429" s="25">
        <f>IF(M429="","",HYPERLINK(IF(LEFT(M429,4)="http",M429,set_QwilrBase&amp;M429),"Open quote"))</f>
        <v/>
      </c>
      <c r="O429" s="64" t="n"/>
      <c r="P429" s="24" t="n"/>
      <c r="Q429" s="24" t="n"/>
    </row>
    <row r="430" ht="15" customHeight="1">
      <c r="A430" s="63">
        <f>IF(C430="","",IFERROR(IF(SUMPRODUCT(MAX((tbl_Finance[Job Number]=C430&amp;"")*(tbl_Finance[Xero Invoice No]&lt;&gt;"")*tbl_Finance[Date]))=0,"",SUMPRODUCT(MAX((tbl_Finance[Job Number]=C430&amp;"")*(tbl_Finance[Xero Invoice No]&lt;&gt;"")*tbl_Finance[Date]))),""))</f>
        <v/>
      </c>
      <c r="B430" s="25">
        <f>IF(C430="","",IF(COUNTIFS(tbl_Finance[Job Number],C430&amp;"",tbl_Finance[Xero Invoice No],"&lt;&gt;")=0,"",IFERROR(IF(COUNTIFS(tbl_Finance[Job Number],C430&amp;"",tbl_Finance[Xero Invoice No],LOOKUP(2,1/((tbl_Finance[Job Number]=C430&amp;"")*(tbl_Finance[Xero Invoice No]&lt;&gt;"")),tbl_Finance[Xero Invoice No]))=COUNTIFS(tbl_Finance[Job Number],C430&amp;"",tbl_Finance[Xero Invoice No],"&lt;&gt;"),LOOKUP(2,1/((tbl_Finance[Job Number]=C430&amp;"")*(tbl_Finance[Xero Invoice No]&lt;&gt;"")),tbl_Finance[Xero Invoice No]),LOOKUP(2,1/((tbl_Finance[Job Number]=C430&amp;"")*(tbl_Finance[Xero Invoice No]&lt;&gt;"")),tbl_Finance[Xero Invoice No])&amp;" +more"),"")))</f>
        <v/>
      </c>
      <c r="C430" s="24" t="n"/>
      <c r="D430" s="25">
        <f>IF(C430="","",IF(COUNTIF(lst_Jobs,C430&amp;"")&gt;0,"OK","CHECK"))</f>
        <v/>
      </c>
      <c r="E430" s="25">
        <f>IF(C430="","",IFERROR(INDEX(lst_JobName,MATCH(C430&amp;"",lst_Jobs,0)),""))</f>
        <v/>
      </c>
      <c r="F430" s="25">
        <f>IF(C430="","",IFERROR(INDEX(tbl_Finance[Client],MATCH(C430&amp;"",tbl_Finance[Job Number],0)),""))</f>
        <v/>
      </c>
      <c r="G430" s="28">
        <f>IF(C430="","",COUNTIFS(tbl_Finance[Job Number],C430&amp;"",tbl_Finance[Ex GST],"&lt;&gt;"))</f>
        <v/>
      </c>
      <c r="H430" s="27">
        <f>IF(C430="","",SUMIFS(tbl_Finance[Ex GST],tbl_Finance[Job Number],C430&amp;""))</f>
        <v/>
      </c>
      <c r="I430" s="27">
        <f>IF(C430="","",SUMIFS(tbl_Finance[Ex GST],tbl_Finance[Job Number],C430&amp;"",tbl_Finance[Xero Invoice No],"&lt;&gt;"))</f>
        <v/>
      </c>
      <c r="J430" s="27">
        <f>IF(C430="","",H430-I430)</f>
        <v/>
      </c>
      <c r="K430" s="25">
        <f>IF(C430="","",IF(G430=0,"not invoiced yet",SUBSTITUTE(TRIM(IF(COUNTIFS(tbl_Finance[Job Number],C430&amp;"",tbl_Finance[Cost Centre],"ONSITE")&gt;0,"ONSITE ","")&amp;IF(COUNTIFS(tbl_Finance[Job Number],C430&amp;"",tbl_Finance[Cost Centre],"PRODUCTION")&gt;0,"PRODUCTION ","")&amp;IF(COUNTIFS(tbl_Finance[Job Number],C430&amp;"",tbl_Finance[Cost Centre],"VIDEO")&gt;0,"VIDEO ","")&amp;IF(COUNTIFS(tbl_Finance[Job Number],C430&amp;"",tbl_Finance[Cost Centre],"INTEGRATION")&gt;0,"INTEGRATION ","")&amp;IF(COUNTIFS(tbl_Finance[Job Number],C430&amp;"",tbl_Finance[Cost Centre],"CONSULTING")&gt;0,"CONSULTING ","")&amp;IF(COUNTIFS(tbl_Finance[Job Number],C430&amp;"",tbl_Finance[Cost Centre],"CTS")&gt;0,"CTS ",""))," ",", ")))</f>
        <v/>
      </c>
      <c r="L430" s="24" t="n"/>
      <c r="M430" s="24" t="n"/>
      <c r="N430" s="25">
        <f>IF(M430="","",HYPERLINK(IF(LEFT(M430,4)="http",M430,set_QwilrBase&amp;M430),"Open quote"))</f>
        <v/>
      </c>
      <c r="O430" s="64" t="n"/>
      <c r="P430" s="24" t="n"/>
      <c r="Q430" s="24" t="n"/>
    </row>
    <row r="431" ht="15" customHeight="1">
      <c r="A431" s="63">
        <f>IF(C431="","",IFERROR(IF(SUMPRODUCT(MAX((tbl_Finance[Job Number]=C431&amp;"")*(tbl_Finance[Xero Invoice No]&lt;&gt;"")*tbl_Finance[Date]))=0,"",SUMPRODUCT(MAX((tbl_Finance[Job Number]=C431&amp;"")*(tbl_Finance[Xero Invoice No]&lt;&gt;"")*tbl_Finance[Date]))),""))</f>
        <v/>
      </c>
      <c r="B431" s="25">
        <f>IF(C431="","",IF(COUNTIFS(tbl_Finance[Job Number],C431&amp;"",tbl_Finance[Xero Invoice No],"&lt;&gt;")=0,"",IFERROR(IF(COUNTIFS(tbl_Finance[Job Number],C431&amp;"",tbl_Finance[Xero Invoice No],LOOKUP(2,1/((tbl_Finance[Job Number]=C431&amp;"")*(tbl_Finance[Xero Invoice No]&lt;&gt;"")),tbl_Finance[Xero Invoice No]))=COUNTIFS(tbl_Finance[Job Number],C431&amp;"",tbl_Finance[Xero Invoice No],"&lt;&gt;"),LOOKUP(2,1/((tbl_Finance[Job Number]=C431&amp;"")*(tbl_Finance[Xero Invoice No]&lt;&gt;"")),tbl_Finance[Xero Invoice No]),LOOKUP(2,1/((tbl_Finance[Job Number]=C431&amp;"")*(tbl_Finance[Xero Invoice No]&lt;&gt;"")),tbl_Finance[Xero Invoice No])&amp;" +more"),"")))</f>
        <v/>
      </c>
      <c r="C431" s="24" t="n"/>
      <c r="D431" s="25">
        <f>IF(C431="","",IF(COUNTIF(lst_Jobs,C431&amp;"")&gt;0,"OK","CHECK"))</f>
        <v/>
      </c>
      <c r="E431" s="25">
        <f>IF(C431="","",IFERROR(INDEX(lst_JobName,MATCH(C431&amp;"",lst_Jobs,0)),""))</f>
        <v/>
      </c>
      <c r="F431" s="25">
        <f>IF(C431="","",IFERROR(INDEX(tbl_Finance[Client],MATCH(C431&amp;"",tbl_Finance[Job Number],0)),""))</f>
        <v/>
      </c>
      <c r="G431" s="28">
        <f>IF(C431="","",COUNTIFS(tbl_Finance[Job Number],C431&amp;"",tbl_Finance[Ex GST],"&lt;&gt;"))</f>
        <v/>
      </c>
      <c r="H431" s="27">
        <f>IF(C431="","",SUMIFS(tbl_Finance[Ex GST],tbl_Finance[Job Number],C431&amp;""))</f>
        <v/>
      </c>
      <c r="I431" s="27">
        <f>IF(C431="","",SUMIFS(tbl_Finance[Ex GST],tbl_Finance[Job Number],C431&amp;"",tbl_Finance[Xero Invoice No],"&lt;&gt;"))</f>
        <v/>
      </c>
      <c r="J431" s="27">
        <f>IF(C431="","",H431-I431)</f>
        <v/>
      </c>
      <c r="K431" s="25">
        <f>IF(C431="","",IF(G431=0,"not invoiced yet",SUBSTITUTE(TRIM(IF(COUNTIFS(tbl_Finance[Job Number],C431&amp;"",tbl_Finance[Cost Centre],"ONSITE")&gt;0,"ONSITE ","")&amp;IF(COUNTIFS(tbl_Finance[Job Number],C431&amp;"",tbl_Finance[Cost Centre],"PRODUCTION")&gt;0,"PRODUCTION ","")&amp;IF(COUNTIFS(tbl_Finance[Job Number],C431&amp;"",tbl_Finance[Cost Centre],"VIDEO")&gt;0,"VIDEO ","")&amp;IF(COUNTIFS(tbl_Finance[Job Number],C431&amp;"",tbl_Finance[Cost Centre],"INTEGRATION")&gt;0,"INTEGRATION ","")&amp;IF(COUNTIFS(tbl_Finance[Job Number],C431&amp;"",tbl_Finance[Cost Centre],"CONSULTING")&gt;0,"CONSULTING ","")&amp;IF(COUNTIFS(tbl_Finance[Job Number],C431&amp;"",tbl_Finance[Cost Centre],"CTS")&gt;0,"CTS ",""))," ",", ")))</f>
        <v/>
      </c>
      <c r="L431" s="24" t="n"/>
      <c r="M431" s="24" t="n"/>
      <c r="N431" s="25">
        <f>IF(M431="","",HYPERLINK(IF(LEFT(M431,4)="http",M431,set_QwilrBase&amp;M431),"Open quote"))</f>
        <v/>
      </c>
      <c r="O431" s="64" t="n"/>
      <c r="P431" s="24" t="n"/>
      <c r="Q431" s="24" t="n"/>
    </row>
  </sheetData>
  <sheetProtection selectLockedCells="0" selectUnlockedCells="0" sheet="1" objects="0" insertRows="0" insertHyperlinks="1" autoFilter="0" scenarios="0" formatColumns="0" deleteColumns="1" insertColumns="1" pivotTables="1" deleteRows="1" formatCells="0" formatRows="0" sort="0"/>
  <mergeCells count="1">
    <mergeCell ref="A3:K3"/>
  </mergeCells>
  <conditionalFormatting sqref="D5:D5000">
    <cfRule type="expression" priority="1" dxfId="0" stopIfTrue="0">
      <formula>D5="CHECK"</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B708A"/>
    <outlinePr summaryBelow="1" summaryRight="1"/>
    <pageSetUpPr/>
  </sheetPr>
  <dimension ref="A1:AO462"/>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14" customWidth="1" min="12" max="12"/>
    <col width="18" customWidth="1" min="13" max="13"/>
    <col width="34" customWidth="1" min="14" max="14"/>
    <col width="30" customWidth="1" min="15" max="15"/>
    <col width="20" customWidth="1" min="16" max="16"/>
    <col width="12" customWidth="1" min="17" max="17"/>
    <col width="14" customWidth="1" min="18" max="18"/>
    <col width="18" customWidth="1" min="19" max="19"/>
    <col width="40" customWidth="1" min="20" max="20"/>
    <col width="14" customWidth="1" min="21" max="21"/>
    <col width="14" customWidth="1" min="22" max="22"/>
    <col width="11" customWidth="1" min="23" max="23"/>
    <col width="16" customWidth="1" min="24" max="24"/>
    <col width="20" customWidth="1" min="25" max="25"/>
    <col width="11" customWidth="1" min="26" max="26"/>
    <col width="17" customWidth="1" min="27" max="27"/>
    <col width="15" customWidth="1" min="28" max="28"/>
    <col width="18" customWidth="1" min="29" max="29"/>
    <col width="22" customWidth="1" min="30" max="30"/>
    <col width="14" customWidth="1" min="31" max="31"/>
    <col width="16" customWidth="1" min="32" max="32"/>
    <col width="14" customWidth="1" min="33" max="33"/>
    <col width="14" customWidth="1" min="34" max="34"/>
    <col width="10" customWidth="1" min="35" max="35"/>
    <col width="15" customWidth="1" min="36" max="36"/>
    <col width="15" customWidth="1" min="37" max="37"/>
    <col width="15" customWidth="1" min="38" max="38"/>
    <col width="19" customWidth="1" min="39" max="39"/>
    <col width="18" customWidth="1" min="40" max="40"/>
    <col width="38" customWidth="1" min="41" max="41"/>
  </cols>
  <sheetData>
    <row r="1" ht="24" customHeight="1">
      <c r="A1" s="18" t="inlineStr">
        <is>
          <t>Production - Job Detail</t>
        </is>
      </c>
    </row>
    <row r="2" ht="16" customHeight="1">
      <c r="A2" s="2" t="inlineStr">
        <is>
          <t>Production and Video jobs. One row per job number. Revenue comes from the Finance sheet, so margin is the whole job: every invoice against it less the costs you enter here.</t>
        </is>
      </c>
    </row>
    <row r="3" ht="22" customHeight="1">
      <c r="A3" s="19">
        <f>"Revenue Ex GST  "&amp;TEXT(SUBTOTAL(109,tbl_Production[Revenue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1" t="inlineStr">
        <is>
          <t>Total Inc GST</t>
        </is>
      </c>
      <c r="M4" s="20" t="inlineStr">
        <is>
          <t>Company</t>
        </is>
      </c>
      <c r="N4" s="21" t="inlineStr">
        <is>
          <t>Event Name</t>
        </is>
      </c>
      <c r="O4" s="20" t="inlineStr">
        <is>
          <t>Client Email</t>
        </is>
      </c>
      <c r="P4" s="20" t="inlineStr">
        <is>
          <t>Event Grouping</t>
        </is>
      </c>
      <c r="Q4" s="20" t="inlineStr">
        <is>
          <t>Event Date</t>
        </is>
      </c>
      <c r="R4" s="20" t="inlineStr">
        <is>
          <t>Current RMS No</t>
        </is>
      </c>
      <c r="S4" s="21" t="inlineStr">
        <is>
          <t>Open in Current RMS</t>
        </is>
      </c>
      <c r="T4" s="20" t="inlineStr">
        <is>
          <t>Qwilr Quote</t>
        </is>
      </c>
      <c r="U4" s="21" t="inlineStr">
        <is>
          <t>Open Qwilr</t>
        </is>
      </c>
      <c r="V4" s="21" t="inlineStr">
        <is>
          <t>Zoho Number</t>
        </is>
      </c>
      <c r="W4" s="20" t="inlineStr">
        <is>
          <t>Job Closed</t>
        </is>
      </c>
      <c r="X4" s="20" t="inlineStr">
        <is>
          <t>Discounts Given</t>
        </is>
      </c>
      <c r="Y4" s="21" t="inlineStr">
        <is>
          <t>Value Before Discount</t>
        </is>
      </c>
      <c r="Z4" s="21" t="inlineStr">
        <is>
          <t>Discount %</t>
        </is>
      </c>
      <c r="AA4" s="20" t="inlineStr">
        <is>
          <t>Cross Hire Expense</t>
        </is>
      </c>
      <c r="AB4" s="20" t="inlineStr">
        <is>
          <t>Conf. Call Costs</t>
        </is>
      </c>
      <c r="AC4" s="20" t="inlineStr">
        <is>
          <t>Transcription Costs</t>
        </is>
      </c>
      <c r="AD4" s="20" t="inlineStr">
        <is>
          <t>Labour Expense (Internal)</t>
        </is>
      </c>
      <c r="AE4" s="21" t="inlineStr">
        <is>
          <t>Video Revenue</t>
        </is>
      </c>
      <c r="AF4" s="21" t="inlineStr">
        <is>
          <t>Video % of Revenue</t>
        </is>
      </c>
      <c r="AG4" s="21" t="inlineStr">
        <is>
          <t>Total Expense</t>
        </is>
      </c>
      <c r="AH4" s="21" t="inlineStr">
        <is>
          <t>Margin</t>
        </is>
      </c>
      <c r="AI4" s="21" t="inlineStr">
        <is>
          <t>Margin %</t>
        </is>
      </c>
      <c r="AJ4" s="20" t="inlineStr">
        <is>
          <t>Video Filming Hrs</t>
        </is>
      </c>
      <c r="AK4" s="20" t="inlineStr">
        <is>
          <t>Video Editing Hrs</t>
        </is>
      </c>
      <c r="AL4" s="20" t="inlineStr">
        <is>
          <t>Project Mgmt Hrs</t>
        </is>
      </c>
      <c r="AM4" s="20" t="inlineStr">
        <is>
          <t>Video Project Mgmt Hrs</t>
        </is>
      </c>
      <c r="AN4" s="20" t="inlineStr">
        <is>
          <t>Production Labour Hrs</t>
        </is>
      </c>
      <c r="AO4" s="20" t="inlineStr">
        <is>
          <t>Notes</t>
        </is>
      </c>
    </row>
    <row r="5" ht="15" customHeight="1">
      <c r="A5" s="63">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inlineStr">
        <is>
          <t>2602309</t>
        </is>
      </c>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7">
        <f>IF(C5="","",SUMIFS(tbl_Finance[Inc GST],tbl_Finance[Job Number],C5&amp;""))</f>
        <v/>
      </c>
      <c r="M5" s="24" t="n"/>
      <c r="N5" s="25">
        <f>IF(C5="","",IFERROR(INDEX(tbl_Finance[Description],MATCH(C5&amp;"",tbl_Finance[Job Number],0)),""))</f>
        <v/>
      </c>
      <c r="O5" s="24" t="inlineStr">
        <is>
          <t>Ben.woodlock@elkiem.com</t>
        </is>
      </c>
      <c r="P5" s="24" t="n"/>
      <c r="Q5" s="22" t="inlineStr">
        <is>
          <t>7/1/2026</t>
        </is>
      </c>
      <c r="R5" s="24" t="inlineStr">
        <is>
          <t>5879</t>
        </is>
      </c>
      <c r="S5" s="25">
        <f>IF(R5="","",IF(AND(LEFT(R5,4)&lt;&gt;"http",set_RMSBase=""),"",HYPERLINK(IF(LEFT(R5,4)="http",R5,set_RMSBase&amp;R5),"Open opportunity")))</f>
        <v/>
      </c>
      <c r="T5" s="24" t="n"/>
      <c r="U5" s="25">
        <f>IF(T5="","",HYPERLINK(IF(LEFT(T5,4)="http",T5,set_QwilrBase&amp;T5),"Open quote"))</f>
        <v/>
      </c>
      <c r="V5" s="25">
        <f>IF(C5="","",C5)</f>
        <v/>
      </c>
      <c r="W5" s="24" t="inlineStr">
        <is>
          <t>Y</t>
        </is>
      </c>
      <c r="X5" s="26" t="n"/>
      <c r="Y5" s="27">
        <f>IF(C5="","",H5+N(X5))</f>
        <v/>
      </c>
      <c r="Z5" s="29">
        <f>IFERROR(X5/Y5,"")</f>
        <v/>
      </c>
      <c r="AA5" s="26" t="n"/>
      <c r="AB5" s="26" t="n"/>
      <c r="AC5" s="26" t="n"/>
      <c r="AD5" s="26" t="n">
        <v>229.56</v>
      </c>
      <c r="AE5" s="27">
        <f>IF(C5="","",SUMIFS(tbl_Finance[Ex GST],tbl_Finance[Job Number],C5&amp;"",tbl_Finance[Cost Centre],"VIDEO"))</f>
        <v/>
      </c>
      <c r="AF5" s="29">
        <f>IFERROR(AE5/H5,"")</f>
        <v/>
      </c>
      <c r="AG5" s="27">
        <f>IF(C5="","",N(AA5)+N(AB5)+N(AC5)+N(AD5))</f>
        <v/>
      </c>
      <c r="AH5" s="27">
        <f>IF(C5="","",H5-AG5)</f>
        <v/>
      </c>
      <c r="AI5" s="29">
        <f>IFERROR(AH5/H5,"")</f>
        <v/>
      </c>
      <c r="AJ5" s="64" t="n"/>
      <c r="AK5" s="64" t="n"/>
      <c r="AL5" s="64" t="n"/>
      <c r="AM5" s="64" t="n"/>
      <c r="AN5" s="64" t="n">
        <v>4</v>
      </c>
      <c r="AO5" s="24" t="n"/>
    </row>
    <row r="6" ht="15" customHeight="1">
      <c r="A6" s="63">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inlineStr">
        <is>
          <t>26032301</t>
        </is>
      </c>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7">
        <f>IF(C6="","",SUMIFS(tbl_Finance[Inc GST],tbl_Finance[Job Number],C6&amp;""))</f>
        <v/>
      </c>
      <c r="M6" s="24" t="n"/>
      <c r="N6" s="25">
        <f>IF(C6="","",IFERROR(INDEX(tbl_Finance[Description],MATCH(C6&amp;"",tbl_Finance[Job Number],0)),""))</f>
        <v/>
      </c>
      <c r="O6" s="24" t="inlineStr">
        <is>
          <t>lindsay.botten@outlook.com</t>
        </is>
      </c>
      <c r="P6" s="24" t="n"/>
      <c r="Q6" s="22" t="inlineStr">
        <is>
          <t>7/1/2026</t>
        </is>
      </c>
      <c r="R6" s="24" t="inlineStr">
        <is>
          <t>5924</t>
        </is>
      </c>
      <c r="S6" s="25">
        <f>IF(R6="","",IF(AND(LEFT(R6,4)&lt;&gt;"http",set_RMSBase=""),"",HYPERLINK(IF(LEFT(R6,4)="http",R6,set_RMSBase&amp;R6),"Open opportunity")))</f>
        <v/>
      </c>
      <c r="T6" s="24" t="n"/>
      <c r="U6" s="25">
        <f>IF(T6="","",HYPERLINK(IF(LEFT(T6,4)="http",T6,set_QwilrBase&amp;T6),"Open quote"))</f>
        <v/>
      </c>
      <c r="V6" s="25">
        <f>IF(C6="","",C6)</f>
        <v/>
      </c>
      <c r="W6" s="24" t="inlineStr">
        <is>
          <t>Y</t>
        </is>
      </c>
      <c r="X6" s="26" t="n">
        <v>334</v>
      </c>
      <c r="Y6" s="27">
        <f>IF(C6="","",H6+N(X6))</f>
        <v/>
      </c>
      <c r="Z6" s="29">
        <f>IFERROR(X6/Y6,"")</f>
        <v/>
      </c>
      <c r="AA6" s="26" t="n"/>
      <c r="AB6" s="26" t="n"/>
      <c r="AC6" s="26" t="n"/>
      <c r="AD6" s="26" t="n">
        <v>977.23</v>
      </c>
      <c r="AE6" s="27">
        <f>IF(C6="","",SUMIFS(tbl_Finance[Ex GST],tbl_Finance[Job Number],C6&amp;"",tbl_Finance[Cost Centre],"VIDEO"))</f>
        <v/>
      </c>
      <c r="AF6" s="29">
        <f>IFERROR(AE6/H6,"")</f>
        <v/>
      </c>
      <c r="AG6" s="27">
        <f>IF(C6="","",N(AA6)+N(AB6)+N(AC6)+N(AD6))</f>
        <v/>
      </c>
      <c r="AH6" s="27">
        <f>IF(C6="","",H6-AG6)</f>
        <v/>
      </c>
      <c r="AI6" s="29">
        <f>IFERROR(AH6/H6,"")</f>
        <v/>
      </c>
      <c r="AJ6" s="64" t="n">
        <v>4</v>
      </c>
      <c r="AK6" s="64" t="n"/>
      <c r="AL6" s="64" t="n"/>
      <c r="AM6" s="64" t="n"/>
      <c r="AN6" s="64" t="n">
        <v>10</v>
      </c>
      <c r="AO6" s="24" t="n"/>
    </row>
    <row r="7" ht="15" customHeight="1">
      <c r="A7" s="63">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inlineStr">
        <is>
          <t>26062201</t>
        </is>
      </c>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7">
        <f>IF(C7="","",SUMIFS(tbl_Finance[Inc GST],tbl_Finance[Job Number],C7&amp;""))</f>
        <v/>
      </c>
      <c r="M7" s="24" t="n"/>
      <c r="N7" s="25">
        <f>IF(C7="","",IFERROR(INDEX(tbl_Finance[Description],MATCH(C7&amp;"",tbl_Finance[Job Number],0)),""))</f>
        <v/>
      </c>
      <c r="O7" s="24" t="inlineStr">
        <is>
          <t>libby.kovac@au.pwc.com</t>
        </is>
      </c>
      <c r="P7" s="24" t="n"/>
      <c r="Q7" s="22" t="inlineStr">
        <is>
          <t>7/2/2026</t>
        </is>
      </c>
      <c r="R7" s="24" t="inlineStr">
        <is>
          <t>6076</t>
        </is>
      </c>
      <c r="S7" s="25">
        <f>IF(R7="","",IF(AND(LEFT(R7,4)&lt;&gt;"http",set_RMSBase=""),"",HYPERLINK(IF(LEFT(R7,4)="http",R7,set_RMSBase&amp;R7),"Open opportunity")))</f>
        <v/>
      </c>
      <c r="T7" s="24" t="n"/>
      <c r="U7" s="25">
        <f>IF(T7="","",HYPERLINK(IF(LEFT(T7,4)="http",T7,set_QwilrBase&amp;T7),"Open quote"))</f>
        <v/>
      </c>
      <c r="V7" s="25">
        <f>IF(C7="","",C7)</f>
        <v/>
      </c>
      <c r="W7" s="24" t="inlineStr">
        <is>
          <t>Y</t>
        </is>
      </c>
      <c r="X7" s="26" t="n"/>
      <c r="Y7" s="27">
        <f>IF(C7="","",H7+N(X7))</f>
        <v/>
      </c>
      <c r="Z7" s="29">
        <f>IFERROR(X7/Y7,"")</f>
        <v/>
      </c>
      <c r="AA7" s="26" t="n"/>
      <c r="AB7" s="26" t="n"/>
      <c r="AC7" s="26" t="n"/>
      <c r="AD7" s="26" t="n">
        <v>821.5599999999999</v>
      </c>
      <c r="AE7" s="27">
        <f>IF(C7="","",SUMIFS(tbl_Finance[Ex GST],tbl_Finance[Job Number],C7&amp;"",tbl_Finance[Cost Centre],"VIDEO"))</f>
        <v/>
      </c>
      <c r="AF7" s="29">
        <f>IFERROR(AE7/H7,"")</f>
        <v/>
      </c>
      <c r="AG7" s="27">
        <f>IF(C7="","",N(AA7)+N(AB7)+N(AC7)+N(AD7))</f>
        <v/>
      </c>
      <c r="AH7" s="27">
        <f>IF(C7="","",H7-AG7)</f>
        <v/>
      </c>
      <c r="AI7" s="29">
        <f>IFERROR(AH7/H7,"")</f>
        <v/>
      </c>
      <c r="AJ7" s="64" t="n">
        <v>8</v>
      </c>
      <c r="AK7" s="64" t="n"/>
      <c r="AL7" s="64" t="n">
        <v>1</v>
      </c>
      <c r="AM7" s="64" t="n"/>
      <c r="AN7" s="64" t="n">
        <v>8</v>
      </c>
      <c r="AO7" s="24" t="n"/>
    </row>
    <row r="8" ht="15" customHeight="1">
      <c r="A8" s="63">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inlineStr">
        <is>
          <t>2605802</t>
        </is>
      </c>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7">
        <f>IF(C8="","",SUMIFS(tbl_Finance[Inc GST],tbl_Finance[Job Number],C8&amp;""))</f>
        <v/>
      </c>
      <c r="M8" s="24" t="n"/>
      <c r="N8" s="25">
        <f>IF(C8="","",IFERROR(INDEX(tbl_Finance[Description],MATCH(C8&amp;"",tbl_Finance[Job Number],0)),""))</f>
        <v/>
      </c>
      <c r="O8" s="24" t="inlineStr">
        <is>
          <t>Ben.woodlock@elkiem.com</t>
        </is>
      </c>
      <c r="P8" s="24" t="n"/>
      <c r="Q8" s="22" t="inlineStr">
        <is>
          <t>7/15/2026</t>
        </is>
      </c>
      <c r="R8" s="24" t="inlineStr">
        <is>
          <t>6013</t>
        </is>
      </c>
      <c r="S8" s="25">
        <f>IF(R8="","",IF(AND(LEFT(R8,4)&lt;&gt;"http",set_RMSBase=""),"",HYPERLINK(IF(LEFT(R8,4)="http",R8,set_RMSBase&amp;R8),"Open opportunity")))</f>
        <v/>
      </c>
      <c r="T8" s="24" t="n"/>
      <c r="U8" s="25">
        <f>IF(T8="","",HYPERLINK(IF(LEFT(T8,4)="http",T8,set_QwilrBase&amp;T8),"Open quote"))</f>
        <v/>
      </c>
      <c r="V8" s="25">
        <f>IF(C8="","",C8)</f>
        <v/>
      </c>
      <c r="W8" s="24" t="inlineStr">
        <is>
          <t>Y</t>
        </is>
      </c>
      <c r="X8" s="26" t="n"/>
      <c r="Y8" s="27">
        <f>IF(C8="","",H8+N(X8))</f>
        <v/>
      </c>
      <c r="Z8" s="29">
        <f>IFERROR(X8/Y8,"")</f>
        <v/>
      </c>
      <c r="AA8" s="26" t="n"/>
      <c r="AB8" s="26" t="n"/>
      <c r="AC8" s="26" t="n"/>
      <c r="AD8" s="26" t="n"/>
      <c r="AE8" s="27">
        <f>IF(C8="","",SUMIFS(tbl_Finance[Ex GST],tbl_Finance[Job Number],C8&amp;"",tbl_Finance[Cost Centre],"VIDEO"))</f>
        <v/>
      </c>
      <c r="AF8" s="29">
        <f>IFERROR(AE8/H8,"")</f>
        <v/>
      </c>
      <c r="AG8" s="27">
        <f>IF(C8="","",N(AA8)+N(AB8)+N(AC8)+N(AD8))</f>
        <v/>
      </c>
      <c r="AH8" s="27">
        <f>IF(C8="","",H8-AG8)</f>
        <v/>
      </c>
      <c r="AI8" s="29">
        <f>IFERROR(AH8/H8,"")</f>
        <v/>
      </c>
      <c r="AJ8" s="64" t="n"/>
      <c r="AK8" s="64" t="n"/>
      <c r="AL8" s="64" t="n">
        <v>2</v>
      </c>
      <c r="AM8" s="64" t="n"/>
      <c r="AN8" s="64" t="n">
        <v>4</v>
      </c>
      <c r="AO8" s="24" t="n"/>
    </row>
    <row r="9" ht="15" customHeight="1">
      <c r="A9" s="63">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inlineStr">
        <is>
          <t>2607701</t>
        </is>
      </c>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7">
        <f>IF(C9="","",SUMIFS(tbl_Finance[Inc GST],tbl_Finance[Job Number],C9&amp;""))</f>
        <v/>
      </c>
      <c r="M9" s="24" t="n"/>
      <c r="N9" s="25">
        <f>IF(C9="","",IFERROR(INDEX(tbl_Finance[Description],MATCH(C9&amp;"",tbl_Finance[Job Number],0)),""))</f>
        <v/>
      </c>
      <c r="O9" s="24" t="inlineStr">
        <is>
          <t>brian@litecard.com.au</t>
        </is>
      </c>
      <c r="P9" s="24" t="n"/>
      <c r="Q9" s="22" t="inlineStr">
        <is>
          <t>7/16/2026</t>
        </is>
      </c>
      <c r="R9" s="24" t="inlineStr">
        <is>
          <t>6089</t>
        </is>
      </c>
      <c r="S9" s="25">
        <f>IF(R9="","",IF(AND(LEFT(R9,4)&lt;&gt;"http",set_RMSBase=""),"",HYPERLINK(IF(LEFT(R9,4)="http",R9,set_RMSBase&amp;R9),"Open opportunity")))</f>
        <v/>
      </c>
      <c r="T9" s="24" t="n"/>
      <c r="U9" s="25">
        <f>IF(T9="","",HYPERLINK(IF(LEFT(T9,4)="http",T9,set_QwilrBase&amp;T9),"Open quote"))</f>
        <v/>
      </c>
      <c r="V9" s="25">
        <f>IF(C9="","",C9)</f>
        <v/>
      </c>
      <c r="W9" s="24" t="inlineStr">
        <is>
          <t>Y</t>
        </is>
      </c>
      <c r="X9" s="26" t="n">
        <v>465</v>
      </c>
      <c r="Y9" s="27">
        <f>IF(C9="","",H9+N(X9))</f>
        <v/>
      </c>
      <c r="Z9" s="29">
        <f>IFERROR(X9/Y9,"")</f>
        <v/>
      </c>
      <c r="AA9" s="26" t="n"/>
      <c r="AB9" s="26" t="n"/>
      <c r="AC9" s="26" t="n"/>
      <c r="AD9" s="26" t="n">
        <v>312.18</v>
      </c>
      <c r="AE9" s="27">
        <f>IF(C9="","",SUMIFS(tbl_Finance[Ex GST],tbl_Finance[Job Number],C9&amp;"",tbl_Finance[Cost Centre],"VIDEO"))</f>
        <v/>
      </c>
      <c r="AF9" s="29">
        <f>IFERROR(AE9/H9,"")</f>
        <v/>
      </c>
      <c r="AG9" s="27">
        <f>IF(C9="","",N(AA9)+N(AB9)+N(AC9)+N(AD9))</f>
        <v/>
      </c>
      <c r="AH9" s="27">
        <f>IF(C9="","",H9-AG9)</f>
        <v/>
      </c>
      <c r="AI9" s="29">
        <f>IFERROR(AH9/H9,"")</f>
        <v/>
      </c>
      <c r="AJ9" s="64" t="n">
        <v>4</v>
      </c>
      <c r="AK9" s="64" t="n"/>
      <c r="AL9" s="64" t="n"/>
      <c r="AM9" s="64" t="n"/>
      <c r="AN9" s="64" t="n">
        <v>2</v>
      </c>
      <c r="AO9" s="24" t="n"/>
    </row>
    <row r="10" ht="15" customHeight="1">
      <c r="A10" s="63">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inlineStr">
        <is>
          <t>26052703</t>
        </is>
      </c>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7">
        <f>IF(C10="","",SUMIFS(tbl_Finance[Inc GST],tbl_Finance[Job Number],C10&amp;""))</f>
        <v/>
      </c>
      <c r="M10" s="24" t="n"/>
      <c r="N10" s="25">
        <f>IF(C10="","",IFERROR(INDEX(tbl_Finance[Description],MATCH(C10&amp;"",tbl_Finance[Job Number],0)),""))</f>
        <v/>
      </c>
      <c r="O10" s="24" t="inlineStr">
        <is>
          <t>helenkingham@microsoft.com</t>
        </is>
      </c>
      <c r="P10" s="24" t="n"/>
      <c r="Q10" s="22" t="n">
        <v>46224</v>
      </c>
      <c r="R10" s="24" t="inlineStr">
        <is>
          <t>6034</t>
        </is>
      </c>
      <c r="S10" s="25">
        <f>IF(R10="","",IF(AND(LEFT(R10,4)&lt;&gt;"http",set_RMSBase=""),"",HYPERLINK(IF(LEFT(R10,4)="http",R10,set_RMSBase&amp;R10),"Open opportunity")))</f>
        <v/>
      </c>
      <c r="T10" s="24" t="n"/>
      <c r="U10" s="25">
        <f>IF(T10="","",HYPERLINK(IF(LEFT(T10,4)="http",T10,set_QwilrBase&amp;T10),"Open quote"))</f>
        <v/>
      </c>
      <c r="V10" s="25">
        <f>IF(C10="","",C10)</f>
        <v/>
      </c>
      <c r="W10" s="24" t="inlineStr">
        <is>
          <t>Y</t>
        </is>
      </c>
      <c r="X10" s="26" t="n">
        <v>580</v>
      </c>
      <c r="Y10" s="27">
        <f>IF(C10="","",H10+N(X10))</f>
        <v/>
      </c>
      <c r="Z10" s="29">
        <f>IFERROR(X10/Y10,"")</f>
        <v/>
      </c>
      <c r="AA10" s="26" t="n">
        <v>631.5</v>
      </c>
      <c r="AB10" s="26" t="n"/>
      <c r="AC10" s="26" t="n"/>
      <c r="AD10" s="26" t="n">
        <v>3148.7</v>
      </c>
      <c r="AE10" s="27">
        <f>IF(C10="","",SUMIFS(tbl_Finance[Ex GST],tbl_Finance[Job Number],C10&amp;"",tbl_Finance[Cost Centre],"VIDEO"))</f>
        <v/>
      </c>
      <c r="AF10" s="29">
        <f>IFERROR(AE10/H10,"")</f>
        <v/>
      </c>
      <c r="AG10" s="27">
        <f>IF(C10="","",N(AA10)+N(AB10)+N(AC10)+N(AD10))</f>
        <v/>
      </c>
      <c r="AH10" s="27">
        <f>IF(C10="","",H10-AG10)</f>
        <v/>
      </c>
      <c r="AI10" s="29">
        <f>IFERROR(AH10/H10,"")</f>
        <v/>
      </c>
      <c r="AJ10" s="64" t="n">
        <v>4</v>
      </c>
      <c r="AK10" s="64" t="n"/>
      <c r="AL10" s="64" t="n"/>
      <c r="AM10" s="64" t="n"/>
      <c r="AN10" s="64" t="n">
        <v>44</v>
      </c>
      <c r="AO10" s="24" t="n"/>
    </row>
    <row r="11" ht="15" customHeight="1">
      <c r="A11" s="63">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inlineStr">
        <is>
          <t>26041603</t>
        </is>
      </c>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7">
        <f>IF(C11="","",SUMIFS(tbl_Finance[Inc GST],tbl_Finance[Job Number],C11&amp;""))</f>
        <v/>
      </c>
      <c r="M11" s="24" t="n"/>
      <c r="N11" s="25">
        <f>IF(C11="","",IFERROR(INDEX(tbl_Finance[Description],MATCH(C11&amp;"",tbl_Finance[Job Number],0)),""))</f>
        <v/>
      </c>
      <c r="O11" s="24" t="inlineStr">
        <is>
          <t>jo.rosewarne@optiver.com.au</t>
        </is>
      </c>
      <c r="P11" s="24" t="n"/>
      <c r="Q11" s="22" t="n">
        <v>46226</v>
      </c>
      <c r="R11" s="24" t="inlineStr">
        <is>
          <t>6085</t>
        </is>
      </c>
      <c r="S11" s="25">
        <f>IF(R11="","",IF(AND(LEFT(R11,4)&lt;&gt;"http",set_RMSBase=""),"",HYPERLINK(IF(LEFT(R11,4)="http",R11,set_RMSBase&amp;R11),"Open opportunity")))</f>
        <v/>
      </c>
      <c r="T11" s="24" t="n"/>
      <c r="U11" s="25">
        <f>IF(T11="","",HYPERLINK(IF(LEFT(T11,4)="http",T11,set_QwilrBase&amp;T11),"Open quote"))</f>
        <v/>
      </c>
      <c r="V11" s="25">
        <f>IF(C11="","",C11)</f>
        <v/>
      </c>
      <c r="W11" s="24" t="inlineStr">
        <is>
          <t>Y</t>
        </is>
      </c>
      <c r="X11" s="26" t="n"/>
      <c r="Y11" s="27">
        <f>IF(C11="","",H11+N(X11))</f>
        <v/>
      </c>
      <c r="Z11" s="29">
        <f>IFERROR(X11/Y11,"")</f>
        <v/>
      </c>
      <c r="AA11" s="26" t="n"/>
      <c r="AB11" s="26" t="n"/>
      <c r="AC11" s="26" t="n"/>
      <c r="AD11" s="26" t="n">
        <v>153.84</v>
      </c>
      <c r="AE11" s="27">
        <f>IF(C11="","",SUMIFS(tbl_Finance[Ex GST],tbl_Finance[Job Number],C11&amp;"",tbl_Finance[Cost Centre],"VIDEO"))</f>
        <v/>
      </c>
      <c r="AF11" s="29">
        <f>IFERROR(AE11/H11,"")</f>
        <v/>
      </c>
      <c r="AG11" s="27">
        <f>IF(C11="","",N(AA11)+N(AB11)+N(AC11)+N(AD11))</f>
        <v/>
      </c>
      <c r="AH11" s="27">
        <f>IF(C11="","",H11-AG11)</f>
        <v/>
      </c>
      <c r="AI11" s="29">
        <f>IFERROR(AH11/H11,"")</f>
        <v/>
      </c>
      <c r="AJ11" s="64" t="n"/>
      <c r="AK11" s="64" t="n"/>
      <c r="AL11" s="64" t="n"/>
      <c r="AM11" s="64" t="n"/>
      <c r="AN11" s="64" t="n">
        <v>4</v>
      </c>
      <c r="AO11" s="24" t="n"/>
    </row>
    <row r="12" ht="15" customHeight="1">
      <c r="A12" s="63">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inlineStr">
        <is>
          <t>2605403</t>
        </is>
      </c>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7">
        <f>IF(C12="","",SUMIFS(tbl_Finance[Inc GST],tbl_Finance[Job Number],C12&amp;""))</f>
        <v/>
      </c>
      <c r="M12" s="24" t="n"/>
      <c r="N12" s="25">
        <f>IF(C12="","",IFERROR(INDEX(tbl_Finance[Description],MATCH(C12&amp;"",tbl_Finance[Job Number],0)),""))</f>
        <v/>
      </c>
      <c r="O12" s="24" t="inlineStr">
        <is>
          <t>Timothy.Hicks@arup.com</t>
        </is>
      </c>
      <c r="P12" s="24" t="n"/>
      <c r="Q12" s="22" t="n">
        <v>46226</v>
      </c>
      <c r="R12" s="24" t="inlineStr">
        <is>
          <t>5956</t>
        </is>
      </c>
      <c r="S12" s="25">
        <f>IF(R12="","",IF(AND(LEFT(R12,4)&lt;&gt;"http",set_RMSBase=""),"",HYPERLINK(IF(LEFT(R12,4)="http",R12,set_RMSBase&amp;R12),"Open opportunity")))</f>
        <v/>
      </c>
      <c r="T12" s="24" t="n"/>
      <c r="U12" s="25">
        <f>IF(T12="","",HYPERLINK(IF(LEFT(T12,4)="http",T12,set_QwilrBase&amp;T12),"Open quote"))</f>
        <v/>
      </c>
      <c r="V12" s="25">
        <f>IF(C12="","",C12)</f>
        <v/>
      </c>
      <c r="W12" s="24" t="inlineStr">
        <is>
          <t>Y</t>
        </is>
      </c>
      <c r="X12" s="26" t="n">
        <v>839</v>
      </c>
      <c r="Y12" s="27">
        <f>IF(C12="","",H12+N(X12))</f>
        <v/>
      </c>
      <c r="Z12" s="29">
        <f>IFERROR(X12/Y12,"")</f>
        <v/>
      </c>
      <c r="AA12" s="26" t="n"/>
      <c r="AB12" s="26" t="n"/>
      <c r="AC12" s="26" t="n"/>
      <c r="AD12" s="26" t="n">
        <v>1375.96</v>
      </c>
      <c r="AE12" s="27">
        <f>IF(C12="","",SUMIFS(tbl_Finance[Ex GST],tbl_Finance[Job Number],C12&amp;"",tbl_Finance[Cost Centre],"VIDEO"))</f>
        <v/>
      </c>
      <c r="AF12" s="29">
        <f>IFERROR(AE12/H12,"")</f>
        <v/>
      </c>
      <c r="AG12" s="27">
        <f>IF(C12="","",N(AA12)+N(AB12)+N(AC12)+N(AD12))</f>
        <v/>
      </c>
      <c r="AH12" s="27">
        <f>IF(C12="","",H12-AG12)</f>
        <v/>
      </c>
      <c r="AI12" s="29">
        <f>IFERROR(AH12/H12,"")</f>
        <v/>
      </c>
      <c r="AJ12" s="64" t="n"/>
      <c r="AK12" s="64" t="n"/>
      <c r="AL12" s="64" t="n"/>
      <c r="AM12" s="64" t="n"/>
      <c r="AN12" s="64" t="n">
        <v>16</v>
      </c>
      <c r="AO12" s="24" t="n"/>
    </row>
    <row r="13" ht="15" customHeight="1">
      <c r="A13" s="63">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inlineStr">
        <is>
          <t>2607901</t>
        </is>
      </c>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7">
        <f>IF(C13="","",SUMIFS(tbl_Finance[Inc GST],tbl_Finance[Job Number],C13&amp;""))</f>
        <v/>
      </c>
      <c r="M13" s="24" t="n"/>
      <c r="N13" s="25">
        <f>IF(C13="","",IFERROR(INDEX(tbl_Finance[Description],MATCH(C13&amp;"",tbl_Finance[Job Number],0)),""))</f>
        <v/>
      </c>
      <c r="O13" s="24" t="inlineStr">
        <is>
          <t>lisa.caraccio@on24.com</t>
        </is>
      </c>
      <c r="P13" s="24" t="n"/>
      <c r="Q13" s="22" t="n">
        <v>46226</v>
      </c>
      <c r="R13" s="24" t="inlineStr">
        <is>
          <t>6097</t>
        </is>
      </c>
      <c r="S13" s="25">
        <f>IF(R13="","",IF(AND(LEFT(R13,4)&lt;&gt;"http",set_RMSBase=""),"",HYPERLINK(IF(LEFT(R13,4)="http",R13,set_RMSBase&amp;R13),"Open opportunity")))</f>
        <v/>
      </c>
      <c r="T13" s="24" t="n"/>
      <c r="U13" s="25">
        <f>IF(T13="","",HYPERLINK(IF(LEFT(T13,4)="http",T13,set_QwilrBase&amp;T13),"Open quote"))</f>
        <v/>
      </c>
      <c r="V13" s="25">
        <f>IF(C13="","",C13)</f>
        <v/>
      </c>
      <c r="W13" s="24" t="inlineStr">
        <is>
          <t>Y</t>
        </is>
      </c>
      <c r="X13" s="26" t="n">
        <v>95</v>
      </c>
      <c r="Y13" s="27">
        <f>IF(C13="","",H13+N(X13))</f>
        <v/>
      </c>
      <c r="Z13" s="29">
        <f>IFERROR(X13/Y13,"")</f>
        <v/>
      </c>
      <c r="AA13" s="26" t="n"/>
      <c r="AB13" s="26" t="n"/>
      <c r="AC13" s="26" t="n"/>
      <c r="AD13" s="26" t="n">
        <v>453.31</v>
      </c>
      <c r="AE13" s="27">
        <f>IF(C13="","",SUMIFS(tbl_Finance[Ex GST],tbl_Finance[Job Number],C13&amp;"",tbl_Finance[Cost Centre],"VIDEO"))</f>
        <v/>
      </c>
      <c r="AF13" s="29">
        <f>IFERROR(AE13/H13,"")</f>
        <v/>
      </c>
      <c r="AG13" s="27">
        <f>IF(C13="","",N(AA13)+N(AB13)+N(AC13)+N(AD13))</f>
        <v/>
      </c>
      <c r="AH13" s="27">
        <f>IF(C13="","",H13-AG13)</f>
        <v/>
      </c>
      <c r="AI13" s="29">
        <f>IFERROR(AH13/H13,"")</f>
        <v/>
      </c>
      <c r="AJ13" s="64" t="n"/>
      <c r="AK13" s="64" t="n"/>
      <c r="AL13" s="64" t="n"/>
      <c r="AM13" s="64" t="n"/>
      <c r="AN13" s="64" t="n">
        <v>6</v>
      </c>
      <c r="AO13" s="24" t="n"/>
    </row>
    <row r="14" ht="15" customHeight="1">
      <c r="A14" s="63">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inlineStr">
        <is>
          <t>26063001</t>
        </is>
      </c>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7">
        <f>IF(C14="","",SUMIFS(tbl_Finance[Inc GST],tbl_Finance[Job Number],C14&amp;""))</f>
        <v/>
      </c>
      <c r="M14" s="24" t="n"/>
      <c r="N14" s="25">
        <f>IF(C14="","",IFERROR(INDEX(tbl_Finance[Description],MATCH(C14&amp;"",tbl_Finance[Job Number],0)),""))</f>
        <v/>
      </c>
      <c r="O14" s="24" t="inlineStr">
        <is>
          <t>park_za_888@hotmail.com</t>
        </is>
      </c>
      <c r="P14" s="24" t="n"/>
      <c r="Q14" s="22" t="n">
        <v>46229</v>
      </c>
      <c r="R14" s="24" t="inlineStr">
        <is>
          <t>6114</t>
        </is>
      </c>
      <c r="S14" s="25">
        <f>IF(R14="","",IF(AND(LEFT(R14,4)&lt;&gt;"http",set_RMSBase=""),"",HYPERLINK(IF(LEFT(R14,4)="http",R14,set_RMSBase&amp;R14),"Open opportunity")))</f>
        <v/>
      </c>
      <c r="T14" s="24" t="n"/>
      <c r="U14" s="25">
        <f>IF(T14="","",HYPERLINK(IF(LEFT(T14,4)="http",T14,set_QwilrBase&amp;T14),"Open quote"))</f>
        <v/>
      </c>
      <c r="V14" s="25">
        <f>IF(C14="","",C14)</f>
        <v/>
      </c>
      <c r="W14" s="24" t="inlineStr">
        <is>
          <t>Y</t>
        </is>
      </c>
      <c r="X14" s="26" t="n"/>
      <c r="Y14" s="27">
        <f>IF(C14="","",H14+N(X14))</f>
        <v/>
      </c>
      <c r="Z14" s="29">
        <f>IFERROR(X14/Y14,"")</f>
        <v/>
      </c>
      <c r="AA14" s="26" t="n">
        <v>850</v>
      </c>
      <c r="AB14" s="26" t="n"/>
      <c r="AC14" s="26" t="n"/>
      <c r="AD14" s="26" t="n"/>
      <c r="AE14" s="27">
        <f>IF(C14="","",SUMIFS(tbl_Finance[Ex GST],tbl_Finance[Job Number],C14&amp;"",tbl_Finance[Cost Centre],"VIDEO"))</f>
        <v/>
      </c>
      <c r="AF14" s="29">
        <f>IFERROR(AE14/H14,"")</f>
        <v/>
      </c>
      <c r="AG14" s="27">
        <f>IF(C14="","",N(AA14)+N(AB14)+N(AC14)+N(AD14))</f>
        <v/>
      </c>
      <c r="AH14" s="27">
        <f>IF(C14="","",H14-AG14)</f>
        <v/>
      </c>
      <c r="AI14" s="29">
        <f>IFERROR(AH14/H14,"")</f>
        <v/>
      </c>
      <c r="AJ14" s="64" t="n"/>
      <c r="AK14" s="64" t="n"/>
      <c r="AL14" s="64" t="n"/>
      <c r="AM14" s="64" t="n"/>
      <c r="AN14" s="64" t="n"/>
      <c r="AO14" s="24" t="n"/>
    </row>
    <row r="15" ht="15" customHeight="1">
      <c r="A15" s="63">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inlineStr">
        <is>
          <t>2604202</t>
        </is>
      </c>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7">
        <f>IF(C15="","",SUMIFS(tbl_Finance[Inc GST],tbl_Finance[Job Number],C15&amp;""))</f>
        <v/>
      </c>
      <c r="M15" s="24" t="n"/>
      <c r="N15" s="25">
        <f>IF(C15="","",IFERROR(INDEX(tbl_Finance[Description],MATCH(C15&amp;"",tbl_Finance[Job Number],0)),""))</f>
        <v/>
      </c>
      <c r="O15" s="24" t="inlineStr">
        <is>
          <t>amy.johnson@ventia.com</t>
        </is>
      </c>
      <c r="P15" s="24" t="n"/>
      <c r="Q15" s="22" t="n">
        <v>46231</v>
      </c>
      <c r="R15" s="24" t="inlineStr">
        <is>
          <t>6099</t>
        </is>
      </c>
      <c r="S15" s="25">
        <f>IF(R15="","",IF(AND(LEFT(R15,4)&lt;&gt;"http",set_RMSBase=""),"",HYPERLINK(IF(LEFT(R15,4)="http",R15,set_RMSBase&amp;R15),"Open opportunity")))</f>
        <v/>
      </c>
      <c r="T15" s="24" t="n"/>
      <c r="U15" s="25">
        <f>IF(T15="","",HYPERLINK(IF(LEFT(T15,4)="http",T15,set_QwilrBase&amp;T15),"Open quote"))</f>
        <v/>
      </c>
      <c r="V15" s="25">
        <f>IF(C15="","",C15)</f>
        <v/>
      </c>
      <c r="W15" s="24" t="inlineStr">
        <is>
          <t>Y</t>
        </is>
      </c>
      <c r="X15" s="26" t="n">
        <v>4452.72</v>
      </c>
      <c r="Y15" s="27">
        <f>IF(C15="","",H15+N(X15))</f>
        <v/>
      </c>
      <c r="Z15" s="29">
        <f>IFERROR(X15/Y15,"")</f>
        <v/>
      </c>
      <c r="AA15" s="26" t="n">
        <v>19155.02</v>
      </c>
      <c r="AB15" s="26" t="n"/>
      <c r="AC15" s="26" t="n"/>
      <c r="AD15" s="26" t="n">
        <v>462.23</v>
      </c>
      <c r="AE15" s="27">
        <f>IF(C15="","",SUMIFS(tbl_Finance[Ex GST],tbl_Finance[Job Number],C15&amp;"",tbl_Finance[Cost Centre],"VIDEO"))</f>
        <v/>
      </c>
      <c r="AF15" s="29">
        <f>IFERROR(AE15/H15,"")</f>
        <v/>
      </c>
      <c r="AG15" s="27">
        <f>IF(C15="","",N(AA15)+N(AB15)+N(AC15)+N(AD15))</f>
        <v/>
      </c>
      <c r="AH15" s="27">
        <f>IF(C15="","",H15-AG15)</f>
        <v/>
      </c>
      <c r="AI15" s="29">
        <f>IFERROR(AH15/H15,"")</f>
        <v/>
      </c>
      <c r="AJ15" s="64" t="n"/>
      <c r="AK15" s="64" t="n"/>
      <c r="AL15" s="64" t="n">
        <v>8</v>
      </c>
      <c r="AM15" s="64" t="n"/>
      <c r="AN15" s="64" t="n">
        <v>142</v>
      </c>
      <c r="AO15" s="24" t="n"/>
    </row>
    <row r="16" ht="15" customHeight="1">
      <c r="A16" s="63">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inlineStr">
        <is>
          <t>26062202</t>
        </is>
      </c>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7">
        <f>IF(C16="","",SUMIFS(tbl_Finance[Inc GST],tbl_Finance[Job Number],C16&amp;""))</f>
        <v/>
      </c>
      <c r="M16" s="24" t="n"/>
      <c r="N16" s="25">
        <f>IF(C16="","",IFERROR(INDEX(tbl_Finance[Description],MATCH(C16&amp;"",tbl_Finance[Job Number],0)),""))</f>
        <v/>
      </c>
      <c r="O16" s="24" t="inlineStr">
        <is>
          <t>libby.kovac@au.pwc.com</t>
        </is>
      </c>
      <c r="P16" s="24" t="n"/>
      <c r="Q16" s="22" t="n">
        <v>46232</v>
      </c>
      <c r="R16" s="24" t="inlineStr">
        <is>
          <t>6075</t>
        </is>
      </c>
      <c r="S16" s="25">
        <f>IF(R16="","",IF(AND(LEFT(R16,4)&lt;&gt;"http",set_RMSBase=""),"",HYPERLINK(IF(LEFT(R16,4)="http",R16,set_RMSBase&amp;R16),"Open opportunity")))</f>
        <v/>
      </c>
      <c r="T16" s="24" t="n"/>
      <c r="U16" s="25">
        <f>IF(T16="","",HYPERLINK(IF(LEFT(T16,4)="http",T16,set_QwilrBase&amp;T16),"Open quote"))</f>
        <v/>
      </c>
      <c r="V16" s="25">
        <f>IF(C16="","",C16)</f>
        <v/>
      </c>
      <c r="W16" s="24" t="inlineStr">
        <is>
          <t>Y</t>
        </is>
      </c>
      <c r="X16" s="26" t="n"/>
      <c r="Y16" s="27">
        <f>IF(C16="","",H16+N(X16))</f>
        <v/>
      </c>
      <c r="Z16" s="29">
        <f>IFERROR(X16/Y16,"")</f>
        <v/>
      </c>
      <c r="AA16" s="26" t="n"/>
      <c r="AB16" s="26" t="n"/>
      <c r="AC16" s="26" t="n"/>
      <c r="AD16" s="26" t="n">
        <v>812.09</v>
      </c>
      <c r="AE16" s="27">
        <f>IF(C16="","",SUMIFS(tbl_Finance[Ex GST],tbl_Finance[Job Number],C16&amp;"",tbl_Finance[Cost Centre],"VIDEO"))</f>
        <v/>
      </c>
      <c r="AF16" s="29">
        <f>IFERROR(AE16/H16,"")</f>
        <v/>
      </c>
      <c r="AG16" s="27">
        <f>IF(C16="","",N(AA16)+N(AB16)+N(AC16)+N(AD16))</f>
        <v/>
      </c>
      <c r="AH16" s="27">
        <f>IF(C16="","",H16-AG16)</f>
        <v/>
      </c>
      <c r="AI16" s="29">
        <f>IFERROR(AH16/H16,"")</f>
        <v/>
      </c>
      <c r="AJ16" s="64" t="n">
        <v>8</v>
      </c>
      <c r="AK16" s="64" t="n"/>
      <c r="AL16" s="64" t="n">
        <v>1</v>
      </c>
      <c r="AM16" s="64" t="n"/>
      <c r="AN16" s="64" t="n">
        <v>8</v>
      </c>
      <c r="AO16" s="24" t="n"/>
    </row>
    <row r="17" ht="15" customHeight="1">
      <c r="A17" s="63">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inlineStr">
        <is>
          <t>26071303</t>
        </is>
      </c>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7">
        <f>IF(C17="","",SUMIFS(tbl_Finance[Inc GST],tbl_Finance[Job Number],C17&amp;""))</f>
        <v/>
      </c>
      <c r="M17" s="24" t="n"/>
      <c r="N17" s="25">
        <f>IF(C17="","",IFERROR(INDEX(tbl_Finance[Description],MATCH(C17&amp;"",tbl_Finance[Job Number],0)),""))</f>
        <v/>
      </c>
      <c r="O17" s="24" t="inlineStr">
        <is>
          <t>Lauren.Quinn@ventia.com</t>
        </is>
      </c>
      <c r="P17" s="24" t="n"/>
      <c r="Q17" s="22" t="n">
        <v>46233</v>
      </c>
      <c r="R17" s="24" t="inlineStr">
        <is>
          <t>6125</t>
        </is>
      </c>
      <c r="S17" s="25">
        <f>IF(R17="","",IF(AND(LEFT(R17,4)&lt;&gt;"http",set_RMSBase=""),"",HYPERLINK(IF(LEFT(R17,4)="http",R17,set_RMSBase&amp;R17),"Open opportunity")))</f>
        <v/>
      </c>
      <c r="T17" s="24" t="n"/>
      <c r="U17" s="25">
        <f>IF(T17="","",HYPERLINK(IF(LEFT(T17,4)="http",T17,set_QwilrBase&amp;T17),"Open quote"))</f>
        <v/>
      </c>
      <c r="V17" s="25">
        <f>IF(C17="","",C17)</f>
        <v/>
      </c>
      <c r="W17" s="24" t="inlineStr">
        <is>
          <t>Y</t>
        </is>
      </c>
      <c r="X17" s="26" t="n"/>
      <c r="Y17" s="27">
        <f>IF(C17="","",H17+N(X17))</f>
        <v/>
      </c>
      <c r="Z17" s="29">
        <f>IFERROR(X17/Y17,"")</f>
        <v/>
      </c>
      <c r="AA17" s="26" t="n">
        <v>9487</v>
      </c>
      <c r="AB17" s="26" t="n"/>
      <c r="AC17" s="26" t="n"/>
      <c r="AD17" s="26" t="n">
        <v>283.18</v>
      </c>
      <c r="AE17" s="27">
        <f>IF(C17="","",SUMIFS(tbl_Finance[Ex GST],tbl_Finance[Job Number],C17&amp;"",tbl_Finance[Cost Centre],"VIDEO"))</f>
        <v/>
      </c>
      <c r="AF17" s="29">
        <f>IFERROR(AE17/H17,"")</f>
        <v/>
      </c>
      <c r="AG17" s="27">
        <f>IF(C17="","",N(AA17)+N(AB17)+N(AC17)+N(AD17))</f>
        <v/>
      </c>
      <c r="AH17" s="27">
        <f>IF(C17="","",H17-AG17)</f>
        <v/>
      </c>
      <c r="AI17" s="29">
        <f>IFERROR(AH17/H17,"")</f>
        <v/>
      </c>
      <c r="AJ17" s="64" t="n"/>
      <c r="AK17" s="64" t="n"/>
      <c r="AL17" s="64" t="n"/>
      <c r="AM17" s="64" t="n"/>
      <c r="AN17" s="64" t="n">
        <v>40</v>
      </c>
      <c r="AO17" s="24" t="n"/>
    </row>
    <row r="18" ht="15" customHeight="1">
      <c r="A18" s="63">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inlineStr">
        <is>
          <t>26061702</t>
        </is>
      </c>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7">
        <f>IF(C18="","",SUMIFS(tbl_Finance[Inc GST],tbl_Finance[Job Number],C18&amp;""))</f>
        <v/>
      </c>
      <c r="M18" s="24" t="n"/>
      <c r="N18" s="25">
        <f>IF(C18="","",IFERROR(INDEX(tbl_Finance[Description],MATCH(C18&amp;"",tbl_Finance[Job Number],0)),""))</f>
        <v/>
      </c>
      <c r="O18" s="24" t="inlineStr">
        <is>
          <t>l.cordt@garvan.org.au</t>
        </is>
      </c>
      <c r="P18" s="24" t="n"/>
      <c r="Q18" s="22" t="n">
        <v>46234</v>
      </c>
      <c r="R18" s="24" t="inlineStr">
        <is>
          <t>6066</t>
        </is>
      </c>
      <c r="S18" s="25">
        <f>IF(R18="","",IF(AND(LEFT(R18,4)&lt;&gt;"http",set_RMSBase=""),"",HYPERLINK(IF(LEFT(R18,4)="http",R18,set_RMSBase&amp;R18),"Open opportunity")))</f>
        <v/>
      </c>
      <c r="T18" s="24" t="n"/>
      <c r="U18" s="25">
        <f>IF(T18="","",HYPERLINK(IF(LEFT(T18,4)="http",T18,set_QwilrBase&amp;T18),"Open quote"))</f>
        <v/>
      </c>
      <c r="V18" s="25">
        <f>IF(C18="","",C18)</f>
        <v/>
      </c>
      <c r="W18" s="24" t="inlineStr">
        <is>
          <t>Y</t>
        </is>
      </c>
      <c r="X18" s="26" t="n"/>
      <c r="Y18" s="27">
        <f>IF(C18="","",H18+N(X18))</f>
        <v/>
      </c>
      <c r="Z18" s="29">
        <f>IFERROR(X18/Y18,"")</f>
        <v/>
      </c>
      <c r="AA18" s="26" t="n"/>
      <c r="AB18" s="26" t="n"/>
      <c r="AC18" s="26" t="n"/>
      <c r="AD18" s="26" t="n">
        <v>626.92</v>
      </c>
      <c r="AE18" s="27">
        <f>IF(C18="","",SUMIFS(tbl_Finance[Ex GST],tbl_Finance[Job Number],C18&amp;"",tbl_Finance[Cost Centre],"VIDEO"))</f>
        <v/>
      </c>
      <c r="AF18" s="29">
        <f>IFERROR(AE18/H18,"")</f>
        <v/>
      </c>
      <c r="AG18" s="27">
        <f>IF(C18="","",N(AA18)+N(AB18)+N(AC18)+N(AD18))</f>
        <v/>
      </c>
      <c r="AH18" s="27">
        <f>IF(C18="","",H18-AG18)</f>
        <v/>
      </c>
      <c r="AI18" s="29">
        <f>IFERROR(AH18/H18,"")</f>
        <v/>
      </c>
      <c r="AJ18" s="64" t="n"/>
      <c r="AK18" s="64" t="n"/>
      <c r="AL18" s="64" t="n"/>
      <c r="AM18" s="64" t="n"/>
      <c r="AN18" s="64" t="n">
        <v>10</v>
      </c>
      <c r="AO18" s="24" t="n"/>
    </row>
    <row r="19" ht="15" customHeight="1">
      <c r="A19" s="63">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inlineStr">
        <is>
          <t>26061701</t>
        </is>
      </c>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7">
        <f>IF(C19="","",SUMIFS(tbl_Finance[Inc GST],tbl_Finance[Job Number],C19&amp;""))</f>
        <v/>
      </c>
      <c r="M19" s="24" t="n"/>
      <c r="N19" s="25">
        <f>IF(C19="","",IFERROR(INDEX(tbl_Finance[Description],MATCH(C19&amp;"",tbl_Finance[Job Number],0)),""))</f>
        <v/>
      </c>
      <c r="O19" s="24" t="inlineStr">
        <is>
          <t>steve.chezzi@cba.com.au</t>
        </is>
      </c>
      <c r="P19" s="24" t="n"/>
      <c r="Q19" s="22" t="n">
        <v>46234</v>
      </c>
      <c r="R19" s="24" t="inlineStr">
        <is>
          <t>6145</t>
        </is>
      </c>
      <c r="S19" s="25">
        <f>IF(R19="","",IF(AND(LEFT(R19,4)&lt;&gt;"http",set_RMSBase=""),"",HYPERLINK(IF(LEFT(R19,4)="http",R19,set_RMSBase&amp;R19),"Open opportunity")))</f>
        <v/>
      </c>
      <c r="T19" s="24" t="n"/>
      <c r="U19" s="25">
        <f>IF(T19="","",HYPERLINK(IF(LEFT(T19,4)="http",T19,set_QwilrBase&amp;T19),"Open quote"))</f>
        <v/>
      </c>
      <c r="V19" s="25">
        <f>IF(C19="","",C19)</f>
        <v/>
      </c>
      <c r="W19" s="24" t="inlineStr">
        <is>
          <t>Y</t>
        </is>
      </c>
      <c r="X19" s="26" t="n"/>
      <c r="Y19" s="27">
        <f>IF(C19="","",H19+N(X19))</f>
        <v/>
      </c>
      <c r="Z19" s="29">
        <f>IFERROR(X19/Y19,"")</f>
        <v/>
      </c>
      <c r="AA19" s="26" t="n"/>
      <c r="AB19" s="26" t="n"/>
      <c r="AC19" s="26" t="n"/>
      <c r="AD19" s="26" t="n"/>
      <c r="AE19" s="27">
        <f>IF(C19="","",SUMIFS(tbl_Finance[Ex GST],tbl_Finance[Job Number],C19&amp;"",tbl_Finance[Cost Centre],"VIDEO"))</f>
        <v/>
      </c>
      <c r="AF19" s="29">
        <f>IFERROR(AE19/H19,"")</f>
        <v/>
      </c>
      <c r="AG19" s="27">
        <f>IF(C19="","",N(AA19)+N(AB19)+N(AC19)+N(AD19))</f>
        <v/>
      </c>
      <c r="AH19" s="27">
        <f>IF(C19="","",H19-AG19)</f>
        <v/>
      </c>
      <c r="AI19" s="29">
        <f>IFERROR(AH19/H19,"")</f>
        <v/>
      </c>
      <c r="AJ19" s="64" t="n"/>
      <c r="AK19" s="64" t="n"/>
      <c r="AL19" s="64" t="n"/>
      <c r="AM19" s="64" t="n"/>
      <c r="AN19" s="64" t="n"/>
      <c r="AO19" s="24" t="n"/>
    </row>
    <row r="20" ht="15" customHeight="1">
      <c r="A20" s="63">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inlineStr">
        <is>
          <t>2512804</t>
        </is>
      </c>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7">
        <f>IF(C20="","",SUMIFS(tbl_Finance[Inc GST],tbl_Finance[Job Number],C20&amp;""))</f>
        <v/>
      </c>
      <c r="M20" s="24" t="n"/>
      <c r="N20" s="25">
        <f>IF(C20="","",IFERROR(INDEX(tbl_Finance[Description],MATCH(C20&amp;"",tbl_Finance[Job Number],0)),""))</f>
        <v/>
      </c>
      <c r="O20" s="24" t="inlineStr">
        <is>
          <t>lindsay.botten@outlook.com</t>
        </is>
      </c>
      <c r="P20" s="24" t="n"/>
      <c r="Q20" s="22" t="n">
        <v>46239</v>
      </c>
      <c r="R20" s="24" t="inlineStr">
        <is>
          <t>5826</t>
        </is>
      </c>
      <c r="S20" s="25">
        <f>IF(R20="","",IF(AND(LEFT(R20,4)&lt;&gt;"http",set_RMSBase=""),"",HYPERLINK(IF(LEFT(R20,4)="http",R20,set_RMSBase&amp;R20),"Open opportunity")))</f>
        <v/>
      </c>
      <c r="T20" s="24" t="n"/>
      <c r="U20" s="25">
        <f>IF(T20="","",HYPERLINK(IF(LEFT(T20,4)="http",T20,set_QwilrBase&amp;T20),"Open quote"))</f>
        <v/>
      </c>
      <c r="V20" s="25">
        <f>IF(C20="","",C20)</f>
        <v/>
      </c>
      <c r="W20" s="24" t="inlineStr">
        <is>
          <t>Y</t>
        </is>
      </c>
      <c r="X20" s="26" t="n">
        <v>334</v>
      </c>
      <c r="Y20" s="27">
        <f>IF(C20="","",H20+N(X20))</f>
        <v/>
      </c>
      <c r="Z20" s="29">
        <f>IFERROR(X20/Y20,"")</f>
        <v/>
      </c>
      <c r="AA20" s="26" t="n"/>
      <c r="AB20" s="26" t="n"/>
      <c r="AC20" s="26" t="n"/>
      <c r="AD20" s="26" t="n"/>
      <c r="AE20" s="27">
        <f>IF(C20="","",SUMIFS(tbl_Finance[Ex GST],tbl_Finance[Job Number],C20&amp;"",tbl_Finance[Cost Centre],"VIDEO"))</f>
        <v/>
      </c>
      <c r="AF20" s="29">
        <f>IFERROR(AE20/H20,"")</f>
        <v/>
      </c>
      <c r="AG20" s="27">
        <f>IF(C20="","",N(AA20)+N(AB20)+N(AC20)+N(AD20))</f>
        <v/>
      </c>
      <c r="AH20" s="27">
        <f>IF(C20="","",H20-AG20)</f>
        <v/>
      </c>
      <c r="AI20" s="29">
        <f>IFERROR(AH20/H20,"")</f>
        <v/>
      </c>
      <c r="AJ20" s="64" t="n">
        <v>4</v>
      </c>
      <c r="AK20" s="64" t="n"/>
      <c r="AL20" s="64" t="n"/>
      <c r="AM20" s="64" t="n"/>
      <c r="AN20" s="64" t="n">
        <v>12</v>
      </c>
      <c r="AO20" s="24" t="n"/>
    </row>
    <row r="21" ht="15" customHeight="1">
      <c r="A21" s="63">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inlineStr">
        <is>
          <t>2607703</t>
        </is>
      </c>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7">
        <f>IF(C21="","",SUMIFS(tbl_Finance[Inc GST],tbl_Finance[Job Number],C21&amp;""))</f>
        <v/>
      </c>
      <c r="M21" s="24" t="n"/>
      <c r="N21" s="25">
        <f>IF(C21="","",IFERROR(INDEX(tbl_Finance[Description],MATCH(C21&amp;"",tbl_Finance[Job Number],0)),""))</f>
        <v/>
      </c>
      <c r="O21" s="24" t="inlineStr">
        <is>
          <t>m.gonzalezhuerta@garvan.org.au</t>
        </is>
      </c>
      <c r="P21" s="24" t="n"/>
      <c r="Q21" s="22" t="n">
        <v>46240</v>
      </c>
      <c r="R21" s="24" t="inlineStr">
        <is>
          <t>6088</t>
        </is>
      </c>
      <c r="S21" s="25">
        <f>IF(R21="","",IF(AND(LEFT(R21,4)&lt;&gt;"http",set_RMSBase=""),"",HYPERLINK(IF(LEFT(R21,4)="http",R21,set_RMSBase&amp;R21),"Open opportunity")))</f>
        <v/>
      </c>
      <c r="T21" s="24" t="n"/>
      <c r="U21" s="25">
        <f>IF(T21="","",HYPERLINK(IF(LEFT(T21,4)="http",T21,set_QwilrBase&amp;T21),"Open quote"))</f>
        <v/>
      </c>
      <c r="V21" s="25">
        <f>IF(C21="","",C21)</f>
        <v/>
      </c>
      <c r="W21" s="24" t="inlineStr">
        <is>
          <t>Y</t>
        </is>
      </c>
      <c r="X21" s="26" t="n"/>
      <c r="Y21" s="27">
        <f>IF(C21="","",H21+N(X21))</f>
        <v/>
      </c>
      <c r="Z21" s="29">
        <f>IFERROR(X21/Y21,"")</f>
        <v/>
      </c>
      <c r="AA21" s="26" t="n"/>
      <c r="AB21" s="26" t="n"/>
      <c r="AC21" s="26" t="n"/>
      <c r="AD21" s="26" t="n"/>
      <c r="AE21" s="27">
        <f>IF(C21="","",SUMIFS(tbl_Finance[Ex GST],tbl_Finance[Job Number],C21&amp;"",tbl_Finance[Cost Centre],"VIDEO"))</f>
        <v/>
      </c>
      <c r="AF21" s="29">
        <f>IFERROR(AE21/H21,"")</f>
        <v/>
      </c>
      <c r="AG21" s="27">
        <f>IF(C21="","",N(AA21)+N(AB21)+N(AC21)+N(AD21))</f>
        <v/>
      </c>
      <c r="AH21" s="27">
        <f>IF(C21="","",H21-AG21)</f>
        <v/>
      </c>
      <c r="AI21" s="29">
        <f>IFERROR(AH21/H21,"")</f>
        <v/>
      </c>
      <c r="AJ21" s="64" t="n"/>
      <c r="AK21" s="64" t="n"/>
      <c r="AL21" s="64" t="n"/>
      <c r="AM21" s="64" t="n"/>
      <c r="AN21" s="64" t="n">
        <v>11</v>
      </c>
      <c r="AO21" s="24" t="n"/>
    </row>
    <row r="22" ht="15" customHeight="1">
      <c r="A22" s="63">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inlineStr">
        <is>
          <t>26072902</t>
        </is>
      </c>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7">
        <f>IF(C22="","",SUMIFS(tbl_Finance[Inc GST],tbl_Finance[Job Number],C22&amp;""))</f>
        <v/>
      </c>
      <c r="M22" s="24" t="n"/>
      <c r="N22" s="25">
        <f>IF(C22="","",IFERROR(INDEX(tbl_Finance[Description],MATCH(C22&amp;"",tbl_Finance[Job Number],0)),""))</f>
        <v/>
      </c>
      <c r="O22" s="24" t="inlineStr">
        <is>
          <t>libby.kovac@au.pwc.com</t>
        </is>
      </c>
      <c r="P22" s="24" t="n"/>
      <c r="Q22" s="22" t="n">
        <v>46240</v>
      </c>
      <c r="R22" s="24" t="inlineStr">
        <is>
          <t>6128</t>
        </is>
      </c>
      <c r="S22" s="25">
        <f>IF(R22="","",IF(AND(LEFT(R22,4)&lt;&gt;"http",set_RMSBase=""),"",HYPERLINK(IF(LEFT(R22,4)="http",R22,set_RMSBase&amp;R22),"Open opportunity")))</f>
        <v/>
      </c>
      <c r="T22" s="24" t="n"/>
      <c r="U22" s="25">
        <f>IF(T22="","",HYPERLINK(IF(LEFT(T22,4)="http",T22,set_QwilrBase&amp;T22),"Open quote"))</f>
        <v/>
      </c>
      <c r="V22" s="25">
        <f>IF(C22="","",C22)</f>
        <v/>
      </c>
      <c r="W22" s="24" t="inlineStr">
        <is>
          <t>Y</t>
        </is>
      </c>
      <c r="X22" s="26" t="n"/>
      <c r="Y22" s="27">
        <f>IF(C22="","",H22+N(X22))</f>
        <v/>
      </c>
      <c r="Z22" s="29">
        <f>IFERROR(X22/Y22,"")</f>
        <v/>
      </c>
      <c r="AA22" s="26" t="n">
        <v>1092.36</v>
      </c>
      <c r="AB22" s="26" t="n"/>
      <c r="AC22" s="26" t="n"/>
      <c r="AD22" s="26" t="n"/>
      <c r="AE22" s="27">
        <f>IF(C22="","",SUMIFS(tbl_Finance[Ex GST],tbl_Finance[Job Number],C22&amp;"",tbl_Finance[Cost Centre],"VIDEO"))</f>
        <v/>
      </c>
      <c r="AF22" s="29">
        <f>IFERROR(AE22/H22,"")</f>
        <v/>
      </c>
      <c r="AG22" s="27">
        <f>IF(C22="","",N(AA22)+N(AB22)+N(AC22)+N(AD22))</f>
        <v/>
      </c>
      <c r="AH22" s="27">
        <f>IF(C22="","",H22-AG22)</f>
        <v/>
      </c>
      <c r="AI22" s="29">
        <f>IFERROR(AH22/H22,"")</f>
        <v/>
      </c>
      <c r="AJ22" s="64" t="n">
        <v>4</v>
      </c>
      <c r="AK22" s="64" t="n"/>
      <c r="AL22" s="64" t="n">
        <v>1</v>
      </c>
      <c r="AM22" s="64" t="n"/>
      <c r="AN22" s="64" t="n">
        <v>10</v>
      </c>
      <c r="AO22" s="24" t="n"/>
    </row>
    <row r="23" ht="15" customHeight="1">
      <c r="A23" s="63">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inlineStr">
        <is>
          <t>26071901</t>
        </is>
      </c>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7">
        <f>IF(C23="","",SUMIFS(tbl_Finance[Inc GST],tbl_Finance[Job Number],C23&amp;""))</f>
        <v/>
      </c>
      <c r="M23" s="24" t="n"/>
      <c r="N23" s="25">
        <f>IF(C23="","",IFERROR(INDEX(tbl_Finance[Description],MATCH(C23&amp;"",tbl_Finance[Job Number],0)),""))</f>
        <v/>
      </c>
      <c r="O23" s="24" t="inlineStr">
        <is>
          <t>ben.woodlock@elkiem.com</t>
        </is>
      </c>
      <c r="P23" s="24" t="n"/>
      <c r="Q23" s="22" t="n">
        <v>46245</v>
      </c>
      <c r="R23" s="24" t="inlineStr">
        <is>
          <t>6127</t>
        </is>
      </c>
      <c r="S23" s="25">
        <f>IF(R23="","",IF(AND(LEFT(R23,4)&lt;&gt;"http",set_RMSBase=""),"",HYPERLINK(IF(LEFT(R23,4)="http",R23,set_RMSBase&amp;R23),"Open opportunity")))</f>
        <v/>
      </c>
      <c r="T23" s="24" t="n"/>
      <c r="U23" s="25">
        <f>IF(T23="","",HYPERLINK(IF(LEFT(T23,4)="http",T23,set_QwilrBase&amp;T23),"Open quote"))</f>
        <v/>
      </c>
      <c r="V23" s="25">
        <f>IF(C23="","",C23)</f>
        <v/>
      </c>
      <c r="W23" s="24" t="inlineStr">
        <is>
          <t>Y</t>
        </is>
      </c>
      <c r="X23" s="26" t="n"/>
      <c r="Y23" s="27">
        <f>IF(C23="","",H23+N(X23))</f>
        <v/>
      </c>
      <c r="Z23" s="29">
        <f>IFERROR(X23/Y23,"")</f>
        <v/>
      </c>
      <c r="AA23" s="26" t="n"/>
      <c r="AB23" s="26" t="n"/>
      <c r="AC23" s="26" t="n"/>
      <c r="AD23" s="26" t="n"/>
      <c r="AE23" s="27">
        <f>IF(C23="","",SUMIFS(tbl_Finance[Ex GST],tbl_Finance[Job Number],C23&amp;"",tbl_Finance[Cost Centre],"VIDEO"))</f>
        <v/>
      </c>
      <c r="AF23" s="29">
        <f>IFERROR(AE23/H23,"")</f>
        <v/>
      </c>
      <c r="AG23" s="27">
        <f>IF(C23="","",N(AA23)+N(AB23)+N(AC23)+N(AD23))</f>
        <v/>
      </c>
      <c r="AH23" s="27">
        <f>IF(C23="","",H23-AG23)</f>
        <v/>
      </c>
      <c r="AI23" s="29">
        <f>IFERROR(AH23/H23,"")</f>
        <v/>
      </c>
      <c r="AJ23" s="64" t="n"/>
      <c r="AK23" s="64" t="n"/>
      <c r="AL23" s="64" t="n"/>
      <c r="AM23" s="64" t="n"/>
      <c r="AN23" s="64" t="n">
        <v>4</v>
      </c>
      <c r="AO23" s="24" t="n"/>
    </row>
    <row r="24" ht="15" customHeight="1">
      <c r="A24" s="63">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inlineStr">
        <is>
          <t>26063002</t>
        </is>
      </c>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7">
        <f>IF(C24="","",SUMIFS(tbl_Finance[Inc GST],tbl_Finance[Job Number],C24&amp;""))</f>
        <v/>
      </c>
      <c r="M24" s="24" t="n"/>
      <c r="N24" s="25">
        <f>IF(C24="","",IFERROR(INDEX(tbl_Finance[Description],MATCH(C24&amp;"",tbl_Finance[Job Number],0)),""))</f>
        <v/>
      </c>
      <c r="O24" s="24" t="inlineStr">
        <is>
          <t>taniaa@ceoinstitute.com</t>
        </is>
      </c>
      <c r="P24" s="24" t="n"/>
      <c r="Q24" s="22" t="n">
        <v>46245</v>
      </c>
      <c r="R24" s="24" t="inlineStr">
        <is>
          <t>6084</t>
        </is>
      </c>
      <c r="S24" s="25">
        <f>IF(R24="","",IF(AND(LEFT(R24,4)&lt;&gt;"http",set_RMSBase=""),"",HYPERLINK(IF(LEFT(R24,4)="http",R24,set_RMSBase&amp;R24),"Open opportunity")))</f>
        <v/>
      </c>
      <c r="T24" s="24" t="n"/>
      <c r="U24" s="25">
        <f>IF(T24="","",HYPERLINK(IF(LEFT(T24,4)="http",T24,set_QwilrBase&amp;T24),"Open quote"))</f>
        <v/>
      </c>
      <c r="V24" s="25">
        <f>IF(C24="","",C24)</f>
        <v/>
      </c>
      <c r="W24" s="24" t="inlineStr">
        <is>
          <t>Y</t>
        </is>
      </c>
      <c r="X24" s="26" t="n">
        <v>2104.4</v>
      </c>
      <c r="Y24" s="27">
        <f>IF(C24="","",H24+N(X24))</f>
        <v/>
      </c>
      <c r="Z24" s="29">
        <f>IFERROR(X24/Y24,"")</f>
        <v/>
      </c>
      <c r="AA24" s="26" t="n"/>
      <c r="AB24" s="26" t="n"/>
      <c r="AC24" s="26" t="n"/>
      <c r="AD24" s="26" t="n"/>
      <c r="AE24" s="27">
        <f>IF(C24="","",SUMIFS(tbl_Finance[Ex GST],tbl_Finance[Job Number],C24&amp;"",tbl_Finance[Cost Centre],"VIDEO"))</f>
        <v/>
      </c>
      <c r="AF24" s="29">
        <f>IFERROR(AE24/H24,"")</f>
        <v/>
      </c>
      <c r="AG24" s="27">
        <f>IF(C24="","",N(AA24)+N(AB24)+N(AC24)+N(AD24))</f>
        <v/>
      </c>
      <c r="AH24" s="27">
        <f>IF(C24="","",H24-AG24)</f>
        <v/>
      </c>
      <c r="AI24" s="29">
        <f>IFERROR(AH24/H24,"")</f>
        <v/>
      </c>
      <c r="AJ24" s="64" t="n">
        <v>7</v>
      </c>
      <c r="AK24" s="64" t="n"/>
      <c r="AL24" s="64" t="n">
        <v>2</v>
      </c>
      <c r="AM24" s="64" t="n"/>
      <c r="AN24" s="64" t="n">
        <v>37</v>
      </c>
      <c r="AO24" s="24" t="n"/>
    </row>
    <row r="25" ht="15" customHeight="1">
      <c r="A25" s="63">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inlineStr">
        <is>
          <t>26072903</t>
        </is>
      </c>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7">
        <f>IF(C25="","",SUMIFS(tbl_Finance[Inc GST],tbl_Finance[Job Number],C25&amp;""))</f>
        <v/>
      </c>
      <c r="M25" s="24" t="n"/>
      <c r="N25" s="25">
        <f>IF(C25="","",IFERROR(INDEX(tbl_Finance[Description],MATCH(C25&amp;"",tbl_Finance[Job Number],0)),""))</f>
        <v/>
      </c>
      <c r="O25" s="24" t="inlineStr">
        <is>
          <t>libby.kovac@au.pwc.com</t>
        </is>
      </c>
      <c r="P25" s="24" t="n"/>
      <c r="Q25" s="22" t="n">
        <v>46245</v>
      </c>
      <c r="R25" s="24" t="inlineStr">
        <is>
          <t>6134</t>
        </is>
      </c>
      <c r="S25" s="25">
        <f>IF(R25="","",IF(AND(LEFT(R25,4)&lt;&gt;"http",set_RMSBase=""),"",HYPERLINK(IF(LEFT(R25,4)="http",R25,set_RMSBase&amp;R25),"Open opportunity")))</f>
        <v/>
      </c>
      <c r="T25" s="24" t="n"/>
      <c r="U25" s="25">
        <f>IF(T25="","",HYPERLINK(IF(LEFT(T25,4)="http",T25,set_QwilrBase&amp;T25),"Open quote"))</f>
        <v/>
      </c>
      <c r="V25" s="25">
        <f>IF(C25="","",C25)</f>
        <v/>
      </c>
      <c r="W25" s="24" t="inlineStr">
        <is>
          <t>Y</t>
        </is>
      </c>
      <c r="X25" s="26" t="n"/>
      <c r="Y25" s="27">
        <f>IF(C25="","",H25+N(X25))</f>
        <v/>
      </c>
      <c r="Z25" s="29">
        <f>IFERROR(X25/Y25,"")</f>
        <v/>
      </c>
      <c r="AA25" s="26" t="n">
        <v>1092.36</v>
      </c>
      <c r="AB25" s="26" t="n"/>
      <c r="AC25" s="26" t="n"/>
      <c r="AD25" s="26" t="n"/>
      <c r="AE25" s="27">
        <f>IF(C25="","",SUMIFS(tbl_Finance[Ex GST],tbl_Finance[Job Number],C25&amp;"",tbl_Finance[Cost Centre],"VIDEO"))</f>
        <v/>
      </c>
      <c r="AF25" s="29">
        <f>IFERROR(AE25/H25,"")</f>
        <v/>
      </c>
      <c r="AG25" s="27">
        <f>IF(C25="","",N(AA25)+N(AB25)+N(AC25)+N(AD25))</f>
        <v/>
      </c>
      <c r="AH25" s="27">
        <f>IF(C25="","",H25-AG25)</f>
        <v/>
      </c>
      <c r="AI25" s="29">
        <f>IFERROR(AH25/H25,"")</f>
        <v/>
      </c>
      <c r="AJ25" s="64" t="n">
        <v>9</v>
      </c>
      <c r="AK25" s="64" t="n"/>
      <c r="AL25" s="64" t="n"/>
      <c r="AM25" s="64" t="n"/>
      <c r="AN25" s="64" t="n">
        <v>9</v>
      </c>
      <c r="AO25" s="24" t="n"/>
    </row>
    <row r="26" ht="15" customHeight="1">
      <c r="A26" s="63">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inlineStr">
        <is>
          <t>26061104</t>
        </is>
      </c>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7">
        <f>IF(C26="","",SUMIFS(tbl_Finance[Inc GST],tbl_Finance[Job Number],C26&amp;""))</f>
        <v/>
      </c>
      <c r="M26" s="24" t="n"/>
      <c r="N26" s="25">
        <f>IF(C26="","",IFERROR(INDEX(tbl_Finance[Description],MATCH(C26&amp;"",tbl_Finance[Job Number],0)),""))</f>
        <v/>
      </c>
      <c r="O26" s="24" t="inlineStr">
        <is>
          <t>events@cm.mpms.mufg.com</t>
        </is>
      </c>
      <c r="P26" s="24" t="n"/>
      <c r="Q26" s="22" t="n">
        <v>46246</v>
      </c>
      <c r="R26" s="24" t="inlineStr">
        <is>
          <t>Proj: 0016</t>
        </is>
      </c>
      <c r="S26" s="25">
        <f>IF(R26="","",IF(AND(LEFT(R26,4)&lt;&gt;"http",set_RMSBase=""),"",HYPERLINK(IF(LEFT(R26,4)="http",R26,set_RMSBase&amp;R26),"Open opportunity")))</f>
        <v/>
      </c>
      <c r="T26" s="24" t="n"/>
      <c r="U26" s="25">
        <f>IF(T26="","",HYPERLINK(IF(LEFT(T26,4)="http",T26,set_QwilrBase&amp;T26),"Open quote"))</f>
        <v/>
      </c>
      <c r="V26" s="25">
        <f>IF(C26="","",C26)</f>
        <v/>
      </c>
      <c r="W26" s="24" t="inlineStr">
        <is>
          <t>Y</t>
        </is>
      </c>
      <c r="X26" s="26" t="n">
        <v>5271.5</v>
      </c>
      <c r="Y26" s="27">
        <f>IF(C26="","",H26+N(X26))</f>
        <v/>
      </c>
      <c r="Z26" s="29">
        <f>IFERROR(X26/Y26,"")</f>
        <v/>
      </c>
      <c r="AA26" s="26" t="n">
        <v>980.16</v>
      </c>
      <c r="AB26" s="26" t="n"/>
      <c r="AC26" s="26" t="n"/>
      <c r="AD26" s="26" t="n"/>
      <c r="AE26" s="27">
        <f>IF(C26="","",SUMIFS(tbl_Finance[Ex GST],tbl_Finance[Job Number],C26&amp;"",tbl_Finance[Cost Centre],"VIDEO"))</f>
        <v/>
      </c>
      <c r="AF26" s="29">
        <f>IFERROR(AE26/H26,"")</f>
        <v/>
      </c>
      <c r="AG26" s="27">
        <f>IF(C26="","",N(AA26)+N(AB26)+N(AC26)+N(AD26))</f>
        <v/>
      </c>
      <c r="AH26" s="27">
        <f>IF(C26="","",H26-AG26)</f>
        <v/>
      </c>
      <c r="AI26" s="29">
        <f>IFERROR(AH26/H26,"")</f>
        <v/>
      </c>
      <c r="AJ26" s="64" t="n">
        <v>8</v>
      </c>
      <c r="AK26" s="64" t="n"/>
      <c r="AL26" s="64" t="n">
        <v>12</v>
      </c>
      <c r="AM26" s="64" t="n"/>
      <c r="AN26" s="64" t="n">
        <v>104</v>
      </c>
      <c r="AO26" s="24" t="n"/>
    </row>
    <row r="27" ht="15" customHeight="1">
      <c r="A27" s="63">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inlineStr">
        <is>
          <t>26061105</t>
        </is>
      </c>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7">
        <f>IF(C27="","",SUMIFS(tbl_Finance[Inc GST],tbl_Finance[Job Number],C27&amp;""))</f>
        <v/>
      </c>
      <c r="M27" s="24" t="n"/>
      <c r="N27" s="25">
        <f>IF(C27="","",IFERROR(INDEX(tbl_Finance[Description],MATCH(C27&amp;"",tbl_Finance[Job Number],0)),""))</f>
        <v/>
      </c>
      <c r="O27" s="24" t="inlineStr">
        <is>
          <t>Rebecca.Rodger@cba.com.au</t>
        </is>
      </c>
      <c r="P27" s="24" t="n"/>
      <c r="Q27" s="22" t="n">
        <v>46246</v>
      </c>
      <c r="R27" s="24" t="inlineStr">
        <is>
          <t>6093</t>
        </is>
      </c>
      <c r="S27" s="25">
        <f>IF(R27="","",IF(AND(LEFT(R27,4)&lt;&gt;"http",set_RMSBase=""),"",HYPERLINK(IF(LEFT(R27,4)="http",R27,set_RMSBase&amp;R27),"Open opportunity")))</f>
        <v/>
      </c>
      <c r="T27" s="24" t="n"/>
      <c r="U27" s="25">
        <f>IF(T27="","",HYPERLINK(IF(LEFT(T27,4)="http",T27,set_QwilrBase&amp;T27),"Open quote"))</f>
        <v/>
      </c>
      <c r="V27" s="25">
        <f>IF(C27="","",C27)</f>
        <v/>
      </c>
      <c r="W27" s="24" t="inlineStr">
        <is>
          <t>Y</t>
        </is>
      </c>
      <c r="X27" s="26" t="n">
        <v>1680</v>
      </c>
      <c r="Y27" s="27">
        <f>IF(C27="","",H27+N(X27))</f>
        <v/>
      </c>
      <c r="Z27" s="29">
        <f>IFERROR(X27/Y27,"")</f>
        <v/>
      </c>
      <c r="AA27" s="26" t="n">
        <v>3111.2</v>
      </c>
      <c r="AB27" s="26" t="n"/>
      <c r="AC27" s="26" t="n"/>
      <c r="AD27" s="26" t="n"/>
      <c r="AE27" s="27">
        <f>IF(C27="","",SUMIFS(tbl_Finance[Ex GST],tbl_Finance[Job Number],C27&amp;"",tbl_Finance[Cost Centre],"VIDEO"))</f>
        <v/>
      </c>
      <c r="AF27" s="29">
        <f>IFERROR(AE27/H27,"")</f>
        <v/>
      </c>
      <c r="AG27" s="27">
        <f>IF(C27="","",N(AA27)+N(AB27)+N(AC27)+N(AD27))</f>
        <v/>
      </c>
      <c r="AH27" s="27">
        <f>IF(C27="","",H27-AG27)</f>
        <v/>
      </c>
      <c r="AI27" s="29">
        <f>IFERROR(AH27/H27,"")</f>
        <v/>
      </c>
      <c r="AJ27" s="64" t="n"/>
      <c r="AK27" s="64" t="n"/>
      <c r="AL27" s="64" t="n"/>
      <c r="AM27" s="64" t="n"/>
      <c r="AN27" s="64" t="n">
        <v>16</v>
      </c>
      <c r="AO27" s="24" t="n"/>
    </row>
    <row r="28" ht="15" customHeight="1">
      <c r="A28" s="63">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inlineStr">
        <is>
          <t>2605401</t>
        </is>
      </c>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7">
        <f>IF(C28="","",SUMIFS(tbl_Finance[Inc GST],tbl_Finance[Job Number],C28&amp;""))</f>
        <v/>
      </c>
      <c r="M28" s="24" t="n"/>
      <c r="N28" s="25">
        <f>IF(C28="","",IFERROR(INDEX(tbl_Finance[Description],MATCH(C28&amp;"",tbl_Finance[Job Number],0)),""))</f>
        <v/>
      </c>
      <c r="O28" s="24" t="inlineStr">
        <is>
          <t>KDraisey@agl.com.au</t>
        </is>
      </c>
      <c r="P28" s="24" t="n"/>
      <c r="Q28" s="22" t="n">
        <v>46246</v>
      </c>
      <c r="R28" s="24" t="inlineStr">
        <is>
          <t>Proj: 0019</t>
        </is>
      </c>
      <c r="S28" s="25">
        <f>IF(R28="","",IF(AND(LEFT(R28,4)&lt;&gt;"http",set_RMSBase=""),"",HYPERLINK(IF(LEFT(R28,4)="http",R28,set_RMSBase&amp;R28),"Open opportunity")))</f>
        <v/>
      </c>
      <c r="T28" s="24" t="n"/>
      <c r="U28" s="25">
        <f>IF(T28="","",HYPERLINK(IF(LEFT(T28,4)="http",T28,set_QwilrBase&amp;T28),"Open quote"))</f>
        <v/>
      </c>
      <c r="V28" s="25">
        <f>IF(C28="","",C28)</f>
        <v/>
      </c>
      <c r="W28" s="24" t="inlineStr">
        <is>
          <t>Y</t>
        </is>
      </c>
      <c r="X28" s="26" t="n">
        <v>2351.5</v>
      </c>
      <c r="Y28" s="27">
        <f>IF(C28="","",H28+N(X28))</f>
        <v/>
      </c>
      <c r="Z28" s="29">
        <f>IFERROR(X28/Y28,"")</f>
        <v/>
      </c>
      <c r="AA28" s="26" t="n">
        <v>3520.25</v>
      </c>
      <c r="AB28" s="26" t="n"/>
      <c r="AC28" s="26" t="n"/>
      <c r="AD28" s="26" t="n"/>
      <c r="AE28" s="27">
        <f>IF(C28="","",SUMIFS(tbl_Finance[Ex GST],tbl_Finance[Job Number],C28&amp;"",tbl_Finance[Cost Centre],"VIDEO"))</f>
        <v/>
      </c>
      <c r="AF28" s="29">
        <f>IFERROR(AE28/H28,"")</f>
        <v/>
      </c>
      <c r="AG28" s="27">
        <f>IF(C28="","",N(AA28)+N(AB28)+N(AC28)+N(AD28))</f>
        <v/>
      </c>
      <c r="AH28" s="27">
        <f>IF(C28="","",H28-AG28)</f>
        <v/>
      </c>
      <c r="AI28" s="29">
        <f>IFERROR(AH28/H28,"")</f>
        <v/>
      </c>
      <c r="AJ28" s="64" t="n"/>
      <c r="AK28" s="64" t="n">
        <v>8</v>
      </c>
      <c r="AL28" s="64" t="n"/>
      <c r="AM28" s="64" t="n"/>
      <c r="AN28" s="64" t="n">
        <v>18</v>
      </c>
      <c r="AO28" s="24" t="n"/>
    </row>
    <row r="29" ht="15" customHeight="1">
      <c r="A29" s="63">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inlineStr">
        <is>
          <t>2605402</t>
        </is>
      </c>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7">
        <f>IF(C29="","",SUMIFS(tbl_Finance[Inc GST],tbl_Finance[Job Number],C29&amp;""))</f>
        <v/>
      </c>
      <c r="M29" s="24" t="n"/>
      <c r="N29" s="25">
        <f>IF(C29="","",IFERROR(INDEX(tbl_Finance[Description],MATCH(C29&amp;"",tbl_Finance[Job Number],0)),""))</f>
        <v/>
      </c>
      <c r="O29" s="24" t="inlineStr">
        <is>
          <t>KDraisey@agl.com.au</t>
        </is>
      </c>
      <c r="P29" s="24" t="n"/>
      <c r="Q29" s="22" t="n">
        <v>46246</v>
      </c>
      <c r="R29" s="24" t="inlineStr">
        <is>
          <t>Proj: 0019</t>
        </is>
      </c>
      <c r="S29" s="25">
        <f>IF(R29="","",IF(AND(LEFT(R29,4)&lt;&gt;"http",set_RMSBase=""),"",HYPERLINK(IF(LEFT(R29,4)="http",R29,set_RMSBase&amp;R29),"Open opportunity")))</f>
        <v/>
      </c>
      <c r="T29" s="24" t="n"/>
      <c r="U29" s="25">
        <f>IF(T29="","",HYPERLINK(IF(LEFT(T29,4)="http",T29,set_QwilrBase&amp;T29),"Open quote"))</f>
        <v/>
      </c>
      <c r="V29" s="25">
        <f>IF(C29="","",C29)</f>
        <v/>
      </c>
      <c r="W29" s="24" t="inlineStr">
        <is>
          <t>Y</t>
        </is>
      </c>
      <c r="X29" s="26" t="n">
        <v>1309.25</v>
      </c>
      <c r="Y29" s="27">
        <f>IF(C29="","",H29+N(X29))</f>
        <v/>
      </c>
      <c r="Z29" s="29">
        <f>IFERROR(X29/Y29,"")</f>
        <v/>
      </c>
      <c r="AA29" s="26" t="n">
        <v>706.67</v>
      </c>
      <c r="AB29" s="26" t="n"/>
      <c r="AC29" s="26" t="n"/>
      <c r="AD29" s="26" t="n"/>
      <c r="AE29" s="27">
        <f>IF(C29="","",SUMIFS(tbl_Finance[Ex GST],tbl_Finance[Job Number],C29&amp;"",tbl_Finance[Cost Centre],"VIDEO"))</f>
        <v/>
      </c>
      <c r="AF29" s="29">
        <f>IFERROR(AE29/H29,"")</f>
        <v/>
      </c>
      <c r="AG29" s="27">
        <f>IF(C29="","",N(AA29)+N(AB29)+N(AC29)+N(AD29))</f>
        <v/>
      </c>
      <c r="AH29" s="27">
        <f>IF(C29="","",H29-AG29)</f>
        <v/>
      </c>
      <c r="AI29" s="29">
        <f>IFERROR(AH29/H29,"")</f>
        <v/>
      </c>
      <c r="AJ29" s="64" t="n">
        <v>4</v>
      </c>
      <c r="AK29" s="64" t="n"/>
      <c r="AL29" s="64" t="n"/>
      <c r="AM29" s="64" t="n"/>
      <c r="AN29" s="64" t="n">
        <v>31</v>
      </c>
      <c r="AO29" s="24" t="n"/>
    </row>
    <row r="30" ht="15" customHeight="1">
      <c r="A30" s="63">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inlineStr">
        <is>
          <t>2608604</t>
        </is>
      </c>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7">
        <f>IF(C30="","",SUMIFS(tbl_Finance[Inc GST],tbl_Finance[Job Number],C30&amp;""))</f>
        <v/>
      </c>
      <c r="M30" s="24" t="n"/>
      <c r="N30" s="25">
        <f>IF(C30="","",IFERROR(INDEX(tbl_Finance[Description],MATCH(C30&amp;"",tbl_Finance[Job Number],0)),""))</f>
        <v/>
      </c>
      <c r="O30" s="24" t="inlineStr">
        <is>
          <t>Aimee.Kuipers@asx.com.au</t>
        </is>
      </c>
      <c r="P30" s="24" t="n"/>
      <c r="Q30" s="22" t="n">
        <v>46247</v>
      </c>
      <c r="R30" s="24" t="inlineStr">
        <is>
          <t>6138</t>
        </is>
      </c>
      <c r="S30" s="25">
        <f>IF(R30="","",IF(AND(LEFT(R30,4)&lt;&gt;"http",set_RMSBase=""),"",HYPERLINK(IF(LEFT(R30,4)="http",R30,set_RMSBase&amp;R30),"Open opportunity")))</f>
        <v/>
      </c>
      <c r="T30" s="24" t="n"/>
      <c r="U30" s="25">
        <f>IF(T30="","",HYPERLINK(IF(LEFT(T30,4)="http",T30,set_QwilrBase&amp;T30),"Open quote"))</f>
        <v/>
      </c>
      <c r="V30" s="25">
        <f>IF(C30="","",C30)</f>
        <v/>
      </c>
      <c r="W30" s="24" t="inlineStr">
        <is>
          <t>Y</t>
        </is>
      </c>
      <c r="X30" s="26" t="n">
        <v>25</v>
      </c>
      <c r="Y30" s="27">
        <f>IF(C30="","",H30+N(X30))</f>
        <v/>
      </c>
      <c r="Z30" s="29">
        <f>IFERROR(X30/Y30,"")</f>
        <v/>
      </c>
      <c r="AA30" s="26" t="n"/>
      <c r="AB30" s="26" t="n"/>
      <c r="AC30" s="26" t="n"/>
      <c r="AD30" s="26" t="n"/>
      <c r="AE30" s="27">
        <f>IF(C30="","",SUMIFS(tbl_Finance[Ex GST],tbl_Finance[Job Number],C30&amp;"",tbl_Finance[Cost Centre],"VIDEO"))</f>
        <v/>
      </c>
      <c r="AF30" s="29">
        <f>IFERROR(AE30/H30,"")</f>
        <v/>
      </c>
      <c r="AG30" s="27">
        <f>IF(C30="","",N(AA30)+N(AB30)+N(AC30)+N(AD30))</f>
        <v/>
      </c>
      <c r="AH30" s="27">
        <f>IF(C30="","",H30-AG30)</f>
        <v/>
      </c>
      <c r="AI30" s="29">
        <f>IFERROR(AH30/H30,"")</f>
        <v/>
      </c>
      <c r="AJ30" s="64" t="n">
        <v>4</v>
      </c>
      <c r="AK30" s="64" t="n"/>
      <c r="AL30" s="64" t="n">
        <v>2</v>
      </c>
      <c r="AM30" s="64" t="n"/>
      <c r="AN30" s="64" t="n">
        <v>6</v>
      </c>
      <c r="AO30" s="24" t="n"/>
    </row>
    <row r="31" ht="15" customHeight="1">
      <c r="A31" s="63">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inlineStr">
        <is>
          <t>26052702</t>
        </is>
      </c>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7">
        <f>IF(C31="","",SUMIFS(tbl_Finance[Inc GST],tbl_Finance[Job Number],C31&amp;""))</f>
        <v/>
      </c>
      <c r="M31" s="24" t="n"/>
      <c r="N31" s="25">
        <f>IF(C31="","",IFERROR(INDEX(tbl_Finance[Description],MATCH(C31&amp;"",tbl_Finance[Job Number],0)),""))</f>
        <v/>
      </c>
      <c r="O31" s="24" t="inlineStr">
        <is>
          <t>simon.starr@asx.com.au</t>
        </is>
      </c>
      <c r="P31" s="24" t="n"/>
      <c r="Q31" s="22" t="n">
        <v>46247</v>
      </c>
      <c r="R31" s="24" t="inlineStr">
        <is>
          <t>6045</t>
        </is>
      </c>
      <c r="S31" s="25">
        <f>IF(R31="","",IF(AND(LEFT(R31,4)&lt;&gt;"http",set_RMSBase=""),"",HYPERLINK(IF(LEFT(R31,4)="http",R31,set_RMSBase&amp;R31),"Open opportunity")))</f>
        <v/>
      </c>
      <c r="T31" s="24" t="n"/>
      <c r="U31" s="25">
        <f>IF(T31="","",HYPERLINK(IF(LEFT(T31,4)="http",T31,set_QwilrBase&amp;T31),"Open quote"))</f>
        <v/>
      </c>
      <c r="V31" s="25">
        <f>IF(C31="","",C31)</f>
        <v/>
      </c>
      <c r="W31" s="24" t="inlineStr">
        <is>
          <t>Y</t>
        </is>
      </c>
      <c r="X31" s="26" t="n">
        <v>2181</v>
      </c>
      <c r="Y31" s="27">
        <f>IF(C31="","",H31+N(X31))</f>
        <v/>
      </c>
      <c r="Z31" s="29">
        <f>IFERROR(X31/Y31,"")</f>
        <v/>
      </c>
      <c r="AA31" s="26" t="n">
        <v>5005.78</v>
      </c>
      <c r="AB31" s="26" t="n"/>
      <c r="AC31" s="26" t="n"/>
      <c r="AD31" s="26" t="n"/>
      <c r="AE31" s="27">
        <f>IF(C31="","",SUMIFS(tbl_Finance[Ex GST],tbl_Finance[Job Number],C31&amp;"",tbl_Finance[Cost Centre],"VIDEO"))</f>
        <v/>
      </c>
      <c r="AF31" s="29">
        <f>IFERROR(AE31/H31,"")</f>
        <v/>
      </c>
      <c r="AG31" s="27">
        <f>IF(C31="","",N(AA31)+N(AB31)+N(AC31)+N(AD31))</f>
        <v/>
      </c>
      <c r="AH31" s="27">
        <f>IF(C31="","",H31-AG31)</f>
        <v/>
      </c>
      <c r="AI31" s="29">
        <f>IFERROR(AH31/H31,"")</f>
        <v/>
      </c>
      <c r="AJ31" s="64" t="n"/>
      <c r="AK31" s="64" t="n"/>
      <c r="AL31" s="64" t="n">
        <v>6</v>
      </c>
      <c r="AM31" s="64" t="n"/>
      <c r="AN31" s="64" t="n">
        <v>78</v>
      </c>
      <c r="AO31" s="24" t="n"/>
    </row>
    <row r="32" ht="15" customHeight="1">
      <c r="A32" s="63">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inlineStr">
        <is>
          <t>26072906</t>
        </is>
      </c>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7">
        <f>IF(C32="","",SUMIFS(tbl_Finance[Inc GST],tbl_Finance[Job Number],C32&amp;""))</f>
        <v/>
      </c>
      <c r="M32" s="24" t="n"/>
      <c r="N32" s="25">
        <f>IF(C32="","",IFERROR(INDEX(tbl_Finance[Description],MATCH(C32&amp;"",tbl_Finance[Job Number],0)),""))</f>
        <v/>
      </c>
      <c r="O32" s="24" t="inlineStr">
        <is>
          <t>vicky.duan@asx.com.au</t>
        </is>
      </c>
      <c r="P32" s="24" t="n"/>
      <c r="Q32" s="22" t="n">
        <v>46252</v>
      </c>
      <c r="R32" s="24" t="inlineStr">
        <is>
          <t>6130</t>
        </is>
      </c>
      <c r="S32" s="25">
        <f>IF(R32="","",IF(AND(LEFT(R32,4)&lt;&gt;"http",set_RMSBase=""),"",HYPERLINK(IF(LEFT(R32,4)="http",R32,set_RMSBase&amp;R32),"Open opportunity")))</f>
        <v/>
      </c>
      <c r="T32" s="24" t="n"/>
      <c r="U32" s="25">
        <f>IF(T32="","",HYPERLINK(IF(LEFT(T32,4)="http",T32,set_QwilrBase&amp;T32),"Open quote"))</f>
        <v/>
      </c>
      <c r="V32" s="25">
        <f>IF(C32="","",C32)</f>
        <v/>
      </c>
      <c r="W32" s="24" t="inlineStr">
        <is>
          <t>Y</t>
        </is>
      </c>
      <c r="X32" s="26" t="n">
        <v>148.8</v>
      </c>
      <c r="Y32" s="27">
        <f>IF(C32="","",H32+N(X32))</f>
        <v/>
      </c>
      <c r="Z32" s="29">
        <f>IFERROR(X32/Y32,"")</f>
        <v/>
      </c>
      <c r="AA32" s="26" t="n"/>
      <c r="AB32" s="26" t="n"/>
      <c r="AC32" s="26" t="n"/>
      <c r="AD32" s="26" t="n"/>
      <c r="AE32" s="27">
        <f>IF(C32="","",SUMIFS(tbl_Finance[Ex GST],tbl_Finance[Job Number],C32&amp;"",tbl_Finance[Cost Centre],"VIDEO"))</f>
        <v/>
      </c>
      <c r="AF32" s="29">
        <f>IFERROR(AE32/H32,"")</f>
        <v/>
      </c>
      <c r="AG32" s="27">
        <f>IF(C32="","",N(AA32)+N(AB32)+N(AC32)+N(AD32))</f>
        <v/>
      </c>
      <c r="AH32" s="27">
        <f>IF(C32="","",H32-AG32)</f>
        <v/>
      </c>
      <c r="AI32" s="29">
        <f>IFERROR(AH32/H32,"")</f>
        <v/>
      </c>
      <c r="AJ32" s="64" t="n">
        <v>8</v>
      </c>
      <c r="AK32" s="64" t="n">
        <v>8</v>
      </c>
      <c r="AL32" s="64" t="n"/>
      <c r="AM32" s="64" t="n"/>
      <c r="AN32" s="64" t="n">
        <v>8</v>
      </c>
      <c r="AO32" s="24" t="n"/>
    </row>
    <row r="33" ht="15" customHeight="1">
      <c r="A33" s="63">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inlineStr">
        <is>
          <t>2603104</t>
        </is>
      </c>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7">
        <f>IF(C33="","",SUMIFS(tbl_Finance[Inc GST],tbl_Finance[Job Number],C33&amp;""))</f>
        <v/>
      </c>
      <c r="M33" s="24" t="n"/>
      <c r="N33" s="25">
        <f>IF(C33="","",IFERROR(INDEX(tbl_Finance[Description],MATCH(C33&amp;"",tbl_Finance[Job Number],0)),""))</f>
        <v/>
      </c>
      <c r="O33" s="24" t="inlineStr">
        <is>
          <t>jbarrish@cochlear.com</t>
        </is>
      </c>
      <c r="P33" s="24" t="n"/>
      <c r="Q33" s="22" t="n">
        <v>46252</v>
      </c>
      <c r="R33" s="24" t="inlineStr">
        <is>
          <t>6091</t>
        </is>
      </c>
      <c r="S33" s="25">
        <f>IF(R33="","",IF(AND(LEFT(R33,4)&lt;&gt;"http",set_RMSBase=""),"",HYPERLINK(IF(LEFT(R33,4)="http",R33,set_RMSBase&amp;R33),"Open opportunity")))</f>
        <v/>
      </c>
      <c r="T33" s="24" t="n"/>
      <c r="U33" s="25">
        <f>IF(T33="","",HYPERLINK(IF(LEFT(T33,4)="http",T33,set_QwilrBase&amp;T33),"Open quote"))</f>
        <v/>
      </c>
      <c r="V33" s="25">
        <f>IF(C33="","",C33)</f>
        <v/>
      </c>
      <c r="W33" s="24" t="inlineStr">
        <is>
          <t>Y</t>
        </is>
      </c>
      <c r="X33" s="26" t="n">
        <v>2984.5</v>
      </c>
      <c r="Y33" s="27">
        <f>IF(C33="","",H33+N(X33))</f>
        <v/>
      </c>
      <c r="Z33" s="29">
        <f>IFERROR(X33/Y33,"")</f>
        <v/>
      </c>
      <c r="AA33" s="26" t="n">
        <v>2166.76</v>
      </c>
      <c r="AB33" s="26" t="n"/>
      <c r="AC33" s="26" t="n"/>
      <c r="AD33" s="26" t="n"/>
      <c r="AE33" s="27">
        <f>IF(C33="","",SUMIFS(tbl_Finance[Ex GST],tbl_Finance[Job Number],C33&amp;"",tbl_Finance[Cost Centre],"VIDEO"))</f>
        <v/>
      </c>
      <c r="AF33" s="29">
        <f>IFERROR(AE33/H33,"")</f>
        <v/>
      </c>
      <c r="AG33" s="27">
        <f>IF(C33="","",N(AA33)+N(AB33)+N(AC33)+N(AD33))</f>
        <v/>
      </c>
      <c r="AH33" s="27">
        <f>IF(C33="","",H33-AG33)</f>
        <v/>
      </c>
      <c r="AI33" s="29">
        <f>IFERROR(AH33/H33,"")</f>
        <v/>
      </c>
      <c r="AJ33" s="64" t="n">
        <v>8</v>
      </c>
      <c r="AK33" s="64" t="n"/>
      <c r="AL33" s="64" t="n"/>
      <c r="AM33" s="64" t="n"/>
      <c r="AN33" s="64" t="n">
        <v>18</v>
      </c>
      <c r="AO33" s="24" t="n"/>
    </row>
    <row r="34" ht="15" customHeight="1">
      <c r="A34" s="63">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inlineStr">
        <is>
          <t>26072802</t>
        </is>
      </c>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7">
        <f>IF(C34="","",SUMIFS(tbl_Finance[Inc GST],tbl_Finance[Job Number],C34&amp;""))</f>
        <v/>
      </c>
      <c r="M34" s="24" t="n"/>
      <c r="N34" s="25">
        <f>IF(C34="","",IFERROR(INDEX(tbl_Finance[Description],MATCH(C34&amp;"",tbl_Finance[Job Number],0)),""))</f>
        <v/>
      </c>
      <c r="O34" s="24" t="inlineStr">
        <is>
          <t>lisa.caraccio@on24.com</t>
        </is>
      </c>
      <c r="P34" s="24" t="n"/>
      <c r="Q34" s="22" t="n">
        <v>46252</v>
      </c>
      <c r="R34" s="24" t="inlineStr">
        <is>
          <t>6131</t>
        </is>
      </c>
      <c r="S34" s="25">
        <f>IF(R34="","",IF(AND(LEFT(R34,4)&lt;&gt;"http",set_RMSBase=""),"",HYPERLINK(IF(LEFT(R34,4)="http",R34,set_RMSBase&amp;R34),"Open opportunity")))</f>
        <v/>
      </c>
      <c r="T34" s="24" t="n"/>
      <c r="U34" s="25">
        <f>IF(T34="","",HYPERLINK(IF(LEFT(T34,4)="http",T34,set_QwilrBase&amp;T34),"Open quote"))</f>
        <v/>
      </c>
      <c r="V34" s="25">
        <f>IF(C34="","",C34)</f>
        <v/>
      </c>
      <c r="W34" s="24" t="inlineStr">
        <is>
          <t>Y</t>
        </is>
      </c>
      <c r="X34" s="26" t="n">
        <v>95</v>
      </c>
      <c r="Y34" s="27">
        <f>IF(C34="","",H34+N(X34))</f>
        <v/>
      </c>
      <c r="Z34" s="29">
        <f>IFERROR(X34/Y34,"")</f>
        <v/>
      </c>
      <c r="AA34" s="26" t="n"/>
      <c r="AB34" s="26" t="n"/>
      <c r="AC34" s="26" t="n"/>
      <c r="AD34" s="26" t="n"/>
      <c r="AE34" s="27">
        <f>IF(C34="","",SUMIFS(tbl_Finance[Ex GST],tbl_Finance[Job Number],C34&amp;"",tbl_Finance[Cost Centre],"VIDEO"))</f>
        <v/>
      </c>
      <c r="AF34" s="29">
        <f>IFERROR(AE34/H34,"")</f>
        <v/>
      </c>
      <c r="AG34" s="27">
        <f>IF(C34="","",N(AA34)+N(AB34)+N(AC34)+N(AD34))</f>
        <v/>
      </c>
      <c r="AH34" s="27">
        <f>IF(C34="","",H34-AG34)</f>
        <v/>
      </c>
      <c r="AI34" s="29">
        <f>IFERROR(AH34/H34,"")</f>
        <v/>
      </c>
      <c r="AJ34" s="64" t="n"/>
      <c r="AK34" s="64" t="n"/>
      <c r="AL34" s="64" t="n"/>
      <c r="AM34" s="64" t="n"/>
      <c r="AN34" s="64" t="n">
        <v>6.5</v>
      </c>
      <c r="AO34" s="24" t="n"/>
    </row>
    <row r="35" ht="15" customHeight="1">
      <c r="A35" s="63">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inlineStr">
        <is>
          <t>26081402</t>
        </is>
      </c>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7">
        <f>IF(C35="","",SUMIFS(tbl_Finance[Inc GST],tbl_Finance[Job Number],C35&amp;""))</f>
        <v/>
      </c>
      <c r="M35" s="24" t="n"/>
      <c r="N35" s="25">
        <f>IF(C35="","",IFERROR(INDEX(tbl_Finance[Description],MATCH(C35&amp;"",tbl_Finance[Job Number],0)),""))</f>
        <v/>
      </c>
      <c r="O35" s="24" t="inlineStr">
        <is>
          <t>Mahan.Noori@dimensional.com.au</t>
        </is>
      </c>
      <c r="P35" s="24" t="n"/>
      <c r="Q35" s="22" t="n">
        <v>46253</v>
      </c>
      <c r="R35" s="24" t="inlineStr">
        <is>
          <t>6153</t>
        </is>
      </c>
      <c r="S35" s="25">
        <f>IF(R35="","",IF(AND(LEFT(R35,4)&lt;&gt;"http",set_RMSBase=""),"",HYPERLINK(IF(LEFT(R35,4)="http",R35,set_RMSBase&amp;R35),"Open opportunity")))</f>
        <v/>
      </c>
      <c r="T35" s="24" t="n"/>
      <c r="U35" s="25">
        <f>IF(T35="","",HYPERLINK(IF(LEFT(T35,4)="http",T35,set_QwilrBase&amp;T35),"Open quote"))</f>
        <v/>
      </c>
      <c r="V35" s="25">
        <f>IF(C35="","",C35)</f>
        <v/>
      </c>
      <c r="W35" s="24" t="inlineStr">
        <is>
          <t>Y</t>
        </is>
      </c>
      <c r="X35" s="26" t="n"/>
      <c r="Y35" s="27">
        <f>IF(C35="","",H35+N(X35))</f>
        <v/>
      </c>
      <c r="Z35" s="29">
        <f>IFERROR(X35/Y35,"")</f>
        <v/>
      </c>
      <c r="AA35" s="26" t="n"/>
      <c r="AB35" s="26" t="n"/>
      <c r="AC35" s="26" t="n"/>
      <c r="AD35" s="26" t="n"/>
      <c r="AE35" s="27">
        <f>IF(C35="","",SUMIFS(tbl_Finance[Ex GST],tbl_Finance[Job Number],C35&amp;"",tbl_Finance[Cost Centre],"VIDEO"))</f>
        <v/>
      </c>
      <c r="AF35" s="29">
        <f>IFERROR(AE35/H35,"")</f>
        <v/>
      </c>
      <c r="AG35" s="27">
        <f>IF(C35="","",N(AA35)+N(AB35)+N(AC35)+N(AD35))</f>
        <v/>
      </c>
      <c r="AH35" s="27">
        <f>IF(C35="","",H35-AG35)</f>
        <v/>
      </c>
      <c r="AI35" s="29">
        <f>IFERROR(AH35/H35,"")</f>
        <v/>
      </c>
      <c r="AJ35" s="64" t="n"/>
      <c r="AK35" s="64" t="n"/>
      <c r="AL35" s="64" t="n"/>
      <c r="AM35" s="64" t="n"/>
      <c r="AN35" s="64" t="n">
        <v>4</v>
      </c>
      <c r="AO35" s="24" t="n"/>
    </row>
    <row r="36" ht="15" customHeight="1">
      <c r="A36" s="63">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inlineStr">
        <is>
          <t>26061106</t>
        </is>
      </c>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7">
        <f>IF(C36="","",SUMIFS(tbl_Finance[Inc GST],tbl_Finance[Job Number],C36&amp;""))</f>
        <v/>
      </c>
      <c r="M36" s="24" t="n"/>
      <c r="N36" s="25">
        <f>IF(C36="","",IFERROR(INDEX(tbl_Finance[Description],MATCH(C36&amp;"",tbl_Finance[Job Number],0)),""))</f>
        <v/>
      </c>
      <c r="O36" s="24" t="inlineStr">
        <is>
          <t>sharne.flanagan@thelotterycorporation.com</t>
        </is>
      </c>
      <c r="P36" s="24" t="n"/>
      <c r="Q36" s="22" t="n">
        <v>46253</v>
      </c>
      <c r="R36" s="24" t="inlineStr">
        <is>
          <t>5853</t>
        </is>
      </c>
      <c r="S36" s="25">
        <f>IF(R36="","",IF(AND(LEFT(R36,4)&lt;&gt;"http",set_RMSBase=""),"",HYPERLINK(IF(LEFT(R36,4)="http",R36,set_RMSBase&amp;R36),"Open opportunity")))</f>
        <v/>
      </c>
      <c r="T36" s="24" t="n"/>
      <c r="U36" s="25">
        <f>IF(T36="","",HYPERLINK(IF(LEFT(T36,4)="http",T36,set_QwilrBase&amp;T36),"Open quote"))</f>
        <v/>
      </c>
      <c r="V36" s="25">
        <f>IF(C36="","",C36)</f>
        <v/>
      </c>
      <c r="W36" s="24" t="inlineStr">
        <is>
          <t>Y</t>
        </is>
      </c>
      <c r="X36" s="26" t="n">
        <v>611.5</v>
      </c>
      <c r="Y36" s="27">
        <f>IF(C36="","",H36+N(X36))</f>
        <v/>
      </c>
      <c r="Z36" s="29">
        <f>IFERROR(X36/Y36,"")</f>
        <v/>
      </c>
      <c r="AA36" s="26" t="n">
        <v>4272.26</v>
      </c>
      <c r="AB36" s="26" t="n"/>
      <c r="AC36" s="26" t="n"/>
      <c r="AD36" s="26" t="n"/>
      <c r="AE36" s="27">
        <f>IF(C36="","",SUMIFS(tbl_Finance[Ex GST],tbl_Finance[Job Number],C36&amp;"",tbl_Finance[Cost Centre],"VIDEO"))</f>
        <v/>
      </c>
      <c r="AF36" s="29">
        <f>IFERROR(AE36/H36,"")</f>
        <v/>
      </c>
      <c r="AG36" s="27">
        <f>IF(C36="","",N(AA36)+N(AB36)+N(AC36)+N(AD36))</f>
        <v/>
      </c>
      <c r="AH36" s="27">
        <f>IF(C36="","",H36-AG36)</f>
        <v/>
      </c>
      <c r="AI36" s="29">
        <f>IFERROR(AH36/H36,"")</f>
        <v/>
      </c>
      <c r="AJ36" s="64" t="n"/>
      <c r="AK36" s="64" t="n">
        <v>4</v>
      </c>
      <c r="AL36" s="64" t="n">
        <v>2</v>
      </c>
      <c r="AM36" s="64" t="n"/>
      <c r="AN36" s="64" t="n">
        <v>25</v>
      </c>
      <c r="AO36" s="24" t="n"/>
    </row>
    <row r="37" ht="15" customHeight="1">
      <c r="A37" s="63">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inlineStr">
        <is>
          <t>26061107</t>
        </is>
      </c>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7">
        <f>IF(C37="","",SUMIFS(tbl_Finance[Inc GST],tbl_Finance[Job Number],C37&amp;""))</f>
        <v/>
      </c>
      <c r="M37" s="24" t="n"/>
      <c r="N37" s="25">
        <f>IF(C37="","",IFERROR(INDEX(tbl_Finance[Description],MATCH(C37&amp;"",tbl_Finance[Job Number],0)),""))</f>
        <v/>
      </c>
      <c r="O37" s="24" t="inlineStr">
        <is>
          <t>mitchell.dale@downergroup.com</t>
        </is>
      </c>
      <c r="P37" s="24" t="n"/>
      <c r="Q37" s="22" t="n">
        <v>46254</v>
      </c>
      <c r="R37" s="24" t="inlineStr">
        <is>
          <t>6092</t>
        </is>
      </c>
      <c r="S37" s="25">
        <f>IF(R37="","",IF(AND(LEFT(R37,4)&lt;&gt;"http",set_RMSBase=""),"",HYPERLINK(IF(LEFT(R37,4)="http",R37,set_RMSBase&amp;R37),"Open opportunity")))</f>
        <v/>
      </c>
      <c r="T37" s="24" t="n"/>
      <c r="U37" s="25">
        <f>IF(T37="","",HYPERLINK(IF(LEFT(T37,4)="http",T37,set_QwilrBase&amp;T37),"Open quote"))</f>
        <v/>
      </c>
      <c r="V37" s="25">
        <f>IF(C37="","",C37)</f>
        <v/>
      </c>
      <c r="W37" s="24" t="inlineStr">
        <is>
          <t>Y</t>
        </is>
      </c>
      <c r="X37" s="26" t="n">
        <v>885.75</v>
      </c>
      <c r="Y37" s="27">
        <f>IF(C37="","",H37+N(X37))</f>
        <v/>
      </c>
      <c r="Z37" s="29">
        <f>IFERROR(X37/Y37,"")</f>
        <v/>
      </c>
      <c r="AA37" s="26" t="n">
        <v>1221.04</v>
      </c>
      <c r="AB37" s="26" t="n"/>
      <c r="AC37" s="26" t="n"/>
      <c r="AD37" s="26" t="n"/>
      <c r="AE37" s="27">
        <f>IF(C37="","",SUMIFS(tbl_Finance[Ex GST],tbl_Finance[Job Number],C37&amp;"",tbl_Finance[Cost Centre],"VIDEO"))</f>
        <v/>
      </c>
      <c r="AF37" s="29">
        <f>IFERROR(AE37/H37,"")</f>
        <v/>
      </c>
      <c r="AG37" s="27">
        <f>IF(C37="","",N(AA37)+N(AB37)+N(AC37)+N(AD37))</f>
        <v/>
      </c>
      <c r="AH37" s="27">
        <f>IF(C37="","",H37-AG37)</f>
        <v/>
      </c>
      <c r="AI37" s="29">
        <f>IFERROR(AH37/H37,"")</f>
        <v/>
      </c>
      <c r="AJ37" s="64" t="n"/>
      <c r="AK37" s="64" t="n"/>
      <c r="AL37" s="64" t="n">
        <v>3</v>
      </c>
      <c r="AM37" s="64" t="n"/>
      <c r="AN37" s="64" t="n">
        <v>18</v>
      </c>
      <c r="AO37" s="24" t="n"/>
    </row>
    <row r="38" ht="15" customHeight="1">
      <c r="A38" s="63">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inlineStr">
        <is>
          <t>26073110</t>
        </is>
      </c>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7">
        <f>IF(C38="","",SUMIFS(tbl_Finance[Inc GST],tbl_Finance[Job Number],C38&amp;""))</f>
        <v/>
      </c>
      <c r="M38" s="24" t="n"/>
      <c r="N38" s="25">
        <f>IF(C38="","",IFERROR(INDEX(tbl_Finance[Description],MATCH(C38&amp;"",tbl_Finance[Job Number],0)),""))</f>
        <v/>
      </c>
      <c r="O38" s="24" t="inlineStr">
        <is>
          <t>m.gonzalezhuerta@garvan.org.au</t>
        </is>
      </c>
      <c r="P38" s="24" t="n"/>
      <c r="Q38" s="22" t="n">
        <v>46254</v>
      </c>
      <c r="R38" s="24" t="inlineStr">
        <is>
          <t>6117</t>
        </is>
      </c>
      <c r="S38" s="25">
        <f>IF(R38="","",IF(AND(LEFT(R38,4)&lt;&gt;"http",set_RMSBase=""),"",HYPERLINK(IF(LEFT(R38,4)="http",R38,set_RMSBase&amp;R38),"Open opportunity")))</f>
        <v/>
      </c>
      <c r="T38" s="24" t="n"/>
      <c r="U38" s="25">
        <f>IF(T38="","",HYPERLINK(IF(LEFT(T38,4)="http",T38,set_QwilrBase&amp;T38),"Open quote"))</f>
        <v/>
      </c>
      <c r="V38" s="25">
        <f>IF(C38="","",C38)</f>
        <v/>
      </c>
      <c r="W38" s="24" t="inlineStr">
        <is>
          <t>Y</t>
        </is>
      </c>
      <c r="X38" s="26" t="n"/>
      <c r="Y38" s="27">
        <f>IF(C38="","",H38+N(X38))</f>
        <v/>
      </c>
      <c r="Z38" s="29">
        <f>IFERROR(X38/Y38,"")</f>
        <v/>
      </c>
      <c r="AA38" s="26" t="n"/>
      <c r="AB38" s="26" t="n"/>
      <c r="AC38" s="26" t="n"/>
      <c r="AD38" s="26" t="n"/>
      <c r="AE38" s="27">
        <f>IF(C38="","",SUMIFS(tbl_Finance[Ex GST],tbl_Finance[Job Number],C38&amp;"",tbl_Finance[Cost Centre],"VIDEO"))</f>
        <v/>
      </c>
      <c r="AF38" s="29">
        <f>IFERROR(AE38/H38,"")</f>
        <v/>
      </c>
      <c r="AG38" s="27">
        <f>IF(C38="","",N(AA38)+N(AB38)+N(AC38)+N(AD38))</f>
        <v/>
      </c>
      <c r="AH38" s="27">
        <f>IF(C38="","",H38-AG38)</f>
        <v/>
      </c>
      <c r="AI38" s="29">
        <f>IFERROR(AH38/H38,"")</f>
        <v/>
      </c>
      <c r="AJ38" s="64" t="n"/>
      <c r="AK38" s="64" t="n"/>
      <c r="AL38" s="64" t="n">
        <v>1</v>
      </c>
      <c r="AM38" s="64" t="n"/>
      <c r="AN38" s="64" t="n">
        <v>8</v>
      </c>
      <c r="AO38" s="24" t="n"/>
    </row>
    <row r="39" ht="15" customHeight="1">
      <c r="A39" s="63">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inlineStr">
        <is>
          <t>25121208</t>
        </is>
      </c>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7">
        <f>IF(C39="","",SUMIFS(tbl_Finance[Inc GST],tbl_Finance[Job Number],C39&amp;""))</f>
        <v/>
      </c>
      <c r="M39" s="24" t="n"/>
      <c r="N39" s="25">
        <f>IF(C39="","",IFERROR(INDEX(tbl_Finance[Description],MATCH(C39&amp;"",tbl_Finance[Job Number],0)),""))</f>
        <v/>
      </c>
      <c r="O39" s="24" t="inlineStr">
        <is>
          <t>anna.sampson@apa.com.au</t>
        </is>
      </c>
      <c r="P39" s="24" t="n"/>
      <c r="Q39" s="22" t="n">
        <v>46254</v>
      </c>
      <c r="R39" s="24" t="inlineStr">
        <is>
          <t>5821</t>
        </is>
      </c>
      <c r="S39" s="25">
        <f>IF(R39="","",IF(AND(LEFT(R39,4)&lt;&gt;"http",set_RMSBase=""),"",HYPERLINK(IF(LEFT(R39,4)="http",R39,set_RMSBase&amp;R39),"Open opportunity")))</f>
        <v/>
      </c>
      <c r="T39" s="24" t="n"/>
      <c r="U39" s="25">
        <f>IF(T39="","",HYPERLINK(IF(LEFT(T39,4)="http",T39,set_QwilrBase&amp;T39),"Open quote"))</f>
        <v/>
      </c>
      <c r="V39" s="25">
        <f>IF(C39="","",C39)</f>
        <v/>
      </c>
      <c r="W39" s="24" t="inlineStr">
        <is>
          <t>Y</t>
        </is>
      </c>
      <c r="X39" s="26" t="n">
        <v>3652.5</v>
      </c>
      <c r="Y39" s="27">
        <f>IF(C39="","",H39+N(X39))</f>
        <v/>
      </c>
      <c r="Z39" s="29">
        <f>IFERROR(X39/Y39,"")</f>
        <v/>
      </c>
      <c r="AA39" s="26" t="n">
        <v>1805.72</v>
      </c>
      <c r="AB39" s="26" t="n"/>
      <c r="AC39" s="26" t="n"/>
      <c r="AD39" s="26" t="n"/>
      <c r="AE39" s="27">
        <f>IF(C39="","",SUMIFS(tbl_Finance[Ex GST],tbl_Finance[Job Number],C39&amp;"",tbl_Finance[Cost Centre],"VIDEO"))</f>
        <v/>
      </c>
      <c r="AF39" s="29">
        <f>IFERROR(AE39/H39,"")</f>
        <v/>
      </c>
      <c r="AG39" s="27">
        <f>IF(C39="","",N(AA39)+N(AB39)+N(AC39)+N(AD39))</f>
        <v/>
      </c>
      <c r="AH39" s="27">
        <f>IF(C39="","",H39-AG39)</f>
        <v/>
      </c>
      <c r="AI39" s="29">
        <f>IFERROR(AH39/H39,"")</f>
        <v/>
      </c>
      <c r="AJ39" s="64" t="n"/>
      <c r="AK39" s="64" t="n"/>
      <c r="AL39" s="64" t="n">
        <v>2</v>
      </c>
      <c r="AM39" s="64" t="n"/>
      <c r="AN39" s="64" t="n">
        <v>20</v>
      </c>
      <c r="AO39" s="24" t="n"/>
    </row>
    <row r="40" ht="15" customHeight="1">
      <c r="A40" s="63">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inlineStr">
        <is>
          <t>26061108</t>
        </is>
      </c>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7">
        <f>IF(C40="","",SUMIFS(tbl_Finance[Inc GST],tbl_Finance[Job Number],C40&amp;""))</f>
        <v/>
      </c>
      <c r="M40" s="24" t="n"/>
      <c r="N40" s="25">
        <f>IF(C40="","",IFERROR(INDEX(tbl_Finance[Description],MATCH(C40&amp;"",tbl_Finance[Job Number],0)),""))</f>
        <v/>
      </c>
      <c r="O40" s="24" t="inlineStr">
        <is>
          <t>steph.bennett@apa.com.au</t>
        </is>
      </c>
      <c r="P40" s="24" t="n"/>
      <c r="Q40" s="22" t="n">
        <v>46254</v>
      </c>
      <c r="R40" s="24" t="inlineStr">
        <is>
          <t>6073</t>
        </is>
      </c>
      <c r="S40" s="25">
        <f>IF(R40="","",IF(AND(LEFT(R40,4)&lt;&gt;"http",set_RMSBase=""),"",HYPERLINK(IF(LEFT(R40,4)="http",R40,set_RMSBase&amp;R40),"Open opportunity")))</f>
        <v/>
      </c>
      <c r="T40" s="24" t="n"/>
      <c r="U40" s="25">
        <f>IF(T40="","",HYPERLINK(IF(LEFT(T40,4)="http",T40,set_QwilrBase&amp;T40),"Open quote"))</f>
        <v/>
      </c>
      <c r="V40" s="25">
        <f>IF(C40="","",C40)</f>
        <v/>
      </c>
      <c r="W40" s="24" t="inlineStr">
        <is>
          <t>Y</t>
        </is>
      </c>
      <c r="X40" s="26" t="n">
        <v>1651.4</v>
      </c>
      <c r="Y40" s="27">
        <f>IF(C40="","",H40+N(X40))</f>
        <v/>
      </c>
      <c r="Z40" s="29">
        <f>IFERROR(X40/Y40,"")</f>
        <v/>
      </c>
      <c r="AA40" s="26" t="n"/>
      <c r="AB40" s="26" t="n"/>
      <c r="AC40" s="26" t="n"/>
      <c r="AD40" s="26" t="n"/>
      <c r="AE40" s="27">
        <f>IF(C40="","",SUMIFS(tbl_Finance[Ex GST],tbl_Finance[Job Number],C40&amp;"",tbl_Finance[Cost Centre],"VIDEO"))</f>
        <v/>
      </c>
      <c r="AF40" s="29">
        <f>IFERROR(AE40/H40,"")</f>
        <v/>
      </c>
      <c r="AG40" s="27">
        <f>IF(C40="","",N(AA40)+N(AB40)+N(AC40)+N(AD40))</f>
        <v/>
      </c>
      <c r="AH40" s="27">
        <f>IF(C40="","",H40-AG40)</f>
        <v/>
      </c>
      <c r="AI40" s="29">
        <f>IFERROR(AH40/H40,"")</f>
        <v/>
      </c>
      <c r="AJ40" s="64" t="n">
        <v>5</v>
      </c>
      <c r="AK40" s="64" t="n"/>
      <c r="AL40" s="64" t="n">
        <v>6</v>
      </c>
      <c r="AM40" s="64" t="n"/>
      <c r="AN40" s="64" t="n">
        <v>45</v>
      </c>
      <c r="AO40" s="24" t="n"/>
    </row>
    <row r="41" ht="15" customHeight="1">
      <c r="A41" s="63">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inlineStr">
        <is>
          <t>26061109</t>
        </is>
      </c>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7">
        <f>IF(C41="","",SUMIFS(tbl_Finance[Inc GST],tbl_Finance[Job Number],C41&amp;""))</f>
        <v/>
      </c>
      <c r="M41" s="24" t="n"/>
      <c r="N41" s="25">
        <f>IF(C41="","",IFERROR(INDEX(tbl_Finance[Description],MATCH(C41&amp;"",tbl_Finance[Job Number],0)),""))</f>
        <v/>
      </c>
      <c r="O41" s="24" t="inlineStr">
        <is>
          <t>amy.johnson@ventia.com</t>
        </is>
      </c>
      <c r="P41" s="24" t="n"/>
      <c r="Q41" s="22" t="n">
        <v>46258</v>
      </c>
      <c r="R41" s="24" t="inlineStr">
        <is>
          <t>6095</t>
        </is>
      </c>
      <c r="S41" s="25">
        <f>IF(R41="","",IF(AND(LEFT(R41,4)&lt;&gt;"http",set_RMSBase=""),"",HYPERLINK(IF(LEFT(R41,4)="http",R41,set_RMSBase&amp;R41),"Open opportunity")))</f>
        <v/>
      </c>
      <c r="T41" s="24" t="n"/>
      <c r="U41" s="25">
        <f>IF(T41="","",HYPERLINK(IF(LEFT(T41,4)="http",T41,set_QwilrBase&amp;T41),"Open quote"))</f>
        <v/>
      </c>
      <c r="V41" s="25">
        <f>IF(C41="","",C41)</f>
        <v/>
      </c>
      <c r="W41" s="24" t="inlineStr">
        <is>
          <t>Y</t>
        </is>
      </c>
      <c r="X41" s="26" t="n">
        <v>524.5</v>
      </c>
      <c r="Y41" s="27">
        <f>IF(C41="","",H41+N(X41))</f>
        <v/>
      </c>
      <c r="Z41" s="29">
        <f>IFERROR(X41/Y41,"")</f>
        <v/>
      </c>
      <c r="AA41" s="26" t="n">
        <v>1350</v>
      </c>
      <c r="AB41" s="26" t="n"/>
      <c r="AC41" s="26" t="n"/>
      <c r="AD41" s="26" t="n"/>
      <c r="AE41" s="27">
        <f>IF(C41="","",SUMIFS(tbl_Finance[Ex GST],tbl_Finance[Job Number],C41&amp;"",tbl_Finance[Cost Centre],"VIDEO"))</f>
        <v/>
      </c>
      <c r="AF41" s="29">
        <f>IFERROR(AE41/H41,"")</f>
        <v/>
      </c>
      <c r="AG41" s="27">
        <f>IF(C41="","",N(AA41)+N(AB41)+N(AC41)+N(AD41))</f>
        <v/>
      </c>
      <c r="AH41" s="27">
        <f>IF(C41="","",H41-AG41)</f>
        <v/>
      </c>
      <c r="AI41" s="29">
        <f>IFERROR(AH41/H41,"")</f>
        <v/>
      </c>
      <c r="AJ41" s="64" t="n">
        <v>4</v>
      </c>
      <c r="AK41" s="64" t="n"/>
      <c r="AL41" s="64" t="n"/>
      <c r="AM41" s="64" t="n"/>
      <c r="AN41" s="64" t="n">
        <v>41</v>
      </c>
      <c r="AO41" s="24" t="n"/>
    </row>
    <row r="42" ht="15" customHeight="1">
      <c r="A42" s="63">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inlineStr">
        <is>
          <t>26071501</t>
        </is>
      </c>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7">
        <f>IF(C42="","",SUMIFS(tbl_Finance[Inc GST],tbl_Finance[Job Number],C42&amp;""))</f>
        <v/>
      </c>
      <c r="M42" s="24" t="n"/>
      <c r="N42" s="25">
        <f>IF(C42="","",IFERROR(INDEX(tbl_Finance[Description],MATCH(C42&amp;"",tbl_Finance[Job Number],0)),""))</f>
        <v/>
      </c>
      <c r="O42" s="24" t="inlineStr">
        <is>
          <t>chantal.travers@ventia.com</t>
        </is>
      </c>
      <c r="P42" s="24" t="n"/>
      <c r="Q42" s="22" t="n">
        <v>46258</v>
      </c>
      <c r="R42" s="24" t="inlineStr">
        <is>
          <t>6094</t>
        </is>
      </c>
      <c r="S42" s="25">
        <f>IF(R42="","",IF(AND(LEFT(R42,4)&lt;&gt;"http",set_RMSBase=""),"",HYPERLINK(IF(LEFT(R42,4)="http",R42,set_RMSBase&amp;R42),"Open opportunity")))</f>
        <v/>
      </c>
      <c r="T42" s="24" t="n"/>
      <c r="U42" s="25">
        <f>IF(T42="","",HYPERLINK(IF(LEFT(T42,4)="http",T42,set_QwilrBase&amp;T42),"Open quote"))</f>
        <v/>
      </c>
      <c r="V42" s="25">
        <f>IF(C42="","",C42)</f>
        <v/>
      </c>
      <c r="W42" s="24" t="inlineStr">
        <is>
          <t>Y</t>
        </is>
      </c>
      <c r="X42" s="26" t="n">
        <v>495</v>
      </c>
      <c r="Y42" s="27">
        <f>IF(C42="","",H42+N(X42))</f>
        <v/>
      </c>
      <c r="Z42" s="29">
        <f>IFERROR(X42/Y42,"")</f>
        <v/>
      </c>
      <c r="AA42" s="26" t="n">
        <v>2303.09</v>
      </c>
      <c r="AB42" s="26" t="n"/>
      <c r="AC42" s="26" t="n"/>
      <c r="AD42" s="26" t="n"/>
      <c r="AE42" s="27">
        <f>IF(C42="","",SUMIFS(tbl_Finance[Ex GST],tbl_Finance[Job Number],C42&amp;"",tbl_Finance[Cost Centre],"VIDEO"))</f>
        <v/>
      </c>
      <c r="AF42" s="29">
        <f>IFERROR(AE42/H42,"")</f>
        <v/>
      </c>
      <c r="AG42" s="27">
        <f>IF(C42="","",N(AA42)+N(AB42)+N(AC42)+N(AD42))</f>
        <v/>
      </c>
      <c r="AH42" s="27">
        <f>IF(C42="","",H42-AG42)</f>
        <v/>
      </c>
      <c r="AI42" s="29">
        <f>IFERROR(AH42/H42,"")</f>
        <v/>
      </c>
      <c r="AJ42" s="64" t="n"/>
      <c r="AK42" s="64" t="n"/>
      <c r="AL42" s="64" t="n"/>
      <c r="AM42" s="64" t="n"/>
      <c r="AN42" s="64" t="n">
        <v>11</v>
      </c>
      <c r="AO42" s="24" t="n"/>
    </row>
    <row r="43" ht="15" customHeight="1">
      <c r="A43" s="63">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inlineStr">
        <is>
          <t>26073111</t>
        </is>
      </c>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7">
        <f>IF(C43="","",SUMIFS(tbl_Finance[Inc GST],tbl_Finance[Job Number],C43&amp;""))</f>
        <v/>
      </c>
      <c r="M43" s="24" t="n"/>
      <c r="N43" s="25">
        <f>IF(C43="","",IFERROR(INDEX(tbl_Finance[Description],MATCH(C43&amp;"",tbl_Finance[Job Number],0)),""))</f>
        <v/>
      </c>
      <c r="O43" s="24" t="inlineStr">
        <is>
          <t>mitchell.dale@downergroup.com</t>
        </is>
      </c>
      <c r="P43" s="24" t="n"/>
      <c r="Q43" s="22" t="n">
        <v>46259</v>
      </c>
      <c r="R43" s="24" t="inlineStr">
        <is>
          <t>6144</t>
        </is>
      </c>
      <c r="S43" s="25">
        <f>IF(R43="","",IF(AND(LEFT(R43,4)&lt;&gt;"http",set_RMSBase=""),"",HYPERLINK(IF(LEFT(R43,4)="http",R43,set_RMSBase&amp;R43),"Open opportunity")))</f>
        <v/>
      </c>
      <c r="T43" s="24" t="n"/>
      <c r="U43" s="25">
        <f>IF(T43="","",HYPERLINK(IF(LEFT(T43,4)="http",T43,set_QwilrBase&amp;T43),"Open quote"))</f>
        <v/>
      </c>
      <c r="V43" s="25">
        <f>IF(C43="","",C43)</f>
        <v/>
      </c>
      <c r="W43" s="24" t="inlineStr">
        <is>
          <t>Y</t>
        </is>
      </c>
      <c r="X43" s="26" t="n">
        <v>2281.25</v>
      </c>
      <c r="Y43" s="27">
        <f>IF(C43="","",H43+N(X43))</f>
        <v/>
      </c>
      <c r="Z43" s="29">
        <f>IFERROR(X43/Y43,"")</f>
        <v/>
      </c>
      <c r="AA43" s="26" t="n">
        <v>14754.3</v>
      </c>
      <c r="AB43" s="26" t="n"/>
      <c r="AC43" s="26" t="n"/>
      <c r="AD43" s="26" t="n"/>
      <c r="AE43" s="27">
        <f>IF(C43="","",SUMIFS(tbl_Finance[Ex GST],tbl_Finance[Job Number],C43&amp;"",tbl_Finance[Cost Centre],"VIDEO"))</f>
        <v/>
      </c>
      <c r="AF43" s="29">
        <f>IFERROR(AE43/H43,"")</f>
        <v/>
      </c>
      <c r="AG43" s="27">
        <f>IF(C43="","",N(AA43)+N(AB43)+N(AC43)+N(AD43))</f>
        <v/>
      </c>
      <c r="AH43" s="27">
        <f>IF(C43="","",H43-AG43)</f>
        <v/>
      </c>
      <c r="AI43" s="29">
        <f>IFERROR(AH43/H43,"")</f>
        <v/>
      </c>
      <c r="AJ43" s="64" t="n">
        <v>5</v>
      </c>
      <c r="AK43" s="64" t="n"/>
      <c r="AL43" s="64" t="n">
        <v>3</v>
      </c>
      <c r="AM43" s="64" t="n"/>
      <c r="AN43" s="64" t="n">
        <v>37</v>
      </c>
      <c r="AO43" s="24" t="n"/>
    </row>
    <row r="44" ht="15" customHeight="1">
      <c r="A44" s="63">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inlineStr">
        <is>
          <t>2606904</t>
        </is>
      </c>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7">
        <f>IF(C44="","",SUMIFS(tbl_Finance[Inc GST],tbl_Finance[Job Number],C44&amp;""))</f>
        <v/>
      </c>
      <c r="M44" s="24" t="n"/>
      <c r="N44" s="25">
        <f>IF(C44="","",IFERROR(INDEX(tbl_Finance[Description],MATCH(C44&amp;"",tbl_Finance[Job Number],0)),""))</f>
        <v/>
      </c>
      <c r="O44" s="24" t="inlineStr">
        <is>
          <t>pia.witt@symal.com.au</t>
        </is>
      </c>
      <c r="P44" s="24" t="n"/>
      <c r="Q44" s="22" t="n">
        <v>46259</v>
      </c>
      <c r="R44" s="24" t="inlineStr">
        <is>
          <t>6044</t>
        </is>
      </c>
      <c r="S44" s="25">
        <f>IF(R44="","",IF(AND(LEFT(R44,4)&lt;&gt;"http",set_RMSBase=""),"",HYPERLINK(IF(LEFT(R44,4)="http",R44,set_RMSBase&amp;R44),"Open opportunity")))</f>
        <v/>
      </c>
      <c r="T44" s="24" t="n"/>
      <c r="U44" s="25">
        <f>IF(T44="","",HYPERLINK(IF(LEFT(T44,4)="http",T44,set_QwilrBase&amp;T44),"Open quote"))</f>
        <v/>
      </c>
      <c r="V44" s="25">
        <f>IF(C44="","",C44)</f>
        <v/>
      </c>
      <c r="W44" s="24" t="inlineStr">
        <is>
          <t>Y</t>
        </is>
      </c>
      <c r="X44" s="26" t="n">
        <v>3563</v>
      </c>
      <c r="Y44" s="27">
        <f>IF(C44="","",H44+N(X44))</f>
        <v/>
      </c>
      <c r="Z44" s="29">
        <f>IFERROR(X44/Y44,"")</f>
        <v/>
      </c>
      <c r="AA44" s="26" t="n">
        <v>1874</v>
      </c>
      <c r="AB44" s="26" t="n"/>
      <c r="AC44" s="26" t="n"/>
      <c r="AD44" s="26" t="n"/>
      <c r="AE44" s="27">
        <f>IF(C44="","",SUMIFS(tbl_Finance[Ex GST],tbl_Finance[Job Number],C44&amp;"",tbl_Finance[Cost Centre],"VIDEO"))</f>
        <v/>
      </c>
      <c r="AF44" s="29">
        <f>IFERROR(AE44/H44,"")</f>
        <v/>
      </c>
      <c r="AG44" s="27">
        <f>IF(C44="","",N(AA44)+N(AB44)+N(AC44)+N(AD44))</f>
        <v/>
      </c>
      <c r="AH44" s="27">
        <f>IF(C44="","",H44-AG44)</f>
        <v/>
      </c>
      <c r="AI44" s="29">
        <f>IFERROR(AH44/H44,"")</f>
        <v/>
      </c>
      <c r="AJ44" s="64" t="n"/>
      <c r="AK44" s="64" t="n"/>
      <c r="AL44" s="64" t="n">
        <v>2</v>
      </c>
      <c r="AM44" s="64" t="n"/>
      <c r="AN44" s="64" t="n">
        <v>22</v>
      </c>
      <c r="AO44" s="24" t="n"/>
    </row>
    <row r="45" ht="15" customHeight="1">
      <c r="A45" s="63">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inlineStr">
        <is>
          <t>26061001</t>
        </is>
      </c>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7">
        <f>IF(C45="","",SUMIFS(tbl_Finance[Inc GST],tbl_Finance[Job Number],C45&amp;""))</f>
        <v/>
      </c>
      <c r="M45" s="24" t="n"/>
      <c r="N45" s="25">
        <f>IF(C45="","",IFERROR(INDEX(tbl_Finance[Description],MATCH(C45&amp;"",tbl_Finance[Job Number],0)),""))</f>
        <v/>
      </c>
      <c r="O45" s="24" t="inlineStr">
        <is>
          <t>t.choi@garvan.org.au</t>
        </is>
      </c>
      <c r="P45" s="24" t="n"/>
      <c r="Q45" s="22" t="n">
        <v>46259</v>
      </c>
      <c r="R45" s="24" t="inlineStr">
        <is>
          <t>6055</t>
        </is>
      </c>
      <c r="S45" s="25">
        <f>IF(R45="","",IF(AND(LEFT(R45,4)&lt;&gt;"http",set_RMSBase=""),"",HYPERLINK(IF(LEFT(R45,4)="http",R45,set_RMSBase&amp;R45),"Open opportunity")))</f>
        <v/>
      </c>
      <c r="T45" s="24" t="n"/>
      <c r="U45" s="25">
        <f>IF(T45="","",HYPERLINK(IF(LEFT(T45,4)="http",T45,set_QwilrBase&amp;T45),"Open quote"))</f>
        <v/>
      </c>
      <c r="V45" s="25">
        <f>IF(C45="","",C45)</f>
        <v/>
      </c>
      <c r="W45" s="24" t="inlineStr">
        <is>
          <t>Y</t>
        </is>
      </c>
      <c r="X45" s="26" t="n">
        <v>90</v>
      </c>
      <c r="Y45" s="27">
        <f>IF(C45="","",H45+N(X45))</f>
        <v/>
      </c>
      <c r="Z45" s="29">
        <f>IFERROR(X45/Y45,"")</f>
        <v/>
      </c>
      <c r="AA45" s="26" t="n"/>
      <c r="AB45" s="26" t="n"/>
      <c r="AC45" s="26" t="n"/>
      <c r="AD45" s="26" t="n"/>
      <c r="AE45" s="27">
        <f>IF(C45="","",SUMIFS(tbl_Finance[Ex GST],tbl_Finance[Job Number],C45&amp;"",tbl_Finance[Cost Centre],"VIDEO"))</f>
        <v/>
      </c>
      <c r="AF45" s="29">
        <f>IFERROR(AE45/H45,"")</f>
        <v/>
      </c>
      <c r="AG45" s="27">
        <f>IF(C45="","",N(AA45)+N(AB45)+N(AC45)+N(AD45))</f>
        <v/>
      </c>
      <c r="AH45" s="27">
        <f>IF(C45="","",H45-AG45)</f>
        <v/>
      </c>
      <c r="AI45" s="29">
        <f>IFERROR(AH45/H45,"")</f>
        <v/>
      </c>
      <c r="AJ45" s="64" t="n"/>
      <c r="AK45" s="64" t="n"/>
      <c r="AL45" s="64" t="n">
        <v>1</v>
      </c>
      <c r="AM45" s="64" t="n"/>
      <c r="AN45" s="64" t="n">
        <v>4</v>
      </c>
      <c r="AO45" s="24" t="n"/>
    </row>
    <row r="46" ht="15" customHeight="1">
      <c r="A46" s="63">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inlineStr">
        <is>
          <t>26073105</t>
        </is>
      </c>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7">
        <f>IF(C46="","",SUMIFS(tbl_Finance[Inc GST],tbl_Finance[Job Number],C46&amp;""))</f>
        <v/>
      </c>
      <c r="M46" s="24" t="n"/>
      <c r="N46" s="25">
        <f>IF(C46="","",IFERROR(INDEX(tbl_Finance[Description],MATCH(C46&amp;"",tbl_Finance[Job Number],0)),""))</f>
        <v/>
      </c>
      <c r="O46" s="24" t="inlineStr">
        <is>
          <t>ben.woodlock@elkiem.com</t>
        </is>
      </c>
      <c r="P46" s="24" t="n"/>
      <c r="Q46" s="22" t="n">
        <v>46259</v>
      </c>
      <c r="R46" s="24" t="inlineStr">
        <is>
          <t>6129</t>
        </is>
      </c>
      <c r="S46" s="25">
        <f>IF(R46="","",IF(AND(LEFT(R46,4)&lt;&gt;"http",set_RMSBase=""),"",HYPERLINK(IF(LEFT(R46,4)="http",R46,set_RMSBase&amp;R46),"Open opportunity")))</f>
        <v/>
      </c>
      <c r="T46" s="24" t="n"/>
      <c r="U46" s="25">
        <f>IF(T46="","",HYPERLINK(IF(LEFT(T46,4)="http",T46,set_QwilrBase&amp;T46),"Open quote"))</f>
        <v/>
      </c>
      <c r="V46" s="25">
        <f>IF(C46="","",C46)</f>
        <v/>
      </c>
      <c r="W46" s="24" t="inlineStr">
        <is>
          <t>Y</t>
        </is>
      </c>
      <c r="X46" s="26" t="n"/>
      <c r="Y46" s="27">
        <f>IF(C46="","",H46+N(X46))</f>
        <v/>
      </c>
      <c r="Z46" s="29">
        <f>IFERROR(X46/Y46,"")</f>
        <v/>
      </c>
      <c r="AA46" s="26" t="n"/>
      <c r="AB46" s="26" t="n"/>
      <c r="AC46" s="26" t="n"/>
      <c r="AD46" s="26" t="n"/>
      <c r="AE46" s="27">
        <f>IF(C46="","",SUMIFS(tbl_Finance[Ex GST],tbl_Finance[Job Number],C46&amp;"",tbl_Finance[Cost Centre],"VIDEO"))</f>
        <v/>
      </c>
      <c r="AF46" s="29">
        <f>IFERROR(AE46/H46,"")</f>
        <v/>
      </c>
      <c r="AG46" s="27">
        <f>IF(C46="","",N(AA46)+N(AB46)+N(AC46)+N(AD46))</f>
        <v/>
      </c>
      <c r="AH46" s="27">
        <f>IF(C46="","",H46-AG46)</f>
        <v/>
      </c>
      <c r="AI46" s="29">
        <f>IFERROR(AH46/H46,"")</f>
        <v/>
      </c>
      <c r="AJ46" s="64" t="n"/>
      <c r="AK46" s="64" t="n"/>
      <c r="AL46" s="64" t="n"/>
      <c r="AM46" s="64" t="n"/>
      <c r="AN46" s="64" t="n">
        <v>4</v>
      </c>
      <c r="AO46" s="24" t="n"/>
    </row>
    <row r="47" ht="15" customHeight="1">
      <c r="A47" s="63">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inlineStr">
        <is>
          <t>2608702</t>
        </is>
      </c>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7">
        <f>IF(C47="","",SUMIFS(tbl_Finance[Inc GST],tbl_Finance[Job Number],C47&amp;""))</f>
        <v/>
      </c>
      <c r="M47" s="24" t="n"/>
      <c r="N47" s="25">
        <f>IF(C47="","",IFERROR(INDEX(tbl_Finance[Description],MATCH(C47&amp;"",tbl_Finance[Job Number],0)),""))</f>
        <v/>
      </c>
      <c r="O47" s="24" t="inlineStr">
        <is>
          <t>anna.sampson@apa.com.au</t>
        </is>
      </c>
      <c r="P47" s="24" t="n"/>
      <c r="Q47" s="22" t="n">
        <v>46260</v>
      </c>
      <c r="R47" s="24" t="inlineStr">
        <is>
          <t>6149</t>
        </is>
      </c>
      <c r="S47" s="25">
        <f>IF(R47="","",IF(AND(LEFT(R47,4)&lt;&gt;"http",set_RMSBase=""),"",HYPERLINK(IF(LEFT(R47,4)="http",R47,set_RMSBase&amp;R47),"Open opportunity")))</f>
        <v/>
      </c>
      <c r="T47" s="24" t="n"/>
      <c r="U47" s="25">
        <f>IF(T47="","",HYPERLINK(IF(LEFT(T47,4)="http",T47,set_QwilrBase&amp;T47),"Open quote"))</f>
        <v/>
      </c>
      <c r="V47" s="25">
        <f>IF(C47="","",C47)</f>
        <v/>
      </c>
      <c r="W47" s="24" t="inlineStr">
        <is>
          <t>Y</t>
        </is>
      </c>
      <c r="X47" s="26" t="n"/>
      <c r="Y47" s="27">
        <f>IF(C47="","",H47+N(X47))</f>
        <v/>
      </c>
      <c r="Z47" s="29">
        <f>IFERROR(X47/Y47,"")</f>
        <v/>
      </c>
      <c r="AA47" s="26" t="n">
        <v>784.5</v>
      </c>
      <c r="AB47" s="26" t="n"/>
      <c r="AC47" s="26" t="n"/>
      <c r="AD47" s="26" t="n"/>
      <c r="AE47" s="27">
        <f>IF(C47="","",SUMIFS(tbl_Finance[Ex GST],tbl_Finance[Job Number],C47&amp;"",tbl_Finance[Cost Centre],"VIDEO"))</f>
        <v/>
      </c>
      <c r="AF47" s="29">
        <f>IFERROR(AE47/H47,"")</f>
        <v/>
      </c>
      <c r="AG47" s="27">
        <f>IF(C47="","",N(AA47)+N(AB47)+N(AC47)+N(AD47))</f>
        <v/>
      </c>
      <c r="AH47" s="27">
        <f>IF(C47="","",H47-AG47)</f>
        <v/>
      </c>
      <c r="AI47" s="29">
        <f>IFERROR(AH47/H47,"")</f>
        <v/>
      </c>
      <c r="AJ47" s="64" t="n"/>
      <c r="AK47" s="64" t="n"/>
      <c r="AL47" s="64" t="n"/>
      <c r="AM47" s="64" t="n"/>
      <c r="AN47" s="64" t="n"/>
      <c r="AO47" s="24" t="n"/>
    </row>
    <row r="48" ht="15" customHeight="1">
      <c r="A48" s="63">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inlineStr">
        <is>
          <t>2606903</t>
        </is>
      </c>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7">
        <f>IF(C48="","",SUMIFS(tbl_Finance[Inc GST],tbl_Finance[Job Number],C48&amp;""))</f>
        <v/>
      </c>
      <c r="M48" s="24" t="n"/>
      <c r="N48" s="25">
        <f>IF(C48="","",IFERROR(INDEX(tbl_Finance[Description],MATCH(C48&amp;"",tbl_Finance[Job Number],0)),""))</f>
        <v/>
      </c>
      <c r="O48" s="24" t="inlineStr">
        <is>
          <t>Saranya.Nagpal@virginaustralia.com</t>
        </is>
      </c>
      <c r="P48" s="24" t="n"/>
      <c r="Q48" s="22" t="n">
        <v>46262</v>
      </c>
      <c r="R48" s="24" t="inlineStr">
        <is>
          <t>6024</t>
        </is>
      </c>
      <c r="S48" s="25">
        <f>IF(R48="","",IF(AND(LEFT(R48,4)&lt;&gt;"http",set_RMSBase=""),"",HYPERLINK(IF(LEFT(R48,4)="http",R48,set_RMSBase&amp;R48),"Open opportunity")))</f>
        <v/>
      </c>
      <c r="T48" s="24" t="n"/>
      <c r="U48" s="25">
        <f>IF(T48="","",HYPERLINK(IF(LEFT(T48,4)="http",T48,set_QwilrBase&amp;T48),"Open quote"))</f>
        <v/>
      </c>
      <c r="V48" s="25">
        <f>IF(C48="","",C48)</f>
        <v/>
      </c>
      <c r="W48" s="24" t="inlineStr">
        <is>
          <t>Y</t>
        </is>
      </c>
      <c r="X48" s="26" t="n">
        <v>3530.5</v>
      </c>
      <c r="Y48" s="27">
        <f>IF(C48="","",H48+N(X48))</f>
        <v/>
      </c>
      <c r="Z48" s="29">
        <f>IFERROR(X48/Y48,"")</f>
        <v/>
      </c>
      <c r="AA48" s="26" t="n">
        <v>4749.88</v>
      </c>
      <c r="AB48" s="26" t="n"/>
      <c r="AC48" s="26" t="n"/>
      <c r="AD48" s="26" t="n"/>
      <c r="AE48" s="27">
        <f>IF(C48="","",SUMIFS(tbl_Finance[Ex GST],tbl_Finance[Job Number],C48&amp;"",tbl_Finance[Cost Centre],"VIDEO"))</f>
        <v/>
      </c>
      <c r="AF48" s="29">
        <f>IFERROR(AE48/H48,"")</f>
        <v/>
      </c>
      <c r="AG48" s="27">
        <f>IF(C48="","",N(AA48)+N(AB48)+N(AC48)+N(AD48))</f>
        <v/>
      </c>
      <c r="AH48" s="27">
        <f>IF(C48="","",H48-AG48)</f>
        <v/>
      </c>
      <c r="AI48" s="29">
        <f>IFERROR(AH48/H48,"")</f>
        <v/>
      </c>
      <c r="AJ48" s="64" t="n"/>
      <c r="AK48" s="64" t="n"/>
      <c r="AL48" s="64" t="n">
        <v>4</v>
      </c>
      <c r="AM48" s="64" t="n"/>
      <c r="AN48" s="64" t="n">
        <v>23</v>
      </c>
      <c r="AO48" s="24" t="n"/>
    </row>
    <row r="49" ht="15" customHeight="1">
      <c r="A49" s="63">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inlineStr">
        <is>
          <t>26072003</t>
        </is>
      </c>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7">
        <f>IF(C49="","",SUMIFS(tbl_Finance[Inc GST],tbl_Finance[Job Number],C49&amp;""))</f>
        <v/>
      </c>
      <c r="M49" s="24" t="n"/>
      <c r="N49" s="25">
        <f>IF(C49="","",IFERROR(INDEX(tbl_Finance[Description],MATCH(C49&amp;"",tbl_Finance[Job Number],0)),""))</f>
        <v/>
      </c>
      <c r="O49" s="24" t="inlineStr">
        <is>
          <t>Steve.chezzi@cba.com.au</t>
        </is>
      </c>
      <c r="P49" s="24" t="n"/>
      <c r="Q49" s="22" t="n">
        <v>46265</v>
      </c>
      <c r="R49" s="24" t="inlineStr">
        <is>
          <t>6169</t>
        </is>
      </c>
      <c r="S49" s="25">
        <f>IF(R49="","",IF(AND(LEFT(R49,4)&lt;&gt;"http",set_RMSBase=""),"",HYPERLINK(IF(LEFT(R49,4)="http",R49,set_RMSBase&amp;R49),"Open opportunity")))</f>
        <v/>
      </c>
      <c r="T49" s="24" t="n"/>
      <c r="U49" s="25">
        <f>IF(T49="","",HYPERLINK(IF(LEFT(T49,4)="http",T49,set_QwilrBase&amp;T49),"Open quote"))</f>
        <v/>
      </c>
      <c r="V49" s="25">
        <f>IF(C49="","",C49)</f>
        <v/>
      </c>
      <c r="W49" s="24" t="inlineStr">
        <is>
          <t>Y</t>
        </is>
      </c>
      <c r="X49" s="26" t="n"/>
      <c r="Y49" s="27">
        <f>IF(C49="","",H49+N(X49))</f>
        <v/>
      </c>
      <c r="Z49" s="29">
        <f>IFERROR(X49/Y49,"")</f>
        <v/>
      </c>
      <c r="AA49" s="26" t="n"/>
      <c r="AB49" s="26" t="n"/>
      <c r="AC49" s="26" t="n"/>
      <c r="AD49" s="26" t="n"/>
      <c r="AE49" s="27">
        <f>IF(C49="","",SUMIFS(tbl_Finance[Ex GST],tbl_Finance[Job Number],C49&amp;"",tbl_Finance[Cost Centre],"VIDEO"))</f>
        <v/>
      </c>
      <c r="AF49" s="29">
        <f>IFERROR(AE49/H49,"")</f>
        <v/>
      </c>
      <c r="AG49" s="27">
        <f>IF(C49="","",N(AA49)+N(AB49)+N(AC49)+N(AD49))</f>
        <v/>
      </c>
      <c r="AH49" s="27">
        <f>IF(C49="","",H49-AG49)</f>
        <v/>
      </c>
      <c r="AI49" s="29">
        <f>IFERROR(AH49/H49,"")</f>
        <v/>
      </c>
      <c r="AJ49" s="64" t="n"/>
      <c r="AK49" s="64" t="n"/>
      <c r="AL49" s="64" t="n"/>
      <c r="AM49" s="64" t="n"/>
      <c r="AN49" s="64" t="n">
        <v>56</v>
      </c>
      <c r="AO49" s="24" t="n"/>
    </row>
    <row r="50" ht="15" customHeight="1">
      <c r="A50" s="63">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inlineStr">
        <is>
          <t>26061609/26061608/26061607/26061108</t>
        </is>
      </c>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7">
        <f>IF(C50="","",SUMIFS(tbl_Finance[Inc GST],tbl_Finance[Job Number],C50&amp;""))</f>
        <v/>
      </c>
      <c r="M50" s="24" t="n"/>
      <c r="N50" s="25">
        <f>IF(C50="","",IFERROR(INDEX(tbl_Finance[Description],MATCH(C50&amp;"",tbl_Finance[Job Number],0)),""))</f>
        <v/>
      </c>
      <c r="O50" s="24" t="n"/>
      <c r="P50" s="24" t="n"/>
      <c r="Q50" s="22" t="inlineStr">
        <is>
          <t>N/A</t>
        </is>
      </c>
      <c r="R50" s="24" t="inlineStr">
        <is>
          <t>Proj: 0017</t>
        </is>
      </c>
      <c r="S50" s="25">
        <f>IF(R50="","",IF(AND(LEFT(R50,4)&lt;&gt;"http",set_RMSBase=""),"",HYPERLINK(IF(LEFT(R50,4)="http",R50,set_RMSBase&amp;R50),"Open opportunity")))</f>
        <v/>
      </c>
      <c r="T50" s="24" t="n"/>
      <c r="U50" s="25">
        <f>IF(T50="","",HYPERLINK(IF(LEFT(T50,4)="http",T50,set_QwilrBase&amp;T50),"Open quote"))</f>
        <v/>
      </c>
      <c r="V50" s="25">
        <f>IF(C50="","",C50)</f>
        <v/>
      </c>
      <c r="W50" s="24" t="inlineStr">
        <is>
          <t>Y</t>
        </is>
      </c>
      <c r="X50" s="26" t="n"/>
      <c r="Y50" s="27">
        <f>IF(C50="","",H50+N(X50))</f>
        <v/>
      </c>
      <c r="Z50" s="29">
        <f>IFERROR(X50/Y50,"")</f>
        <v/>
      </c>
      <c r="AA50" s="26" t="n"/>
      <c r="AB50" s="26" t="n"/>
      <c r="AC50" s="26" t="n"/>
      <c r="AD50" s="26" t="n"/>
      <c r="AE50" s="27">
        <f>IF(C50="","",SUMIFS(tbl_Finance[Ex GST],tbl_Finance[Job Number],C50&amp;"",tbl_Finance[Cost Centre],"VIDEO"))</f>
        <v/>
      </c>
      <c r="AF50" s="29">
        <f>IFERROR(AE50/H50,"")</f>
        <v/>
      </c>
      <c r="AG50" s="27">
        <f>IF(C50="","",N(AA50)+N(AB50)+N(AC50)+N(AD50))</f>
        <v/>
      </c>
      <c r="AH50" s="27">
        <f>IF(C50="","",H50-AG50)</f>
        <v/>
      </c>
      <c r="AI50" s="29">
        <f>IFERROR(AH50/H50,"")</f>
        <v/>
      </c>
      <c r="AJ50" s="64" t="n"/>
      <c r="AK50" s="64" t="n"/>
      <c r="AL50" s="64" t="n"/>
      <c r="AM50" s="64" t="n"/>
      <c r="AN50" s="64" t="n"/>
      <c r="AO50" s="24" t="n"/>
    </row>
    <row r="51" ht="15" customHeight="1">
      <c r="A51" s="63">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inlineStr">
        <is>
          <t>9100</t>
        </is>
      </c>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7">
        <f>IF(C51="","",SUMIFS(tbl_Finance[Inc GST],tbl_Finance[Job Number],C51&amp;""))</f>
        <v/>
      </c>
      <c r="M51" s="24" t="n"/>
      <c r="N51" s="25">
        <f>IF(C51="","",IFERROR(INDEX(tbl_Finance[Description],MATCH(C51&amp;"",tbl_Finance[Job Number],0)),""))</f>
        <v/>
      </c>
      <c r="O51" s="24" t="inlineStr">
        <is>
          <t>jaaz.salanoa@ctsav.com.au</t>
        </is>
      </c>
      <c r="P51" s="24" t="n"/>
      <c r="Q51" s="22" t="inlineStr">
        <is>
          <t>N/A</t>
        </is>
      </c>
      <c r="R51" s="24" t="n"/>
      <c r="S51" s="25">
        <f>IF(R51="","",IF(AND(LEFT(R51,4)&lt;&gt;"http",set_RMSBase=""),"",HYPERLINK(IF(LEFT(R51,4)="http",R51,set_RMSBase&amp;R51),"Open opportunity")))</f>
        <v/>
      </c>
      <c r="T51" s="24" t="n"/>
      <c r="U51" s="25">
        <f>IF(T51="","",HYPERLINK(IF(LEFT(T51,4)="http",T51,set_QwilrBase&amp;T51),"Open quote"))</f>
        <v/>
      </c>
      <c r="V51" s="25">
        <f>IF(C51="","",C51)</f>
        <v/>
      </c>
      <c r="W51" s="24" t="inlineStr">
        <is>
          <t>Y</t>
        </is>
      </c>
      <c r="X51" s="26" t="n"/>
      <c r="Y51" s="27">
        <f>IF(C51="","",H51+N(X51))</f>
        <v/>
      </c>
      <c r="Z51" s="29">
        <f>IFERROR(X51/Y51,"")</f>
        <v/>
      </c>
      <c r="AA51" s="26" t="n"/>
      <c r="AB51" s="26" t="n"/>
      <c r="AC51" s="26" t="n"/>
      <c r="AD51" s="26" t="n"/>
      <c r="AE51" s="27">
        <f>IF(C51="","",SUMIFS(tbl_Finance[Ex GST],tbl_Finance[Job Number],C51&amp;"",tbl_Finance[Cost Centre],"VIDEO"))</f>
        <v/>
      </c>
      <c r="AF51" s="29">
        <f>IFERROR(AE51/H51,"")</f>
        <v/>
      </c>
      <c r="AG51" s="27">
        <f>IF(C51="","",N(AA51)+N(AB51)+N(AC51)+N(AD51))</f>
        <v/>
      </c>
      <c r="AH51" s="27">
        <f>IF(C51="","",H51-AG51)</f>
        <v/>
      </c>
      <c r="AI51" s="29">
        <f>IFERROR(AH51/H51,"")</f>
        <v/>
      </c>
      <c r="AJ51" s="64" t="n"/>
      <c r="AK51" s="64" t="n"/>
      <c r="AL51" s="64" t="n"/>
      <c r="AM51" s="64" t="n"/>
      <c r="AN51" s="64" t="n"/>
      <c r="AO51" s="24" t="n"/>
    </row>
    <row r="52" ht="15" customHeight="1">
      <c r="A52" s="63">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inlineStr">
        <is>
          <t>26061602</t>
        </is>
      </c>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7">
        <f>IF(C52="","",SUMIFS(tbl_Finance[Inc GST],tbl_Finance[Job Number],C52&amp;""))</f>
        <v/>
      </c>
      <c r="M52" s="24" t="n"/>
      <c r="N52" s="25">
        <f>IF(C52="","",IFERROR(INDEX(tbl_Finance[Description],MATCH(C52&amp;"",tbl_Finance[Job Number],0)),""))</f>
        <v/>
      </c>
      <c r="O52" s="24" t="inlineStr">
        <is>
          <t>oliver.mariano@asx.com.au</t>
        </is>
      </c>
      <c r="P52" s="24" t="n"/>
      <c r="Q52" s="22" t="n">
        <v>46266</v>
      </c>
      <c r="R52" s="24" t="inlineStr">
        <is>
          <t>5849</t>
        </is>
      </c>
      <c r="S52" s="25">
        <f>IF(R52="","",IF(AND(LEFT(R52,4)&lt;&gt;"http",set_RMSBase=""),"",HYPERLINK(IF(LEFT(R52,4)="http",R52,set_RMSBase&amp;R52),"Open opportunity")))</f>
        <v/>
      </c>
      <c r="T52" s="24" t="n"/>
      <c r="U52" s="25">
        <f>IF(T52="","",HYPERLINK(IF(LEFT(T52,4)="http",T52,set_QwilrBase&amp;T52),"Open quote"))</f>
        <v/>
      </c>
      <c r="V52" s="25">
        <f>IF(C52="","",C52)</f>
        <v/>
      </c>
      <c r="W52" s="24" t="inlineStr">
        <is>
          <t>Y</t>
        </is>
      </c>
      <c r="X52" s="26" t="n">
        <v>261</v>
      </c>
      <c r="Y52" s="27">
        <f>IF(C52="","",H52+N(X52))</f>
        <v/>
      </c>
      <c r="Z52" s="29">
        <f>IFERROR(X52/Y52,"")</f>
        <v/>
      </c>
      <c r="AA52" s="26" t="n"/>
      <c r="AB52" s="26" t="n"/>
      <c r="AC52" s="26" t="n"/>
      <c r="AD52" s="26" t="n"/>
      <c r="AE52" s="27">
        <f>IF(C52="","",SUMIFS(tbl_Finance[Ex GST],tbl_Finance[Job Number],C52&amp;"",tbl_Finance[Cost Centre],"VIDEO"))</f>
        <v/>
      </c>
      <c r="AF52" s="29">
        <f>IFERROR(AE52/H52,"")</f>
        <v/>
      </c>
      <c r="AG52" s="27">
        <f>IF(C52="","",N(AA52)+N(AB52)+N(AC52)+N(AD52))</f>
        <v/>
      </c>
      <c r="AH52" s="27">
        <f>IF(C52="","",H52-AG52)</f>
        <v/>
      </c>
      <c r="AI52" s="29">
        <f>IFERROR(AH52/H52,"")</f>
        <v/>
      </c>
      <c r="AJ52" s="64" t="n"/>
      <c r="AK52" s="64" t="n">
        <v>9</v>
      </c>
      <c r="AL52" s="64" t="n"/>
      <c r="AM52" s="64" t="n"/>
      <c r="AN52" s="64" t="n">
        <v>16</v>
      </c>
      <c r="AO52" s="24" t="n"/>
    </row>
    <row r="53" ht="15" customHeight="1">
      <c r="A53" s="63">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inlineStr">
        <is>
          <t>26071701</t>
        </is>
      </c>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7">
        <f>IF(C53="","",SUMIFS(tbl_Finance[Inc GST],tbl_Finance[Job Number],C53&amp;""))</f>
        <v/>
      </c>
      <c r="M53" s="24" t="n"/>
      <c r="N53" s="25">
        <f>IF(C53="","",IFERROR(INDEX(tbl_Finance[Description],MATCH(C53&amp;"",tbl_Finance[Job Number],0)),""))</f>
        <v/>
      </c>
      <c r="O53" s="24" t="inlineStr">
        <is>
          <t>Aimee.Kuipers@asx.com.au</t>
        </is>
      </c>
      <c r="P53" s="24" t="n"/>
      <c r="Q53" s="22" t="n">
        <v>46266</v>
      </c>
      <c r="R53" s="24" t="inlineStr">
        <is>
          <t>6143</t>
        </is>
      </c>
      <c r="S53" s="25">
        <f>IF(R53="","",IF(AND(LEFT(R53,4)&lt;&gt;"http",set_RMSBase=""),"",HYPERLINK(IF(LEFT(R53,4)="http",R53,set_RMSBase&amp;R53),"Open opportunity")))</f>
        <v/>
      </c>
      <c r="T53" s="24" t="n"/>
      <c r="U53" s="25">
        <f>IF(T53="","",HYPERLINK(IF(LEFT(T53,4)="http",T53,set_QwilrBase&amp;T53),"Open quote"))</f>
        <v/>
      </c>
      <c r="V53" s="25">
        <f>IF(C53="","",C53)</f>
        <v/>
      </c>
      <c r="W53" s="24" t="inlineStr">
        <is>
          <t>Y</t>
        </is>
      </c>
      <c r="X53" s="26" t="n">
        <v>180</v>
      </c>
      <c r="Y53" s="27">
        <f>IF(C53="","",H53+N(X53))</f>
        <v/>
      </c>
      <c r="Z53" s="29">
        <f>IFERROR(X53/Y53,"")</f>
        <v/>
      </c>
      <c r="AA53" s="26" t="n"/>
      <c r="AB53" s="26" t="n"/>
      <c r="AC53" s="26" t="n"/>
      <c r="AD53" s="26" t="n"/>
      <c r="AE53" s="27">
        <f>IF(C53="","",SUMIFS(tbl_Finance[Ex GST],tbl_Finance[Job Number],C53&amp;"",tbl_Finance[Cost Centre],"VIDEO"))</f>
        <v/>
      </c>
      <c r="AF53" s="29">
        <f>IFERROR(AE53/H53,"")</f>
        <v/>
      </c>
      <c r="AG53" s="27">
        <f>IF(C53="","",N(AA53)+N(AB53)+N(AC53)+N(AD53))</f>
        <v/>
      </c>
      <c r="AH53" s="27">
        <f>IF(C53="","",H53-AG53)</f>
        <v/>
      </c>
      <c r="AI53" s="29">
        <f>IFERROR(AH53/H53,"")</f>
        <v/>
      </c>
      <c r="AJ53" s="64" t="n">
        <v>4</v>
      </c>
      <c r="AK53" s="64" t="n"/>
      <c r="AL53" s="64" t="n"/>
      <c r="AM53" s="64" t="n"/>
      <c r="AN53" s="64" t="n">
        <v>31</v>
      </c>
      <c r="AO53" s="24" t="n"/>
    </row>
    <row r="54" ht="15" customHeight="1">
      <c r="A54" s="63">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inlineStr">
        <is>
          <t>2608404</t>
        </is>
      </c>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7">
        <f>IF(C54="","",SUMIFS(tbl_Finance[Inc GST],tbl_Finance[Job Number],C54&amp;""))</f>
        <v/>
      </c>
      <c r="M54" s="24" t="n"/>
      <c r="N54" s="25">
        <f>IF(C54="","",IFERROR(INDEX(tbl_Finance[Description],MATCH(C54&amp;"",tbl_Finance[Job Number],0)),""))</f>
        <v/>
      </c>
      <c r="O54" s="24" t="inlineStr">
        <is>
          <t>juan.velozo@svha.org.au</t>
        </is>
      </c>
      <c r="P54" s="24" t="n"/>
      <c r="Q54" s="22" t="n">
        <v>46267</v>
      </c>
      <c r="R54" s="24" t="inlineStr">
        <is>
          <t>6115</t>
        </is>
      </c>
      <c r="S54" s="25">
        <f>IF(R54="","",IF(AND(LEFT(R54,4)&lt;&gt;"http",set_RMSBase=""),"",HYPERLINK(IF(LEFT(R54,4)="http",R54,set_RMSBase&amp;R54),"Open opportunity")))</f>
        <v/>
      </c>
      <c r="T54" s="24" t="n"/>
      <c r="U54" s="25">
        <f>IF(T54="","",HYPERLINK(IF(LEFT(T54,4)="http",T54,set_QwilrBase&amp;T54),"Open quote"))</f>
        <v/>
      </c>
      <c r="V54" s="25">
        <f>IF(C54="","",C54)</f>
        <v/>
      </c>
      <c r="W54" s="24" t="inlineStr">
        <is>
          <t>Y</t>
        </is>
      </c>
      <c r="X54" s="26" t="n"/>
      <c r="Y54" s="27">
        <f>IF(C54="","",H54+N(X54))</f>
        <v/>
      </c>
      <c r="Z54" s="29">
        <f>IFERROR(X54/Y54,"")</f>
        <v/>
      </c>
      <c r="AA54" s="26" t="n"/>
      <c r="AB54" s="26" t="n"/>
      <c r="AC54" s="26" t="n"/>
      <c r="AD54" s="26" t="n"/>
      <c r="AE54" s="27">
        <f>IF(C54="","",SUMIFS(tbl_Finance[Ex GST],tbl_Finance[Job Number],C54&amp;"",tbl_Finance[Cost Centre],"VIDEO"))</f>
        <v/>
      </c>
      <c r="AF54" s="29">
        <f>IFERROR(AE54/H54,"")</f>
        <v/>
      </c>
      <c r="AG54" s="27">
        <f>IF(C54="","",N(AA54)+N(AB54)+N(AC54)+N(AD54))</f>
        <v/>
      </c>
      <c r="AH54" s="27">
        <f>IF(C54="","",H54-AG54)</f>
        <v/>
      </c>
      <c r="AI54" s="29">
        <f>IFERROR(AH54/H54,"")</f>
        <v/>
      </c>
      <c r="AJ54" s="64" t="n"/>
      <c r="AK54" s="64" t="n">
        <v>1</v>
      </c>
      <c r="AL54" s="64" t="n">
        <v>1</v>
      </c>
      <c r="AM54" s="64" t="n"/>
      <c r="AN54" s="64" t="n">
        <v>4</v>
      </c>
      <c r="AO54" s="24" t="n"/>
    </row>
    <row r="55" ht="15" customHeight="1">
      <c r="A55" s="63">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inlineStr">
        <is>
          <t>26081904</t>
        </is>
      </c>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7">
        <f>IF(C55="","",SUMIFS(tbl_Finance[Inc GST],tbl_Finance[Job Number],C55&amp;""))</f>
        <v/>
      </c>
      <c r="M55" s="24" t="n"/>
      <c r="N55" s="25">
        <f>IF(C55="","",IFERROR(INDEX(tbl_Finance[Description],MATCH(C55&amp;"",tbl_Finance[Job Number],0)),""))</f>
        <v/>
      </c>
      <c r="O55" s="24" t="inlineStr">
        <is>
          <t>r.vieyra@garvan.org.au</t>
        </is>
      </c>
      <c r="P55" s="24" t="n"/>
      <c r="Q55" s="22" t="n">
        <v>46267</v>
      </c>
      <c r="R55" s="24" t="inlineStr">
        <is>
          <t>6160</t>
        </is>
      </c>
      <c r="S55" s="25">
        <f>IF(R55="","",IF(AND(LEFT(R55,4)&lt;&gt;"http",set_RMSBase=""),"",HYPERLINK(IF(LEFT(R55,4)="http",R55,set_RMSBase&amp;R55),"Open opportunity")))</f>
        <v/>
      </c>
      <c r="T55" s="24" t="n"/>
      <c r="U55" s="25">
        <f>IF(T55="","",HYPERLINK(IF(LEFT(T55,4)="http",T55,set_QwilrBase&amp;T55),"Open quote"))</f>
        <v/>
      </c>
      <c r="V55" s="25">
        <f>IF(C55="","",C55)</f>
        <v/>
      </c>
      <c r="W55" s="24" t="inlineStr">
        <is>
          <t>Y</t>
        </is>
      </c>
      <c r="X55" s="26" t="n">
        <v>90</v>
      </c>
      <c r="Y55" s="27">
        <f>IF(C55="","",H55+N(X55))</f>
        <v/>
      </c>
      <c r="Z55" s="29">
        <f>IFERROR(X55/Y55,"")</f>
        <v/>
      </c>
      <c r="AA55" s="26" t="n"/>
      <c r="AB55" s="26" t="n"/>
      <c r="AC55" s="26" t="n"/>
      <c r="AD55" s="26" t="n"/>
      <c r="AE55" s="27">
        <f>IF(C55="","",SUMIFS(tbl_Finance[Ex GST],tbl_Finance[Job Number],C55&amp;"",tbl_Finance[Cost Centre],"VIDEO"))</f>
        <v/>
      </c>
      <c r="AF55" s="29">
        <f>IFERROR(AE55/H55,"")</f>
        <v/>
      </c>
      <c r="AG55" s="27">
        <f>IF(C55="","",N(AA55)+N(AB55)+N(AC55)+N(AD55))</f>
        <v/>
      </c>
      <c r="AH55" s="27">
        <f>IF(C55="","",H55-AG55)</f>
        <v/>
      </c>
      <c r="AI55" s="29">
        <f>IFERROR(AH55/H55,"")</f>
        <v/>
      </c>
      <c r="AJ55" s="64" t="n"/>
      <c r="AK55" s="64" t="n">
        <v>1</v>
      </c>
      <c r="AL55" s="64" t="n">
        <v>1</v>
      </c>
      <c r="AM55" s="64" t="n"/>
      <c r="AN55" s="64" t="n">
        <v>5</v>
      </c>
      <c r="AO55" s="24" t="n"/>
    </row>
    <row r="56" ht="15" customHeight="1">
      <c r="A56" s="63">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inlineStr">
        <is>
          <t>26032302</t>
        </is>
      </c>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7">
        <f>IF(C56="","",SUMIFS(tbl_Finance[Inc GST],tbl_Finance[Job Number],C56&amp;""))</f>
        <v/>
      </c>
      <c r="M56" s="24" t="n"/>
      <c r="N56" s="25">
        <f>IF(C56="","",IFERROR(INDEX(tbl_Finance[Description],MATCH(C56&amp;"",tbl_Finance[Job Number],0)),""))</f>
        <v/>
      </c>
      <c r="O56" s="24" t="inlineStr">
        <is>
          <t>lindsay.botten@outlook.com</t>
        </is>
      </c>
      <c r="P56" s="24" t="n"/>
      <c r="Q56" s="22" t="n">
        <v>46267</v>
      </c>
      <c r="R56" s="24" t="inlineStr">
        <is>
          <t>5925</t>
        </is>
      </c>
      <c r="S56" s="25">
        <f>IF(R56="","",IF(AND(LEFT(R56,4)&lt;&gt;"http",set_RMSBase=""),"",HYPERLINK(IF(LEFT(R56,4)="http",R56,set_RMSBase&amp;R56),"Open opportunity")))</f>
        <v/>
      </c>
      <c r="T56" s="24" t="n"/>
      <c r="U56" s="25">
        <f>IF(T56="","",HYPERLINK(IF(LEFT(T56,4)="http",T56,set_QwilrBase&amp;T56),"Open quote"))</f>
        <v/>
      </c>
      <c r="V56" s="25">
        <f>IF(C56="","",C56)</f>
        <v/>
      </c>
      <c r="W56" s="24" t="inlineStr">
        <is>
          <t>Y</t>
        </is>
      </c>
      <c r="X56" s="26" t="n">
        <v>334</v>
      </c>
      <c r="Y56" s="27">
        <f>IF(C56="","",H56+N(X56))</f>
        <v/>
      </c>
      <c r="Z56" s="29">
        <f>IFERROR(X56/Y56,"")</f>
        <v/>
      </c>
      <c r="AA56" s="26" t="n"/>
      <c r="AB56" s="26" t="n"/>
      <c r="AC56" s="26" t="n"/>
      <c r="AD56" s="26" t="n"/>
      <c r="AE56" s="27">
        <f>IF(C56="","",SUMIFS(tbl_Finance[Ex GST],tbl_Finance[Job Number],C56&amp;"",tbl_Finance[Cost Centre],"VIDEO"))</f>
        <v/>
      </c>
      <c r="AF56" s="29">
        <f>IFERROR(AE56/H56,"")</f>
        <v/>
      </c>
      <c r="AG56" s="27">
        <f>IF(C56="","",N(AA56)+N(AB56)+N(AC56)+N(AD56))</f>
        <v/>
      </c>
      <c r="AH56" s="27">
        <f>IF(C56="","",H56-AG56)</f>
        <v/>
      </c>
      <c r="AI56" s="29">
        <f>IFERROR(AH56/H56,"")</f>
        <v/>
      </c>
      <c r="AJ56" s="64" t="n">
        <v>4</v>
      </c>
      <c r="AK56" s="64" t="n"/>
      <c r="AL56" s="64" t="n"/>
      <c r="AM56" s="64" t="n"/>
      <c r="AN56" s="64" t="n">
        <v>12</v>
      </c>
      <c r="AO56" s="24" t="n"/>
    </row>
    <row r="57" ht="15" customHeight="1">
      <c r="A57" s="63">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inlineStr">
        <is>
          <t>26072102</t>
        </is>
      </c>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7">
        <f>IF(C57="","",SUMIFS(tbl_Finance[Inc GST],tbl_Finance[Job Number],C57&amp;""))</f>
        <v/>
      </c>
      <c r="M57" s="24" t="n"/>
      <c r="N57" s="25">
        <f>IF(C57="","",IFERROR(INDEX(tbl_Finance[Description],MATCH(C57&amp;"",tbl_Finance[Job Number],0)),""))</f>
        <v/>
      </c>
      <c r="O57" s="24" t="inlineStr">
        <is>
          <t>amy.johnson@ventia.com</t>
        </is>
      </c>
      <c r="P57" s="24" t="n"/>
      <c r="Q57" s="22" t="n">
        <v>46275</v>
      </c>
      <c r="R57" s="24" t="inlineStr">
        <is>
          <t>6122</t>
        </is>
      </c>
      <c r="S57" s="25">
        <f>IF(R57="","",IF(AND(LEFT(R57,4)&lt;&gt;"http",set_RMSBase=""),"",HYPERLINK(IF(LEFT(R57,4)="http",R57,set_RMSBase&amp;R57),"Open opportunity")))</f>
        <v/>
      </c>
      <c r="T57" s="24" t="n"/>
      <c r="U57" s="25">
        <f>IF(T57="","",HYPERLINK(IF(LEFT(T57,4)="http",T57,set_QwilrBase&amp;T57),"Open quote"))</f>
        <v/>
      </c>
      <c r="V57" s="25">
        <f>IF(C57="","",C57)</f>
        <v/>
      </c>
      <c r="W57" s="24" t="inlineStr">
        <is>
          <t>Y</t>
        </is>
      </c>
      <c r="X57" s="26" t="n">
        <v>2005.65</v>
      </c>
      <c r="Y57" s="27">
        <f>IF(C57="","",H57+N(X57))</f>
        <v/>
      </c>
      <c r="Z57" s="29">
        <f>IFERROR(X57/Y57,"")</f>
        <v/>
      </c>
      <c r="AA57" s="26" t="n"/>
      <c r="AB57" s="26" t="n"/>
      <c r="AC57" s="26" t="n"/>
      <c r="AD57" s="26" t="n"/>
      <c r="AE57" s="27">
        <f>IF(C57="","",SUMIFS(tbl_Finance[Ex GST],tbl_Finance[Job Number],C57&amp;"",tbl_Finance[Cost Centre],"VIDEO"))</f>
        <v/>
      </c>
      <c r="AF57" s="29">
        <f>IFERROR(AE57/H57,"")</f>
        <v/>
      </c>
      <c r="AG57" s="27">
        <f>IF(C57="","",N(AA57)+N(AB57)+N(AC57)+N(AD57))</f>
        <v/>
      </c>
      <c r="AH57" s="27">
        <f>IF(C57="","",H57-AG57)</f>
        <v/>
      </c>
      <c r="AI57" s="29">
        <f>IFERROR(AH57/H57,"")</f>
        <v/>
      </c>
      <c r="AJ57" s="64" t="n">
        <v>4</v>
      </c>
      <c r="AK57" s="64" t="n"/>
      <c r="AL57" s="64" t="n"/>
      <c r="AM57" s="64" t="n"/>
      <c r="AN57" s="64" t="n">
        <v>28</v>
      </c>
      <c r="AO57" s="24" t="n"/>
    </row>
    <row r="58" ht="15" customHeight="1">
      <c r="A58" s="63">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inlineStr">
        <is>
          <t>26082703</t>
        </is>
      </c>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7">
        <f>IF(C58="","",SUMIFS(tbl_Finance[Inc GST],tbl_Finance[Job Number],C58&amp;""))</f>
        <v/>
      </c>
      <c r="M58" s="24" t="n"/>
      <c r="N58" s="25">
        <f>IF(C58="","",IFERROR(INDEX(tbl_Finance[Description],MATCH(C58&amp;"",tbl_Finance[Job Number],0)),""))</f>
        <v/>
      </c>
      <c r="O58" s="24" t="inlineStr">
        <is>
          <t>candice.gaillard@apa.com.au</t>
        </is>
      </c>
      <c r="P58" s="24" t="n"/>
      <c r="Q58" s="22" t="n">
        <v>46275</v>
      </c>
      <c r="R58" s="24" t="inlineStr">
        <is>
          <t>6168</t>
        </is>
      </c>
      <c r="S58" s="25">
        <f>IF(R58="","",IF(AND(LEFT(R58,4)&lt;&gt;"http",set_RMSBase=""),"",HYPERLINK(IF(LEFT(R58,4)="http",R58,set_RMSBase&amp;R58),"Open opportunity")))</f>
        <v/>
      </c>
      <c r="T58" s="24" t="n"/>
      <c r="U58" s="25">
        <f>IF(T58="","",HYPERLINK(IF(LEFT(T58,4)="http",T58,set_QwilrBase&amp;T58),"Open quote"))</f>
        <v/>
      </c>
      <c r="V58" s="25">
        <f>IF(C58="","",C58)</f>
        <v/>
      </c>
      <c r="W58" s="24" t="inlineStr">
        <is>
          <t>Y</t>
        </is>
      </c>
      <c r="X58" s="26" t="n"/>
      <c r="Y58" s="27">
        <f>IF(C58="","",H58+N(X58))</f>
        <v/>
      </c>
      <c r="Z58" s="29">
        <f>IFERROR(X58/Y58,"")</f>
        <v/>
      </c>
      <c r="AA58" s="26" t="n"/>
      <c r="AB58" s="26" t="n"/>
      <c r="AC58" s="26" t="n"/>
      <c r="AD58" s="26" t="n"/>
      <c r="AE58" s="27">
        <f>IF(C58="","",SUMIFS(tbl_Finance[Ex GST],tbl_Finance[Job Number],C58&amp;"",tbl_Finance[Cost Centre],"VIDEO"))</f>
        <v/>
      </c>
      <c r="AF58" s="29">
        <f>IFERROR(AE58/H58,"")</f>
        <v/>
      </c>
      <c r="AG58" s="27">
        <f>IF(C58="","",N(AA58)+N(AB58)+N(AC58)+N(AD58))</f>
        <v/>
      </c>
      <c r="AH58" s="27">
        <f>IF(C58="","",H58-AG58)</f>
        <v/>
      </c>
      <c r="AI58" s="29">
        <f>IFERROR(AH58/H58,"")</f>
        <v/>
      </c>
      <c r="AJ58" s="64" t="n"/>
      <c r="AK58" s="64" t="n"/>
      <c r="AL58" s="64" t="n"/>
      <c r="AM58" s="64" t="n"/>
      <c r="AN58" s="64" t="n">
        <v>6</v>
      </c>
      <c r="AO58" s="24" t="n"/>
    </row>
    <row r="59" ht="15" customHeight="1">
      <c r="A59" s="63">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inlineStr">
        <is>
          <t>2608701</t>
        </is>
      </c>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7">
        <f>IF(C59="","",SUMIFS(tbl_Finance[Inc GST],tbl_Finance[Job Number],C59&amp;""))</f>
        <v/>
      </c>
      <c r="M59" s="24" t="n"/>
      <c r="N59" s="25">
        <f>IF(C59="","",IFERROR(INDEX(tbl_Finance[Description],MATCH(C59&amp;"",tbl_Finance[Job Number],0)),""))</f>
        <v/>
      </c>
      <c r="O59" s="24" t="inlineStr">
        <is>
          <t>ben.woodlock@elkiem.com</t>
        </is>
      </c>
      <c r="P59" s="24" t="n"/>
      <c r="Q59" s="22" t="n">
        <v>46275</v>
      </c>
      <c r="R59" s="24" t="inlineStr">
        <is>
          <t>6148</t>
        </is>
      </c>
      <c r="S59" s="25">
        <f>IF(R59="","",IF(AND(LEFT(R59,4)&lt;&gt;"http",set_RMSBase=""),"",HYPERLINK(IF(LEFT(R59,4)="http",R59,set_RMSBase&amp;R59),"Open opportunity")))</f>
        <v/>
      </c>
      <c r="T59" s="24" t="n"/>
      <c r="U59" s="25">
        <f>IF(T59="","",HYPERLINK(IF(LEFT(T59,4)="http",T59,set_QwilrBase&amp;T59),"Open quote"))</f>
        <v/>
      </c>
      <c r="V59" s="25">
        <f>IF(C59="","",C59)</f>
        <v/>
      </c>
      <c r="W59" s="24" t="inlineStr">
        <is>
          <t>Y</t>
        </is>
      </c>
      <c r="X59" s="26" t="n"/>
      <c r="Y59" s="27">
        <f>IF(C59="","",H59+N(X59))</f>
        <v/>
      </c>
      <c r="Z59" s="29">
        <f>IFERROR(X59/Y59,"")</f>
        <v/>
      </c>
      <c r="AA59" s="26" t="n"/>
      <c r="AB59" s="26" t="n"/>
      <c r="AC59" s="26" t="n"/>
      <c r="AD59" s="26" t="n"/>
      <c r="AE59" s="27">
        <f>IF(C59="","",SUMIFS(tbl_Finance[Ex GST],tbl_Finance[Job Number],C59&amp;"",tbl_Finance[Cost Centre],"VIDEO"))</f>
        <v/>
      </c>
      <c r="AF59" s="29">
        <f>IFERROR(AE59/H59,"")</f>
        <v/>
      </c>
      <c r="AG59" s="27">
        <f>IF(C59="","",N(AA59)+N(AB59)+N(AC59)+N(AD59))</f>
        <v/>
      </c>
      <c r="AH59" s="27">
        <f>IF(C59="","",H59-AG59)</f>
        <v/>
      </c>
      <c r="AI59" s="29">
        <f>IFERROR(AH59/H59,"")</f>
        <v/>
      </c>
      <c r="AJ59" s="64" t="n"/>
      <c r="AK59" s="64" t="n"/>
      <c r="AL59" s="64" t="n"/>
      <c r="AM59" s="64" t="n"/>
      <c r="AN59" s="64" t="n">
        <v>4</v>
      </c>
      <c r="AO59" s="24" t="n"/>
    </row>
    <row r="60" ht="15" customHeight="1">
      <c r="A60" s="63">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inlineStr">
        <is>
          <t>2609801</t>
        </is>
      </c>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7">
        <f>IF(C60="","",SUMIFS(tbl_Finance[Inc GST],tbl_Finance[Job Number],C60&amp;""))</f>
        <v/>
      </c>
      <c r="M60" s="24" t="n"/>
      <c r="N60" s="25">
        <f>IF(C60="","",IFERROR(INDEX(tbl_Finance[Description],MATCH(C60&amp;"",tbl_Finance[Job Number],0)),""))</f>
        <v/>
      </c>
      <c r="O60" s="24" t="inlineStr">
        <is>
          <t>ben.woodlock@elkiem.com</t>
        </is>
      </c>
      <c r="P60" s="24" t="n"/>
      <c r="Q60" s="22" t="n">
        <v>46281</v>
      </c>
      <c r="R60" s="24" t="inlineStr">
        <is>
          <t>6175</t>
        </is>
      </c>
      <c r="S60" s="25">
        <f>IF(R60="","",IF(AND(LEFT(R60,4)&lt;&gt;"http",set_RMSBase=""),"",HYPERLINK(IF(LEFT(R60,4)="http",R60,set_RMSBase&amp;R60),"Open opportunity")))</f>
        <v/>
      </c>
      <c r="T60" s="24" t="n"/>
      <c r="U60" s="25">
        <f>IF(T60="","",HYPERLINK(IF(LEFT(T60,4)="http",T60,set_QwilrBase&amp;T60),"Open quote"))</f>
        <v/>
      </c>
      <c r="V60" s="25">
        <f>IF(C60="","",C60)</f>
        <v/>
      </c>
      <c r="W60" s="24" t="inlineStr">
        <is>
          <t>Y</t>
        </is>
      </c>
      <c r="X60" s="26" t="n"/>
      <c r="Y60" s="27">
        <f>IF(C60="","",H60+N(X60))</f>
        <v/>
      </c>
      <c r="Z60" s="29">
        <f>IFERROR(X60/Y60,"")</f>
        <v/>
      </c>
      <c r="AA60" s="26" t="n"/>
      <c r="AB60" s="26" t="n"/>
      <c r="AC60" s="26" t="n"/>
      <c r="AD60" s="26" t="n"/>
      <c r="AE60" s="27">
        <f>IF(C60="","",SUMIFS(tbl_Finance[Ex GST],tbl_Finance[Job Number],C60&amp;"",tbl_Finance[Cost Centre],"VIDEO"))</f>
        <v/>
      </c>
      <c r="AF60" s="29">
        <f>IFERROR(AE60/H60,"")</f>
        <v/>
      </c>
      <c r="AG60" s="27">
        <f>IF(C60="","",N(AA60)+N(AB60)+N(AC60)+N(AD60))</f>
        <v/>
      </c>
      <c r="AH60" s="27">
        <f>IF(C60="","",H60-AG60)</f>
        <v/>
      </c>
      <c r="AI60" s="29">
        <f>IFERROR(AH60/H60,"")</f>
        <v/>
      </c>
      <c r="AJ60" s="64" t="n"/>
      <c r="AK60" s="64" t="n"/>
      <c r="AL60" s="64" t="n"/>
      <c r="AM60" s="64" t="n"/>
      <c r="AN60" s="64" t="n">
        <v>4</v>
      </c>
      <c r="AO60" s="24" t="n"/>
    </row>
    <row r="61" ht="15" customHeight="1">
      <c r="A61" s="63">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inlineStr">
        <is>
          <t>26082502</t>
        </is>
      </c>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7">
        <f>IF(C61="","",SUMIFS(tbl_Finance[Inc GST],tbl_Finance[Job Number],C61&amp;""))</f>
        <v/>
      </c>
      <c r="M61" s="24" t="n"/>
      <c r="N61" s="25">
        <f>IF(C61="","",IFERROR(INDEX(tbl_Finance[Description],MATCH(C61&amp;"",tbl_Finance[Job Number],0)),""))</f>
        <v/>
      </c>
      <c r="O61" s="24" t="inlineStr">
        <is>
          <t>jbell@iccsydney.com</t>
        </is>
      </c>
      <c r="P61" s="24" t="n"/>
      <c r="Q61" s="22" t="n">
        <v>46271</v>
      </c>
      <c r="R61" s="24" t="inlineStr">
        <is>
          <t>6186</t>
        </is>
      </c>
      <c r="S61" s="25">
        <f>IF(R61="","",IF(AND(LEFT(R61,4)&lt;&gt;"http",set_RMSBase=""),"",HYPERLINK(IF(LEFT(R61,4)="http",R61,set_RMSBase&amp;R61),"Open opportunity")))</f>
        <v/>
      </c>
      <c r="T61" s="24" t="n"/>
      <c r="U61" s="25">
        <f>IF(T61="","",HYPERLINK(IF(LEFT(T61,4)="http",T61,set_QwilrBase&amp;T61),"Open quote"))</f>
        <v/>
      </c>
      <c r="V61" s="25">
        <f>IF(C61="","",C61)</f>
        <v/>
      </c>
      <c r="W61" s="24" t="inlineStr">
        <is>
          <t>Y</t>
        </is>
      </c>
      <c r="X61" s="26" t="n"/>
      <c r="Y61" s="27">
        <f>IF(C61="","",H61+N(X61))</f>
        <v/>
      </c>
      <c r="Z61" s="29">
        <f>IFERROR(X61/Y61,"")</f>
        <v/>
      </c>
      <c r="AA61" s="26" t="n"/>
      <c r="AB61" s="26" t="n"/>
      <c r="AC61" s="26" t="n"/>
      <c r="AD61" s="26" t="n"/>
      <c r="AE61" s="27">
        <f>IF(C61="","",SUMIFS(tbl_Finance[Ex GST],tbl_Finance[Job Number],C61&amp;"",tbl_Finance[Cost Centre],"VIDEO"))</f>
        <v/>
      </c>
      <c r="AF61" s="29">
        <f>IFERROR(AE61/H61,"")</f>
        <v/>
      </c>
      <c r="AG61" s="27">
        <f>IF(C61="","",N(AA61)+N(AB61)+N(AC61)+N(AD61))</f>
        <v/>
      </c>
      <c r="AH61" s="27">
        <f>IF(C61="","",H61-AG61)</f>
        <v/>
      </c>
      <c r="AI61" s="29">
        <f>IFERROR(AH61/H61,"")</f>
        <v/>
      </c>
      <c r="AJ61" s="64" t="n"/>
      <c r="AK61" s="64" t="n"/>
      <c r="AL61" s="64" t="n"/>
      <c r="AM61" s="64" t="n"/>
      <c r="AN61" s="64" t="n">
        <v>55</v>
      </c>
      <c r="AO61" s="24" t="n"/>
    </row>
    <row r="62" ht="15" customHeight="1">
      <c r="A62" s="63">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inlineStr">
        <is>
          <t>26082503</t>
        </is>
      </c>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7">
        <f>IF(C62="","",SUMIFS(tbl_Finance[Inc GST],tbl_Finance[Job Number],C62&amp;""))</f>
        <v/>
      </c>
      <c r="M62" s="24" t="n"/>
      <c r="N62" s="25">
        <f>IF(C62="","",IFERROR(INDEX(tbl_Finance[Description],MATCH(C62&amp;"",tbl_Finance[Job Number],0)),""))</f>
        <v/>
      </c>
      <c r="O62" s="24" t="inlineStr">
        <is>
          <t>jbell@iccsydney.com</t>
        </is>
      </c>
      <c r="P62" s="24" t="n"/>
      <c r="Q62" s="22" t="n">
        <v>46279</v>
      </c>
      <c r="R62" s="24" t="inlineStr">
        <is>
          <t>6187</t>
        </is>
      </c>
      <c r="S62" s="25">
        <f>IF(R62="","",IF(AND(LEFT(R62,4)&lt;&gt;"http",set_RMSBase=""),"",HYPERLINK(IF(LEFT(R62,4)="http",R62,set_RMSBase&amp;R62),"Open opportunity")))</f>
        <v/>
      </c>
      <c r="T62" s="24" t="n"/>
      <c r="U62" s="25">
        <f>IF(T62="","",HYPERLINK(IF(LEFT(T62,4)="http",T62,set_QwilrBase&amp;T62),"Open quote"))</f>
        <v/>
      </c>
      <c r="V62" s="25">
        <f>IF(C62="","",C62)</f>
        <v/>
      </c>
      <c r="W62" s="24" t="inlineStr">
        <is>
          <t>Y</t>
        </is>
      </c>
      <c r="X62" s="26" t="n"/>
      <c r="Y62" s="27">
        <f>IF(C62="","",H62+N(X62))</f>
        <v/>
      </c>
      <c r="Z62" s="29">
        <f>IFERROR(X62/Y62,"")</f>
        <v/>
      </c>
      <c r="AA62" s="26" t="n"/>
      <c r="AB62" s="26" t="n"/>
      <c r="AC62" s="26" t="n"/>
      <c r="AD62" s="26" t="n"/>
      <c r="AE62" s="27">
        <f>IF(C62="","",SUMIFS(tbl_Finance[Ex GST],tbl_Finance[Job Number],C62&amp;"",tbl_Finance[Cost Centre],"VIDEO"))</f>
        <v/>
      </c>
      <c r="AF62" s="29">
        <f>IFERROR(AE62/H62,"")</f>
        <v/>
      </c>
      <c r="AG62" s="27">
        <f>IF(C62="","",N(AA62)+N(AB62)+N(AC62)+N(AD62))</f>
        <v/>
      </c>
      <c r="AH62" s="27">
        <f>IF(C62="","",H62-AG62)</f>
        <v/>
      </c>
      <c r="AI62" s="29">
        <f>IFERROR(AH62/H62,"")</f>
        <v/>
      </c>
      <c r="AJ62" s="64" t="n"/>
      <c r="AK62" s="64" t="n"/>
      <c r="AL62" s="64" t="n"/>
      <c r="AM62" s="64" t="n"/>
      <c r="AN62" s="64" t="n">
        <v>10.5</v>
      </c>
      <c r="AO62" s="24" t="n"/>
    </row>
    <row r="63" ht="15" customHeight="1">
      <c r="A63" s="63">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7">
        <f>IF(C63="","",SUMIFS(tbl_Finance[Inc GST],tbl_Finance[Job Number],C63&amp;""))</f>
        <v/>
      </c>
      <c r="M63" s="24" t="n"/>
      <c r="N63" s="25">
        <f>IF(C63="","",IFERROR(INDEX(tbl_Finance[Description],MATCH(C63&amp;"",tbl_Finance[Job Number],0)),""))</f>
        <v/>
      </c>
      <c r="O63" s="24" t="n"/>
      <c r="P63" s="24" t="n"/>
      <c r="Q63" s="22" t="n"/>
      <c r="R63" s="24" t="n"/>
      <c r="S63" s="25">
        <f>IF(R63="","",IF(AND(LEFT(R63,4)&lt;&gt;"http",set_RMSBase=""),"",HYPERLINK(IF(LEFT(R63,4)="http",R63,set_RMSBase&amp;R63),"Open opportunity")))</f>
        <v/>
      </c>
      <c r="T63" s="24" t="n"/>
      <c r="U63" s="25">
        <f>IF(T63="","",HYPERLINK(IF(LEFT(T63,4)="http",T63,set_QwilrBase&amp;T63),"Open quote"))</f>
        <v/>
      </c>
      <c r="V63" s="25">
        <f>IF(C63="","",C63)</f>
        <v/>
      </c>
      <c r="W63" s="24" t="n"/>
      <c r="X63" s="26" t="n"/>
      <c r="Y63" s="27">
        <f>IF(C63="","",H63+N(X63))</f>
        <v/>
      </c>
      <c r="Z63" s="29">
        <f>IFERROR(X63/Y63,"")</f>
        <v/>
      </c>
      <c r="AA63" s="26" t="n"/>
      <c r="AB63" s="26" t="n"/>
      <c r="AC63" s="26" t="n"/>
      <c r="AD63" s="26" t="n"/>
      <c r="AE63" s="27">
        <f>IF(C63="","",SUMIFS(tbl_Finance[Ex GST],tbl_Finance[Job Number],C63&amp;"",tbl_Finance[Cost Centre],"VIDEO"))</f>
        <v/>
      </c>
      <c r="AF63" s="29">
        <f>IFERROR(AE63/H63,"")</f>
        <v/>
      </c>
      <c r="AG63" s="27">
        <f>IF(C63="","",N(AA63)+N(AB63)+N(AC63)+N(AD63))</f>
        <v/>
      </c>
      <c r="AH63" s="27">
        <f>IF(C63="","",H63-AG63)</f>
        <v/>
      </c>
      <c r="AI63" s="29">
        <f>IFERROR(AH63/H63,"")</f>
        <v/>
      </c>
      <c r="AJ63" s="64" t="n"/>
      <c r="AK63" s="64" t="n"/>
      <c r="AL63" s="64" t="n"/>
      <c r="AM63" s="64" t="n"/>
      <c r="AN63" s="64" t="n"/>
      <c r="AO63" s="24" t="n"/>
    </row>
    <row r="64" ht="15" customHeight="1">
      <c r="A64" s="63">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7">
        <f>IF(C64="","",SUMIFS(tbl_Finance[Inc GST],tbl_Finance[Job Number],C64&amp;""))</f>
        <v/>
      </c>
      <c r="M64" s="24" t="n"/>
      <c r="N64" s="25">
        <f>IF(C64="","",IFERROR(INDEX(tbl_Finance[Description],MATCH(C64&amp;"",tbl_Finance[Job Number],0)),""))</f>
        <v/>
      </c>
      <c r="O64" s="24" t="n"/>
      <c r="P64" s="24" t="n"/>
      <c r="Q64" s="22" t="n"/>
      <c r="R64" s="24" t="n"/>
      <c r="S64" s="25">
        <f>IF(R64="","",IF(AND(LEFT(R64,4)&lt;&gt;"http",set_RMSBase=""),"",HYPERLINK(IF(LEFT(R64,4)="http",R64,set_RMSBase&amp;R64),"Open opportunity")))</f>
        <v/>
      </c>
      <c r="T64" s="24" t="n"/>
      <c r="U64" s="25">
        <f>IF(T64="","",HYPERLINK(IF(LEFT(T64,4)="http",T64,set_QwilrBase&amp;T64),"Open quote"))</f>
        <v/>
      </c>
      <c r="V64" s="25">
        <f>IF(C64="","",C64)</f>
        <v/>
      </c>
      <c r="W64" s="24" t="n"/>
      <c r="X64" s="26" t="n"/>
      <c r="Y64" s="27">
        <f>IF(C64="","",H64+N(X64))</f>
        <v/>
      </c>
      <c r="Z64" s="29">
        <f>IFERROR(X64/Y64,"")</f>
        <v/>
      </c>
      <c r="AA64" s="26" t="n"/>
      <c r="AB64" s="26" t="n"/>
      <c r="AC64" s="26" t="n"/>
      <c r="AD64" s="26" t="n"/>
      <c r="AE64" s="27">
        <f>IF(C64="","",SUMIFS(tbl_Finance[Ex GST],tbl_Finance[Job Number],C64&amp;"",tbl_Finance[Cost Centre],"VIDEO"))</f>
        <v/>
      </c>
      <c r="AF64" s="29">
        <f>IFERROR(AE64/H64,"")</f>
        <v/>
      </c>
      <c r="AG64" s="27">
        <f>IF(C64="","",N(AA64)+N(AB64)+N(AC64)+N(AD64))</f>
        <v/>
      </c>
      <c r="AH64" s="27">
        <f>IF(C64="","",H64-AG64)</f>
        <v/>
      </c>
      <c r="AI64" s="29">
        <f>IFERROR(AH64/H64,"")</f>
        <v/>
      </c>
      <c r="AJ64" s="64" t="n"/>
      <c r="AK64" s="64" t="n"/>
      <c r="AL64" s="64" t="n"/>
      <c r="AM64" s="64" t="n"/>
      <c r="AN64" s="64" t="n"/>
      <c r="AO64" s="24" t="n"/>
    </row>
    <row r="65" ht="15" customHeight="1">
      <c r="A65" s="63">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7">
        <f>IF(C65="","",SUMIFS(tbl_Finance[Inc GST],tbl_Finance[Job Number],C65&amp;""))</f>
        <v/>
      </c>
      <c r="M65" s="24" t="n"/>
      <c r="N65" s="25">
        <f>IF(C65="","",IFERROR(INDEX(tbl_Finance[Description],MATCH(C65&amp;"",tbl_Finance[Job Number],0)),""))</f>
        <v/>
      </c>
      <c r="O65" s="24" t="n"/>
      <c r="P65" s="24" t="n"/>
      <c r="Q65" s="22" t="n"/>
      <c r="R65" s="24" t="n"/>
      <c r="S65" s="25">
        <f>IF(R65="","",IF(AND(LEFT(R65,4)&lt;&gt;"http",set_RMSBase=""),"",HYPERLINK(IF(LEFT(R65,4)="http",R65,set_RMSBase&amp;R65),"Open opportunity")))</f>
        <v/>
      </c>
      <c r="T65" s="24" t="n"/>
      <c r="U65" s="25">
        <f>IF(T65="","",HYPERLINK(IF(LEFT(T65,4)="http",T65,set_QwilrBase&amp;T65),"Open quote"))</f>
        <v/>
      </c>
      <c r="V65" s="25">
        <f>IF(C65="","",C65)</f>
        <v/>
      </c>
      <c r="W65" s="24" t="n"/>
      <c r="X65" s="26" t="n"/>
      <c r="Y65" s="27">
        <f>IF(C65="","",H65+N(X65))</f>
        <v/>
      </c>
      <c r="Z65" s="29">
        <f>IFERROR(X65/Y65,"")</f>
        <v/>
      </c>
      <c r="AA65" s="26" t="n"/>
      <c r="AB65" s="26" t="n"/>
      <c r="AC65" s="26" t="n"/>
      <c r="AD65" s="26" t="n"/>
      <c r="AE65" s="27">
        <f>IF(C65="","",SUMIFS(tbl_Finance[Ex GST],tbl_Finance[Job Number],C65&amp;"",tbl_Finance[Cost Centre],"VIDEO"))</f>
        <v/>
      </c>
      <c r="AF65" s="29">
        <f>IFERROR(AE65/H65,"")</f>
        <v/>
      </c>
      <c r="AG65" s="27">
        <f>IF(C65="","",N(AA65)+N(AB65)+N(AC65)+N(AD65))</f>
        <v/>
      </c>
      <c r="AH65" s="27">
        <f>IF(C65="","",H65-AG65)</f>
        <v/>
      </c>
      <c r="AI65" s="29">
        <f>IFERROR(AH65/H65,"")</f>
        <v/>
      </c>
      <c r="AJ65" s="64" t="n"/>
      <c r="AK65" s="64" t="n"/>
      <c r="AL65" s="64" t="n"/>
      <c r="AM65" s="64" t="n"/>
      <c r="AN65" s="64" t="n"/>
      <c r="AO65" s="24" t="n"/>
    </row>
    <row r="66" ht="15" customHeight="1">
      <c r="A66" s="63">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7">
        <f>IF(C66="","",SUMIFS(tbl_Finance[Inc GST],tbl_Finance[Job Number],C66&amp;""))</f>
        <v/>
      </c>
      <c r="M66" s="24" t="n"/>
      <c r="N66" s="25">
        <f>IF(C66="","",IFERROR(INDEX(tbl_Finance[Description],MATCH(C66&amp;"",tbl_Finance[Job Number],0)),""))</f>
        <v/>
      </c>
      <c r="O66" s="24" t="n"/>
      <c r="P66" s="24" t="n"/>
      <c r="Q66" s="22" t="n"/>
      <c r="R66" s="24" t="n"/>
      <c r="S66" s="25">
        <f>IF(R66="","",IF(AND(LEFT(R66,4)&lt;&gt;"http",set_RMSBase=""),"",HYPERLINK(IF(LEFT(R66,4)="http",R66,set_RMSBase&amp;R66),"Open opportunity")))</f>
        <v/>
      </c>
      <c r="T66" s="24" t="n"/>
      <c r="U66" s="25">
        <f>IF(T66="","",HYPERLINK(IF(LEFT(T66,4)="http",T66,set_QwilrBase&amp;T66),"Open quote"))</f>
        <v/>
      </c>
      <c r="V66" s="25">
        <f>IF(C66="","",C66)</f>
        <v/>
      </c>
      <c r="W66" s="24" t="n"/>
      <c r="X66" s="26" t="n"/>
      <c r="Y66" s="27">
        <f>IF(C66="","",H66+N(X66))</f>
        <v/>
      </c>
      <c r="Z66" s="29">
        <f>IFERROR(X66/Y66,"")</f>
        <v/>
      </c>
      <c r="AA66" s="26" t="n"/>
      <c r="AB66" s="26" t="n"/>
      <c r="AC66" s="26" t="n"/>
      <c r="AD66" s="26" t="n"/>
      <c r="AE66" s="27">
        <f>IF(C66="","",SUMIFS(tbl_Finance[Ex GST],tbl_Finance[Job Number],C66&amp;"",tbl_Finance[Cost Centre],"VIDEO"))</f>
        <v/>
      </c>
      <c r="AF66" s="29">
        <f>IFERROR(AE66/H66,"")</f>
        <v/>
      </c>
      <c r="AG66" s="27">
        <f>IF(C66="","",N(AA66)+N(AB66)+N(AC66)+N(AD66))</f>
        <v/>
      </c>
      <c r="AH66" s="27">
        <f>IF(C66="","",H66-AG66)</f>
        <v/>
      </c>
      <c r="AI66" s="29">
        <f>IFERROR(AH66/H66,"")</f>
        <v/>
      </c>
      <c r="AJ66" s="64" t="n"/>
      <c r="AK66" s="64" t="n"/>
      <c r="AL66" s="64" t="n"/>
      <c r="AM66" s="64" t="n"/>
      <c r="AN66" s="64" t="n"/>
      <c r="AO66" s="24" t="n"/>
    </row>
    <row r="67" ht="15" customHeight="1">
      <c r="A67" s="63">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7">
        <f>IF(C67="","",SUMIFS(tbl_Finance[Inc GST],tbl_Finance[Job Number],C67&amp;""))</f>
        <v/>
      </c>
      <c r="M67" s="24" t="n"/>
      <c r="N67" s="25">
        <f>IF(C67="","",IFERROR(INDEX(tbl_Finance[Description],MATCH(C67&amp;"",tbl_Finance[Job Number],0)),""))</f>
        <v/>
      </c>
      <c r="O67" s="24" t="n"/>
      <c r="P67" s="24" t="n"/>
      <c r="Q67" s="22" t="n"/>
      <c r="R67" s="24" t="n"/>
      <c r="S67" s="25">
        <f>IF(R67="","",IF(AND(LEFT(R67,4)&lt;&gt;"http",set_RMSBase=""),"",HYPERLINK(IF(LEFT(R67,4)="http",R67,set_RMSBase&amp;R67),"Open opportunity")))</f>
        <v/>
      </c>
      <c r="T67" s="24" t="n"/>
      <c r="U67" s="25">
        <f>IF(T67="","",HYPERLINK(IF(LEFT(T67,4)="http",T67,set_QwilrBase&amp;T67),"Open quote"))</f>
        <v/>
      </c>
      <c r="V67" s="25">
        <f>IF(C67="","",C67)</f>
        <v/>
      </c>
      <c r="W67" s="24" t="n"/>
      <c r="X67" s="26" t="n"/>
      <c r="Y67" s="27">
        <f>IF(C67="","",H67+N(X67))</f>
        <v/>
      </c>
      <c r="Z67" s="29">
        <f>IFERROR(X67/Y67,"")</f>
        <v/>
      </c>
      <c r="AA67" s="26" t="n"/>
      <c r="AB67" s="26" t="n"/>
      <c r="AC67" s="26" t="n"/>
      <c r="AD67" s="26" t="n"/>
      <c r="AE67" s="27">
        <f>IF(C67="","",SUMIFS(tbl_Finance[Ex GST],tbl_Finance[Job Number],C67&amp;"",tbl_Finance[Cost Centre],"VIDEO"))</f>
        <v/>
      </c>
      <c r="AF67" s="29">
        <f>IFERROR(AE67/H67,"")</f>
        <v/>
      </c>
      <c r="AG67" s="27">
        <f>IF(C67="","",N(AA67)+N(AB67)+N(AC67)+N(AD67))</f>
        <v/>
      </c>
      <c r="AH67" s="27">
        <f>IF(C67="","",H67-AG67)</f>
        <v/>
      </c>
      <c r="AI67" s="29">
        <f>IFERROR(AH67/H67,"")</f>
        <v/>
      </c>
      <c r="AJ67" s="64" t="n"/>
      <c r="AK67" s="64" t="n"/>
      <c r="AL67" s="64" t="n"/>
      <c r="AM67" s="64" t="n"/>
      <c r="AN67" s="64" t="n"/>
      <c r="AO67" s="24" t="n"/>
    </row>
    <row r="68" ht="15" customHeight="1">
      <c r="A68" s="63">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7">
        <f>IF(C68="","",SUMIFS(tbl_Finance[Inc GST],tbl_Finance[Job Number],C68&amp;""))</f>
        <v/>
      </c>
      <c r="M68" s="24" t="n"/>
      <c r="N68" s="25">
        <f>IF(C68="","",IFERROR(INDEX(tbl_Finance[Description],MATCH(C68&amp;"",tbl_Finance[Job Number],0)),""))</f>
        <v/>
      </c>
      <c r="O68" s="24" t="n"/>
      <c r="P68" s="24" t="n"/>
      <c r="Q68" s="22" t="n"/>
      <c r="R68" s="24" t="n"/>
      <c r="S68" s="25">
        <f>IF(R68="","",IF(AND(LEFT(R68,4)&lt;&gt;"http",set_RMSBase=""),"",HYPERLINK(IF(LEFT(R68,4)="http",R68,set_RMSBase&amp;R68),"Open opportunity")))</f>
        <v/>
      </c>
      <c r="T68" s="24" t="n"/>
      <c r="U68" s="25">
        <f>IF(T68="","",HYPERLINK(IF(LEFT(T68,4)="http",T68,set_QwilrBase&amp;T68),"Open quote"))</f>
        <v/>
      </c>
      <c r="V68" s="25">
        <f>IF(C68="","",C68)</f>
        <v/>
      </c>
      <c r="W68" s="24" t="n"/>
      <c r="X68" s="26" t="n"/>
      <c r="Y68" s="27">
        <f>IF(C68="","",H68+N(X68))</f>
        <v/>
      </c>
      <c r="Z68" s="29">
        <f>IFERROR(X68/Y68,"")</f>
        <v/>
      </c>
      <c r="AA68" s="26" t="n"/>
      <c r="AB68" s="26" t="n"/>
      <c r="AC68" s="26" t="n"/>
      <c r="AD68" s="26" t="n"/>
      <c r="AE68" s="27">
        <f>IF(C68="","",SUMIFS(tbl_Finance[Ex GST],tbl_Finance[Job Number],C68&amp;"",tbl_Finance[Cost Centre],"VIDEO"))</f>
        <v/>
      </c>
      <c r="AF68" s="29">
        <f>IFERROR(AE68/H68,"")</f>
        <v/>
      </c>
      <c r="AG68" s="27">
        <f>IF(C68="","",N(AA68)+N(AB68)+N(AC68)+N(AD68))</f>
        <v/>
      </c>
      <c r="AH68" s="27">
        <f>IF(C68="","",H68-AG68)</f>
        <v/>
      </c>
      <c r="AI68" s="29">
        <f>IFERROR(AH68/H68,"")</f>
        <v/>
      </c>
      <c r="AJ68" s="64" t="n"/>
      <c r="AK68" s="64" t="n"/>
      <c r="AL68" s="64" t="n"/>
      <c r="AM68" s="64" t="n"/>
      <c r="AN68" s="64" t="n"/>
      <c r="AO68" s="24" t="n"/>
    </row>
    <row r="69" ht="15" customHeight="1">
      <c r="A69" s="63">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7">
        <f>IF(C69="","",SUMIFS(tbl_Finance[Inc GST],tbl_Finance[Job Number],C69&amp;""))</f>
        <v/>
      </c>
      <c r="M69" s="24" t="n"/>
      <c r="N69" s="25">
        <f>IF(C69="","",IFERROR(INDEX(tbl_Finance[Description],MATCH(C69&amp;"",tbl_Finance[Job Number],0)),""))</f>
        <v/>
      </c>
      <c r="O69" s="24" t="n"/>
      <c r="P69" s="24" t="n"/>
      <c r="Q69" s="22" t="n"/>
      <c r="R69" s="24" t="n"/>
      <c r="S69" s="25">
        <f>IF(R69="","",IF(AND(LEFT(R69,4)&lt;&gt;"http",set_RMSBase=""),"",HYPERLINK(IF(LEFT(R69,4)="http",R69,set_RMSBase&amp;R69),"Open opportunity")))</f>
        <v/>
      </c>
      <c r="T69" s="24" t="n"/>
      <c r="U69" s="25">
        <f>IF(T69="","",HYPERLINK(IF(LEFT(T69,4)="http",T69,set_QwilrBase&amp;T69),"Open quote"))</f>
        <v/>
      </c>
      <c r="V69" s="25">
        <f>IF(C69="","",C69)</f>
        <v/>
      </c>
      <c r="W69" s="24" t="n"/>
      <c r="X69" s="26" t="n"/>
      <c r="Y69" s="27">
        <f>IF(C69="","",H69+N(X69))</f>
        <v/>
      </c>
      <c r="Z69" s="29">
        <f>IFERROR(X69/Y69,"")</f>
        <v/>
      </c>
      <c r="AA69" s="26" t="n"/>
      <c r="AB69" s="26" t="n"/>
      <c r="AC69" s="26" t="n"/>
      <c r="AD69" s="26" t="n"/>
      <c r="AE69" s="27">
        <f>IF(C69="","",SUMIFS(tbl_Finance[Ex GST],tbl_Finance[Job Number],C69&amp;"",tbl_Finance[Cost Centre],"VIDEO"))</f>
        <v/>
      </c>
      <c r="AF69" s="29">
        <f>IFERROR(AE69/H69,"")</f>
        <v/>
      </c>
      <c r="AG69" s="27">
        <f>IF(C69="","",N(AA69)+N(AB69)+N(AC69)+N(AD69))</f>
        <v/>
      </c>
      <c r="AH69" s="27">
        <f>IF(C69="","",H69-AG69)</f>
        <v/>
      </c>
      <c r="AI69" s="29">
        <f>IFERROR(AH69/H69,"")</f>
        <v/>
      </c>
      <c r="AJ69" s="64" t="n"/>
      <c r="AK69" s="64" t="n"/>
      <c r="AL69" s="64" t="n"/>
      <c r="AM69" s="64" t="n"/>
      <c r="AN69" s="64" t="n"/>
      <c r="AO69" s="24" t="n"/>
    </row>
    <row r="70" ht="15" customHeight="1">
      <c r="A70" s="63">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7">
        <f>IF(C70="","",SUMIFS(tbl_Finance[Inc GST],tbl_Finance[Job Number],C70&amp;""))</f>
        <v/>
      </c>
      <c r="M70" s="24" t="n"/>
      <c r="N70" s="25">
        <f>IF(C70="","",IFERROR(INDEX(tbl_Finance[Description],MATCH(C70&amp;"",tbl_Finance[Job Number],0)),""))</f>
        <v/>
      </c>
      <c r="O70" s="24" t="n"/>
      <c r="P70" s="24" t="n"/>
      <c r="Q70" s="22" t="n"/>
      <c r="R70" s="24" t="n"/>
      <c r="S70" s="25">
        <f>IF(R70="","",IF(AND(LEFT(R70,4)&lt;&gt;"http",set_RMSBase=""),"",HYPERLINK(IF(LEFT(R70,4)="http",R70,set_RMSBase&amp;R70),"Open opportunity")))</f>
        <v/>
      </c>
      <c r="T70" s="24" t="n"/>
      <c r="U70" s="25">
        <f>IF(T70="","",HYPERLINK(IF(LEFT(T70,4)="http",T70,set_QwilrBase&amp;T70),"Open quote"))</f>
        <v/>
      </c>
      <c r="V70" s="25">
        <f>IF(C70="","",C70)</f>
        <v/>
      </c>
      <c r="W70" s="24" t="n"/>
      <c r="X70" s="26" t="n"/>
      <c r="Y70" s="27">
        <f>IF(C70="","",H70+N(X70))</f>
        <v/>
      </c>
      <c r="Z70" s="29">
        <f>IFERROR(X70/Y70,"")</f>
        <v/>
      </c>
      <c r="AA70" s="26" t="n"/>
      <c r="AB70" s="26" t="n"/>
      <c r="AC70" s="26" t="n"/>
      <c r="AD70" s="26" t="n"/>
      <c r="AE70" s="27">
        <f>IF(C70="","",SUMIFS(tbl_Finance[Ex GST],tbl_Finance[Job Number],C70&amp;"",tbl_Finance[Cost Centre],"VIDEO"))</f>
        <v/>
      </c>
      <c r="AF70" s="29">
        <f>IFERROR(AE70/H70,"")</f>
        <v/>
      </c>
      <c r="AG70" s="27">
        <f>IF(C70="","",N(AA70)+N(AB70)+N(AC70)+N(AD70))</f>
        <v/>
      </c>
      <c r="AH70" s="27">
        <f>IF(C70="","",H70-AG70)</f>
        <v/>
      </c>
      <c r="AI70" s="29">
        <f>IFERROR(AH70/H70,"")</f>
        <v/>
      </c>
      <c r="AJ70" s="64" t="n"/>
      <c r="AK70" s="64" t="n"/>
      <c r="AL70" s="64" t="n"/>
      <c r="AM70" s="64" t="n"/>
      <c r="AN70" s="64" t="n"/>
      <c r="AO70" s="24" t="n"/>
    </row>
    <row r="71" ht="15" customHeight="1">
      <c r="A71" s="63">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7">
        <f>IF(C71="","",SUMIFS(tbl_Finance[Inc GST],tbl_Finance[Job Number],C71&amp;""))</f>
        <v/>
      </c>
      <c r="M71" s="24" t="n"/>
      <c r="N71" s="25">
        <f>IF(C71="","",IFERROR(INDEX(tbl_Finance[Description],MATCH(C71&amp;"",tbl_Finance[Job Number],0)),""))</f>
        <v/>
      </c>
      <c r="O71" s="24" t="n"/>
      <c r="P71" s="24" t="n"/>
      <c r="Q71" s="22" t="n"/>
      <c r="R71" s="24" t="n"/>
      <c r="S71" s="25">
        <f>IF(R71="","",IF(AND(LEFT(R71,4)&lt;&gt;"http",set_RMSBase=""),"",HYPERLINK(IF(LEFT(R71,4)="http",R71,set_RMSBase&amp;R71),"Open opportunity")))</f>
        <v/>
      </c>
      <c r="T71" s="24" t="n"/>
      <c r="U71" s="25">
        <f>IF(T71="","",HYPERLINK(IF(LEFT(T71,4)="http",T71,set_QwilrBase&amp;T71),"Open quote"))</f>
        <v/>
      </c>
      <c r="V71" s="25">
        <f>IF(C71="","",C71)</f>
        <v/>
      </c>
      <c r="W71" s="24" t="n"/>
      <c r="X71" s="26" t="n"/>
      <c r="Y71" s="27">
        <f>IF(C71="","",H71+N(X71))</f>
        <v/>
      </c>
      <c r="Z71" s="29">
        <f>IFERROR(X71/Y71,"")</f>
        <v/>
      </c>
      <c r="AA71" s="26" t="n"/>
      <c r="AB71" s="26" t="n"/>
      <c r="AC71" s="26" t="n"/>
      <c r="AD71" s="26" t="n"/>
      <c r="AE71" s="27">
        <f>IF(C71="","",SUMIFS(tbl_Finance[Ex GST],tbl_Finance[Job Number],C71&amp;"",tbl_Finance[Cost Centre],"VIDEO"))</f>
        <v/>
      </c>
      <c r="AF71" s="29">
        <f>IFERROR(AE71/H71,"")</f>
        <v/>
      </c>
      <c r="AG71" s="27">
        <f>IF(C71="","",N(AA71)+N(AB71)+N(AC71)+N(AD71))</f>
        <v/>
      </c>
      <c r="AH71" s="27">
        <f>IF(C71="","",H71-AG71)</f>
        <v/>
      </c>
      <c r="AI71" s="29">
        <f>IFERROR(AH71/H71,"")</f>
        <v/>
      </c>
      <c r="AJ71" s="64" t="n"/>
      <c r="AK71" s="64" t="n"/>
      <c r="AL71" s="64" t="n"/>
      <c r="AM71" s="64" t="n"/>
      <c r="AN71" s="64" t="n"/>
      <c r="AO71" s="24" t="n"/>
    </row>
    <row r="72" ht="15" customHeight="1">
      <c r="A72" s="63">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7">
        <f>IF(C72="","",SUMIFS(tbl_Finance[Inc GST],tbl_Finance[Job Number],C72&amp;""))</f>
        <v/>
      </c>
      <c r="M72" s="24" t="n"/>
      <c r="N72" s="25">
        <f>IF(C72="","",IFERROR(INDEX(tbl_Finance[Description],MATCH(C72&amp;"",tbl_Finance[Job Number],0)),""))</f>
        <v/>
      </c>
      <c r="O72" s="24" t="n"/>
      <c r="P72" s="24" t="n"/>
      <c r="Q72" s="22" t="n"/>
      <c r="R72" s="24" t="n"/>
      <c r="S72" s="25">
        <f>IF(R72="","",IF(AND(LEFT(R72,4)&lt;&gt;"http",set_RMSBase=""),"",HYPERLINK(IF(LEFT(R72,4)="http",R72,set_RMSBase&amp;R72),"Open opportunity")))</f>
        <v/>
      </c>
      <c r="T72" s="24" t="n"/>
      <c r="U72" s="25">
        <f>IF(T72="","",HYPERLINK(IF(LEFT(T72,4)="http",T72,set_QwilrBase&amp;T72),"Open quote"))</f>
        <v/>
      </c>
      <c r="V72" s="25">
        <f>IF(C72="","",C72)</f>
        <v/>
      </c>
      <c r="W72" s="24" t="n"/>
      <c r="X72" s="26" t="n"/>
      <c r="Y72" s="27">
        <f>IF(C72="","",H72+N(X72))</f>
        <v/>
      </c>
      <c r="Z72" s="29">
        <f>IFERROR(X72/Y72,"")</f>
        <v/>
      </c>
      <c r="AA72" s="26" t="n"/>
      <c r="AB72" s="26" t="n"/>
      <c r="AC72" s="26" t="n"/>
      <c r="AD72" s="26" t="n"/>
      <c r="AE72" s="27">
        <f>IF(C72="","",SUMIFS(tbl_Finance[Ex GST],tbl_Finance[Job Number],C72&amp;"",tbl_Finance[Cost Centre],"VIDEO"))</f>
        <v/>
      </c>
      <c r="AF72" s="29">
        <f>IFERROR(AE72/H72,"")</f>
        <v/>
      </c>
      <c r="AG72" s="27">
        <f>IF(C72="","",N(AA72)+N(AB72)+N(AC72)+N(AD72))</f>
        <v/>
      </c>
      <c r="AH72" s="27">
        <f>IF(C72="","",H72-AG72)</f>
        <v/>
      </c>
      <c r="AI72" s="29">
        <f>IFERROR(AH72/H72,"")</f>
        <v/>
      </c>
      <c r="AJ72" s="64" t="n"/>
      <c r="AK72" s="64" t="n"/>
      <c r="AL72" s="64" t="n"/>
      <c r="AM72" s="64" t="n"/>
      <c r="AN72" s="64" t="n"/>
      <c r="AO72" s="24" t="n"/>
    </row>
    <row r="73" ht="15" customHeight="1">
      <c r="A73" s="63">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7">
        <f>IF(C73="","",SUMIFS(tbl_Finance[Inc GST],tbl_Finance[Job Number],C73&amp;""))</f>
        <v/>
      </c>
      <c r="M73" s="24" t="n"/>
      <c r="N73" s="25">
        <f>IF(C73="","",IFERROR(INDEX(tbl_Finance[Description],MATCH(C73&amp;"",tbl_Finance[Job Number],0)),""))</f>
        <v/>
      </c>
      <c r="O73" s="24" t="n"/>
      <c r="P73" s="24" t="n"/>
      <c r="Q73" s="22" t="n"/>
      <c r="R73" s="24" t="n"/>
      <c r="S73" s="25">
        <f>IF(R73="","",IF(AND(LEFT(R73,4)&lt;&gt;"http",set_RMSBase=""),"",HYPERLINK(IF(LEFT(R73,4)="http",R73,set_RMSBase&amp;R73),"Open opportunity")))</f>
        <v/>
      </c>
      <c r="T73" s="24" t="n"/>
      <c r="U73" s="25">
        <f>IF(T73="","",HYPERLINK(IF(LEFT(T73,4)="http",T73,set_QwilrBase&amp;T73),"Open quote"))</f>
        <v/>
      </c>
      <c r="V73" s="25">
        <f>IF(C73="","",C73)</f>
        <v/>
      </c>
      <c r="W73" s="24" t="n"/>
      <c r="X73" s="26" t="n"/>
      <c r="Y73" s="27">
        <f>IF(C73="","",H73+N(X73))</f>
        <v/>
      </c>
      <c r="Z73" s="29">
        <f>IFERROR(X73/Y73,"")</f>
        <v/>
      </c>
      <c r="AA73" s="26" t="n"/>
      <c r="AB73" s="26" t="n"/>
      <c r="AC73" s="26" t="n"/>
      <c r="AD73" s="26" t="n"/>
      <c r="AE73" s="27">
        <f>IF(C73="","",SUMIFS(tbl_Finance[Ex GST],tbl_Finance[Job Number],C73&amp;"",tbl_Finance[Cost Centre],"VIDEO"))</f>
        <v/>
      </c>
      <c r="AF73" s="29">
        <f>IFERROR(AE73/H73,"")</f>
        <v/>
      </c>
      <c r="AG73" s="27">
        <f>IF(C73="","",N(AA73)+N(AB73)+N(AC73)+N(AD73))</f>
        <v/>
      </c>
      <c r="AH73" s="27">
        <f>IF(C73="","",H73-AG73)</f>
        <v/>
      </c>
      <c r="AI73" s="29">
        <f>IFERROR(AH73/H73,"")</f>
        <v/>
      </c>
      <c r="AJ73" s="64" t="n"/>
      <c r="AK73" s="64" t="n"/>
      <c r="AL73" s="64" t="n"/>
      <c r="AM73" s="64" t="n"/>
      <c r="AN73" s="64" t="n"/>
      <c r="AO73" s="24" t="n"/>
    </row>
    <row r="74" ht="15" customHeight="1">
      <c r="A74" s="63">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7">
        <f>IF(C74="","",SUMIFS(tbl_Finance[Inc GST],tbl_Finance[Job Number],C74&amp;""))</f>
        <v/>
      </c>
      <c r="M74" s="24" t="n"/>
      <c r="N74" s="25">
        <f>IF(C74="","",IFERROR(INDEX(tbl_Finance[Description],MATCH(C74&amp;"",tbl_Finance[Job Number],0)),""))</f>
        <v/>
      </c>
      <c r="O74" s="24" t="n"/>
      <c r="P74" s="24" t="n"/>
      <c r="Q74" s="22" t="n"/>
      <c r="R74" s="24" t="n"/>
      <c r="S74" s="25">
        <f>IF(R74="","",IF(AND(LEFT(R74,4)&lt;&gt;"http",set_RMSBase=""),"",HYPERLINK(IF(LEFT(R74,4)="http",R74,set_RMSBase&amp;R74),"Open opportunity")))</f>
        <v/>
      </c>
      <c r="T74" s="24" t="n"/>
      <c r="U74" s="25">
        <f>IF(T74="","",HYPERLINK(IF(LEFT(T74,4)="http",T74,set_QwilrBase&amp;T74),"Open quote"))</f>
        <v/>
      </c>
      <c r="V74" s="25">
        <f>IF(C74="","",C74)</f>
        <v/>
      </c>
      <c r="W74" s="24" t="n"/>
      <c r="X74" s="26" t="n"/>
      <c r="Y74" s="27">
        <f>IF(C74="","",H74+N(X74))</f>
        <v/>
      </c>
      <c r="Z74" s="29">
        <f>IFERROR(X74/Y74,"")</f>
        <v/>
      </c>
      <c r="AA74" s="26" t="n"/>
      <c r="AB74" s="26" t="n"/>
      <c r="AC74" s="26" t="n"/>
      <c r="AD74" s="26" t="n"/>
      <c r="AE74" s="27">
        <f>IF(C74="","",SUMIFS(tbl_Finance[Ex GST],tbl_Finance[Job Number],C74&amp;"",tbl_Finance[Cost Centre],"VIDEO"))</f>
        <v/>
      </c>
      <c r="AF74" s="29">
        <f>IFERROR(AE74/H74,"")</f>
        <v/>
      </c>
      <c r="AG74" s="27">
        <f>IF(C74="","",N(AA74)+N(AB74)+N(AC74)+N(AD74))</f>
        <v/>
      </c>
      <c r="AH74" s="27">
        <f>IF(C74="","",H74-AG74)</f>
        <v/>
      </c>
      <c r="AI74" s="29">
        <f>IFERROR(AH74/H74,"")</f>
        <v/>
      </c>
      <c r="AJ74" s="64" t="n"/>
      <c r="AK74" s="64" t="n"/>
      <c r="AL74" s="64" t="n"/>
      <c r="AM74" s="64" t="n"/>
      <c r="AN74" s="64" t="n"/>
      <c r="AO74" s="24" t="n"/>
    </row>
    <row r="75" ht="15" customHeight="1">
      <c r="A75" s="63">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7">
        <f>IF(C75="","",SUMIFS(tbl_Finance[Inc GST],tbl_Finance[Job Number],C75&amp;""))</f>
        <v/>
      </c>
      <c r="M75" s="24" t="n"/>
      <c r="N75" s="25">
        <f>IF(C75="","",IFERROR(INDEX(tbl_Finance[Description],MATCH(C75&amp;"",tbl_Finance[Job Number],0)),""))</f>
        <v/>
      </c>
      <c r="O75" s="24" t="n"/>
      <c r="P75" s="24" t="n"/>
      <c r="Q75" s="22" t="n"/>
      <c r="R75" s="24" t="n"/>
      <c r="S75" s="25">
        <f>IF(R75="","",IF(AND(LEFT(R75,4)&lt;&gt;"http",set_RMSBase=""),"",HYPERLINK(IF(LEFT(R75,4)="http",R75,set_RMSBase&amp;R75),"Open opportunity")))</f>
        <v/>
      </c>
      <c r="T75" s="24" t="n"/>
      <c r="U75" s="25">
        <f>IF(T75="","",HYPERLINK(IF(LEFT(T75,4)="http",T75,set_QwilrBase&amp;T75),"Open quote"))</f>
        <v/>
      </c>
      <c r="V75" s="25">
        <f>IF(C75="","",C75)</f>
        <v/>
      </c>
      <c r="W75" s="24" t="n"/>
      <c r="X75" s="26" t="n"/>
      <c r="Y75" s="27">
        <f>IF(C75="","",H75+N(X75))</f>
        <v/>
      </c>
      <c r="Z75" s="29">
        <f>IFERROR(X75/Y75,"")</f>
        <v/>
      </c>
      <c r="AA75" s="26" t="n"/>
      <c r="AB75" s="26" t="n"/>
      <c r="AC75" s="26" t="n"/>
      <c r="AD75" s="26" t="n"/>
      <c r="AE75" s="27">
        <f>IF(C75="","",SUMIFS(tbl_Finance[Ex GST],tbl_Finance[Job Number],C75&amp;"",tbl_Finance[Cost Centre],"VIDEO"))</f>
        <v/>
      </c>
      <c r="AF75" s="29">
        <f>IFERROR(AE75/H75,"")</f>
        <v/>
      </c>
      <c r="AG75" s="27">
        <f>IF(C75="","",N(AA75)+N(AB75)+N(AC75)+N(AD75))</f>
        <v/>
      </c>
      <c r="AH75" s="27">
        <f>IF(C75="","",H75-AG75)</f>
        <v/>
      </c>
      <c r="AI75" s="29">
        <f>IFERROR(AH75/H75,"")</f>
        <v/>
      </c>
      <c r="AJ75" s="64" t="n"/>
      <c r="AK75" s="64" t="n"/>
      <c r="AL75" s="64" t="n"/>
      <c r="AM75" s="64" t="n"/>
      <c r="AN75" s="64" t="n"/>
      <c r="AO75" s="24" t="n"/>
    </row>
    <row r="76" ht="15" customHeight="1">
      <c r="A76" s="63">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7">
        <f>IF(C76="","",SUMIFS(tbl_Finance[Inc GST],tbl_Finance[Job Number],C76&amp;""))</f>
        <v/>
      </c>
      <c r="M76" s="24" t="n"/>
      <c r="N76" s="25">
        <f>IF(C76="","",IFERROR(INDEX(tbl_Finance[Description],MATCH(C76&amp;"",tbl_Finance[Job Number],0)),""))</f>
        <v/>
      </c>
      <c r="O76" s="24" t="n"/>
      <c r="P76" s="24" t="n"/>
      <c r="Q76" s="22" t="n"/>
      <c r="R76" s="24" t="n"/>
      <c r="S76" s="25">
        <f>IF(R76="","",IF(AND(LEFT(R76,4)&lt;&gt;"http",set_RMSBase=""),"",HYPERLINK(IF(LEFT(R76,4)="http",R76,set_RMSBase&amp;R76),"Open opportunity")))</f>
        <v/>
      </c>
      <c r="T76" s="24" t="n"/>
      <c r="U76" s="25">
        <f>IF(T76="","",HYPERLINK(IF(LEFT(T76,4)="http",T76,set_QwilrBase&amp;T76),"Open quote"))</f>
        <v/>
      </c>
      <c r="V76" s="25">
        <f>IF(C76="","",C76)</f>
        <v/>
      </c>
      <c r="W76" s="24" t="n"/>
      <c r="X76" s="26" t="n"/>
      <c r="Y76" s="27">
        <f>IF(C76="","",H76+N(X76))</f>
        <v/>
      </c>
      <c r="Z76" s="29">
        <f>IFERROR(X76/Y76,"")</f>
        <v/>
      </c>
      <c r="AA76" s="26" t="n"/>
      <c r="AB76" s="26" t="n"/>
      <c r="AC76" s="26" t="n"/>
      <c r="AD76" s="26" t="n"/>
      <c r="AE76" s="27">
        <f>IF(C76="","",SUMIFS(tbl_Finance[Ex GST],tbl_Finance[Job Number],C76&amp;"",tbl_Finance[Cost Centre],"VIDEO"))</f>
        <v/>
      </c>
      <c r="AF76" s="29">
        <f>IFERROR(AE76/H76,"")</f>
        <v/>
      </c>
      <c r="AG76" s="27">
        <f>IF(C76="","",N(AA76)+N(AB76)+N(AC76)+N(AD76))</f>
        <v/>
      </c>
      <c r="AH76" s="27">
        <f>IF(C76="","",H76-AG76)</f>
        <v/>
      </c>
      <c r="AI76" s="29">
        <f>IFERROR(AH76/H76,"")</f>
        <v/>
      </c>
      <c r="AJ76" s="64" t="n"/>
      <c r="AK76" s="64" t="n"/>
      <c r="AL76" s="64" t="n"/>
      <c r="AM76" s="64" t="n"/>
      <c r="AN76" s="64" t="n"/>
      <c r="AO76" s="24" t="n"/>
    </row>
    <row r="77" ht="15" customHeight="1">
      <c r="A77" s="63">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7">
        <f>IF(C77="","",SUMIFS(tbl_Finance[Inc GST],tbl_Finance[Job Number],C77&amp;""))</f>
        <v/>
      </c>
      <c r="M77" s="24" t="n"/>
      <c r="N77" s="25">
        <f>IF(C77="","",IFERROR(INDEX(tbl_Finance[Description],MATCH(C77&amp;"",tbl_Finance[Job Number],0)),""))</f>
        <v/>
      </c>
      <c r="O77" s="24" t="n"/>
      <c r="P77" s="24" t="n"/>
      <c r="Q77" s="22" t="n"/>
      <c r="R77" s="24" t="n"/>
      <c r="S77" s="25">
        <f>IF(R77="","",IF(AND(LEFT(R77,4)&lt;&gt;"http",set_RMSBase=""),"",HYPERLINK(IF(LEFT(R77,4)="http",R77,set_RMSBase&amp;R77),"Open opportunity")))</f>
        <v/>
      </c>
      <c r="T77" s="24" t="n"/>
      <c r="U77" s="25">
        <f>IF(T77="","",HYPERLINK(IF(LEFT(T77,4)="http",T77,set_QwilrBase&amp;T77),"Open quote"))</f>
        <v/>
      </c>
      <c r="V77" s="25">
        <f>IF(C77="","",C77)</f>
        <v/>
      </c>
      <c r="W77" s="24" t="n"/>
      <c r="X77" s="26" t="n"/>
      <c r="Y77" s="27">
        <f>IF(C77="","",H77+N(X77))</f>
        <v/>
      </c>
      <c r="Z77" s="29">
        <f>IFERROR(X77/Y77,"")</f>
        <v/>
      </c>
      <c r="AA77" s="26" t="n"/>
      <c r="AB77" s="26" t="n"/>
      <c r="AC77" s="26" t="n"/>
      <c r="AD77" s="26" t="n"/>
      <c r="AE77" s="27">
        <f>IF(C77="","",SUMIFS(tbl_Finance[Ex GST],tbl_Finance[Job Number],C77&amp;"",tbl_Finance[Cost Centre],"VIDEO"))</f>
        <v/>
      </c>
      <c r="AF77" s="29">
        <f>IFERROR(AE77/H77,"")</f>
        <v/>
      </c>
      <c r="AG77" s="27">
        <f>IF(C77="","",N(AA77)+N(AB77)+N(AC77)+N(AD77))</f>
        <v/>
      </c>
      <c r="AH77" s="27">
        <f>IF(C77="","",H77-AG77)</f>
        <v/>
      </c>
      <c r="AI77" s="29">
        <f>IFERROR(AH77/H77,"")</f>
        <v/>
      </c>
      <c r="AJ77" s="64" t="n"/>
      <c r="AK77" s="64" t="n"/>
      <c r="AL77" s="64" t="n"/>
      <c r="AM77" s="64" t="n"/>
      <c r="AN77" s="64" t="n"/>
      <c r="AO77" s="24" t="n"/>
    </row>
    <row r="78" ht="15" customHeight="1">
      <c r="A78" s="63">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7">
        <f>IF(C78="","",SUMIFS(tbl_Finance[Inc GST],tbl_Finance[Job Number],C78&amp;""))</f>
        <v/>
      </c>
      <c r="M78" s="24" t="n"/>
      <c r="N78" s="25">
        <f>IF(C78="","",IFERROR(INDEX(tbl_Finance[Description],MATCH(C78&amp;"",tbl_Finance[Job Number],0)),""))</f>
        <v/>
      </c>
      <c r="O78" s="24" t="n"/>
      <c r="P78" s="24" t="n"/>
      <c r="Q78" s="22" t="n"/>
      <c r="R78" s="24" t="n"/>
      <c r="S78" s="25">
        <f>IF(R78="","",IF(AND(LEFT(R78,4)&lt;&gt;"http",set_RMSBase=""),"",HYPERLINK(IF(LEFT(R78,4)="http",R78,set_RMSBase&amp;R78),"Open opportunity")))</f>
        <v/>
      </c>
      <c r="T78" s="24" t="n"/>
      <c r="U78" s="25">
        <f>IF(T78="","",HYPERLINK(IF(LEFT(T78,4)="http",T78,set_QwilrBase&amp;T78),"Open quote"))</f>
        <v/>
      </c>
      <c r="V78" s="25">
        <f>IF(C78="","",C78)</f>
        <v/>
      </c>
      <c r="W78" s="24" t="n"/>
      <c r="X78" s="26" t="n"/>
      <c r="Y78" s="27">
        <f>IF(C78="","",H78+N(X78))</f>
        <v/>
      </c>
      <c r="Z78" s="29">
        <f>IFERROR(X78/Y78,"")</f>
        <v/>
      </c>
      <c r="AA78" s="26" t="n"/>
      <c r="AB78" s="26" t="n"/>
      <c r="AC78" s="26" t="n"/>
      <c r="AD78" s="26" t="n"/>
      <c r="AE78" s="27">
        <f>IF(C78="","",SUMIFS(tbl_Finance[Ex GST],tbl_Finance[Job Number],C78&amp;"",tbl_Finance[Cost Centre],"VIDEO"))</f>
        <v/>
      </c>
      <c r="AF78" s="29">
        <f>IFERROR(AE78/H78,"")</f>
        <v/>
      </c>
      <c r="AG78" s="27">
        <f>IF(C78="","",N(AA78)+N(AB78)+N(AC78)+N(AD78))</f>
        <v/>
      </c>
      <c r="AH78" s="27">
        <f>IF(C78="","",H78-AG78)</f>
        <v/>
      </c>
      <c r="AI78" s="29">
        <f>IFERROR(AH78/H78,"")</f>
        <v/>
      </c>
      <c r="AJ78" s="64" t="n"/>
      <c r="AK78" s="64" t="n"/>
      <c r="AL78" s="64" t="n"/>
      <c r="AM78" s="64" t="n"/>
      <c r="AN78" s="64" t="n"/>
      <c r="AO78" s="24" t="n"/>
    </row>
    <row r="79" ht="15" customHeight="1">
      <c r="A79" s="63">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7">
        <f>IF(C79="","",SUMIFS(tbl_Finance[Inc GST],tbl_Finance[Job Number],C79&amp;""))</f>
        <v/>
      </c>
      <c r="M79" s="24" t="n"/>
      <c r="N79" s="25">
        <f>IF(C79="","",IFERROR(INDEX(tbl_Finance[Description],MATCH(C79&amp;"",tbl_Finance[Job Number],0)),""))</f>
        <v/>
      </c>
      <c r="O79" s="24" t="n"/>
      <c r="P79" s="24" t="n"/>
      <c r="Q79" s="22" t="n"/>
      <c r="R79" s="24" t="n"/>
      <c r="S79" s="25">
        <f>IF(R79="","",IF(AND(LEFT(R79,4)&lt;&gt;"http",set_RMSBase=""),"",HYPERLINK(IF(LEFT(R79,4)="http",R79,set_RMSBase&amp;R79),"Open opportunity")))</f>
        <v/>
      </c>
      <c r="T79" s="24" t="n"/>
      <c r="U79" s="25">
        <f>IF(T79="","",HYPERLINK(IF(LEFT(T79,4)="http",T79,set_QwilrBase&amp;T79),"Open quote"))</f>
        <v/>
      </c>
      <c r="V79" s="25">
        <f>IF(C79="","",C79)</f>
        <v/>
      </c>
      <c r="W79" s="24" t="n"/>
      <c r="X79" s="26" t="n"/>
      <c r="Y79" s="27">
        <f>IF(C79="","",H79+N(X79))</f>
        <v/>
      </c>
      <c r="Z79" s="29">
        <f>IFERROR(X79/Y79,"")</f>
        <v/>
      </c>
      <c r="AA79" s="26" t="n"/>
      <c r="AB79" s="26" t="n"/>
      <c r="AC79" s="26" t="n"/>
      <c r="AD79" s="26" t="n"/>
      <c r="AE79" s="27">
        <f>IF(C79="","",SUMIFS(tbl_Finance[Ex GST],tbl_Finance[Job Number],C79&amp;"",tbl_Finance[Cost Centre],"VIDEO"))</f>
        <v/>
      </c>
      <c r="AF79" s="29">
        <f>IFERROR(AE79/H79,"")</f>
        <v/>
      </c>
      <c r="AG79" s="27">
        <f>IF(C79="","",N(AA79)+N(AB79)+N(AC79)+N(AD79))</f>
        <v/>
      </c>
      <c r="AH79" s="27">
        <f>IF(C79="","",H79-AG79)</f>
        <v/>
      </c>
      <c r="AI79" s="29">
        <f>IFERROR(AH79/H79,"")</f>
        <v/>
      </c>
      <c r="AJ79" s="64" t="n"/>
      <c r="AK79" s="64" t="n"/>
      <c r="AL79" s="64" t="n"/>
      <c r="AM79" s="64" t="n"/>
      <c r="AN79" s="64" t="n"/>
      <c r="AO79" s="24" t="n"/>
    </row>
    <row r="80" ht="15" customHeight="1">
      <c r="A80" s="63">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7">
        <f>IF(C80="","",SUMIFS(tbl_Finance[Inc GST],tbl_Finance[Job Number],C80&amp;""))</f>
        <v/>
      </c>
      <c r="M80" s="24" t="n"/>
      <c r="N80" s="25">
        <f>IF(C80="","",IFERROR(INDEX(tbl_Finance[Description],MATCH(C80&amp;"",tbl_Finance[Job Number],0)),""))</f>
        <v/>
      </c>
      <c r="O80" s="24" t="n"/>
      <c r="P80" s="24" t="n"/>
      <c r="Q80" s="22" t="n"/>
      <c r="R80" s="24" t="n"/>
      <c r="S80" s="25">
        <f>IF(R80="","",IF(AND(LEFT(R80,4)&lt;&gt;"http",set_RMSBase=""),"",HYPERLINK(IF(LEFT(R80,4)="http",R80,set_RMSBase&amp;R80),"Open opportunity")))</f>
        <v/>
      </c>
      <c r="T80" s="24" t="n"/>
      <c r="U80" s="25">
        <f>IF(T80="","",HYPERLINK(IF(LEFT(T80,4)="http",T80,set_QwilrBase&amp;T80),"Open quote"))</f>
        <v/>
      </c>
      <c r="V80" s="25">
        <f>IF(C80="","",C80)</f>
        <v/>
      </c>
      <c r="W80" s="24" t="n"/>
      <c r="X80" s="26" t="n"/>
      <c r="Y80" s="27">
        <f>IF(C80="","",H80+N(X80))</f>
        <v/>
      </c>
      <c r="Z80" s="29">
        <f>IFERROR(X80/Y80,"")</f>
        <v/>
      </c>
      <c r="AA80" s="26" t="n"/>
      <c r="AB80" s="26" t="n"/>
      <c r="AC80" s="26" t="n"/>
      <c r="AD80" s="26" t="n"/>
      <c r="AE80" s="27">
        <f>IF(C80="","",SUMIFS(tbl_Finance[Ex GST],tbl_Finance[Job Number],C80&amp;"",tbl_Finance[Cost Centre],"VIDEO"))</f>
        <v/>
      </c>
      <c r="AF80" s="29">
        <f>IFERROR(AE80/H80,"")</f>
        <v/>
      </c>
      <c r="AG80" s="27">
        <f>IF(C80="","",N(AA80)+N(AB80)+N(AC80)+N(AD80))</f>
        <v/>
      </c>
      <c r="AH80" s="27">
        <f>IF(C80="","",H80-AG80)</f>
        <v/>
      </c>
      <c r="AI80" s="29">
        <f>IFERROR(AH80/H80,"")</f>
        <v/>
      </c>
      <c r="AJ80" s="64" t="n"/>
      <c r="AK80" s="64" t="n"/>
      <c r="AL80" s="64" t="n"/>
      <c r="AM80" s="64" t="n"/>
      <c r="AN80" s="64" t="n"/>
      <c r="AO80" s="24" t="n"/>
    </row>
    <row r="81" ht="15" customHeight="1">
      <c r="A81" s="63">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7">
        <f>IF(C81="","",SUMIFS(tbl_Finance[Inc GST],tbl_Finance[Job Number],C81&amp;""))</f>
        <v/>
      </c>
      <c r="M81" s="24" t="n"/>
      <c r="N81" s="25">
        <f>IF(C81="","",IFERROR(INDEX(tbl_Finance[Description],MATCH(C81&amp;"",tbl_Finance[Job Number],0)),""))</f>
        <v/>
      </c>
      <c r="O81" s="24" t="n"/>
      <c r="P81" s="24" t="n"/>
      <c r="Q81" s="22" t="n"/>
      <c r="R81" s="24" t="n"/>
      <c r="S81" s="25">
        <f>IF(R81="","",IF(AND(LEFT(R81,4)&lt;&gt;"http",set_RMSBase=""),"",HYPERLINK(IF(LEFT(R81,4)="http",R81,set_RMSBase&amp;R81),"Open opportunity")))</f>
        <v/>
      </c>
      <c r="T81" s="24" t="n"/>
      <c r="U81" s="25">
        <f>IF(T81="","",HYPERLINK(IF(LEFT(T81,4)="http",T81,set_QwilrBase&amp;T81),"Open quote"))</f>
        <v/>
      </c>
      <c r="V81" s="25">
        <f>IF(C81="","",C81)</f>
        <v/>
      </c>
      <c r="W81" s="24" t="n"/>
      <c r="X81" s="26" t="n"/>
      <c r="Y81" s="27">
        <f>IF(C81="","",H81+N(X81))</f>
        <v/>
      </c>
      <c r="Z81" s="29">
        <f>IFERROR(X81/Y81,"")</f>
        <v/>
      </c>
      <c r="AA81" s="26" t="n"/>
      <c r="AB81" s="26" t="n"/>
      <c r="AC81" s="26" t="n"/>
      <c r="AD81" s="26" t="n"/>
      <c r="AE81" s="27">
        <f>IF(C81="","",SUMIFS(tbl_Finance[Ex GST],tbl_Finance[Job Number],C81&amp;"",tbl_Finance[Cost Centre],"VIDEO"))</f>
        <v/>
      </c>
      <c r="AF81" s="29">
        <f>IFERROR(AE81/H81,"")</f>
        <v/>
      </c>
      <c r="AG81" s="27">
        <f>IF(C81="","",N(AA81)+N(AB81)+N(AC81)+N(AD81))</f>
        <v/>
      </c>
      <c r="AH81" s="27">
        <f>IF(C81="","",H81-AG81)</f>
        <v/>
      </c>
      <c r="AI81" s="29">
        <f>IFERROR(AH81/H81,"")</f>
        <v/>
      </c>
      <c r="AJ81" s="64" t="n"/>
      <c r="AK81" s="64" t="n"/>
      <c r="AL81" s="64" t="n"/>
      <c r="AM81" s="64" t="n"/>
      <c r="AN81" s="64" t="n"/>
      <c r="AO81" s="24" t="n"/>
    </row>
    <row r="82" ht="15" customHeight="1">
      <c r="A82" s="63">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7">
        <f>IF(C82="","",SUMIFS(tbl_Finance[Inc GST],tbl_Finance[Job Number],C82&amp;""))</f>
        <v/>
      </c>
      <c r="M82" s="24" t="n"/>
      <c r="N82" s="25">
        <f>IF(C82="","",IFERROR(INDEX(tbl_Finance[Description],MATCH(C82&amp;"",tbl_Finance[Job Number],0)),""))</f>
        <v/>
      </c>
      <c r="O82" s="24" t="n"/>
      <c r="P82" s="24" t="n"/>
      <c r="Q82" s="22" t="n"/>
      <c r="R82" s="24" t="n"/>
      <c r="S82" s="25">
        <f>IF(R82="","",IF(AND(LEFT(R82,4)&lt;&gt;"http",set_RMSBase=""),"",HYPERLINK(IF(LEFT(R82,4)="http",R82,set_RMSBase&amp;R82),"Open opportunity")))</f>
        <v/>
      </c>
      <c r="T82" s="24" t="n"/>
      <c r="U82" s="25">
        <f>IF(T82="","",HYPERLINK(IF(LEFT(T82,4)="http",T82,set_QwilrBase&amp;T82),"Open quote"))</f>
        <v/>
      </c>
      <c r="V82" s="25">
        <f>IF(C82="","",C82)</f>
        <v/>
      </c>
      <c r="W82" s="24" t="n"/>
      <c r="X82" s="26" t="n"/>
      <c r="Y82" s="27">
        <f>IF(C82="","",H82+N(X82))</f>
        <v/>
      </c>
      <c r="Z82" s="29">
        <f>IFERROR(X82/Y82,"")</f>
        <v/>
      </c>
      <c r="AA82" s="26" t="n"/>
      <c r="AB82" s="26" t="n"/>
      <c r="AC82" s="26" t="n"/>
      <c r="AD82" s="26" t="n"/>
      <c r="AE82" s="27">
        <f>IF(C82="","",SUMIFS(tbl_Finance[Ex GST],tbl_Finance[Job Number],C82&amp;"",tbl_Finance[Cost Centre],"VIDEO"))</f>
        <v/>
      </c>
      <c r="AF82" s="29">
        <f>IFERROR(AE82/H82,"")</f>
        <v/>
      </c>
      <c r="AG82" s="27">
        <f>IF(C82="","",N(AA82)+N(AB82)+N(AC82)+N(AD82))</f>
        <v/>
      </c>
      <c r="AH82" s="27">
        <f>IF(C82="","",H82-AG82)</f>
        <v/>
      </c>
      <c r="AI82" s="29">
        <f>IFERROR(AH82/H82,"")</f>
        <v/>
      </c>
      <c r="AJ82" s="64" t="n"/>
      <c r="AK82" s="64" t="n"/>
      <c r="AL82" s="64" t="n"/>
      <c r="AM82" s="64" t="n"/>
      <c r="AN82" s="64" t="n"/>
      <c r="AO82" s="24" t="n"/>
    </row>
    <row r="83" ht="15" customHeight="1">
      <c r="A83" s="63">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7">
        <f>IF(C83="","",SUMIFS(tbl_Finance[Inc GST],tbl_Finance[Job Number],C83&amp;""))</f>
        <v/>
      </c>
      <c r="M83" s="24" t="n"/>
      <c r="N83" s="25">
        <f>IF(C83="","",IFERROR(INDEX(tbl_Finance[Description],MATCH(C83&amp;"",tbl_Finance[Job Number],0)),""))</f>
        <v/>
      </c>
      <c r="O83" s="24" t="n"/>
      <c r="P83" s="24" t="n"/>
      <c r="Q83" s="22" t="n"/>
      <c r="R83" s="24" t="n"/>
      <c r="S83" s="25">
        <f>IF(R83="","",IF(AND(LEFT(R83,4)&lt;&gt;"http",set_RMSBase=""),"",HYPERLINK(IF(LEFT(R83,4)="http",R83,set_RMSBase&amp;R83),"Open opportunity")))</f>
        <v/>
      </c>
      <c r="T83" s="24" t="n"/>
      <c r="U83" s="25">
        <f>IF(T83="","",HYPERLINK(IF(LEFT(T83,4)="http",T83,set_QwilrBase&amp;T83),"Open quote"))</f>
        <v/>
      </c>
      <c r="V83" s="25">
        <f>IF(C83="","",C83)</f>
        <v/>
      </c>
      <c r="W83" s="24" t="n"/>
      <c r="X83" s="26" t="n"/>
      <c r="Y83" s="27">
        <f>IF(C83="","",H83+N(X83))</f>
        <v/>
      </c>
      <c r="Z83" s="29">
        <f>IFERROR(X83/Y83,"")</f>
        <v/>
      </c>
      <c r="AA83" s="26" t="n"/>
      <c r="AB83" s="26" t="n"/>
      <c r="AC83" s="26" t="n"/>
      <c r="AD83" s="26" t="n"/>
      <c r="AE83" s="27">
        <f>IF(C83="","",SUMIFS(tbl_Finance[Ex GST],tbl_Finance[Job Number],C83&amp;"",tbl_Finance[Cost Centre],"VIDEO"))</f>
        <v/>
      </c>
      <c r="AF83" s="29">
        <f>IFERROR(AE83/H83,"")</f>
        <v/>
      </c>
      <c r="AG83" s="27">
        <f>IF(C83="","",N(AA83)+N(AB83)+N(AC83)+N(AD83))</f>
        <v/>
      </c>
      <c r="AH83" s="27">
        <f>IF(C83="","",H83-AG83)</f>
        <v/>
      </c>
      <c r="AI83" s="29">
        <f>IFERROR(AH83/H83,"")</f>
        <v/>
      </c>
      <c r="AJ83" s="64" t="n"/>
      <c r="AK83" s="64" t="n"/>
      <c r="AL83" s="64" t="n"/>
      <c r="AM83" s="64" t="n"/>
      <c r="AN83" s="64" t="n"/>
      <c r="AO83" s="24" t="n"/>
    </row>
    <row r="84" ht="15" customHeight="1">
      <c r="A84" s="63">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7">
        <f>IF(C84="","",SUMIFS(tbl_Finance[Inc GST],tbl_Finance[Job Number],C84&amp;""))</f>
        <v/>
      </c>
      <c r="M84" s="24" t="n"/>
      <c r="N84" s="25">
        <f>IF(C84="","",IFERROR(INDEX(tbl_Finance[Description],MATCH(C84&amp;"",tbl_Finance[Job Number],0)),""))</f>
        <v/>
      </c>
      <c r="O84" s="24" t="n"/>
      <c r="P84" s="24" t="n"/>
      <c r="Q84" s="22" t="n"/>
      <c r="R84" s="24" t="n"/>
      <c r="S84" s="25">
        <f>IF(R84="","",IF(AND(LEFT(R84,4)&lt;&gt;"http",set_RMSBase=""),"",HYPERLINK(IF(LEFT(R84,4)="http",R84,set_RMSBase&amp;R84),"Open opportunity")))</f>
        <v/>
      </c>
      <c r="T84" s="24" t="n"/>
      <c r="U84" s="25">
        <f>IF(T84="","",HYPERLINK(IF(LEFT(T84,4)="http",T84,set_QwilrBase&amp;T84),"Open quote"))</f>
        <v/>
      </c>
      <c r="V84" s="25">
        <f>IF(C84="","",C84)</f>
        <v/>
      </c>
      <c r="W84" s="24" t="n"/>
      <c r="X84" s="26" t="n"/>
      <c r="Y84" s="27">
        <f>IF(C84="","",H84+N(X84))</f>
        <v/>
      </c>
      <c r="Z84" s="29">
        <f>IFERROR(X84/Y84,"")</f>
        <v/>
      </c>
      <c r="AA84" s="26" t="n"/>
      <c r="AB84" s="26" t="n"/>
      <c r="AC84" s="26" t="n"/>
      <c r="AD84" s="26" t="n"/>
      <c r="AE84" s="27">
        <f>IF(C84="","",SUMIFS(tbl_Finance[Ex GST],tbl_Finance[Job Number],C84&amp;"",tbl_Finance[Cost Centre],"VIDEO"))</f>
        <v/>
      </c>
      <c r="AF84" s="29">
        <f>IFERROR(AE84/H84,"")</f>
        <v/>
      </c>
      <c r="AG84" s="27">
        <f>IF(C84="","",N(AA84)+N(AB84)+N(AC84)+N(AD84))</f>
        <v/>
      </c>
      <c r="AH84" s="27">
        <f>IF(C84="","",H84-AG84)</f>
        <v/>
      </c>
      <c r="AI84" s="29">
        <f>IFERROR(AH84/H84,"")</f>
        <v/>
      </c>
      <c r="AJ84" s="64" t="n"/>
      <c r="AK84" s="64" t="n"/>
      <c r="AL84" s="64" t="n"/>
      <c r="AM84" s="64" t="n"/>
      <c r="AN84" s="64" t="n"/>
      <c r="AO84" s="24" t="n"/>
    </row>
    <row r="85" ht="15" customHeight="1">
      <c r="A85" s="63">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7">
        <f>IF(C85="","",SUMIFS(tbl_Finance[Inc GST],tbl_Finance[Job Number],C85&amp;""))</f>
        <v/>
      </c>
      <c r="M85" s="24" t="n"/>
      <c r="N85" s="25">
        <f>IF(C85="","",IFERROR(INDEX(tbl_Finance[Description],MATCH(C85&amp;"",tbl_Finance[Job Number],0)),""))</f>
        <v/>
      </c>
      <c r="O85" s="24" t="n"/>
      <c r="P85" s="24" t="n"/>
      <c r="Q85" s="22" t="n"/>
      <c r="R85" s="24" t="n"/>
      <c r="S85" s="25">
        <f>IF(R85="","",IF(AND(LEFT(R85,4)&lt;&gt;"http",set_RMSBase=""),"",HYPERLINK(IF(LEFT(R85,4)="http",R85,set_RMSBase&amp;R85),"Open opportunity")))</f>
        <v/>
      </c>
      <c r="T85" s="24" t="n"/>
      <c r="U85" s="25">
        <f>IF(T85="","",HYPERLINK(IF(LEFT(T85,4)="http",T85,set_QwilrBase&amp;T85),"Open quote"))</f>
        <v/>
      </c>
      <c r="V85" s="25">
        <f>IF(C85="","",C85)</f>
        <v/>
      </c>
      <c r="W85" s="24" t="n"/>
      <c r="X85" s="26" t="n"/>
      <c r="Y85" s="27">
        <f>IF(C85="","",H85+N(X85))</f>
        <v/>
      </c>
      <c r="Z85" s="29">
        <f>IFERROR(X85/Y85,"")</f>
        <v/>
      </c>
      <c r="AA85" s="26" t="n"/>
      <c r="AB85" s="26" t="n"/>
      <c r="AC85" s="26" t="n"/>
      <c r="AD85" s="26" t="n"/>
      <c r="AE85" s="27">
        <f>IF(C85="","",SUMIFS(tbl_Finance[Ex GST],tbl_Finance[Job Number],C85&amp;"",tbl_Finance[Cost Centre],"VIDEO"))</f>
        <v/>
      </c>
      <c r="AF85" s="29">
        <f>IFERROR(AE85/H85,"")</f>
        <v/>
      </c>
      <c r="AG85" s="27">
        <f>IF(C85="","",N(AA85)+N(AB85)+N(AC85)+N(AD85))</f>
        <v/>
      </c>
      <c r="AH85" s="27">
        <f>IF(C85="","",H85-AG85)</f>
        <v/>
      </c>
      <c r="AI85" s="29">
        <f>IFERROR(AH85/H85,"")</f>
        <v/>
      </c>
      <c r="AJ85" s="64" t="n"/>
      <c r="AK85" s="64" t="n"/>
      <c r="AL85" s="64" t="n"/>
      <c r="AM85" s="64" t="n"/>
      <c r="AN85" s="64" t="n"/>
      <c r="AO85" s="24" t="n"/>
    </row>
    <row r="86" ht="15" customHeight="1">
      <c r="A86" s="63">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7">
        <f>IF(C86="","",SUMIFS(tbl_Finance[Inc GST],tbl_Finance[Job Number],C86&amp;""))</f>
        <v/>
      </c>
      <c r="M86" s="24" t="n"/>
      <c r="N86" s="25">
        <f>IF(C86="","",IFERROR(INDEX(tbl_Finance[Description],MATCH(C86&amp;"",tbl_Finance[Job Number],0)),""))</f>
        <v/>
      </c>
      <c r="O86" s="24" t="n"/>
      <c r="P86" s="24" t="n"/>
      <c r="Q86" s="22" t="n"/>
      <c r="R86" s="24" t="n"/>
      <c r="S86" s="25">
        <f>IF(R86="","",IF(AND(LEFT(R86,4)&lt;&gt;"http",set_RMSBase=""),"",HYPERLINK(IF(LEFT(R86,4)="http",R86,set_RMSBase&amp;R86),"Open opportunity")))</f>
        <v/>
      </c>
      <c r="T86" s="24" t="n"/>
      <c r="U86" s="25">
        <f>IF(T86="","",HYPERLINK(IF(LEFT(T86,4)="http",T86,set_QwilrBase&amp;T86),"Open quote"))</f>
        <v/>
      </c>
      <c r="V86" s="25">
        <f>IF(C86="","",C86)</f>
        <v/>
      </c>
      <c r="W86" s="24" t="n"/>
      <c r="X86" s="26" t="n"/>
      <c r="Y86" s="27">
        <f>IF(C86="","",H86+N(X86))</f>
        <v/>
      </c>
      <c r="Z86" s="29">
        <f>IFERROR(X86/Y86,"")</f>
        <v/>
      </c>
      <c r="AA86" s="26" t="n"/>
      <c r="AB86" s="26" t="n"/>
      <c r="AC86" s="26" t="n"/>
      <c r="AD86" s="26" t="n"/>
      <c r="AE86" s="27">
        <f>IF(C86="","",SUMIFS(tbl_Finance[Ex GST],tbl_Finance[Job Number],C86&amp;"",tbl_Finance[Cost Centre],"VIDEO"))</f>
        <v/>
      </c>
      <c r="AF86" s="29">
        <f>IFERROR(AE86/H86,"")</f>
        <v/>
      </c>
      <c r="AG86" s="27">
        <f>IF(C86="","",N(AA86)+N(AB86)+N(AC86)+N(AD86))</f>
        <v/>
      </c>
      <c r="AH86" s="27">
        <f>IF(C86="","",H86-AG86)</f>
        <v/>
      </c>
      <c r="AI86" s="29">
        <f>IFERROR(AH86/H86,"")</f>
        <v/>
      </c>
      <c r="AJ86" s="64" t="n"/>
      <c r="AK86" s="64" t="n"/>
      <c r="AL86" s="64" t="n"/>
      <c r="AM86" s="64" t="n"/>
      <c r="AN86" s="64" t="n"/>
      <c r="AO86" s="24" t="n"/>
    </row>
    <row r="87" ht="15" customHeight="1">
      <c r="A87" s="63">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7">
        <f>IF(C87="","",SUMIFS(tbl_Finance[Inc GST],tbl_Finance[Job Number],C87&amp;""))</f>
        <v/>
      </c>
      <c r="M87" s="24" t="n"/>
      <c r="N87" s="25">
        <f>IF(C87="","",IFERROR(INDEX(tbl_Finance[Description],MATCH(C87&amp;"",tbl_Finance[Job Number],0)),""))</f>
        <v/>
      </c>
      <c r="O87" s="24" t="n"/>
      <c r="P87" s="24" t="n"/>
      <c r="Q87" s="22" t="n"/>
      <c r="R87" s="24" t="n"/>
      <c r="S87" s="25">
        <f>IF(R87="","",IF(AND(LEFT(R87,4)&lt;&gt;"http",set_RMSBase=""),"",HYPERLINK(IF(LEFT(R87,4)="http",R87,set_RMSBase&amp;R87),"Open opportunity")))</f>
        <v/>
      </c>
      <c r="T87" s="24" t="n"/>
      <c r="U87" s="25">
        <f>IF(T87="","",HYPERLINK(IF(LEFT(T87,4)="http",T87,set_QwilrBase&amp;T87),"Open quote"))</f>
        <v/>
      </c>
      <c r="V87" s="25">
        <f>IF(C87="","",C87)</f>
        <v/>
      </c>
      <c r="W87" s="24" t="n"/>
      <c r="X87" s="26" t="n"/>
      <c r="Y87" s="27">
        <f>IF(C87="","",H87+N(X87))</f>
        <v/>
      </c>
      <c r="Z87" s="29">
        <f>IFERROR(X87/Y87,"")</f>
        <v/>
      </c>
      <c r="AA87" s="26" t="n"/>
      <c r="AB87" s="26" t="n"/>
      <c r="AC87" s="26" t="n"/>
      <c r="AD87" s="26" t="n"/>
      <c r="AE87" s="27">
        <f>IF(C87="","",SUMIFS(tbl_Finance[Ex GST],tbl_Finance[Job Number],C87&amp;"",tbl_Finance[Cost Centre],"VIDEO"))</f>
        <v/>
      </c>
      <c r="AF87" s="29">
        <f>IFERROR(AE87/H87,"")</f>
        <v/>
      </c>
      <c r="AG87" s="27">
        <f>IF(C87="","",N(AA87)+N(AB87)+N(AC87)+N(AD87))</f>
        <v/>
      </c>
      <c r="AH87" s="27">
        <f>IF(C87="","",H87-AG87)</f>
        <v/>
      </c>
      <c r="AI87" s="29">
        <f>IFERROR(AH87/H87,"")</f>
        <v/>
      </c>
      <c r="AJ87" s="64" t="n"/>
      <c r="AK87" s="64" t="n"/>
      <c r="AL87" s="64" t="n"/>
      <c r="AM87" s="64" t="n"/>
      <c r="AN87" s="64" t="n"/>
      <c r="AO87" s="24" t="n"/>
    </row>
    <row r="88" ht="15" customHeight="1">
      <c r="A88" s="63">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7">
        <f>IF(C88="","",SUMIFS(tbl_Finance[Inc GST],tbl_Finance[Job Number],C88&amp;""))</f>
        <v/>
      </c>
      <c r="M88" s="24" t="n"/>
      <c r="N88" s="25">
        <f>IF(C88="","",IFERROR(INDEX(tbl_Finance[Description],MATCH(C88&amp;"",tbl_Finance[Job Number],0)),""))</f>
        <v/>
      </c>
      <c r="O88" s="24" t="n"/>
      <c r="P88" s="24" t="n"/>
      <c r="Q88" s="22" t="n"/>
      <c r="R88" s="24" t="n"/>
      <c r="S88" s="25">
        <f>IF(R88="","",IF(AND(LEFT(R88,4)&lt;&gt;"http",set_RMSBase=""),"",HYPERLINK(IF(LEFT(R88,4)="http",R88,set_RMSBase&amp;R88),"Open opportunity")))</f>
        <v/>
      </c>
      <c r="T88" s="24" t="n"/>
      <c r="U88" s="25">
        <f>IF(T88="","",HYPERLINK(IF(LEFT(T88,4)="http",T88,set_QwilrBase&amp;T88),"Open quote"))</f>
        <v/>
      </c>
      <c r="V88" s="25">
        <f>IF(C88="","",C88)</f>
        <v/>
      </c>
      <c r="W88" s="24" t="n"/>
      <c r="X88" s="26" t="n"/>
      <c r="Y88" s="27">
        <f>IF(C88="","",H88+N(X88))</f>
        <v/>
      </c>
      <c r="Z88" s="29">
        <f>IFERROR(X88/Y88,"")</f>
        <v/>
      </c>
      <c r="AA88" s="26" t="n"/>
      <c r="AB88" s="26" t="n"/>
      <c r="AC88" s="26" t="n"/>
      <c r="AD88" s="26" t="n"/>
      <c r="AE88" s="27">
        <f>IF(C88="","",SUMIFS(tbl_Finance[Ex GST],tbl_Finance[Job Number],C88&amp;"",tbl_Finance[Cost Centre],"VIDEO"))</f>
        <v/>
      </c>
      <c r="AF88" s="29">
        <f>IFERROR(AE88/H88,"")</f>
        <v/>
      </c>
      <c r="AG88" s="27">
        <f>IF(C88="","",N(AA88)+N(AB88)+N(AC88)+N(AD88))</f>
        <v/>
      </c>
      <c r="AH88" s="27">
        <f>IF(C88="","",H88-AG88)</f>
        <v/>
      </c>
      <c r="AI88" s="29">
        <f>IFERROR(AH88/H88,"")</f>
        <v/>
      </c>
      <c r="AJ88" s="64" t="n"/>
      <c r="AK88" s="64" t="n"/>
      <c r="AL88" s="64" t="n"/>
      <c r="AM88" s="64" t="n"/>
      <c r="AN88" s="64" t="n"/>
      <c r="AO88" s="24" t="n"/>
    </row>
    <row r="89" ht="15" customHeight="1">
      <c r="A89" s="63">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7">
        <f>IF(C89="","",SUMIFS(tbl_Finance[Inc GST],tbl_Finance[Job Number],C89&amp;""))</f>
        <v/>
      </c>
      <c r="M89" s="24" t="n"/>
      <c r="N89" s="25">
        <f>IF(C89="","",IFERROR(INDEX(tbl_Finance[Description],MATCH(C89&amp;"",tbl_Finance[Job Number],0)),""))</f>
        <v/>
      </c>
      <c r="O89" s="24" t="n"/>
      <c r="P89" s="24" t="n"/>
      <c r="Q89" s="22" t="n"/>
      <c r="R89" s="24" t="n"/>
      <c r="S89" s="25">
        <f>IF(R89="","",IF(AND(LEFT(R89,4)&lt;&gt;"http",set_RMSBase=""),"",HYPERLINK(IF(LEFT(R89,4)="http",R89,set_RMSBase&amp;R89),"Open opportunity")))</f>
        <v/>
      </c>
      <c r="T89" s="24" t="n"/>
      <c r="U89" s="25">
        <f>IF(T89="","",HYPERLINK(IF(LEFT(T89,4)="http",T89,set_QwilrBase&amp;T89),"Open quote"))</f>
        <v/>
      </c>
      <c r="V89" s="25">
        <f>IF(C89="","",C89)</f>
        <v/>
      </c>
      <c r="W89" s="24" t="n"/>
      <c r="X89" s="26" t="n"/>
      <c r="Y89" s="27">
        <f>IF(C89="","",H89+N(X89))</f>
        <v/>
      </c>
      <c r="Z89" s="29">
        <f>IFERROR(X89/Y89,"")</f>
        <v/>
      </c>
      <c r="AA89" s="26" t="n"/>
      <c r="AB89" s="26" t="n"/>
      <c r="AC89" s="26" t="n"/>
      <c r="AD89" s="26" t="n"/>
      <c r="AE89" s="27">
        <f>IF(C89="","",SUMIFS(tbl_Finance[Ex GST],tbl_Finance[Job Number],C89&amp;"",tbl_Finance[Cost Centre],"VIDEO"))</f>
        <v/>
      </c>
      <c r="AF89" s="29">
        <f>IFERROR(AE89/H89,"")</f>
        <v/>
      </c>
      <c r="AG89" s="27">
        <f>IF(C89="","",N(AA89)+N(AB89)+N(AC89)+N(AD89))</f>
        <v/>
      </c>
      <c r="AH89" s="27">
        <f>IF(C89="","",H89-AG89)</f>
        <v/>
      </c>
      <c r="AI89" s="29">
        <f>IFERROR(AH89/H89,"")</f>
        <v/>
      </c>
      <c r="AJ89" s="64" t="n"/>
      <c r="AK89" s="64" t="n"/>
      <c r="AL89" s="64" t="n"/>
      <c r="AM89" s="64" t="n"/>
      <c r="AN89" s="64" t="n"/>
      <c r="AO89" s="24" t="n"/>
    </row>
    <row r="90" ht="15" customHeight="1">
      <c r="A90" s="63">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7">
        <f>IF(C90="","",SUMIFS(tbl_Finance[Inc GST],tbl_Finance[Job Number],C90&amp;""))</f>
        <v/>
      </c>
      <c r="M90" s="24" t="n"/>
      <c r="N90" s="25">
        <f>IF(C90="","",IFERROR(INDEX(tbl_Finance[Description],MATCH(C90&amp;"",tbl_Finance[Job Number],0)),""))</f>
        <v/>
      </c>
      <c r="O90" s="24" t="n"/>
      <c r="P90" s="24" t="n"/>
      <c r="Q90" s="22" t="n"/>
      <c r="R90" s="24" t="n"/>
      <c r="S90" s="25">
        <f>IF(R90="","",IF(AND(LEFT(R90,4)&lt;&gt;"http",set_RMSBase=""),"",HYPERLINK(IF(LEFT(R90,4)="http",R90,set_RMSBase&amp;R90),"Open opportunity")))</f>
        <v/>
      </c>
      <c r="T90" s="24" t="n"/>
      <c r="U90" s="25">
        <f>IF(T90="","",HYPERLINK(IF(LEFT(T90,4)="http",T90,set_QwilrBase&amp;T90),"Open quote"))</f>
        <v/>
      </c>
      <c r="V90" s="25">
        <f>IF(C90="","",C90)</f>
        <v/>
      </c>
      <c r="W90" s="24" t="n"/>
      <c r="X90" s="26" t="n"/>
      <c r="Y90" s="27">
        <f>IF(C90="","",H90+N(X90))</f>
        <v/>
      </c>
      <c r="Z90" s="29">
        <f>IFERROR(X90/Y90,"")</f>
        <v/>
      </c>
      <c r="AA90" s="26" t="n"/>
      <c r="AB90" s="26" t="n"/>
      <c r="AC90" s="26" t="n"/>
      <c r="AD90" s="26" t="n"/>
      <c r="AE90" s="27">
        <f>IF(C90="","",SUMIFS(tbl_Finance[Ex GST],tbl_Finance[Job Number],C90&amp;"",tbl_Finance[Cost Centre],"VIDEO"))</f>
        <v/>
      </c>
      <c r="AF90" s="29">
        <f>IFERROR(AE90/H90,"")</f>
        <v/>
      </c>
      <c r="AG90" s="27">
        <f>IF(C90="","",N(AA90)+N(AB90)+N(AC90)+N(AD90))</f>
        <v/>
      </c>
      <c r="AH90" s="27">
        <f>IF(C90="","",H90-AG90)</f>
        <v/>
      </c>
      <c r="AI90" s="29">
        <f>IFERROR(AH90/H90,"")</f>
        <v/>
      </c>
      <c r="AJ90" s="64" t="n"/>
      <c r="AK90" s="64" t="n"/>
      <c r="AL90" s="64" t="n"/>
      <c r="AM90" s="64" t="n"/>
      <c r="AN90" s="64" t="n"/>
      <c r="AO90" s="24" t="n"/>
    </row>
    <row r="91" ht="15" customHeight="1">
      <c r="A91" s="63">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7">
        <f>IF(C91="","",SUMIFS(tbl_Finance[Inc GST],tbl_Finance[Job Number],C91&amp;""))</f>
        <v/>
      </c>
      <c r="M91" s="24" t="n"/>
      <c r="N91" s="25">
        <f>IF(C91="","",IFERROR(INDEX(tbl_Finance[Description],MATCH(C91&amp;"",tbl_Finance[Job Number],0)),""))</f>
        <v/>
      </c>
      <c r="O91" s="24" t="n"/>
      <c r="P91" s="24" t="n"/>
      <c r="Q91" s="22" t="n"/>
      <c r="R91" s="24" t="n"/>
      <c r="S91" s="25">
        <f>IF(R91="","",IF(AND(LEFT(R91,4)&lt;&gt;"http",set_RMSBase=""),"",HYPERLINK(IF(LEFT(R91,4)="http",R91,set_RMSBase&amp;R91),"Open opportunity")))</f>
        <v/>
      </c>
      <c r="T91" s="24" t="n"/>
      <c r="U91" s="25">
        <f>IF(T91="","",HYPERLINK(IF(LEFT(T91,4)="http",T91,set_QwilrBase&amp;T91),"Open quote"))</f>
        <v/>
      </c>
      <c r="V91" s="25">
        <f>IF(C91="","",C91)</f>
        <v/>
      </c>
      <c r="W91" s="24" t="n"/>
      <c r="X91" s="26" t="n"/>
      <c r="Y91" s="27">
        <f>IF(C91="","",H91+N(X91))</f>
        <v/>
      </c>
      <c r="Z91" s="29">
        <f>IFERROR(X91/Y91,"")</f>
        <v/>
      </c>
      <c r="AA91" s="26" t="n"/>
      <c r="AB91" s="26" t="n"/>
      <c r="AC91" s="26" t="n"/>
      <c r="AD91" s="26" t="n"/>
      <c r="AE91" s="27">
        <f>IF(C91="","",SUMIFS(tbl_Finance[Ex GST],tbl_Finance[Job Number],C91&amp;"",tbl_Finance[Cost Centre],"VIDEO"))</f>
        <v/>
      </c>
      <c r="AF91" s="29">
        <f>IFERROR(AE91/H91,"")</f>
        <v/>
      </c>
      <c r="AG91" s="27">
        <f>IF(C91="","",N(AA91)+N(AB91)+N(AC91)+N(AD91))</f>
        <v/>
      </c>
      <c r="AH91" s="27">
        <f>IF(C91="","",H91-AG91)</f>
        <v/>
      </c>
      <c r="AI91" s="29">
        <f>IFERROR(AH91/H91,"")</f>
        <v/>
      </c>
      <c r="AJ91" s="64" t="n"/>
      <c r="AK91" s="64" t="n"/>
      <c r="AL91" s="64" t="n"/>
      <c r="AM91" s="64" t="n"/>
      <c r="AN91" s="64" t="n"/>
      <c r="AO91" s="24" t="n"/>
    </row>
    <row r="92" ht="15" customHeight="1">
      <c r="A92" s="63">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7">
        <f>IF(C92="","",SUMIFS(tbl_Finance[Inc GST],tbl_Finance[Job Number],C92&amp;""))</f>
        <v/>
      </c>
      <c r="M92" s="24" t="n"/>
      <c r="N92" s="25">
        <f>IF(C92="","",IFERROR(INDEX(tbl_Finance[Description],MATCH(C92&amp;"",tbl_Finance[Job Number],0)),""))</f>
        <v/>
      </c>
      <c r="O92" s="24" t="n"/>
      <c r="P92" s="24" t="n"/>
      <c r="Q92" s="22" t="n"/>
      <c r="R92" s="24" t="n"/>
      <c r="S92" s="25">
        <f>IF(R92="","",IF(AND(LEFT(R92,4)&lt;&gt;"http",set_RMSBase=""),"",HYPERLINK(IF(LEFT(R92,4)="http",R92,set_RMSBase&amp;R92),"Open opportunity")))</f>
        <v/>
      </c>
      <c r="T92" s="24" t="n"/>
      <c r="U92" s="25">
        <f>IF(T92="","",HYPERLINK(IF(LEFT(T92,4)="http",T92,set_QwilrBase&amp;T92),"Open quote"))</f>
        <v/>
      </c>
      <c r="V92" s="25">
        <f>IF(C92="","",C92)</f>
        <v/>
      </c>
      <c r="W92" s="24" t="n"/>
      <c r="X92" s="26" t="n"/>
      <c r="Y92" s="27">
        <f>IF(C92="","",H92+N(X92))</f>
        <v/>
      </c>
      <c r="Z92" s="29">
        <f>IFERROR(X92/Y92,"")</f>
        <v/>
      </c>
      <c r="AA92" s="26" t="n"/>
      <c r="AB92" s="26" t="n"/>
      <c r="AC92" s="26" t="n"/>
      <c r="AD92" s="26" t="n"/>
      <c r="AE92" s="27">
        <f>IF(C92="","",SUMIFS(tbl_Finance[Ex GST],tbl_Finance[Job Number],C92&amp;"",tbl_Finance[Cost Centre],"VIDEO"))</f>
        <v/>
      </c>
      <c r="AF92" s="29">
        <f>IFERROR(AE92/H92,"")</f>
        <v/>
      </c>
      <c r="AG92" s="27">
        <f>IF(C92="","",N(AA92)+N(AB92)+N(AC92)+N(AD92))</f>
        <v/>
      </c>
      <c r="AH92" s="27">
        <f>IF(C92="","",H92-AG92)</f>
        <v/>
      </c>
      <c r="AI92" s="29">
        <f>IFERROR(AH92/H92,"")</f>
        <v/>
      </c>
      <c r="AJ92" s="64" t="n"/>
      <c r="AK92" s="64" t="n"/>
      <c r="AL92" s="64" t="n"/>
      <c r="AM92" s="64" t="n"/>
      <c r="AN92" s="64" t="n"/>
      <c r="AO92" s="24" t="n"/>
    </row>
    <row r="93" ht="15" customHeight="1">
      <c r="A93" s="63">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7">
        <f>IF(C93="","",SUMIFS(tbl_Finance[Inc GST],tbl_Finance[Job Number],C93&amp;""))</f>
        <v/>
      </c>
      <c r="M93" s="24" t="n"/>
      <c r="N93" s="25">
        <f>IF(C93="","",IFERROR(INDEX(tbl_Finance[Description],MATCH(C93&amp;"",tbl_Finance[Job Number],0)),""))</f>
        <v/>
      </c>
      <c r="O93" s="24" t="n"/>
      <c r="P93" s="24" t="n"/>
      <c r="Q93" s="22" t="n"/>
      <c r="R93" s="24" t="n"/>
      <c r="S93" s="25">
        <f>IF(R93="","",IF(AND(LEFT(R93,4)&lt;&gt;"http",set_RMSBase=""),"",HYPERLINK(IF(LEFT(R93,4)="http",R93,set_RMSBase&amp;R93),"Open opportunity")))</f>
        <v/>
      </c>
      <c r="T93" s="24" t="n"/>
      <c r="U93" s="25">
        <f>IF(T93="","",HYPERLINK(IF(LEFT(T93,4)="http",T93,set_QwilrBase&amp;T93),"Open quote"))</f>
        <v/>
      </c>
      <c r="V93" s="25">
        <f>IF(C93="","",C93)</f>
        <v/>
      </c>
      <c r="W93" s="24" t="n"/>
      <c r="X93" s="26" t="n"/>
      <c r="Y93" s="27">
        <f>IF(C93="","",H93+N(X93))</f>
        <v/>
      </c>
      <c r="Z93" s="29">
        <f>IFERROR(X93/Y93,"")</f>
        <v/>
      </c>
      <c r="AA93" s="26" t="n"/>
      <c r="AB93" s="26" t="n"/>
      <c r="AC93" s="26" t="n"/>
      <c r="AD93" s="26" t="n"/>
      <c r="AE93" s="27">
        <f>IF(C93="","",SUMIFS(tbl_Finance[Ex GST],tbl_Finance[Job Number],C93&amp;"",tbl_Finance[Cost Centre],"VIDEO"))</f>
        <v/>
      </c>
      <c r="AF93" s="29">
        <f>IFERROR(AE93/H93,"")</f>
        <v/>
      </c>
      <c r="AG93" s="27">
        <f>IF(C93="","",N(AA93)+N(AB93)+N(AC93)+N(AD93))</f>
        <v/>
      </c>
      <c r="AH93" s="27">
        <f>IF(C93="","",H93-AG93)</f>
        <v/>
      </c>
      <c r="AI93" s="29">
        <f>IFERROR(AH93/H93,"")</f>
        <v/>
      </c>
      <c r="AJ93" s="64" t="n"/>
      <c r="AK93" s="64" t="n"/>
      <c r="AL93" s="64" t="n"/>
      <c r="AM93" s="64" t="n"/>
      <c r="AN93" s="64" t="n"/>
      <c r="AO93" s="24" t="n"/>
    </row>
    <row r="94" ht="15" customHeight="1">
      <c r="A94" s="63">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7">
        <f>IF(C94="","",SUMIFS(tbl_Finance[Inc GST],tbl_Finance[Job Number],C94&amp;""))</f>
        <v/>
      </c>
      <c r="M94" s="24" t="n"/>
      <c r="N94" s="25">
        <f>IF(C94="","",IFERROR(INDEX(tbl_Finance[Description],MATCH(C94&amp;"",tbl_Finance[Job Number],0)),""))</f>
        <v/>
      </c>
      <c r="O94" s="24" t="n"/>
      <c r="P94" s="24" t="n"/>
      <c r="Q94" s="22" t="n"/>
      <c r="R94" s="24" t="n"/>
      <c r="S94" s="25">
        <f>IF(R94="","",IF(AND(LEFT(R94,4)&lt;&gt;"http",set_RMSBase=""),"",HYPERLINK(IF(LEFT(R94,4)="http",R94,set_RMSBase&amp;R94),"Open opportunity")))</f>
        <v/>
      </c>
      <c r="T94" s="24" t="n"/>
      <c r="U94" s="25">
        <f>IF(T94="","",HYPERLINK(IF(LEFT(T94,4)="http",T94,set_QwilrBase&amp;T94),"Open quote"))</f>
        <v/>
      </c>
      <c r="V94" s="25">
        <f>IF(C94="","",C94)</f>
        <v/>
      </c>
      <c r="W94" s="24" t="n"/>
      <c r="X94" s="26" t="n"/>
      <c r="Y94" s="27">
        <f>IF(C94="","",H94+N(X94))</f>
        <v/>
      </c>
      <c r="Z94" s="29">
        <f>IFERROR(X94/Y94,"")</f>
        <v/>
      </c>
      <c r="AA94" s="26" t="n"/>
      <c r="AB94" s="26" t="n"/>
      <c r="AC94" s="26" t="n"/>
      <c r="AD94" s="26" t="n"/>
      <c r="AE94" s="27">
        <f>IF(C94="","",SUMIFS(tbl_Finance[Ex GST],tbl_Finance[Job Number],C94&amp;"",tbl_Finance[Cost Centre],"VIDEO"))</f>
        <v/>
      </c>
      <c r="AF94" s="29">
        <f>IFERROR(AE94/H94,"")</f>
        <v/>
      </c>
      <c r="AG94" s="27">
        <f>IF(C94="","",N(AA94)+N(AB94)+N(AC94)+N(AD94))</f>
        <v/>
      </c>
      <c r="AH94" s="27">
        <f>IF(C94="","",H94-AG94)</f>
        <v/>
      </c>
      <c r="AI94" s="29">
        <f>IFERROR(AH94/H94,"")</f>
        <v/>
      </c>
      <c r="AJ94" s="64" t="n"/>
      <c r="AK94" s="64" t="n"/>
      <c r="AL94" s="64" t="n"/>
      <c r="AM94" s="64" t="n"/>
      <c r="AN94" s="64" t="n"/>
      <c r="AO94" s="24" t="n"/>
    </row>
    <row r="95" ht="15" customHeight="1">
      <c r="A95" s="63">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7">
        <f>IF(C95="","",SUMIFS(tbl_Finance[Inc GST],tbl_Finance[Job Number],C95&amp;""))</f>
        <v/>
      </c>
      <c r="M95" s="24" t="n"/>
      <c r="N95" s="25">
        <f>IF(C95="","",IFERROR(INDEX(tbl_Finance[Description],MATCH(C95&amp;"",tbl_Finance[Job Number],0)),""))</f>
        <v/>
      </c>
      <c r="O95" s="24" t="n"/>
      <c r="P95" s="24" t="n"/>
      <c r="Q95" s="22" t="n"/>
      <c r="R95" s="24" t="n"/>
      <c r="S95" s="25">
        <f>IF(R95="","",IF(AND(LEFT(R95,4)&lt;&gt;"http",set_RMSBase=""),"",HYPERLINK(IF(LEFT(R95,4)="http",R95,set_RMSBase&amp;R95),"Open opportunity")))</f>
        <v/>
      </c>
      <c r="T95" s="24" t="n"/>
      <c r="U95" s="25">
        <f>IF(T95="","",HYPERLINK(IF(LEFT(T95,4)="http",T95,set_QwilrBase&amp;T95),"Open quote"))</f>
        <v/>
      </c>
      <c r="V95" s="25">
        <f>IF(C95="","",C95)</f>
        <v/>
      </c>
      <c r="W95" s="24" t="n"/>
      <c r="X95" s="26" t="n"/>
      <c r="Y95" s="27">
        <f>IF(C95="","",H95+N(X95))</f>
        <v/>
      </c>
      <c r="Z95" s="29">
        <f>IFERROR(X95/Y95,"")</f>
        <v/>
      </c>
      <c r="AA95" s="26" t="n"/>
      <c r="AB95" s="26" t="n"/>
      <c r="AC95" s="26" t="n"/>
      <c r="AD95" s="26" t="n"/>
      <c r="AE95" s="27">
        <f>IF(C95="","",SUMIFS(tbl_Finance[Ex GST],tbl_Finance[Job Number],C95&amp;"",tbl_Finance[Cost Centre],"VIDEO"))</f>
        <v/>
      </c>
      <c r="AF95" s="29">
        <f>IFERROR(AE95/H95,"")</f>
        <v/>
      </c>
      <c r="AG95" s="27">
        <f>IF(C95="","",N(AA95)+N(AB95)+N(AC95)+N(AD95))</f>
        <v/>
      </c>
      <c r="AH95" s="27">
        <f>IF(C95="","",H95-AG95)</f>
        <v/>
      </c>
      <c r="AI95" s="29">
        <f>IFERROR(AH95/H95,"")</f>
        <v/>
      </c>
      <c r="AJ95" s="64" t="n"/>
      <c r="AK95" s="64" t="n"/>
      <c r="AL95" s="64" t="n"/>
      <c r="AM95" s="64" t="n"/>
      <c r="AN95" s="64" t="n"/>
      <c r="AO95" s="24" t="n"/>
    </row>
    <row r="96" ht="15" customHeight="1">
      <c r="A96" s="63">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7">
        <f>IF(C96="","",SUMIFS(tbl_Finance[Inc GST],tbl_Finance[Job Number],C96&amp;""))</f>
        <v/>
      </c>
      <c r="M96" s="24" t="n"/>
      <c r="N96" s="25">
        <f>IF(C96="","",IFERROR(INDEX(tbl_Finance[Description],MATCH(C96&amp;"",tbl_Finance[Job Number],0)),""))</f>
        <v/>
      </c>
      <c r="O96" s="24" t="n"/>
      <c r="P96" s="24" t="n"/>
      <c r="Q96" s="22" t="n"/>
      <c r="R96" s="24" t="n"/>
      <c r="S96" s="25">
        <f>IF(R96="","",IF(AND(LEFT(R96,4)&lt;&gt;"http",set_RMSBase=""),"",HYPERLINK(IF(LEFT(R96,4)="http",R96,set_RMSBase&amp;R96),"Open opportunity")))</f>
        <v/>
      </c>
      <c r="T96" s="24" t="n"/>
      <c r="U96" s="25">
        <f>IF(T96="","",HYPERLINK(IF(LEFT(T96,4)="http",T96,set_QwilrBase&amp;T96),"Open quote"))</f>
        <v/>
      </c>
      <c r="V96" s="25">
        <f>IF(C96="","",C96)</f>
        <v/>
      </c>
      <c r="W96" s="24" t="n"/>
      <c r="X96" s="26" t="n"/>
      <c r="Y96" s="27">
        <f>IF(C96="","",H96+N(X96))</f>
        <v/>
      </c>
      <c r="Z96" s="29">
        <f>IFERROR(X96/Y96,"")</f>
        <v/>
      </c>
      <c r="AA96" s="26" t="n"/>
      <c r="AB96" s="26" t="n"/>
      <c r="AC96" s="26" t="n"/>
      <c r="AD96" s="26" t="n"/>
      <c r="AE96" s="27">
        <f>IF(C96="","",SUMIFS(tbl_Finance[Ex GST],tbl_Finance[Job Number],C96&amp;"",tbl_Finance[Cost Centre],"VIDEO"))</f>
        <v/>
      </c>
      <c r="AF96" s="29">
        <f>IFERROR(AE96/H96,"")</f>
        <v/>
      </c>
      <c r="AG96" s="27">
        <f>IF(C96="","",N(AA96)+N(AB96)+N(AC96)+N(AD96))</f>
        <v/>
      </c>
      <c r="AH96" s="27">
        <f>IF(C96="","",H96-AG96)</f>
        <v/>
      </c>
      <c r="AI96" s="29">
        <f>IFERROR(AH96/H96,"")</f>
        <v/>
      </c>
      <c r="AJ96" s="64" t="n"/>
      <c r="AK96" s="64" t="n"/>
      <c r="AL96" s="64" t="n"/>
      <c r="AM96" s="64" t="n"/>
      <c r="AN96" s="64" t="n"/>
      <c r="AO96" s="24" t="n"/>
    </row>
    <row r="97" ht="15" customHeight="1">
      <c r="A97" s="63">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7">
        <f>IF(C97="","",SUMIFS(tbl_Finance[Inc GST],tbl_Finance[Job Number],C97&amp;""))</f>
        <v/>
      </c>
      <c r="M97" s="24" t="n"/>
      <c r="N97" s="25">
        <f>IF(C97="","",IFERROR(INDEX(tbl_Finance[Description],MATCH(C97&amp;"",tbl_Finance[Job Number],0)),""))</f>
        <v/>
      </c>
      <c r="O97" s="24" t="n"/>
      <c r="P97" s="24" t="n"/>
      <c r="Q97" s="22" t="n"/>
      <c r="R97" s="24" t="n"/>
      <c r="S97" s="25">
        <f>IF(R97="","",IF(AND(LEFT(R97,4)&lt;&gt;"http",set_RMSBase=""),"",HYPERLINK(IF(LEFT(R97,4)="http",R97,set_RMSBase&amp;R97),"Open opportunity")))</f>
        <v/>
      </c>
      <c r="T97" s="24" t="n"/>
      <c r="U97" s="25">
        <f>IF(T97="","",HYPERLINK(IF(LEFT(T97,4)="http",T97,set_QwilrBase&amp;T97),"Open quote"))</f>
        <v/>
      </c>
      <c r="V97" s="25">
        <f>IF(C97="","",C97)</f>
        <v/>
      </c>
      <c r="W97" s="24" t="n"/>
      <c r="X97" s="26" t="n"/>
      <c r="Y97" s="27">
        <f>IF(C97="","",H97+N(X97))</f>
        <v/>
      </c>
      <c r="Z97" s="29">
        <f>IFERROR(X97/Y97,"")</f>
        <v/>
      </c>
      <c r="AA97" s="26" t="n"/>
      <c r="AB97" s="26" t="n"/>
      <c r="AC97" s="26" t="n"/>
      <c r="AD97" s="26" t="n"/>
      <c r="AE97" s="27">
        <f>IF(C97="","",SUMIFS(tbl_Finance[Ex GST],tbl_Finance[Job Number],C97&amp;"",tbl_Finance[Cost Centre],"VIDEO"))</f>
        <v/>
      </c>
      <c r="AF97" s="29">
        <f>IFERROR(AE97/H97,"")</f>
        <v/>
      </c>
      <c r="AG97" s="27">
        <f>IF(C97="","",N(AA97)+N(AB97)+N(AC97)+N(AD97))</f>
        <v/>
      </c>
      <c r="AH97" s="27">
        <f>IF(C97="","",H97-AG97)</f>
        <v/>
      </c>
      <c r="AI97" s="29">
        <f>IFERROR(AH97/H97,"")</f>
        <v/>
      </c>
      <c r="AJ97" s="64" t="n"/>
      <c r="AK97" s="64" t="n"/>
      <c r="AL97" s="64" t="n"/>
      <c r="AM97" s="64" t="n"/>
      <c r="AN97" s="64" t="n"/>
      <c r="AO97" s="24" t="n"/>
    </row>
    <row r="98" ht="15" customHeight="1">
      <c r="A98" s="63">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7">
        <f>IF(C98="","",SUMIFS(tbl_Finance[Inc GST],tbl_Finance[Job Number],C98&amp;""))</f>
        <v/>
      </c>
      <c r="M98" s="24" t="n"/>
      <c r="N98" s="25">
        <f>IF(C98="","",IFERROR(INDEX(tbl_Finance[Description],MATCH(C98&amp;"",tbl_Finance[Job Number],0)),""))</f>
        <v/>
      </c>
      <c r="O98" s="24" t="n"/>
      <c r="P98" s="24" t="n"/>
      <c r="Q98" s="22" t="n"/>
      <c r="R98" s="24" t="n"/>
      <c r="S98" s="25">
        <f>IF(R98="","",IF(AND(LEFT(R98,4)&lt;&gt;"http",set_RMSBase=""),"",HYPERLINK(IF(LEFT(R98,4)="http",R98,set_RMSBase&amp;R98),"Open opportunity")))</f>
        <v/>
      </c>
      <c r="T98" s="24" t="n"/>
      <c r="U98" s="25">
        <f>IF(T98="","",HYPERLINK(IF(LEFT(T98,4)="http",T98,set_QwilrBase&amp;T98),"Open quote"))</f>
        <v/>
      </c>
      <c r="V98" s="25">
        <f>IF(C98="","",C98)</f>
        <v/>
      </c>
      <c r="W98" s="24" t="n"/>
      <c r="X98" s="26" t="n"/>
      <c r="Y98" s="27">
        <f>IF(C98="","",H98+N(X98))</f>
        <v/>
      </c>
      <c r="Z98" s="29">
        <f>IFERROR(X98/Y98,"")</f>
        <v/>
      </c>
      <c r="AA98" s="26" t="n"/>
      <c r="AB98" s="26" t="n"/>
      <c r="AC98" s="26" t="n"/>
      <c r="AD98" s="26" t="n"/>
      <c r="AE98" s="27">
        <f>IF(C98="","",SUMIFS(tbl_Finance[Ex GST],tbl_Finance[Job Number],C98&amp;"",tbl_Finance[Cost Centre],"VIDEO"))</f>
        <v/>
      </c>
      <c r="AF98" s="29">
        <f>IFERROR(AE98/H98,"")</f>
        <v/>
      </c>
      <c r="AG98" s="27">
        <f>IF(C98="","",N(AA98)+N(AB98)+N(AC98)+N(AD98))</f>
        <v/>
      </c>
      <c r="AH98" s="27">
        <f>IF(C98="","",H98-AG98)</f>
        <v/>
      </c>
      <c r="AI98" s="29">
        <f>IFERROR(AH98/H98,"")</f>
        <v/>
      </c>
      <c r="AJ98" s="64" t="n"/>
      <c r="AK98" s="64" t="n"/>
      <c r="AL98" s="64" t="n"/>
      <c r="AM98" s="64" t="n"/>
      <c r="AN98" s="64" t="n"/>
      <c r="AO98" s="24" t="n"/>
    </row>
    <row r="99" ht="15" customHeight="1">
      <c r="A99" s="63">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7">
        <f>IF(C99="","",SUMIFS(tbl_Finance[Inc GST],tbl_Finance[Job Number],C99&amp;""))</f>
        <v/>
      </c>
      <c r="M99" s="24" t="n"/>
      <c r="N99" s="25">
        <f>IF(C99="","",IFERROR(INDEX(tbl_Finance[Description],MATCH(C99&amp;"",tbl_Finance[Job Number],0)),""))</f>
        <v/>
      </c>
      <c r="O99" s="24" t="n"/>
      <c r="P99" s="24" t="n"/>
      <c r="Q99" s="22" t="n"/>
      <c r="R99" s="24" t="n"/>
      <c r="S99" s="25">
        <f>IF(R99="","",IF(AND(LEFT(R99,4)&lt;&gt;"http",set_RMSBase=""),"",HYPERLINK(IF(LEFT(R99,4)="http",R99,set_RMSBase&amp;R99),"Open opportunity")))</f>
        <v/>
      </c>
      <c r="T99" s="24" t="n"/>
      <c r="U99" s="25">
        <f>IF(T99="","",HYPERLINK(IF(LEFT(T99,4)="http",T99,set_QwilrBase&amp;T99),"Open quote"))</f>
        <v/>
      </c>
      <c r="V99" s="25">
        <f>IF(C99="","",C99)</f>
        <v/>
      </c>
      <c r="W99" s="24" t="n"/>
      <c r="X99" s="26" t="n"/>
      <c r="Y99" s="27">
        <f>IF(C99="","",H99+N(X99))</f>
        <v/>
      </c>
      <c r="Z99" s="29">
        <f>IFERROR(X99/Y99,"")</f>
        <v/>
      </c>
      <c r="AA99" s="26" t="n"/>
      <c r="AB99" s="26" t="n"/>
      <c r="AC99" s="26" t="n"/>
      <c r="AD99" s="26" t="n"/>
      <c r="AE99" s="27">
        <f>IF(C99="","",SUMIFS(tbl_Finance[Ex GST],tbl_Finance[Job Number],C99&amp;"",tbl_Finance[Cost Centre],"VIDEO"))</f>
        <v/>
      </c>
      <c r="AF99" s="29">
        <f>IFERROR(AE99/H99,"")</f>
        <v/>
      </c>
      <c r="AG99" s="27">
        <f>IF(C99="","",N(AA99)+N(AB99)+N(AC99)+N(AD99))</f>
        <v/>
      </c>
      <c r="AH99" s="27">
        <f>IF(C99="","",H99-AG99)</f>
        <v/>
      </c>
      <c r="AI99" s="29">
        <f>IFERROR(AH99/H99,"")</f>
        <v/>
      </c>
      <c r="AJ99" s="64" t="n"/>
      <c r="AK99" s="64" t="n"/>
      <c r="AL99" s="64" t="n"/>
      <c r="AM99" s="64" t="n"/>
      <c r="AN99" s="64" t="n"/>
      <c r="AO99" s="24" t="n"/>
    </row>
    <row r="100" ht="15" customHeight="1">
      <c r="A100" s="63">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7">
        <f>IF(C100="","",SUMIFS(tbl_Finance[Inc GST],tbl_Finance[Job Number],C100&amp;""))</f>
        <v/>
      </c>
      <c r="M100" s="24" t="n"/>
      <c r="N100" s="25">
        <f>IF(C100="","",IFERROR(INDEX(tbl_Finance[Description],MATCH(C100&amp;"",tbl_Finance[Job Number],0)),""))</f>
        <v/>
      </c>
      <c r="O100" s="24" t="n"/>
      <c r="P100" s="24" t="n"/>
      <c r="Q100" s="22" t="n"/>
      <c r="R100" s="24" t="n"/>
      <c r="S100" s="25">
        <f>IF(R100="","",IF(AND(LEFT(R100,4)&lt;&gt;"http",set_RMSBase=""),"",HYPERLINK(IF(LEFT(R100,4)="http",R100,set_RMSBase&amp;R100),"Open opportunity")))</f>
        <v/>
      </c>
      <c r="T100" s="24" t="n"/>
      <c r="U100" s="25">
        <f>IF(T100="","",HYPERLINK(IF(LEFT(T100,4)="http",T100,set_QwilrBase&amp;T100),"Open quote"))</f>
        <v/>
      </c>
      <c r="V100" s="25">
        <f>IF(C100="","",C100)</f>
        <v/>
      </c>
      <c r="W100" s="24" t="n"/>
      <c r="X100" s="26" t="n"/>
      <c r="Y100" s="27">
        <f>IF(C100="","",H100+N(X100))</f>
        <v/>
      </c>
      <c r="Z100" s="29">
        <f>IFERROR(X100/Y100,"")</f>
        <v/>
      </c>
      <c r="AA100" s="26" t="n"/>
      <c r="AB100" s="26" t="n"/>
      <c r="AC100" s="26" t="n"/>
      <c r="AD100" s="26" t="n"/>
      <c r="AE100" s="27">
        <f>IF(C100="","",SUMIFS(tbl_Finance[Ex GST],tbl_Finance[Job Number],C100&amp;"",tbl_Finance[Cost Centre],"VIDEO"))</f>
        <v/>
      </c>
      <c r="AF100" s="29">
        <f>IFERROR(AE100/H100,"")</f>
        <v/>
      </c>
      <c r="AG100" s="27">
        <f>IF(C100="","",N(AA100)+N(AB100)+N(AC100)+N(AD100))</f>
        <v/>
      </c>
      <c r="AH100" s="27">
        <f>IF(C100="","",H100-AG100)</f>
        <v/>
      </c>
      <c r="AI100" s="29">
        <f>IFERROR(AH100/H100,"")</f>
        <v/>
      </c>
      <c r="AJ100" s="64" t="n"/>
      <c r="AK100" s="64" t="n"/>
      <c r="AL100" s="64" t="n"/>
      <c r="AM100" s="64" t="n"/>
      <c r="AN100" s="64" t="n"/>
      <c r="AO100" s="24" t="n"/>
    </row>
    <row r="101" ht="15" customHeight="1">
      <c r="A101" s="63">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7">
        <f>IF(C101="","",SUMIFS(tbl_Finance[Inc GST],tbl_Finance[Job Number],C101&amp;""))</f>
        <v/>
      </c>
      <c r="M101" s="24" t="n"/>
      <c r="N101" s="25">
        <f>IF(C101="","",IFERROR(INDEX(tbl_Finance[Description],MATCH(C101&amp;"",tbl_Finance[Job Number],0)),""))</f>
        <v/>
      </c>
      <c r="O101" s="24" t="n"/>
      <c r="P101" s="24" t="n"/>
      <c r="Q101" s="22" t="n"/>
      <c r="R101" s="24" t="n"/>
      <c r="S101" s="25">
        <f>IF(R101="","",IF(AND(LEFT(R101,4)&lt;&gt;"http",set_RMSBase=""),"",HYPERLINK(IF(LEFT(R101,4)="http",R101,set_RMSBase&amp;R101),"Open opportunity")))</f>
        <v/>
      </c>
      <c r="T101" s="24" t="n"/>
      <c r="U101" s="25">
        <f>IF(T101="","",HYPERLINK(IF(LEFT(T101,4)="http",T101,set_QwilrBase&amp;T101),"Open quote"))</f>
        <v/>
      </c>
      <c r="V101" s="25">
        <f>IF(C101="","",C101)</f>
        <v/>
      </c>
      <c r="W101" s="24" t="n"/>
      <c r="X101" s="26" t="n"/>
      <c r="Y101" s="27">
        <f>IF(C101="","",H101+N(X101))</f>
        <v/>
      </c>
      <c r="Z101" s="29">
        <f>IFERROR(X101/Y101,"")</f>
        <v/>
      </c>
      <c r="AA101" s="26" t="n"/>
      <c r="AB101" s="26" t="n"/>
      <c r="AC101" s="26" t="n"/>
      <c r="AD101" s="26" t="n"/>
      <c r="AE101" s="27">
        <f>IF(C101="","",SUMIFS(tbl_Finance[Ex GST],tbl_Finance[Job Number],C101&amp;"",tbl_Finance[Cost Centre],"VIDEO"))</f>
        <v/>
      </c>
      <c r="AF101" s="29">
        <f>IFERROR(AE101/H101,"")</f>
        <v/>
      </c>
      <c r="AG101" s="27">
        <f>IF(C101="","",N(AA101)+N(AB101)+N(AC101)+N(AD101))</f>
        <v/>
      </c>
      <c r="AH101" s="27">
        <f>IF(C101="","",H101-AG101)</f>
        <v/>
      </c>
      <c r="AI101" s="29">
        <f>IFERROR(AH101/H101,"")</f>
        <v/>
      </c>
      <c r="AJ101" s="64" t="n"/>
      <c r="AK101" s="64" t="n"/>
      <c r="AL101" s="64" t="n"/>
      <c r="AM101" s="64" t="n"/>
      <c r="AN101" s="64" t="n"/>
      <c r="AO101" s="24" t="n"/>
    </row>
    <row r="102" ht="15" customHeight="1">
      <c r="A102" s="63">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7">
        <f>IF(C102="","",SUMIFS(tbl_Finance[Inc GST],tbl_Finance[Job Number],C102&amp;""))</f>
        <v/>
      </c>
      <c r="M102" s="24" t="n"/>
      <c r="N102" s="25">
        <f>IF(C102="","",IFERROR(INDEX(tbl_Finance[Description],MATCH(C102&amp;"",tbl_Finance[Job Number],0)),""))</f>
        <v/>
      </c>
      <c r="O102" s="24" t="n"/>
      <c r="P102" s="24" t="n"/>
      <c r="Q102" s="22" t="n"/>
      <c r="R102" s="24" t="n"/>
      <c r="S102" s="25">
        <f>IF(R102="","",IF(AND(LEFT(R102,4)&lt;&gt;"http",set_RMSBase=""),"",HYPERLINK(IF(LEFT(R102,4)="http",R102,set_RMSBase&amp;R102),"Open opportunity")))</f>
        <v/>
      </c>
      <c r="T102" s="24" t="n"/>
      <c r="U102" s="25">
        <f>IF(T102="","",HYPERLINK(IF(LEFT(T102,4)="http",T102,set_QwilrBase&amp;T102),"Open quote"))</f>
        <v/>
      </c>
      <c r="V102" s="25">
        <f>IF(C102="","",C102)</f>
        <v/>
      </c>
      <c r="W102" s="24" t="n"/>
      <c r="X102" s="26" t="n"/>
      <c r="Y102" s="27">
        <f>IF(C102="","",H102+N(X102))</f>
        <v/>
      </c>
      <c r="Z102" s="29">
        <f>IFERROR(X102/Y102,"")</f>
        <v/>
      </c>
      <c r="AA102" s="26" t="n"/>
      <c r="AB102" s="26" t="n"/>
      <c r="AC102" s="26" t="n"/>
      <c r="AD102" s="26" t="n"/>
      <c r="AE102" s="27">
        <f>IF(C102="","",SUMIFS(tbl_Finance[Ex GST],tbl_Finance[Job Number],C102&amp;"",tbl_Finance[Cost Centre],"VIDEO"))</f>
        <v/>
      </c>
      <c r="AF102" s="29">
        <f>IFERROR(AE102/H102,"")</f>
        <v/>
      </c>
      <c r="AG102" s="27">
        <f>IF(C102="","",N(AA102)+N(AB102)+N(AC102)+N(AD102))</f>
        <v/>
      </c>
      <c r="AH102" s="27">
        <f>IF(C102="","",H102-AG102)</f>
        <v/>
      </c>
      <c r="AI102" s="29">
        <f>IFERROR(AH102/H102,"")</f>
        <v/>
      </c>
      <c r="AJ102" s="64" t="n"/>
      <c r="AK102" s="64" t="n"/>
      <c r="AL102" s="64" t="n"/>
      <c r="AM102" s="64" t="n"/>
      <c r="AN102" s="64" t="n"/>
      <c r="AO102" s="24" t="n"/>
    </row>
    <row r="103" ht="15" customHeight="1">
      <c r="A103" s="63">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7">
        <f>IF(C103="","",SUMIFS(tbl_Finance[Inc GST],tbl_Finance[Job Number],C103&amp;""))</f>
        <v/>
      </c>
      <c r="M103" s="24" t="n"/>
      <c r="N103" s="25">
        <f>IF(C103="","",IFERROR(INDEX(tbl_Finance[Description],MATCH(C103&amp;"",tbl_Finance[Job Number],0)),""))</f>
        <v/>
      </c>
      <c r="O103" s="24" t="n"/>
      <c r="P103" s="24" t="n"/>
      <c r="Q103" s="22" t="n"/>
      <c r="R103" s="24" t="n"/>
      <c r="S103" s="25">
        <f>IF(R103="","",IF(AND(LEFT(R103,4)&lt;&gt;"http",set_RMSBase=""),"",HYPERLINK(IF(LEFT(R103,4)="http",R103,set_RMSBase&amp;R103),"Open opportunity")))</f>
        <v/>
      </c>
      <c r="T103" s="24" t="n"/>
      <c r="U103" s="25">
        <f>IF(T103="","",HYPERLINK(IF(LEFT(T103,4)="http",T103,set_QwilrBase&amp;T103),"Open quote"))</f>
        <v/>
      </c>
      <c r="V103" s="25">
        <f>IF(C103="","",C103)</f>
        <v/>
      </c>
      <c r="W103" s="24" t="n"/>
      <c r="X103" s="26" t="n"/>
      <c r="Y103" s="27">
        <f>IF(C103="","",H103+N(X103))</f>
        <v/>
      </c>
      <c r="Z103" s="29">
        <f>IFERROR(X103/Y103,"")</f>
        <v/>
      </c>
      <c r="AA103" s="26" t="n"/>
      <c r="AB103" s="26" t="n"/>
      <c r="AC103" s="26" t="n"/>
      <c r="AD103" s="26" t="n"/>
      <c r="AE103" s="27">
        <f>IF(C103="","",SUMIFS(tbl_Finance[Ex GST],tbl_Finance[Job Number],C103&amp;"",tbl_Finance[Cost Centre],"VIDEO"))</f>
        <v/>
      </c>
      <c r="AF103" s="29">
        <f>IFERROR(AE103/H103,"")</f>
        <v/>
      </c>
      <c r="AG103" s="27">
        <f>IF(C103="","",N(AA103)+N(AB103)+N(AC103)+N(AD103))</f>
        <v/>
      </c>
      <c r="AH103" s="27">
        <f>IF(C103="","",H103-AG103)</f>
        <v/>
      </c>
      <c r="AI103" s="29">
        <f>IFERROR(AH103/H103,"")</f>
        <v/>
      </c>
      <c r="AJ103" s="64" t="n"/>
      <c r="AK103" s="64" t="n"/>
      <c r="AL103" s="64" t="n"/>
      <c r="AM103" s="64" t="n"/>
      <c r="AN103" s="64" t="n"/>
      <c r="AO103" s="24" t="n"/>
    </row>
    <row r="104" ht="15" customHeight="1">
      <c r="A104" s="63">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7">
        <f>IF(C104="","",SUMIFS(tbl_Finance[Inc GST],tbl_Finance[Job Number],C104&amp;""))</f>
        <v/>
      </c>
      <c r="M104" s="24" t="n"/>
      <c r="N104" s="25">
        <f>IF(C104="","",IFERROR(INDEX(tbl_Finance[Description],MATCH(C104&amp;"",tbl_Finance[Job Number],0)),""))</f>
        <v/>
      </c>
      <c r="O104" s="24" t="n"/>
      <c r="P104" s="24" t="n"/>
      <c r="Q104" s="22" t="n"/>
      <c r="R104" s="24" t="n"/>
      <c r="S104" s="25">
        <f>IF(R104="","",IF(AND(LEFT(R104,4)&lt;&gt;"http",set_RMSBase=""),"",HYPERLINK(IF(LEFT(R104,4)="http",R104,set_RMSBase&amp;R104),"Open opportunity")))</f>
        <v/>
      </c>
      <c r="T104" s="24" t="n"/>
      <c r="U104" s="25">
        <f>IF(T104="","",HYPERLINK(IF(LEFT(T104,4)="http",T104,set_QwilrBase&amp;T104),"Open quote"))</f>
        <v/>
      </c>
      <c r="V104" s="25">
        <f>IF(C104="","",C104)</f>
        <v/>
      </c>
      <c r="W104" s="24" t="n"/>
      <c r="X104" s="26" t="n"/>
      <c r="Y104" s="27">
        <f>IF(C104="","",H104+N(X104))</f>
        <v/>
      </c>
      <c r="Z104" s="29">
        <f>IFERROR(X104/Y104,"")</f>
        <v/>
      </c>
      <c r="AA104" s="26" t="n"/>
      <c r="AB104" s="26" t="n"/>
      <c r="AC104" s="26" t="n"/>
      <c r="AD104" s="26" t="n"/>
      <c r="AE104" s="27">
        <f>IF(C104="","",SUMIFS(tbl_Finance[Ex GST],tbl_Finance[Job Number],C104&amp;"",tbl_Finance[Cost Centre],"VIDEO"))</f>
        <v/>
      </c>
      <c r="AF104" s="29">
        <f>IFERROR(AE104/H104,"")</f>
        <v/>
      </c>
      <c r="AG104" s="27">
        <f>IF(C104="","",N(AA104)+N(AB104)+N(AC104)+N(AD104))</f>
        <v/>
      </c>
      <c r="AH104" s="27">
        <f>IF(C104="","",H104-AG104)</f>
        <v/>
      </c>
      <c r="AI104" s="29">
        <f>IFERROR(AH104/H104,"")</f>
        <v/>
      </c>
      <c r="AJ104" s="64" t="n"/>
      <c r="AK104" s="64" t="n"/>
      <c r="AL104" s="64" t="n"/>
      <c r="AM104" s="64" t="n"/>
      <c r="AN104" s="64" t="n"/>
      <c r="AO104" s="24" t="n"/>
    </row>
    <row r="105" ht="15" customHeight="1">
      <c r="A105" s="63">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7">
        <f>IF(C105="","",SUMIFS(tbl_Finance[Inc GST],tbl_Finance[Job Number],C105&amp;""))</f>
        <v/>
      </c>
      <c r="M105" s="24" t="n"/>
      <c r="N105" s="25">
        <f>IF(C105="","",IFERROR(INDEX(tbl_Finance[Description],MATCH(C105&amp;"",tbl_Finance[Job Number],0)),""))</f>
        <v/>
      </c>
      <c r="O105" s="24" t="n"/>
      <c r="P105" s="24" t="n"/>
      <c r="Q105" s="22" t="n"/>
      <c r="R105" s="24" t="n"/>
      <c r="S105" s="25">
        <f>IF(R105="","",IF(AND(LEFT(R105,4)&lt;&gt;"http",set_RMSBase=""),"",HYPERLINK(IF(LEFT(R105,4)="http",R105,set_RMSBase&amp;R105),"Open opportunity")))</f>
        <v/>
      </c>
      <c r="T105" s="24" t="n"/>
      <c r="U105" s="25">
        <f>IF(T105="","",HYPERLINK(IF(LEFT(T105,4)="http",T105,set_QwilrBase&amp;T105),"Open quote"))</f>
        <v/>
      </c>
      <c r="V105" s="25">
        <f>IF(C105="","",C105)</f>
        <v/>
      </c>
      <c r="W105" s="24" t="n"/>
      <c r="X105" s="26" t="n"/>
      <c r="Y105" s="27">
        <f>IF(C105="","",H105+N(X105))</f>
        <v/>
      </c>
      <c r="Z105" s="29">
        <f>IFERROR(X105/Y105,"")</f>
        <v/>
      </c>
      <c r="AA105" s="26" t="n"/>
      <c r="AB105" s="26" t="n"/>
      <c r="AC105" s="26" t="n"/>
      <c r="AD105" s="26" t="n"/>
      <c r="AE105" s="27">
        <f>IF(C105="","",SUMIFS(tbl_Finance[Ex GST],tbl_Finance[Job Number],C105&amp;"",tbl_Finance[Cost Centre],"VIDEO"))</f>
        <v/>
      </c>
      <c r="AF105" s="29">
        <f>IFERROR(AE105/H105,"")</f>
        <v/>
      </c>
      <c r="AG105" s="27">
        <f>IF(C105="","",N(AA105)+N(AB105)+N(AC105)+N(AD105))</f>
        <v/>
      </c>
      <c r="AH105" s="27">
        <f>IF(C105="","",H105-AG105)</f>
        <v/>
      </c>
      <c r="AI105" s="29">
        <f>IFERROR(AH105/H105,"")</f>
        <v/>
      </c>
      <c r="AJ105" s="64" t="n"/>
      <c r="AK105" s="64" t="n"/>
      <c r="AL105" s="64" t="n"/>
      <c r="AM105" s="64" t="n"/>
      <c r="AN105" s="64" t="n"/>
      <c r="AO105" s="24" t="n"/>
    </row>
    <row r="106" ht="15" customHeight="1">
      <c r="A106" s="63">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7">
        <f>IF(C106="","",SUMIFS(tbl_Finance[Inc GST],tbl_Finance[Job Number],C106&amp;""))</f>
        <v/>
      </c>
      <c r="M106" s="24" t="n"/>
      <c r="N106" s="25">
        <f>IF(C106="","",IFERROR(INDEX(tbl_Finance[Description],MATCH(C106&amp;"",tbl_Finance[Job Number],0)),""))</f>
        <v/>
      </c>
      <c r="O106" s="24" t="n"/>
      <c r="P106" s="24" t="n"/>
      <c r="Q106" s="22" t="n"/>
      <c r="R106" s="24" t="n"/>
      <c r="S106" s="25">
        <f>IF(R106="","",IF(AND(LEFT(R106,4)&lt;&gt;"http",set_RMSBase=""),"",HYPERLINK(IF(LEFT(R106,4)="http",R106,set_RMSBase&amp;R106),"Open opportunity")))</f>
        <v/>
      </c>
      <c r="T106" s="24" t="n"/>
      <c r="U106" s="25">
        <f>IF(T106="","",HYPERLINK(IF(LEFT(T106,4)="http",T106,set_QwilrBase&amp;T106),"Open quote"))</f>
        <v/>
      </c>
      <c r="V106" s="25">
        <f>IF(C106="","",C106)</f>
        <v/>
      </c>
      <c r="W106" s="24" t="n"/>
      <c r="X106" s="26" t="n"/>
      <c r="Y106" s="27">
        <f>IF(C106="","",H106+N(X106))</f>
        <v/>
      </c>
      <c r="Z106" s="29">
        <f>IFERROR(X106/Y106,"")</f>
        <v/>
      </c>
      <c r="AA106" s="26" t="n"/>
      <c r="AB106" s="26" t="n"/>
      <c r="AC106" s="26" t="n"/>
      <c r="AD106" s="26" t="n"/>
      <c r="AE106" s="27">
        <f>IF(C106="","",SUMIFS(tbl_Finance[Ex GST],tbl_Finance[Job Number],C106&amp;"",tbl_Finance[Cost Centre],"VIDEO"))</f>
        <v/>
      </c>
      <c r="AF106" s="29">
        <f>IFERROR(AE106/H106,"")</f>
        <v/>
      </c>
      <c r="AG106" s="27">
        <f>IF(C106="","",N(AA106)+N(AB106)+N(AC106)+N(AD106))</f>
        <v/>
      </c>
      <c r="AH106" s="27">
        <f>IF(C106="","",H106-AG106)</f>
        <v/>
      </c>
      <c r="AI106" s="29">
        <f>IFERROR(AH106/H106,"")</f>
        <v/>
      </c>
      <c r="AJ106" s="64" t="n"/>
      <c r="AK106" s="64" t="n"/>
      <c r="AL106" s="64" t="n"/>
      <c r="AM106" s="64" t="n"/>
      <c r="AN106" s="64" t="n"/>
      <c r="AO106" s="24" t="n"/>
    </row>
    <row r="107" ht="15" customHeight="1">
      <c r="A107" s="63">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7">
        <f>IF(C107="","",SUMIFS(tbl_Finance[Inc GST],tbl_Finance[Job Number],C107&amp;""))</f>
        <v/>
      </c>
      <c r="M107" s="24" t="n"/>
      <c r="N107" s="25">
        <f>IF(C107="","",IFERROR(INDEX(tbl_Finance[Description],MATCH(C107&amp;"",tbl_Finance[Job Number],0)),""))</f>
        <v/>
      </c>
      <c r="O107" s="24" t="n"/>
      <c r="P107" s="24" t="n"/>
      <c r="Q107" s="22" t="n"/>
      <c r="R107" s="24" t="n"/>
      <c r="S107" s="25">
        <f>IF(R107="","",IF(AND(LEFT(R107,4)&lt;&gt;"http",set_RMSBase=""),"",HYPERLINK(IF(LEFT(R107,4)="http",R107,set_RMSBase&amp;R107),"Open opportunity")))</f>
        <v/>
      </c>
      <c r="T107" s="24" t="n"/>
      <c r="U107" s="25">
        <f>IF(T107="","",HYPERLINK(IF(LEFT(T107,4)="http",T107,set_QwilrBase&amp;T107),"Open quote"))</f>
        <v/>
      </c>
      <c r="V107" s="25">
        <f>IF(C107="","",C107)</f>
        <v/>
      </c>
      <c r="W107" s="24" t="n"/>
      <c r="X107" s="26" t="n"/>
      <c r="Y107" s="27">
        <f>IF(C107="","",H107+N(X107))</f>
        <v/>
      </c>
      <c r="Z107" s="29">
        <f>IFERROR(X107/Y107,"")</f>
        <v/>
      </c>
      <c r="AA107" s="26" t="n"/>
      <c r="AB107" s="26" t="n"/>
      <c r="AC107" s="26" t="n"/>
      <c r="AD107" s="26" t="n"/>
      <c r="AE107" s="27">
        <f>IF(C107="","",SUMIFS(tbl_Finance[Ex GST],tbl_Finance[Job Number],C107&amp;"",tbl_Finance[Cost Centre],"VIDEO"))</f>
        <v/>
      </c>
      <c r="AF107" s="29">
        <f>IFERROR(AE107/H107,"")</f>
        <v/>
      </c>
      <c r="AG107" s="27">
        <f>IF(C107="","",N(AA107)+N(AB107)+N(AC107)+N(AD107))</f>
        <v/>
      </c>
      <c r="AH107" s="27">
        <f>IF(C107="","",H107-AG107)</f>
        <v/>
      </c>
      <c r="AI107" s="29">
        <f>IFERROR(AH107/H107,"")</f>
        <v/>
      </c>
      <c r="AJ107" s="64" t="n"/>
      <c r="AK107" s="64" t="n"/>
      <c r="AL107" s="64" t="n"/>
      <c r="AM107" s="64" t="n"/>
      <c r="AN107" s="64" t="n"/>
      <c r="AO107" s="24" t="n"/>
    </row>
    <row r="108" ht="15" customHeight="1">
      <c r="A108" s="63">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7">
        <f>IF(C108="","",SUMIFS(tbl_Finance[Inc GST],tbl_Finance[Job Number],C108&amp;""))</f>
        <v/>
      </c>
      <c r="M108" s="24" t="n"/>
      <c r="N108" s="25">
        <f>IF(C108="","",IFERROR(INDEX(tbl_Finance[Description],MATCH(C108&amp;"",tbl_Finance[Job Number],0)),""))</f>
        <v/>
      </c>
      <c r="O108" s="24" t="n"/>
      <c r="P108" s="24" t="n"/>
      <c r="Q108" s="22" t="n"/>
      <c r="R108" s="24" t="n"/>
      <c r="S108" s="25">
        <f>IF(R108="","",IF(AND(LEFT(R108,4)&lt;&gt;"http",set_RMSBase=""),"",HYPERLINK(IF(LEFT(R108,4)="http",R108,set_RMSBase&amp;R108),"Open opportunity")))</f>
        <v/>
      </c>
      <c r="T108" s="24" t="n"/>
      <c r="U108" s="25">
        <f>IF(T108="","",HYPERLINK(IF(LEFT(T108,4)="http",T108,set_QwilrBase&amp;T108),"Open quote"))</f>
        <v/>
      </c>
      <c r="V108" s="25">
        <f>IF(C108="","",C108)</f>
        <v/>
      </c>
      <c r="W108" s="24" t="n"/>
      <c r="X108" s="26" t="n"/>
      <c r="Y108" s="27">
        <f>IF(C108="","",H108+N(X108))</f>
        <v/>
      </c>
      <c r="Z108" s="29">
        <f>IFERROR(X108/Y108,"")</f>
        <v/>
      </c>
      <c r="AA108" s="26" t="n"/>
      <c r="AB108" s="26" t="n"/>
      <c r="AC108" s="26" t="n"/>
      <c r="AD108" s="26" t="n"/>
      <c r="AE108" s="27">
        <f>IF(C108="","",SUMIFS(tbl_Finance[Ex GST],tbl_Finance[Job Number],C108&amp;"",tbl_Finance[Cost Centre],"VIDEO"))</f>
        <v/>
      </c>
      <c r="AF108" s="29">
        <f>IFERROR(AE108/H108,"")</f>
        <v/>
      </c>
      <c r="AG108" s="27">
        <f>IF(C108="","",N(AA108)+N(AB108)+N(AC108)+N(AD108))</f>
        <v/>
      </c>
      <c r="AH108" s="27">
        <f>IF(C108="","",H108-AG108)</f>
        <v/>
      </c>
      <c r="AI108" s="29">
        <f>IFERROR(AH108/H108,"")</f>
        <v/>
      </c>
      <c r="AJ108" s="64" t="n"/>
      <c r="AK108" s="64" t="n"/>
      <c r="AL108" s="64" t="n"/>
      <c r="AM108" s="64" t="n"/>
      <c r="AN108" s="64" t="n"/>
      <c r="AO108" s="24" t="n"/>
    </row>
    <row r="109" ht="15" customHeight="1">
      <c r="A109" s="63">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7">
        <f>IF(C109="","",SUMIFS(tbl_Finance[Inc GST],tbl_Finance[Job Number],C109&amp;""))</f>
        <v/>
      </c>
      <c r="M109" s="24" t="n"/>
      <c r="N109" s="25">
        <f>IF(C109="","",IFERROR(INDEX(tbl_Finance[Description],MATCH(C109&amp;"",tbl_Finance[Job Number],0)),""))</f>
        <v/>
      </c>
      <c r="O109" s="24" t="n"/>
      <c r="P109" s="24" t="n"/>
      <c r="Q109" s="22" t="n"/>
      <c r="R109" s="24" t="n"/>
      <c r="S109" s="25">
        <f>IF(R109="","",IF(AND(LEFT(R109,4)&lt;&gt;"http",set_RMSBase=""),"",HYPERLINK(IF(LEFT(R109,4)="http",R109,set_RMSBase&amp;R109),"Open opportunity")))</f>
        <v/>
      </c>
      <c r="T109" s="24" t="n"/>
      <c r="U109" s="25">
        <f>IF(T109="","",HYPERLINK(IF(LEFT(T109,4)="http",T109,set_QwilrBase&amp;T109),"Open quote"))</f>
        <v/>
      </c>
      <c r="V109" s="25">
        <f>IF(C109="","",C109)</f>
        <v/>
      </c>
      <c r="W109" s="24" t="n"/>
      <c r="X109" s="26" t="n"/>
      <c r="Y109" s="27">
        <f>IF(C109="","",H109+N(X109))</f>
        <v/>
      </c>
      <c r="Z109" s="29">
        <f>IFERROR(X109/Y109,"")</f>
        <v/>
      </c>
      <c r="AA109" s="26" t="n"/>
      <c r="AB109" s="26" t="n"/>
      <c r="AC109" s="26" t="n"/>
      <c r="AD109" s="26" t="n"/>
      <c r="AE109" s="27">
        <f>IF(C109="","",SUMIFS(tbl_Finance[Ex GST],tbl_Finance[Job Number],C109&amp;"",tbl_Finance[Cost Centre],"VIDEO"))</f>
        <v/>
      </c>
      <c r="AF109" s="29">
        <f>IFERROR(AE109/H109,"")</f>
        <v/>
      </c>
      <c r="AG109" s="27">
        <f>IF(C109="","",N(AA109)+N(AB109)+N(AC109)+N(AD109))</f>
        <v/>
      </c>
      <c r="AH109" s="27">
        <f>IF(C109="","",H109-AG109)</f>
        <v/>
      </c>
      <c r="AI109" s="29">
        <f>IFERROR(AH109/H109,"")</f>
        <v/>
      </c>
      <c r="AJ109" s="64" t="n"/>
      <c r="AK109" s="64" t="n"/>
      <c r="AL109" s="64" t="n"/>
      <c r="AM109" s="64" t="n"/>
      <c r="AN109" s="64" t="n"/>
      <c r="AO109" s="24" t="n"/>
    </row>
    <row r="110" ht="15" customHeight="1">
      <c r="A110" s="63">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7">
        <f>IF(C110="","",SUMIFS(tbl_Finance[Inc GST],tbl_Finance[Job Number],C110&amp;""))</f>
        <v/>
      </c>
      <c r="M110" s="24" t="n"/>
      <c r="N110" s="25">
        <f>IF(C110="","",IFERROR(INDEX(tbl_Finance[Description],MATCH(C110&amp;"",tbl_Finance[Job Number],0)),""))</f>
        <v/>
      </c>
      <c r="O110" s="24" t="n"/>
      <c r="P110" s="24" t="n"/>
      <c r="Q110" s="22" t="n"/>
      <c r="R110" s="24" t="n"/>
      <c r="S110" s="25">
        <f>IF(R110="","",IF(AND(LEFT(R110,4)&lt;&gt;"http",set_RMSBase=""),"",HYPERLINK(IF(LEFT(R110,4)="http",R110,set_RMSBase&amp;R110),"Open opportunity")))</f>
        <v/>
      </c>
      <c r="T110" s="24" t="n"/>
      <c r="U110" s="25">
        <f>IF(T110="","",HYPERLINK(IF(LEFT(T110,4)="http",T110,set_QwilrBase&amp;T110),"Open quote"))</f>
        <v/>
      </c>
      <c r="V110" s="25">
        <f>IF(C110="","",C110)</f>
        <v/>
      </c>
      <c r="W110" s="24" t="n"/>
      <c r="X110" s="26" t="n"/>
      <c r="Y110" s="27">
        <f>IF(C110="","",H110+N(X110))</f>
        <v/>
      </c>
      <c r="Z110" s="29">
        <f>IFERROR(X110/Y110,"")</f>
        <v/>
      </c>
      <c r="AA110" s="26" t="n"/>
      <c r="AB110" s="26" t="n"/>
      <c r="AC110" s="26" t="n"/>
      <c r="AD110" s="26" t="n"/>
      <c r="AE110" s="27">
        <f>IF(C110="","",SUMIFS(tbl_Finance[Ex GST],tbl_Finance[Job Number],C110&amp;"",tbl_Finance[Cost Centre],"VIDEO"))</f>
        <v/>
      </c>
      <c r="AF110" s="29">
        <f>IFERROR(AE110/H110,"")</f>
        <v/>
      </c>
      <c r="AG110" s="27">
        <f>IF(C110="","",N(AA110)+N(AB110)+N(AC110)+N(AD110))</f>
        <v/>
      </c>
      <c r="AH110" s="27">
        <f>IF(C110="","",H110-AG110)</f>
        <v/>
      </c>
      <c r="AI110" s="29">
        <f>IFERROR(AH110/H110,"")</f>
        <v/>
      </c>
      <c r="AJ110" s="64" t="n"/>
      <c r="AK110" s="64" t="n"/>
      <c r="AL110" s="64" t="n"/>
      <c r="AM110" s="64" t="n"/>
      <c r="AN110" s="64" t="n"/>
      <c r="AO110" s="24" t="n"/>
    </row>
    <row r="111" ht="15" customHeight="1">
      <c r="A111" s="63">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7">
        <f>IF(C111="","",SUMIFS(tbl_Finance[Inc GST],tbl_Finance[Job Number],C111&amp;""))</f>
        <v/>
      </c>
      <c r="M111" s="24" t="n"/>
      <c r="N111" s="25">
        <f>IF(C111="","",IFERROR(INDEX(tbl_Finance[Description],MATCH(C111&amp;"",tbl_Finance[Job Number],0)),""))</f>
        <v/>
      </c>
      <c r="O111" s="24" t="n"/>
      <c r="P111" s="24" t="n"/>
      <c r="Q111" s="22" t="n"/>
      <c r="R111" s="24" t="n"/>
      <c r="S111" s="25">
        <f>IF(R111="","",IF(AND(LEFT(R111,4)&lt;&gt;"http",set_RMSBase=""),"",HYPERLINK(IF(LEFT(R111,4)="http",R111,set_RMSBase&amp;R111),"Open opportunity")))</f>
        <v/>
      </c>
      <c r="T111" s="24" t="n"/>
      <c r="U111" s="25">
        <f>IF(T111="","",HYPERLINK(IF(LEFT(T111,4)="http",T111,set_QwilrBase&amp;T111),"Open quote"))</f>
        <v/>
      </c>
      <c r="V111" s="25">
        <f>IF(C111="","",C111)</f>
        <v/>
      </c>
      <c r="W111" s="24" t="n"/>
      <c r="X111" s="26" t="n"/>
      <c r="Y111" s="27">
        <f>IF(C111="","",H111+N(X111))</f>
        <v/>
      </c>
      <c r="Z111" s="29">
        <f>IFERROR(X111/Y111,"")</f>
        <v/>
      </c>
      <c r="AA111" s="26" t="n"/>
      <c r="AB111" s="26" t="n"/>
      <c r="AC111" s="26" t="n"/>
      <c r="AD111" s="26" t="n"/>
      <c r="AE111" s="27">
        <f>IF(C111="","",SUMIFS(tbl_Finance[Ex GST],tbl_Finance[Job Number],C111&amp;"",tbl_Finance[Cost Centre],"VIDEO"))</f>
        <v/>
      </c>
      <c r="AF111" s="29">
        <f>IFERROR(AE111/H111,"")</f>
        <v/>
      </c>
      <c r="AG111" s="27">
        <f>IF(C111="","",N(AA111)+N(AB111)+N(AC111)+N(AD111))</f>
        <v/>
      </c>
      <c r="AH111" s="27">
        <f>IF(C111="","",H111-AG111)</f>
        <v/>
      </c>
      <c r="AI111" s="29">
        <f>IFERROR(AH111/H111,"")</f>
        <v/>
      </c>
      <c r="AJ111" s="64" t="n"/>
      <c r="AK111" s="64" t="n"/>
      <c r="AL111" s="64" t="n"/>
      <c r="AM111" s="64" t="n"/>
      <c r="AN111" s="64" t="n"/>
      <c r="AO111" s="24" t="n"/>
    </row>
    <row r="112" ht="15" customHeight="1">
      <c r="A112" s="63">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7">
        <f>IF(C112="","",SUMIFS(tbl_Finance[Inc GST],tbl_Finance[Job Number],C112&amp;""))</f>
        <v/>
      </c>
      <c r="M112" s="24" t="n"/>
      <c r="N112" s="25">
        <f>IF(C112="","",IFERROR(INDEX(tbl_Finance[Description],MATCH(C112&amp;"",tbl_Finance[Job Number],0)),""))</f>
        <v/>
      </c>
      <c r="O112" s="24" t="n"/>
      <c r="P112" s="24" t="n"/>
      <c r="Q112" s="22" t="n"/>
      <c r="R112" s="24" t="n"/>
      <c r="S112" s="25">
        <f>IF(R112="","",IF(AND(LEFT(R112,4)&lt;&gt;"http",set_RMSBase=""),"",HYPERLINK(IF(LEFT(R112,4)="http",R112,set_RMSBase&amp;R112),"Open opportunity")))</f>
        <v/>
      </c>
      <c r="T112" s="24" t="n"/>
      <c r="U112" s="25">
        <f>IF(T112="","",HYPERLINK(IF(LEFT(T112,4)="http",T112,set_QwilrBase&amp;T112),"Open quote"))</f>
        <v/>
      </c>
      <c r="V112" s="25">
        <f>IF(C112="","",C112)</f>
        <v/>
      </c>
      <c r="W112" s="24" t="n"/>
      <c r="X112" s="26" t="n"/>
      <c r="Y112" s="27">
        <f>IF(C112="","",H112+N(X112))</f>
        <v/>
      </c>
      <c r="Z112" s="29">
        <f>IFERROR(X112/Y112,"")</f>
        <v/>
      </c>
      <c r="AA112" s="26" t="n"/>
      <c r="AB112" s="26" t="n"/>
      <c r="AC112" s="26" t="n"/>
      <c r="AD112" s="26" t="n"/>
      <c r="AE112" s="27">
        <f>IF(C112="","",SUMIFS(tbl_Finance[Ex GST],tbl_Finance[Job Number],C112&amp;"",tbl_Finance[Cost Centre],"VIDEO"))</f>
        <v/>
      </c>
      <c r="AF112" s="29">
        <f>IFERROR(AE112/H112,"")</f>
        <v/>
      </c>
      <c r="AG112" s="27">
        <f>IF(C112="","",N(AA112)+N(AB112)+N(AC112)+N(AD112))</f>
        <v/>
      </c>
      <c r="AH112" s="27">
        <f>IF(C112="","",H112-AG112)</f>
        <v/>
      </c>
      <c r="AI112" s="29">
        <f>IFERROR(AH112/H112,"")</f>
        <v/>
      </c>
      <c r="AJ112" s="64" t="n"/>
      <c r="AK112" s="64" t="n"/>
      <c r="AL112" s="64" t="n"/>
      <c r="AM112" s="64" t="n"/>
      <c r="AN112" s="64" t="n"/>
      <c r="AO112" s="24" t="n"/>
    </row>
    <row r="113" ht="15" customHeight="1">
      <c r="A113" s="63">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7">
        <f>IF(C113="","",SUMIFS(tbl_Finance[Inc GST],tbl_Finance[Job Number],C113&amp;""))</f>
        <v/>
      </c>
      <c r="M113" s="24" t="n"/>
      <c r="N113" s="25">
        <f>IF(C113="","",IFERROR(INDEX(tbl_Finance[Description],MATCH(C113&amp;"",tbl_Finance[Job Number],0)),""))</f>
        <v/>
      </c>
      <c r="O113" s="24" t="n"/>
      <c r="P113" s="24" t="n"/>
      <c r="Q113" s="22" t="n"/>
      <c r="R113" s="24" t="n"/>
      <c r="S113" s="25">
        <f>IF(R113="","",IF(AND(LEFT(R113,4)&lt;&gt;"http",set_RMSBase=""),"",HYPERLINK(IF(LEFT(R113,4)="http",R113,set_RMSBase&amp;R113),"Open opportunity")))</f>
        <v/>
      </c>
      <c r="T113" s="24" t="n"/>
      <c r="U113" s="25">
        <f>IF(T113="","",HYPERLINK(IF(LEFT(T113,4)="http",T113,set_QwilrBase&amp;T113),"Open quote"))</f>
        <v/>
      </c>
      <c r="V113" s="25">
        <f>IF(C113="","",C113)</f>
        <v/>
      </c>
      <c r="W113" s="24" t="n"/>
      <c r="X113" s="26" t="n"/>
      <c r="Y113" s="27">
        <f>IF(C113="","",H113+N(X113))</f>
        <v/>
      </c>
      <c r="Z113" s="29">
        <f>IFERROR(X113/Y113,"")</f>
        <v/>
      </c>
      <c r="AA113" s="26" t="n"/>
      <c r="AB113" s="26" t="n"/>
      <c r="AC113" s="26" t="n"/>
      <c r="AD113" s="26" t="n"/>
      <c r="AE113" s="27">
        <f>IF(C113="","",SUMIFS(tbl_Finance[Ex GST],tbl_Finance[Job Number],C113&amp;"",tbl_Finance[Cost Centre],"VIDEO"))</f>
        <v/>
      </c>
      <c r="AF113" s="29">
        <f>IFERROR(AE113/H113,"")</f>
        <v/>
      </c>
      <c r="AG113" s="27">
        <f>IF(C113="","",N(AA113)+N(AB113)+N(AC113)+N(AD113))</f>
        <v/>
      </c>
      <c r="AH113" s="27">
        <f>IF(C113="","",H113-AG113)</f>
        <v/>
      </c>
      <c r="AI113" s="29">
        <f>IFERROR(AH113/H113,"")</f>
        <v/>
      </c>
      <c r="AJ113" s="64" t="n"/>
      <c r="AK113" s="64" t="n"/>
      <c r="AL113" s="64" t="n"/>
      <c r="AM113" s="64" t="n"/>
      <c r="AN113" s="64" t="n"/>
      <c r="AO113" s="24" t="n"/>
    </row>
    <row r="114" ht="15" customHeight="1">
      <c r="A114" s="63">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7">
        <f>IF(C114="","",SUMIFS(tbl_Finance[Inc GST],tbl_Finance[Job Number],C114&amp;""))</f>
        <v/>
      </c>
      <c r="M114" s="24" t="n"/>
      <c r="N114" s="25">
        <f>IF(C114="","",IFERROR(INDEX(tbl_Finance[Description],MATCH(C114&amp;"",tbl_Finance[Job Number],0)),""))</f>
        <v/>
      </c>
      <c r="O114" s="24" t="n"/>
      <c r="P114" s="24" t="n"/>
      <c r="Q114" s="22" t="n"/>
      <c r="R114" s="24" t="n"/>
      <c r="S114" s="25">
        <f>IF(R114="","",IF(AND(LEFT(R114,4)&lt;&gt;"http",set_RMSBase=""),"",HYPERLINK(IF(LEFT(R114,4)="http",R114,set_RMSBase&amp;R114),"Open opportunity")))</f>
        <v/>
      </c>
      <c r="T114" s="24" t="n"/>
      <c r="U114" s="25">
        <f>IF(T114="","",HYPERLINK(IF(LEFT(T114,4)="http",T114,set_QwilrBase&amp;T114),"Open quote"))</f>
        <v/>
      </c>
      <c r="V114" s="25">
        <f>IF(C114="","",C114)</f>
        <v/>
      </c>
      <c r="W114" s="24" t="n"/>
      <c r="X114" s="26" t="n"/>
      <c r="Y114" s="27">
        <f>IF(C114="","",H114+N(X114))</f>
        <v/>
      </c>
      <c r="Z114" s="29">
        <f>IFERROR(X114/Y114,"")</f>
        <v/>
      </c>
      <c r="AA114" s="26" t="n"/>
      <c r="AB114" s="26" t="n"/>
      <c r="AC114" s="26" t="n"/>
      <c r="AD114" s="26" t="n"/>
      <c r="AE114" s="27">
        <f>IF(C114="","",SUMIFS(tbl_Finance[Ex GST],tbl_Finance[Job Number],C114&amp;"",tbl_Finance[Cost Centre],"VIDEO"))</f>
        <v/>
      </c>
      <c r="AF114" s="29">
        <f>IFERROR(AE114/H114,"")</f>
        <v/>
      </c>
      <c r="AG114" s="27">
        <f>IF(C114="","",N(AA114)+N(AB114)+N(AC114)+N(AD114))</f>
        <v/>
      </c>
      <c r="AH114" s="27">
        <f>IF(C114="","",H114-AG114)</f>
        <v/>
      </c>
      <c r="AI114" s="29">
        <f>IFERROR(AH114/H114,"")</f>
        <v/>
      </c>
      <c r="AJ114" s="64" t="n"/>
      <c r="AK114" s="64" t="n"/>
      <c r="AL114" s="64" t="n"/>
      <c r="AM114" s="64" t="n"/>
      <c r="AN114" s="64" t="n"/>
      <c r="AO114" s="24" t="n"/>
    </row>
    <row r="115" ht="15" customHeight="1">
      <c r="A115" s="63">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7">
        <f>IF(C115="","",SUMIFS(tbl_Finance[Inc GST],tbl_Finance[Job Number],C115&amp;""))</f>
        <v/>
      </c>
      <c r="M115" s="24" t="n"/>
      <c r="N115" s="25">
        <f>IF(C115="","",IFERROR(INDEX(tbl_Finance[Description],MATCH(C115&amp;"",tbl_Finance[Job Number],0)),""))</f>
        <v/>
      </c>
      <c r="O115" s="24" t="n"/>
      <c r="P115" s="24" t="n"/>
      <c r="Q115" s="22" t="n"/>
      <c r="R115" s="24" t="n"/>
      <c r="S115" s="25">
        <f>IF(R115="","",IF(AND(LEFT(R115,4)&lt;&gt;"http",set_RMSBase=""),"",HYPERLINK(IF(LEFT(R115,4)="http",R115,set_RMSBase&amp;R115),"Open opportunity")))</f>
        <v/>
      </c>
      <c r="T115" s="24" t="n"/>
      <c r="U115" s="25">
        <f>IF(T115="","",HYPERLINK(IF(LEFT(T115,4)="http",T115,set_QwilrBase&amp;T115),"Open quote"))</f>
        <v/>
      </c>
      <c r="V115" s="25">
        <f>IF(C115="","",C115)</f>
        <v/>
      </c>
      <c r="W115" s="24" t="n"/>
      <c r="X115" s="26" t="n"/>
      <c r="Y115" s="27">
        <f>IF(C115="","",H115+N(X115))</f>
        <v/>
      </c>
      <c r="Z115" s="29">
        <f>IFERROR(X115/Y115,"")</f>
        <v/>
      </c>
      <c r="AA115" s="26" t="n"/>
      <c r="AB115" s="26" t="n"/>
      <c r="AC115" s="26" t="n"/>
      <c r="AD115" s="26" t="n"/>
      <c r="AE115" s="27">
        <f>IF(C115="","",SUMIFS(tbl_Finance[Ex GST],tbl_Finance[Job Number],C115&amp;"",tbl_Finance[Cost Centre],"VIDEO"))</f>
        <v/>
      </c>
      <c r="AF115" s="29">
        <f>IFERROR(AE115/H115,"")</f>
        <v/>
      </c>
      <c r="AG115" s="27">
        <f>IF(C115="","",N(AA115)+N(AB115)+N(AC115)+N(AD115))</f>
        <v/>
      </c>
      <c r="AH115" s="27">
        <f>IF(C115="","",H115-AG115)</f>
        <v/>
      </c>
      <c r="AI115" s="29">
        <f>IFERROR(AH115/H115,"")</f>
        <v/>
      </c>
      <c r="AJ115" s="64" t="n"/>
      <c r="AK115" s="64" t="n"/>
      <c r="AL115" s="64" t="n"/>
      <c r="AM115" s="64" t="n"/>
      <c r="AN115" s="64" t="n"/>
      <c r="AO115" s="24" t="n"/>
    </row>
    <row r="116" ht="15" customHeight="1">
      <c r="A116" s="63">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7">
        <f>IF(C116="","",SUMIFS(tbl_Finance[Inc GST],tbl_Finance[Job Number],C116&amp;""))</f>
        <v/>
      </c>
      <c r="M116" s="24" t="n"/>
      <c r="N116" s="25">
        <f>IF(C116="","",IFERROR(INDEX(tbl_Finance[Description],MATCH(C116&amp;"",tbl_Finance[Job Number],0)),""))</f>
        <v/>
      </c>
      <c r="O116" s="24" t="n"/>
      <c r="P116" s="24" t="n"/>
      <c r="Q116" s="22" t="n"/>
      <c r="R116" s="24" t="n"/>
      <c r="S116" s="25">
        <f>IF(R116="","",IF(AND(LEFT(R116,4)&lt;&gt;"http",set_RMSBase=""),"",HYPERLINK(IF(LEFT(R116,4)="http",R116,set_RMSBase&amp;R116),"Open opportunity")))</f>
        <v/>
      </c>
      <c r="T116" s="24" t="n"/>
      <c r="U116" s="25">
        <f>IF(T116="","",HYPERLINK(IF(LEFT(T116,4)="http",T116,set_QwilrBase&amp;T116),"Open quote"))</f>
        <v/>
      </c>
      <c r="V116" s="25">
        <f>IF(C116="","",C116)</f>
        <v/>
      </c>
      <c r="W116" s="24" t="n"/>
      <c r="X116" s="26" t="n"/>
      <c r="Y116" s="27">
        <f>IF(C116="","",H116+N(X116))</f>
        <v/>
      </c>
      <c r="Z116" s="29">
        <f>IFERROR(X116/Y116,"")</f>
        <v/>
      </c>
      <c r="AA116" s="26" t="n"/>
      <c r="AB116" s="26" t="n"/>
      <c r="AC116" s="26" t="n"/>
      <c r="AD116" s="26" t="n"/>
      <c r="AE116" s="27">
        <f>IF(C116="","",SUMIFS(tbl_Finance[Ex GST],tbl_Finance[Job Number],C116&amp;"",tbl_Finance[Cost Centre],"VIDEO"))</f>
        <v/>
      </c>
      <c r="AF116" s="29">
        <f>IFERROR(AE116/H116,"")</f>
        <v/>
      </c>
      <c r="AG116" s="27">
        <f>IF(C116="","",N(AA116)+N(AB116)+N(AC116)+N(AD116))</f>
        <v/>
      </c>
      <c r="AH116" s="27">
        <f>IF(C116="","",H116-AG116)</f>
        <v/>
      </c>
      <c r="AI116" s="29">
        <f>IFERROR(AH116/H116,"")</f>
        <v/>
      </c>
      <c r="AJ116" s="64" t="n"/>
      <c r="AK116" s="64" t="n"/>
      <c r="AL116" s="64" t="n"/>
      <c r="AM116" s="64" t="n"/>
      <c r="AN116" s="64" t="n"/>
      <c r="AO116" s="24" t="n"/>
    </row>
    <row r="117" ht="15" customHeight="1">
      <c r="A117" s="63">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7">
        <f>IF(C117="","",SUMIFS(tbl_Finance[Inc GST],tbl_Finance[Job Number],C117&amp;""))</f>
        <v/>
      </c>
      <c r="M117" s="24" t="n"/>
      <c r="N117" s="25">
        <f>IF(C117="","",IFERROR(INDEX(tbl_Finance[Description],MATCH(C117&amp;"",tbl_Finance[Job Number],0)),""))</f>
        <v/>
      </c>
      <c r="O117" s="24" t="n"/>
      <c r="P117" s="24" t="n"/>
      <c r="Q117" s="22" t="n"/>
      <c r="R117" s="24" t="n"/>
      <c r="S117" s="25">
        <f>IF(R117="","",IF(AND(LEFT(R117,4)&lt;&gt;"http",set_RMSBase=""),"",HYPERLINK(IF(LEFT(R117,4)="http",R117,set_RMSBase&amp;R117),"Open opportunity")))</f>
        <v/>
      </c>
      <c r="T117" s="24" t="n"/>
      <c r="U117" s="25">
        <f>IF(T117="","",HYPERLINK(IF(LEFT(T117,4)="http",T117,set_QwilrBase&amp;T117),"Open quote"))</f>
        <v/>
      </c>
      <c r="V117" s="25">
        <f>IF(C117="","",C117)</f>
        <v/>
      </c>
      <c r="W117" s="24" t="n"/>
      <c r="X117" s="26" t="n"/>
      <c r="Y117" s="27">
        <f>IF(C117="","",H117+N(X117))</f>
        <v/>
      </c>
      <c r="Z117" s="29">
        <f>IFERROR(X117/Y117,"")</f>
        <v/>
      </c>
      <c r="AA117" s="26" t="n"/>
      <c r="AB117" s="26" t="n"/>
      <c r="AC117" s="26" t="n"/>
      <c r="AD117" s="26" t="n"/>
      <c r="AE117" s="27">
        <f>IF(C117="","",SUMIFS(tbl_Finance[Ex GST],tbl_Finance[Job Number],C117&amp;"",tbl_Finance[Cost Centre],"VIDEO"))</f>
        <v/>
      </c>
      <c r="AF117" s="29">
        <f>IFERROR(AE117/H117,"")</f>
        <v/>
      </c>
      <c r="AG117" s="27">
        <f>IF(C117="","",N(AA117)+N(AB117)+N(AC117)+N(AD117))</f>
        <v/>
      </c>
      <c r="AH117" s="27">
        <f>IF(C117="","",H117-AG117)</f>
        <v/>
      </c>
      <c r="AI117" s="29">
        <f>IFERROR(AH117/H117,"")</f>
        <v/>
      </c>
      <c r="AJ117" s="64" t="n"/>
      <c r="AK117" s="64" t="n"/>
      <c r="AL117" s="64" t="n"/>
      <c r="AM117" s="64" t="n"/>
      <c r="AN117" s="64" t="n"/>
      <c r="AO117" s="24" t="n"/>
    </row>
    <row r="118" ht="15" customHeight="1">
      <c r="A118" s="63">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7">
        <f>IF(C118="","",SUMIFS(tbl_Finance[Inc GST],tbl_Finance[Job Number],C118&amp;""))</f>
        <v/>
      </c>
      <c r="M118" s="24" t="n"/>
      <c r="N118" s="25">
        <f>IF(C118="","",IFERROR(INDEX(tbl_Finance[Description],MATCH(C118&amp;"",tbl_Finance[Job Number],0)),""))</f>
        <v/>
      </c>
      <c r="O118" s="24" t="n"/>
      <c r="P118" s="24" t="n"/>
      <c r="Q118" s="22" t="n"/>
      <c r="R118" s="24" t="n"/>
      <c r="S118" s="25">
        <f>IF(R118="","",IF(AND(LEFT(R118,4)&lt;&gt;"http",set_RMSBase=""),"",HYPERLINK(IF(LEFT(R118,4)="http",R118,set_RMSBase&amp;R118),"Open opportunity")))</f>
        <v/>
      </c>
      <c r="T118" s="24" t="n"/>
      <c r="U118" s="25">
        <f>IF(T118="","",HYPERLINK(IF(LEFT(T118,4)="http",T118,set_QwilrBase&amp;T118),"Open quote"))</f>
        <v/>
      </c>
      <c r="V118" s="25">
        <f>IF(C118="","",C118)</f>
        <v/>
      </c>
      <c r="W118" s="24" t="n"/>
      <c r="X118" s="26" t="n"/>
      <c r="Y118" s="27">
        <f>IF(C118="","",H118+N(X118))</f>
        <v/>
      </c>
      <c r="Z118" s="29">
        <f>IFERROR(X118/Y118,"")</f>
        <v/>
      </c>
      <c r="AA118" s="26" t="n"/>
      <c r="AB118" s="26" t="n"/>
      <c r="AC118" s="26" t="n"/>
      <c r="AD118" s="26" t="n"/>
      <c r="AE118" s="27">
        <f>IF(C118="","",SUMIFS(tbl_Finance[Ex GST],tbl_Finance[Job Number],C118&amp;"",tbl_Finance[Cost Centre],"VIDEO"))</f>
        <v/>
      </c>
      <c r="AF118" s="29">
        <f>IFERROR(AE118/H118,"")</f>
        <v/>
      </c>
      <c r="AG118" s="27">
        <f>IF(C118="","",N(AA118)+N(AB118)+N(AC118)+N(AD118))</f>
        <v/>
      </c>
      <c r="AH118" s="27">
        <f>IF(C118="","",H118-AG118)</f>
        <v/>
      </c>
      <c r="AI118" s="29">
        <f>IFERROR(AH118/H118,"")</f>
        <v/>
      </c>
      <c r="AJ118" s="64" t="n"/>
      <c r="AK118" s="64" t="n"/>
      <c r="AL118" s="64" t="n"/>
      <c r="AM118" s="64" t="n"/>
      <c r="AN118" s="64" t="n"/>
      <c r="AO118" s="24" t="n"/>
    </row>
    <row r="119" ht="15" customHeight="1">
      <c r="A119" s="63">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7">
        <f>IF(C119="","",SUMIFS(tbl_Finance[Inc GST],tbl_Finance[Job Number],C119&amp;""))</f>
        <v/>
      </c>
      <c r="M119" s="24" t="n"/>
      <c r="N119" s="25">
        <f>IF(C119="","",IFERROR(INDEX(tbl_Finance[Description],MATCH(C119&amp;"",tbl_Finance[Job Number],0)),""))</f>
        <v/>
      </c>
      <c r="O119" s="24" t="n"/>
      <c r="P119" s="24" t="n"/>
      <c r="Q119" s="22" t="n"/>
      <c r="R119" s="24" t="n"/>
      <c r="S119" s="25">
        <f>IF(R119="","",IF(AND(LEFT(R119,4)&lt;&gt;"http",set_RMSBase=""),"",HYPERLINK(IF(LEFT(R119,4)="http",R119,set_RMSBase&amp;R119),"Open opportunity")))</f>
        <v/>
      </c>
      <c r="T119" s="24" t="n"/>
      <c r="U119" s="25">
        <f>IF(T119="","",HYPERLINK(IF(LEFT(T119,4)="http",T119,set_QwilrBase&amp;T119),"Open quote"))</f>
        <v/>
      </c>
      <c r="V119" s="25">
        <f>IF(C119="","",C119)</f>
        <v/>
      </c>
      <c r="W119" s="24" t="n"/>
      <c r="X119" s="26" t="n"/>
      <c r="Y119" s="27">
        <f>IF(C119="","",H119+N(X119))</f>
        <v/>
      </c>
      <c r="Z119" s="29">
        <f>IFERROR(X119/Y119,"")</f>
        <v/>
      </c>
      <c r="AA119" s="26" t="n"/>
      <c r="AB119" s="26" t="n"/>
      <c r="AC119" s="26" t="n"/>
      <c r="AD119" s="26" t="n"/>
      <c r="AE119" s="27">
        <f>IF(C119="","",SUMIFS(tbl_Finance[Ex GST],tbl_Finance[Job Number],C119&amp;"",tbl_Finance[Cost Centre],"VIDEO"))</f>
        <v/>
      </c>
      <c r="AF119" s="29">
        <f>IFERROR(AE119/H119,"")</f>
        <v/>
      </c>
      <c r="AG119" s="27">
        <f>IF(C119="","",N(AA119)+N(AB119)+N(AC119)+N(AD119))</f>
        <v/>
      </c>
      <c r="AH119" s="27">
        <f>IF(C119="","",H119-AG119)</f>
        <v/>
      </c>
      <c r="AI119" s="29">
        <f>IFERROR(AH119/H119,"")</f>
        <v/>
      </c>
      <c r="AJ119" s="64" t="n"/>
      <c r="AK119" s="64" t="n"/>
      <c r="AL119" s="64" t="n"/>
      <c r="AM119" s="64" t="n"/>
      <c r="AN119" s="64" t="n"/>
      <c r="AO119" s="24" t="n"/>
    </row>
    <row r="120" ht="15" customHeight="1">
      <c r="A120" s="63">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7">
        <f>IF(C120="","",SUMIFS(tbl_Finance[Inc GST],tbl_Finance[Job Number],C120&amp;""))</f>
        <v/>
      </c>
      <c r="M120" s="24" t="n"/>
      <c r="N120" s="25">
        <f>IF(C120="","",IFERROR(INDEX(tbl_Finance[Description],MATCH(C120&amp;"",tbl_Finance[Job Number],0)),""))</f>
        <v/>
      </c>
      <c r="O120" s="24" t="n"/>
      <c r="P120" s="24" t="n"/>
      <c r="Q120" s="22" t="n"/>
      <c r="R120" s="24" t="n"/>
      <c r="S120" s="25">
        <f>IF(R120="","",IF(AND(LEFT(R120,4)&lt;&gt;"http",set_RMSBase=""),"",HYPERLINK(IF(LEFT(R120,4)="http",R120,set_RMSBase&amp;R120),"Open opportunity")))</f>
        <v/>
      </c>
      <c r="T120" s="24" t="n"/>
      <c r="U120" s="25">
        <f>IF(T120="","",HYPERLINK(IF(LEFT(T120,4)="http",T120,set_QwilrBase&amp;T120),"Open quote"))</f>
        <v/>
      </c>
      <c r="V120" s="25">
        <f>IF(C120="","",C120)</f>
        <v/>
      </c>
      <c r="W120" s="24" t="n"/>
      <c r="X120" s="26" t="n"/>
      <c r="Y120" s="27">
        <f>IF(C120="","",H120+N(X120))</f>
        <v/>
      </c>
      <c r="Z120" s="29">
        <f>IFERROR(X120/Y120,"")</f>
        <v/>
      </c>
      <c r="AA120" s="26" t="n"/>
      <c r="AB120" s="26" t="n"/>
      <c r="AC120" s="26" t="n"/>
      <c r="AD120" s="26" t="n"/>
      <c r="AE120" s="27">
        <f>IF(C120="","",SUMIFS(tbl_Finance[Ex GST],tbl_Finance[Job Number],C120&amp;"",tbl_Finance[Cost Centre],"VIDEO"))</f>
        <v/>
      </c>
      <c r="AF120" s="29">
        <f>IFERROR(AE120/H120,"")</f>
        <v/>
      </c>
      <c r="AG120" s="27">
        <f>IF(C120="","",N(AA120)+N(AB120)+N(AC120)+N(AD120))</f>
        <v/>
      </c>
      <c r="AH120" s="27">
        <f>IF(C120="","",H120-AG120)</f>
        <v/>
      </c>
      <c r="AI120" s="29">
        <f>IFERROR(AH120/H120,"")</f>
        <v/>
      </c>
      <c r="AJ120" s="64" t="n"/>
      <c r="AK120" s="64" t="n"/>
      <c r="AL120" s="64" t="n"/>
      <c r="AM120" s="64" t="n"/>
      <c r="AN120" s="64" t="n"/>
      <c r="AO120" s="24" t="n"/>
    </row>
    <row r="121" ht="15" customHeight="1">
      <c r="A121" s="63">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7">
        <f>IF(C121="","",SUMIFS(tbl_Finance[Inc GST],tbl_Finance[Job Number],C121&amp;""))</f>
        <v/>
      </c>
      <c r="M121" s="24" t="n"/>
      <c r="N121" s="25">
        <f>IF(C121="","",IFERROR(INDEX(tbl_Finance[Description],MATCH(C121&amp;"",tbl_Finance[Job Number],0)),""))</f>
        <v/>
      </c>
      <c r="O121" s="24" t="n"/>
      <c r="P121" s="24" t="n"/>
      <c r="Q121" s="22" t="n"/>
      <c r="R121" s="24" t="n"/>
      <c r="S121" s="25">
        <f>IF(R121="","",IF(AND(LEFT(R121,4)&lt;&gt;"http",set_RMSBase=""),"",HYPERLINK(IF(LEFT(R121,4)="http",R121,set_RMSBase&amp;R121),"Open opportunity")))</f>
        <v/>
      </c>
      <c r="T121" s="24" t="n"/>
      <c r="U121" s="25">
        <f>IF(T121="","",HYPERLINK(IF(LEFT(T121,4)="http",T121,set_QwilrBase&amp;T121),"Open quote"))</f>
        <v/>
      </c>
      <c r="V121" s="25">
        <f>IF(C121="","",C121)</f>
        <v/>
      </c>
      <c r="W121" s="24" t="n"/>
      <c r="X121" s="26" t="n"/>
      <c r="Y121" s="27">
        <f>IF(C121="","",H121+N(X121))</f>
        <v/>
      </c>
      <c r="Z121" s="29">
        <f>IFERROR(X121/Y121,"")</f>
        <v/>
      </c>
      <c r="AA121" s="26" t="n"/>
      <c r="AB121" s="26" t="n"/>
      <c r="AC121" s="26" t="n"/>
      <c r="AD121" s="26" t="n"/>
      <c r="AE121" s="27">
        <f>IF(C121="","",SUMIFS(tbl_Finance[Ex GST],tbl_Finance[Job Number],C121&amp;"",tbl_Finance[Cost Centre],"VIDEO"))</f>
        <v/>
      </c>
      <c r="AF121" s="29">
        <f>IFERROR(AE121/H121,"")</f>
        <v/>
      </c>
      <c r="AG121" s="27">
        <f>IF(C121="","",N(AA121)+N(AB121)+N(AC121)+N(AD121))</f>
        <v/>
      </c>
      <c r="AH121" s="27">
        <f>IF(C121="","",H121-AG121)</f>
        <v/>
      </c>
      <c r="AI121" s="29">
        <f>IFERROR(AH121/H121,"")</f>
        <v/>
      </c>
      <c r="AJ121" s="64" t="n"/>
      <c r="AK121" s="64" t="n"/>
      <c r="AL121" s="64" t="n"/>
      <c r="AM121" s="64" t="n"/>
      <c r="AN121" s="64" t="n"/>
      <c r="AO121" s="24" t="n"/>
    </row>
    <row r="122" ht="15" customHeight="1">
      <c r="A122" s="63">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7">
        <f>IF(C122="","",SUMIFS(tbl_Finance[Inc GST],tbl_Finance[Job Number],C122&amp;""))</f>
        <v/>
      </c>
      <c r="M122" s="24" t="n"/>
      <c r="N122" s="25">
        <f>IF(C122="","",IFERROR(INDEX(tbl_Finance[Description],MATCH(C122&amp;"",tbl_Finance[Job Number],0)),""))</f>
        <v/>
      </c>
      <c r="O122" s="24" t="n"/>
      <c r="P122" s="24" t="n"/>
      <c r="Q122" s="22" t="n"/>
      <c r="R122" s="24" t="n"/>
      <c r="S122" s="25">
        <f>IF(R122="","",IF(AND(LEFT(R122,4)&lt;&gt;"http",set_RMSBase=""),"",HYPERLINK(IF(LEFT(R122,4)="http",R122,set_RMSBase&amp;R122),"Open opportunity")))</f>
        <v/>
      </c>
      <c r="T122" s="24" t="n"/>
      <c r="U122" s="25">
        <f>IF(T122="","",HYPERLINK(IF(LEFT(T122,4)="http",T122,set_QwilrBase&amp;T122),"Open quote"))</f>
        <v/>
      </c>
      <c r="V122" s="25">
        <f>IF(C122="","",C122)</f>
        <v/>
      </c>
      <c r="W122" s="24" t="n"/>
      <c r="X122" s="26" t="n"/>
      <c r="Y122" s="27">
        <f>IF(C122="","",H122+N(X122))</f>
        <v/>
      </c>
      <c r="Z122" s="29">
        <f>IFERROR(X122/Y122,"")</f>
        <v/>
      </c>
      <c r="AA122" s="26" t="n"/>
      <c r="AB122" s="26" t="n"/>
      <c r="AC122" s="26" t="n"/>
      <c r="AD122" s="26" t="n"/>
      <c r="AE122" s="27">
        <f>IF(C122="","",SUMIFS(tbl_Finance[Ex GST],tbl_Finance[Job Number],C122&amp;"",tbl_Finance[Cost Centre],"VIDEO"))</f>
        <v/>
      </c>
      <c r="AF122" s="29">
        <f>IFERROR(AE122/H122,"")</f>
        <v/>
      </c>
      <c r="AG122" s="27">
        <f>IF(C122="","",N(AA122)+N(AB122)+N(AC122)+N(AD122))</f>
        <v/>
      </c>
      <c r="AH122" s="27">
        <f>IF(C122="","",H122-AG122)</f>
        <v/>
      </c>
      <c r="AI122" s="29">
        <f>IFERROR(AH122/H122,"")</f>
        <v/>
      </c>
      <c r="AJ122" s="64" t="n"/>
      <c r="AK122" s="64" t="n"/>
      <c r="AL122" s="64" t="n"/>
      <c r="AM122" s="64" t="n"/>
      <c r="AN122" s="64" t="n"/>
      <c r="AO122" s="24" t="n"/>
    </row>
    <row r="123" ht="15" customHeight="1">
      <c r="A123" s="63">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7">
        <f>IF(C123="","",SUMIFS(tbl_Finance[Inc GST],tbl_Finance[Job Number],C123&amp;""))</f>
        <v/>
      </c>
      <c r="M123" s="24" t="n"/>
      <c r="N123" s="25">
        <f>IF(C123="","",IFERROR(INDEX(tbl_Finance[Description],MATCH(C123&amp;"",tbl_Finance[Job Number],0)),""))</f>
        <v/>
      </c>
      <c r="O123" s="24" t="n"/>
      <c r="P123" s="24" t="n"/>
      <c r="Q123" s="22" t="n"/>
      <c r="R123" s="24" t="n"/>
      <c r="S123" s="25">
        <f>IF(R123="","",IF(AND(LEFT(R123,4)&lt;&gt;"http",set_RMSBase=""),"",HYPERLINK(IF(LEFT(R123,4)="http",R123,set_RMSBase&amp;R123),"Open opportunity")))</f>
        <v/>
      </c>
      <c r="T123" s="24" t="n"/>
      <c r="U123" s="25">
        <f>IF(T123="","",HYPERLINK(IF(LEFT(T123,4)="http",T123,set_QwilrBase&amp;T123),"Open quote"))</f>
        <v/>
      </c>
      <c r="V123" s="25">
        <f>IF(C123="","",C123)</f>
        <v/>
      </c>
      <c r="W123" s="24" t="n"/>
      <c r="X123" s="26" t="n"/>
      <c r="Y123" s="27">
        <f>IF(C123="","",H123+N(X123))</f>
        <v/>
      </c>
      <c r="Z123" s="29">
        <f>IFERROR(X123/Y123,"")</f>
        <v/>
      </c>
      <c r="AA123" s="26" t="n"/>
      <c r="AB123" s="26" t="n"/>
      <c r="AC123" s="26" t="n"/>
      <c r="AD123" s="26" t="n"/>
      <c r="AE123" s="27">
        <f>IF(C123="","",SUMIFS(tbl_Finance[Ex GST],tbl_Finance[Job Number],C123&amp;"",tbl_Finance[Cost Centre],"VIDEO"))</f>
        <v/>
      </c>
      <c r="AF123" s="29">
        <f>IFERROR(AE123/H123,"")</f>
        <v/>
      </c>
      <c r="AG123" s="27">
        <f>IF(C123="","",N(AA123)+N(AB123)+N(AC123)+N(AD123))</f>
        <v/>
      </c>
      <c r="AH123" s="27">
        <f>IF(C123="","",H123-AG123)</f>
        <v/>
      </c>
      <c r="AI123" s="29">
        <f>IFERROR(AH123/H123,"")</f>
        <v/>
      </c>
      <c r="AJ123" s="64" t="n"/>
      <c r="AK123" s="64" t="n"/>
      <c r="AL123" s="64" t="n"/>
      <c r="AM123" s="64" t="n"/>
      <c r="AN123" s="64" t="n"/>
      <c r="AO123" s="24" t="n"/>
    </row>
    <row r="124" ht="15" customHeight="1">
      <c r="A124" s="63">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7">
        <f>IF(C124="","",SUMIFS(tbl_Finance[Inc GST],tbl_Finance[Job Number],C124&amp;""))</f>
        <v/>
      </c>
      <c r="M124" s="24" t="n"/>
      <c r="N124" s="25">
        <f>IF(C124="","",IFERROR(INDEX(tbl_Finance[Description],MATCH(C124&amp;"",tbl_Finance[Job Number],0)),""))</f>
        <v/>
      </c>
      <c r="O124" s="24" t="n"/>
      <c r="P124" s="24" t="n"/>
      <c r="Q124" s="22" t="n"/>
      <c r="R124" s="24" t="n"/>
      <c r="S124" s="25">
        <f>IF(R124="","",IF(AND(LEFT(R124,4)&lt;&gt;"http",set_RMSBase=""),"",HYPERLINK(IF(LEFT(R124,4)="http",R124,set_RMSBase&amp;R124),"Open opportunity")))</f>
        <v/>
      </c>
      <c r="T124" s="24" t="n"/>
      <c r="U124" s="25">
        <f>IF(T124="","",HYPERLINK(IF(LEFT(T124,4)="http",T124,set_QwilrBase&amp;T124),"Open quote"))</f>
        <v/>
      </c>
      <c r="V124" s="25">
        <f>IF(C124="","",C124)</f>
        <v/>
      </c>
      <c r="W124" s="24" t="n"/>
      <c r="X124" s="26" t="n"/>
      <c r="Y124" s="27">
        <f>IF(C124="","",H124+N(X124))</f>
        <v/>
      </c>
      <c r="Z124" s="29">
        <f>IFERROR(X124/Y124,"")</f>
        <v/>
      </c>
      <c r="AA124" s="26" t="n"/>
      <c r="AB124" s="26" t="n"/>
      <c r="AC124" s="26" t="n"/>
      <c r="AD124" s="26" t="n"/>
      <c r="AE124" s="27">
        <f>IF(C124="","",SUMIFS(tbl_Finance[Ex GST],tbl_Finance[Job Number],C124&amp;"",tbl_Finance[Cost Centre],"VIDEO"))</f>
        <v/>
      </c>
      <c r="AF124" s="29">
        <f>IFERROR(AE124/H124,"")</f>
        <v/>
      </c>
      <c r="AG124" s="27">
        <f>IF(C124="","",N(AA124)+N(AB124)+N(AC124)+N(AD124))</f>
        <v/>
      </c>
      <c r="AH124" s="27">
        <f>IF(C124="","",H124-AG124)</f>
        <v/>
      </c>
      <c r="AI124" s="29">
        <f>IFERROR(AH124/H124,"")</f>
        <v/>
      </c>
      <c r="AJ124" s="64" t="n"/>
      <c r="AK124" s="64" t="n"/>
      <c r="AL124" s="64" t="n"/>
      <c r="AM124" s="64" t="n"/>
      <c r="AN124" s="64" t="n"/>
      <c r="AO124" s="24" t="n"/>
    </row>
    <row r="125" ht="15" customHeight="1">
      <c r="A125" s="63">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7">
        <f>IF(C125="","",SUMIFS(tbl_Finance[Inc GST],tbl_Finance[Job Number],C125&amp;""))</f>
        <v/>
      </c>
      <c r="M125" s="24" t="n"/>
      <c r="N125" s="25">
        <f>IF(C125="","",IFERROR(INDEX(tbl_Finance[Description],MATCH(C125&amp;"",tbl_Finance[Job Number],0)),""))</f>
        <v/>
      </c>
      <c r="O125" s="24" t="n"/>
      <c r="P125" s="24" t="n"/>
      <c r="Q125" s="22" t="n"/>
      <c r="R125" s="24" t="n"/>
      <c r="S125" s="25">
        <f>IF(R125="","",IF(AND(LEFT(R125,4)&lt;&gt;"http",set_RMSBase=""),"",HYPERLINK(IF(LEFT(R125,4)="http",R125,set_RMSBase&amp;R125),"Open opportunity")))</f>
        <v/>
      </c>
      <c r="T125" s="24" t="n"/>
      <c r="U125" s="25">
        <f>IF(T125="","",HYPERLINK(IF(LEFT(T125,4)="http",T125,set_QwilrBase&amp;T125),"Open quote"))</f>
        <v/>
      </c>
      <c r="V125" s="25">
        <f>IF(C125="","",C125)</f>
        <v/>
      </c>
      <c r="W125" s="24" t="n"/>
      <c r="X125" s="26" t="n"/>
      <c r="Y125" s="27">
        <f>IF(C125="","",H125+N(X125))</f>
        <v/>
      </c>
      <c r="Z125" s="29">
        <f>IFERROR(X125/Y125,"")</f>
        <v/>
      </c>
      <c r="AA125" s="26" t="n"/>
      <c r="AB125" s="26" t="n"/>
      <c r="AC125" s="26" t="n"/>
      <c r="AD125" s="26" t="n"/>
      <c r="AE125" s="27">
        <f>IF(C125="","",SUMIFS(tbl_Finance[Ex GST],tbl_Finance[Job Number],C125&amp;"",tbl_Finance[Cost Centre],"VIDEO"))</f>
        <v/>
      </c>
      <c r="AF125" s="29">
        <f>IFERROR(AE125/H125,"")</f>
        <v/>
      </c>
      <c r="AG125" s="27">
        <f>IF(C125="","",N(AA125)+N(AB125)+N(AC125)+N(AD125))</f>
        <v/>
      </c>
      <c r="AH125" s="27">
        <f>IF(C125="","",H125-AG125)</f>
        <v/>
      </c>
      <c r="AI125" s="29">
        <f>IFERROR(AH125/H125,"")</f>
        <v/>
      </c>
      <c r="AJ125" s="64" t="n"/>
      <c r="AK125" s="64" t="n"/>
      <c r="AL125" s="64" t="n"/>
      <c r="AM125" s="64" t="n"/>
      <c r="AN125" s="64" t="n"/>
      <c r="AO125" s="24" t="n"/>
    </row>
    <row r="126" ht="15" customHeight="1">
      <c r="A126" s="63">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7">
        <f>IF(C126="","",SUMIFS(tbl_Finance[Inc GST],tbl_Finance[Job Number],C126&amp;""))</f>
        <v/>
      </c>
      <c r="M126" s="24" t="n"/>
      <c r="N126" s="25">
        <f>IF(C126="","",IFERROR(INDEX(tbl_Finance[Description],MATCH(C126&amp;"",tbl_Finance[Job Number],0)),""))</f>
        <v/>
      </c>
      <c r="O126" s="24" t="n"/>
      <c r="P126" s="24" t="n"/>
      <c r="Q126" s="22" t="n"/>
      <c r="R126" s="24" t="n"/>
      <c r="S126" s="25">
        <f>IF(R126="","",IF(AND(LEFT(R126,4)&lt;&gt;"http",set_RMSBase=""),"",HYPERLINK(IF(LEFT(R126,4)="http",R126,set_RMSBase&amp;R126),"Open opportunity")))</f>
        <v/>
      </c>
      <c r="T126" s="24" t="n"/>
      <c r="U126" s="25">
        <f>IF(T126="","",HYPERLINK(IF(LEFT(T126,4)="http",T126,set_QwilrBase&amp;T126),"Open quote"))</f>
        <v/>
      </c>
      <c r="V126" s="25">
        <f>IF(C126="","",C126)</f>
        <v/>
      </c>
      <c r="W126" s="24" t="n"/>
      <c r="X126" s="26" t="n"/>
      <c r="Y126" s="27">
        <f>IF(C126="","",H126+N(X126))</f>
        <v/>
      </c>
      <c r="Z126" s="29">
        <f>IFERROR(X126/Y126,"")</f>
        <v/>
      </c>
      <c r="AA126" s="26" t="n"/>
      <c r="AB126" s="26" t="n"/>
      <c r="AC126" s="26" t="n"/>
      <c r="AD126" s="26" t="n"/>
      <c r="AE126" s="27">
        <f>IF(C126="","",SUMIFS(tbl_Finance[Ex GST],tbl_Finance[Job Number],C126&amp;"",tbl_Finance[Cost Centre],"VIDEO"))</f>
        <v/>
      </c>
      <c r="AF126" s="29">
        <f>IFERROR(AE126/H126,"")</f>
        <v/>
      </c>
      <c r="AG126" s="27">
        <f>IF(C126="","",N(AA126)+N(AB126)+N(AC126)+N(AD126))</f>
        <v/>
      </c>
      <c r="AH126" s="27">
        <f>IF(C126="","",H126-AG126)</f>
        <v/>
      </c>
      <c r="AI126" s="29">
        <f>IFERROR(AH126/H126,"")</f>
        <v/>
      </c>
      <c r="AJ126" s="64" t="n"/>
      <c r="AK126" s="64" t="n"/>
      <c r="AL126" s="64" t="n"/>
      <c r="AM126" s="64" t="n"/>
      <c r="AN126" s="64" t="n"/>
      <c r="AO126" s="24" t="n"/>
    </row>
    <row r="127" ht="15" customHeight="1">
      <c r="A127" s="63">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7">
        <f>IF(C127="","",SUMIFS(tbl_Finance[Inc GST],tbl_Finance[Job Number],C127&amp;""))</f>
        <v/>
      </c>
      <c r="M127" s="24" t="n"/>
      <c r="N127" s="25">
        <f>IF(C127="","",IFERROR(INDEX(tbl_Finance[Description],MATCH(C127&amp;"",tbl_Finance[Job Number],0)),""))</f>
        <v/>
      </c>
      <c r="O127" s="24" t="n"/>
      <c r="P127" s="24" t="n"/>
      <c r="Q127" s="22" t="n"/>
      <c r="R127" s="24" t="n"/>
      <c r="S127" s="25">
        <f>IF(R127="","",IF(AND(LEFT(R127,4)&lt;&gt;"http",set_RMSBase=""),"",HYPERLINK(IF(LEFT(R127,4)="http",R127,set_RMSBase&amp;R127),"Open opportunity")))</f>
        <v/>
      </c>
      <c r="T127" s="24" t="n"/>
      <c r="U127" s="25">
        <f>IF(T127="","",HYPERLINK(IF(LEFT(T127,4)="http",T127,set_QwilrBase&amp;T127),"Open quote"))</f>
        <v/>
      </c>
      <c r="V127" s="25">
        <f>IF(C127="","",C127)</f>
        <v/>
      </c>
      <c r="W127" s="24" t="n"/>
      <c r="X127" s="26" t="n"/>
      <c r="Y127" s="27">
        <f>IF(C127="","",H127+N(X127))</f>
        <v/>
      </c>
      <c r="Z127" s="29">
        <f>IFERROR(X127/Y127,"")</f>
        <v/>
      </c>
      <c r="AA127" s="26" t="n"/>
      <c r="AB127" s="26" t="n"/>
      <c r="AC127" s="26" t="n"/>
      <c r="AD127" s="26" t="n"/>
      <c r="AE127" s="27">
        <f>IF(C127="","",SUMIFS(tbl_Finance[Ex GST],tbl_Finance[Job Number],C127&amp;"",tbl_Finance[Cost Centre],"VIDEO"))</f>
        <v/>
      </c>
      <c r="AF127" s="29">
        <f>IFERROR(AE127/H127,"")</f>
        <v/>
      </c>
      <c r="AG127" s="27">
        <f>IF(C127="","",N(AA127)+N(AB127)+N(AC127)+N(AD127))</f>
        <v/>
      </c>
      <c r="AH127" s="27">
        <f>IF(C127="","",H127-AG127)</f>
        <v/>
      </c>
      <c r="AI127" s="29">
        <f>IFERROR(AH127/H127,"")</f>
        <v/>
      </c>
      <c r="AJ127" s="64" t="n"/>
      <c r="AK127" s="64" t="n"/>
      <c r="AL127" s="64" t="n"/>
      <c r="AM127" s="64" t="n"/>
      <c r="AN127" s="64" t="n"/>
      <c r="AO127" s="24" t="n"/>
    </row>
    <row r="128" ht="15" customHeight="1">
      <c r="A128" s="63">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7">
        <f>IF(C128="","",SUMIFS(tbl_Finance[Inc GST],tbl_Finance[Job Number],C128&amp;""))</f>
        <v/>
      </c>
      <c r="M128" s="24" t="n"/>
      <c r="N128" s="25">
        <f>IF(C128="","",IFERROR(INDEX(tbl_Finance[Description],MATCH(C128&amp;"",tbl_Finance[Job Number],0)),""))</f>
        <v/>
      </c>
      <c r="O128" s="24" t="n"/>
      <c r="P128" s="24" t="n"/>
      <c r="Q128" s="22" t="n"/>
      <c r="R128" s="24" t="n"/>
      <c r="S128" s="25">
        <f>IF(R128="","",IF(AND(LEFT(R128,4)&lt;&gt;"http",set_RMSBase=""),"",HYPERLINK(IF(LEFT(R128,4)="http",R128,set_RMSBase&amp;R128),"Open opportunity")))</f>
        <v/>
      </c>
      <c r="T128" s="24" t="n"/>
      <c r="U128" s="25">
        <f>IF(T128="","",HYPERLINK(IF(LEFT(T128,4)="http",T128,set_QwilrBase&amp;T128),"Open quote"))</f>
        <v/>
      </c>
      <c r="V128" s="25">
        <f>IF(C128="","",C128)</f>
        <v/>
      </c>
      <c r="W128" s="24" t="n"/>
      <c r="X128" s="26" t="n"/>
      <c r="Y128" s="27">
        <f>IF(C128="","",H128+N(X128))</f>
        <v/>
      </c>
      <c r="Z128" s="29">
        <f>IFERROR(X128/Y128,"")</f>
        <v/>
      </c>
      <c r="AA128" s="26" t="n"/>
      <c r="AB128" s="26" t="n"/>
      <c r="AC128" s="26" t="n"/>
      <c r="AD128" s="26" t="n"/>
      <c r="AE128" s="27">
        <f>IF(C128="","",SUMIFS(tbl_Finance[Ex GST],tbl_Finance[Job Number],C128&amp;"",tbl_Finance[Cost Centre],"VIDEO"))</f>
        <v/>
      </c>
      <c r="AF128" s="29">
        <f>IFERROR(AE128/H128,"")</f>
        <v/>
      </c>
      <c r="AG128" s="27">
        <f>IF(C128="","",N(AA128)+N(AB128)+N(AC128)+N(AD128))</f>
        <v/>
      </c>
      <c r="AH128" s="27">
        <f>IF(C128="","",H128-AG128)</f>
        <v/>
      </c>
      <c r="AI128" s="29">
        <f>IFERROR(AH128/H128,"")</f>
        <v/>
      </c>
      <c r="AJ128" s="64" t="n"/>
      <c r="AK128" s="64" t="n"/>
      <c r="AL128" s="64" t="n"/>
      <c r="AM128" s="64" t="n"/>
      <c r="AN128" s="64" t="n"/>
      <c r="AO128" s="24" t="n"/>
    </row>
    <row r="129" ht="15" customHeight="1">
      <c r="A129" s="63">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7">
        <f>IF(C129="","",SUMIFS(tbl_Finance[Inc GST],tbl_Finance[Job Number],C129&amp;""))</f>
        <v/>
      </c>
      <c r="M129" s="24" t="n"/>
      <c r="N129" s="25">
        <f>IF(C129="","",IFERROR(INDEX(tbl_Finance[Description],MATCH(C129&amp;"",tbl_Finance[Job Number],0)),""))</f>
        <v/>
      </c>
      <c r="O129" s="24" t="n"/>
      <c r="P129" s="24" t="n"/>
      <c r="Q129" s="22" t="n"/>
      <c r="R129" s="24" t="n"/>
      <c r="S129" s="25">
        <f>IF(R129="","",IF(AND(LEFT(R129,4)&lt;&gt;"http",set_RMSBase=""),"",HYPERLINK(IF(LEFT(R129,4)="http",R129,set_RMSBase&amp;R129),"Open opportunity")))</f>
        <v/>
      </c>
      <c r="T129" s="24" t="n"/>
      <c r="U129" s="25">
        <f>IF(T129="","",HYPERLINK(IF(LEFT(T129,4)="http",T129,set_QwilrBase&amp;T129),"Open quote"))</f>
        <v/>
      </c>
      <c r="V129" s="25">
        <f>IF(C129="","",C129)</f>
        <v/>
      </c>
      <c r="W129" s="24" t="n"/>
      <c r="X129" s="26" t="n"/>
      <c r="Y129" s="27">
        <f>IF(C129="","",H129+N(X129))</f>
        <v/>
      </c>
      <c r="Z129" s="29">
        <f>IFERROR(X129/Y129,"")</f>
        <v/>
      </c>
      <c r="AA129" s="26" t="n"/>
      <c r="AB129" s="26" t="n"/>
      <c r="AC129" s="26" t="n"/>
      <c r="AD129" s="26" t="n"/>
      <c r="AE129" s="27">
        <f>IF(C129="","",SUMIFS(tbl_Finance[Ex GST],tbl_Finance[Job Number],C129&amp;"",tbl_Finance[Cost Centre],"VIDEO"))</f>
        <v/>
      </c>
      <c r="AF129" s="29">
        <f>IFERROR(AE129/H129,"")</f>
        <v/>
      </c>
      <c r="AG129" s="27">
        <f>IF(C129="","",N(AA129)+N(AB129)+N(AC129)+N(AD129))</f>
        <v/>
      </c>
      <c r="AH129" s="27">
        <f>IF(C129="","",H129-AG129)</f>
        <v/>
      </c>
      <c r="AI129" s="29">
        <f>IFERROR(AH129/H129,"")</f>
        <v/>
      </c>
      <c r="AJ129" s="64" t="n"/>
      <c r="AK129" s="64" t="n"/>
      <c r="AL129" s="64" t="n"/>
      <c r="AM129" s="64" t="n"/>
      <c r="AN129" s="64" t="n"/>
      <c r="AO129" s="24" t="n"/>
    </row>
    <row r="130" ht="15" customHeight="1">
      <c r="A130" s="63">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7">
        <f>IF(C130="","",SUMIFS(tbl_Finance[Inc GST],tbl_Finance[Job Number],C130&amp;""))</f>
        <v/>
      </c>
      <c r="M130" s="24" t="n"/>
      <c r="N130" s="25">
        <f>IF(C130="","",IFERROR(INDEX(tbl_Finance[Description],MATCH(C130&amp;"",tbl_Finance[Job Number],0)),""))</f>
        <v/>
      </c>
      <c r="O130" s="24" t="n"/>
      <c r="P130" s="24" t="n"/>
      <c r="Q130" s="22" t="n"/>
      <c r="R130" s="24" t="n"/>
      <c r="S130" s="25">
        <f>IF(R130="","",IF(AND(LEFT(R130,4)&lt;&gt;"http",set_RMSBase=""),"",HYPERLINK(IF(LEFT(R130,4)="http",R130,set_RMSBase&amp;R130),"Open opportunity")))</f>
        <v/>
      </c>
      <c r="T130" s="24" t="n"/>
      <c r="U130" s="25">
        <f>IF(T130="","",HYPERLINK(IF(LEFT(T130,4)="http",T130,set_QwilrBase&amp;T130),"Open quote"))</f>
        <v/>
      </c>
      <c r="V130" s="25">
        <f>IF(C130="","",C130)</f>
        <v/>
      </c>
      <c r="W130" s="24" t="n"/>
      <c r="X130" s="26" t="n"/>
      <c r="Y130" s="27">
        <f>IF(C130="","",H130+N(X130))</f>
        <v/>
      </c>
      <c r="Z130" s="29">
        <f>IFERROR(X130/Y130,"")</f>
        <v/>
      </c>
      <c r="AA130" s="26" t="n"/>
      <c r="AB130" s="26" t="n"/>
      <c r="AC130" s="26" t="n"/>
      <c r="AD130" s="26" t="n"/>
      <c r="AE130" s="27">
        <f>IF(C130="","",SUMIFS(tbl_Finance[Ex GST],tbl_Finance[Job Number],C130&amp;"",tbl_Finance[Cost Centre],"VIDEO"))</f>
        <v/>
      </c>
      <c r="AF130" s="29">
        <f>IFERROR(AE130/H130,"")</f>
        <v/>
      </c>
      <c r="AG130" s="27">
        <f>IF(C130="","",N(AA130)+N(AB130)+N(AC130)+N(AD130))</f>
        <v/>
      </c>
      <c r="AH130" s="27">
        <f>IF(C130="","",H130-AG130)</f>
        <v/>
      </c>
      <c r="AI130" s="29">
        <f>IFERROR(AH130/H130,"")</f>
        <v/>
      </c>
      <c r="AJ130" s="64" t="n"/>
      <c r="AK130" s="64" t="n"/>
      <c r="AL130" s="64" t="n"/>
      <c r="AM130" s="64" t="n"/>
      <c r="AN130" s="64" t="n"/>
      <c r="AO130" s="24" t="n"/>
    </row>
    <row r="131" ht="15" customHeight="1">
      <c r="A131" s="63">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7">
        <f>IF(C131="","",SUMIFS(tbl_Finance[Inc GST],tbl_Finance[Job Number],C131&amp;""))</f>
        <v/>
      </c>
      <c r="M131" s="24" t="n"/>
      <c r="N131" s="25">
        <f>IF(C131="","",IFERROR(INDEX(tbl_Finance[Description],MATCH(C131&amp;"",tbl_Finance[Job Number],0)),""))</f>
        <v/>
      </c>
      <c r="O131" s="24" t="n"/>
      <c r="P131" s="24" t="n"/>
      <c r="Q131" s="22" t="n"/>
      <c r="R131" s="24" t="n"/>
      <c r="S131" s="25">
        <f>IF(R131="","",IF(AND(LEFT(R131,4)&lt;&gt;"http",set_RMSBase=""),"",HYPERLINK(IF(LEFT(R131,4)="http",R131,set_RMSBase&amp;R131),"Open opportunity")))</f>
        <v/>
      </c>
      <c r="T131" s="24" t="n"/>
      <c r="U131" s="25">
        <f>IF(T131="","",HYPERLINK(IF(LEFT(T131,4)="http",T131,set_QwilrBase&amp;T131),"Open quote"))</f>
        <v/>
      </c>
      <c r="V131" s="25">
        <f>IF(C131="","",C131)</f>
        <v/>
      </c>
      <c r="W131" s="24" t="n"/>
      <c r="X131" s="26" t="n"/>
      <c r="Y131" s="27">
        <f>IF(C131="","",H131+N(X131))</f>
        <v/>
      </c>
      <c r="Z131" s="29">
        <f>IFERROR(X131/Y131,"")</f>
        <v/>
      </c>
      <c r="AA131" s="26" t="n"/>
      <c r="AB131" s="26" t="n"/>
      <c r="AC131" s="26" t="n"/>
      <c r="AD131" s="26" t="n"/>
      <c r="AE131" s="27">
        <f>IF(C131="","",SUMIFS(tbl_Finance[Ex GST],tbl_Finance[Job Number],C131&amp;"",tbl_Finance[Cost Centre],"VIDEO"))</f>
        <v/>
      </c>
      <c r="AF131" s="29">
        <f>IFERROR(AE131/H131,"")</f>
        <v/>
      </c>
      <c r="AG131" s="27">
        <f>IF(C131="","",N(AA131)+N(AB131)+N(AC131)+N(AD131))</f>
        <v/>
      </c>
      <c r="AH131" s="27">
        <f>IF(C131="","",H131-AG131)</f>
        <v/>
      </c>
      <c r="AI131" s="29">
        <f>IFERROR(AH131/H131,"")</f>
        <v/>
      </c>
      <c r="AJ131" s="64" t="n"/>
      <c r="AK131" s="64" t="n"/>
      <c r="AL131" s="64" t="n"/>
      <c r="AM131" s="64" t="n"/>
      <c r="AN131" s="64" t="n"/>
      <c r="AO131" s="24" t="n"/>
    </row>
    <row r="132" ht="15" customHeight="1">
      <c r="A132" s="63">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7">
        <f>IF(C132="","",SUMIFS(tbl_Finance[Inc GST],tbl_Finance[Job Number],C132&amp;""))</f>
        <v/>
      </c>
      <c r="M132" s="24" t="n"/>
      <c r="N132" s="25">
        <f>IF(C132="","",IFERROR(INDEX(tbl_Finance[Description],MATCH(C132&amp;"",tbl_Finance[Job Number],0)),""))</f>
        <v/>
      </c>
      <c r="O132" s="24" t="n"/>
      <c r="P132" s="24" t="n"/>
      <c r="Q132" s="22" t="n"/>
      <c r="R132" s="24" t="n"/>
      <c r="S132" s="25">
        <f>IF(R132="","",IF(AND(LEFT(R132,4)&lt;&gt;"http",set_RMSBase=""),"",HYPERLINK(IF(LEFT(R132,4)="http",R132,set_RMSBase&amp;R132),"Open opportunity")))</f>
        <v/>
      </c>
      <c r="T132" s="24" t="n"/>
      <c r="U132" s="25">
        <f>IF(T132="","",HYPERLINK(IF(LEFT(T132,4)="http",T132,set_QwilrBase&amp;T132),"Open quote"))</f>
        <v/>
      </c>
      <c r="V132" s="25">
        <f>IF(C132="","",C132)</f>
        <v/>
      </c>
      <c r="W132" s="24" t="n"/>
      <c r="X132" s="26" t="n"/>
      <c r="Y132" s="27">
        <f>IF(C132="","",H132+N(X132))</f>
        <v/>
      </c>
      <c r="Z132" s="29">
        <f>IFERROR(X132/Y132,"")</f>
        <v/>
      </c>
      <c r="AA132" s="26" t="n"/>
      <c r="AB132" s="26" t="n"/>
      <c r="AC132" s="26" t="n"/>
      <c r="AD132" s="26" t="n"/>
      <c r="AE132" s="27">
        <f>IF(C132="","",SUMIFS(tbl_Finance[Ex GST],tbl_Finance[Job Number],C132&amp;"",tbl_Finance[Cost Centre],"VIDEO"))</f>
        <v/>
      </c>
      <c r="AF132" s="29">
        <f>IFERROR(AE132/H132,"")</f>
        <v/>
      </c>
      <c r="AG132" s="27">
        <f>IF(C132="","",N(AA132)+N(AB132)+N(AC132)+N(AD132))</f>
        <v/>
      </c>
      <c r="AH132" s="27">
        <f>IF(C132="","",H132-AG132)</f>
        <v/>
      </c>
      <c r="AI132" s="29">
        <f>IFERROR(AH132/H132,"")</f>
        <v/>
      </c>
      <c r="AJ132" s="64" t="n"/>
      <c r="AK132" s="64" t="n"/>
      <c r="AL132" s="64" t="n"/>
      <c r="AM132" s="64" t="n"/>
      <c r="AN132" s="64" t="n"/>
      <c r="AO132" s="24" t="n"/>
    </row>
    <row r="133" ht="15" customHeight="1">
      <c r="A133" s="63">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7">
        <f>IF(C133="","",SUMIFS(tbl_Finance[Inc GST],tbl_Finance[Job Number],C133&amp;""))</f>
        <v/>
      </c>
      <c r="M133" s="24" t="n"/>
      <c r="N133" s="25">
        <f>IF(C133="","",IFERROR(INDEX(tbl_Finance[Description],MATCH(C133&amp;"",tbl_Finance[Job Number],0)),""))</f>
        <v/>
      </c>
      <c r="O133" s="24" t="n"/>
      <c r="P133" s="24" t="n"/>
      <c r="Q133" s="22" t="n"/>
      <c r="R133" s="24" t="n"/>
      <c r="S133" s="25">
        <f>IF(R133="","",IF(AND(LEFT(R133,4)&lt;&gt;"http",set_RMSBase=""),"",HYPERLINK(IF(LEFT(R133,4)="http",R133,set_RMSBase&amp;R133),"Open opportunity")))</f>
        <v/>
      </c>
      <c r="T133" s="24" t="n"/>
      <c r="U133" s="25">
        <f>IF(T133="","",HYPERLINK(IF(LEFT(T133,4)="http",T133,set_QwilrBase&amp;T133),"Open quote"))</f>
        <v/>
      </c>
      <c r="V133" s="25">
        <f>IF(C133="","",C133)</f>
        <v/>
      </c>
      <c r="W133" s="24" t="n"/>
      <c r="X133" s="26" t="n"/>
      <c r="Y133" s="27">
        <f>IF(C133="","",H133+N(X133))</f>
        <v/>
      </c>
      <c r="Z133" s="29">
        <f>IFERROR(X133/Y133,"")</f>
        <v/>
      </c>
      <c r="AA133" s="26" t="n"/>
      <c r="AB133" s="26" t="n"/>
      <c r="AC133" s="26" t="n"/>
      <c r="AD133" s="26" t="n"/>
      <c r="AE133" s="27">
        <f>IF(C133="","",SUMIFS(tbl_Finance[Ex GST],tbl_Finance[Job Number],C133&amp;"",tbl_Finance[Cost Centre],"VIDEO"))</f>
        <v/>
      </c>
      <c r="AF133" s="29">
        <f>IFERROR(AE133/H133,"")</f>
        <v/>
      </c>
      <c r="AG133" s="27">
        <f>IF(C133="","",N(AA133)+N(AB133)+N(AC133)+N(AD133))</f>
        <v/>
      </c>
      <c r="AH133" s="27">
        <f>IF(C133="","",H133-AG133)</f>
        <v/>
      </c>
      <c r="AI133" s="29">
        <f>IFERROR(AH133/H133,"")</f>
        <v/>
      </c>
      <c r="AJ133" s="64" t="n"/>
      <c r="AK133" s="64" t="n"/>
      <c r="AL133" s="64" t="n"/>
      <c r="AM133" s="64" t="n"/>
      <c r="AN133" s="64" t="n"/>
      <c r="AO133" s="24" t="n"/>
    </row>
    <row r="134" ht="15" customHeight="1">
      <c r="A134" s="63">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7">
        <f>IF(C134="","",SUMIFS(tbl_Finance[Inc GST],tbl_Finance[Job Number],C134&amp;""))</f>
        <v/>
      </c>
      <c r="M134" s="24" t="n"/>
      <c r="N134" s="25">
        <f>IF(C134="","",IFERROR(INDEX(tbl_Finance[Description],MATCH(C134&amp;"",tbl_Finance[Job Number],0)),""))</f>
        <v/>
      </c>
      <c r="O134" s="24" t="n"/>
      <c r="P134" s="24" t="n"/>
      <c r="Q134" s="22" t="n"/>
      <c r="R134" s="24" t="n"/>
      <c r="S134" s="25">
        <f>IF(R134="","",IF(AND(LEFT(R134,4)&lt;&gt;"http",set_RMSBase=""),"",HYPERLINK(IF(LEFT(R134,4)="http",R134,set_RMSBase&amp;R134),"Open opportunity")))</f>
        <v/>
      </c>
      <c r="T134" s="24" t="n"/>
      <c r="U134" s="25">
        <f>IF(T134="","",HYPERLINK(IF(LEFT(T134,4)="http",T134,set_QwilrBase&amp;T134),"Open quote"))</f>
        <v/>
      </c>
      <c r="V134" s="25">
        <f>IF(C134="","",C134)</f>
        <v/>
      </c>
      <c r="W134" s="24" t="n"/>
      <c r="X134" s="26" t="n"/>
      <c r="Y134" s="27">
        <f>IF(C134="","",H134+N(X134))</f>
        <v/>
      </c>
      <c r="Z134" s="29">
        <f>IFERROR(X134/Y134,"")</f>
        <v/>
      </c>
      <c r="AA134" s="26" t="n"/>
      <c r="AB134" s="26" t="n"/>
      <c r="AC134" s="26" t="n"/>
      <c r="AD134" s="26" t="n"/>
      <c r="AE134" s="27">
        <f>IF(C134="","",SUMIFS(tbl_Finance[Ex GST],tbl_Finance[Job Number],C134&amp;"",tbl_Finance[Cost Centre],"VIDEO"))</f>
        <v/>
      </c>
      <c r="AF134" s="29">
        <f>IFERROR(AE134/H134,"")</f>
        <v/>
      </c>
      <c r="AG134" s="27">
        <f>IF(C134="","",N(AA134)+N(AB134)+N(AC134)+N(AD134))</f>
        <v/>
      </c>
      <c r="AH134" s="27">
        <f>IF(C134="","",H134-AG134)</f>
        <v/>
      </c>
      <c r="AI134" s="29">
        <f>IFERROR(AH134/H134,"")</f>
        <v/>
      </c>
      <c r="AJ134" s="64" t="n"/>
      <c r="AK134" s="64" t="n"/>
      <c r="AL134" s="64" t="n"/>
      <c r="AM134" s="64" t="n"/>
      <c r="AN134" s="64" t="n"/>
      <c r="AO134" s="24" t="n"/>
    </row>
    <row r="135" ht="15" customHeight="1">
      <c r="A135" s="63">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7">
        <f>IF(C135="","",SUMIFS(tbl_Finance[Inc GST],tbl_Finance[Job Number],C135&amp;""))</f>
        <v/>
      </c>
      <c r="M135" s="24" t="n"/>
      <c r="N135" s="25">
        <f>IF(C135="","",IFERROR(INDEX(tbl_Finance[Description],MATCH(C135&amp;"",tbl_Finance[Job Number],0)),""))</f>
        <v/>
      </c>
      <c r="O135" s="24" t="n"/>
      <c r="P135" s="24" t="n"/>
      <c r="Q135" s="22" t="n"/>
      <c r="R135" s="24" t="n"/>
      <c r="S135" s="25">
        <f>IF(R135="","",IF(AND(LEFT(R135,4)&lt;&gt;"http",set_RMSBase=""),"",HYPERLINK(IF(LEFT(R135,4)="http",R135,set_RMSBase&amp;R135),"Open opportunity")))</f>
        <v/>
      </c>
      <c r="T135" s="24" t="n"/>
      <c r="U135" s="25">
        <f>IF(T135="","",HYPERLINK(IF(LEFT(T135,4)="http",T135,set_QwilrBase&amp;T135),"Open quote"))</f>
        <v/>
      </c>
      <c r="V135" s="25">
        <f>IF(C135="","",C135)</f>
        <v/>
      </c>
      <c r="W135" s="24" t="n"/>
      <c r="X135" s="26" t="n"/>
      <c r="Y135" s="27">
        <f>IF(C135="","",H135+N(X135))</f>
        <v/>
      </c>
      <c r="Z135" s="29">
        <f>IFERROR(X135/Y135,"")</f>
        <v/>
      </c>
      <c r="AA135" s="26" t="n"/>
      <c r="AB135" s="26" t="n"/>
      <c r="AC135" s="26" t="n"/>
      <c r="AD135" s="26" t="n"/>
      <c r="AE135" s="27">
        <f>IF(C135="","",SUMIFS(tbl_Finance[Ex GST],tbl_Finance[Job Number],C135&amp;"",tbl_Finance[Cost Centre],"VIDEO"))</f>
        <v/>
      </c>
      <c r="AF135" s="29">
        <f>IFERROR(AE135/H135,"")</f>
        <v/>
      </c>
      <c r="AG135" s="27">
        <f>IF(C135="","",N(AA135)+N(AB135)+N(AC135)+N(AD135))</f>
        <v/>
      </c>
      <c r="AH135" s="27">
        <f>IF(C135="","",H135-AG135)</f>
        <v/>
      </c>
      <c r="AI135" s="29">
        <f>IFERROR(AH135/H135,"")</f>
        <v/>
      </c>
      <c r="AJ135" s="64" t="n"/>
      <c r="AK135" s="64" t="n"/>
      <c r="AL135" s="64" t="n"/>
      <c r="AM135" s="64" t="n"/>
      <c r="AN135" s="64" t="n"/>
      <c r="AO135" s="24" t="n"/>
    </row>
    <row r="136" ht="15" customHeight="1">
      <c r="A136" s="63">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7">
        <f>IF(C136="","",SUMIFS(tbl_Finance[Inc GST],tbl_Finance[Job Number],C136&amp;""))</f>
        <v/>
      </c>
      <c r="M136" s="24" t="n"/>
      <c r="N136" s="25">
        <f>IF(C136="","",IFERROR(INDEX(tbl_Finance[Description],MATCH(C136&amp;"",tbl_Finance[Job Number],0)),""))</f>
        <v/>
      </c>
      <c r="O136" s="24" t="n"/>
      <c r="P136" s="24" t="n"/>
      <c r="Q136" s="22" t="n"/>
      <c r="R136" s="24" t="n"/>
      <c r="S136" s="25">
        <f>IF(R136="","",IF(AND(LEFT(R136,4)&lt;&gt;"http",set_RMSBase=""),"",HYPERLINK(IF(LEFT(R136,4)="http",R136,set_RMSBase&amp;R136),"Open opportunity")))</f>
        <v/>
      </c>
      <c r="T136" s="24" t="n"/>
      <c r="U136" s="25">
        <f>IF(T136="","",HYPERLINK(IF(LEFT(T136,4)="http",T136,set_QwilrBase&amp;T136),"Open quote"))</f>
        <v/>
      </c>
      <c r="V136" s="25">
        <f>IF(C136="","",C136)</f>
        <v/>
      </c>
      <c r="W136" s="24" t="n"/>
      <c r="X136" s="26" t="n"/>
      <c r="Y136" s="27">
        <f>IF(C136="","",H136+N(X136))</f>
        <v/>
      </c>
      <c r="Z136" s="29">
        <f>IFERROR(X136/Y136,"")</f>
        <v/>
      </c>
      <c r="AA136" s="26" t="n"/>
      <c r="AB136" s="26" t="n"/>
      <c r="AC136" s="26" t="n"/>
      <c r="AD136" s="26" t="n"/>
      <c r="AE136" s="27">
        <f>IF(C136="","",SUMIFS(tbl_Finance[Ex GST],tbl_Finance[Job Number],C136&amp;"",tbl_Finance[Cost Centre],"VIDEO"))</f>
        <v/>
      </c>
      <c r="AF136" s="29">
        <f>IFERROR(AE136/H136,"")</f>
        <v/>
      </c>
      <c r="AG136" s="27">
        <f>IF(C136="","",N(AA136)+N(AB136)+N(AC136)+N(AD136))</f>
        <v/>
      </c>
      <c r="AH136" s="27">
        <f>IF(C136="","",H136-AG136)</f>
        <v/>
      </c>
      <c r="AI136" s="29">
        <f>IFERROR(AH136/H136,"")</f>
        <v/>
      </c>
      <c r="AJ136" s="64" t="n"/>
      <c r="AK136" s="64" t="n"/>
      <c r="AL136" s="64" t="n"/>
      <c r="AM136" s="64" t="n"/>
      <c r="AN136" s="64" t="n"/>
      <c r="AO136" s="24" t="n"/>
    </row>
    <row r="137" ht="15" customHeight="1">
      <c r="A137" s="63">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7">
        <f>IF(C137="","",SUMIFS(tbl_Finance[Inc GST],tbl_Finance[Job Number],C137&amp;""))</f>
        <v/>
      </c>
      <c r="M137" s="24" t="n"/>
      <c r="N137" s="25">
        <f>IF(C137="","",IFERROR(INDEX(tbl_Finance[Description],MATCH(C137&amp;"",tbl_Finance[Job Number],0)),""))</f>
        <v/>
      </c>
      <c r="O137" s="24" t="n"/>
      <c r="P137" s="24" t="n"/>
      <c r="Q137" s="22" t="n"/>
      <c r="R137" s="24" t="n"/>
      <c r="S137" s="25">
        <f>IF(R137="","",IF(AND(LEFT(R137,4)&lt;&gt;"http",set_RMSBase=""),"",HYPERLINK(IF(LEFT(R137,4)="http",R137,set_RMSBase&amp;R137),"Open opportunity")))</f>
        <v/>
      </c>
      <c r="T137" s="24" t="n"/>
      <c r="U137" s="25">
        <f>IF(T137="","",HYPERLINK(IF(LEFT(T137,4)="http",T137,set_QwilrBase&amp;T137),"Open quote"))</f>
        <v/>
      </c>
      <c r="V137" s="25">
        <f>IF(C137="","",C137)</f>
        <v/>
      </c>
      <c r="W137" s="24" t="n"/>
      <c r="X137" s="26" t="n"/>
      <c r="Y137" s="27">
        <f>IF(C137="","",H137+N(X137))</f>
        <v/>
      </c>
      <c r="Z137" s="29">
        <f>IFERROR(X137/Y137,"")</f>
        <v/>
      </c>
      <c r="AA137" s="26" t="n"/>
      <c r="AB137" s="26" t="n"/>
      <c r="AC137" s="26" t="n"/>
      <c r="AD137" s="26" t="n"/>
      <c r="AE137" s="27">
        <f>IF(C137="","",SUMIFS(tbl_Finance[Ex GST],tbl_Finance[Job Number],C137&amp;"",tbl_Finance[Cost Centre],"VIDEO"))</f>
        <v/>
      </c>
      <c r="AF137" s="29">
        <f>IFERROR(AE137/H137,"")</f>
        <v/>
      </c>
      <c r="AG137" s="27">
        <f>IF(C137="","",N(AA137)+N(AB137)+N(AC137)+N(AD137))</f>
        <v/>
      </c>
      <c r="AH137" s="27">
        <f>IF(C137="","",H137-AG137)</f>
        <v/>
      </c>
      <c r="AI137" s="29">
        <f>IFERROR(AH137/H137,"")</f>
        <v/>
      </c>
      <c r="AJ137" s="64" t="n"/>
      <c r="AK137" s="64" t="n"/>
      <c r="AL137" s="64" t="n"/>
      <c r="AM137" s="64" t="n"/>
      <c r="AN137" s="64" t="n"/>
      <c r="AO137" s="24" t="n"/>
    </row>
    <row r="138" ht="15" customHeight="1">
      <c r="A138" s="63">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7">
        <f>IF(C138="","",SUMIFS(tbl_Finance[Inc GST],tbl_Finance[Job Number],C138&amp;""))</f>
        <v/>
      </c>
      <c r="M138" s="24" t="n"/>
      <c r="N138" s="25">
        <f>IF(C138="","",IFERROR(INDEX(tbl_Finance[Description],MATCH(C138&amp;"",tbl_Finance[Job Number],0)),""))</f>
        <v/>
      </c>
      <c r="O138" s="24" t="n"/>
      <c r="P138" s="24" t="n"/>
      <c r="Q138" s="22" t="n"/>
      <c r="R138" s="24" t="n"/>
      <c r="S138" s="25">
        <f>IF(R138="","",IF(AND(LEFT(R138,4)&lt;&gt;"http",set_RMSBase=""),"",HYPERLINK(IF(LEFT(R138,4)="http",R138,set_RMSBase&amp;R138),"Open opportunity")))</f>
        <v/>
      </c>
      <c r="T138" s="24" t="n"/>
      <c r="U138" s="25">
        <f>IF(T138="","",HYPERLINK(IF(LEFT(T138,4)="http",T138,set_QwilrBase&amp;T138),"Open quote"))</f>
        <v/>
      </c>
      <c r="V138" s="25">
        <f>IF(C138="","",C138)</f>
        <v/>
      </c>
      <c r="W138" s="24" t="n"/>
      <c r="X138" s="26" t="n"/>
      <c r="Y138" s="27">
        <f>IF(C138="","",H138+N(X138))</f>
        <v/>
      </c>
      <c r="Z138" s="29">
        <f>IFERROR(X138/Y138,"")</f>
        <v/>
      </c>
      <c r="AA138" s="26" t="n"/>
      <c r="AB138" s="26" t="n"/>
      <c r="AC138" s="26" t="n"/>
      <c r="AD138" s="26" t="n"/>
      <c r="AE138" s="27">
        <f>IF(C138="","",SUMIFS(tbl_Finance[Ex GST],tbl_Finance[Job Number],C138&amp;"",tbl_Finance[Cost Centre],"VIDEO"))</f>
        <v/>
      </c>
      <c r="AF138" s="29">
        <f>IFERROR(AE138/H138,"")</f>
        <v/>
      </c>
      <c r="AG138" s="27">
        <f>IF(C138="","",N(AA138)+N(AB138)+N(AC138)+N(AD138))</f>
        <v/>
      </c>
      <c r="AH138" s="27">
        <f>IF(C138="","",H138-AG138)</f>
        <v/>
      </c>
      <c r="AI138" s="29">
        <f>IFERROR(AH138/H138,"")</f>
        <v/>
      </c>
      <c r="AJ138" s="64" t="n"/>
      <c r="AK138" s="64" t="n"/>
      <c r="AL138" s="64" t="n"/>
      <c r="AM138" s="64" t="n"/>
      <c r="AN138" s="64" t="n"/>
      <c r="AO138" s="24" t="n"/>
    </row>
    <row r="139" ht="15" customHeight="1">
      <c r="A139" s="63">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7">
        <f>IF(C139="","",SUMIFS(tbl_Finance[Inc GST],tbl_Finance[Job Number],C139&amp;""))</f>
        <v/>
      </c>
      <c r="M139" s="24" t="n"/>
      <c r="N139" s="25">
        <f>IF(C139="","",IFERROR(INDEX(tbl_Finance[Description],MATCH(C139&amp;"",tbl_Finance[Job Number],0)),""))</f>
        <v/>
      </c>
      <c r="O139" s="24" t="n"/>
      <c r="P139" s="24" t="n"/>
      <c r="Q139" s="22" t="n"/>
      <c r="R139" s="24" t="n"/>
      <c r="S139" s="25">
        <f>IF(R139="","",IF(AND(LEFT(R139,4)&lt;&gt;"http",set_RMSBase=""),"",HYPERLINK(IF(LEFT(R139,4)="http",R139,set_RMSBase&amp;R139),"Open opportunity")))</f>
        <v/>
      </c>
      <c r="T139" s="24" t="n"/>
      <c r="U139" s="25">
        <f>IF(T139="","",HYPERLINK(IF(LEFT(T139,4)="http",T139,set_QwilrBase&amp;T139),"Open quote"))</f>
        <v/>
      </c>
      <c r="V139" s="25">
        <f>IF(C139="","",C139)</f>
        <v/>
      </c>
      <c r="W139" s="24" t="n"/>
      <c r="X139" s="26" t="n"/>
      <c r="Y139" s="27">
        <f>IF(C139="","",H139+N(X139))</f>
        <v/>
      </c>
      <c r="Z139" s="29">
        <f>IFERROR(X139/Y139,"")</f>
        <v/>
      </c>
      <c r="AA139" s="26" t="n"/>
      <c r="AB139" s="26" t="n"/>
      <c r="AC139" s="26" t="n"/>
      <c r="AD139" s="26" t="n"/>
      <c r="AE139" s="27">
        <f>IF(C139="","",SUMIFS(tbl_Finance[Ex GST],tbl_Finance[Job Number],C139&amp;"",tbl_Finance[Cost Centre],"VIDEO"))</f>
        <v/>
      </c>
      <c r="AF139" s="29">
        <f>IFERROR(AE139/H139,"")</f>
        <v/>
      </c>
      <c r="AG139" s="27">
        <f>IF(C139="","",N(AA139)+N(AB139)+N(AC139)+N(AD139))</f>
        <v/>
      </c>
      <c r="AH139" s="27">
        <f>IF(C139="","",H139-AG139)</f>
        <v/>
      </c>
      <c r="AI139" s="29">
        <f>IFERROR(AH139/H139,"")</f>
        <v/>
      </c>
      <c r="AJ139" s="64" t="n"/>
      <c r="AK139" s="64" t="n"/>
      <c r="AL139" s="64" t="n"/>
      <c r="AM139" s="64" t="n"/>
      <c r="AN139" s="64" t="n"/>
      <c r="AO139" s="24" t="n"/>
    </row>
    <row r="140" ht="15" customHeight="1">
      <c r="A140" s="63">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7">
        <f>IF(C140="","",SUMIFS(tbl_Finance[Inc GST],tbl_Finance[Job Number],C140&amp;""))</f>
        <v/>
      </c>
      <c r="M140" s="24" t="n"/>
      <c r="N140" s="25">
        <f>IF(C140="","",IFERROR(INDEX(tbl_Finance[Description],MATCH(C140&amp;"",tbl_Finance[Job Number],0)),""))</f>
        <v/>
      </c>
      <c r="O140" s="24" t="n"/>
      <c r="P140" s="24" t="n"/>
      <c r="Q140" s="22" t="n"/>
      <c r="R140" s="24" t="n"/>
      <c r="S140" s="25">
        <f>IF(R140="","",IF(AND(LEFT(R140,4)&lt;&gt;"http",set_RMSBase=""),"",HYPERLINK(IF(LEFT(R140,4)="http",R140,set_RMSBase&amp;R140),"Open opportunity")))</f>
        <v/>
      </c>
      <c r="T140" s="24" t="n"/>
      <c r="U140" s="25">
        <f>IF(T140="","",HYPERLINK(IF(LEFT(T140,4)="http",T140,set_QwilrBase&amp;T140),"Open quote"))</f>
        <v/>
      </c>
      <c r="V140" s="25">
        <f>IF(C140="","",C140)</f>
        <v/>
      </c>
      <c r="W140" s="24" t="n"/>
      <c r="X140" s="26" t="n"/>
      <c r="Y140" s="27">
        <f>IF(C140="","",H140+N(X140))</f>
        <v/>
      </c>
      <c r="Z140" s="29">
        <f>IFERROR(X140/Y140,"")</f>
        <v/>
      </c>
      <c r="AA140" s="26" t="n"/>
      <c r="AB140" s="26" t="n"/>
      <c r="AC140" s="26" t="n"/>
      <c r="AD140" s="26" t="n"/>
      <c r="AE140" s="27">
        <f>IF(C140="","",SUMIFS(tbl_Finance[Ex GST],tbl_Finance[Job Number],C140&amp;"",tbl_Finance[Cost Centre],"VIDEO"))</f>
        <v/>
      </c>
      <c r="AF140" s="29">
        <f>IFERROR(AE140/H140,"")</f>
        <v/>
      </c>
      <c r="AG140" s="27">
        <f>IF(C140="","",N(AA140)+N(AB140)+N(AC140)+N(AD140))</f>
        <v/>
      </c>
      <c r="AH140" s="27">
        <f>IF(C140="","",H140-AG140)</f>
        <v/>
      </c>
      <c r="AI140" s="29">
        <f>IFERROR(AH140/H140,"")</f>
        <v/>
      </c>
      <c r="AJ140" s="64" t="n"/>
      <c r="AK140" s="64" t="n"/>
      <c r="AL140" s="64" t="n"/>
      <c r="AM140" s="64" t="n"/>
      <c r="AN140" s="64" t="n"/>
      <c r="AO140" s="24" t="n"/>
    </row>
    <row r="141" ht="15" customHeight="1">
      <c r="A141" s="63">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7">
        <f>IF(C141="","",SUMIFS(tbl_Finance[Inc GST],tbl_Finance[Job Number],C141&amp;""))</f>
        <v/>
      </c>
      <c r="M141" s="24" t="n"/>
      <c r="N141" s="25">
        <f>IF(C141="","",IFERROR(INDEX(tbl_Finance[Description],MATCH(C141&amp;"",tbl_Finance[Job Number],0)),""))</f>
        <v/>
      </c>
      <c r="O141" s="24" t="n"/>
      <c r="P141" s="24" t="n"/>
      <c r="Q141" s="22" t="n"/>
      <c r="R141" s="24" t="n"/>
      <c r="S141" s="25">
        <f>IF(R141="","",IF(AND(LEFT(R141,4)&lt;&gt;"http",set_RMSBase=""),"",HYPERLINK(IF(LEFT(R141,4)="http",R141,set_RMSBase&amp;R141),"Open opportunity")))</f>
        <v/>
      </c>
      <c r="T141" s="24" t="n"/>
      <c r="U141" s="25">
        <f>IF(T141="","",HYPERLINK(IF(LEFT(T141,4)="http",T141,set_QwilrBase&amp;T141),"Open quote"))</f>
        <v/>
      </c>
      <c r="V141" s="25">
        <f>IF(C141="","",C141)</f>
        <v/>
      </c>
      <c r="W141" s="24" t="n"/>
      <c r="X141" s="26" t="n"/>
      <c r="Y141" s="27">
        <f>IF(C141="","",H141+N(X141))</f>
        <v/>
      </c>
      <c r="Z141" s="29">
        <f>IFERROR(X141/Y141,"")</f>
        <v/>
      </c>
      <c r="AA141" s="26" t="n"/>
      <c r="AB141" s="26" t="n"/>
      <c r="AC141" s="26" t="n"/>
      <c r="AD141" s="26" t="n"/>
      <c r="AE141" s="27">
        <f>IF(C141="","",SUMIFS(tbl_Finance[Ex GST],tbl_Finance[Job Number],C141&amp;"",tbl_Finance[Cost Centre],"VIDEO"))</f>
        <v/>
      </c>
      <c r="AF141" s="29">
        <f>IFERROR(AE141/H141,"")</f>
        <v/>
      </c>
      <c r="AG141" s="27">
        <f>IF(C141="","",N(AA141)+N(AB141)+N(AC141)+N(AD141))</f>
        <v/>
      </c>
      <c r="AH141" s="27">
        <f>IF(C141="","",H141-AG141)</f>
        <v/>
      </c>
      <c r="AI141" s="29">
        <f>IFERROR(AH141/H141,"")</f>
        <v/>
      </c>
      <c r="AJ141" s="64" t="n"/>
      <c r="AK141" s="64" t="n"/>
      <c r="AL141" s="64" t="n"/>
      <c r="AM141" s="64" t="n"/>
      <c r="AN141" s="64" t="n"/>
      <c r="AO141" s="24" t="n"/>
    </row>
    <row r="142" ht="15" customHeight="1">
      <c r="A142" s="63">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7">
        <f>IF(C142="","",SUMIFS(tbl_Finance[Inc GST],tbl_Finance[Job Number],C142&amp;""))</f>
        <v/>
      </c>
      <c r="M142" s="24" t="n"/>
      <c r="N142" s="25">
        <f>IF(C142="","",IFERROR(INDEX(tbl_Finance[Description],MATCH(C142&amp;"",tbl_Finance[Job Number],0)),""))</f>
        <v/>
      </c>
      <c r="O142" s="24" t="n"/>
      <c r="P142" s="24" t="n"/>
      <c r="Q142" s="22" t="n"/>
      <c r="R142" s="24" t="n"/>
      <c r="S142" s="25">
        <f>IF(R142="","",IF(AND(LEFT(R142,4)&lt;&gt;"http",set_RMSBase=""),"",HYPERLINK(IF(LEFT(R142,4)="http",R142,set_RMSBase&amp;R142),"Open opportunity")))</f>
        <v/>
      </c>
      <c r="T142" s="24" t="n"/>
      <c r="U142" s="25">
        <f>IF(T142="","",HYPERLINK(IF(LEFT(T142,4)="http",T142,set_QwilrBase&amp;T142),"Open quote"))</f>
        <v/>
      </c>
      <c r="V142" s="25">
        <f>IF(C142="","",C142)</f>
        <v/>
      </c>
      <c r="W142" s="24" t="n"/>
      <c r="X142" s="26" t="n"/>
      <c r="Y142" s="27">
        <f>IF(C142="","",H142+N(X142))</f>
        <v/>
      </c>
      <c r="Z142" s="29">
        <f>IFERROR(X142/Y142,"")</f>
        <v/>
      </c>
      <c r="AA142" s="26" t="n"/>
      <c r="AB142" s="26" t="n"/>
      <c r="AC142" s="26" t="n"/>
      <c r="AD142" s="26" t="n"/>
      <c r="AE142" s="27">
        <f>IF(C142="","",SUMIFS(tbl_Finance[Ex GST],tbl_Finance[Job Number],C142&amp;"",tbl_Finance[Cost Centre],"VIDEO"))</f>
        <v/>
      </c>
      <c r="AF142" s="29">
        <f>IFERROR(AE142/H142,"")</f>
        <v/>
      </c>
      <c r="AG142" s="27">
        <f>IF(C142="","",N(AA142)+N(AB142)+N(AC142)+N(AD142))</f>
        <v/>
      </c>
      <c r="AH142" s="27">
        <f>IF(C142="","",H142-AG142)</f>
        <v/>
      </c>
      <c r="AI142" s="29">
        <f>IFERROR(AH142/H142,"")</f>
        <v/>
      </c>
      <c r="AJ142" s="64" t="n"/>
      <c r="AK142" s="64" t="n"/>
      <c r="AL142" s="64" t="n"/>
      <c r="AM142" s="64" t="n"/>
      <c r="AN142" s="64" t="n"/>
      <c r="AO142" s="24" t="n"/>
    </row>
    <row r="143" ht="15" customHeight="1">
      <c r="A143" s="63">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7">
        <f>IF(C143="","",SUMIFS(tbl_Finance[Inc GST],tbl_Finance[Job Number],C143&amp;""))</f>
        <v/>
      </c>
      <c r="M143" s="24" t="n"/>
      <c r="N143" s="25">
        <f>IF(C143="","",IFERROR(INDEX(tbl_Finance[Description],MATCH(C143&amp;"",tbl_Finance[Job Number],0)),""))</f>
        <v/>
      </c>
      <c r="O143" s="24" t="n"/>
      <c r="P143" s="24" t="n"/>
      <c r="Q143" s="22" t="n"/>
      <c r="R143" s="24" t="n"/>
      <c r="S143" s="25">
        <f>IF(R143="","",IF(AND(LEFT(R143,4)&lt;&gt;"http",set_RMSBase=""),"",HYPERLINK(IF(LEFT(R143,4)="http",R143,set_RMSBase&amp;R143),"Open opportunity")))</f>
        <v/>
      </c>
      <c r="T143" s="24" t="n"/>
      <c r="U143" s="25">
        <f>IF(T143="","",HYPERLINK(IF(LEFT(T143,4)="http",T143,set_QwilrBase&amp;T143),"Open quote"))</f>
        <v/>
      </c>
      <c r="V143" s="25">
        <f>IF(C143="","",C143)</f>
        <v/>
      </c>
      <c r="W143" s="24" t="n"/>
      <c r="X143" s="26" t="n"/>
      <c r="Y143" s="27">
        <f>IF(C143="","",H143+N(X143))</f>
        <v/>
      </c>
      <c r="Z143" s="29">
        <f>IFERROR(X143/Y143,"")</f>
        <v/>
      </c>
      <c r="AA143" s="26" t="n"/>
      <c r="AB143" s="26" t="n"/>
      <c r="AC143" s="26" t="n"/>
      <c r="AD143" s="26" t="n"/>
      <c r="AE143" s="27">
        <f>IF(C143="","",SUMIFS(tbl_Finance[Ex GST],tbl_Finance[Job Number],C143&amp;"",tbl_Finance[Cost Centre],"VIDEO"))</f>
        <v/>
      </c>
      <c r="AF143" s="29">
        <f>IFERROR(AE143/H143,"")</f>
        <v/>
      </c>
      <c r="AG143" s="27">
        <f>IF(C143="","",N(AA143)+N(AB143)+N(AC143)+N(AD143))</f>
        <v/>
      </c>
      <c r="AH143" s="27">
        <f>IF(C143="","",H143-AG143)</f>
        <v/>
      </c>
      <c r="AI143" s="29">
        <f>IFERROR(AH143/H143,"")</f>
        <v/>
      </c>
      <c r="AJ143" s="64" t="n"/>
      <c r="AK143" s="64" t="n"/>
      <c r="AL143" s="64" t="n"/>
      <c r="AM143" s="64" t="n"/>
      <c r="AN143" s="64" t="n"/>
      <c r="AO143" s="24" t="n"/>
    </row>
    <row r="144" ht="15" customHeight="1">
      <c r="A144" s="63">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7">
        <f>IF(C144="","",SUMIFS(tbl_Finance[Inc GST],tbl_Finance[Job Number],C144&amp;""))</f>
        <v/>
      </c>
      <c r="M144" s="24" t="n"/>
      <c r="N144" s="25">
        <f>IF(C144="","",IFERROR(INDEX(tbl_Finance[Description],MATCH(C144&amp;"",tbl_Finance[Job Number],0)),""))</f>
        <v/>
      </c>
      <c r="O144" s="24" t="n"/>
      <c r="P144" s="24" t="n"/>
      <c r="Q144" s="22" t="n"/>
      <c r="R144" s="24" t="n"/>
      <c r="S144" s="25">
        <f>IF(R144="","",IF(AND(LEFT(R144,4)&lt;&gt;"http",set_RMSBase=""),"",HYPERLINK(IF(LEFT(R144,4)="http",R144,set_RMSBase&amp;R144),"Open opportunity")))</f>
        <v/>
      </c>
      <c r="T144" s="24" t="n"/>
      <c r="U144" s="25">
        <f>IF(T144="","",HYPERLINK(IF(LEFT(T144,4)="http",T144,set_QwilrBase&amp;T144),"Open quote"))</f>
        <v/>
      </c>
      <c r="V144" s="25">
        <f>IF(C144="","",C144)</f>
        <v/>
      </c>
      <c r="W144" s="24" t="n"/>
      <c r="X144" s="26" t="n"/>
      <c r="Y144" s="27">
        <f>IF(C144="","",H144+N(X144))</f>
        <v/>
      </c>
      <c r="Z144" s="29">
        <f>IFERROR(X144/Y144,"")</f>
        <v/>
      </c>
      <c r="AA144" s="26" t="n"/>
      <c r="AB144" s="26" t="n"/>
      <c r="AC144" s="26" t="n"/>
      <c r="AD144" s="26" t="n"/>
      <c r="AE144" s="27">
        <f>IF(C144="","",SUMIFS(tbl_Finance[Ex GST],tbl_Finance[Job Number],C144&amp;"",tbl_Finance[Cost Centre],"VIDEO"))</f>
        <v/>
      </c>
      <c r="AF144" s="29">
        <f>IFERROR(AE144/H144,"")</f>
        <v/>
      </c>
      <c r="AG144" s="27">
        <f>IF(C144="","",N(AA144)+N(AB144)+N(AC144)+N(AD144))</f>
        <v/>
      </c>
      <c r="AH144" s="27">
        <f>IF(C144="","",H144-AG144)</f>
        <v/>
      </c>
      <c r="AI144" s="29">
        <f>IFERROR(AH144/H144,"")</f>
        <v/>
      </c>
      <c r="AJ144" s="64" t="n"/>
      <c r="AK144" s="64" t="n"/>
      <c r="AL144" s="64" t="n"/>
      <c r="AM144" s="64" t="n"/>
      <c r="AN144" s="64" t="n"/>
      <c r="AO144" s="24" t="n"/>
    </row>
    <row r="145" ht="15" customHeight="1">
      <c r="A145" s="63">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7">
        <f>IF(C145="","",SUMIFS(tbl_Finance[Inc GST],tbl_Finance[Job Number],C145&amp;""))</f>
        <v/>
      </c>
      <c r="M145" s="24" t="n"/>
      <c r="N145" s="25">
        <f>IF(C145="","",IFERROR(INDEX(tbl_Finance[Description],MATCH(C145&amp;"",tbl_Finance[Job Number],0)),""))</f>
        <v/>
      </c>
      <c r="O145" s="24" t="n"/>
      <c r="P145" s="24" t="n"/>
      <c r="Q145" s="22" t="n"/>
      <c r="R145" s="24" t="n"/>
      <c r="S145" s="25">
        <f>IF(R145="","",IF(AND(LEFT(R145,4)&lt;&gt;"http",set_RMSBase=""),"",HYPERLINK(IF(LEFT(R145,4)="http",R145,set_RMSBase&amp;R145),"Open opportunity")))</f>
        <v/>
      </c>
      <c r="T145" s="24" t="n"/>
      <c r="U145" s="25">
        <f>IF(T145="","",HYPERLINK(IF(LEFT(T145,4)="http",T145,set_QwilrBase&amp;T145),"Open quote"))</f>
        <v/>
      </c>
      <c r="V145" s="25">
        <f>IF(C145="","",C145)</f>
        <v/>
      </c>
      <c r="W145" s="24" t="n"/>
      <c r="X145" s="26" t="n"/>
      <c r="Y145" s="27">
        <f>IF(C145="","",H145+N(X145))</f>
        <v/>
      </c>
      <c r="Z145" s="29">
        <f>IFERROR(X145/Y145,"")</f>
        <v/>
      </c>
      <c r="AA145" s="26" t="n"/>
      <c r="AB145" s="26" t="n"/>
      <c r="AC145" s="26" t="n"/>
      <c r="AD145" s="26" t="n"/>
      <c r="AE145" s="27">
        <f>IF(C145="","",SUMIFS(tbl_Finance[Ex GST],tbl_Finance[Job Number],C145&amp;"",tbl_Finance[Cost Centre],"VIDEO"))</f>
        <v/>
      </c>
      <c r="AF145" s="29">
        <f>IFERROR(AE145/H145,"")</f>
        <v/>
      </c>
      <c r="AG145" s="27">
        <f>IF(C145="","",N(AA145)+N(AB145)+N(AC145)+N(AD145))</f>
        <v/>
      </c>
      <c r="AH145" s="27">
        <f>IF(C145="","",H145-AG145)</f>
        <v/>
      </c>
      <c r="AI145" s="29">
        <f>IFERROR(AH145/H145,"")</f>
        <v/>
      </c>
      <c r="AJ145" s="64" t="n"/>
      <c r="AK145" s="64" t="n"/>
      <c r="AL145" s="64" t="n"/>
      <c r="AM145" s="64" t="n"/>
      <c r="AN145" s="64" t="n"/>
      <c r="AO145" s="24" t="n"/>
    </row>
    <row r="146" ht="15" customHeight="1">
      <c r="A146" s="63">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7">
        <f>IF(C146="","",SUMIFS(tbl_Finance[Inc GST],tbl_Finance[Job Number],C146&amp;""))</f>
        <v/>
      </c>
      <c r="M146" s="24" t="n"/>
      <c r="N146" s="25">
        <f>IF(C146="","",IFERROR(INDEX(tbl_Finance[Description],MATCH(C146&amp;"",tbl_Finance[Job Number],0)),""))</f>
        <v/>
      </c>
      <c r="O146" s="24" t="n"/>
      <c r="P146" s="24" t="n"/>
      <c r="Q146" s="22" t="n"/>
      <c r="R146" s="24" t="n"/>
      <c r="S146" s="25">
        <f>IF(R146="","",IF(AND(LEFT(R146,4)&lt;&gt;"http",set_RMSBase=""),"",HYPERLINK(IF(LEFT(R146,4)="http",R146,set_RMSBase&amp;R146),"Open opportunity")))</f>
        <v/>
      </c>
      <c r="T146" s="24" t="n"/>
      <c r="U146" s="25">
        <f>IF(T146="","",HYPERLINK(IF(LEFT(T146,4)="http",T146,set_QwilrBase&amp;T146),"Open quote"))</f>
        <v/>
      </c>
      <c r="V146" s="25">
        <f>IF(C146="","",C146)</f>
        <v/>
      </c>
      <c r="W146" s="24" t="n"/>
      <c r="X146" s="26" t="n"/>
      <c r="Y146" s="27">
        <f>IF(C146="","",H146+N(X146))</f>
        <v/>
      </c>
      <c r="Z146" s="29">
        <f>IFERROR(X146/Y146,"")</f>
        <v/>
      </c>
      <c r="AA146" s="26" t="n"/>
      <c r="AB146" s="26" t="n"/>
      <c r="AC146" s="26" t="n"/>
      <c r="AD146" s="26" t="n"/>
      <c r="AE146" s="27">
        <f>IF(C146="","",SUMIFS(tbl_Finance[Ex GST],tbl_Finance[Job Number],C146&amp;"",tbl_Finance[Cost Centre],"VIDEO"))</f>
        <v/>
      </c>
      <c r="AF146" s="29">
        <f>IFERROR(AE146/H146,"")</f>
        <v/>
      </c>
      <c r="AG146" s="27">
        <f>IF(C146="","",N(AA146)+N(AB146)+N(AC146)+N(AD146))</f>
        <v/>
      </c>
      <c r="AH146" s="27">
        <f>IF(C146="","",H146-AG146)</f>
        <v/>
      </c>
      <c r="AI146" s="29">
        <f>IFERROR(AH146/H146,"")</f>
        <v/>
      </c>
      <c r="AJ146" s="64" t="n"/>
      <c r="AK146" s="64" t="n"/>
      <c r="AL146" s="64" t="n"/>
      <c r="AM146" s="64" t="n"/>
      <c r="AN146" s="64" t="n"/>
      <c r="AO146" s="24" t="n"/>
    </row>
    <row r="147" ht="15" customHeight="1">
      <c r="A147" s="63">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7">
        <f>IF(C147="","",SUMIFS(tbl_Finance[Inc GST],tbl_Finance[Job Number],C147&amp;""))</f>
        <v/>
      </c>
      <c r="M147" s="24" t="n"/>
      <c r="N147" s="25">
        <f>IF(C147="","",IFERROR(INDEX(tbl_Finance[Description],MATCH(C147&amp;"",tbl_Finance[Job Number],0)),""))</f>
        <v/>
      </c>
      <c r="O147" s="24" t="n"/>
      <c r="P147" s="24" t="n"/>
      <c r="Q147" s="22" t="n"/>
      <c r="R147" s="24" t="n"/>
      <c r="S147" s="25">
        <f>IF(R147="","",IF(AND(LEFT(R147,4)&lt;&gt;"http",set_RMSBase=""),"",HYPERLINK(IF(LEFT(R147,4)="http",R147,set_RMSBase&amp;R147),"Open opportunity")))</f>
        <v/>
      </c>
      <c r="T147" s="24" t="n"/>
      <c r="U147" s="25">
        <f>IF(T147="","",HYPERLINK(IF(LEFT(T147,4)="http",T147,set_QwilrBase&amp;T147),"Open quote"))</f>
        <v/>
      </c>
      <c r="V147" s="25">
        <f>IF(C147="","",C147)</f>
        <v/>
      </c>
      <c r="W147" s="24" t="n"/>
      <c r="X147" s="26" t="n"/>
      <c r="Y147" s="27">
        <f>IF(C147="","",H147+N(X147))</f>
        <v/>
      </c>
      <c r="Z147" s="29">
        <f>IFERROR(X147/Y147,"")</f>
        <v/>
      </c>
      <c r="AA147" s="26" t="n"/>
      <c r="AB147" s="26" t="n"/>
      <c r="AC147" s="26" t="n"/>
      <c r="AD147" s="26" t="n"/>
      <c r="AE147" s="27">
        <f>IF(C147="","",SUMIFS(tbl_Finance[Ex GST],tbl_Finance[Job Number],C147&amp;"",tbl_Finance[Cost Centre],"VIDEO"))</f>
        <v/>
      </c>
      <c r="AF147" s="29">
        <f>IFERROR(AE147/H147,"")</f>
        <v/>
      </c>
      <c r="AG147" s="27">
        <f>IF(C147="","",N(AA147)+N(AB147)+N(AC147)+N(AD147))</f>
        <v/>
      </c>
      <c r="AH147" s="27">
        <f>IF(C147="","",H147-AG147)</f>
        <v/>
      </c>
      <c r="AI147" s="29">
        <f>IFERROR(AH147/H147,"")</f>
        <v/>
      </c>
      <c r="AJ147" s="64" t="n"/>
      <c r="AK147" s="64" t="n"/>
      <c r="AL147" s="64" t="n"/>
      <c r="AM147" s="64" t="n"/>
      <c r="AN147" s="64" t="n"/>
      <c r="AO147" s="24" t="n"/>
    </row>
    <row r="148" ht="15" customHeight="1">
      <c r="A148" s="63">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7">
        <f>IF(C148="","",SUMIFS(tbl_Finance[Inc GST],tbl_Finance[Job Number],C148&amp;""))</f>
        <v/>
      </c>
      <c r="M148" s="24" t="n"/>
      <c r="N148" s="25">
        <f>IF(C148="","",IFERROR(INDEX(tbl_Finance[Description],MATCH(C148&amp;"",tbl_Finance[Job Number],0)),""))</f>
        <v/>
      </c>
      <c r="O148" s="24" t="n"/>
      <c r="P148" s="24" t="n"/>
      <c r="Q148" s="22" t="n"/>
      <c r="R148" s="24" t="n"/>
      <c r="S148" s="25">
        <f>IF(R148="","",IF(AND(LEFT(R148,4)&lt;&gt;"http",set_RMSBase=""),"",HYPERLINK(IF(LEFT(R148,4)="http",R148,set_RMSBase&amp;R148),"Open opportunity")))</f>
        <v/>
      </c>
      <c r="T148" s="24" t="n"/>
      <c r="U148" s="25">
        <f>IF(T148="","",HYPERLINK(IF(LEFT(T148,4)="http",T148,set_QwilrBase&amp;T148),"Open quote"))</f>
        <v/>
      </c>
      <c r="V148" s="25">
        <f>IF(C148="","",C148)</f>
        <v/>
      </c>
      <c r="W148" s="24" t="n"/>
      <c r="X148" s="26" t="n"/>
      <c r="Y148" s="27">
        <f>IF(C148="","",H148+N(X148))</f>
        <v/>
      </c>
      <c r="Z148" s="29">
        <f>IFERROR(X148/Y148,"")</f>
        <v/>
      </c>
      <c r="AA148" s="26" t="n"/>
      <c r="AB148" s="26" t="n"/>
      <c r="AC148" s="26" t="n"/>
      <c r="AD148" s="26" t="n"/>
      <c r="AE148" s="27">
        <f>IF(C148="","",SUMIFS(tbl_Finance[Ex GST],tbl_Finance[Job Number],C148&amp;"",tbl_Finance[Cost Centre],"VIDEO"))</f>
        <v/>
      </c>
      <c r="AF148" s="29">
        <f>IFERROR(AE148/H148,"")</f>
        <v/>
      </c>
      <c r="AG148" s="27">
        <f>IF(C148="","",N(AA148)+N(AB148)+N(AC148)+N(AD148))</f>
        <v/>
      </c>
      <c r="AH148" s="27">
        <f>IF(C148="","",H148-AG148)</f>
        <v/>
      </c>
      <c r="AI148" s="29">
        <f>IFERROR(AH148/H148,"")</f>
        <v/>
      </c>
      <c r="AJ148" s="64" t="n"/>
      <c r="AK148" s="64" t="n"/>
      <c r="AL148" s="64" t="n"/>
      <c r="AM148" s="64" t="n"/>
      <c r="AN148" s="64" t="n"/>
      <c r="AO148" s="24" t="n"/>
    </row>
    <row r="149" ht="15" customHeight="1">
      <c r="A149" s="63">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7">
        <f>IF(C149="","",SUMIFS(tbl_Finance[Inc GST],tbl_Finance[Job Number],C149&amp;""))</f>
        <v/>
      </c>
      <c r="M149" s="24" t="n"/>
      <c r="N149" s="25">
        <f>IF(C149="","",IFERROR(INDEX(tbl_Finance[Description],MATCH(C149&amp;"",tbl_Finance[Job Number],0)),""))</f>
        <v/>
      </c>
      <c r="O149" s="24" t="n"/>
      <c r="P149" s="24" t="n"/>
      <c r="Q149" s="22" t="n"/>
      <c r="R149" s="24" t="n"/>
      <c r="S149" s="25">
        <f>IF(R149="","",IF(AND(LEFT(R149,4)&lt;&gt;"http",set_RMSBase=""),"",HYPERLINK(IF(LEFT(R149,4)="http",R149,set_RMSBase&amp;R149),"Open opportunity")))</f>
        <v/>
      </c>
      <c r="T149" s="24" t="n"/>
      <c r="U149" s="25">
        <f>IF(T149="","",HYPERLINK(IF(LEFT(T149,4)="http",T149,set_QwilrBase&amp;T149),"Open quote"))</f>
        <v/>
      </c>
      <c r="V149" s="25">
        <f>IF(C149="","",C149)</f>
        <v/>
      </c>
      <c r="W149" s="24" t="n"/>
      <c r="X149" s="26" t="n"/>
      <c r="Y149" s="27">
        <f>IF(C149="","",H149+N(X149))</f>
        <v/>
      </c>
      <c r="Z149" s="29">
        <f>IFERROR(X149/Y149,"")</f>
        <v/>
      </c>
      <c r="AA149" s="26" t="n"/>
      <c r="AB149" s="26" t="n"/>
      <c r="AC149" s="26" t="n"/>
      <c r="AD149" s="26" t="n"/>
      <c r="AE149" s="27">
        <f>IF(C149="","",SUMIFS(tbl_Finance[Ex GST],tbl_Finance[Job Number],C149&amp;"",tbl_Finance[Cost Centre],"VIDEO"))</f>
        <v/>
      </c>
      <c r="AF149" s="29">
        <f>IFERROR(AE149/H149,"")</f>
        <v/>
      </c>
      <c r="AG149" s="27">
        <f>IF(C149="","",N(AA149)+N(AB149)+N(AC149)+N(AD149))</f>
        <v/>
      </c>
      <c r="AH149" s="27">
        <f>IF(C149="","",H149-AG149)</f>
        <v/>
      </c>
      <c r="AI149" s="29">
        <f>IFERROR(AH149/H149,"")</f>
        <v/>
      </c>
      <c r="AJ149" s="64" t="n"/>
      <c r="AK149" s="64" t="n"/>
      <c r="AL149" s="64" t="n"/>
      <c r="AM149" s="64" t="n"/>
      <c r="AN149" s="64" t="n"/>
      <c r="AO149" s="24" t="n"/>
    </row>
    <row r="150" ht="15" customHeight="1">
      <c r="A150" s="63">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7">
        <f>IF(C150="","",SUMIFS(tbl_Finance[Inc GST],tbl_Finance[Job Number],C150&amp;""))</f>
        <v/>
      </c>
      <c r="M150" s="24" t="n"/>
      <c r="N150" s="25">
        <f>IF(C150="","",IFERROR(INDEX(tbl_Finance[Description],MATCH(C150&amp;"",tbl_Finance[Job Number],0)),""))</f>
        <v/>
      </c>
      <c r="O150" s="24" t="n"/>
      <c r="P150" s="24" t="n"/>
      <c r="Q150" s="22" t="n"/>
      <c r="R150" s="24" t="n"/>
      <c r="S150" s="25">
        <f>IF(R150="","",IF(AND(LEFT(R150,4)&lt;&gt;"http",set_RMSBase=""),"",HYPERLINK(IF(LEFT(R150,4)="http",R150,set_RMSBase&amp;R150),"Open opportunity")))</f>
        <v/>
      </c>
      <c r="T150" s="24" t="n"/>
      <c r="U150" s="25">
        <f>IF(T150="","",HYPERLINK(IF(LEFT(T150,4)="http",T150,set_QwilrBase&amp;T150),"Open quote"))</f>
        <v/>
      </c>
      <c r="V150" s="25">
        <f>IF(C150="","",C150)</f>
        <v/>
      </c>
      <c r="W150" s="24" t="n"/>
      <c r="X150" s="26" t="n"/>
      <c r="Y150" s="27">
        <f>IF(C150="","",H150+N(X150))</f>
        <v/>
      </c>
      <c r="Z150" s="29">
        <f>IFERROR(X150/Y150,"")</f>
        <v/>
      </c>
      <c r="AA150" s="26" t="n"/>
      <c r="AB150" s="26" t="n"/>
      <c r="AC150" s="26" t="n"/>
      <c r="AD150" s="26" t="n"/>
      <c r="AE150" s="27">
        <f>IF(C150="","",SUMIFS(tbl_Finance[Ex GST],tbl_Finance[Job Number],C150&amp;"",tbl_Finance[Cost Centre],"VIDEO"))</f>
        <v/>
      </c>
      <c r="AF150" s="29">
        <f>IFERROR(AE150/H150,"")</f>
        <v/>
      </c>
      <c r="AG150" s="27">
        <f>IF(C150="","",N(AA150)+N(AB150)+N(AC150)+N(AD150))</f>
        <v/>
      </c>
      <c r="AH150" s="27">
        <f>IF(C150="","",H150-AG150)</f>
        <v/>
      </c>
      <c r="AI150" s="29">
        <f>IFERROR(AH150/H150,"")</f>
        <v/>
      </c>
      <c r="AJ150" s="64" t="n"/>
      <c r="AK150" s="64" t="n"/>
      <c r="AL150" s="64" t="n"/>
      <c r="AM150" s="64" t="n"/>
      <c r="AN150" s="64" t="n"/>
      <c r="AO150" s="24" t="n"/>
    </row>
    <row r="151" ht="15" customHeight="1">
      <c r="A151" s="63">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7">
        <f>IF(C151="","",SUMIFS(tbl_Finance[Inc GST],tbl_Finance[Job Number],C151&amp;""))</f>
        <v/>
      </c>
      <c r="M151" s="24" t="n"/>
      <c r="N151" s="25">
        <f>IF(C151="","",IFERROR(INDEX(tbl_Finance[Description],MATCH(C151&amp;"",tbl_Finance[Job Number],0)),""))</f>
        <v/>
      </c>
      <c r="O151" s="24" t="n"/>
      <c r="P151" s="24" t="n"/>
      <c r="Q151" s="22" t="n"/>
      <c r="R151" s="24" t="n"/>
      <c r="S151" s="25">
        <f>IF(R151="","",IF(AND(LEFT(R151,4)&lt;&gt;"http",set_RMSBase=""),"",HYPERLINK(IF(LEFT(R151,4)="http",R151,set_RMSBase&amp;R151),"Open opportunity")))</f>
        <v/>
      </c>
      <c r="T151" s="24" t="n"/>
      <c r="U151" s="25">
        <f>IF(T151="","",HYPERLINK(IF(LEFT(T151,4)="http",T151,set_QwilrBase&amp;T151),"Open quote"))</f>
        <v/>
      </c>
      <c r="V151" s="25">
        <f>IF(C151="","",C151)</f>
        <v/>
      </c>
      <c r="W151" s="24" t="n"/>
      <c r="X151" s="26" t="n"/>
      <c r="Y151" s="27">
        <f>IF(C151="","",H151+N(X151))</f>
        <v/>
      </c>
      <c r="Z151" s="29">
        <f>IFERROR(X151/Y151,"")</f>
        <v/>
      </c>
      <c r="AA151" s="26" t="n"/>
      <c r="AB151" s="26" t="n"/>
      <c r="AC151" s="26" t="n"/>
      <c r="AD151" s="26" t="n"/>
      <c r="AE151" s="27">
        <f>IF(C151="","",SUMIFS(tbl_Finance[Ex GST],tbl_Finance[Job Number],C151&amp;"",tbl_Finance[Cost Centre],"VIDEO"))</f>
        <v/>
      </c>
      <c r="AF151" s="29">
        <f>IFERROR(AE151/H151,"")</f>
        <v/>
      </c>
      <c r="AG151" s="27">
        <f>IF(C151="","",N(AA151)+N(AB151)+N(AC151)+N(AD151))</f>
        <v/>
      </c>
      <c r="AH151" s="27">
        <f>IF(C151="","",H151-AG151)</f>
        <v/>
      </c>
      <c r="AI151" s="29">
        <f>IFERROR(AH151/H151,"")</f>
        <v/>
      </c>
      <c r="AJ151" s="64" t="n"/>
      <c r="AK151" s="64" t="n"/>
      <c r="AL151" s="64" t="n"/>
      <c r="AM151" s="64" t="n"/>
      <c r="AN151" s="64" t="n"/>
      <c r="AO151" s="24" t="n"/>
    </row>
    <row r="152" ht="15" customHeight="1">
      <c r="A152" s="63">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7">
        <f>IF(C152="","",SUMIFS(tbl_Finance[Inc GST],tbl_Finance[Job Number],C152&amp;""))</f>
        <v/>
      </c>
      <c r="M152" s="24" t="n"/>
      <c r="N152" s="25">
        <f>IF(C152="","",IFERROR(INDEX(tbl_Finance[Description],MATCH(C152&amp;"",tbl_Finance[Job Number],0)),""))</f>
        <v/>
      </c>
      <c r="O152" s="24" t="n"/>
      <c r="P152" s="24" t="n"/>
      <c r="Q152" s="22" t="n"/>
      <c r="R152" s="24" t="n"/>
      <c r="S152" s="25">
        <f>IF(R152="","",IF(AND(LEFT(R152,4)&lt;&gt;"http",set_RMSBase=""),"",HYPERLINK(IF(LEFT(R152,4)="http",R152,set_RMSBase&amp;R152),"Open opportunity")))</f>
        <v/>
      </c>
      <c r="T152" s="24" t="n"/>
      <c r="U152" s="25">
        <f>IF(T152="","",HYPERLINK(IF(LEFT(T152,4)="http",T152,set_QwilrBase&amp;T152),"Open quote"))</f>
        <v/>
      </c>
      <c r="V152" s="25">
        <f>IF(C152="","",C152)</f>
        <v/>
      </c>
      <c r="W152" s="24" t="n"/>
      <c r="X152" s="26" t="n"/>
      <c r="Y152" s="27">
        <f>IF(C152="","",H152+N(X152))</f>
        <v/>
      </c>
      <c r="Z152" s="29">
        <f>IFERROR(X152/Y152,"")</f>
        <v/>
      </c>
      <c r="AA152" s="26" t="n"/>
      <c r="AB152" s="26" t="n"/>
      <c r="AC152" s="26" t="n"/>
      <c r="AD152" s="26" t="n"/>
      <c r="AE152" s="27">
        <f>IF(C152="","",SUMIFS(tbl_Finance[Ex GST],tbl_Finance[Job Number],C152&amp;"",tbl_Finance[Cost Centre],"VIDEO"))</f>
        <v/>
      </c>
      <c r="AF152" s="29">
        <f>IFERROR(AE152/H152,"")</f>
        <v/>
      </c>
      <c r="AG152" s="27">
        <f>IF(C152="","",N(AA152)+N(AB152)+N(AC152)+N(AD152))</f>
        <v/>
      </c>
      <c r="AH152" s="27">
        <f>IF(C152="","",H152-AG152)</f>
        <v/>
      </c>
      <c r="AI152" s="29">
        <f>IFERROR(AH152/H152,"")</f>
        <v/>
      </c>
      <c r="AJ152" s="64" t="n"/>
      <c r="AK152" s="64" t="n"/>
      <c r="AL152" s="64" t="n"/>
      <c r="AM152" s="64" t="n"/>
      <c r="AN152" s="64" t="n"/>
      <c r="AO152" s="24" t="n"/>
    </row>
    <row r="153" ht="15" customHeight="1">
      <c r="A153" s="63">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7">
        <f>IF(C153="","",SUMIFS(tbl_Finance[Inc GST],tbl_Finance[Job Number],C153&amp;""))</f>
        <v/>
      </c>
      <c r="M153" s="24" t="n"/>
      <c r="N153" s="25">
        <f>IF(C153="","",IFERROR(INDEX(tbl_Finance[Description],MATCH(C153&amp;"",tbl_Finance[Job Number],0)),""))</f>
        <v/>
      </c>
      <c r="O153" s="24" t="n"/>
      <c r="P153" s="24" t="n"/>
      <c r="Q153" s="22" t="n"/>
      <c r="R153" s="24" t="n"/>
      <c r="S153" s="25">
        <f>IF(R153="","",IF(AND(LEFT(R153,4)&lt;&gt;"http",set_RMSBase=""),"",HYPERLINK(IF(LEFT(R153,4)="http",R153,set_RMSBase&amp;R153),"Open opportunity")))</f>
        <v/>
      </c>
      <c r="T153" s="24" t="n"/>
      <c r="U153" s="25">
        <f>IF(T153="","",HYPERLINK(IF(LEFT(T153,4)="http",T153,set_QwilrBase&amp;T153),"Open quote"))</f>
        <v/>
      </c>
      <c r="V153" s="25">
        <f>IF(C153="","",C153)</f>
        <v/>
      </c>
      <c r="W153" s="24" t="n"/>
      <c r="X153" s="26" t="n"/>
      <c r="Y153" s="27">
        <f>IF(C153="","",H153+N(X153))</f>
        <v/>
      </c>
      <c r="Z153" s="29">
        <f>IFERROR(X153/Y153,"")</f>
        <v/>
      </c>
      <c r="AA153" s="26" t="n"/>
      <c r="AB153" s="26" t="n"/>
      <c r="AC153" s="26" t="n"/>
      <c r="AD153" s="26" t="n"/>
      <c r="AE153" s="27">
        <f>IF(C153="","",SUMIFS(tbl_Finance[Ex GST],tbl_Finance[Job Number],C153&amp;"",tbl_Finance[Cost Centre],"VIDEO"))</f>
        <v/>
      </c>
      <c r="AF153" s="29">
        <f>IFERROR(AE153/H153,"")</f>
        <v/>
      </c>
      <c r="AG153" s="27">
        <f>IF(C153="","",N(AA153)+N(AB153)+N(AC153)+N(AD153))</f>
        <v/>
      </c>
      <c r="AH153" s="27">
        <f>IF(C153="","",H153-AG153)</f>
        <v/>
      </c>
      <c r="AI153" s="29">
        <f>IFERROR(AH153/H153,"")</f>
        <v/>
      </c>
      <c r="AJ153" s="64" t="n"/>
      <c r="AK153" s="64" t="n"/>
      <c r="AL153" s="64" t="n"/>
      <c r="AM153" s="64" t="n"/>
      <c r="AN153" s="64" t="n"/>
      <c r="AO153" s="24" t="n"/>
    </row>
    <row r="154" ht="15" customHeight="1">
      <c r="A154" s="63">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7">
        <f>IF(C154="","",SUMIFS(tbl_Finance[Inc GST],tbl_Finance[Job Number],C154&amp;""))</f>
        <v/>
      </c>
      <c r="M154" s="24" t="n"/>
      <c r="N154" s="25">
        <f>IF(C154="","",IFERROR(INDEX(tbl_Finance[Description],MATCH(C154&amp;"",tbl_Finance[Job Number],0)),""))</f>
        <v/>
      </c>
      <c r="O154" s="24" t="n"/>
      <c r="P154" s="24" t="n"/>
      <c r="Q154" s="22" t="n"/>
      <c r="R154" s="24" t="n"/>
      <c r="S154" s="25">
        <f>IF(R154="","",IF(AND(LEFT(R154,4)&lt;&gt;"http",set_RMSBase=""),"",HYPERLINK(IF(LEFT(R154,4)="http",R154,set_RMSBase&amp;R154),"Open opportunity")))</f>
        <v/>
      </c>
      <c r="T154" s="24" t="n"/>
      <c r="U154" s="25">
        <f>IF(T154="","",HYPERLINK(IF(LEFT(T154,4)="http",T154,set_QwilrBase&amp;T154),"Open quote"))</f>
        <v/>
      </c>
      <c r="V154" s="25">
        <f>IF(C154="","",C154)</f>
        <v/>
      </c>
      <c r="W154" s="24" t="n"/>
      <c r="X154" s="26" t="n"/>
      <c r="Y154" s="27">
        <f>IF(C154="","",H154+N(X154))</f>
        <v/>
      </c>
      <c r="Z154" s="29">
        <f>IFERROR(X154/Y154,"")</f>
        <v/>
      </c>
      <c r="AA154" s="26" t="n"/>
      <c r="AB154" s="26" t="n"/>
      <c r="AC154" s="26" t="n"/>
      <c r="AD154" s="26" t="n"/>
      <c r="AE154" s="27">
        <f>IF(C154="","",SUMIFS(tbl_Finance[Ex GST],tbl_Finance[Job Number],C154&amp;"",tbl_Finance[Cost Centre],"VIDEO"))</f>
        <v/>
      </c>
      <c r="AF154" s="29">
        <f>IFERROR(AE154/H154,"")</f>
        <v/>
      </c>
      <c r="AG154" s="27">
        <f>IF(C154="","",N(AA154)+N(AB154)+N(AC154)+N(AD154))</f>
        <v/>
      </c>
      <c r="AH154" s="27">
        <f>IF(C154="","",H154-AG154)</f>
        <v/>
      </c>
      <c r="AI154" s="29">
        <f>IFERROR(AH154/H154,"")</f>
        <v/>
      </c>
      <c r="AJ154" s="64" t="n"/>
      <c r="AK154" s="64" t="n"/>
      <c r="AL154" s="64" t="n"/>
      <c r="AM154" s="64" t="n"/>
      <c r="AN154" s="64" t="n"/>
      <c r="AO154" s="24" t="n"/>
    </row>
    <row r="155" ht="15" customHeight="1">
      <c r="A155" s="63">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7">
        <f>IF(C155="","",SUMIFS(tbl_Finance[Inc GST],tbl_Finance[Job Number],C155&amp;""))</f>
        <v/>
      </c>
      <c r="M155" s="24" t="n"/>
      <c r="N155" s="25">
        <f>IF(C155="","",IFERROR(INDEX(tbl_Finance[Description],MATCH(C155&amp;"",tbl_Finance[Job Number],0)),""))</f>
        <v/>
      </c>
      <c r="O155" s="24" t="n"/>
      <c r="P155" s="24" t="n"/>
      <c r="Q155" s="22" t="n"/>
      <c r="R155" s="24" t="n"/>
      <c r="S155" s="25">
        <f>IF(R155="","",IF(AND(LEFT(R155,4)&lt;&gt;"http",set_RMSBase=""),"",HYPERLINK(IF(LEFT(R155,4)="http",R155,set_RMSBase&amp;R155),"Open opportunity")))</f>
        <v/>
      </c>
      <c r="T155" s="24" t="n"/>
      <c r="U155" s="25">
        <f>IF(T155="","",HYPERLINK(IF(LEFT(T155,4)="http",T155,set_QwilrBase&amp;T155),"Open quote"))</f>
        <v/>
      </c>
      <c r="V155" s="25">
        <f>IF(C155="","",C155)</f>
        <v/>
      </c>
      <c r="W155" s="24" t="n"/>
      <c r="X155" s="26" t="n"/>
      <c r="Y155" s="27">
        <f>IF(C155="","",H155+N(X155))</f>
        <v/>
      </c>
      <c r="Z155" s="29">
        <f>IFERROR(X155/Y155,"")</f>
        <v/>
      </c>
      <c r="AA155" s="26" t="n"/>
      <c r="AB155" s="26" t="n"/>
      <c r="AC155" s="26" t="n"/>
      <c r="AD155" s="26" t="n"/>
      <c r="AE155" s="27">
        <f>IF(C155="","",SUMIFS(tbl_Finance[Ex GST],tbl_Finance[Job Number],C155&amp;"",tbl_Finance[Cost Centre],"VIDEO"))</f>
        <v/>
      </c>
      <c r="AF155" s="29">
        <f>IFERROR(AE155/H155,"")</f>
        <v/>
      </c>
      <c r="AG155" s="27">
        <f>IF(C155="","",N(AA155)+N(AB155)+N(AC155)+N(AD155))</f>
        <v/>
      </c>
      <c r="AH155" s="27">
        <f>IF(C155="","",H155-AG155)</f>
        <v/>
      </c>
      <c r="AI155" s="29">
        <f>IFERROR(AH155/H155,"")</f>
        <v/>
      </c>
      <c r="AJ155" s="64" t="n"/>
      <c r="AK155" s="64" t="n"/>
      <c r="AL155" s="64" t="n"/>
      <c r="AM155" s="64" t="n"/>
      <c r="AN155" s="64" t="n"/>
      <c r="AO155" s="24" t="n"/>
    </row>
    <row r="156" ht="15" customHeight="1">
      <c r="A156" s="63">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7">
        <f>IF(C156="","",SUMIFS(tbl_Finance[Inc GST],tbl_Finance[Job Number],C156&amp;""))</f>
        <v/>
      </c>
      <c r="M156" s="24" t="n"/>
      <c r="N156" s="25">
        <f>IF(C156="","",IFERROR(INDEX(tbl_Finance[Description],MATCH(C156&amp;"",tbl_Finance[Job Number],0)),""))</f>
        <v/>
      </c>
      <c r="O156" s="24" t="n"/>
      <c r="P156" s="24" t="n"/>
      <c r="Q156" s="22" t="n"/>
      <c r="R156" s="24" t="n"/>
      <c r="S156" s="25">
        <f>IF(R156="","",IF(AND(LEFT(R156,4)&lt;&gt;"http",set_RMSBase=""),"",HYPERLINK(IF(LEFT(R156,4)="http",R156,set_RMSBase&amp;R156),"Open opportunity")))</f>
        <v/>
      </c>
      <c r="T156" s="24" t="n"/>
      <c r="U156" s="25">
        <f>IF(T156="","",HYPERLINK(IF(LEFT(T156,4)="http",T156,set_QwilrBase&amp;T156),"Open quote"))</f>
        <v/>
      </c>
      <c r="V156" s="25">
        <f>IF(C156="","",C156)</f>
        <v/>
      </c>
      <c r="W156" s="24" t="n"/>
      <c r="X156" s="26" t="n"/>
      <c r="Y156" s="27">
        <f>IF(C156="","",H156+N(X156))</f>
        <v/>
      </c>
      <c r="Z156" s="29">
        <f>IFERROR(X156/Y156,"")</f>
        <v/>
      </c>
      <c r="AA156" s="26" t="n"/>
      <c r="AB156" s="26" t="n"/>
      <c r="AC156" s="26" t="n"/>
      <c r="AD156" s="26" t="n"/>
      <c r="AE156" s="27">
        <f>IF(C156="","",SUMIFS(tbl_Finance[Ex GST],tbl_Finance[Job Number],C156&amp;"",tbl_Finance[Cost Centre],"VIDEO"))</f>
        <v/>
      </c>
      <c r="AF156" s="29">
        <f>IFERROR(AE156/H156,"")</f>
        <v/>
      </c>
      <c r="AG156" s="27">
        <f>IF(C156="","",N(AA156)+N(AB156)+N(AC156)+N(AD156))</f>
        <v/>
      </c>
      <c r="AH156" s="27">
        <f>IF(C156="","",H156-AG156)</f>
        <v/>
      </c>
      <c r="AI156" s="29">
        <f>IFERROR(AH156/H156,"")</f>
        <v/>
      </c>
      <c r="AJ156" s="64" t="n"/>
      <c r="AK156" s="64" t="n"/>
      <c r="AL156" s="64" t="n"/>
      <c r="AM156" s="64" t="n"/>
      <c r="AN156" s="64" t="n"/>
      <c r="AO156" s="24" t="n"/>
    </row>
    <row r="157" ht="15" customHeight="1">
      <c r="A157" s="63">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7">
        <f>IF(C157="","",SUMIFS(tbl_Finance[Inc GST],tbl_Finance[Job Number],C157&amp;""))</f>
        <v/>
      </c>
      <c r="M157" s="24" t="n"/>
      <c r="N157" s="25">
        <f>IF(C157="","",IFERROR(INDEX(tbl_Finance[Description],MATCH(C157&amp;"",tbl_Finance[Job Number],0)),""))</f>
        <v/>
      </c>
      <c r="O157" s="24" t="n"/>
      <c r="P157" s="24" t="n"/>
      <c r="Q157" s="22" t="n"/>
      <c r="R157" s="24" t="n"/>
      <c r="S157" s="25">
        <f>IF(R157="","",IF(AND(LEFT(R157,4)&lt;&gt;"http",set_RMSBase=""),"",HYPERLINK(IF(LEFT(R157,4)="http",R157,set_RMSBase&amp;R157),"Open opportunity")))</f>
        <v/>
      </c>
      <c r="T157" s="24" t="n"/>
      <c r="U157" s="25">
        <f>IF(T157="","",HYPERLINK(IF(LEFT(T157,4)="http",T157,set_QwilrBase&amp;T157),"Open quote"))</f>
        <v/>
      </c>
      <c r="V157" s="25">
        <f>IF(C157="","",C157)</f>
        <v/>
      </c>
      <c r="W157" s="24" t="n"/>
      <c r="X157" s="26" t="n"/>
      <c r="Y157" s="27">
        <f>IF(C157="","",H157+N(X157))</f>
        <v/>
      </c>
      <c r="Z157" s="29">
        <f>IFERROR(X157/Y157,"")</f>
        <v/>
      </c>
      <c r="AA157" s="26" t="n"/>
      <c r="AB157" s="26" t="n"/>
      <c r="AC157" s="26" t="n"/>
      <c r="AD157" s="26" t="n"/>
      <c r="AE157" s="27">
        <f>IF(C157="","",SUMIFS(tbl_Finance[Ex GST],tbl_Finance[Job Number],C157&amp;"",tbl_Finance[Cost Centre],"VIDEO"))</f>
        <v/>
      </c>
      <c r="AF157" s="29">
        <f>IFERROR(AE157/H157,"")</f>
        <v/>
      </c>
      <c r="AG157" s="27">
        <f>IF(C157="","",N(AA157)+N(AB157)+N(AC157)+N(AD157))</f>
        <v/>
      </c>
      <c r="AH157" s="27">
        <f>IF(C157="","",H157-AG157)</f>
        <v/>
      </c>
      <c r="AI157" s="29">
        <f>IFERROR(AH157/H157,"")</f>
        <v/>
      </c>
      <c r="AJ157" s="64" t="n"/>
      <c r="AK157" s="64" t="n"/>
      <c r="AL157" s="64" t="n"/>
      <c r="AM157" s="64" t="n"/>
      <c r="AN157" s="64" t="n"/>
      <c r="AO157" s="24" t="n"/>
    </row>
    <row r="158" ht="15" customHeight="1">
      <c r="A158" s="63">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7">
        <f>IF(C158="","",SUMIFS(tbl_Finance[Inc GST],tbl_Finance[Job Number],C158&amp;""))</f>
        <v/>
      </c>
      <c r="M158" s="24" t="n"/>
      <c r="N158" s="25">
        <f>IF(C158="","",IFERROR(INDEX(tbl_Finance[Description],MATCH(C158&amp;"",tbl_Finance[Job Number],0)),""))</f>
        <v/>
      </c>
      <c r="O158" s="24" t="n"/>
      <c r="P158" s="24" t="n"/>
      <c r="Q158" s="22" t="n"/>
      <c r="R158" s="24" t="n"/>
      <c r="S158" s="25">
        <f>IF(R158="","",IF(AND(LEFT(R158,4)&lt;&gt;"http",set_RMSBase=""),"",HYPERLINK(IF(LEFT(R158,4)="http",R158,set_RMSBase&amp;R158),"Open opportunity")))</f>
        <v/>
      </c>
      <c r="T158" s="24" t="n"/>
      <c r="U158" s="25">
        <f>IF(T158="","",HYPERLINK(IF(LEFT(T158,4)="http",T158,set_QwilrBase&amp;T158),"Open quote"))</f>
        <v/>
      </c>
      <c r="V158" s="25">
        <f>IF(C158="","",C158)</f>
        <v/>
      </c>
      <c r="W158" s="24" t="n"/>
      <c r="X158" s="26" t="n"/>
      <c r="Y158" s="27">
        <f>IF(C158="","",H158+N(X158))</f>
        <v/>
      </c>
      <c r="Z158" s="29">
        <f>IFERROR(X158/Y158,"")</f>
        <v/>
      </c>
      <c r="AA158" s="26" t="n"/>
      <c r="AB158" s="26" t="n"/>
      <c r="AC158" s="26" t="n"/>
      <c r="AD158" s="26" t="n"/>
      <c r="AE158" s="27">
        <f>IF(C158="","",SUMIFS(tbl_Finance[Ex GST],tbl_Finance[Job Number],C158&amp;"",tbl_Finance[Cost Centre],"VIDEO"))</f>
        <v/>
      </c>
      <c r="AF158" s="29">
        <f>IFERROR(AE158/H158,"")</f>
        <v/>
      </c>
      <c r="AG158" s="27">
        <f>IF(C158="","",N(AA158)+N(AB158)+N(AC158)+N(AD158))</f>
        <v/>
      </c>
      <c r="AH158" s="27">
        <f>IF(C158="","",H158-AG158)</f>
        <v/>
      </c>
      <c r="AI158" s="29">
        <f>IFERROR(AH158/H158,"")</f>
        <v/>
      </c>
      <c r="AJ158" s="64" t="n"/>
      <c r="AK158" s="64" t="n"/>
      <c r="AL158" s="64" t="n"/>
      <c r="AM158" s="64" t="n"/>
      <c r="AN158" s="64" t="n"/>
      <c r="AO158" s="24" t="n"/>
    </row>
    <row r="159" ht="15" customHeight="1">
      <c r="A159" s="63">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7">
        <f>IF(C159="","",SUMIFS(tbl_Finance[Inc GST],tbl_Finance[Job Number],C159&amp;""))</f>
        <v/>
      </c>
      <c r="M159" s="24" t="n"/>
      <c r="N159" s="25">
        <f>IF(C159="","",IFERROR(INDEX(tbl_Finance[Description],MATCH(C159&amp;"",tbl_Finance[Job Number],0)),""))</f>
        <v/>
      </c>
      <c r="O159" s="24" t="n"/>
      <c r="P159" s="24" t="n"/>
      <c r="Q159" s="22" t="n"/>
      <c r="R159" s="24" t="n"/>
      <c r="S159" s="25">
        <f>IF(R159="","",IF(AND(LEFT(R159,4)&lt;&gt;"http",set_RMSBase=""),"",HYPERLINK(IF(LEFT(R159,4)="http",R159,set_RMSBase&amp;R159),"Open opportunity")))</f>
        <v/>
      </c>
      <c r="T159" s="24" t="n"/>
      <c r="U159" s="25">
        <f>IF(T159="","",HYPERLINK(IF(LEFT(T159,4)="http",T159,set_QwilrBase&amp;T159),"Open quote"))</f>
        <v/>
      </c>
      <c r="V159" s="25">
        <f>IF(C159="","",C159)</f>
        <v/>
      </c>
      <c r="W159" s="24" t="n"/>
      <c r="X159" s="26" t="n"/>
      <c r="Y159" s="27">
        <f>IF(C159="","",H159+N(X159))</f>
        <v/>
      </c>
      <c r="Z159" s="29">
        <f>IFERROR(X159/Y159,"")</f>
        <v/>
      </c>
      <c r="AA159" s="26" t="n"/>
      <c r="AB159" s="26" t="n"/>
      <c r="AC159" s="26" t="n"/>
      <c r="AD159" s="26" t="n"/>
      <c r="AE159" s="27">
        <f>IF(C159="","",SUMIFS(tbl_Finance[Ex GST],tbl_Finance[Job Number],C159&amp;"",tbl_Finance[Cost Centre],"VIDEO"))</f>
        <v/>
      </c>
      <c r="AF159" s="29">
        <f>IFERROR(AE159/H159,"")</f>
        <v/>
      </c>
      <c r="AG159" s="27">
        <f>IF(C159="","",N(AA159)+N(AB159)+N(AC159)+N(AD159))</f>
        <v/>
      </c>
      <c r="AH159" s="27">
        <f>IF(C159="","",H159-AG159)</f>
        <v/>
      </c>
      <c r="AI159" s="29">
        <f>IFERROR(AH159/H159,"")</f>
        <v/>
      </c>
      <c r="AJ159" s="64" t="n"/>
      <c r="AK159" s="64" t="n"/>
      <c r="AL159" s="64" t="n"/>
      <c r="AM159" s="64" t="n"/>
      <c r="AN159" s="64" t="n"/>
      <c r="AO159" s="24" t="n"/>
    </row>
    <row r="160" ht="15" customHeight="1">
      <c r="A160" s="63">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7">
        <f>IF(C160="","",SUMIFS(tbl_Finance[Inc GST],tbl_Finance[Job Number],C160&amp;""))</f>
        <v/>
      </c>
      <c r="M160" s="24" t="n"/>
      <c r="N160" s="25">
        <f>IF(C160="","",IFERROR(INDEX(tbl_Finance[Description],MATCH(C160&amp;"",tbl_Finance[Job Number],0)),""))</f>
        <v/>
      </c>
      <c r="O160" s="24" t="n"/>
      <c r="P160" s="24" t="n"/>
      <c r="Q160" s="22" t="n"/>
      <c r="R160" s="24" t="n"/>
      <c r="S160" s="25">
        <f>IF(R160="","",IF(AND(LEFT(R160,4)&lt;&gt;"http",set_RMSBase=""),"",HYPERLINK(IF(LEFT(R160,4)="http",R160,set_RMSBase&amp;R160),"Open opportunity")))</f>
        <v/>
      </c>
      <c r="T160" s="24" t="n"/>
      <c r="U160" s="25">
        <f>IF(T160="","",HYPERLINK(IF(LEFT(T160,4)="http",T160,set_QwilrBase&amp;T160),"Open quote"))</f>
        <v/>
      </c>
      <c r="V160" s="25">
        <f>IF(C160="","",C160)</f>
        <v/>
      </c>
      <c r="W160" s="24" t="n"/>
      <c r="X160" s="26" t="n"/>
      <c r="Y160" s="27">
        <f>IF(C160="","",H160+N(X160))</f>
        <v/>
      </c>
      <c r="Z160" s="29">
        <f>IFERROR(X160/Y160,"")</f>
        <v/>
      </c>
      <c r="AA160" s="26" t="n"/>
      <c r="AB160" s="26" t="n"/>
      <c r="AC160" s="26" t="n"/>
      <c r="AD160" s="26" t="n"/>
      <c r="AE160" s="27">
        <f>IF(C160="","",SUMIFS(tbl_Finance[Ex GST],tbl_Finance[Job Number],C160&amp;"",tbl_Finance[Cost Centre],"VIDEO"))</f>
        <v/>
      </c>
      <c r="AF160" s="29">
        <f>IFERROR(AE160/H160,"")</f>
        <v/>
      </c>
      <c r="AG160" s="27">
        <f>IF(C160="","",N(AA160)+N(AB160)+N(AC160)+N(AD160))</f>
        <v/>
      </c>
      <c r="AH160" s="27">
        <f>IF(C160="","",H160-AG160)</f>
        <v/>
      </c>
      <c r="AI160" s="29">
        <f>IFERROR(AH160/H160,"")</f>
        <v/>
      </c>
      <c r="AJ160" s="64" t="n"/>
      <c r="AK160" s="64" t="n"/>
      <c r="AL160" s="64" t="n"/>
      <c r="AM160" s="64" t="n"/>
      <c r="AN160" s="64" t="n"/>
      <c r="AO160" s="24" t="n"/>
    </row>
    <row r="161" ht="15" customHeight="1">
      <c r="A161" s="63">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7">
        <f>IF(C161="","",SUMIFS(tbl_Finance[Inc GST],tbl_Finance[Job Number],C161&amp;""))</f>
        <v/>
      </c>
      <c r="M161" s="24" t="n"/>
      <c r="N161" s="25">
        <f>IF(C161="","",IFERROR(INDEX(tbl_Finance[Description],MATCH(C161&amp;"",tbl_Finance[Job Number],0)),""))</f>
        <v/>
      </c>
      <c r="O161" s="24" t="n"/>
      <c r="P161" s="24" t="n"/>
      <c r="Q161" s="22" t="n"/>
      <c r="R161" s="24" t="n"/>
      <c r="S161" s="25">
        <f>IF(R161="","",IF(AND(LEFT(R161,4)&lt;&gt;"http",set_RMSBase=""),"",HYPERLINK(IF(LEFT(R161,4)="http",R161,set_RMSBase&amp;R161),"Open opportunity")))</f>
        <v/>
      </c>
      <c r="T161" s="24" t="n"/>
      <c r="U161" s="25">
        <f>IF(T161="","",HYPERLINK(IF(LEFT(T161,4)="http",T161,set_QwilrBase&amp;T161),"Open quote"))</f>
        <v/>
      </c>
      <c r="V161" s="25">
        <f>IF(C161="","",C161)</f>
        <v/>
      </c>
      <c r="W161" s="24" t="n"/>
      <c r="X161" s="26" t="n"/>
      <c r="Y161" s="27">
        <f>IF(C161="","",H161+N(X161))</f>
        <v/>
      </c>
      <c r="Z161" s="29">
        <f>IFERROR(X161/Y161,"")</f>
        <v/>
      </c>
      <c r="AA161" s="26" t="n"/>
      <c r="AB161" s="26" t="n"/>
      <c r="AC161" s="26" t="n"/>
      <c r="AD161" s="26" t="n"/>
      <c r="AE161" s="27">
        <f>IF(C161="","",SUMIFS(tbl_Finance[Ex GST],tbl_Finance[Job Number],C161&amp;"",tbl_Finance[Cost Centre],"VIDEO"))</f>
        <v/>
      </c>
      <c r="AF161" s="29">
        <f>IFERROR(AE161/H161,"")</f>
        <v/>
      </c>
      <c r="AG161" s="27">
        <f>IF(C161="","",N(AA161)+N(AB161)+N(AC161)+N(AD161))</f>
        <v/>
      </c>
      <c r="AH161" s="27">
        <f>IF(C161="","",H161-AG161)</f>
        <v/>
      </c>
      <c r="AI161" s="29">
        <f>IFERROR(AH161/H161,"")</f>
        <v/>
      </c>
      <c r="AJ161" s="64" t="n"/>
      <c r="AK161" s="64" t="n"/>
      <c r="AL161" s="64" t="n"/>
      <c r="AM161" s="64" t="n"/>
      <c r="AN161" s="64" t="n"/>
      <c r="AO161" s="24" t="n"/>
    </row>
    <row r="162" ht="15" customHeight="1">
      <c r="A162" s="63">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7">
        <f>IF(C162="","",SUMIFS(tbl_Finance[Inc GST],tbl_Finance[Job Number],C162&amp;""))</f>
        <v/>
      </c>
      <c r="M162" s="24" t="n"/>
      <c r="N162" s="25">
        <f>IF(C162="","",IFERROR(INDEX(tbl_Finance[Description],MATCH(C162&amp;"",tbl_Finance[Job Number],0)),""))</f>
        <v/>
      </c>
      <c r="O162" s="24" t="n"/>
      <c r="P162" s="24" t="n"/>
      <c r="Q162" s="22" t="n"/>
      <c r="R162" s="24" t="n"/>
      <c r="S162" s="25">
        <f>IF(R162="","",IF(AND(LEFT(R162,4)&lt;&gt;"http",set_RMSBase=""),"",HYPERLINK(IF(LEFT(R162,4)="http",R162,set_RMSBase&amp;R162),"Open opportunity")))</f>
        <v/>
      </c>
      <c r="T162" s="24" t="n"/>
      <c r="U162" s="25">
        <f>IF(T162="","",HYPERLINK(IF(LEFT(T162,4)="http",T162,set_QwilrBase&amp;T162),"Open quote"))</f>
        <v/>
      </c>
      <c r="V162" s="25">
        <f>IF(C162="","",C162)</f>
        <v/>
      </c>
      <c r="W162" s="24" t="n"/>
      <c r="X162" s="26" t="n"/>
      <c r="Y162" s="27">
        <f>IF(C162="","",H162+N(X162))</f>
        <v/>
      </c>
      <c r="Z162" s="29">
        <f>IFERROR(X162/Y162,"")</f>
        <v/>
      </c>
      <c r="AA162" s="26" t="n"/>
      <c r="AB162" s="26" t="n"/>
      <c r="AC162" s="26" t="n"/>
      <c r="AD162" s="26" t="n"/>
      <c r="AE162" s="27">
        <f>IF(C162="","",SUMIFS(tbl_Finance[Ex GST],tbl_Finance[Job Number],C162&amp;"",tbl_Finance[Cost Centre],"VIDEO"))</f>
        <v/>
      </c>
      <c r="AF162" s="29">
        <f>IFERROR(AE162/H162,"")</f>
        <v/>
      </c>
      <c r="AG162" s="27">
        <f>IF(C162="","",N(AA162)+N(AB162)+N(AC162)+N(AD162))</f>
        <v/>
      </c>
      <c r="AH162" s="27">
        <f>IF(C162="","",H162-AG162)</f>
        <v/>
      </c>
      <c r="AI162" s="29">
        <f>IFERROR(AH162/H162,"")</f>
        <v/>
      </c>
      <c r="AJ162" s="64" t="n"/>
      <c r="AK162" s="64" t="n"/>
      <c r="AL162" s="64" t="n"/>
      <c r="AM162" s="64" t="n"/>
      <c r="AN162" s="64" t="n"/>
      <c r="AO162" s="24" t="n"/>
    </row>
    <row r="163" ht="15" customHeight="1">
      <c r="A163" s="63">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7">
        <f>IF(C163="","",SUMIFS(tbl_Finance[Inc GST],tbl_Finance[Job Number],C163&amp;""))</f>
        <v/>
      </c>
      <c r="M163" s="24" t="n"/>
      <c r="N163" s="25">
        <f>IF(C163="","",IFERROR(INDEX(tbl_Finance[Description],MATCH(C163&amp;"",tbl_Finance[Job Number],0)),""))</f>
        <v/>
      </c>
      <c r="O163" s="24" t="n"/>
      <c r="P163" s="24" t="n"/>
      <c r="Q163" s="22" t="n"/>
      <c r="R163" s="24" t="n"/>
      <c r="S163" s="25">
        <f>IF(R163="","",IF(AND(LEFT(R163,4)&lt;&gt;"http",set_RMSBase=""),"",HYPERLINK(IF(LEFT(R163,4)="http",R163,set_RMSBase&amp;R163),"Open opportunity")))</f>
        <v/>
      </c>
      <c r="T163" s="24" t="n"/>
      <c r="U163" s="25">
        <f>IF(T163="","",HYPERLINK(IF(LEFT(T163,4)="http",T163,set_QwilrBase&amp;T163),"Open quote"))</f>
        <v/>
      </c>
      <c r="V163" s="25">
        <f>IF(C163="","",C163)</f>
        <v/>
      </c>
      <c r="W163" s="24" t="n"/>
      <c r="X163" s="26" t="n"/>
      <c r="Y163" s="27">
        <f>IF(C163="","",H163+N(X163))</f>
        <v/>
      </c>
      <c r="Z163" s="29">
        <f>IFERROR(X163/Y163,"")</f>
        <v/>
      </c>
      <c r="AA163" s="26" t="n"/>
      <c r="AB163" s="26" t="n"/>
      <c r="AC163" s="26" t="n"/>
      <c r="AD163" s="26" t="n"/>
      <c r="AE163" s="27">
        <f>IF(C163="","",SUMIFS(tbl_Finance[Ex GST],tbl_Finance[Job Number],C163&amp;"",tbl_Finance[Cost Centre],"VIDEO"))</f>
        <v/>
      </c>
      <c r="AF163" s="29">
        <f>IFERROR(AE163/H163,"")</f>
        <v/>
      </c>
      <c r="AG163" s="27">
        <f>IF(C163="","",N(AA163)+N(AB163)+N(AC163)+N(AD163))</f>
        <v/>
      </c>
      <c r="AH163" s="27">
        <f>IF(C163="","",H163-AG163)</f>
        <v/>
      </c>
      <c r="AI163" s="29">
        <f>IFERROR(AH163/H163,"")</f>
        <v/>
      </c>
      <c r="AJ163" s="64" t="n"/>
      <c r="AK163" s="64" t="n"/>
      <c r="AL163" s="64" t="n"/>
      <c r="AM163" s="64" t="n"/>
      <c r="AN163" s="64" t="n"/>
      <c r="AO163" s="24" t="n"/>
    </row>
    <row r="164" ht="15" customHeight="1">
      <c r="A164" s="63">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7">
        <f>IF(C164="","",SUMIFS(tbl_Finance[Inc GST],tbl_Finance[Job Number],C164&amp;""))</f>
        <v/>
      </c>
      <c r="M164" s="24" t="n"/>
      <c r="N164" s="25">
        <f>IF(C164="","",IFERROR(INDEX(tbl_Finance[Description],MATCH(C164&amp;"",tbl_Finance[Job Number],0)),""))</f>
        <v/>
      </c>
      <c r="O164" s="24" t="n"/>
      <c r="P164" s="24" t="n"/>
      <c r="Q164" s="22" t="n"/>
      <c r="R164" s="24" t="n"/>
      <c r="S164" s="25">
        <f>IF(R164="","",IF(AND(LEFT(R164,4)&lt;&gt;"http",set_RMSBase=""),"",HYPERLINK(IF(LEFT(R164,4)="http",R164,set_RMSBase&amp;R164),"Open opportunity")))</f>
        <v/>
      </c>
      <c r="T164" s="24" t="n"/>
      <c r="U164" s="25">
        <f>IF(T164="","",HYPERLINK(IF(LEFT(T164,4)="http",T164,set_QwilrBase&amp;T164),"Open quote"))</f>
        <v/>
      </c>
      <c r="V164" s="25">
        <f>IF(C164="","",C164)</f>
        <v/>
      </c>
      <c r="W164" s="24" t="n"/>
      <c r="X164" s="26" t="n"/>
      <c r="Y164" s="27">
        <f>IF(C164="","",H164+N(X164))</f>
        <v/>
      </c>
      <c r="Z164" s="29">
        <f>IFERROR(X164/Y164,"")</f>
        <v/>
      </c>
      <c r="AA164" s="26" t="n"/>
      <c r="AB164" s="26" t="n"/>
      <c r="AC164" s="26" t="n"/>
      <c r="AD164" s="26" t="n"/>
      <c r="AE164" s="27">
        <f>IF(C164="","",SUMIFS(tbl_Finance[Ex GST],tbl_Finance[Job Number],C164&amp;"",tbl_Finance[Cost Centre],"VIDEO"))</f>
        <v/>
      </c>
      <c r="AF164" s="29">
        <f>IFERROR(AE164/H164,"")</f>
        <v/>
      </c>
      <c r="AG164" s="27">
        <f>IF(C164="","",N(AA164)+N(AB164)+N(AC164)+N(AD164))</f>
        <v/>
      </c>
      <c r="AH164" s="27">
        <f>IF(C164="","",H164-AG164)</f>
        <v/>
      </c>
      <c r="AI164" s="29">
        <f>IFERROR(AH164/H164,"")</f>
        <v/>
      </c>
      <c r="AJ164" s="64" t="n"/>
      <c r="AK164" s="64" t="n"/>
      <c r="AL164" s="64" t="n"/>
      <c r="AM164" s="64" t="n"/>
      <c r="AN164" s="64" t="n"/>
      <c r="AO164" s="24" t="n"/>
    </row>
    <row r="165" ht="15" customHeight="1">
      <c r="A165" s="63">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7">
        <f>IF(C165="","",SUMIFS(tbl_Finance[Inc GST],tbl_Finance[Job Number],C165&amp;""))</f>
        <v/>
      </c>
      <c r="M165" s="24" t="n"/>
      <c r="N165" s="25">
        <f>IF(C165="","",IFERROR(INDEX(tbl_Finance[Description],MATCH(C165&amp;"",tbl_Finance[Job Number],0)),""))</f>
        <v/>
      </c>
      <c r="O165" s="24" t="n"/>
      <c r="P165" s="24" t="n"/>
      <c r="Q165" s="22" t="n"/>
      <c r="R165" s="24" t="n"/>
      <c r="S165" s="25">
        <f>IF(R165="","",IF(AND(LEFT(R165,4)&lt;&gt;"http",set_RMSBase=""),"",HYPERLINK(IF(LEFT(R165,4)="http",R165,set_RMSBase&amp;R165),"Open opportunity")))</f>
        <v/>
      </c>
      <c r="T165" s="24" t="n"/>
      <c r="U165" s="25">
        <f>IF(T165="","",HYPERLINK(IF(LEFT(T165,4)="http",T165,set_QwilrBase&amp;T165),"Open quote"))</f>
        <v/>
      </c>
      <c r="V165" s="25">
        <f>IF(C165="","",C165)</f>
        <v/>
      </c>
      <c r="W165" s="24" t="n"/>
      <c r="X165" s="26" t="n"/>
      <c r="Y165" s="27">
        <f>IF(C165="","",H165+N(X165))</f>
        <v/>
      </c>
      <c r="Z165" s="29">
        <f>IFERROR(X165/Y165,"")</f>
        <v/>
      </c>
      <c r="AA165" s="26" t="n"/>
      <c r="AB165" s="26" t="n"/>
      <c r="AC165" s="26" t="n"/>
      <c r="AD165" s="26" t="n"/>
      <c r="AE165" s="27">
        <f>IF(C165="","",SUMIFS(tbl_Finance[Ex GST],tbl_Finance[Job Number],C165&amp;"",tbl_Finance[Cost Centre],"VIDEO"))</f>
        <v/>
      </c>
      <c r="AF165" s="29">
        <f>IFERROR(AE165/H165,"")</f>
        <v/>
      </c>
      <c r="AG165" s="27">
        <f>IF(C165="","",N(AA165)+N(AB165)+N(AC165)+N(AD165))</f>
        <v/>
      </c>
      <c r="AH165" s="27">
        <f>IF(C165="","",H165-AG165)</f>
        <v/>
      </c>
      <c r="AI165" s="29">
        <f>IFERROR(AH165/H165,"")</f>
        <v/>
      </c>
      <c r="AJ165" s="64" t="n"/>
      <c r="AK165" s="64" t="n"/>
      <c r="AL165" s="64" t="n"/>
      <c r="AM165" s="64" t="n"/>
      <c r="AN165" s="64" t="n"/>
      <c r="AO165" s="24" t="n"/>
    </row>
    <row r="166" ht="15" customHeight="1">
      <c r="A166" s="63">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7">
        <f>IF(C166="","",SUMIFS(tbl_Finance[Inc GST],tbl_Finance[Job Number],C166&amp;""))</f>
        <v/>
      </c>
      <c r="M166" s="24" t="n"/>
      <c r="N166" s="25">
        <f>IF(C166="","",IFERROR(INDEX(tbl_Finance[Description],MATCH(C166&amp;"",tbl_Finance[Job Number],0)),""))</f>
        <v/>
      </c>
      <c r="O166" s="24" t="n"/>
      <c r="P166" s="24" t="n"/>
      <c r="Q166" s="22" t="n"/>
      <c r="R166" s="24" t="n"/>
      <c r="S166" s="25">
        <f>IF(R166="","",IF(AND(LEFT(R166,4)&lt;&gt;"http",set_RMSBase=""),"",HYPERLINK(IF(LEFT(R166,4)="http",R166,set_RMSBase&amp;R166),"Open opportunity")))</f>
        <v/>
      </c>
      <c r="T166" s="24" t="n"/>
      <c r="U166" s="25">
        <f>IF(T166="","",HYPERLINK(IF(LEFT(T166,4)="http",T166,set_QwilrBase&amp;T166),"Open quote"))</f>
        <v/>
      </c>
      <c r="V166" s="25">
        <f>IF(C166="","",C166)</f>
        <v/>
      </c>
      <c r="W166" s="24" t="n"/>
      <c r="X166" s="26" t="n"/>
      <c r="Y166" s="27">
        <f>IF(C166="","",H166+N(X166))</f>
        <v/>
      </c>
      <c r="Z166" s="29">
        <f>IFERROR(X166/Y166,"")</f>
        <v/>
      </c>
      <c r="AA166" s="26" t="n"/>
      <c r="AB166" s="26" t="n"/>
      <c r="AC166" s="26" t="n"/>
      <c r="AD166" s="26" t="n"/>
      <c r="AE166" s="27">
        <f>IF(C166="","",SUMIFS(tbl_Finance[Ex GST],tbl_Finance[Job Number],C166&amp;"",tbl_Finance[Cost Centre],"VIDEO"))</f>
        <v/>
      </c>
      <c r="AF166" s="29">
        <f>IFERROR(AE166/H166,"")</f>
        <v/>
      </c>
      <c r="AG166" s="27">
        <f>IF(C166="","",N(AA166)+N(AB166)+N(AC166)+N(AD166))</f>
        <v/>
      </c>
      <c r="AH166" s="27">
        <f>IF(C166="","",H166-AG166)</f>
        <v/>
      </c>
      <c r="AI166" s="29">
        <f>IFERROR(AH166/H166,"")</f>
        <v/>
      </c>
      <c r="AJ166" s="64" t="n"/>
      <c r="AK166" s="64" t="n"/>
      <c r="AL166" s="64" t="n"/>
      <c r="AM166" s="64" t="n"/>
      <c r="AN166" s="64" t="n"/>
      <c r="AO166" s="24" t="n"/>
    </row>
    <row r="167" ht="15" customHeight="1">
      <c r="A167" s="63">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7">
        <f>IF(C167="","",SUMIFS(tbl_Finance[Inc GST],tbl_Finance[Job Number],C167&amp;""))</f>
        <v/>
      </c>
      <c r="M167" s="24" t="n"/>
      <c r="N167" s="25">
        <f>IF(C167="","",IFERROR(INDEX(tbl_Finance[Description],MATCH(C167&amp;"",tbl_Finance[Job Number],0)),""))</f>
        <v/>
      </c>
      <c r="O167" s="24" t="n"/>
      <c r="P167" s="24" t="n"/>
      <c r="Q167" s="22" t="n"/>
      <c r="R167" s="24" t="n"/>
      <c r="S167" s="25">
        <f>IF(R167="","",IF(AND(LEFT(R167,4)&lt;&gt;"http",set_RMSBase=""),"",HYPERLINK(IF(LEFT(R167,4)="http",R167,set_RMSBase&amp;R167),"Open opportunity")))</f>
        <v/>
      </c>
      <c r="T167" s="24" t="n"/>
      <c r="U167" s="25">
        <f>IF(T167="","",HYPERLINK(IF(LEFT(T167,4)="http",T167,set_QwilrBase&amp;T167),"Open quote"))</f>
        <v/>
      </c>
      <c r="V167" s="25">
        <f>IF(C167="","",C167)</f>
        <v/>
      </c>
      <c r="W167" s="24" t="n"/>
      <c r="X167" s="26" t="n"/>
      <c r="Y167" s="27">
        <f>IF(C167="","",H167+N(X167))</f>
        <v/>
      </c>
      <c r="Z167" s="29">
        <f>IFERROR(X167/Y167,"")</f>
        <v/>
      </c>
      <c r="AA167" s="26" t="n"/>
      <c r="AB167" s="26" t="n"/>
      <c r="AC167" s="26" t="n"/>
      <c r="AD167" s="26" t="n"/>
      <c r="AE167" s="27">
        <f>IF(C167="","",SUMIFS(tbl_Finance[Ex GST],tbl_Finance[Job Number],C167&amp;"",tbl_Finance[Cost Centre],"VIDEO"))</f>
        <v/>
      </c>
      <c r="AF167" s="29">
        <f>IFERROR(AE167/H167,"")</f>
        <v/>
      </c>
      <c r="AG167" s="27">
        <f>IF(C167="","",N(AA167)+N(AB167)+N(AC167)+N(AD167))</f>
        <v/>
      </c>
      <c r="AH167" s="27">
        <f>IF(C167="","",H167-AG167)</f>
        <v/>
      </c>
      <c r="AI167" s="29">
        <f>IFERROR(AH167/H167,"")</f>
        <v/>
      </c>
      <c r="AJ167" s="64" t="n"/>
      <c r="AK167" s="64" t="n"/>
      <c r="AL167" s="64" t="n"/>
      <c r="AM167" s="64" t="n"/>
      <c r="AN167" s="64" t="n"/>
      <c r="AO167" s="24" t="n"/>
    </row>
    <row r="168" ht="15" customHeight="1">
      <c r="A168" s="63">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7">
        <f>IF(C168="","",SUMIFS(tbl_Finance[Inc GST],tbl_Finance[Job Number],C168&amp;""))</f>
        <v/>
      </c>
      <c r="M168" s="24" t="n"/>
      <c r="N168" s="25">
        <f>IF(C168="","",IFERROR(INDEX(tbl_Finance[Description],MATCH(C168&amp;"",tbl_Finance[Job Number],0)),""))</f>
        <v/>
      </c>
      <c r="O168" s="24" t="n"/>
      <c r="P168" s="24" t="n"/>
      <c r="Q168" s="22" t="n"/>
      <c r="R168" s="24" t="n"/>
      <c r="S168" s="25">
        <f>IF(R168="","",IF(AND(LEFT(R168,4)&lt;&gt;"http",set_RMSBase=""),"",HYPERLINK(IF(LEFT(R168,4)="http",R168,set_RMSBase&amp;R168),"Open opportunity")))</f>
        <v/>
      </c>
      <c r="T168" s="24" t="n"/>
      <c r="U168" s="25">
        <f>IF(T168="","",HYPERLINK(IF(LEFT(T168,4)="http",T168,set_QwilrBase&amp;T168),"Open quote"))</f>
        <v/>
      </c>
      <c r="V168" s="25">
        <f>IF(C168="","",C168)</f>
        <v/>
      </c>
      <c r="W168" s="24" t="n"/>
      <c r="X168" s="26" t="n"/>
      <c r="Y168" s="27">
        <f>IF(C168="","",H168+N(X168))</f>
        <v/>
      </c>
      <c r="Z168" s="29">
        <f>IFERROR(X168/Y168,"")</f>
        <v/>
      </c>
      <c r="AA168" s="26" t="n"/>
      <c r="AB168" s="26" t="n"/>
      <c r="AC168" s="26" t="n"/>
      <c r="AD168" s="26" t="n"/>
      <c r="AE168" s="27">
        <f>IF(C168="","",SUMIFS(tbl_Finance[Ex GST],tbl_Finance[Job Number],C168&amp;"",tbl_Finance[Cost Centre],"VIDEO"))</f>
        <v/>
      </c>
      <c r="AF168" s="29">
        <f>IFERROR(AE168/H168,"")</f>
        <v/>
      </c>
      <c r="AG168" s="27">
        <f>IF(C168="","",N(AA168)+N(AB168)+N(AC168)+N(AD168))</f>
        <v/>
      </c>
      <c r="AH168" s="27">
        <f>IF(C168="","",H168-AG168)</f>
        <v/>
      </c>
      <c r="AI168" s="29">
        <f>IFERROR(AH168/H168,"")</f>
        <v/>
      </c>
      <c r="AJ168" s="64" t="n"/>
      <c r="AK168" s="64" t="n"/>
      <c r="AL168" s="64" t="n"/>
      <c r="AM168" s="64" t="n"/>
      <c r="AN168" s="64" t="n"/>
      <c r="AO168" s="24" t="n"/>
    </row>
    <row r="169" ht="15" customHeight="1">
      <c r="A169" s="63">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7">
        <f>IF(C169="","",SUMIFS(tbl_Finance[Inc GST],tbl_Finance[Job Number],C169&amp;""))</f>
        <v/>
      </c>
      <c r="M169" s="24" t="n"/>
      <c r="N169" s="25">
        <f>IF(C169="","",IFERROR(INDEX(tbl_Finance[Description],MATCH(C169&amp;"",tbl_Finance[Job Number],0)),""))</f>
        <v/>
      </c>
      <c r="O169" s="24" t="n"/>
      <c r="P169" s="24" t="n"/>
      <c r="Q169" s="22" t="n"/>
      <c r="R169" s="24" t="n"/>
      <c r="S169" s="25">
        <f>IF(R169="","",IF(AND(LEFT(R169,4)&lt;&gt;"http",set_RMSBase=""),"",HYPERLINK(IF(LEFT(R169,4)="http",R169,set_RMSBase&amp;R169),"Open opportunity")))</f>
        <v/>
      </c>
      <c r="T169" s="24" t="n"/>
      <c r="U169" s="25">
        <f>IF(T169="","",HYPERLINK(IF(LEFT(T169,4)="http",T169,set_QwilrBase&amp;T169),"Open quote"))</f>
        <v/>
      </c>
      <c r="V169" s="25">
        <f>IF(C169="","",C169)</f>
        <v/>
      </c>
      <c r="W169" s="24" t="n"/>
      <c r="X169" s="26" t="n"/>
      <c r="Y169" s="27">
        <f>IF(C169="","",H169+N(X169))</f>
        <v/>
      </c>
      <c r="Z169" s="29">
        <f>IFERROR(X169/Y169,"")</f>
        <v/>
      </c>
      <c r="AA169" s="26" t="n"/>
      <c r="AB169" s="26" t="n"/>
      <c r="AC169" s="26" t="n"/>
      <c r="AD169" s="26" t="n"/>
      <c r="AE169" s="27">
        <f>IF(C169="","",SUMIFS(tbl_Finance[Ex GST],tbl_Finance[Job Number],C169&amp;"",tbl_Finance[Cost Centre],"VIDEO"))</f>
        <v/>
      </c>
      <c r="AF169" s="29">
        <f>IFERROR(AE169/H169,"")</f>
        <v/>
      </c>
      <c r="AG169" s="27">
        <f>IF(C169="","",N(AA169)+N(AB169)+N(AC169)+N(AD169))</f>
        <v/>
      </c>
      <c r="AH169" s="27">
        <f>IF(C169="","",H169-AG169)</f>
        <v/>
      </c>
      <c r="AI169" s="29">
        <f>IFERROR(AH169/H169,"")</f>
        <v/>
      </c>
      <c r="AJ169" s="64" t="n"/>
      <c r="AK169" s="64" t="n"/>
      <c r="AL169" s="64" t="n"/>
      <c r="AM169" s="64" t="n"/>
      <c r="AN169" s="64" t="n"/>
      <c r="AO169" s="24" t="n"/>
    </row>
    <row r="170" ht="15" customHeight="1">
      <c r="A170" s="63">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7">
        <f>IF(C170="","",SUMIFS(tbl_Finance[Inc GST],tbl_Finance[Job Number],C170&amp;""))</f>
        <v/>
      </c>
      <c r="M170" s="24" t="n"/>
      <c r="N170" s="25">
        <f>IF(C170="","",IFERROR(INDEX(tbl_Finance[Description],MATCH(C170&amp;"",tbl_Finance[Job Number],0)),""))</f>
        <v/>
      </c>
      <c r="O170" s="24" t="n"/>
      <c r="P170" s="24" t="n"/>
      <c r="Q170" s="22" t="n"/>
      <c r="R170" s="24" t="n"/>
      <c r="S170" s="25">
        <f>IF(R170="","",IF(AND(LEFT(R170,4)&lt;&gt;"http",set_RMSBase=""),"",HYPERLINK(IF(LEFT(R170,4)="http",R170,set_RMSBase&amp;R170),"Open opportunity")))</f>
        <v/>
      </c>
      <c r="T170" s="24" t="n"/>
      <c r="U170" s="25">
        <f>IF(T170="","",HYPERLINK(IF(LEFT(T170,4)="http",T170,set_QwilrBase&amp;T170),"Open quote"))</f>
        <v/>
      </c>
      <c r="V170" s="25">
        <f>IF(C170="","",C170)</f>
        <v/>
      </c>
      <c r="W170" s="24" t="n"/>
      <c r="X170" s="26" t="n"/>
      <c r="Y170" s="27">
        <f>IF(C170="","",H170+N(X170))</f>
        <v/>
      </c>
      <c r="Z170" s="29">
        <f>IFERROR(X170/Y170,"")</f>
        <v/>
      </c>
      <c r="AA170" s="26" t="n"/>
      <c r="AB170" s="26" t="n"/>
      <c r="AC170" s="26" t="n"/>
      <c r="AD170" s="26" t="n"/>
      <c r="AE170" s="27">
        <f>IF(C170="","",SUMIFS(tbl_Finance[Ex GST],tbl_Finance[Job Number],C170&amp;"",tbl_Finance[Cost Centre],"VIDEO"))</f>
        <v/>
      </c>
      <c r="AF170" s="29">
        <f>IFERROR(AE170/H170,"")</f>
        <v/>
      </c>
      <c r="AG170" s="27">
        <f>IF(C170="","",N(AA170)+N(AB170)+N(AC170)+N(AD170))</f>
        <v/>
      </c>
      <c r="AH170" s="27">
        <f>IF(C170="","",H170-AG170)</f>
        <v/>
      </c>
      <c r="AI170" s="29">
        <f>IFERROR(AH170/H170,"")</f>
        <v/>
      </c>
      <c r="AJ170" s="64" t="n"/>
      <c r="AK170" s="64" t="n"/>
      <c r="AL170" s="64" t="n"/>
      <c r="AM170" s="64" t="n"/>
      <c r="AN170" s="64" t="n"/>
      <c r="AO170" s="24" t="n"/>
    </row>
    <row r="171" ht="15" customHeight="1">
      <c r="A171" s="63">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7">
        <f>IF(C171="","",SUMIFS(tbl_Finance[Inc GST],tbl_Finance[Job Number],C171&amp;""))</f>
        <v/>
      </c>
      <c r="M171" s="24" t="n"/>
      <c r="N171" s="25">
        <f>IF(C171="","",IFERROR(INDEX(tbl_Finance[Description],MATCH(C171&amp;"",tbl_Finance[Job Number],0)),""))</f>
        <v/>
      </c>
      <c r="O171" s="24" t="n"/>
      <c r="P171" s="24" t="n"/>
      <c r="Q171" s="22" t="n"/>
      <c r="R171" s="24" t="n"/>
      <c r="S171" s="25">
        <f>IF(R171="","",IF(AND(LEFT(R171,4)&lt;&gt;"http",set_RMSBase=""),"",HYPERLINK(IF(LEFT(R171,4)="http",R171,set_RMSBase&amp;R171),"Open opportunity")))</f>
        <v/>
      </c>
      <c r="T171" s="24" t="n"/>
      <c r="U171" s="25">
        <f>IF(T171="","",HYPERLINK(IF(LEFT(T171,4)="http",T171,set_QwilrBase&amp;T171),"Open quote"))</f>
        <v/>
      </c>
      <c r="V171" s="25">
        <f>IF(C171="","",C171)</f>
        <v/>
      </c>
      <c r="W171" s="24" t="n"/>
      <c r="X171" s="26" t="n"/>
      <c r="Y171" s="27">
        <f>IF(C171="","",H171+N(X171))</f>
        <v/>
      </c>
      <c r="Z171" s="29">
        <f>IFERROR(X171/Y171,"")</f>
        <v/>
      </c>
      <c r="AA171" s="26" t="n"/>
      <c r="AB171" s="26" t="n"/>
      <c r="AC171" s="26" t="n"/>
      <c r="AD171" s="26" t="n"/>
      <c r="AE171" s="27">
        <f>IF(C171="","",SUMIFS(tbl_Finance[Ex GST],tbl_Finance[Job Number],C171&amp;"",tbl_Finance[Cost Centre],"VIDEO"))</f>
        <v/>
      </c>
      <c r="AF171" s="29">
        <f>IFERROR(AE171/H171,"")</f>
        <v/>
      </c>
      <c r="AG171" s="27">
        <f>IF(C171="","",N(AA171)+N(AB171)+N(AC171)+N(AD171))</f>
        <v/>
      </c>
      <c r="AH171" s="27">
        <f>IF(C171="","",H171-AG171)</f>
        <v/>
      </c>
      <c r="AI171" s="29">
        <f>IFERROR(AH171/H171,"")</f>
        <v/>
      </c>
      <c r="AJ171" s="64" t="n"/>
      <c r="AK171" s="64" t="n"/>
      <c r="AL171" s="64" t="n"/>
      <c r="AM171" s="64" t="n"/>
      <c r="AN171" s="64" t="n"/>
      <c r="AO171" s="24" t="n"/>
    </row>
    <row r="172" ht="15" customHeight="1">
      <c r="A172" s="63">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7">
        <f>IF(C172="","",SUMIFS(tbl_Finance[Inc GST],tbl_Finance[Job Number],C172&amp;""))</f>
        <v/>
      </c>
      <c r="M172" s="24" t="n"/>
      <c r="N172" s="25">
        <f>IF(C172="","",IFERROR(INDEX(tbl_Finance[Description],MATCH(C172&amp;"",tbl_Finance[Job Number],0)),""))</f>
        <v/>
      </c>
      <c r="O172" s="24" t="n"/>
      <c r="P172" s="24" t="n"/>
      <c r="Q172" s="22" t="n"/>
      <c r="R172" s="24" t="n"/>
      <c r="S172" s="25">
        <f>IF(R172="","",IF(AND(LEFT(R172,4)&lt;&gt;"http",set_RMSBase=""),"",HYPERLINK(IF(LEFT(R172,4)="http",R172,set_RMSBase&amp;R172),"Open opportunity")))</f>
        <v/>
      </c>
      <c r="T172" s="24" t="n"/>
      <c r="U172" s="25">
        <f>IF(T172="","",HYPERLINK(IF(LEFT(T172,4)="http",T172,set_QwilrBase&amp;T172),"Open quote"))</f>
        <v/>
      </c>
      <c r="V172" s="25">
        <f>IF(C172="","",C172)</f>
        <v/>
      </c>
      <c r="W172" s="24" t="n"/>
      <c r="X172" s="26" t="n"/>
      <c r="Y172" s="27">
        <f>IF(C172="","",H172+N(X172))</f>
        <v/>
      </c>
      <c r="Z172" s="29">
        <f>IFERROR(X172/Y172,"")</f>
        <v/>
      </c>
      <c r="AA172" s="26" t="n"/>
      <c r="AB172" s="26" t="n"/>
      <c r="AC172" s="26" t="n"/>
      <c r="AD172" s="26" t="n"/>
      <c r="AE172" s="27">
        <f>IF(C172="","",SUMIFS(tbl_Finance[Ex GST],tbl_Finance[Job Number],C172&amp;"",tbl_Finance[Cost Centre],"VIDEO"))</f>
        <v/>
      </c>
      <c r="AF172" s="29">
        <f>IFERROR(AE172/H172,"")</f>
        <v/>
      </c>
      <c r="AG172" s="27">
        <f>IF(C172="","",N(AA172)+N(AB172)+N(AC172)+N(AD172))</f>
        <v/>
      </c>
      <c r="AH172" s="27">
        <f>IF(C172="","",H172-AG172)</f>
        <v/>
      </c>
      <c r="AI172" s="29">
        <f>IFERROR(AH172/H172,"")</f>
        <v/>
      </c>
      <c r="AJ172" s="64" t="n"/>
      <c r="AK172" s="64" t="n"/>
      <c r="AL172" s="64" t="n"/>
      <c r="AM172" s="64" t="n"/>
      <c r="AN172" s="64" t="n"/>
      <c r="AO172" s="24" t="n"/>
    </row>
    <row r="173" ht="15" customHeight="1">
      <c r="A173" s="63">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7">
        <f>IF(C173="","",SUMIFS(tbl_Finance[Inc GST],tbl_Finance[Job Number],C173&amp;""))</f>
        <v/>
      </c>
      <c r="M173" s="24" t="n"/>
      <c r="N173" s="25">
        <f>IF(C173="","",IFERROR(INDEX(tbl_Finance[Description],MATCH(C173&amp;"",tbl_Finance[Job Number],0)),""))</f>
        <v/>
      </c>
      <c r="O173" s="24" t="n"/>
      <c r="P173" s="24" t="n"/>
      <c r="Q173" s="22" t="n"/>
      <c r="R173" s="24" t="n"/>
      <c r="S173" s="25">
        <f>IF(R173="","",IF(AND(LEFT(R173,4)&lt;&gt;"http",set_RMSBase=""),"",HYPERLINK(IF(LEFT(R173,4)="http",R173,set_RMSBase&amp;R173),"Open opportunity")))</f>
        <v/>
      </c>
      <c r="T173" s="24" t="n"/>
      <c r="U173" s="25">
        <f>IF(T173="","",HYPERLINK(IF(LEFT(T173,4)="http",T173,set_QwilrBase&amp;T173),"Open quote"))</f>
        <v/>
      </c>
      <c r="V173" s="25">
        <f>IF(C173="","",C173)</f>
        <v/>
      </c>
      <c r="W173" s="24" t="n"/>
      <c r="X173" s="26" t="n"/>
      <c r="Y173" s="27">
        <f>IF(C173="","",H173+N(X173))</f>
        <v/>
      </c>
      <c r="Z173" s="29">
        <f>IFERROR(X173/Y173,"")</f>
        <v/>
      </c>
      <c r="AA173" s="26" t="n"/>
      <c r="AB173" s="26" t="n"/>
      <c r="AC173" s="26" t="n"/>
      <c r="AD173" s="26" t="n"/>
      <c r="AE173" s="27">
        <f>IF(C173="","",SUMIFS(tbl_Finance[Ex GST],tbl_Finance[Job Number],C173&amp;"",tbl_Finance[Cost Centre],"VIDEO"))</f>
        <v/>
      </c>
      <c r="AF173" s="29">
        <f>IFERROR(AE173/H173,"")</f>
        <v/>
      </c>
      <c r="AG173" s="27">
        <f>IF(C173="","",N(AA173)+N(AB173)+N(AC173)+N(AD173))</f>
        <v/>
      </c>
      <c r="AH173" s="27">
        <f>IF(C173="","",H173-AG173)</f>
        <v/>
      </c>
      <c r="AI173" s="29">
        <f>IFERROR(AH173/H173,"")</f>
        <v/>
      </c>
      <c r="AJ173" s="64" t="n"/>
      <c r="AK173" s="64" t="n"/>
      <c r="AL173" s="64" t="n"/>
      <c r="AM173" s="64" t="n"/>
      <c r="AN173" s="64" t="n"/>
      <c r="AO173" s="24" t="n"/>
    </row>
    <row r="174" ht="15" customHeight="1">
      <c r="A174" s="63">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7">
        <f>IF(C174="","",SUMIFS(tbl_Finance[Inc GST],tbl_Finance[Job Number],C174&amp;""))</f>
        <v/>
      </c>
      <c r="M174" s="24" t="n"/>
      <c r="N174" s="25">
        <f>IF(C174="","",IFERROR(INDEX(tbl_Finance[Description],MATCH(C174&amp;"",tbl_Finance[Job Number],0)),""))</f>
        <v/>
      </c>
      <c r="O174" s="24" t="n"/>
      <c r="P174" s="24" t="n"/>
      <c r="Q174" s="22" t="n"/>
      <c r="R174" s="24" t="n"/>
      <c r="S174" s="25">
        <f>IF(R174="","",IF(AND(LEFT(R174,4)&lt;&gt;"http",set_RMSBase=""),"",HYPERLINK(IF(LEFT(R174,4)="http",R174,set_RMSBase&amp;R174),"Open opportunity")))</f>
        <v/>
      </c>
      <c r="T174" s="24" t="n"/>
      <c r="U174" s="25">
        <f>IF(T174="","",HYPERLINK(IF(LEFT(T174,4)="http",T174,set_QwilrBase&amp;T174),"Open quote"))</f>
        <v/>
      </c>
      <c r="V174" s="25">
        <f>IF(C174="","",C174)</f>
        <v/>
      </c>
      <c r="W174" s="24" t="n"/>
      <c r="X174" s="26" t="n"/>
      <c r="Y174" s="27">
        <f>IF(C174="","",H174+N(X174))</f>
        <v/>
      </c>
      <c r="Z174" s="29">
        <f>IFERROR(X174/Y174,"")</f>
        <v/>
      </c>
      <c r="AA174" s="26" t="n"/>
      <c r="AB174" s="26" t="n"/>
      <c r="AC174" s="26" t="n"/>
      <c r="AD174" s="26" t="n"/>
      <c r="AE174" s="27">
        <f>IF(C174="","",SUMIFS(tbl_Finance[Ex GST],tbl_Finance[Job Number],C174&amp;"",tbl_Finance[Cost Centre],"VIDEO"))</f>
        <v/>
      </c>
      <c r="AF174" s="29">
        <f>IFERROR(AE174/H174,"")</f>
        <v/>
      </c>
      <c r="AG174" s="27">
        <f>IF(C174="","",N(AA174)+N(AB174)+N(AC174)+N(AD174))</f>
        <v/>
      </c>
      <c r="AH174" s="27">
        <f>IF(C174="","",H174-AG174)</f>
        <v/>
      </c>
      <c r="AI174" s="29">
        <f>IFERROR(AH174/H174,"")</f>
        <v/>
      </c>
      <c r="AJ174" s="64" t="n"/>
      <c r="AK174" s="64" t="n"/>
      <c r="AL174" s="64" t="n"/>
      <c r="AM174" s="64" t="n"/>
      <c r="AN174" s="64" t="n"/>
      <c r="AO174" s="24" t="n"/>
    </row>
    <row r="175" ht="15" customHeight="1">
      <c r="A175" s="63">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7">
        <f>IF(C175="","",SUMIFS(tbl_Finance[Inc GST],tbl_Finance[Job Number],C175&amp;""))</f>
        <v/>
      </c>
      <c r="M175" s="24" t="n"/>
      <c r="N175" s="25">
        <f>IF(C175="","",IFERROR(INDEX(tbl_Finance[Description],MATCH(C175&amp;"",tbl_Finance[Job Number],0)),""))</f>
        <v/>
      </c>
      <c r="O175" s="24" t="n"/>
      <c r="P175" s="24" t="n"/>
      <c r="Q175" s="22" t="n"/>
      <c r="R175" s="24" t="n"/>
      <c r="S175" s="25">
        <f>IF(R175="","",IF(AND(LEFT(R175,4)&lt;&gt;"http",set_RMSBase=""),"",HYPERLINK(IF(LEFT(R175,4)="http",R175,set_RMSBase&amp;R175),"Open opportunity")))</f>
        <v/>
      </c>
      <c r="T175" s="24" t="n"/>
      <c r="U175" s="25">
        <f>IF(T175="","",HYPERLINK(IF(LEFT(T175,4)="http",T175,set_QwilrBase&amp;T175),"Open quote"))</f>
        <v/>
      </c>
      <c r="V175" s="25">
        <f>IF(C175="","",C175)</f>
        <v/>
      </c>
      <c r="W175" s="24" t="n"/>
      <c r="X175" s="26" t="n"/>
      <c r="Y175" s="27">
        <f>IF(C175="","",H175+N(X175))</f>
        <v/>
      </c>
      <c r="Z175" s="29">
        <f>IFERROR(X175/Y175,"")</f>
        <v/>
      </c>
      <c r="AA175" s="26" t="n"/>
      <c r="AB175" s="26" t="n"/>
      <c r="AC175" s="26" t="n"/>
      <c r="AD175" s="26" t="n"/>
      <c r="AE175" s="27">
        <f>IF(C175="","",SUMIFS(tbl_Finance[Ex GST],tbl_Finance[Job Number],C175&amp;"",tbl_Finance[Cost Centre],"VIDEO"))</f>
        <v/>
      </c>
      <c r="AF175" s="29">
        <f>IFERROR(AE175/H175,"")</f>
        <v/>
      </c>
      <c r="AG175" s="27">
        <f>IF(C175="","",N(AA175)+N(AB175)+N(AC175)+N(AD175))</f>
        <v/>
      </c>
      <c r="AH175" s="27">
        <f>IF(C175="","",H175-AG175)</f>
        <v/>
      </c>
      <c r="AI175" s="29">
        <f>IFERROR(AH175/H175,"")</f>
        <v/>
      </c>
      <c r="AJ175" s="64" t="n"/>
      <c r="AK175" s="64" t="n"/>
      <c r="AL175" s="64" t="n"/>
      <c r="AM175" s="64" t="n"/>
      <c r="AN175" s="64" t="n"/>
      <c r="AO175" s="24" t="n"/>
    </row>
    <row r="176" ht="15" customHeight="1">
      <c r="A176" s="63">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7">
        <f>IF(C176="","",SUMIFS(tbl_Finance[Inc GST],tbl_Finance[Job Number],C176&amp;""))</f>
        <v/>
      </c>
      <c r="M176" s="24" t="n"/>
      <c r="N176" s="25">
        <f>IF(C176="","",IFERROR(INDEX(tbl_Finance[Description],MATCH(C176&amp;"",tbl_Finance[Job Number],0)),""))</f>
        <v/>
      </c>
      <c r="O176" s="24" t="n"/>
      <c r="P176" s="24" t="n"/>
      <c r="Q176" s="22" t="n"/>
      <c r="R176" s="24" t="n"/>
      <c r="S176" s="25">
        <f>IF(R176="","",IF(AND(LEFT(R176,4)&lt;&gt;"http",set_RMSBase=""),"",HYPERLINK(IF(LEFT(R176,4)="http",R176,set_RMSBase&amp;R176),"Open opportunity")))</f>
        <v/>
      </c>
      <c r="T176" s="24" t="n"/>
      <c r="U176" s="25">
        <f>IF(T176="","",HYPERLINK(IF(LEFT(T176,4)="http",T176,set_QwilrBase&amp;T176),"Open quote"))</f>
        <v/>
      </c>
      <c r="V176" s="25">
        <f>IF(C176="","",C176)</f>
        <v/>
      </c>
      <c r="W176" s="24" t="n"/>
      <c r="X176" s="26" t="n"/>
      <c r="Y176" s="27">
        <f>IF(C176="","",H176+N(X176))</f>
        <v/>
      </c>
      <c r="Z176" s="29">
        <f>IFERROR(X176/Y176,"")</f>
        <v/>
      </c>
      <c r="AA176" s="26" t="n"/>
      <c r="AB176" s="26" t="n"/>
      <c r="AC176" s="26" t="n"/>
      <c r="AD176" s="26" t="n"/>
      <c r="AE176" s="27">
        <f>IF(C176="","",SUMIFS(tbl_Finance[Ex GST],tbl_Finance[Job Number],C176&amp;"",tbl_Finance[Cost Centre],"VIDEO"))</f>
        <v/>
      </c>
      <c r="AF176" s="29">
        <f>IFERROR(AE176/H176,"")</f>
        <v/>
      </c>
      <c r="AG176" s="27">
        <f>IF(C176="","",N(AA176)+N(AB176)+N(AC176)+N(AD176))</f>
        <v/>
      </c>
      <c r="AH176" s="27">
        <f>IF(C176="","",H176-AG176)</f>
        <v/>
      </c>
      <c r="AI176" s="29">
        <f>IFERROR(AH176/H176,"")</f>
        <v/>
      </c>
      <c r="AJ176" s="64" t="n"/>
      <c r="AK176" s="64" t="n"/>
      <c r="AL176" s="64" t="n"/>
      <c r="AM176" s="64" t="n"/>
      <c r="AN176" s="64" t="n"/>
      <c r="AO176" s="24" t="n"/>
    </row>
    <row r="177" ht="15" customHeight="1">
      <c r="A177" s="63">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7">
        <f>IF(C177="","",SUMIFS(tbl_Finance[Inc GST],tbl_Finance[Job Number],C177&amp;""))</f>
        <v/>
      </c>
      <c r="M177" s="24" t="n"/>
      <c r="N177" s="25">
        <f>IF(C177="","",IFERROR(INDEX(tbl_Finance[Description],MATCH(C177&amp;"",tbl_Finance[Job Number],0)),""))</f>
        <v/>
      </c>
      <c r="O177" s="24" t="n"/>
      <c r="P177" s="24" t="n"/>
      <c r="Q177" s="22" t="n"/>
      <c r="R177" s="24" t="n"/>
      <c r="S177" s="25">
        <f>IF(R177="","",IF(AND(LEFT(R177,4)&lt;&gt;"http",set_RMSBase=""),"",HYPERLINK(IF(LEFT(R177,4)="http",R177,set_RMSBase&amp;R177),"Open opportunity")))</f>
        <v/>
      </c>
      <c r="T177" s="24" t="n"/>
      <c r="U177" s="25">
        <f>IF(T177="","",HYPERLINK(IF(LEFT(T177,4)="http",T177,set_QwilrBase&amp;T177),"Open quote"))</f>
        <v/>
      </c>
      <c r="V177" s="25">
        <f>IF(C177="","",C177)</f>
        <v/>
      </c>
      <c r="W177" s="24" t="n"/>
      <c r="X177" s="26" t="n"/>
      <c r="Y177" s="27">
        <f>IF(C177="","",H177+N(X177))</f>
        <v/>
      </c>
      <c r="Z177" s="29">
        <f>IFERROR(X177/Y177,"")</f>
        <v/>
      </c>
      <c r="AA177" s="26" t="n"/>
      <c r="AB177" s="26" t="n"/>
      <c r="AC177" s="26" t="n"/>
      <c r="AD177" s="26" t="n"/>
      <c r="AE177" s="27">
        <f>IF(C177="","",SUMIFS(tbl_Finance[Ex GST],tbl_Finance[Job Number],C177&amp;"",tbl_Finance[Cost Centre],"VIDEO"))</f>
        <v/>
      </c>
      <c r="AF177" s="29">
        <f>IFERROR(AE177/H177,"")</f>
        <v/>
      </c>
      <c r="AG177" s="27">
        <f>IF(C177="","",N(AA177)+N(AB177)+N(AC177)+N(AD177))</f>
        <v/>
      </c>
      <c r="AH177" s="27">
        <f>IF(C177="","",H177-AG177)</f>
        <v/>
      </c>
      <c r="AI177" s="29">
        <f>IFERROR(AH177/H177,"")</f>
        <v/>
      </c>
      <c r="AJ177" s="64" t="n"/>
      <c r="AK177" s="64" t="n"/>
      <c r="AL177" s="64" t="n"/>
      <c r="AM177" s="64" t="n"/>
      <c r="AN177" s="64" t="n"/>
      <c r="AO177" s="24" t="n"/>
    </row>
    <row r="178" ht="15" customHeight="1">
      <c r="A178" s="63">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7">
        <f>IF(C178="","",SUMIFS(tbl_Finance[Inc GST],tbl_Finance[Job Number],C178&amp;""))</f>
        <v/>
      </c>
      <c r="M178" s="24" t="n"/>
      <c r="N178" s="25">
        <f>IF(C178="","",IFERROR(INDEX(tbl_Finance[Description],MATCH(C178&amp;"",tbl_Finance[Job Number],0)),""))</f>
        <v/>
      </c>
      <c r="O178" s="24" t="n"/>
      <c r="P178" s="24" t="n"/>
      <c r="Q178" s="22" t="n"/>
      <c r="R178" s="24" t="n"/>
      <c r="S178" s="25">
        <f>IF(R178="","",IF(AND(LEFT(R178,4)&lt;&gt;"http",set_RMSBase=""),"",HYPERLINK(IF(LEFT(R178,4)="http",R178,set_RMSBase&amp;R178),"Open opportunity")))</f>
        <v/>
      </c>
      <c r="T178" s="24" t="n"/>
      <c r="U178" s="25">
        <f>IF(T178="","",HYPERLINK(IF(LEFT(T178,4)="http",T178,set_QwilrBase&amp;T178),"Open quote"))</f>
        <v/>
      </c>
      <c r="V178" s="25">
        <f>IF(C178="","",C178)</f>
        <v/>
      </c>
      <c r="W178" s="24" t="n"/>
      <c r="X178" s="26" t="n"/>
      <c r="Y178" s="27">
        <f>IF(C178="","",H178+N(X178))</f>
        <v/>
      </c>
      <c r="Z178" s="29">
        <f>IFERROR(X178/Y178,"")</f>
        <v/>
      </c>
      <c r="AA178" s="26" t="n"/>
      <c r="AB178" s="26" t="n"/>
      <c r="AC178" s="26" t="n"/>
      <c r="AD178" s="26" t="n"/>
      <c r="AE178" s="27">
        <f>IF(C178="","",SUMIFS(tbl_Finance[Ex GST],tbl_Finance[Job Number],C178&amp;"",tbl_Finance[Cost Centre],"VIDEO"))</f>
        <v/>
      </c>
      <c r="AF178" s="29">
        <f>IFERROR(AE178/H178,"")</f>
        <v/>
      </c>
      <c r="AG178" s="27">
        <f>IF(C178="","",N(AA178)+N(AB178)+N(AC178)+N(AD178))</f>
        <v/>
      </c>
      <c r="AH178" s="27">
        <f>IF(C178="","",H178-AG178)</f>
        <v/>
      </c>
      <c r="AI178" s="29">
        <f>IFERROR(AH178/H178,"")</f>
        <v/>
      </c>
      <c r="AJ178" s="64" t="n"/>
      <c r="AK178" s="64" t="n"/>
      <c r="AL178" s="64" t="n"/>
      <c r="AM178" s="64" t="n"/>
      <c r="AN178" s="64" t="n"/>
      <c r="AO178" s="24" t="n"/>
    </row>
    <row r="179" ht="15" customHeight="1">
      <c r="A179" s="63">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7">
        <f>IF(C179="","",SUMIFS(tbl_Finance[Inc GST],tbl_Finance[Job Number],C179&amp;""))</f>
        <v/>
      </c>
      <c r="M179" s="24" t="n"/>
      <c r="N179" s="25">
        <f>IF(C179="","",IFERROR(INDEX(tbl_Finance[Description],MATCH(C179&amp;"",tbl_Finance[Job Number],0)),""))</f>
        <v/>
      </c>
      <c r="O179" s="24" t="n"/>
      <c r="P179" s="24" t="n"/>
      <c r="Q179" s="22" t="n"/>
      <c r="R179" s="24" t="n"/>
      <c r="S179" s="25">
        <f>IF(R179="","",IF(AND(LEFT(R179,4)&lt;&gt;"http",set_RMSBase=""),"",HYPERLINK(IF(LEFT(R179,4)="http",R179,set_RMSBase&amp;R179),"Open opportunity")))</f>
        <v/>
      </c>
      <c r="T179" s="24" t="n"/>
      <c r="U179" s="25">
        <f>IF(T179="","",HYPERLINK(IF(LEFT(T179,4)="http",T179,set_QwilrBase&amp;T179),"Open quote"))</f>
        <v/>
      </c>
      <c r="V179" s="25">
        <f>IF(C179="","",C179)</f>
        <v/>
      </c>
      <c r="W179" s="24" t="n"/>
      <c r="X179" s="26" t="n"/>
      <c r="Y179" s="27">
        <f>IF(C179="","",H179+N(X179))</f>
        <v/>
      </c>
      <c r="Z179" s="29">
        <f>IFERROR(X179/Y179,"")</f>
        <v/>
      </c>
      <c r="AA179" s="26" t="n"/>
      <c r="AB179" s="26" t="n"/>
      <c r="AC179" s="26" t="n"/>
      <c r="AD179" s="26" t="n"/>
      <c r="AE179" s="27">
        <f>IF(C179="","",SUMIFS(tbl_Finance[Ex GST],tbl_Finance[Job Number],C179&amp;"",tbl_Finance[Cost Centre],"VIDEO"))</f>
        <v/>
      </c>
      <c r="AF179" s="29">
        <f>IFERROR(AE179/H179,"")</f>
        <v/>
      </c>
      <c r="AG179" s="27">
        <f>IF(C179="","",N(AA179)+N(AB179)+N(AC179)+N(AD179))</f>
        <v/>
      </c>
      <c r="AH179" s="27">
        <f>IF(C179="","",H179-AG179)</f>
        <v/>
      </c>
      <c r="AI179" s="29">
        <f>IFERROR(AH179/H179,"")</f>
        <v/>
      </c>
      <c r="AJ179" s="64" t="n"/>
      <c r="AK179" s="64" t="n"/>
      <c r="AL179" s="64" t="n"/>
      <c r="AM179" s="64" t="n"/>
      <c r="AN179" s="64" t="n"/>
      <c r="AO179" s="24" t="n"/>
    </row>
    <row r="180" ht="15" customHeight="1">
      <c r="A180" s="63">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7">
        <f>IF(C180="","",SUMIFS(tbl_Finance[Inc GST],tbl_Finance[Job Number],C180&amp;""))</f>
        <v/>
      </c>
      <c r="M180" s="24" t="n"/>
      <c r="N180" s="25">
        <f>IF(C180="","",IFERROR(INDEX(tbl_Finance[Description],MATCH(C180&amp;"",tbl_Finance[Job Number],0)),""))</f>
        <v/>
      </c>
      <c r="O180" s="24" t="n"/>
      <c r="P180" s="24" t="n"/>
      <c r="Q180" s="22" t="n"/>
      <c r="R180" s="24" t="n"/>
      <c r="S180" s="25">
        <f>IF(R180="","",IF(AND(LEFT(R180,4)&lt;&gt;"http",set_RMSBase=""),"",HYPERLINK(IF(LEFT(R180,4)="http",R180,set_RMSBase&amp;R180),"Open opportunity")))</f>
        <v/>
      </c>
      <c r="T180" s="24" t="n"/>
      <c r="U180" s="25">
        <f>IF(T180="","",HYPERLINK(IF(LEFT(T180,4)="http",T180,set_QwilrBase&amp;T180),"Open quote"))</f>
        <v/>
      </c>
      <c r="V180" s="25">
        <f>IF(C180="","",C180)</f>
        <v/>
      </c>
      <c r="W180" s="24" t="n"/>
      <c r="X180" s="26" t="n"/>
      <c r="Y180" s="27">
        <f>IF(C180="","",H180+N(X180))</f>
        <v/>
      </c>
      <c r="Z180" s="29">
        <f>IFERROR(X180/Y180,"")</f>
        <v/>
      </c>
      <c r="AA180" s="26" t="n"/>
      <c r="AB180" s="26" t="n"/>
      <c r="AC180" s="26" t="n"/>
      <c r="AD180" s="26" t="n"/>
      <c r="AE180" s="27">
        <f>IF(C180="","",SUMIFS(tbl_Finance[Ex GST],tbl_Finance[Job Number],C180&amp;"",tbl_Finance[Cost Centre],"VIDEO"))</f>
        <v/>
      </c>
      <c r="AF180" s="29">
        <f>IFERROR(AE180/H180,"")</f>
        <v/>
      </c>
      <c r="AG180" s="27">
        <f>IF(C180="","",N(AA180)+N(AB180)+N(AC180)+N(AD180))</f>
        <v/>
      </c>
      <c r="AH180" s="27">
        <f>IF(C180="","",H180-AG180)</f>
        <v/>
      </c>
      <c r="AI180" s="29">
        <f>IFERROR(AH180/H180,"")</f>
        <v/>
      </c>
      <c r="AJ180" s="64" t="n"/>
      <c r="AK180" s="64" t="n"/>
      <c r="AL180" s="64" t="n"/>
      <c r="AM180" s="64" t="n"/>
      <c r="AN180" s="64" t="n"/>
      <c r="AO180" s="24" t="n"/>
    </row>
    <row r="181" ht="15" customHeight="1">
      <c r="A181" s="63">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7">
        <f>IF(C181="","",SUMIFS(tbl_Finance[Inc GST],tbl_Finance[Job Number],C181&amp;""))</f>
        <v/>
      </c>
      <c r="M181" s="24" t="n"/>
      <c r="N181" s="25">
        <f>IF(C181="","",IFERROR(INDEX(tbl_Finance[Description],MATCH(C181&amp;"",tbl_Finance[Job Number],0)),""))</f>
        <v/>
      </c>
      <c r="O181" s="24" t="n"/>
      <c r="P181" s="24" t="n"/>
      <c r="Q181" s="22" t="n"/>
      <c r="R181" s="24" t="n"/>
      <c r="S181" s="25">
        <f>IF(R181="","",IF(AND(LEFT(R181,4)&lt;&gt;"http",set_RMSBase=""),"",HYPERLINK(IF(LEFT(R181,4)="http",R181,set_RMSBase&amp;R181),"Open opportunity")))</f>
        <v/>
      </c>
      <c r="T181" s="24" t="n"/>
      <c r="U181" s="25">
        <f>IF(T181="","",HYPERLINK(IF(LEFT(T181,4)="http",T181,set_QwilrBase&amp;T181),"Open quote"))</f>
        <v/>
      </c>
      <c r="V181" s="25">
        <f>IF(C181="","",C181)</f>
        <v/>
      </c>
      <c r="W181" s="24" t="n"/>
      <c r="X181" s="26" t="n"/>
      <c r="Y181" s="27">
        <f>IF(C181="","",H181+N(X181))</f>
        <v/>
      </c>
      <c r="Z181" s="29">
        <f>IFERROR(X181/Y181,"")</f>
        <v/>
      </c>
      <c r="AA181" s="26" t="n"/>
      <c r="AB181" s="26" t="n"/>
      <c r="AC181" s="26" t="n"/>
      <c r="AD181" s="26" t="n"/>
      <c r="AE181" s="27">
        <f>IF(C181="","",SUMIFS(tbl_Finance[Ex GST],tbl_Finance[Job Number],C181&amp;"",tbl_Finance[Cost Centre],"VIDEO"))</f>
        <v/>
      </c>
      <c r="AF181" s="29">
        <f>IFERROR(AE181/H181,"")</f>
        <v/>
      </c>
      <c r="AG181" s="27">
        <f>IF(C181="","",N(AA181)+N(AB181)+N(AC181)+N(AD181))</f>
        <v/>
      </c>
      <c r="AH181" s="27">
        <f>IF(C181="","",H181-AG181)</f>
        <v/>
      </c>
      <c r="AI181" s="29">
        <f>IFERROR(AH181/H181,"")</f>
        <v/>
      </c>
      <c r="AJ181" s="64" t="n"/>
      <c r="AK181" s="64" t="n"/>
      <c r="AL181" s="64" t="n"/>
      <c r="AM181" s="64" t="n"/>
      <c r="AN181" s="64" t="n"/>
      <c r="AO181" s="24" t="n"/>
    </row>
    <row r="182" ht="15" customHeight="1">
      <c r="A182" s="63">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7">
        <f>IF(C182="","",SUMIFS(tbl_Finance[Inc GST],tbl_Finance[Job Number],C182&amp;""))</f>
        <v/>
      </c>
      <c r="M182" s="24" t="n"/>
      <c r="N182" s="25">
        <f>IF(C182="","",IFERROR(INDEX(tbl_Finance[Description],MATCH(C182&amp;"",tbl_Finance[Job Number],0)),""))</f>
        <v/>
      </c>
      <c r="O182" s="24" t="n"/>
      <c r="P182" s="24" t="n"/>
      <c r="Q182" s="22" t="n"/>
      <c r="R182" s="24" t="n"/>
      <c r="S182" s="25">
        <f>IF(R182="","",IF(AND(LEFT(R182,4)&lt;&gt;"http",set_RMSBase=""),"",HYPERLINK(IF(LEFT(R182,4)="http",R182,set_RMSBase&amp;R182),"Open opportunity")))</f>
        <v/>
      </c>
      <c r="T182" s="24" t="n"/>
      <c r="U182" s="25">
        <f>IF(T182="","",HYPERLINK(IF(LEFT(T182,4)="http",T182,set_QwilrBase&amp;T182),"Open quote"))</f>
        <v/>
      </c>
      <c r="V182" s="25">
        <f>IF(C182="","",C182)</f>
        <v/>
      </c>
      <c r="W182" s="24" t="n"/>
      <c r="X182" s="26" t="n"/>
      <c r="Y182" s="27">
        <f>IF(C182="","",H182+N(X182))</f>
        <v/>
      </c>
      <c r="Z182" s="29">
        <f>IFERROR(X182/Y182,"")</f>
        <v/>
      </c>
      <c r="AA182" s="26" t="n"/>
      <c r="AB182" s="26" t="n"/>
      <c r="AC182" s="26" t="n"/>
      <c r="AD182" s="26" t="n"/>
      <c r="AE182" s="27">
        <f>IF(C182="","",SUMIFS(tbl_Finance[Ex GST],tbl_Finance[Job Number],C182&amp;"",tbl_Finance[Cost Centre],"VIDEO"))</f>
        <v/>
      </c>
      <c r="AF182" s="29">
        <f>IFERROR(AE182/H182,"")</f>
        <v/>
      </c>
      <c r="AG182" s="27">
        <f>IF(C182="","",N(AA182)+N(AB182)+N(AC182)+N(AD182))</f>
        <v/>
      </c>
      <c r="AH182" s="27">
        <f>IF(C182="","",H182-AG182)</f>
        <v/>
      </c>
      <c r="AI182" s="29">
        <f>IFERROR(AH182/H182,"")</f>
        <v/>
      </c>
      <c r="AJ182" s="64" t="n"/>
      <c r="AK182" s="64" t="n"/>
      <c r="AL182" s="64" t="n"/>
      <c r="AM182" s="64" t="n"/>
      <c r="AN182" s="64" t="n"/>
      <c r="AO182" s="24" t="n"/>
    </row>
    <row r="183" ht="15" customHeight="1">
      <c r="A183" s="63">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7">
        <f>IF(C183="","",SUMIFS(tbl_Finance[Inc GST],tbl_Finance[Job Number],C183&amp;""))</f>
        <v/>
      </c>
      <c r="M183" s="24" t="n"/>
      <c r="N183" s="25">
        <f>IF(C183="","",IFERROR(INDEX(tbl_Finance[Description],MATCH(C183&amp;"",tbl_Finance[Job Number],0)),""))</f>
        <v/>
      </c>
      <c r="O183" s="24" t="n"/>
      <c r="P183" s="24" t="n"/>
      <c r="Q183" s="22" t="n"/>
      <c r="R183" s="24" t="n"/>
      <c r="S183" s="25">
        <f>IF(R183="","",IF(AND(LEFT(R183,4)&lt;&gt;"http",set_RMSBase=""),"",HYPERLINK(IF(LEFT(R183,4)="http",R183,set_RMSBase&amp;R183),"Open opportunity")))</f>
        <v/>
      </c>
      <c r="T183" s="24" t="n"/>
      <c r="U183" s="25">
        <f>IF(T183="","",HYPERLINK(IF(LEFT(T183,4)="http",T183,set_QwilrBase&amp;T183),"Open quote"))</f>
        <v/>
      </c>
      <c r="V183" s="25">
        <f>IF(C183="","",C183)</f>
        <v/>
      </c>
      <c r="W183" s="24" t="n"/>
      <c r="X183" s="26" t="n"/>
      <c r="Y183" s="27">
        <f>IF(C183="","",H183+N(X183))</f>
        <v/>
      </c>
      <c r="Z183" s="29">
        <f>IFERROR(X183/Y183,"")</f>
        <v/>
      </c>
      <c r="AA183" s="26" t="n"/>
      <c r="AB183" s="26" t="n"/>
      <c r="AC183" s="26" t="n"/>
      <c r="AD183" s="26" t="n"/>
      <c r="AE183" s="27">
        <f>IF(C183="","",SUMIFS(tbl_Finance[Ex GST],tbl_Finance[Job Number],C183&amp;"",tbl_Finance[Cost Centre],"VIDEO"))</f>
        <v/>
      </c>
      <c r="AF183" s="29">
        <f>IFERROR(AE183/H183,"")</f>
        <v/>
      </c>
      <c r="AG183" s="27">
        <f>IF(C183="","",N(AA183)+N(AB183)+N(AC183)+N(AD183))</f>
        <v/>
      </c>
      <c r="AH183" s="27">
        <f>IF(C183="","",H183-AG183)</f>
        <v/>
      </c>
      <c r="AI183" s="29">
        <f>IFERROR(AH183/H183,"")</f>
        <v/>
      </c>
      <c r="AJ183" s="64" t="n"/>
      <c r="AK183" s="64" t="n"/>
      <c r="AL183" s="64" t="n"/>
      <c r="AM183" s="64" t="n"/>
      <c r="AN183" s="64" t="n"/>
      <c r="AO183" s="24" t="n"/>
    </row>
    <row r="184" ht="15" customHeight="1">
      <c r="A184" s="63">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7">
        <f>IF(C184="","",SUMIFS(tbl_Finance[Inc GST],tbl_Finance[Job Number],C184&amp;""))</f>
        <v/>
      </c>
      <c r="M184" s="24" t="n"/>
      <c r="N184" s="25">
        <f>IF(C184="","",IFERROR(INDEX(tbl_Finance[Description],MATCH(C184&amp;"",tbl_Finance[Job Number],0)),""))</f>
        <v/>
      </c>
      <c r="O184" s="24" t="n"/>
      <c r="P184" s="24" t="n"/>
      <c r="Q184" s="22" t="n"/>
      <c r="R184" s="24" t="n"/>
      <c r="S184" s="25">
        <f>IF(R184="","",IF(AND(LEFT(R184,4)&lt;&gt;"http",set_RMSBase=""),"",HYPERLINK(IF(LEFT(R184,4)="http",R184,set_RMSBase&amp;R184),"Open opportunity")))</f>
        <v/>
      </c>
      <c r="T184" s="24" t="n"/>
      <c r="U184" s="25">
        <f>IF(T184="","",HYPERLINK(IF(LEFT(T184,4)="http",T184,set_QwilrBase&amp;T184),"Open quote"))</f>
        <v/>
      </c>
      <c r="V184" s="25">
        <f>IF(C184="","",C184)</f>
        <v/>
      </c>
      <c r="W184" s="24" t="n"/>
      <c r="X184" s="26" t="n"/>
      <c r="Y184" s="27">
        <f>IF(C184="","",H184+N(X184))</f>
        <v/>
      </c>
      <c r="Z184" s="29">
        <f>IFERROR(X184/Y184,"")</f>
        <v/>
      </c>
      <c r="AA184" s="26" t="n"/>
      <c r="AB184" s="26" t="n"/>
      <c r="AC184" s="26" t="n"/>
      <c r="AD184" s="26" t="n"/>
      <c r="AE184" s="27">
        <f>IF(C184="","",SUMIFS(tbl_Finance[Ex GST],tbl_Finance[Job Number],C184&amp;"",tbl_Finance[Cost Centre],"VIDEO"))</f>
        <v/>
      </c>
      <c r="AF184" s="29">
        <f>IFERROR(AE184/H184,"")</f>
        <v/>
      </c>
      <c r="AG184" s="27">
        <f>IF(C184="","",N(AA184)+N(AB184)+N(AC184)+N(AD184))</f>
        <v/>
      </c>
      <c r="AH184" s="27">
        <f>IF(C184="","",H184-AG184)</f>
        <v/>
      </c>
      <c r="AI184" s="29">
        <f>IFERROR(AH184/H184,"")</f>
        <v/>
      </c>
      <c r="AJ184" s="64" t="n"/>
      <c r="AK184" s="64" t="n"/>
      <c r="AL184" s="64" t="n"/>
      <c r="AM184" s="64" t="n"/>
      <c r="AN184" s="64" t="n"/>
      <c r="AO184" s="24" t="n"/>
    </row>
    <row r="185" ht="15" customHeight="1">
      <c r="A185" s="63">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7">
        <f>IF(C185="","",SUMIFS(tbl_Finance[Inc GST],tbl_Finance[Job Number],C185&amp;""))</f>
        <v/>
      </c>
      <c r="M185" s="24" t="n"/>
      <c r="N185" s="25">
        <f>IF(C185="","",IFERROR(INDEX(tbl_Finance[Description],MATCH(C185&amp;"",tbl_Finance[Job Number],0)),""))</f>
        <v/>
      </c>
      <c r="O185" s="24" t="n"/>
      <c r="P185" s="24" t="n"/>
      <c r="Q185" s="22" t="n"/>
      <c r="R185" s="24" t="n"/>
      <c r="S185" s="25">
        <f>IF(R185="","",IF(AND(LEFT(R185,4)&lt;&gt;"http",set_RMSBase=""),"",HYPERLINK(IF(LEFT(R185,4)="http",R185,set_RMSBase&amp;R185),"Open opportunity")))</f>
        <v/>
      </c>
      <c r="T185" s="24" t="n"/>
      <c r="U185" s="25">
        <f>IF(T185="","",HYPERLINK(IF(LEFT(T185,4)="http",T185,set_QwilrBase&amp;T185),"Open quote"))</f>
        <v/>
      </c>
      <c r="V185" s="25">
        <f>IF(C185="","",C185)</f>
        <v/>
      </c>
      <c r="W185" s="24" t="n"/>
      <c r="X185" s="26" t="n"/>
      <c r="Y185" s="27">
        <f>IF(C185="","",H185+N(X185))</f>
        <v/>
      </c>
      <c r="Z185" s="29">
        <f>IFERROR(X185/Y185,"")</f>
        <v/>
      </c>
      <c r="AA185" s="26" t="n"/>
      <c r="AB185" s="26" t="n"/>
      <c r="AC185" s="26" t="n"/>
      <c r="AD185" s="26" t="n"/>
      <c r="AE185" s="27">
        <f>IF(C185="","",SUMIFS(tbl_Finance[Ex GST],tbl_Finance[Job Number],C185&amp;"",tbl_Finance[Cost Centre],"VIDEO"))</f>
        <v/>
      </c>
      <c r="AF185" s="29">
        <f>IFERROR(AE185/H185,"")</f>
        <v/>
      </c>
      <c r="AG185" s="27">
        <f>IF(C185="","",N(AA185)+N(AB185)+N(AC185)+N(AD185))</f>
        <v/>
      </c>
      <c r="AH185" s="27">
        <f>IF(C185="","",H185-AG185)</f>
        <v/>
      </c>
      <c r="AI185" s="29">
        <f>IFERROR(AH185/H185,"")</f>
        <v/>
      </c>
      <c r="AJ185" s="64" t="n"/>
      <c r="AK185" s="64" t="n"/>
      <c r="AL185" s="64" t="n"/>
      <c r="AM185" s="64" t="n"/>
      <c r="AN185" s="64" t="n"/>
      <c r="AO185" s="24" t="n"/>
    </row>
    <row r="186" ht="15" customHeight="1">
      <c r="A186" s="63">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7">
        <f>IF(C186="","",SUMIFS(tbl_Finance[Inc GST],tbl_Finance[Job Number],C186&amp;""))</f>
        <v/>
      </c>
      <c r="M186" s="24" t="n"/>
      <c r="N186" s="25">
        <f>IF(C186="","",IFERROR(INDEX(tbl_Finance[Description],MATCH(C186&amp;"",tbl_Finance[Job Number],0)),""))</f>
        <v/>
      </c>
      <c r="O186" s="24" t="n"/>
      <c r="P186" s="24" t="n"/>
      <c r="Q186" s="22" t="n"/>
      <c r="R186" s="24" t="n"/>
      <c r="S186" s="25">
        <f>IF(R186="","",IF(AND(LEFT(R186,4)&lt;&gt;"http",set_RMSBase=""),"",HYPERLINK(IF(LEFT(R186,4)="http",R186,set_RMSBase&amp;R186),"Open opportunity")))</f>
        <v/>
      </c>
      <c r="T186" s="24" t="n"/>
      <c r="U186" s="25">
        <f>IF(T186="","",HYPERLINK(IF(LEFT(T186,4)="http",T186,set_QwilrBase&amp;T186),"Open quote"))</f>
        <v/>
      </c>
      <c r="V186" s="25">
        <f>IF(C186="","",C186)</f>
        <v/>
      </c>
      <c r="W186" s="24" t="n"/>
      <c r="X186" s="26" t="n"/>
      <c r="Y186" s="27">
        <f>IF(C186="","",H186+N(X186))</f>
        <v/>
      </c>
      <c r="Z186" s="29">
        <f>IFERROR(X186/Y186,"")</f>
        <v/>
      </c>
      <c r="AA186" s="26" t="n"/>
      <c r="AB186" s="26" t="n"/>
      <c r="AC186" s="26" t="n"/>
      <c r="AD186" s="26" t="n"/>
      <c r="AE186" s="27">
        <f>IF(C186="","",SUMIFS(tbl_Finance[Ex GST],tbl_Finance[Job Number],C186&amp;"",tbl_Finance[Cost Centre],"VIDEO"))</f>
        <v/>
      </c>
      <c r="AF186" s="29">
        <f>IFERROR(AE186/H186,"")</f>
        <v/>
      </c>
      <c r="AG186" s="27">
        <f>IF(C186="","",N(AA186)+N(AB186)+N(AC186)+N(AD186))</f>
        <v/>
      </c>
      <c r="AH186" s="27">
        <f>IF(C186="","",H186-AG186)</f>
        <v/>
      </c>
      <c r="AI186" s="29">
        <f>IFERROR(AH186/H186,"")</f>
        <v/>
      </c>
      <c r="AJ186" s="64" t="n"/>
      <c r="AK186" s="64" t="n"/>
      <c r="AL186" s="64" t="n"/>
      <c r="AM186" s="64" t="n"/>
      <c r="AN186" s="64" t="n"/>
      <c r="AO186" s="24" t="n"/>
    </row>
    <row r="187" ht="15" customHeight="1">
      <c r="A187" s="63">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7">
        <f>IF(C187="","",SUMIFS(tbl_Finance[Inc GST],tbl_Finance[Job Number],C187&amp;""))</f>
        <v/>
      </c>
      <c r="M187" s="24" t="n"/>
      <c r="N187" s="25">
        <f>IF(C187="","",IFERROR(INDEX(tbl_Finance[Description],MATCH(C187&amp;"",tbl_Finance[Job Number],0)),""))</f>
        <v/>
      </c>
      <c r="O187" s="24" t="n"/>
      <c r="P187" s="24" t="n"/>
      <c r="Q187" s="22" t="n"/>
      <c r="R187" s="24" t="n"/>
      <c r="S187" s="25">
        <f>IF(R187="","",IF(AND(LEFT(R187,4)&lt;&gt;"http",set_RMSBase=""),"",HYPERLINK(IF(LEFT(R187,4)="http",R187,set_RMSBase&amp;R187),"Open opportunity")))</f>
        <v/>
      </c>
      <c r="T187" s="24" t="n"/>
      <c r="U187" s="25">
        <f>IF(T187="","",HYPERLINK(IF(LEFT(T187,4)="http",T187,set_QwilrBase&amp;T187),"Open quote"))</f>
        <v/>
      </c>
      <c r="V187" s="25">
        <f>IF(C187="","",C187)</f>
        <v/>
      </c>
      <c r="W187" s="24" t="n"/>
      <c r="X187" s="26" t="n"/>
      <c r="Y187" s="27">
        <f>IF(C187="","",H187+N(X187))</f>
        <v/>
      </c>
      <c r="Z187" s="29">
        <f>IFERROR(X187/Y187,"")</f>
        <v/>
      </c>
      <c r="AA187" s="26" t="n"/>
      <c r="AB187" s="26" t="n"/>
      <c r="AC187" s="26" t="n"/>
      <c r="AD187" s="26" t="n"/>
      <c r="AE187" s="27">
        <f>IF(C187="","",SUMIFS(tbl_Finance[Ex GST],tbl_Finance[Job Number],C187&amp;"",tbl_Finance[Cost Centre],"VIDEO"))</f>
        <v/>
      </c>
      <c r="AF187" s="29">
        <f>IFERROR(AE187/H187,"")</f>
        <v/>
      </c>
      <c r="AG187" s="27">
        <f>IF(C187="","",N(AA187)+N(AB187)+N(AC187)+N(AD187))</f>
        <v/>
      </c>
      <c r="AH187" s="27">
        <f>IF(C187="","",H187-AG187)</f>
        <v/>
      </c>
      <c r="AI187" s="29">
        <f>IFERROR(AH187/H187,"")</f>
        <v/>
      </c>
      <c r="AJ187" s="64" t="n"/>
      <c r="AK187" s="64" t="n"/>
      <c r="AL187" s="64" t="n"/>
      <c r="AM187" s="64" t="n"/>
      <c r="AN187" s="64" t="n"/>
      <c r="AO187" s="24" t="n"/>
    </row>
    <row r="188" ht="15" customHeight="1">
      <c r="A188" s="63">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7">
        <f>IF(C188="","",SUMIFS(tbl_Finance[Inc GST],tbl_Finance[Job Number],C188&amp;""))</f>
        <v/>
      </c>
      <c r="M188" s="24" t="n"/>
      <c r="N188" s="25">
        <f>IF(C188="","",IFERROR(INDEX(tbl_Finance[Description],MATCH(C188&amp;"",tbl_Finance[Job Number],0)),""))</f>
        <v/>
      </c>
      <c r="O188" s="24" t="n"/>
      <c r="P188" s="24" t="n"/>
      <c r="Q188" s="22" t="n"/>
      <c r="R188" s="24" t="n"/>
      <c r="S188" s="25">
        <f>IF(R188="","",IF(AND(LEFT(R188,4)&lt;&gt;"http",set_RMSBase=""),"",HYPERLINK(IF(LEFT(R188,4)="http",R188,set_RMSBase&amp;R188),"Open opportunity")))</f>
        <v/>
      </c>
      <c r="T188" s="24" t="n"/>
      <c r="U188" s="25">
        <f>IF(T188="","",HYPERLINK(IF(LEFT(T188,4)="http",T188,set_QwilrBase&amp;T188),"Open quote"))</f>
        <v/>
      </c>
      <c r="V188" s="25">
        <f>IF(C188="","",C188)</f>
        <v/>
      </c>
      <c r="W188" s="24" t="n"/>
      <c r="X188" s="26" t="n"/>
      <c r="Y188" s="27">
        <f>IF(C188="","",H188+N(X188))</f>
        <v/>
      </c>
      <c r="Z188" s="29">
        <f>IFERROR(X188/Y188,"")</f>
        <v/>
      </c>
      <c r="AA188" s="26" t="n"/>
      <c r="AB188" s="26" t="n"/>
      <c r="AC188" s="26" t="n"/>
      <c r="AD188" s="26" t="n"/>
      <c r="AE188" s="27">
        <f>IF(C188="","",SUMIFS(tbl_Finance[Ex GST],tbl_Finance[Job Number],C188&amp;"",tbl_Finance[Cost Centre],"VIDEO"))</f>
        <v/>
      </c>
      <c r="AF188" s="29">
        <f>IFERROR(AE188/H188,"")</f>
        <v/>
      </c>
      <c r="AG188" s="27">
        <f>IF(C188="","",N(AA188)+N(AB188)+N(AC188)+N(AD188))</f>
        <v/>
      </c>
      <c r="AH188" s="27">
        <f>IF(C188="","",H188-AG188)</f>
        <v/>
      </c>
      <c r="AI188" s="29">
        <f>IFERROR(AH188/H188,"")</f>
        <v/>
      </c>
      <c r="AJ188" s="64" t="n"/>
      <c r="AK188" s="64" t="n"/>
      <c r="AL188" s="64" t="n"/>
      <c r="AM188" s="64" t="n"/>
      <c r="AN188" s="64" t="n"/>
      <c r="AO188" s="24" t="n"/>
    </row>
    <row r="189" ht="15" customHeight="1">
      <c r="A189" s="63">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7">
        <f>IF(C189="","",SUMIFS(tbl_Finance[Inc GST],tbl_Finance[Job Number],C189&amp;""))</f>
        <v/>
      </c>
      <c r="M189" s="24" t="n"/>
      <c r="N189" s="25">
        <f>IF(C189="","",IFERROR(INDEX(tbl_Finance[Description],MATCH(C189&amp;"",tbl_Finance[Job Number],0)),""))</f>
        <v/>
      </c>
      <c r="O189" s="24" t="n"/>
      <c r="P189" s="24" t="n"/>
      <c r="Q189" s="22" t="n"/>
      <c r="R189" s="24" t="n"/>
      <c r="S189" s="25">
        <f>IF(R189="","",IF(AND(LEFT(R189,4)&lt;&gt;"http",set_RMSBase=""),"",HYPERLINK(IF(LEFT(R189,4)="http",R189,set_RMSBase&amp;R189),"Open opportunity")))</f>
        <v/>
      </c>
      <c r="T189" s="24" t="n"/>
      <c r="U189" s="25">
        <f>IF(T189="","",HYPERLINK(IF(LEFT(T189,4)="http",T189,set_QwilrBase&amp;T189),"Open quote"))</f>
        <v/>
      </c>
      <c r="V189" s="25">
        <f>IF(C189="","",C189)</f>
        <v/>
      </c>
      <c r="W189" s="24" t="n"/>
      <c r="X189" s="26" t="n"/>
      <c r="Y189" s="27">
        <f>IF(C189="","",H189+N(X189))</f>
        <v/>
      </c>
      <c r="Z189" s="29">
        <f>IFERROR(X189/Y189,"")</f>
        <v/>
      </c>
      <c r="AA189" s="26" t="n"/>
      <c r="AB189" s="26" t="n"/>
      <c r="AC189" s="26" t="n"/>
      <c r="AD189" s="26" t="n"/>
      <c r="AE189" s="27">
        <f>IF(C189="","",SUMIFS(tbl_Finance[Ex GST],tbl_Finance[Job Number],C189&amp;"",tbl_Finance[Cost Centre],"VIDEO"))</f>
        <v/>
      </c>
      <c r="AF189" s="29">
        <f>IFERROR(AE189/H189,"")</f>
        <v/>
      </c>
      <c r="AG189" s="27">
        <f>IF(C189="","",N(AA189)+N(AB189)+N(AC189)+N(AD189))</f>
        <v/>
      </c>
      <c r="AH189" s="27">
        <f>IF(C189="","",H189-AG189)</f>
        <v/>
      </c>
      <c r="AI189" s="29">
        <f>IFERROR(AH189/H189,"")</f>
        <v/>
      </c>
      <c r="AJ189" s="64" t="n"/>
      <c r="AK189" s="64" t="n"/>
      <c r="AL189" s="64" t="n"/>
      <c r="AM189" s="64" t="n"/>
      <c r="AN189" s="64" t="n"/>
      <c r="AO189" s="24" t="n"/>
    </row>
    <row r="190" ht="15" customHeight="1">
      <c r="A190" s="63">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7">
        <f>IF(C190="","",SUMIFS(tbl_Finance[Inc GST],tbl_Finance[Job Number],C190&amp;""))</f>
        <v/>
      </c>
      <c r="M190" s="24" t="n"/>
      <c r="N190" s="25">
        <f>IF(C190="","",IFERROR(INDEX(tbl_Finance[Description],MATCH(C190&amp;"",tbl_Finance[Job Number],0)),""))</f>
        <v/>
      </c>
      <c r="O190" s="24" t="n"/>
      <c r="P190" s="24" t="n"/>
      <c r="Q190" s="22" t="n"/>
      <c r="R190" s="24" t="n"/>
      <c r="S190" s="25">
        <f>IF(R190="","",IF(AND(LEFT(R190,4)&lt;&gt;"http",set_RMSBase=""),"",HYPERLINK(IF(LEFT(R190,4)="http",R190,set_RMSBase&amp;R190),"Open opportunity")))</f>
        <v/>
      </c>
      <c r="T190" s="24" t="n"/>
      <c r="U190" s="25">
        <f>IF(T190="","",HYPERLINK(IF(LEFT(T190,4)="http",T190,set_QwilrBase&amp;T190),"Open quote"))</f>
        <v/>
      </c>
      <c r="V190" s="25">
        <f>IF(C190="","",C190)</f>
        <v/>
      </c>
      <c r="W190" s="24" t="n"/>
      <c r="X190" s="26" t="n"/>
      <c r="Y190" s="27">
        <f>IF(C190="","",H190+N(X190))</f>
        <v/>
      </c>
      <c r="Z190" s="29">
        <f>IFERROR(X190/Y190,"")</f>
        <v/>
      </c>
      <c r="AA190" s="26" t="n"/>
      <c r="AB190" s="26" t="n"/>
      <c r="AC190" s="26" t="n"/>
      <c r="AD190" s="26" t="n"/>
      <c r="AE190" s="27">
        <f>IF(C190="","",SUMIFS(tbl_Finance[Ex GST],tbl_Finance[Job Number],C190&amp;"",tbl_Finance[Cost Centre],"VIDEO"))</f>
        <v/>
      </c>
      <c r="AF190" s="29">
        <f>IFERROR(AE190/H190,"")</f>
        <v/>
      </c>
      <c r="AG190" s="27">
        <f>IF(C190="","",N(AA190)+N(AB190)+N(AC190)+N(AD190))</f>
        <v/>
      </c>
      <c r="AH190" s="27">
        <f>IF(C190="","",H190-AG190)</f>
        <v/>
      </c>
      <c r="AI190" s="29">
        <f>IFERROR(AH190/H190,"")</f>
        <v/>
      </c>
      <c r="AJ190" s="64" t="n"/>
      <c r="AK190" s="64" t="n"/>
      <c r="AL190" s="64" t="n"/>
      <c r="AM190" s="64" t="n"/>
      <c r="AN190" s="64" t="n"/>
      <c r="AO190" s="24" t="n"/>
    </row>
    <row r="191" ht="15" customHeight="1">
      <c r="A191" s="63">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7">
        <f>IF(C191="","",SUMIFS(tbl_Finance[Inc GST],tbl_Finance[Job Number],C191&amp;""))</f>
        <v/>
      </c>
      <c r="M191" s="24" t="n"/>
      <c r="N191" s="25">
        <f>IF(C191="","",IFERROR(INDEX(tbl_Finance[Description],MATCH(C191&amp;"",tbl_Finance[Job Number],0)),""))</f>
        <v/>
      </c>
      <c r="O191" s="24" t="n"/>
      <c r="P191" s="24" t="n"/>
      <c r="Q191" s="22" t="n"/>
      <c r="R191" s="24" t="n"/>
      <c r="S191" s="25">
        <f>IF(R191="","",IF(AND(LEFT(R191,4)&lt;&gt;"http",set_RMSBase=""),"",HYPERLINK(IF(LEFT(R191,4)="http",R191,set_RMSBase&amp;R191),"Open opportunity")))</f>
        <v/>
      </c>
      <c r="T191" s="24" t="n"/>
      <c r="U191" s="25">
        <f>IF(T191="","",HYPERLINK(IF(LEFT(T191,4)="http",T191,set_QwilrBase&amp;T191),"Open quote"))</f>
        <v/>
      </c>
      <c r="V191" s="25">
        <f>IF(C191="","",C191)</f>
        <v/>
      </c>
      <c r="W191" s="24" t="n"/>
      <c r="X191" s="26" t="n"/>
      <c r="Y191" s="27">
        <f>IF(C191="","",H191+N(X191))</f>
        <v/>
      </c>
      <c r="Z191" s="29">
        <f>IFERROR(X191/Y191,"")</f>
        <v/>
      </c>
      <c r="AA191" s="26" t="n"/>
      <c r="AB191" s="26" t="n"/>
      <c r="AC191" s="26" t="n"/>
      <c r="AD191" s="26" t="n"/>
      <c r="AE191" s="27">
        <f>IF(C191="","",SUMIFS(tbl_Finance[Ex GST],tbl_Finance[Job Number],C191&amp;"",tbl_Finance[Cost Centre],"VIDEO"))</f>
        <v/>
      </c>
      <c r="AF191" s="29">
        <f>IFERROR(AE191/H191,"")</f>
        <v/>
      </c>
      <c r="AG191" s="27">
        <f>IF(C191="","",N(AA191)+N(AB191)+N(AC191)+N(AD191))</f>
        <v/>
      </c>
      <c r="AH191" s="27">
        <f>IF(C191="","",H191-AG191)</f>
        <v/>
      </c>
      <c r="AI191" s="29">
        <f>IFERROR(AH191/H191,"")</f>
        <v/>
      </c>
      <c r="AJ191" s="64" t="n"/>
      <c r="AK191" s="64" t="n"/>
      <c r="AL191" s="64" t="n"/>
      <c r="AM191" s="64" t="n"/>
      <c r="AN191" s="64" t="n"/>
      <c r="AO191" s="24" t="n"/>
    </row>
    <row r="192" ht="15" customHeight="1">
      <c r="A192" s="63">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7">
        <f>IF(C192="","",SUMIFS(tbl_Finance[Inc GST],tbl_Finance[Job Number],C192&amp;""))</f>
        <v/>
      </c>
      <c r="M192" s="24" t="n"/>
      <c r="N192" s="25">
        <f>IF(C192="","",IFERROR(INDEX(tbl_Finance[Description],MATCH(C192&amp;"",tbl_Finance[Job Number],0)),""))</f>
        <v/>
      </c>
      <c r="O192" s="24" t="n"/>
      <c r="P192" s="24" t="n"/>
      <c r="Q192" s="22" t="n"/>
      <c r="R192" s="24" t="n"/>
      <c r="S192" s="25">
        <f>IF(R192="","",IF(AND(LEFT(R192,4)&lt;&gt;"http",set_RMSBase=""),"",HYPERLINK(IF(LEFT(R192,4)="http",R192,set_RMSBase&amp;R192),"Open opportunity")))</f>
        <v/>
      </c>
      <c r="T192" s="24" t="n"/>
      <c r="U192" s="25">
        <f>IF(T192="","",HYPERLINK(IF(LEFT(T192,4)="http",T192,set_QwilrBase&amp;T192),"Open quote"))</f>
        <v/>
      </c>
      <c r="V192" s="25">
        <f>IF(C192="","",C192)</f>
        <v/>
      </c>
      <c r="W192" s="24" t="n"/>
      <c r="X192" s="26" t="n"/>
      <c r="Y192" s="27">
        <f>IF(C192="","",H192+N(X192))</f>
        <v/>
      </c>
      <c r="Z192" s="29">
        <f>IFERROR(X192/Y192,"")</f>
        <v/>
      </c>
      <c r="AA192" s="26" t="n"/>
      <c r="AB192" s="26" t="n"/>
      <c r="AC192" s="26" t="n"/>
      <c r="AD192" s="26" t="n"/>
      <c r="AE192" s="27">
        <f>IF(C192="","",SUMIFS(tbl_Finance[Ex GST],tbl_Finance[Job Number],C192&amp;"",tbl_Finance[Cost Centre],"VIDEO"))</f>
        <v/>
      </c>
      <c r="AF192" s="29">
        <f>IFERROR(AE192/H192,"")</f>
        <v/>
      </c>
      <c r="AG192" s="27">
        <f>IF(C192="","",N(AA192)+N(AB192)+N(AC192)+N(AD192))</f>
        <v/>
      </c>
      <c r="AH192" s="27">
        <f>IF(C192="","",H192-AG192)</f>
        <v/>
      </c>
      <c r="AI192" s="29">
        <f>IFERROR(AH192/H192,"")</f>
        <v/>
      </c>
      <c r="AJ192" s="64" t="n"/>
      <c r="AK192" s="64" t="n"/>
      <c r="AL192" s="64" t="n"/>
      <c r="AM192" s="64" t="n"/>
      <c r="AN192" s="64" t="n"/>
      <c r="AO192" s="24" t="n"/>
    </row>
    <row r="193" ht="15" customHeight="1">
      <c r="A193" s="63">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7">
        <f>IF(C193="","",SUMIFS(tbl_Finance[Inc GST],tbl_Finance[Job Number],C193&amp;""))</f>
        <v/>
      </c>
      <c r="M193" s="24" t="n"/>
      <c r="N193" s="25">
        <f>IF(C193="","",IFERROR(INDEX(tbl_Finance[Description],MATCH(C193&amp;"",tbl_Finance[Job Number],0)),""))</f>
        <v/>
      </c>
      <c r="O193" s="24" t="n"/>
      <c r="P193" s="24" t="n"/>
      <c r="Q193" s="22" t="n"/>
      <c r="R193" s="24" t="n"/>
      <c r="S193" s="25">
        <f>IF(R193="","",IF(AND(LEFT(R193,4)&lt;&gt;"http",set_RMSBase=""),"",HYPERLINK(IF(LEFT(R193,4)="http",R193,set_RMSBase&amp;R193),"Open opportunity")))</f>
        <v/>
      </c>
      <c r="T193" s="24" t="n"/>
      <c r="U193" s="25">
        <f>IF(T193="","",HYPERLINK(IF(LEFT(T193,4)="http",T193,set_QwilrBase&amp;T193),"Open quote"))</f>
        <v/>
      </c>
      <c r="V193" s="25">
        <f>IF(C193="","",C193)</f>
        <v/>
      </c>
      <c r="W193" s="24" t="n"/>
      <c r="X193" s="26" t="n"/>
      <c r="Y193" s="27">
        <f>IF(C193="","",H193+N(X193))</f>
        <v/>
      </c>
      <c r="Z193" s="29">
        <f>IFERROR(X193/Y193,"")</f>
        <v/>
      </c>
      <c r="AA193" s="26" t="n"/>
      <c r="AB193" s="26" t="n"/>
      <c r="AC193" s="26" t="n"/>
      <c r="AD193" s="26" t="n"/>
      <c r="AE193" s="27">
        <f>IF(C193="","",SUMIFS(tbl_Finance[Ex GST],tbl_Finance[Job Number],C193&amp;"",tbl_Finance[Cost Centre],"VIDEO"))</f>
        <v/>
      </c>
      <c r="AF193" s="29">
        <f>IFERROR(AE193/H193,"")</f>
        <v/>
      </c>
      <c r="AG193" s="27">
        <f>IF(C193="","",N(AA193)+N(AB193)+N(AC193)+N(AD193))</f>
        <v/>
      </c>
      <c r="AH193" s="27">
        <f>IF(C193="","",H193-AG193)</f>
        <v/>
      </c>
      <c r="AI193" s="29">
        <f>IFERROR(AH193/H193,"")</f>
        <v/>
      </c>
      <c r="AJ193" s="64" t="n"/>
      <c r="AK193" s="64" t="n"/>
      <c r="AL193" s="64" t="n"/>
      <c r="AM193" s="64" t="n"/>
      <c r="AN193" s="64" t="n"/>
      <c r="AO193" s="24" t="n"/>
    </row>
    <row r="194" ht="15" customHeight="1">
      <c r="A194" s="63">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7">
        <f>IF(C194="","",SUMIFS(tbl_Finance[Inc GST],tbl_Finance[Job Number],C194&amp;""))</f>
        <v/>
      </c>
      <c r="M194" s="24" t="n"/>
      <c r="N194" s="25">
        <f>IF(C194="","",IFERROR(INDEX(tbl_Finance[Description],MATCH(C194&amp;"",tbl_Finance[Job Number],0)),""))</f>
        <v/>
      </c>
      <c r="O194" s="24" t="n"/>
      <c r="P194" s="24" t="n"/>
      <c r="Q194" s="22" t="n"/>
      <c r="R194" s="24" t="n"/>
      <c r="S194" s="25">
        <f>IF(R194="","",IF(AND(LEFT(R194,4)&lt;&gt;"http",set_RMSBase=""),"",HYPERLINK(IF(LEFT(R194,4)="http",R194,set_RMSBase&amp;R194),"Open opportunity")))</f>
        <v/>
      </c>
      <c r="T194" s="24" t="n"/>
      <c r="U194" s="25">
        <f>IF(T194="","",HYPERLINK(IF(LEFT(T194,4)="http",T194,set_QwilrBase&amp;T194),"Open quote"))</f>
        <v/>
      </c>
      <c r="V194" s="25">
        <f>IF(C194="","",C194)</f>
        <v/>
      </c>
      <c r="W194" s="24" t="n"/>
      <c r="X194" s="26" t="n"/>
      <c r="Y194" s="27">
        <f>IF(C194="","",H194+N(X194))</f>
        <v/>
      </c>
      <c r="Z194" s="29">
        <f>IFERROR(X194/Y194,"")</f>
        <v/>
      </c>
      <c r="AA194" s="26" t="n"/>
      <c r="AB194" s="26" t="n"/>
      <c r="AC194" s="26" t="n"/>
      <c r="AD194" s="26" t="n"/>
      <c r="AE194" s="27">
        <f>IF(C194="","",SUMIFS(tbl_Finance[Ex GST],tbl_Finance[Job Number],C194&amp;"",tbl_Finance[Cost Centre],"VIDEO"))</f>
        <v/>
      </c>
      <c r="AF194" s="29">
        <f>IFERROR(AE194/H194,"")</f>
        <v/>
      </c>
      <c r="AG194" s="27">
        <f>IF(C194="","",N(AA194)+N(AB194)+N(AC194)+N(AD194))</f>
        <v/>
      </c>
      <c r="AH194" s="27">
        <f>IF(C194="","",H194-AG194)</f>
        <v/>
      </c>
      <c r="AI194" s="29">
        <f>IFERROR(AH194/H194,"")</f>
        <v/>
      </c>
      <c r="AJ194" s="64" t="n"/>
      <c r="AK194" s="64" t="n"/>
      <c r="AL194" s="64" t="n"/>
      <c r="AM194" s="64" t="n"/>
      <c r="AN194" s="64" t="n"/>
      <c r="AO194" s="24" t="n"/>
    </row>
    <row r="195" ht="15" customHeight="1">
      <c r="A195" s="63">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7">
        <f>IF(C195="","",SUMIFS(tbl_Finance[Inc GST],tbl_Finance[Job Number],C195&amp;""))</f>
        <v/>
      </c>
      <c r="M195" s="24" t="n"/>
      <c r="N195" s="25">
        <f>IF(C195="","",IFERROR(INDEX(tbl_Finance[Description],MATCH(C195&amp;"",tbl_Finance[Job Number],0)),""))</f>
        <v/>
      </c>
      <c r="O195" s="24" t="n"/>
      <c r="P195" s="24" t="n"/>
      <c r="Q195" s="22" t="n"/>
      <c r="R195" s="24" t="n"/>
      <c r="S195" s="25">
        <f>IF(R195="","",IF(AND(LEFT(R195,4)&lt;&gt;"http",set_RMSBase=""),"",HYPERLINK(IF(LEFT(R195,4)="http",R195,set_RMSBase&amp;R195),"Open opportunity")))</f>
        <v/>
      </c>
      <c r="T195" s="24" t="n"/>
      <c r="U195" s="25">
        <f>IF(T195="","",HYPERLINK(IF(LEFT(T195,4)="http",T195,set_QwilrBase&amp;T195),"Open quote"))</f>
        <v/>
      </c>
      <c r="V195" s="25">
        <f>IF(C195="","",C195)</f>
        <v/>
      </c>
      <c r="W195" s="24" t="n"/>
      <c r="X195" s="26" t="n"/>
      <c r="Y195" s="27">
        <f>IF(C195="","",H195+N(X195))</f>
        <v/>
      </c>
      <c r="Z195" s="29">
        <f>IFERROR(X195/Y195,"")</f>
        <v/>
      </c>
      <c r="AA195" s="26" t="n"/>
      <c r="AB195" s="26" t="n"/>
      <c r="AC195" s="26" t="n"/>
      <c r="AD195" s="26" t="n"/>
      <c r="AE195" s="27">
        <f>IF(C195="","",SUMIFS(tbl_Finance[Ex GST],tbl_Finance[Job Number],C195&amp;"",tbl_Finance[Cost Centre],"VIDEO"))</f>
        <v/>
      </c>
      <c r="AF195" s="29">
        <f>IFERROR(AE195/H195,"")</f>
        <v/>
      </c>
      <c r="AG195" s="27">
        <f>IF(C195="","",N(AA195)+N(AB195)+N(AC195)+N(AD195))</f>
        <v/>
      </c>
      <c r="AH195" s="27">
        <f>IF(C195="","",H195-AG195)</f>
        <v/>
      </c>
      <c r="AI195" s="29">
        <f>IFERROR(AH195/H195,"")</f>
        <v/>
      </c>
      <c r="AJ195" s="64" t="n"/>
      <c r="AK195" s="64" t="n"/>
      <c r="AL195" s="64" t="n"/>
      <c r="AM195" s="64" t="n"/>
      <c r="AN195" s="64" t="n"/>
      <c r="AO195" s="24" t="n"/>
    </row>
    <row r="196" ht="15" customHeight="1">
      <c r="A196" s="63">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7">
        <f>IF(C196="","",SUMIFS(tbl_Finance[Inc GST],tbl_Finance[Job Number],C196&amp;""))</f>
        <v/>
      </c>
      <c r="M196" s="24" t="n"/>
      <c r="N196" s="25">
        <f>IF(C196="","",IFERROR(INDEX(tbl_Finance[Description],MATCH(C196&amp;"",tbl_Finance[Job Number],0)),""))</f>
        <v/>
      </c>
      <c r="O196" s="24" t="n"/>
      <c r="P196" s="24" t="n"/>
      <c r="Q196" s="22" t="n"/>
      <c r="R196" s="24" t="n"/>
      <c r="S196" s="25">
        <f>IF(R196="","",IF(AND(LEFT(R196,4)&lt;&gt;"http",set_RMSBase=""),"",HYPERLINK(IF(LEFT(R196,4)="http",R196,set_RMSBase&amp;R196),"Open opportunity")))</f>
        <v/>
      </c>
      <c r="T196" s="24" t="n"/>
      <c r="U196" s="25">
        <f>IF(T196="","",HYPERLINK(IF(LEFT(T196,4)="http",T196,set_QwilrBase&amp;T196),"Open quote"))</f>
        <v/>
      </c>
      <c r="V196" s="25">
        <f>IF(C196="","",C196)</f>
        <v/>
      </c>
      <c r="W196" s="24" t="n"/>
      <c r="X196" s="26" t="n"/>
      <c r="Y196" s="27">
        <f>IF(C196="","",H196+N(X196))</f>
        <v/>
      </c>
      <c r="Z196" s="29">
        <f>IFERROR(X196/Y196,"")</f>
        <v/>
      </c>
      <c r="AA196" s="26" t="n"/>
      <c r="AB196" s="26" t="n"/>
      <c r="AC196" s="26" t="n"/>
      <c r="AD196" s="26" t="n"/>
      <c r="AE196" s="27">
        <f>IF(C196="","",SUMIFS(tbl_Finance[Ex GST],tbl_Finance[Job Number],C196&amp;"",tbl_Finance[Cost Centre],"VIDEO"))</f>
        <v/>
      </c>
      <c r="AF196" s="29">
        <f>IFERROR(AE196/H196,"")</f>
        <v/>
      </c>
      <c r="AG196" s="27">
        <f>IF(C196="","",N(AA196)+N(AB196)+N(AC196)+N(AD196))</f>
        <v/>
      </c>
      <c r="AH196" s="27">
        <f>IF(C196="","",H196-AG196)</f>
        <v/>
      </c>
      <c r="AI196" s="29">
        <f>IFERROR(AH196/H196,"")</f>
        <v/>
      </c>
      <c r="AJ196" s="64" t="n"/>
      <c r="AK196" s="64" t="n"/>
      <c r="AL196" s="64" t="n"/>
      <c r="AM196" s="64" t="n"/>
      <c r="AN196" s="64" t="n"/>
      <c r="AO196" s="24" t="n"/>
    </row>
    <row r="197" ht="15" customHeight="1">
      <c r="A197" s="63">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7">
        <f>IF(C197="","",SUMIFS(tbl_Finance[Inc GST],tbl_Finance[Job Number],C197&amp;""))</f>
        <v/>
      </c>
      <c r="M197" s="24" t="n"/>
      <c r="N197" s="25">
        <f>IF(C197="","",IFERROR(INDEX(tbl_Finance[Description],MATCH(C197&amp;"",tbl_Finance[Job Number],0)),""))</f>
        <v/>
      </c>
      <c r="O197" s="24" t="n"/>
      <c r="P197" s="24" t="n"/>
      <c r="Q197" s="22" t="n"/>
      <c r="R197" s="24" t="n"/>
      <c r="S197" s="25">
        <f>IF(R197="","",IF(AND(LEFT(R197,4)&lt;&gt;"http",set_RMSBase=""),"",HYPERLINK(IF(LEFT(R197,4)="http",R197,set_RMSBase&amp;R197),"Open opportunity")))</f>
        <v/>
      </c>
      <c r="T197" s="24" t="n"/>
      <c r="U197" s="25">
        <f>IF(T197="","",HYPERLINK(IF(LEFT(T197,4)="http",T197,set_QwilrBase&amp;T197),"Open quote"))</f>
        <v/>
      </c>
      <c r="V197" s="25">
        <f>IF(C197="","",C197)</f>
        <v/>
      </c>
      <c r="W197" s="24" t="n"/>
      <c r="X197" s="26" t="n"/>
      <c r="Y197" s="27">
        <f>IF(C197="","",H197+N(X197))</f>
        <v/>
      </c>
      <c r="Z197" s="29">
        <f>IFERROR(X197/Y197,"")</f>
        <v/>
      </c>
      <c r="AA197" s="26" t="n"/>
      <c r="AB197" s="26" t="n"/>
      <c r="AC197" s="26" t="n"/>
      <c r="AD197" s="26" t="n"/>
      <c r="AE197" s="27">
        <f>IF(C197="","",SUMIFS(tbl_Finance[Ex GST],tbl_Finance[Job Number],C197&amp;"",tbl_Finance[Cost Centre],"VIDEO"))</f>
        <v/>
      </c>
      <c r="AF197" s="29">
        <f>IFERROR(AE197/H197,"")</f>
        <v/>
      </c>
      <c r="AG197" s="27">
        <f>IF(C197="","",N(AA197)+N(AB197)+N(AC197)+N(AD197))</f>
        <v/>
      </c>
      <c r="AH197" s="27">
        <f>IF(C197="","",H197-AG197)</f>
        <v/>
      </c>
      <c r="AI197" s="29">
        <f>IFERROR(AH197/H197,"")</f>
        <v/>
      </c>
      <c r="AJ197" s="64" t="n"/>
      <c r="AK197" s="64" t="n"/>
      <c r="AL197" s="64" t="n"/>
      <c r="AM197" s="64" t="n"/>
      <c r="AN197" s="64" t="n"/>
      <c r="AO197" s="24" t="n"/>
    </row>
    <row r="198" ht="15" customHeight="1">
      <c r="A198" s="63">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7">
        <f>IF(C198="","",SUMIFS(tbl_Finance[Inc GST],tbl_Finance[Job Number],C198&amp;""))</f>
        <v/>
      </c>
      <c r="M198" s="24" t="n"/>
      <c r="N198" s="25">
        <f>IF(C198="","",IFERROR(INDEX(tbl_Finance[Description],MATCH(C198&amp;"",tbl_Finance[Job Number],0)),""))</f>
        <v/>
      </c>
      <c r="O198" s="24" t="n"/>
      <c r="P198" s="24" t="n"/>
      <c r="Q198" s="22" t="n"/>
      <c r="R198" s="24" t="n"/>
      <c r="S198" s="25">
        <f>IF(R198="","",IF(AND(LEFT(R198,4)&lt;&gt;"http",set_RMSBase=""),"",HYPERLINK(IF(LEFT(R198,4)="http",R198,set_RMSBase&amp;R198),"Open opportunity")))</f>
        <v/>
      </c>
      <c r="T198" s="24" t="n"/>
      <c r="U198" s="25">
        <f>IF(T198="","",HYPERLINK(IF(LEFT(T198,4)="http",T198,set_QwilrBase&amp;T198),"Open quote"))</f>
        <v/>
      </c>
      <c r="V198" s="25">
        <f>IF(C198="","",C198)</f>
        <v/>
      </c>
      <c r="W198" s="24" t="n"/>
      <c r="X198" s="26" t="n"/>
      <c r="Y198" s="27">
        <f>IF(C198="","",H198+N(X198))</f>
        <v/>
      </c>
      <c r="Z198" s="29">
        <f>IFERROR(X198/Y198,"")</f>
        <v/>
      </c>
      <c r="AA198" s="26" t="n"/>
      <c r="AB198" s="26" t="n"/>
      <c r="AC198" s="26" t="n"/>
      <c r="AD198" s="26" t="n"/>
      <c r="AE198" s="27">
        <f>IF(C198="","",SUMIFS(tbl_Finance[Ex GST],tbl_Finance[Job Number],C198&amp;"",tbl_Finance[Cost Centre],"VIDEO"))</f>
        <v/>
      </c>
      <c r="AF198" s="29">
        <f>IFERROR(AE198/H198,"")</f>
        <v/>
      </c>
      <c r="AG198" s="27">
        <f>IF(C198="","",N(AA198)+N(AB198)+N(AC198)+N(AD198))</f>
        <v/>
      </c>
      <c r="AH198" s="27">
        <f>IF(C198="","",H198-AG198)</f>
        <v/>
      </c>
      <c r="AI198" s="29">
        <f>IFERROR(AH198/H198,"")</f>
        <v/>
      </c>
      <c r="AJ198" s="64" t="n"/>
      <c r="AK198" s="64" t="n"/>
      <c r="AL198" s="64" t="n"/>
      <c r="AM198" s="64" t="n"/>
      <c r="AN198" s="64" t="n"/>
      <c r="AO198" s="24" t="n"/>
    </row>
    <row r="199" ht="15" customHeight="1">
      <c r="A199" s="63">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7">
        <f>IF(C199="","",SUMIFS(tbl_Finance[Inc GST],tbl_Finance[Job Number],C199&amp;""))</f>
        <v/>
      </c>
      <c r="M199" s="24" t="n"/>
      <c r="N199" s="25">
        <f>IF(C199="","",IFERROR(INDEX(tbl_Finance[Description],MATCH(C199&amp;"",tbl_Finance[Job Number],0)),""))</f>
        <v/>
      </c>
      <c r="O199" s="24" t="n"/>
      <c r="P199" s="24" t="n"/>
      <c r="Q199" s="22" t="n"/>
      <c r="R199" s="24" t="n"/>
      <c r="S199" s="25">
        <f>IF(R199="","",IF(AND(LEFT(R199,4)&lt;&gt;"http",set_RMSBase=""),"",HYPERLINK(IF(LEFT(R199,4)="http",R199,set_RMSBase&amp;R199),"Open opportunity")))</f>
        <v/>
      </c>
      <c r="T199" s="24" t="n"/>
      <c r="U199" s="25">
        <f>IF(T199="","",HYPERLINK(IF(LEFT(T199,4)="http",T199,set_QwilrBase&amp;T199),"Open quote"))</f>
        <v/>
      </c>
      <c r="V199" s="25">
        <f>IF(C199="","",C199)</f>
        <v/>
      </c>
      <c r="W199" s="24" t="n"/>
      <c r="X199" s="26" t="n"/>
      <c r="Y199" s="27">
        <f>IF(C199="","",H199+N(X199))</f>
        <v/>
      </c>
      <c r="Z199" s="29">
        <f>IFERROR(X199/Y199,"")</f>
        <v/>
      </c>
      <c r="AA199" s="26" t="n"/>
      <c r="AB199" s="26" t="n"/>
      <c r="AC199" s="26" t="n"/>
      <c r="AD199" s="26" t="n"/>
      <c r="AE199" s="27">
        <f>IF(C199="","",SUMIFS(tbl_Finance[Ex GST],tbl_Finance[Job Number],C199&amp;"",tbl_Finance[Cost Centre],"VIDEO"))</f>
        <v/>
      </c>
      <c r="AF199" s="29">
        <f>IFERROR(AE199/H199,"")</f>
        <v/>
      </c>
      <c r="AG199" s="27">
        <f>IF(C199="","",N(AA199)+N(AB199)+N(AC199)+N(AD199))</f>
        <v/>
      </c>
      <c r="AH199" s="27">
        <f>IF(C199="","",H199-AG199)</f>
        <v/>
      </c>
      <c r="AI199" s="29">
        <f>IFERROR(AH199/H199,"")</f>
        <v/>
      </c>
      <c r="AJ199" s="64" t="n"/>
      <c r="AK199" s="64" t="n"/>
      <c r="AL199" s="64" t="n"/>
      <c r="AM199" s="64" t="n"/>
      <c r="AN199" s="64" t="n"/>
      <c r="AO199" s="24" t="n"/>
    </row>
    <row r="200" ht="15" customHeight="1">
      <c r="A200" s="63">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7">
        <f>IF(C200="","",SUMIFS(tbl_Finance[Inc GST],tbl_Finance[Job Number],C200&amp;""))</f>
        <v/>
      </c>
      <c r="M200" s="24" t="n"/>
      <c r="N200" s="25">
        <f>IF(C200="","",IFERROR(INDEX(tbl_Finance[Description],MATCH(C200&amp;"",tbl_Finance[Job Number],0)),""))</f>
        <v/>
      </c>
      <c r="O200" s="24" t="n"/>
      <c r="P200" s="24" t="n"/>
      <c r="Q200" s="22" t="n"/>
      <c r="R200" s="24" t="n"/>
      <c r="S200" s="25">
        <f>IF(R200="","",IF(AND(LEFT(R200,4)&lt;&gt;"http",set_RMSBase=""),"",HYPERLINK(IF(LEFT(R200,4)="http",R200,set_RMSBase&amp;R200),"Open opportunity")))</f>
        <v/>
      </c>
      <c r="T200" s="24" t="n"/>
      <c r="U200" s="25">
        <f>IF(T200="","",HYPERLINK(IF(LEFT(T200,4)="http",T200,set_QwilrBase&amp;T200),"Open quote"))</f>
        <v/>
      </c>
      <c r="V200" s="25">
        <f>IF(C200="","",C200)</f>
        <v/>
      </c>
      <c r="W200" s="24" t="n"/>
      <c r="X200" s="26" t="n"/>
      <c r="Y200" s="27">
        <f>IF(C200="","",H200+N(X200))</f>
        <v/>
      </c>
      <c r="Z200" s="29">
        <f>IFERROR(X200/Y200,"")</f>
        <v/>
      </c>
      <c r="AA200" s="26" t="n"/>
      <c r="AB200" s="26" t="n"/>
      <c r="AC200" s="26" t="n"/>
      <c r="AD200" s="26" t="n"/>
      <c r="AE200" s="27">
        <f>IF(C200="","",SUMIFS(tbl_Finance[Ex GST],tbl_Finance[Job Number],C200&amp;"",tbl_Finance[Cost Centre],"VIDEO"))</f>
        <v/>
      </c>
      <c r="AF200" s="29">
        <f>IFERROR(AE200/H200,"")</f>
        <v/>
      </c>
      <c r="AG200" s="27">
        <f>IF(C200="","",N(AA200)+N(AB200)+N(AC200)+N(AD200))</f>
        <v/>
      </c>
      <c r="AH200" s="27">
        <f>IF(C200="","",H200-AG200)</f>
        <v/>
      </c>
      <c r="AI200" s="29">
        <f>IFERROR(AH200/H200,"")</f>
        <v/>
      </c>
      <c r="AJ200" s="64" t="n"/>
      <c r="AK200" s="64" t="n"/>
      <c r="AL200" s="64" t="n"/>
      <c r="AM200" s="64" t="n"/>
      <c r="AN200" s="64" t="n"/>
      <c r="AO200" s="24" t="n"/>
    </row>
    <row r="201" ht="15" customHeight="1">
      <c r="A201" s="63">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7">
        <f>IF(C201="","",SUMIFS(tbl_Finance[Inc GST],tbl_Finance[Job Number],C201&amp;""))</f>
        <v/>
      </c>
      <c r="M201" s="24" t="n"/>
      <c r="N201" s="25">
        <f>IF(C201="","",IFERROR(INDEX(tbl_Finance[Description],MATCH(C201&amp;"",tbl_Finance[Job Number],0)),""))</f>
        <v/>
      </c>
      <c r="O201" s="24" t="n"/>
      <c r="P201" s="24" t="n"/>
      <c r="Q201" s="22" t="n"/>
      <c r="R201" s="24" t="n"/>
      <c r="S201" s="25">
        <f>IF(R201="","",IF(AND(LEFT(R201,4)&lt;&gt;"http",set_RMSBase=""),"",HYPERLINK(IF(LEFT(R201,4)="http",R201,set_RMSBase&amp;R201),"Open opportunity")))</f>
        <v/>
      </c>
      <c r="T201" s="24" t="n"/>
      <c r="U201" s="25">
        <f>IF(T201="","",HYPERLINK(IF(LEFT(T201,4)="http",T201,set_QwilrBase&amp;T201),"Open quote"))</f>
        <v/>
      </c>
      <c r="V201" s="25">
        <f>IF(C201="","",C201)</f>
        <v/>
      </c>
      <c r="W201" s="24" t="n"/>
      <c r="X201" s="26" t="n"/>
      <c r="Y201" s="27">
        <f>IF(C201="","",H201+N(X201))</f>
        <v/>
      </c>
      <c r="Z201" s="29">
        <f>IFERROR(X201/Y201,"")</f>
        <v/>
      </c>
      <c r="AA201" s="26" t="n"/>
      <c r="AB201" s="26" t="n"/>
      <c r="AC201" s="26" t="n"/>
      <c r="AD201" s="26" t="n"/>
      <c r="AE201" s="27">
        <f>IF(C201="","",SUMIFS(tbl_Finance[Ex GST],tbl_Finance[Job Number],C201&amp;"",tbl_Finance[Cost Centre],"VIDEO"))</f>
        <v/>
      </c>
      <c r="AF201" s="29">
        <f>IFERROR(AE201/H201,"")</f>
        <v/>
      </c>
      <c r="AG201" s="27">
        <f>IF(C201="","",N(AA201)+N(AB201)+N(AC201)+N(AD201))</f>
        <v/>
      </c>
      <c r="AH201" s="27">
        <f>IF(C201="","",H201-AG201)</f>
        <v/>
      </c>
      <c r="AI201" s="29">
        <f>IFERROR(AH201/H201,"")</f>
        <v/>
      </c>
      <c r="AJ201" s="64" t="n"/>
      <c r="AK201" s="64" t="n"/>
      <c r="AL201" s="64" t="n"/>
      <c r="AM201" s="64" t="n"/>
      <c r="AN201" s="64" t="n"/>
      <c r="AO201" s="24" t="n"/>
    </row>
    <row r="202" ht="15" customHeight="1">
      <c r="A202" s="63">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7">
        <f>IF(C202="","",SUMIFS(tbl_Finance[Inc GST],tbl_Finance[Job Number],C202&amp;""))</f>
        <v/>
      </c>
      <c r="M202" s="24" t="n"/>
      <c r="N202" s="25">
        <f>IF(C202="","",IFERROR(INDEX(tbl_Finance[Description],MATCH(C202&amp;"",tbl_Finance[Job Number],0)),""))</f>
        <v/>
      </c>
      <c r="O202" s="24" t="n"/>
      <c r="P202" s="24" t="n"/>
      <c r="Q202" s="22" t="n"/>
      <c r="R202" s="24" t="n"/>
      <c r="S202" s="25">
        <f>IF(R202="","",IF(AND(LEFT(R202,4)&lt;&gt;"http",set_RMSBase=""),"",HYPERLINK(IF(LEFT(R202,4)="http",R202,set_RMSBase&amp;R202),"Open opportunity")))</f>
        <v/>
      </c>
      <c r="T202" s="24" t="n"/>
      <c r="U202" s="25">
        <f>IF(T202="","",HYPERLINK(IF(LEFT(T202,4)="http",T202,set_QwilrBase&amp;T202),"Open quote"))</f>
        <v/>
      </c>
      <c r="V202" s="25">
        <f>IF(C202="","",C202)</f>
        <v/>
      </c>
      <c r="W202" s="24" t="n"/>
      <c r="X202" s="26" t="n"/>
      <c r="Y202" s="27">
        <f>IF(C202="","",H202+N(X202))</f>
        <v/>
      </c>
      <c r="Z202" s="29">
        <f>IFERROR(X202/Y202,"")</f>
        <v/>
      </c>
      <c r="AA202" s="26" t="n"/>
      <c r="AB202" s="26" t="n"/>
      <c r="AC202" s="26" t="n"/>
      <c r="AD202" s="26" t="n"/>
      <c r="AE202" s="27">
        <f>IF(C202="","",SUMIFS(tbl_Finance[Ex GST],tbl_Finance[Job Number],C202&amp;"",tbl_Finance[Cost Centre],"VIDEO"))</f>
        <v/>
      </c>
      <c r="AF202" s="29">
        <f>IFERROR(AE202/H202,"")</f>
        <v/>
      </c>
      <c r="AG202" s="27">
        <f>IF(C202="","",N(AA202)+N(AB202)+N(AC202)+N(AD202))</f>
        <v/>
      </c>
      <c r="AH202" s="27">
        <f>IF(C202="","",H202-AG202)</f>
        <v/>
      </c>
      <c r="AI202" s="29">
        <f>IFERROR(AH202/H202,"")</f>
        <v/>
      </c>
      <c r="AJ202" s="64" t="n"/>
      <c r="AK202" s="64" t="n"/>
      <c r="AL202" s="64" t="n"/>
      <c r="AM202" s="64" t="n"/>
      <c r="AN202" s="64" t="n"/>
      <c r="AO202" s="24" t="n"/>
    </row>
    <row r="203" ht="15" customHeight="1">
      <c r="A203" s="63">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7">
        <f>IF(C203="","",SUMIFS(tbl_Finance[Inc GST],tbl_Finance[Job Number],C203&amp;""))</f>
        <v/>
      </c>
      <c r="M203" s="24" t="n"/>
      <c r="N203" s="25">
        <f>IF(C203="","",IFERROR(INDEX(tbl_Finance[Description],MATCH(C203&amp;"",tbl_Finance[Job Number],0)),""))</f>
        <v/>
      </c>
      <c r="O203" s="24" t="n"/>
      <c r="P203" s="24" t="n"/>
      <c r="Q203" s="22" t="n"/>
      <c r="R203" s="24" t="n"/>
      <c r="S203" s="25">
        <f>IF(R203="","",IF(AND(LEFT(R203,4)&lt;&gt;"http",set_RMSBase=""),"",HYPERLINK(IF(LEFT(R203,4)="http",R203,set_RMSBase&amp;R203),"Open opportunity")))</f>
        <v/>
      </c>
      <c r="T203" s="24" t="n"/>
      <c r="U203" s="25">
        <f>IF(T203="","",HYPERLINK(IF(LEFT(T203,4)="http",T203,set_QwilrBase&amp;T203),"Open quote"))</f>
        <v/>
      </c>
      <c r="V203" s="25">
        <f>IF(C203="","",C203)</f>
        <v/>
      </c>
      <c r="W203" s="24" t="n"/>
      <c r="X203" s="26" t="n"/>
      <c r="Y203" s="27">
        <f>IF(C203="","",H203+N(X203))</f>
        <v/>
      </c>
      <c r="Z203" s="29">
        <f>IFERROR(X203/Y203,"")</f>
        <v/>
      </c>
      <c r="AA203" s="26" t="n"/>
      <c r="AB203" s="26" t="n"/>
      <c r="AC203" s="26" t="n"/>
      <c r="AD203" s="26" t="n"/>
      <c r="AE203" s="27">
        <f>IF(C203="","",SUMIFS(tbl_Finance[Ex GST],tbl_Finance[Job Number],C203&amp;"",tbl_Finance[Cost Centre],"VIDEO"))</f>
        <v/>
      </c>
      <c r="AF203" s="29">
        <f>IFERROR(AE203/H203,"")</f>
        <v/>
      </c>
      <c r="AG203" s="27">
        <f>IF(C203="","",N(AA203)+N(AB203)+N(AC203)+N(AD203))</f>
        <v/>
      </c>
      <c r="AH203" s="27">
        <f>IF(C203="","",H203-AG203)</f>
        <v/>
      </c>
      <c r="AI203" s="29">
        <f>IFERROR(AH203/H203,"")</f>
        <v/>
      </c>
      <c r="AJ203" s="64" t="n"/>
      <c r="AK203" s="64" t="n"/>
      <c r="AL203" s="64" t="n"/>
      <c r="AM203" s="64" t="n"/>
      <c r="AN203" s="64" t="n"/>
      <c r="AO203" s="24" t="n"/>
    </row>
    <row r="204" ht="15" customHeight="1">
      <c r="A204" s="63">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7">
        <f>IF(C204="","",SUMIFS(tbl_Finance[Inc GST],tbl_Finance[Job Number],C204&amp;""))</f>
        <v/>
      </c>
      <c r="M204" s="24" t="n"/>
      <c r="N204" s="25">
        <f>IF(C204="","",IFERROR(INDEX(tbl_Finance[Description],MATCH(C204&amp;"",tbl_Finance[Job Number],0)),""))</f>
        <v/>
      </c>
      <c r="O204" s="24" t="n"/>
      <c r="P204" s="24" t="n"/>
      <c r="Q204" s="22" t="n"/>
      <c r="R204" s="24" t="n"/>
      <c r="S204" s="25">
        <f>IF(R204="","",IF(AND(LEFT(R204,4)&lt;&gt;"http",set_RMSBase=""),"",HYPERLINK(IF(LEFT(R204,4)="http",R204,set_RMSBase&amp;R204),"Open opportunity")))</f>
        <v/>
      </c>
      <c r="T204" s="24" t="n"/>
      <c r="U204" s="25">
        <f>IF(T204="","",HYPERLINK(IF(LEFT(T204,4)="http",T204,set_QwilrBase&amp;T204),"Open quote"))</f>
        <v/>
      </c>
      <c r="V204" s="25">
        <f>IF(C204="","",C204)</f>
        <v/>
      </c>
      <c r="W204" s="24" t="n"/>
      <c r="X204" s="26" t="n"/>
      <c r="Y204" s="27">
        <f>IF(C204="","",H204+N(X204))</f>
        <v/>
      </c>
      <c r="Z204" s="29">
        <f>IFERROR(X204/Y204,"")</f>
        <v/>
      </c>
      <c r="AA204" s="26" t="n"/>
      <c r="AB204" s="26" t="n"/>
      <c r="AC204" s="26" t="n"/>
      <c r="AD204" s="26" t="n"/>
      <c r="AE204" s="27">
        <f>IF(C204="","",SUMIFS(tbl_Finance[Ex GST],tbl_Finance[Job Number],C204&amp;"",tbl_Finance[Cost Centre],"VIDEO"))</f>
        <v/>
      </c>
      <c r="AF204" s="29">
        <f>IFERROR(AE204/H204,"")</f>
        <v/>
      </c>
      <c r="AG204" s="27">
        <f>IF(C204="","",N(AA204)+N(AB204)+N(AC204)+N(AD204))</f>
        <v/>
      </c>
      <c r="AH204" s="27">
        <f>IF(C204="","",H204-AG204)</f>
        <v/>
      </c>
      <c r="AI204" s="29">
        <f>IFERROR(AH204/H204,"")</f>
        <v/>
      </c>
      <c r="AJ204" s="64" t="n"/>
      <c r="AK204" s="64" t="n"/>
      <c r="AL204" s="64" t="n"/>
      <c r="AM204" s="64" t="n"/>
      <c r="AN204" s="64" t="n"/>
      <c r="AO204" s="24" t="n"/>
    </row>
    <row r="205" ht="15" customHeight="1">
      <c r="A205" s="63">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7">
        <f>IF(C205="","",SUMIFS(tbl_Finance[Inc GST],tbl_Finance[Job Number],C205&amp;""))</f>
        <v/>
      </c>
      <c r="M205" s="24" t="n"/>
      <c r="N205" s="25">
        <f>IF(C205="","",IFERROR(INDEX(tbl_Finance[Description],MATCH(C205&amp;"",tbl_Finance[Job Number],0)),""))</f>
        <v/>
      </c>
      <c r="O205" s="24" t="n"/>
      <c r="P205" s="24" t="n"/>
      <c r="Q205" s="22" t="n"/>
      <c r="R205" s="24" t="n"/>
      <c r="S205" s="25">
        <f>IF(R205="","",IF(AND(LEFT(R205,4)&lt;&gt;"http",set_RMSBase=""),"",HYPERLINK(IF(LEFT(R205,4)="http",R205,set_RMSBase&amp;R205),"Open opportunity")))</f>
        <v/>
      </c>
      <c r="T205" s="24" t="n"/>
      <c r="U205" s="25">
        <f>IF(T205="","",HYPERLINK(IF(LEFT(T205,4)="http",T205,set_QwilrBase&amp;T205),"Open quote"))</f>
        <v/>
      </c>
      <c r="V205" s="25">
        <f>IF(C205="","",C205)</f>
        <v/>
      </c>
      <c r="W205" s="24" t="n"/>
      <c r="X205" s="26" t="n"/>
      <c r="Y205" s="27">
        <f>IF(C205="","",H205+N(X205))</f>
        <v/>
      </c>
      <c r="Z205" s="29">
        <f>IFERROR(X205/Y205,"")</f>
        <v/>
      </c>
      <c r="AA205" s="26" t="n"/>
      <c r="AB205" s="26" t="n"/>
      <c r="AC205" s="26" t="n"/>
      <c r="AD205" s="26" t="n"/>
      <c r="AE205" s="27">
        <f>IF(C205="","",SUMIFS(tbl_Finance[Ex GST],tbl_Finance[Job Number],C205&amp;"",tbl_Finance[Cost Centre],"VIDEO"))</f>
        <v/>
      </c>
      <c r="AF205" s="29">
        <f>IFERROR(AE205/H205,"")</f>
        <v/>
      </c>
      <c r="AG205" s="27">
        <f>IF(C205="","",N(AA205)+N(AB205)+N(AC205)+N(AD205))</f>
        <v/>
      </c>
      <c r="AH205" s="27">
        <f>IF(C205="","",H205-AG205)</f>
        <v/>
      </c>
      <c r="AI205" s="29">
        <f>IFERROR(AH205/H205,"")</f>
        <v/>
      </c>
      <c r="AJ205" s="64" t="n"/>
      <c r="AK205" s="64" t="n"/>
      <c r="AL205" s="64" t="n"/>
      <c r="AM205" s="64" t="n"/>
      <c r="AN205" s="64" t="n"/>
      <c r="AO205" s="24" t="n"/>
    </row>
    <row r="206" ht="15" customHeight="1">
      <c r="A206" s="63">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7">
        <f>IF(C206="","",SUMIFS(tbl_Finance[Inc GST],tbl_Finance[Job Number],C206&amp;""))</f>
        <v/>
      </c>
      <c r="M206" s="24" t="n"/>
      <c r="N206" s="25">
        <f>IF(C206="","",IFERROR(INDEX(tbl_Finance[Description],MATCH(C206&amp;"",tbl_Finance[Job Number],0)),""))</f>
        <v/>
      </c>
      <c r="O206" s="24" t="n"/>
      <c r="P206" s="24" t="n"/>
      <c r="Q206" s="22" t="n"/>
      <c r="R206" s="24" t="n"/>
      <c r="S206" s="25">
        <f>IF(R206="","",IF(AND(LEFT(R206,4)&lt;&gt;"http",set_RMSBase=""),"",HYPERLINK(IF(LEFT(R206,4)="http",R206,set_RMSBase&amp;R206),"Open opportunity")))</f>
        <v/>
      </c>
      <c r="T206" s="24" t="n"/>
      <c r="U206" s="25">
        <f>IF(T206="","",HYPERLINK(IF(LEFT(T206,4)="http",T206,set_QwilrBase&amp;T206),"Open quote"))</f>
        <v/>
      </c>
      <c r="V206" s="25">
        <f>IF(C206="","",C206)</f>
        <v/>
      </c>
      <c r="W206" s="24" t="n"/>
      <c r="X206" s="26" t="n"/>
      <c r="Y206" s="27">
        <f>IF(C206="","",H206+N(X206))</f>
        <v/>
      </c>
      <c r="Z206" s="29">
        <f>IFERROR(X206/Y206,"")</f>
        <v/>
      </c>
      <c r="AA206" s="26" t="n"/>
      <c r="AB206" s="26" t="n"/>
      <c r="AC206" s="26" t="n"/>
      <c r="AD206" s="26" t="n"/>
      <c r="AE206" s="27">
        <f>IF(C206="","",SUMIFS(tbl_Finance[Ex GST],tbl_Finance[Job Number],C206&amp;"",tbl_Finance[Cost Centre],"VIDEO"))</f>
        <v/>
      </c>
      <c r="AF206" s="29">
        <f>IFERROR(AE206/H206,"")</f>
        <v/>
      </c>
      <c r="AG206" s="27">
        <f>IF(C206="","",N(AA206)+N(AB206)+N(AC206)+N(AD206))</f>
        <v/>
      </c>
      <c r="AH206" s="27">
        <f>IF(C206="","",H206-AG206)</f>
        <v/>
      </c>
      <c r="AI206" s="29">
        <f>IFERROR(AH206/H206,"")</f>
        <v/>
      </c>
      <c r="AJ206" s="64" t="n"/>
      <c r="AK206" s="64" t="n"/>
      <c r="AL206" s="64" t="n"/>
      <c r="AM206" s="64" t="n"/>
      <c r="AN206" s="64" t="n"/>
      <c r="AO206" s="24" t="n"/>
    </row>
    <row r="207" ht="15" customHeight="1">
      <c r="A207" s="63">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7">
        <f>IF(C207="","",SUMIFS(tbl_Finance[Inc GST],tbl_Finance[Job Number],C207&amp;""))</f>
        <v/>
      </c>
      <c r="M207" s="24" t="n"/>
      <c r="N207" s="25">
        <f>IF(C207="","",IFERROR(INDEX(tbl_Finance[Description],MATCH(C207&amp;"",tbl_Finance[Job Number],0)),""))</f>
        <v/>
      </c>
      <c r="O207" s="24" t="n"/>
      <c r="P207" s="24" t="n"/>
      <c r="Q207" s="22" t="n"/>
      <c r="R207" s="24" t="n"/>
      <c r="S207" s="25">
        <f>IF(R207="","",IF(AND(LEFT(R207,4)&lt;&gt;"http",set_RMSBase=""),"",HYPERLINK(IF(LEFT(R207,4)="http",R207,set_RMSBase&amp;R207),"Open opportunity")))</f>
        <v/>
      </c>
      <c r="T207" s="24" t="n"/>
      <c r="U207" s="25">
        <f>IF(T207="","",HYPERLINK(IF(LEFT(T207,4)="http",T207,set_QwilrBase&amp;T207),"Open quote"))</f>
        <v/>
      </c>
      <c r="V207" s="25">
        <f>IF(C207="","",C207)</f>
        <v/>
      </c>
      <c r="W207" s="24" t="n"/>
      <c r="X207" s="26" t="n"/>
      <c r="Y207" s="27">
        <f>IF(C207="","",H207+N(X207))</f>
        <v/>
      </c>
      <c r="Z207" s="29">
        <f>IFERROR(X207/Y207,"")</f>
        <v/>
      </c>
      <c r="AA207" s="26" t="n"/>
      <c r="AB207" s="26" t="n"/>
      <c r="AC207" s="26" t="n"/>
      <c r="AD207" s="26" t="n"/>
      <c r="AE207" s="27">
        <f>IF(C207="","",SUMIFS(tbl_Finance[Ex GST],tbl_Finance[Job Number],C207&amp;"",tbl_Finance[Cost Centre],"VIDEO"))</f>
        <v/>
      </c>
      <c r="AF207" s="29">
        <f>IFERROR(AE207/H207,"")</f>
        <v/>
      </c>
      <c r="AG207" s="27">
        <f>IF(C207="","",N(AA207)+N(AB207)+N(AC207)+N(AD207))</f>
        <v/>
      </c>
      <c r="AH207" s="27">
        <f>IF(C207="","",H207-AG207)</f>
        <v/>
      </c>
      <c r="AI207" s="29">
        <f>IFERROR(AH207/H207,"")</f>
        <v/>
      </c>
      <c r="AJ207" s="64" t="n"/>
      <c r="AK207" s="64" t="n"/>
      <c r="AL207" s="64" t="n"/>
      <c r="AM207" s="64" t="n"/>
      <c r="AN207" s="64" t="n"/>
      <c r="AO207" s="24" t="n"/>
    </row>
    <row r="208" ht="15" customHeight="1">
      <c r="A208" s="63">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7">
        <f>IF(C208="","",SUMIFS(tbl_Finance[Inc GST],tbl_Finance[Job Number],C208&amp;""))</f>
        <v/>
      </c>
      <c r="M208" s="24" t="n"/>
      <c r="N208" s="25">
        <f>IF(C208="","",IFERROR(INDEX(tbl_Finance[Description],MATCH(C208&amp;"",tbl_Finance[Job Number],0)),""))</f>
        <v/>
      </c>
      <c r="O208" s="24" t="n"/>
      <c r="P208" s="24" t="n"/>
      <c r="Q208" s="22" t="n"/>
      <c r="R208" s="24" t="n"/>
      <c r="S208" s="25">
        <f>IF(R208="","",IF(AND(LEFT(R208,4)&lt;&gt;"http",set_RMSBase=""),"",HYPERLINK(IF(LEFT(R208,4)="http",R208,set_RMSBase&amp;R208),"Open opportunity")))</f>
        <v/>
      </c>
      <c r="T208" s="24" t="n"/>
      <c r="U208" s="25">
        <f>IF(T208="","",HYPERLINK(IF(LEFT(T208,4)="http",T208,set_QwilrBase&amp;T208),"Open quote"))</f>
        <v/>
      </c>
      <c r="V208" s="25">
        <f>IF(C208="","",C208)</f>
        <v/>
      </c>
      <c r="W208" s="24" t="n"/>
      <c r="X208" s="26" t="n"/>
      <c r="Y208" s="27">
        <f>IF(C208="","",H208+N(X208))</f>
        <v/>
      </c>
      <c r="Z208" s="29">
        <f>IFERROR(X208/Y208,"")</f>
        <v/>
      </c>
      <c r="AA208" s="26" t="n"/>
      <c r="AB208" s="26" t="n"/>
      <c r="AC208" s="26" t="n"/>
      <c r="AD208" s="26" t="n"/>
      <c r="AE208" s="27">
        <f>IF(C208="","",SUMIFS(tbl_Finance[Ex GST],tbl_Finance[Job Number],C208&amp;"",tbl_Finance[Cost Centre],"VIDEO"))</f>
        <v/>
      </c>
      <c r="AF208" s="29">
        <f>IFERROR(AE208/H208,"")</f>
        <v/>
      </c>
      <c r="AG208" s="27">
        <f>IF(C208="","",N(AA208)+N(AB208)+N(AC208)+N(AD208))</f>
        <v/>
      </c>
      <c r="AH208" s="27">
        <f>IF(C208="","",H208-AG208)</f>
        <v/>
      </c>
      <c r="AI208" s="29">
        <f>IFERROR(AH208/H208,"")</f>
        <v/>
      </c>
      <c r="AJ208" s="64" t="n"/>
      <c r="AK208" s="64" t="n"/>
      <c r="AL208" s="64" t="n"/>
      <c r="AM208" s="64" t="n"/>
      <c r="AN208" s="64" t="n"/>
      <c r="AO208" s="24" t="n"/>
    </row>
    <row r="209" ht="15" customHeight="1">
      <c r="A209" s="63">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7">
        <f>IF(C209="","",SUMIFS(tbl_Finance[Inc GST],tbl_Finance[Job Number],C209&amp;""))</f>
        <v/>
      </c>
      <c r="M209" s="24" t="n"/>
      <c r="N209" s="25">
        <f>IF(C209="","",IFERROR(INDEX(tbl_Finance[Description],MATCH(C209&amp;"",tbl_Finance[Job Number],0)),""))</f>
        <v/>
      </c>
      <c r="O209" s="24" t="n"/>
      <c r="P209" s="24" t="n"/>
      <c r="Q209" s="22" t="n"/>
      <c r="R209" s="24" t="n"/>
      <c r="S209" s="25">
        <f>IF(R209="","",IF(AND(LEFT(R209,4)&lt;&gt;"http",set_RMSBase=""),"",HYPERLINK(IF(LEFT(R209,4)="http",R209,set_RMSBase&amp;R209),"Open opportunity")))</f>
        <v/>
      </c>
      <c r="T209" s="24" t="n"/>
      <c r="U209" s="25">
        <f>IF(T209="","",HYPERLINK(IF(LEFT(T209,4)="http",T209,set_QwilrBase&amp;T209),"Open quote"))</f>
        <v/>
      </c>
      <c r="V209" s="25">
        <f>IF(C209="","",C209)</f>
        <v/>
      </c>
      <c r="W209" s="24" t="n"/>
      <c r="X209" s="26" t="n"/>
      <c r="Y209" s="27">
        <f>IF(C209="","",H209+N(X209))</f>
        <v/>
      </c>
      <c r="Z209" s="29">
        <f>IFERROR(X209/Y209,"")</f>
        <v/>
      </c>
      <c r="AA209" s="26" t="n"/>
      <c r="AB209" s="26" t="n"/>
      <c r="AC209" s="26" t="n"/>
      <c r="AD209" s="26" t="n"/>
      <c r="AE209" s="27">
        <f>IF(C209="","",SUMIFS(tbl_Finance[Ex GST],tbl_Finance[Job Number],C209&amp;"",tbl_Finance[Cost Centre],"VIDEO"))</f>
        <v/>
      </c>
      <c r="AF209" s="29">
        <f>IFERROR(AE209/H209,"")</f>
        <v/>
      </c>
      <c r="AG209" s="27">
        <f>IF(C209="","",N(AA209)+N(AB209)+N(AC209)+N(AD209))</f>
        <v/>
      </c>
      <c r="AH209" s="27">
        <f>IF(C209="","",H209-AG209)</f>
        <v/>
      </c>
      <c r="AI209" s="29">
        <f>IFERROR(AH209/H209,"")</f>
        <v/>
      </c>
      <c r="AJ209" s="64" t="n"/>
      <c r="AK209" s="64" t="n"/>
      <c r="AL209" s="64" t="n"/>
      <c r="AM209" s="64" t="n"/>
      <c r="AN209" s="64" t="n"/>
      <c r="AO209" s="24" t="n"/>
    </row>
    <row r="210" ht="15" customHeight="1">
      <c r="A210" s="63">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7">
        <f>IF(C210="","",SUMIFS(tbl_Finance[Inc GST],tbl_Finance[Job Number],C210&amp;""))</f>
        <v/>
      </c>
      <c r="M210" s="24" t="n"/>
      <c r="N210" s="25">
        <f>IF(C210="","",IFERROR(INDEX(tbl_Finance[Description],MATCH(C210&amp;"",tbl_Finance[Job Number],0)),""))</f>
        <v/>
      </c>
      <c r="O210" s="24" t="n"/>
      <c r="P210" s="24" t="n"/>
      <c r="Q210" s="22" t="n"/>
      <c r="R210" s="24" t="n"/>
      <c r="S210" s="25">
        <f>IF(R210="","",IF(AND(LEFT(R210,4)&lt;&gt;"http",set_RMSBase=""),"",HYPERLINK(IF(LEFT(R210,4)="http",R210,set_RMSBase&amp;R210),"Open opportunity")))</f>
        <v/>
      </c>
      <c r="T210" s="24" t="n"/>
      <c r="U210" s="25">
        <f>IF(T210="","",HYPERLINK(IF(LEFT(T210,4)="http",T210,set_QwilrBase&amp;T210),"Open quote"))</f>
        <v/>
      </c>
      <c r="V210" s="25">
        <f>IF(C210="","",C210)</f>
        <v/>
      </c>
      <c r="W210" s="24" t="n"/>
      <c r="X210" s="26" t="n"/>
      <c r="Y210" s="27">
        <f>IF(C210="","",H210+N(X210))</f>
        <v/>
      </c>
      <c r="Z210" s="29">
        <f>IFERROR(X210/Y210,"")</f>
        <v/>
      </c>
      <c r="AA210" s="26" t="n"/>
      <c r="AB210" s="26" t="n"/>
      <c r="AC210" s="26" t="n"/>
      <c r="AD210" s="26" t="n"/>
      <c r="AE210" s="27">
        <f>IF(C210="","",SUMIFS(tbl_Finance[Ex GST],tbl_Finance[Job Number],C210&amp;"",tbl_Finance[Cost Centre],"VIDEO"))</f>
        <v/>
      </c>
      <c r="AF210" s="29">
        <f>IFERROR(AE210/H210,"")</f>
        <v/>
      </c>
      <c r="AG210" s="27">
        <f>IF(C210="","",N(AA210)+N(AB210)+N(AC210)+N(AD210))</f>
        <v/>
      </c>
      <c r="AH210" s="27">
        <f>IF(C210="","",H210-AG210)</f>
        <v/>
      </c>
      <c r="AI210" s="29">
        <f>IFERROR(AH210/H210,"")</f>
        <v/>
      </c>
      <c r="AJ210" s="64" t="n"/>
      <c r="AK210" s="64" t="n"/>
      <c r="AL210" s="64" t="n"/>
      <c r="AM210" s="64" t="n"/>
      <c r="AN210" s="64" t="n"/>
      <c r="AO210" s="24" t="n"/>
    </row>
    <row r="211" ht="15" customHeight="1">
      <c r="A211" s="63">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7">
        <f>IF(C211="","",SUMIFS(tbl_Finance[Inc GST],tbl_Finance[Job Number],C211&amp;""))</f>
        <v/>
      </c>
      <c r="M211" s="24" t="n"/>
      <c r="N211" s="25">
        <f>IF(C211="","",IFERROR(INDEX(tbl_Finance[Description],MATCH(C211&amp;"",tbl_Finance[Job Number],0)),""))</f>
        <v/>
      </c>
      <c r="O211" s="24" t="n"/>
      <c r="P211" s="24" t="n"/>
      <c r="Q211" s="22" t="n"/>
      <c r="R211" s="24" t="n"/>
      <c r="S211" s="25">
        <f>IF(R211="","",IF(AND(LEFT(R211,4)&lt;&gt;"http",set_RMSBase=""),"",HYPERLINK(IF(LEFT(R211,4)="http",R211,set_RMSBase&amp;R211),"Open opportunity")))</f>
        <v/>
      </c>
      <c r="T211" s="24" t="n"/>
      <c r="U211" s="25">
        <f>IF(T211="","",HYPERLINK(IF(LEFT(T211,4)="http",T211,set_QwilrBase&amp;T211),"Open quote"))</f>
        <v/>
      </c>
      <c r="V211" s="25">
        <f>IF(C211="","",C211)</f>
        <v/>
      </c>
      <c r="W211" s="24" t="n"/>
      <c r="X211" s="26" t="n"/>
      <c r="Y211" s="27">
        <f>IF(C211="","",H211+N(X211))</f>
        <v/>
      </c>
      <c r="Z211" s="29">
        <f>IFERROR(X211/Y211,"")</f>
        <v/>
      </c>
      <c r="AA211" s="26" t="n"/>
      <c r="AB211" s="26" t="n"/>
      <c r="AC211" s="26" t="n"/>
      <c r="AD211" s="26" t="n"/>
      <c r="AE211" s="27">
        <f>IF(C211="","",SUMIFS(tbl_Finance[Ex GST],tbl_Finance[Job Number],C211&amp;"",tbl_Finance[Cost Centre],"VIDEO"))</f>
        <v/>
      </c>
      <c r="AF211" s="29">
        <f>IFERROR(AE211/H211,"")</f>
        <v/>
      </c>
      <c r="AG211" s="27">
        <f>IF(C211="","",N(AA211)+N(AB211)+N(AC211)+N(AD211))</f>
        <v/>
      </c>
      <c r="AH211" s="27">
        <f>IF(C211="","",H211-AG211)</f>
        <v/>
      </c>
      <c r="AI211" s="29">
        <f>IFERROR(AH211/H211,"")</f>
        <v/>
      </c>
      <c r="AJ211" s="64" t="n"/>
      <c r="AK211" s="64" t="n"/>
      <c r="AL211" s="64" t="n"/>
      <c r="AM211" s="64" t="n"/>
      <c r="AN211" s="64" t="n"/>
      <c r="AO211" s="24" t="n"/>
    </row>
    <row r="212" ht="15" customHeight="1">
      <c r="A212" s="63">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7">
        <f>IF(C212="","",SUMIFS(tbl_Finance[Inc GST],tbl_Finance[Job Number],C212&amp;""))</f>
        <v/>
      </c>
      <c r="M212" s="24" t="n"/>
      <c r="N212" s="25">
        <f>IF(C212="","",IFERROR(INDEX(tbl_Finance[Description],MATCH(C212&amp;"",tbl_Finance[Job Number],0)),""))</f>
        <v/>
      </c>
      <c r="O212" s="24" t="n"/>
      <c r="P212" s="24" t="n"/>
      <c r="Q212" s="22" t="n"/>
      <c r="R212" s="24" t="n"/>
      <c r="S212" s="25">
        <f>IF(R212="","",IF(AND(LEFT(R212,4)&lt;&gt;"http",set_RMSBase=""),"",HYPERLINK(IF(LEFT(R212,4)="http",R212,set_RMSBase&amp;R212),"Open opportunity")))</f>
        <v/>
      </c>
      <c r="T212" s="24" t="n"/>
      <c r="U212" s="25">
        <f>IF(T212="","",HYPERLINK(IF(LEFT(T212,4)="http",T212,set_QwilrBase&amp;T212),"Open quote"))</f>
        <v/>
      </c>
      <c r="V212" s="25">
        <f>IF(C212="","",C212)</f>
        <v/>
      </c>
      <c r="W212" s="24" t="n"/>
      <c r="X212" s="26" t="n"/>
      <c r="Y212" s="27">
        <f>IF(C212="","",H212+N(X212))</f>
        <v/>
      </c>
      <c r="Z212" s="29">
        <f>IFERROR(X212/Y212,"")</f>
        <v/>
      </c>
      <c r="AA212" s="26" t="n"/>
      <c r="AB212" s="26" t="n"/>
      <c r="AC212" s="26" t="n"/>
      <c r="AD212" s="26" t="n"/>
      <c r="AE212" s="27">
        <f>IF(C212="","",SUMIFS(tbl_Finance[Ex GST],tbl_Finance[Job Number],C212&amp;"",tbl_Finance[Cost Centre],"VIDEO"))</f>
        <v/>
      </c>
      <c r="AF212" s="29">
        <f>IFERROR(AE212/H212,"")</f>
        <v/>
      </c>
      <c r="AG212" s="27">
        <f>IF(C212="","",N(AA212)+N(AB212)+N(AC212)+N(AD212))</f>
        <v/>
      </c>
      <c r="AH212" s="27">
        <f>IF(C212="","",H212-AG212)</f>
        <v/>
      </c>
      <c r="AI212" s="29">
        <f>IFERROR(AH212/H212,"")</f>
        <v/>
      </c>
      <c r="AJ212" s="64" t="n"/>
      <c r="AK212" s="64" t="n"/>
      <c r="AL212" s="64" t="n"/>
      <c r="AM212" s="64" t="n"/>
      <c r="AN212" s="64" t="n"/>
      <c r="AO212" s="24" t="n"/>
    </row>
    <row r="213" ht="15" customHeight="1">
      <c r="A213" s="63">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7">
        <f>IF(C213="","",SUMIFS(tbl_Finance[Inc GST],tbl_Finance[Job Number],C213&amp;""))</f>
        <v/>
      </c>
      <c r="M213" s="24" t="n"/>
      <c r="N213" s="25">
        <f>IF(C213="","",IFERROR(INDEX(tbl_Finance[Description],MATCH(C213&amp;"",tbl_Finance[Job Number],0)),""))</f>
        <v/>
      </c>
      <c r="O213" s="24" t="n"/>
      <c r="P213" s="24" t="n"/>
      <c r="Q213" s="22" t="n"/>
      <c r="R213" s="24" t="n"/>
      <c r="S213" s="25">
        <f>IF(R213="","",IF(AND(LEFT(R213,4)&lt;&gt;"http",set_RMSBase=""),"",HYPERLINK(IF(LEFT(R213,4)="http",R213,set_RMSBase&amp;R213),"Open opportunity")))</f>
        <v/>
      </c>
      <c r="T213" s="24" t="n"/>
      <c r="U213" s="25">
        <f>IF(T213="","",HYPERLINK(IF(LEFT(T213,4)="http",T213,set_QwilrBase&amp;T213),"Open quote"))</f>
        <v/>
      </c>
      <c r="V213" s="25">
        <f>IF(C213="","",C213)</f>
        <v/>
      </c>
      <c r="W213" s="24" t="n"/>
      <c r="X213" s="26" t="n"/>
      <c r="Y213" s="27">
        <f>IF(C213="","",H213+N(X213))</f>
        <v/>
      </c>
      <c r="Z213" s="29">
        <f>IFERROR(X213/Y213,"")</f>
        <v/>
      </c>
      <c r="AA213" s="26" t="n"/>
      <c r="AB213" s="26" t="n"/>
      <c r="AC213" s="26" t="n"/>
      <c r="AD213" s="26" t="n"/>
      <c r="AE213" s="27">
        <f>IF(C213="","",SUMIFS(tbl_Finance[Ex GST],tbl_Finance[Job Number],C213&amp;"",tbl_Finance[Cost Centre],"VIDEO"))</f>
        <v/>
      </c>
      <c r="AF213" s="29">
        <f>IFERROR(AE213/H213,"")</f>
        <v/>
      </c>
      <c r="AG213" s="27">
        <f>IF(C213="","",N(AA213)+N(AB213)+N(AC213)+N(AD213))</f>
        <v/>
      </c>
      <c r="AH213" s="27">
        <f>IF(C213="","",H213-AG213)</f>
        <v/>
      </c>
      <c r="AI213" s="29">
        <f>IFERROR(AH213/H213,"")</f>
        <v/>
      </c>
      <c r="AJ213" s="64" t="n"/>
      <c r="AK213" s="64" t="n"/>
      <c r="AL213" s="64" t="n"/>
      <c r="AM213" s="64" t="n"/>
      <c r="AN213" s="64" t="n"/>
      <c r="AO213" s="24" t="n"/>
    </row>
    <row r="214" ht="15" customHeight="1">
      <c r="A214" s="63">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7">
        <f>IF(C214="","",SUMIFS(tbl_Finance[Inc GST],tbl_Finance[Job Number],C214&amp;""))</f>
        <v/>
      </c>
      <c r="M214" s="24" t="n"/>
      <c r="N214" s="25">
        <f>IF(C214="","",IFERROR(INDEX(tbl_Finance[Description],MATCH(C214&amp;"",tbl_Finance[Job Number],0)),""))</f>
        <v/>
      </c>
      <c r="O214" s="24" t="n"/>
      <c r="P214" s="24" t="n"/>
      <c r="Q214" s="22" t="n"/>
      <c r="R214" s="24" t="n"/>
      <c r="S214" s="25">
        <f>IF(R214="","",IF(AND(LEFT(R214,4)&lt;&gt;"http",set_RMSBase=""),"",HYPERLINK(IF(LEFT(R214,4)="http",R214,set_RMSBase&amp;R214),"Open opportunity")))</f>
        <v/>
      </c>
      <c r="T214" s="24" t="n"/>
      <c r="U214" s="25">
        <f>IF(T214="","",HYPERLINK(IF(LEFT(T214,4)="http",T214,set_QwilrBase&amp;T214),"Open quote"))</f>
        <v/>
      </c>
      <c r="V214" s="25">
        <f>IF(C214="","",C214)</f>
        <v/>
      </c>
      <c r="W214" s="24" t="n"/>
      <c r="X214" s="26" t="n"/>
      <c r="Y214" s="27">
        <f>IF(C214="","",H214+N(X214))</f>
        <v/>
      </c>
      <c r="Z214" s="29">
        <f>IFERROR(X214/Y214,"")</f>
        <v/>
      </c>
      <c r="AA214" s="26" t="n"/>
      <c r="AB214" s="26" t="n"/>
      <c r="AC214" s="26" t="n"/>
      <c r="AD214" s="26" t="n"/>
      <c r="AE214" s="27">
        <f>IF(C214="","",SUMIFS(tbl_Finance[Ex GST],tbl_Finance[Job Number],C214&amp;"",tbl_Finance[Cost Centre],"VIDEO"))</f>
        <v/>
      </c>
      <c r="AF214" s="29">
        <f>IFERROR(AE214/H214,"")</f>
        <v/>
      </c>
      <c r="AG214" s="27">
        <f>IF(C214="","",N(AA214)+N(AB214)+N(AC214)+N(AD214))</f>
        <v/>
      </c>
      <c r="AH214" s="27">
        <f>IF(C214="","",H214-AG214)</f>
        <v/>
      </c>
      <c r="AI214" s="29">
        <f>IFERROR(AH214/H214,"")</f>
        <v/>
      </c>
      <c r="AJ214" s="64" t="n"/>
      <c r="AK214" s="64" t="n"/>
      <c r="AL214" s="64" t="n"/>
      <c r="AM214" s="64" t="n"/>
      <c r="AN214" s="64" t="n"/>
      <c r="AO214" s="24" t="n"/>
    </row>
    <row r="215" ht="15" customHeight="1">
      <c r="A215" s="63">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7">
        <f>IF(C215="","",SUMIFS(tbl_Finance[Inc GST],tbl_Finance[Job Number],C215&amp;""))</f>
        <v/>
      </c>
      <c r="M215" s="24" t="n"/>
      <c r="N215" s="25">
        <f>IF(C215="","",IFERROR(INDEX(tbl_Finance[Description],MATCH(C215&amp;"",tbl_Finance[Job Number],0)),""))</f>
        <v/>
      </c>
      <c r="O215" s="24" t="n"/>
      <c r="P215" s="24" t="n"/>
      <c r="Q215" s="22" t="n"/>
      <c r="R215" s="24" t="n"/>
      <c r="S215" s="25">
        <f>IF(R215="","",IF(AND(LEFT(R215,4)&lt;&gt;"http",set_RMSBase=""),"",HYPERLINK(IF(LEFT(R215,4)="http",R215,set_RMSBase&amp;R215),"Open opportunity")))</f>
        <v/>
      </c>
      <c r="T215" s="24" t="n"/>
      <c r="U215" s="25">
        <f>IF(T215="","",HYPERLINK(IF(LEFT(T215,4)="http",T215,set_QwilrBase&amp;T215),"Open quote"))</f>
        <v/>
      </c>
      <c r="V215" s="25">
        <f>IF(C215="","",C215)</f>
        <v/>
      </c>
      <c r="W215" s="24" t="n"/>
      <c r="X215" s="26" t="n"/>
      <c r="Y215" s="27">
        <f>IF(C215="","",H215+N(X215))</f>
        <v/>
      </c>
      <c r="Z215" s="29">
        <f>IFERROR(X215/Y215,"")</f>
        <v/>
      </c>
      <c r="AA215" s="26" t="n"/>
      <c r="AB215" s="26" t="n"/>
      <c r="AC215" s="26" t="n"/>
      <c r="AD215" s="26" t="n"/>
      <c r="AE215" s="27">
        <f>IF(C215="","",SUMIFS(tbl_Finance[Ex GST],tbl_Finance[Job Number],C215&amp;"",tbl_Finance[Cost Centre],"VIDEO"))</f>
        <v/>
      </c>
      <c r="AF215" s="29">
        <f>IFERROR(AE215/H215,"")</f>
        <v/>
      </c>
      <c r="AG215" s="27">
        <f>IF(C215="","",N(AA215)+N(AB215)+N(AC215)+N(AD215))</f>
        <v/>
      </c>
      <c r="AH215" s="27">
        <f>IF(C215="","",H215-AG215)</f>
        <v/>
      </c>
      <c r="AI215" s="29">
        <f>IFERROR(AH215/H215,"")</f>
        <v/>
      </c>
      <c r="AJ215" s="64" t="n"/>
      <c r="AK215" s="64" t="n"/>
      <c r="AL215" s="64" t="n"/>
      <c r="AM215" s="64" t="n"/>
      <c r="AN215" s="64" t="n"/>
      <c r="AO215" s="24" t="n"/>
    </row>
    <row r="216" ht="15" customHeight="1">
      <c r="A216" s="63">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7">
        <f>IF(C216="","",SUMIFS(tbl_Finance[Inc GST],tbl_Finance[Job Number],C216&amp;""))</f>
        <v/>
      </c>
      <c r="M216" s="24" t="n"/>
      <c r="N216" s="25">
        <f>IF(C216="","",IFERROR(INDEX(tbl_Finance[Description],MATCH(C216&amp;"",tbl_Finance[Job Number],0)),""))</f>
        <v/>
      </c>
      <c r="O216" s="24" t="n"/>
      <c r="P216" s="24" t="n"/>
      <c r="Q216" s="22" t="n"/>
      <c r="R216" s="24" t="n"/>
      <c r="S216" s="25">
        <f>IF(R216="","",IF(AND(LEFT(R216,4)&lt;&gt;"http",set_RMSBase=""),"",HYPERLINK(IF(LEFT(R216,4)="http",R216,set_RMSBase&amp;R216),"Open opportunity")))</f>
        <v/>
      </c>
      <c r="T216" s="24" t="n"/>
      <c r="U216" s="25">
        <f>IF(T216="","",HYPERLINK(IF(LEFT(T216,4)="http",T216,set_QwilrBase&amp;T216),"Open quote"))</f>
        <v/>
      </c>
      <c r="V216" s="25">
        <f>IF(C216="","",C216)</f>
        <v/>
      </c>
      <c r="W216" s="24" t="n"/>
      <c r="X216" s="26" t="n"/>
      <c r="Y216" s="27">
        <f>IF(C216="","",H216+N(X216))</f>
        <v/>
      </c>
      <c r="Z216" s="29">
        <f>IFERROR(X216/Y216,"")</f>
        <v/>
      </c>
      <c r="AA216" s="26" t="n"/>
      <c r="AB216" s="26" t="n"/>
      <c r="AC216" s="26" t="n"/>
      <c r="AD216" s="26" t="n"/>
      <c r="AE216" s="27">
        <f>IF(C216="","",SUMIFS(tbl_Finance[Ex GST],tbl_Finance[Job Number],C216&amp;"",tbl_Finance[Cost Centre],"VIDEO"))</f>
        <v/>
      </c>
      <c r="AF216" s="29">
        <f>IFERROR(AE216/H216,"")</f>
        <v/>
      </c>
      <c r="AG216" s="27">
        <f>IF(C216="","",N(AA216)+N(AB216)+N(AC216)+N(AD216))</f>
        <v/>
      </c>
      <c r="AH216" s="27">
        <f>IF(C216="","",H216-AG216)</f>
        <v/>
      </c>
      <c r="AI216" s="29">
        <f>IFERROR(AH216/H216,"")</f>
        <v/>
      </c>
      <c r="AJ216" s="64" t="n"/>
      <c r="AK216" s="64" t="n"/>
      <c r="AL216" s="64" t="n"/>
      <c r="AM216" s="64" t="n"/>
      <c r="AN216" s="64" t="n"/>
      <c r="AO216" s="24" t="n"/>
    </row>
    <row r="217" ht="15" customHeight="1">
      <c r="A217" s="63">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7">
        <f>IF(C217="","",SUMIFS(tbl_Finance[Inc GST],tbl_Finance[Job Number],C217&amp;""))</f>
        <v/>
      </c>
      <c r="M217" s="24" t="n"/>
      <c r="N217" s="25">
        <f>IF(C217="","",IFERROR(INDEX(tbl_Finance[Description],MATCH(C217&amp;"",tbl_Finance[Job Number],0)),""))</f>
        <v/>
      </c>
      <c r="O217" s="24" t="n"/>
      <c r="P217" s="24" t="n"/>
      <c r="Q217" s="22" t="n"/>
      <c r="R217" s="24" t="n"/>
      <c r="S217" s="25">
        <f>IF(R217="","",IF(AND(LEFT(R217,4)&lt;&gt;"http",set_RMSBase=""),"",HYPERLINK(IF(LEFT(R217,4)="http",R217,set_RMSBase&amp;R217),"Open opportunity")))</f>
        <v/>
      </c>
      <c r="T217" s="24" t="n"/>
      <c r="U217" s="25">
        <f>IF(T217="","",HYPERLINK(IF(LEFT(T217,4)="http",T217,set_QwilrBase&amp;T217),"Open quote"))</f>
        <v/>
      </c>
      <c r="V217" s="25">
        <f>IF(C217="","",C217)</f>
        <v/>
      </c>
      <c r="W217" s="24" t="n"/>
      <c r="X217" s="26" t="n"/>
      <c r="Y217" s="27">
        <f>IF(C217="","",H217+N(X217))</f>
        <v/>
      </c>
      <c r="Z217" s="29">
        <f>IFERROR(X217/Y217,"")</f>
        <v/>
      </c>
      <c r="AA217" s="26" t="n"/>
      <c r="AB217" s="26" t="n"/>
      <c r="AC217" s="26" t="n"/>
      <c r="AD217" s="26" t="n"/>
      <c r="AE217" s="27">
        <f>IF(C217="","",SUMIFS(tbl_Finance[Ex GST],tbl_Finance[Job Number],C217&amp;"",tbl_Finance[Cost Centre],"VIDEO"))</f>
        <v/>
      </c>
      <c r="AF217" s="29">
        <f>IFERROR(AE217/H217,"")</f>
        <v/>
      </c>
      <c r="AG217" s="27">
        <f>IF(C217="","",N(AA217)+N(AB217)+N(AC217)+N(AD217))</f>
        <v/>
      </c>
      <c r="AH217" s="27">
        <f>IF(C217="","",H217-AG217)</f>
        <v/>
      </c>
      <c r="AI217" s="29">
        <f>IFERROR(AH217/H217,"")</f>
        <v/>
      </c>
      <c r="AJ217" s="64" t="n"/>
      <c r="AK217" s="64" t="n"/>
      <c r="AL217" s="64" t="n"/>
      <c r="AM217" s="64" t="n"/>
      <c r="AN217" s="64" t="n"/>
      <c r="AO217" s="24" t="n"/>
    </row>
    <row r="218" ht="15" customHeight="1">
      <c r="A218" s="63">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7">
        <f>IF(C218="","",SUMIFS(tbl_Finance[Inc GST],tbl_Finance[Job Number],C218&amp;""))</f>
        <v/>
      </c>
      <c r="M218" s="24" t="n"/>
      <c r="N218" s="25">
        <f>IF(C218="","",IFERROR(INDEX(tbl_Finance[Description],MATCH(C218&amp;"",tbl_Finance[Job Number],0)),""))</f>
        <v/>
      </c>
      <c r="O218" s="24" t="n"/>
      <c r="P218" s="24" t="n"/>
      <c r="Q218" s="22" t="n"/>
      <c r="R218" s="24" t="n"/>
      <c r="S218" s="25">
        <f>IF(R218="","",IF(AND(LEFT(R218,4)&lt;&gt;"http",set_RMSBase=""),"",HYPERLINK(IF(LEFT(R218,4)="http",R218,set_RMSBase&amp;R218),"Open opportunity")))</f>
        <v/>
      </c>
      <c r="T218" s="24" t="n"/>
      <c r="U218" s="25">
        <f>IF(T218="","",HYPERLINK(IF(LEFT(T218,4)="http",T218,set_QwilrBase&amp;T218),"Open quote"))</f>
        <v/>
      </c>
      <c r="V218" s="25">
        <f>IF(C218="","",C218)</f>
        <v/>
      </c>
      <c r="W218" s="24" t="n"/>
      <c r="X218" s="26" t="n"/>
      <c r="Y218" s="27">
        <f>IF(C218="","",H218+N(X218))</f>
        <v/>
      </c>
      <c r="Z218" s="29">
        <f>IFERROR(X218/Y218,"")</f>
        <v/>
      </c>
      <c r="AA218" s="26" t="n"/>
      <c r="AB218" s="26" t="n"/>
      <c r="AC218" s="26" t="n"/>
      <c r="AD218" s="26" t="n"/>
      <c r="AE218" s="27">
        <f>IF(C218="","",SUMIFS(tbl_Finance[Ex GST],tbl_Finance[Job Number],C218&amp;"",tbl_Finance[Cost Centre],"VIDEO"))</f>
        <v/>
      </c>
      <c r="AF218" s="29">
        <f>IFERROR(AE218/H218,"")</f>
        <v/>
      </c>
      <c r="AG218" s="27">
        <f>IF(C218="","",N(AA218)+N(AB218)+N(AC218)+N(AD218))</f>
        <v/>
      </c>
      <c r="AH218" s="27">
        <f>IF(C218="","",H218-AG218)</f>
        <v/>
      </c>
      <c r="AI218" s="29">
        <f>IFERROR(AH218/H218,"")</f>
        <v/>
      </c>
      <c r="AJ218" s="64" t="n"/>
      <c r="AK218" s="64" t="n"/>
      <c r="AL218" s="64" t="n"/>
      <c r="AM218" s="64" t="n"/>
      <c r="AN218" s="64" t="n"/>
      <c r="AO218" s="24" t="n"/>
    </row>
    <row r="219" ht="15" customHeight="1">
      <c r="A219" s="63">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7">
        <f>IF(C219="","",SUMIFS(tbl_Finance[Inc GST],tbl_Finance[Job Number],C219&amp;""))</f>
        <v/>
      </c>
      <c r="M219" s="24" t="n"/>
      <c r="N219" s="25">
        <f>IF(C219="","",IFERROR(INDEX(tbl_Finance[Description],MATCH(C219&amp;"",tbl_Finance[Job Number],0)),""))</f>
        <v/>
      </c>
      <c r="O219" s="24" t="n"/>
      <c r="P219" s="24" t="n"/>
      <c r="Q219" s="22" t="n"/>
      <c r="R219" s="24" t="n"/>
      <c r="S219" s="25">
        <f>IF(R219="","",IF(AND(LEFT(R219,4)&lt;&gt;"http",set_RMSBase=""),"",HYPERLINK(IF(LEFT(R219,4)="http",R219,set_RMSBase&amp;R219),"Open opportunity")))</f>
        <v/>
      </c>
      <c r="T219" s="24" t="n"/>
      <c r="U219" s="25">
        <f>IF(T219="","",HYPERLINK(IF(LEFT(T219,4)="http",T219,set_QwilrBase&amp;T219),"Open quote"))</f>
        <v/>
      </c>
      <c r="V219" s="25">
        <f>IF(C219="","",C219)</f>
        <v/>
      </c>
      <c r="W219" s="24" t="n"/>
      <c r="X219" s="26" t="n"/>
      <c r="Y219" s="27">
        <f>IF(C219="","",H219+N(X219))</f>
        <v/>
      </c>
      <c r="Z219" s="29">
        <f>IFERROR(X219/Y219,"")</f>
        <v/>
      </c>
      <c r="AA219" s="26" t="n"/>
      <c r="AB219" s="26" t="n"/>
      <c r="AC219" s="26" t="n"/>
      <c r="AD219" s="26" t="n"/>
      <c r="AE219" s="27">
        <f>IF(C219="","",SUMIFS(tbl_Finance[Ex GST],tbl_Finance[Job Number],C219&amp;"",tbl_Finance[Cost Centre],"VIDEO"))</f>
        <v/>
      </c>
      <c r="AF219" s="29">
        <f>IFERROR(AE219/H219,"")</f>
        <v/>
      </c>
      <c r="AG219" s="27">
        <f>IF(C219="","",N(AA219)+N(AB219)+N(AC219)+N(AD219))</f>
        <v/>
      </c>
      <c r="AH219" s="27">
        <f>IF(C219="","",H219-AG219)</f>
        <v/>
      </c>
      <c r="AI219" s="29">
        <f>IFERROR(AH219/H219,"")</f>
        <v/>
      </c>
      <c r="AJ219" s="64" t="n"/>
      <c r="AK219" s="64" t="n"/>
      <c r="AL219" s="64" t="n"/>
      <c r="AM219" s="64" t="n"/>
      <c r="AN219" s="64" t="n"/>
      <c r="AO219" s="24" t="n"/>
    </row>
    <row r="220" ht="15" customHeight="1">
      <c r="A220" s="63">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7">
        <f>IF(C220="","",SUMIFS(tbl_Finance[Inc GST],tbl_Finance[Job Number],C220&amp;""))</f>
        <v/>
      </c>
      <c r="M220" s="24" t="n"/>
      <c r="N220" s="25">
        <f>IF(C220="","",IFERROR(INDEX(tbl_Finance[Description],MATCH(C220&amp;"",tbl_Finance[Job Number],0)),""))</f>
        <v/>
      </c>
      <c r="O220" s="24" t="n"/>
      <c r="P220" s="24" t="n"/>
      <c r="Q220" s="22" t="n"/>
      <c r="R220" s="24" t="n"/>
      <c r="S220" s="25">
        <f>IF(R220="","",IF(AND(LEFT(R220,4)&lt;&gt;"http",set_RMSBase=""),"",HYPERLINK(IF(LEFT(R220,4)="http",R220,set_RMSBase&amp;R220),"Open opportunity")))</f>
        <v/>
      </c>
      <c r="T220" s="24" t="n"/>
      <c r="U220" s="25">
        <f>IF(T220="","",HYPERLINK(IF(LEFT(T220,4)="http",T220,set_QwilrBase&amp;T220),"Open quote"))</f>
        <v/>
      </c>
      <c r="V220" s="25">
        <f>IF(C220="","",C220)</f>
        <v/>
      </c>
      <c r="W220" s="24" t="n"/>
      <c r="X220" s="26" t="n"/>
      <c r="Y220" s="27">
        <f>IF(C220="","",H220+N(X220))</f>
        <v/>
      </c>
      <c r="Z220" s="29">
        <f>IFERROR(X220/Y220,"")</f>
        <v/>
      </c>
      <c r="AA220" s="26" t="n"/>
      <c r="AB220" s="26" t="n"/>
      <c r="AC220" s="26" t="n"/>
      <c r="AD220" s="26" t="n"/>
      <c r="AE220" s="27">
        <f>IF(C220="","",SUMIFS(tbl_Finance[Ex GST],tbl_Finance[Job Number],C220&amp;"",tbl_Finance[Cost Centre],"VIDEO"))</f>
        <v/>
      </c>
      <c r="AF220" s="29">
        <f>IFERROR(AE220/H220,"")</f>
        <v/>
      </c>
      <c r="AG220" s="27">
        <f>IF(C220="","",N(AA220)+N(AB220)+N(AC220)+N(AD220))</f>
        <v/>
      </c>
      <c r="AH220" s="27">
        <f>IF(C220="","",H220-AG220)</f>
        <v/>
      </c>
      <c r="AI220" s="29">
        <f>IFERROR(AH220/H220,"")</f>
        <v/>
      </c>
      <c r="AJ220" s="64" t="n"/>
      <c r="AK220" s="64" t="n"/>
      <c r="AL220" s="64" t="n"/>
      <c r="AM220" s="64" t="n"/>
      <c r="AN220" s="64" t="n"/>
      <c r="AO220" s="24" t="n"/>
    </row>
    <row r="221" ht="15" customHeight="1">
      <c r="A221" s="63">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7">
        <f>IF(C221="","",SUMIFS(tbl_Finance[Inc GST],tbl_Finance[Job Number],C221&amp;""))</f>
        <v/>
      </c>
      <c r="M221" s="24" t="n"/>
      <c r="N221" s="25">
        <f>IF(C221="","",IFERROR(INDEX(tbl_Finance[Description],MATCH(C221&amp;"",tbl_Finance[Job Number],0)),""))</f>
        <v/>
      </c>
      <c r="O221" s="24" t="n"/>
      <c r="P221" s="24" t="n"/>
      <c r="Q221" s="22" t="n"/>
      <c r="R221" s="24" t="n"/>
      <c r="S221" s="25">
        <f>IF(R221="","",IF(AND(LEFT(R221,4)&lt;&gt;"http",set_RMSBase=""),"",HYPERLINK(IF(LEFT(R221,4)="http",R221,set_RMSBase&amp;R221),"Open opportunity")))</f>
        <v/>
      </c>
      <c r="T221" s="24" t="n"/>
      <c r="U221" s="25">
        <f>IF(T221="","",HYPERLINK(IF(LEFT(T221,4)="http",T221,set_QwilrBase&amp;T221),"Open quote"))</f>
        <v/>
      </c>
      <c r="V221" s="25">
        <f>IF(C221="","",C221)</f>
        <v/>
      </c>
      <c r="W221" s="24" t="n"/>
      <c r="X221" s="26" t="n"/>
      <c r="Y221" s="27">
        <f>IF(C221="","",H221+N(X221))</f>
        <v/>
      </c>
      <c r="Z221" s="29">
        <f>IFERROR(X221/Y221,"")</f>
        <v/>
      </c>
      <c r="AA221" s="26" t="n"/>
      <c r="AB221" s="26" t="n"/>
      <c r="AC221" s="26" t="n"/>
      <c r="AD221" s="26" t="n"/>
      <c r="AE221" s="27">
        <f>IF(C221="","",SUMIFS(tbl_Finance[Ex GST],tbl_Finance[Job Number],C221&amp;"",tbl_Finance[Cost Centre],"VIDEO"))</f>
        <v/>
      </c>
      <c r="AF221" s="29">
        <f>IFERROR(AE221/H221,"")</f>
        <v/>
      </c>
      <c r="AG221" s="27">
        <f>IF(C221="","",N(AA221)+N(AB221)+N(AC221)+N(AD221))</f>
        <v/>
      </c>
      <c r="AH221" s="27">
        <f>IF(C221="","",H221-AG221)</f>
        <v/>
      </c>
      <c r="AI221" s="29">
        <f>IFERROR(AH221/H221,"")</f>
        <v/>
      </c>
      <c r="AJ221" s="64" t="n"/>
      <c r="AK221" s="64" t="n"/>
      <c r="AL221" s="64" t="n"/>
      <c r="AM221" s="64" t="n"/>
      <c r="AN221" s="64" t="n"/>
      <c r="AO221" s="24" t="n"/>
    </row>
    <row r="222" ht="15" customHeight="1">
      <c r="A222" s="63">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7">
        <f>IF(C222="","",SUMIFS(tbl_Finance[Inc GST],tbl_Finance[Job Number],C222&amp;""))</f>
        <v/>
      </c>
      <c r="M222" s="24" t="n"/>
      <c r="N222" s="25">
        <f>IF(C222="","",IFERROR(INDEX(tbl_Finance[Description],MATCH(C222&amp;"",tbl_Finance[Job Number],0)),""))</f>
        <v/>
      </c>
      <c r="O222" s="24" t="n"/>
      <c r="P222" s="24" t="n"/>
      <c r="Q222" s="22" t="n"/>
      <c r="R222" s="24" t="n"/>
      <c r="S222" s="25">
        <f>IF(R222="","",IF(AND(LEFT(R222,4)&lt;&gt;"http",set_RMSBase=""),"",HYPERLINK(IF(LEFT(R222,4)="http",R222,set_RMSBase&amp;R222),"Open opportunity")))</f>
        <v/>
      </c>
      <c r="T222" s="24" t="n"/>
      <c r="U222" s="25">
        <f>IF(T222="","",HYPERLINK(IF(LEFT(T222,4)="http",T222,set_QwilrBase&amp;T222),"Open quote"))</f>
        <v/>
      </c>
      <c r="V222" s="25">
        <f>IF(C222="","",C222)</f>
        <v/>
      </c>
      <c r="W222" s="24" t="n"/>
      <c r="X222" s="26" t="n"/>
      <c r="Y222" s="27">
        <f>IF(C222="","",H222+N(X222))</f>
        <v/>
      </c>
      <c r="Z222" s="29">
        <f>IFERROR(X222/Y222,"")</f>
        <v/>
      </c>
      <c r="AA222" s="26" t="n"/>
      <c r="AB222" s="26" t="n"/>
      <c r="AC222" s="26" t="n"/>
      <c r="AD222" s="26" t="n"/>
      <c r="AE222" s="27">
        <f>IF(C222="","",SUMIFS(tbl_Finance[Ex GST],tbl_Finance[Job Number],C222&amp;"",tbl_Finance[Cost Centre],"VIDEO"))</f>
        <v/>
      </c>
      <c r="AF222" s="29">
        <f>IFERROR(AE222/H222,"")</f>
        <v/>
      </c>
      <c r="AG222" s="27">
        <f>IF(C222="","",N(AA222)+N(AB222)+N(AC222)+N(AD222))</f>
        <v/>
      </c>
      <c r="AH222" s="27">
        <f>IF(C222="","",H222-AG222)</f>
        <v/>
      </c>
      <c r="AI222" s="29">
        <f>IFERROR(AH222/H222,"")</f>
        <v/>
      </c>
      <c r="AJ222" s="64" t="n"/>
      <c r="AK222" s="64" t="n"/>
      <c r="AL222" s="64" t="n"/>
      <c r="AM222" s="64" t="n"/>
      <c r="AN222" s="64" t="n"/>
      <c r="AO222" s="24" t="n"/>
    </row>
    <row r="223" ht="15" customHeight="1">
      <c r="A223" s="63">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7">
        <f>IF(C223="","",SUMIFS(tbl_Finance[Inc GST],tbl_Finance[Job Number],C223&amp;""))</f>
        <v/>
      </c>
      <c r="M223" s="24" t="n"/>
      <c r="N223" s="25">
        <f>IF(C223="","",IFERROR(INDEX(tbl_Finance[Description],MATCH(C223&amp;"",tbl_Finance[Job Number],0)),""))</f>
        <v/>
      </c>
      <c r="O223" s="24" t="n"/>
      <c r="P223" s="24" t="n"/>
      <c r="Q223" s="22" t="n"/>
      <c r="R223" s="24" t="n"/>
      <c r="S223" s="25">
        <f>IF(R223="","",IF(AND(LEFT(R223,4)&lt;&gt;"http",set_RMSBase=""),"",HYPERLINK(IF(LEFT(R223,4)="http",R223,set_RMSBase&amp;R223),"Open opportunity")))</f>
        <v/>
      </c>
      <c r="T223" s="24" t="n"/>
      <c r="U223" s="25">
        <f>IF(T223="","",HYPERLINK(IF(LEFT(T223,4)="http",T223,set_QwilrBase&amp;T223),"Open quote"))</f>
        <v/>
      </c>
      <c r="V223" s="25">
        <f>IF(C223="","",C223)</f>
        <v/>
      </c>
      <c r="W223" s="24" t="n"/>
      <c r="X223" s="26" t="n"/>
      <c r="Y223" s="27">
        <f>IF(C223="","",H223+N(X223))</f>
        <v/>
      </c>
      <c r="Z223" s="29">
        <f>IFERROR(X223/Y223,"")</f>
        <v/>
      </c>
      <c r="AA223" s="26" t="n"/>
      <c r="AB223" s="26" t="n"/>
      <c r="AC223" s="26" t="n"/>
      <c r="AD223" s="26" t="n"/>
      <c r="AE223" s="27">
        <f>IF(C223="","",SUMIFS(tbl_Finance[Ex GST],tbl_Finance[Job Number],C223&amp;"",tbl_Finance[Cost Centre],"VIDEO"))</f>
        <v/>
      </c>
      <c r="AF223" s="29">
        <f>IFERROR(AE223/H223,"")</f>
        <v/>
      </c>
      <c r="AG223" s="27">
        <f>IF(C223="","",N(AA223)+N(AB223)+N(AC223)+N(AD223))</f>
        <v/>
      </c>
      <c r="AH223" s="27">
        <f>IF(C223="","",H223-AG223)</f>
        <v/>
      </c>
      <c r="AI223" s="29">
        <f>IFERROR(AH223/H223,"")</f>
        <v/>
      </c>
      <c r="AJ223" s="64" t="n"/>
      <c r="AK223" s="64" t="n"/>
      <c r="AL223" s="64" t="n"/>
      <c r="AM223" s="64" t="n"/>
      <c r="AN223" s="64" t="n"/>
      <c r="AO223" s="24" t="n"/>
    </row>
    <row r="224" ht="15" customHeight="1">
      <c r="A224" s="63">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7">
        <f>IF(C224="","",SUMIFS(tbl_Finance[Inc GST],tbl_Finance[Job Number],C224&amp;""))</f>
        <v/>
      </c>
      <c r="M224" s="24" t="n"/>
      <c r="N224" s="25">
        <f>IF(C224="","",IFERROR(INDEX(tbl_Finance[Description],MATCH(C224&amp;"",tbl_Finance[Job Number],0)),""))</f>
        <v/>
      </c>
      <c r="O224" s="24" t="n"/>
      <c r="P224" s="24" t="n"/>
      <c r="Q224" s="22" t="n"/>
      <c r="R224" s="24" t="n"/>
      <c r="S224" s="25">
        <f>IF(R224="","",IF(AND(LEFT(R224,4)&lt;&gt;"http",set_RMSBase=""),"",HYPERLINK(IF(LEFT(R224,4)="http",R224,set_RMSBase&amp;R224),"Open opportunity")))</f>
        <v/>
      </c>
      <c r="T224" s="24" t="n"/>
      <c r="U224" s="25">
        <f>IF(T224="","",HYPERLINK(IF(LEFT(T224,4)="http",T224,set_QwilrBase&amp;T224),"Open quote"))</f>
        <v/>
      </c>
      <c r="V224" s="25">
        <f>IF(C224="","",C224)</f>
        <v/>
      </c>
      <c r="W224" s="24" t="n"/>
      <c r="X224" s="26" t="n"/>
      <c r="Y224" s="27">
        <f>IF(C224="","",H224+N(X224))</f>
        <v/>
      </c>
      <c r="Z224" s="29">
        <f>IFERROR(X224/Y224,"")</f>
        <v/>
      </c>
      <c r="AA224" s="26" t="n"/>
      <c r="AB224" s="26" t="n"/>
      <c r="AC224" s="26" t="n"/>
      <c r="AD224" s="26" t="n"/>
      <c r="AE224" s="27">
        <f>IF(C224="","",SUMIFS(tbl_Finance[Ex GST],tbl_Finance[Job Number],C224&amp;"",tbl_Finance[Cost Centre],"VIDEO"))</f>
        <v/>
      </c>
      <c r="AF224" s="29">
        <f>IFERROR(AE224/H224,"")</f>
        <v/>
      </c>
      <c r="AG224" s="27">
        <f>IF(C224="","",N(AA224)+N(AB224)+N(AC224)+N(AD224))</f>
        <v/>
      </c>
      <c r="AH224" s="27">
        <f>IF(C224="","",H224-AG224)</f>
        <v/>
      </c>
      <c r="AI224" s="29">
        <f>IFERROR(AH224/H224,"")</f>
        <v/>
      </c>
      <c r="AJ224" s="64" t="n"/>
      <c r="AK224" s="64" t="n"/>
      <c r="AL224" s="64" t="n"/>
      <c r="AM224" s="64" t="n"/>
      <c r="AN224" s="64" t="n"/>
      <c r="AO224" s="24" t="n"/>
    </row>
    <row r="225" ht="15" customHeight="1">
      <c r="A225" s="63">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7">
        <f>IF(C225="","",SUMIFS(tbl_Finance[Inc GST],tbl_Finance[Job Number],C225&amp;""))</f>
        <v/>
      </c>
      <c r="M225" s="24" t="n"/>
      <c r="N225" s="25">
        <f>IF(C225="","",IFERROR(INDEX(tbl_Finance[Description],MATCH(C225&amp;"",tbl_Finance[Job Number],0)),""))</f>
        <v/>
      </c>
      <c r="O225" s="24" t="n"/>
      <c r="P225" s="24" t="n"/>
      <c r="Q225" s="22" t="n"/>
      <c r="R225" s="24" t="n"/>
      <c r="S225" s="25">
        <f>IF(R225="","",IF(AND(LEFT(R225,4)&lt;&gt;"http",set_RMSBase=""),"",HYPERLINK(IF(LEFT(R225,4)="http",R225,set_RMSBase&amp;R225),"Open opportunity")))</f>
        <v/>
      </c>
      <c r="T225" s="24" t="n"/>
      <c r="U225" s="25">
        <f>IF(T225="","",HYPERLINK(IF(LEFT(T225,4)="http",T225,set_QwilrBase&amp;T225),"Open quote"))</f>
        <v/>
      </c>
      <c r="V225" s="25">
        <f>IF(C225="","",C225)</f>
        <v/>
      </c>
      <c r="W225" s="24" t="n"/>
      <c r="X225" s="26" t="n"/>
      <c r="Y225" s="27">
        <f>IF(C225="","",H225+N(X225))</f>
        <v/>
      </c>
      <c r="Z225" s="29">
        <f>IFERROR(X225/Y225,"")</f>
        <v/>
      </c>
      <c r="AA225" s="26" t="n"/>
      <c r="AB225" s="26" t="n"/>
      <c r="AC225" s="26" t="n"/>
      <c r="AD225" s="26" t="n"/>
      <c r="AE225" s="27">
        <f>IF(C225="","",SUMIFS(tbl_Finance[Ex GST],tbl_Finance[Job Number],C225&amp;"",tbl_Finance[Cost Centre],"VIDEO"))</f>
        <v/>
      </c>
      <c r="AF225" s="29">
        <f>IFERROR(AE225/H225,"")</f>
        <v/>
      </c>
      <c r="AG225" s="27">
        <f>IF(C225="","",N(AA225)+N(AB225)+N(AC225)+N(AD225))</f>
        <v/>
      </c>
      <c r="AH225" s="27">
        <f>IF(C225="","",H225-AG225)</f>
        <v/>
      </c>
      <c r="AI225" s="29">
        <f>IFERROR(AH225/H225,"")</f>
        <v/>
      </c>
      <c r="AJ225" s="64" t="n"/>
      <c r="AK225" s="64" t="n"/>
      <c r="AL225" s="64" t="n"/>
      <c r="AM225" s="64" t="n"/>
      <c r="AN225" s="64" t="n"/>
      <c r="AO225" s="24" t="n"/>
    </row>
    <row r="226" ht="15" customHeight="1">
      <c r="A226" s="63">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7">
        <f>IF(C226="","",SUMIFS(tbl_Finance[Inc GST],tbl_Finance[Job Number],C226&amp;""))</f>
        <v/>
      </c>
      <c r="M226" s="24" t="n"/>
      <c r="N226" s="25">
        <f>IF(C226="","",IFERROR(INDEX(tbl_Finance[Description],MATCH(C226&amp;"",tbl_Finance[Job Number],0)),""))</f>
        <v/>
      </c>
      <c r="O226" s="24" t="n"/>
      <c r="P226" s="24" t="n"/>
      <c r="Q226" s="22" t="n"/>
      <c r="R226" s="24" t="n"/>
      <c r="S226" s="25">
        <f>IF(R226="","",IF(AND(LEFT(R226,4)&lt;&gt;"http",set_RMSBase=""),"",HYPERLINK(IF(LEFT(R226,4)="http",R226,set_RMSBase&amp;R226),"Open opportunity")))</f>
        <v/>
      </c>
      <c r="T226" s="24" t="n"/>
      <c r="U226" s="25">
        <f>IF(T226="","",HYPERLINK(IF(LEFT(T226,4)="http",T226,set_QwilrBase&amp;T226),"Open quote"))</f>
        <v/>
      </c>
      <c r="V226" s="25">
        <f>IF(C226="","",C226)</f>
        <v/>
      </c>
      <c r="W226" s="24" t="n"/>
      <c r="X226" s="26" t="n"/>
      <c r="Y226" s="27">
        <f>IF(C226="","",H226+N(X226))</f>
        <v/>
      </c>
      <c r="Z226" s="29">
        <f>IFERROR(X226/Y226,"")</f>
        <v/>
      </c>
      <c r="AA226" s="26" t="n"/>
      <c r="AB226" s="26" t="n"/>
      <c r="AC226" s="26" t="n"/>
      <c r="AD226" s="26" t="n"/>
      <c r="AE226" s="27">
        <f>IF(C226="","",SUMIFS(tbl_Finance[Ex GST],tbl_Finance[Job Number],C226&amp;"",tbl_Finance[Cost Centre],"VIDEO"))</f>
        <v/>
      </c>
      <c r="AF226" s="29">
        <f>IFERROR(AE226/H226,"")</f>
        <v/>
      </c>
      <c r="AG226" s="27">
        <f>IF(C226="","",N(AA226)+N(AB226)+N(AC226)+N(AD226))</f>
        <v/>
      </c>
      <c r="AH226" s="27">
        <f>IF(C226="","",H226-AG226)</f>
        <v/>
      </c>
      <c r="AI226" s="29">
        <f>IFERROR(AH226/H226,"")</f>
        <v/>
      </c>
      <c r="AJ226" s="64" t="n"/>
      <c r="AK226" s="64" t="n"/>
      <c r="AL226" s="64" t="n"/>
      <c r="AM226" s="64" t="n"/>
      <c r="AN226" s="64" t="n"/>
      <c r="AO226" s="24" t="n"/>
    </row>
    <row r="227" ht="15" customHeight="1">
      <c r="A227" s="63">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7">
        <f>IF(C227="","",SUMIFS(tbl_Finance[Inc GST],tbl_Finance[Job Number],C227&amp;""))</f>
        <v/>
      </c>
      <c r="M227" s="24" t="n"/>
      <c r="N227" s="25">
        <f>IF(C227="","",IFERROR(INDEX(tbl_Finance[Description],MATCH(C227&amp;"",tbl_Finance[Job Number],0)),""))</f>
        <v/>
      </c>
      <c r="O227" s="24" t="n"/>
      <c r="P227" s="24" t="n"/>
      <c r="Q227" s="22" t="n"/>
      <c r="R227" s="24" t="n"/>
      <c r="S227" s="25">
        <f>IF(R227="","",IF(AND(LEFT(R227,4)&lt;&gt;"http",set_RMSBase=""),"",HYPERLINK(IF(LEFT(R227,4)="http",R227,set_RMSBase&amp;R227),"Open opportunity")))</f>
        <v/>
      </c>
      <c r="T227" s="24" t="n"/>
      <c r="U227" s="25">
        <f>IF(T227="","",HYPERLINK(IF(LEFT(T227,4)="http",T227,set_QwilrBase&amp;T227),"Open quote"))</f>
        <v/>
      </c>
      <c r="V227" s="25">
        <f>IF(C227="","",C227)</f>
        <v/>
      </c>
      <c r="W227" s="24" t="n"/>
      <c r="X227" s="26" t="n"/>
      <c r="Y227" s="27">
        <f>IF(C227="","",H227+N(X227))</f>
        <v/>
      </c>
      <c r="Z227" s="29">
        <f>IFERROR(X227/Y227,"")</f>
        <v/>
      </c>
      <c r="AA227" s="26" t="n"/>
      <c r="AB227" s="26" t="n"/>
      <c r="AC227" s="26" t="n"/>
      <c r="AD227" s="26" t="n"/>
      <c r="AE227" s="27">
        <f>IF(C227="","",SUMIFS(tbl_Finance[Ex GST],tbl_Finance[Job Number],C227&amp;"",tbl_Finance[Cost Centre],"VIDEO"))</f>
        <v/>
      </c>
      <c r="AF227" s="29">
        <f>IFERROR(AE227/H227,"")</f>
        <v/>
      </c>
      <c r="AG227" s="27">
        <f>IF(C227="","",N(AA227)+N(AB227)+N(AC227)+N(AD227))</f>
        <v/>
      </c>
      <c r="AH227" s="27">
        <f>IF(C227="","",H227-AG227)</f>
        <v/>
      </c>
      <c r="AI227" s="29">
        <f>IFERROR(AH227/H227,"")</f>
        <v/>
      </c>
      <c r="AJ227" s="64" t="n"/>
      <c r="AK227" s="64" t="n"/>
      <c r="AL227" s="64" t="n"/>
      <c r="AM227" s="64" t="n"/>
      <c r="AN227" s="64" t="n"/>
      <c r="AO227" s="24" t="n"/>
    </row>
    <row r="228" ht="15" customHeight="1">
      <c r="A228" s="63">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7">
        <f>IF(C228="","",SUMIFS(tbl_Finance[Inc GST],tbl_Finance[Job Number],C228&amp;""))</f>
        <v/>
      </c>
      <c r="M228" s="24" t="n"/>
      <c r="N228" s="25">
        <f>IF(C228="","",IFERROR(INDEX(tbl_Finance[Description],MATCH(C228&amp;"",tbl_Finance[Job Number],0)),""))</f>
        <v/>
      </c>
      <c r="O228" s="24" t="n"/>
      <c r="P228" s="24" t="n"/>
      <c r="Q228" s="22" t="n"/>
      <c r="R228" s="24" t="n"/>
      <c r="S228" s="25">
        <f>IF(R228="","",IF(AND(LEFT(R228,4)&lt;&gt;"http",set_RMSBase=""),"",HYPERLINK(IF(LEFT(R228,4)="http",R228,set_RMSBase&amp;R228),"Open opportunity")))</f>
        <v/>
      </c>
      <c r="T228" s="24" t="n"/>
      <c r="U228" s="25">
        <f>IF(T228="","",HYPERLINK(IF(LEFT(T228,4)="http",T228,set_QwilrBase&amp;T228),"Open quote"))</f>
        <v/>
      </c>
      <c r="V228" s="25">
        <f>IF(C228="","",C228)</f>
        <v/>
      </c>
      <c r="W228" s="24" t="n"/>
      <c r="X228" s="26" t="n"/>
      <c r="Y228" s="27">
        <f>IF(C228="","",H228+N(X228))</f>
        <v/>
      </c>
      <c r="Z228" s="29">
        <f>IFERROR(X228/Y228,"")</f>
        <v/>
      </c>
      <c r="AA228" s="26" t="n"/>
      <c r="AB228" s="26" t="n"/>
      <c r="AC228" s="26" t="n"/>
      <c r="AD228" s="26" t="n"/>
      <c r="AE228" s="27">
        <f>IF(C228="","",SUMIFS(tbl_Finance[Ex GST],tbl_Finance[Job Number],C228&amp;"",tbl_Finance[Cost Centre],"VIDEO"))</f>
        <v/>
      </c>
      <c r="AF228" s="29">
        <f>IFERROR(AE228/H228,"")</f>
        <v/>
      </c>
      <c r="AG228" s="27">
        <f>IF(C228="","",N(AA228)+N(AB228)+N(AC228)+N(AD228))</f>
        <v/>
      </c>
      <c r="AH228" s="27">
        <f>IF(C228="","",H228-AG228)</f>
        <v/>
      </c>
      <c r="AI228" s="29">
        <f>IFERROR(AH228/H228,"")</f>
        <v/>
      </c>
      <c r="AJ228" s="64" t="n"/>
      <c r="AK228" s="64" t="n"/>
      <c r="AL228" s="64" t="n"/>
      <c r="AM228" s="64" t="n"/>
      <c r="AN228" s="64" t="n"/>
      <c r="AO228" s="24" t="n"/>
    </row>
    <row r="229" ht="15" customHeight="1">
      <c r="A229" s="63">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7">
        <f>IF(C229="","",SUMIFS(tbl_Finance[Inc GST],tbl_Finance[Job Number],C229&amp;""))</f>
        <v/>
      </c>
      <c r="M229" s="24" t="n"/>
      <c r="N229" s="25">
        <f>IF(C229="","",IFERROR(INDEX(tbl_Finance[Description],MATCH(C229&amp;"",tbl_Finance[Job Number],0)),""))</f>
        <v/>
      </c>
      <c r="O229" s="24" t="n"/>
      <c r="P229" s="24" t="n"/>
      <c r="Q229" s="22" t="n"/>
      <c r="R229" s="24" t="n"/>
      <c r="S229" s="25">
        <f>IF(R229="","",IF(AND(LEFT(R229,4)&lt;&gt;"http",set_RMSBase=""),"",HYPERLINK(IF(LEFT(R229,4)="http",R229,set_RMSBase&amp;R229),"Open opportunity")))</f>
        <v/>
      </c>
      <c r="T229" s="24" t="n"/>
      <c r="U229" s="25">
        <f>IF(T229="","",HYPERLINK(IF(LEFT(T229,4)="http",T229,set_QwilrBase&amp;T229),"Open quote"))</f>
        <v/>
      </c>
      <c r="V229" s="25">
        <f>IF(C229="","",C229)</f>
        <v/>
      </c>
      <c r="W229" s="24" t="n"/>
      <c r="X229" s="26" t="n"/>
      <c r="Y229" s="27">
        <f>IF(C229="","",H229+N(X229))</f>
        <v/>
      </c>
      <c r="Z229" s="29">
        <f>IFERROR(X229/Y229,"")</f>
        <v/>
      </c>
      <c r="AA229" s="26" t="n"/>
      <c r="AB229" s="26" t="n"/>
      <c r="AC229" s="26" t="n"/>
      <c r="AD229" s="26" t="n"/>
      <c r="AE229" s="27">
        <f>IF(C229="","",SUMIFS(tbl_Finance[Ex GST],tbl_Finance[Job Number],C229&amp;"",tbl_Finance[Cost Centre],"VIDEO"))</f>
        <v/>
      </c>
      <c r="AF229" s="29">
        <f>IFERROR(AE229/H229,"")</f>
        <v/>
      </c>
      <c r="AG229" s="27">
        <f>IF(C229="","",N(AA229)+N(AB229)+N(AC229)+N(AD229))</f>
        <v/>
      </c>
      <c r="AH229" s="27">
        <f>IF(C229="","",H229-AG229)</f>
        <v/>
      </c>
      <c r="AI229" s="29">
        <f>IFERROR(AH229/H229,"")</f>
        <v/>
      </c>
      <c r="AJ229" s="64" t="n"/>
      <c r="AK229" s="64" t="n"/>
      <c r="AL229" s="64" t="n"/>
      <c r="AM229" s="64" t="n"/>
      <c r="AN229" s="64" t="n"/>
      <c r="AO229" s="24" t="n"/>
    </row>
    <row r="230" ht="15" customHeight="1">
      <c r="A230" s="63">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7">
        <f>IF(C230="","",SUMIFS(tbl_Finance[Inc GST],tbl_Finance[Job Number],C230&amp;""))</f>
        <v/>
      </c>
      <c r="M230" s="24" t="n"/>
      <c r="N230" s="25">
        <f>IF(C230="","",IFERROR(INDEX(tbl_Finance[Description],MATCH(C230&amp;"",tbl_Finance[Job Number],0)),""))</f>
        <v/>
      </c>
      <c r="O230" s="24" t="n"/>
      <c r="P230" s="24" t="n"/>
      <c r="Q230" s="22" t="n"/>
      <c r="R230" s="24" t="n"/>
      <c r="S230" s="25">
        <f>IF(R230="","",IF(AND(LEFT(R230,4)&lt;&gt;"http",set_RMSBase=""),"",HYPERLINK(IF(LEFT(R230,4)="http",R230,set_RMSBase&amp;R230),"Open opportunity")))</f>
        <v/>
      </c>
      <c r="T230" s="24" t="n"/>
      <c r="U230" s="25">
        <f>IF(T230="","",HYPERLINK(IF(LEFT(T230,4)="http",T230,set_QwilrBase&amp;T230),"Open quote"))</f>
        <v/>
      </c>
      <c r="V230" s="25">
        <f>IF(C230="","",C230)</f>
        <v/>
      </c>
      <c r="W230" s="24" t="n"/>
      <c r="X230" s="26" t="n"/>
      <c r="Y230" s="27">
        <f>IF(C230="","",H230+N(X230))</f>
        <v/>
      </c>
      <c r="Z230" s="29">
        <f>IFERROR(X230/Y230,"")</f>
        <v/>
      </c>
      <c r="AA230" s="26" t="n"/>
      <c r="AB230" s="26" t="n"/>
      <c r="AC230" s="26" t="n"/>
      <c r="AD230" s="26" t="n"/>
      <c r="AE230" s="27">
        <f>IF(C230="","",SUMIFS(tbl_Finance[Ex GST],tbl_Finance[Job Number],C230&amp;"",tbl_Finance[Cost Centre],"VIDEO"))</f>
        <v/>
      </c>
      <c r="AF230" s="29">
        <f>IFERROR(AE230/H230,"")</f>
        <v/>
      </c>
      <c r="AG230" s="27">
        <f>IF(C230="","",N(AA230)+N(AB230)+N(AC230)+N(AD230))</f>
        <v/>
      </c>
      <c r="AH230" s="27">
        <f>IF(C230="","",H230-AG230)</f>
        <v/>
      </c>
      <c r="AI230" s="29">
        <f>IFERROR(AH230/H230,"")</f>
        <v/>
      </c>
      <c r="AJ230" s="64" t="n"/>
      <c r="AK230" s="64" t="n"/>
      <c r="AL230" s="64" t="n"/>
      <c r="AM230" s="64" t="n"/>
      <c r="AN230" s="64" t="n"/>
      <c r="AO230" s="24" t="n"/>
    </row>
    <row r="231" ht="15" customHeight="1">
      <c r="A231" s="63">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7">
        <f>IF(C231="","",SUMIFS(tbl_Finance[Inc GST],tbl_Finance[Job Number],C231&amp;""))</f>
        <v/>
      </c>
      <c r="M231" s="24" t="n"/>
      <c r="N231" s="25">
        <f>IF(C231="","",IFERROR(INDEX(tbl_Finance[Description],MATCH(C231&amp;"",tbl_Finance[Job Number],0)),""))</f>
        <v/>
      </c>
      <c r="O231" s="24" t="n"/>
      <c r="P231" s="24" t="n"/>
      <c r="Q231" s="22" t="n"/>
      <c r="R231" s="24" t="n"/>
      <c r="S231" s="25">
        <f>IF(R231="","",IF(AND(LEFT(R231,4)&lt;&gt;"http",set_RMSBase=""),"",HYPERLINK(IF(LEFT(R231,4)="http",R231,set_RMSBase&amp;R231),"Open opportunity")))</f>
        <v/>
      </c>
      <c r="T231" s="24" t="n"/>
      <c r="U231" s="25">
        <f>IF(T231="","",HYPERLINK(IF(LEFT(T231,4)="http",T231,set_QwilrBase&amp;T231),"Open quote"))</f>
        <v/>
      </c>
      <c r="V231" s="25">
        <f>IF(C231="","",C231)</f>
        <v/>
      </c>
      <c r="W231" s="24" t="n"/>
      <c r="X231" s="26" t="n"/>
      <c r="Y231" s="27">
        <f>IF(C231="","",H231+N(X231))</f>
        <v/>
      </c>
      <c r="Z231" s="29">
        <f>IFERROR(X231/Y231,"")</f>
        <v/>
      </c>
      <c r="AA231" s="26" t="n"/>
      <c r="AB231" s="26" t="n"/>
      <c r="AC231" s="26" t="n"/>
      <c r="AD231" s="26" t="n"/>
      <c r="AE231" s="27">
        <f>IF(C231="","",SUMIFS(tbl_Finance[Ex GST],tbl_Finance[Job Number],C231&amp;"",tbl_Finance[Cost Centre],"VIDEO"))</f>
        <v/>
      </c>
      <c r="AF231" s="29">
        <f>IFERROR(AE231/H231,"")</f>
        <v/>
      </c>
      <c r="AG231" s="27">
        <f>IF(C231="","",N(AA231)+N(AB231)+N(AC231)+N(AD231))</f>
        <v/>
      </c>
      <c r="AH231" s="27">
        <f>IF(C231="","",H231-AG231)</f>
        <v/>
      </c>
      <c r="AI231" s="29">
        <f>IFERROR(AH231/H231,"")</f>
        <v/>
      </c>
      <c r="AJ231" s="64" t="n"/>
      <c r="AK231" s="64" t="n"/>
      <c r="AL231" s="64" t="n"/>
      <c r="AM231" s="64" t="n"/>
      <c r="AN231" s="64" t="n"/>
      <c r="AO231" s="24" t="n"/>
    </row>
    <row r="232" ht="15" customHeight="1">
      <c r="A232" s="63">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7">
        <f>IF(C232="","",SUMIFS(tbl_Finance[Inc GST],tbl_Finance[Job Number],C232&amp;""))</f>
        <v/>
      </c>
      <c r="M232" s="24" t="n"/>
      <c r="N232" s="25">
        <f>IF(C232="","",IFERROR(INDEX(tbl_Finance[Description],MATCH(C232&amp;"",tbl_Finance[Job Number],0)),""))</f>
        <v/>
      </c>
      <c r="O232" s="24" t="n"/>
      <c r="P232" s="24" t="n"/>
      <c r="Q232" s="22" t="n"/>
      <c r="R232" s="24" t="n"/>
      <c r="S232" s="25">
        <f>IF(R232="","",IF(AND(LEFT(R232,4)&lt;&gt;"http",set_RMSBase=""),"",HYPERLINK(IF(LEFT(R232,4)="http",R232,set_RMSBase&amp;R232),"Open opportunity")))</f>
        <v/>
      </c>
      <c r="T232" s="24" t="n"/>
      <c r="U232" s="25">
        <f>IF(T232="","",HYPERLINK(IF(LEFT(T232,4)="http",T232,set_QwilrBase&amp;T232),"Open quote"))</f>
        <v/>
      </c>
      <c r="V232" s="25">
        <f>IF(C232="","",C232)</f>
        <v/>
      </c>
      <c r="W232" s="24" t="n"/>
      <c r="X232" s="26" t="n"/>
      <c r="Y232" s="27">
        <f>IF(C232="","",H232+N(X232))</f>
        <v/>
      </c>
      <c r="Z232" s="29">
        <f>IFERROR(X232/Y232,"")</f>
        <v/>
      </c>
      <c r="AA232" s="26" t="n"/>
      <c r="AB232" s="26" t="n"/>
      <c r="AC232" s="26" t="n"/>
      <c r="AD232" s="26" t="n"/>
      <c r="AE232" s="27">
        <f>IF(C232="","",SUMIFS(tbl_Finance[Ex GST],tbl_Finance[Job Number],C232&amp;"",tbl_Finance[Cost Centre],"VIDEO"))</f>
        <v/>
      </c>
      <c r="AF232" s="29">
        <f>IFERROR(AE232/H232,"")</f>
        <v/>
      </c>
      <c r="AG232" s="27">
        <f>IF(C232="","",N(AA232)+N(AB232)+N(AC232)+N(AD232))</f>
        <v/>
      </c>
      <c r="AH232" s="27">
        <f>IF(C232="","",H232-AG232)</f>
        <v/>
      </c>
      <c r="AI232" s="29">
        <f>IFERROR(AH232/H232,"")</f>
        <v/>
      </c>
      <c r="AJ232" s="64" t="n"/>
      <c r="AK232" s="64" t="n"/>
      <c r="AL232" s="64" t="n"/>
      <c r="AM232" s="64" t="n"/>
      <c r="AN232" s="64" t="n"/>
      <c r="AO232" s="24" t="n"/>
    </row>
    <row r="233" ht="15" customHeight="1">
      <c r="A233" s="63">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7">
        <f>IF(C233="","",SUMIFS(tbl_Finance[Inc GST],tbl_Finance[Job Number],C233&amp;""))</f>
        <v/>
      </c>
      <c r="M233" s="24" t="n"/>
      <c r="N233" s="25">
        <f>IF(C233="","",IFERROR(INDEX(tbl_Finance[Description],MATCH(C233&amp;"",tbl_Finance[Job Number],0)),""))</f>
        <v/>
      </c>
      <c r="O233" s="24" t="n"/>
      <c r="P233" s="24" t="n"/>
      <c r="Q233" s="22" t="n"/>
      <c r="R233" s="24" t="n"/>
      <c r="S233" s="25">
        <f>IF(R233="","",IF(AND(LEFT(R233,4)&lt;&gt;"http",set_RMSBase=""),"",HYPERLINK(IF(LEFT(R233,4)="http",R233,set_RMSBase&amp;R233),"Open opportunity")))</f>
        <v/>
      </c>
      <c r="T233" s="24" t="n"/>
      <c r="U233" s="25">
        <f>IF(T233="","",HYPERLINK(IF(LEFT(T233,4)="http",T233,set_QwilrBase&amp;T233),"Open quote"))</f>
        <v/>
      </c>
      <c r="V233" s="25">
        <f>IF(C233="","",C233)</f>
        <v/>
      </c>
      <c r="W233" s="24" t="n"/>
      <c r="X233" s="26" t="n"/>
      <c r="Y233" s="27">
        <f>IF(C233="","",H233+N(X233))</f>
        <v/>
      </c>
      <c r="Z233" s="29">
        <f>IFERROR(X233/Y233,"")</f>
        <v/>
      </c>
      <c r="AA233" s="26" t="n"/>
      <c r="AB233" s="26" t="n"/>
      <c r="AC233" s="26" t="n"/>
      <c r="AD233" s="26" t="n"/>
      <c r="AE233" s="27">
        <f>IF(C233="","",SUMIFS(tbl_Finance[Ex GST],tbl_Finance[Job Number],C233&amp;"",tbl_Finance[Cost Centre],"VIDEO"))</f>
        <v/>
      </c>
      <c r="AF233" s="29">
        <f>IFERROR(AE233/H233,"")</f>
        <v/>
      </c>
      <c r="AG233" s="27">
        <f>IF(C233="","",N(AA233)+N(AB233)+N(AC233)+N(AD233))</f>
        <v/>
      </c>
      <c r="AH233" s="27">
        <f>IF(C233="","",H233-AG233)</f>
        <v/>
      </c>
      <c r="AI233" s="29">
        <f>IFERROR(AH233/H233,"")</f>
        <v/>
      </c>
      <c r="AJ233" s="64" t="n"/>
      <c r="AK233" s="64" t="n"/>
      <c r="AL233" s="64" t="n"/>
      <c r="AM233" s="64" t="n"/>
      <c r="AN233" s="64" t="n"/>
      <c r="AO233" s="24" t="n"/>
    </row>
    <row r="234" ht="15" customHeight="1">
      <c r="A234" s="63">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7">
        <f>IF(C234="","",SUMIFS(tbl_Finance[Inc GST],tbl_Finance[Job Number],C234&amp;""))</f>
        <v/>
      </c>
      <c r="M234" s="24" t="n"/>
      <c r="N234" s="25">
        <f>IF(C234="","",IFERROR(INDEX(tbl_Finance[Description],MATCH(C234&amp;"",tbl_Finance[Job Number],0)),""))</f>
        <v/>
      </c>
      <c r="O234" s="24" t="n"/>
      <c r="P234" s="24" t="n"/>
      <c r="Q234" s="22" t="n"/>
      <c r="R234" s="24" t="n"/>
      <c r="S234" s="25">
        <f>IF(R234="","",IF(AND(LEFT(R234,4)&lt;&gt;"http",set_RMSBase=""),"",HYPERLINK(IF(LEFT(R234,4)="http",R234,set_RMSBase&amp;R234),"Open opportunity")))</f>
        <v/>
      </c>
      <c r="T234" s="24" t="n"/>
      <c r="U234" s="25">
        <f>IF(T234="","",HYPERLINK(IF(LEFT(T234,4)="http",T234,set_QwilrBase&amp;T234),"Open quote"))</f>
        <v/>
      </c>
      <c r="V234" s="25">
        <f>IF(C234="","",C234)</f>
        <v/>
      </c>
      <c r="W234" s="24" t="n"/>
      <c r="X234" s="26" t="n"/>
      <c r="Y234" s="27">
        <f>IF(C234="","",H234+N(X234))</f>
        <v/>
      </c>
      <c r="Z234" s="29">
        <f>IFERROR(X234/Y234,"")</f>
        <v/>
      </c>
      <c r="AA234" s="26" t="n"/>
      <c r="AB234" s="26" t="n"/>
      <c r="AC234" s="26" t="n"/>
      <c r="AD234" s="26" t="n"/>
      <c r="AE234" s="27">
        <f>IF(C234="","",SUMIFS(tbl_Finance[Ex GST],tbl_Finance[Job Number],C234&amp;"",tbl_Finance[Cost Centre],"VIDEO"))</f>
        <v/>
      </c>
      <c r="AF234" s="29">
        <f>IFERROR(AE234/H234,"")</f>
        <v/>
      </c>
      <c r="AG234" s="27">
        <f>IF(C234="","",N(AA234)+N(AB234)+N(AC234)+N(AD234))</f>
        <v/>
      </c>
      <c r="AH234" s="27">
        <f>IF(C234="","",H234-AG234)</f>
        <v/>
      </c>
      <c r="AI234" s="29">
        <f>IFERROR(AH234/H234,"")</f>
        <v/>
      </c>
      <c r="AJ234" s="64" t="n"/>
      <c r="AK234" s="64" t="n"/>
      <c r="AL234" s="64" t="n"/>
      <c r="AM234" s="64" t="n"/>
      <c r="AN234" s="64" t="n"/>
      <c r="AO234" s="24" t="n"/>
    </row>
    <row r="235" ht="15" customHeight="1">
      <c r="A235" s="63">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7">
        <f>IF(C235="","",SUMIFS(tbl_Finance[Inc GST],tbl_Finance[Job Number],C235&amp;""))</f>
        <v/>
      </c>
      <c r="M235" s="24" t="n"/>
      <c r="N235" s="25">
        <f>IF(C235="","",IFERROR(INDEX(tbl_Finance[Description],MATCH(C235&amp;"",tbl_Finance[Job Number],0)),""))</f>
        <v/>
      </c>
      <c r="O235" s="24" t="n"/>
      <c r="P235" s="24" t="n"/>
      <c r="Q235" s="22" t="n"/>
      <c r="R235" s="24" t="n"/>
      <c r="S235" s="25">
        <f>IF(R235="","",IF(AND(LEFT(R235,4)&lt;&gt;"http",set_RMSBase=""),"",HYPERLINK(IF(LEFT(R235,4)="http",R235,set_RMSBase&amp;R235),"Open opportunity")))</f>
        <v/>
      </c>
      <c r="T235" s="24" t="n"/>
      <c r="U235" s="25">
        <f>IF(T235="","",HYPERLINK(IF(LEFT(T235,4)="http",T235,set_QwilrBase&amp;T235),"Open quote"))</f>
        <v/>
      </c>
      <c r="V235" s="25">
        <f>IF(C235="","",C235)</f>
        <v/>
      </c>
      <c r="W235" s="24" t="n"/>
      <c r="X235" s="26" t="n"/>
      <c r="Y235" s="27">
        <f>IF(C235="","",H235+N(X235))</f>
        <v/>
      </c>
      <c r="Z235" s="29">
        <f>IFERROR(X235/Y235,"")</f>
        <v/>
      </c>
      <c r="AA235" s="26" t="n"/>
      <c r="AB235" s="26" t="n"/>
      <c r="AC235" s="26" t="n"/>
      <c r="AD235" s="26" t="n"/>
      <c r="AE235" s="27">
        <f>IF(C235="","",SUMIFS(tbl_Finance[Ex GST],tbl_Finance[Job Number],C235&amp;"",tbl_Finance[Cost Centre],"VIDEO"))</f>
        <v/>
      </c>
      <c r="AF235" s="29">
        <f>IFERROR(AE235/H235,"")</f>
        <v/>
      </c>
      <c r="AG235" s="27">
        <f>IF(C235="","",N(AA235)+N(AB235)+N(AC235)+N(AD235))</f>
        <v/>
      </c>
      <c r="AH235" s="27">
        <f>IF(C235="","",H235-AG235)</f>
        <v/>
      </c>
      <c r="AI235" s="29">
        <f>IFERROR(AH235/H235,"")</f>
        <v/>
      </c>
      <c r="AJ235" s="64" t="n"/>
      <c r="AK235" s="64" t="n"/>
      <c r="AL235" s="64" t="n"/>
      <c r="AM235" s="64" t="n"/>
      <c r="AN235" s="64" t="n"/>
      <c r="AO235" s="24" t="n"/>
    </row>
    <row r="236" ht="15" customHeight="1">
      <c r="A236" s="63">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7">
        <f>IF(C236="","",SUMIFS(tbl_Finance[Inc GST],tbl_Finance[Job Number],C236&amp;""))</f>
        <v/>
      </c>
      <c r="M236" s="24" t="n"/>
      <c r="N236" s="25">
        <f>IF(C236="","",IFERROR(INDEX(tbl_Finance[Description],MATCH(C236&amp;"",tbl_Finance[Job Number],0)),""))</f>
        <v/>
      </c>
      <c r="O236" s="24" t="n"/>
      <c r="P236" s="24" t="n"/>
      <c r="Q236" s="22" t="n"/>
      <c r="R236" s="24" t="n"/>
      <c r="S236" s="25">
        <f>IF(R236="","",IF(AND(LEFT(R236,4)&lt;&gt;"http",set_RMSBase=""),"",HYPERLINK(IF(LEFT(R236,4)="http",R236,set_RMSBase&amp;R236),"Open opportunity")))</f>
        <v/>
      </c>
      <c r="T236" s="24" t="n"/>
      <c r="U236" s="25">
        <f>IF(T236="","",HYPERLINK(IF(LEFT(T236,4)="http",T236,set_QwilrBase&amp;T236),"Open quote"))</f>
        <v/>
      </c>
      <c r="V236" s="25">
        <f>IF(C236="","",C236)</f>
        <v/>
      </c>
      <c r="W236" s="24" t="n"/>
      <c r="X236" s="26" t="n"/>
      <c r="Y236" s="27">
        <f>IF(C236="","",H236+N(X236))</f>
        <v/>
      </c>
      <c r="Z236" s="29">
        <f>IFERROR(X236/Y236,"")</f>
        <v/>
      </c>
      <c r="AA236" s="26" t="n"/>
      <c r="AB236" s="26" t="n"/>
      <c r="AC236" s="26" t="n"/>
      <c r="AD236" s="26" t="n"/>
      <c r="AE236" s="27">
        <f>IF(C236="","",SUMIFS(tbl_Finance[Ex GST],tbl_Finance[Job Number],C236&amp;"",tbl_Finance[Cost Centre],"VIDEO"))</f>
        <v/>
      </c>
      <c r="AF236" s="29">
        <f>IFERROR(AE236/H236,"")</f>
        <v/>
      </c>
      <c r="AG236" s="27">
        <f>IF(C236="","",N(AA236)+N(AB236)+N(AC236)+N(AD236))</f>
        <v/>
      </c>
      <c r="AH236" s="27">
        <f>IF(C236="","",H236-AG236)</f>
        <v/>
      </c>
      <c r="AI236" s="29">
        <f>IFERROR(AH236/H236,"")</f>
        <v/>
      </c>
      <c r="AJ236" s="64" t="n"/>
      <c r="AK236" s="64" t="n"/>
      <c r="AL236" s="64" t="n"/>
      <c r="AM236" s="64" t="n"/>
      <c r="AN236" s="64" t="n"/>
      <c r="AO236" s="24" t="n"/>
    </row>
    <row r="237" ht="15" customHeight="1">
      <c r="A237" s="63">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7">
        <f>IF(C237="","",SUMIFS(tbl_Finance[Inc GST],tbl_Finance[Job Number],C237&amp;""))</f>
        <v/>
      </c>
      <c r="M237" s="24" t="n"/>
      <c r="N237" s="25">
        <f>IF(C237="","",IFERROR(INDEX(tbl_Finance[Description],MATCH(C237&amp;"",tbl_Finance[Job Number],0)),""))</f>
        <v/>
      </c>
      <c r="O237" s="24" t="n"/>
      <c r="P237" s="24" t="n"/>
      <c r="Q237" s="22" t="n"/>
      <c r="R237" s="24" t="n"/>
      <c r="S237" s="25">
        <f>IF(R237="","",IF(AND(LEFT(R237,4)&lt;&gt;"http",set_RMSBase=""),"",HYPERLINK(IF(LEFT(R237,4)="http",R237,set_RMSBase&amp;R237),"Open opportunity")))</f>
        <v/>
      </c>
      <c r="T237" s="24" t="n"/>
      <c r="U237" s="25">
        <f>IF(T237="","",HYPERLINK(IF(LEFT(T237,4)="http",T237,set_QwilrBase&amp;T237),"Open quote"))</f>
        <v/>
      </c>
      <c r="V237" s="25">
        <f>IF(C237="","",C237)</f>
        <v/>
      </c>
      <c r="W237" s="24" t="n"/>
      <c r="X237" s="26" t="n"/>
      <c r="Y237" s="27">
        <f>IF(C237="","",H237+N(X237))</f>
        <v/>
      </c>
      <c r="Z237" s="29">
        <f>IFERROR(X237/Y237,"")</f>
        <v/>
      </c>
      <c r="AA237" s="26" t="n"/>
      <c r="AB237" s="26" t="n"/>
      <c r="AC237" s="26" t="n"/>
      <c r="AD237" s="26" t="n"/>
      <c r="AE237" s="27">
        <f>IF(C237="","",SUMIFS(tbl_Finance[Ex GST],tbl_Finance[Job Number],C237&amp;"",tbl_Finance[Cost Centre],"VIDEO"))</f>
        <v/>
      </c>
      <c r="AF237" s="29">
        <f>IFERROR(AE237/H237,"")</f>
        <v/>
      </c>
      <c r="AG237" s="27">
        <f>IF(C237="","",N(AA237)+N(AB237)+N(AC237)+N(AD237))</f>
        <v/>
      </c>
      <c r="AH237" s="27">
        <f>IF(C237="","",H237-AG237)</f>
        <v/>
      </c>
      <c r="AI237" s="29">
        <f>IFERROR(AH237/H237,"")</f>
        <v/>
      </c>
      <c r="AJ237" s="64" t="n"/>
      <c r="AK237" s="64" t="n"/>
      <c r="AL237" s="64" t="n"/>
      <c r="AM237" s="64" t="n"/>
      <c r="AN237" s="64" t="n"/>
      <c r="AO237" s="24" t="n"/>
    </row>
    <row r="238" ht="15" customHeight="1">
      <c r="A238" s="63">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7">
        <f>IF(C238="","",SUMIFS(tbl_Finance[Inc GST],tbl_Finance[Job Number],C238&amp;""))</f>
        <v/>
      </c>
      <c r="M238" s="24" t="n"/>
      <c r="N238" s="25">
        <f>IF(C238="","",IFERROR(INDEX(tbl_Finance[Description],MATCH(C238&amp;"",tbl_Finance[Job Number],0)),""))</f>
        <v/>
      </c>
      <c r="O238" s="24" t="n"/>
      <c r="P238" s="24" t="n"/>
      <c r="Q238" s="22" t="n"/>
      <c r="R238" s="24" t="n"/>
      <c r="S238" s="25">
        <f>IF(R238="","",IF(AND(LEFT(R238,4)&lt;&gt;"http",set_RMSBase=""),"",HYPERLINK(IF(LEFT(R238,4)="http",R238,set_RMSBase&amp;R238),"Open opportunity")))</f>
        <v/>
      </c>
      <c r="T238" s="24" t="n"/>
      <c r="U238" s="25">
        <f>IF(T238="","",HYPERLINK(IF(LEFT(T238,4)="http",T238,set_QwilrBase&amp;T238),"Open quote"))</f>
        <v/>
      </c>
      <c r="V238" s="25">
        <f>IF(C238="","",C238)</f>
        <v/>
      </c>
      <c r="W238" s="24" t="n"/>
      <c r="X238" s="26" t="n"/>
      <c r="Y238" s="27">
        <f>IF(C238="","",H238+N(X238))</f>
        <v/>
      </c>
      <c r="Z238" s="29">
        <f>IFERROR(X238/Y238,"")</f>
        <v/>
      </c>
      <c r="AA238" s="26" t="n"/>
      <c r="AB238" s="26" t="n"/>
      <c r="AC238" s="26" t="n"/>
      <c r="AD238" s="26" t="n"/>
      <c r="AE238" s="27">
        <f>IF(C238="","",SUMIFS(tbl_Finance[Ex GST],tbl_Finance[Job Number],C238&amp;"",tbl_Finance[Cost Centre],"VIDEO"))</f>
        <v/>
      </c>
      <c r="AF238" s="29">
        <f>IFERROR(AE238/H238,"")</f>
        <v/>
      </c>
      <c r="AG238" s="27">
        <f>IF(C238="","",N(AA238)+N(AB238)+N(AC238)+N(AD238))</f>
        <v/>
      </c>
      <c r="AH238" s="27">
        <f>IF(C238="","",H238-AG238)</f>
        <v/>
      </c>
      <c r="AI238" s="29">
        <f>IFERROR(AH238/H238,"")</f>
        <v/>
      </c>
      <c r="AJ238" s="64" t="n"/>
      <c r="AK238" s="64" t="n"/>
      <c r="AL238" s="64" t="n"/>
      <c r="AM238" s="64" t="n"/>
      <c r="AN238" s="64" t="n"/>
      <c r="AO238" s="24" t="n"/>
    </row>
    <row r="239" ht="15" customHeight="1">
      <c r="A239" s="63">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7">
        <f>IF(C239="","",SUMIFS(tbl_Finance[Inc GST],tbl_Finance[Job Number],C239&amp;""))</f>
        <v/>
      </c>
      <c r="M239" s="24" t="n"/>
      <c r="N239" s="25">
        <f>IF(C239="","",IFERROR(INDEX(tbl_Finance[Description],MATCH(C239&amp;"",tbl_Finance[Job Number],0)),""))</f>
        <v/>
      </c>
      <c r="O239" s="24" t="n"/>
      <c r="P239" s="24" t="n"/>
      <c r="Q239" s="22" t="n"/>
      <c r="R239" s="24" t="n"/>
      <c r="S239" s="25">
        <f>IF(R239="","",IF(AND(LEFT(R239,4)&lt;&gt;"http",set_RMSBase=""),"",HYPERLINK(IF(LEFT(R239,4)="http",R239,set_RMSBase&amp;R239),"Open opportunity")))</f>
        <v/>
      </c>
      <c r="T239" s="24" t="n"/>
      <c r="U239" s="25">
        <f>IF(T239="","",HYPERLINK(IF(LEFT(T239,4)="http",T239,set_QwilrBase&amp;T239),"Open quote"))</f>
        <v/>
      </c>
      <c r="V239" s="25">
        <f>IF(C239="","",C239)</f>
        <v/>
      </c>
      <c r="W239" s="24" t="n"/>
      <c r="X239" s="26" t="n"/>
      <c r="Y239" s="27">
        <f>IF(C239="","",H239+N(X239))</f>
        <v/>
      </c>
      <c r="Z239" s="29">
        <f>IFERROR(X239/Y239,"")</f>
        <v/>
      </c>
      <c r="AA239" s="26" t="n"/>
      <c r="AB239" s="26" t="n"/>
      <c r="AC239" s="26" t="n"/>
      <c r="AD239" s="26" t="n"/>
      <c r="AE239" s="27">
        <f>IF(C239="","",SUMIFS(tbl_Finance[Ex GST],tbl_Finance[Job Number],C239&amp;"",tbl_Finance[Cost Centre],"VIDEO"))</f>
        <v/>
      </c>
      <c r="AF239" s="29">
        <f>IFERROR(AE239/H239,"")</f>
        <v/>
      </c>
      <c r="AG239" s="27">
        <f>IF(C239="","",N(AA239)+N(AB239)+N(AC239)+N(AD239))</f>
        <v/>
      </c>
      <c r="AH239" s="27">
        <f>IF(C239="","",H239-AG239)</f>
        <v/>
      </c>
      <c r="AI239" s="29">
        <f>IFERROR(AH239/H239,"")</f>
        <v/>
      </c>
      <c r="AJ239" s="64" t="n"/>
      <c r="AK239" s="64" t="n"/>
      <c r="AL239" s="64" t="n"/>
      <c r="AM239" s="64" t="n"/>
      <c r="AN239" s="64" t="n"/>
      <c r="AO239" s="24" t="n"/>
    </row>
    <row r="240" ht="15" customHeight="1">
      <c r="A240" s="63">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7">
        <f>IF(C240="","",SUMIFS(tbl_Finance[Inc GST],tbl_Finance[Job Number],C240&amp;""))</f>
        <v/>
      </c>
      <c r="M240" s="24" t="n"/>
      <c r="N240" s="25">
        <f>IF(C240="","",IFERROR(INDEX(tbl_Finance[Description],MATCH(C240&amp;"",tbl_Finance[Job Number],0)),""))</f>
        <v/>
      </c>
      <c r="O240" s="24" t="n"/>
      <c r="P240" s="24" t="n"/>
      <c r="Q240" s="22" t="n"/>
      <c r="R240" s="24" t="n"/>
      <c r="S240" s="25">
        <f>IF(R240="","",IF(AND(LEFT(R240,4)&lt;&gt;"http",set_RMSBase=""),"",HYPERLINK(IF(LEFT(R240,4)="http",R240,set_RMSBase&amp;R240),"Open opportunity")))</f>
        <v/>
      </c>
      <c r="T240" s="24" t="n"/>
      <c r="U240" s="25">
        <f>IF(T240="","",HYPERLINK(IF(LEFT(T240,4)="http",T240,set_QwilrBase&amp;T240),"Open quote"))</f>
        <v/>
      </c>
      <c r="V240" s="25">
        <f>IF(C240="","",C240)</f>
        <v/>
      </c>
      <c r="W240" s="24" t="n"/>
      <c r="X240" s="26" t="n"/>
      <c r="Y240" s="27">
        <f>IF(C240="","",H240+N(X240))</f>
        <v/>
      </c>
      <c r="Z240" s="29">
        <f>IFERROR(X240/Y240,"")</f>
        <v/>
      </c>
      <c r="AA240" s="26" t="n"/>
      <c r="AB240" s="26" t="n"/>
      <c r="AC240" s="26" t="n"/>
      <c r="AD240" s="26" t="n"/>
      <c r="AE240" s="27">
        <f>IF(C240="","",SUMIFS(tbl_Finance[Ex GST],tbl_Finance[Job Number],C240&amp;"",tbl_Finance[Cost Centre],"VIDEO"))</f>
        <v/>
      </c>
      <c r="AF240" s="29">
        <f>IFERROR(AE240/H240,"")</f>
        <v/>
      </c>
      <c r="AG240" s="27">
        <f>IF(C240="","",N(AA240)+N(AB240)+N(AC240)+N(AD240))</f>
        <v/>
      </c>
      <c r="AH240" s="27">
        <f>IF(C240="","",H240-AG240)</f>
        <v/>
      </c>
      <c r="AI240" s="29">
        <f>IFERROR(AH240/H240,"")</f>
        <v/>
      </c>
      <c r="AJ240" s="64" t="n"/>
      <c r="AK240" s="64" t="n"/>
      <c r="AL240" s="64" t="n"/>
      <c r="AM240" s="64" t="n"/>
      <c r="AN240" s="64" t="n"/>
      <c r="AO240" s="24" t="n"/>
    </row>
    <row r="241" ht="15" customHeight="1">
      <c r="A241" s="63">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7">
        <f>IF(C241="","",SUMIFS(tbl_Finance[Inc GST],tbl_Finance[Job Number],C241&amp;""))</f>
        <v/>
      </c>
      <c r="M241" s="24" t="n"/>
      <c r="N241" s="25">
        <f>IF(C241="","",IFERROR(INDEX(tbl_Finance[Description],MATCH(C241&amp;"",tbl_Finance[Job Number],0)),""))</f>
        <v/>
      </c>
      <c r="O241" s="24" t="n"/>
      <c r="P241" s="24" t="n"/>
      <c r="Q241" s="22" t="n"/>
      <c r="R241" s="24" t="n"/>
      <c r="S241" s="25">
        <f>IF(R241="","",IF(AND(LEFT(R241,4)&lt;&gt;"http",set_RMSBase=""),"",HYPERLINK(IF(LEFT(R241,4)="http",R241,set_RMSBase&amp;R241),"Open opportunity")))</f>
        <v/>
      </c>
      <c r="T241" s="24" t="n"/>
      <c r="U241" s="25">
        <f>IF(T241="","",HYPERLINK(IF(LEFT(T241,4)="http",T241,set_QwilrBase&amp;T241),"Open quote"))</f>
        <v/>
      </c>
      <c r="V241" s="25">
        <f>IF(C241="","",C241)</f>
        <v/>
      </c>
      <c r="W241" s="24" t="n"/>
      <c r="X241" s="26" t="n"/>
      <c r="Y241" s="27">
        <f>IF(C241="","",H241+N(X241))</f>
        <v/>
      </c>
      <c r="Z241" s="29">
        <f>IFERROR(X241/Y241,"")</f>
        <v/>
      </c>
      <c r="AA241" s="26" t="n"/>
      <c r="AB241" s="26" t="n"/>
      <c r="AC241" s="26" t="n"/>
      <c r="AD241" s="26" t="n"/>
      <c r="AE241" s="27">
        <f>IF(C241="","",SUMIFS(tbl_Finance[Ex GST],tbl_Finance[Job Number],C241&amp;"",tbl_Finance[Cost Centre],"VIDEO"))</f>
        <v/>
      </c>
      <c r="AF241" s="29">
        <f>IFERROR(AE241/H241,"")</f>
        <v/>
      </c>
      <c r="AG241" s="27">
        <f>IF(C241="","",N(AA241)+N(AB241)+N(AC241)+N(AD241))</f>
        <v/>
      </c>
      <c r="AH241" s="27">
        <f>IF(C241="","",H241-AG241)</f>
        <v/>
      </c>
      <c r="AI241" s="29">
        <f>IFERROR(AH241/H241,"")</f>
        <v/>
      </c>
      <c r="AJ241" s="64" t="n"/>
      <c r="AK241" s="64" t="n"/>
      <c r="AL241" s="64" t="n"/>
      <c r="AM241" s="64" t="n"/>
      <c r="AN241" s="64" t="n"/>
      <c r="AO241" s="24" t="n"/>
    </row>
    <row r="242" ht="15" customHeight="1">
      <c r="A242" s="63">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7">
        <f>IF(C242="","",SUMIFS(tbl_Finance[Inc GST],tbl_Finance[Job Number],C242&amp;""))</f>
        <v/>
      </c>
      <c r="M242" s="24" t="n"/>
      <c r="N242" s="25">
        <f>IF(C242="","",IFERROR(INDEX(tbl_Finance[Description],MATCH(C242&amp;"",tbl_Finance[Job Number],0)),""))</f>
        <v/>
      </c>
      <c r="O242" s="24" t="n"/>
      <c r="P242" s="24" t="n"/>
      <c r="Q242" s="22" t="n"/>
      <c r="R242" s="24" t="n"/>
      <c r="S242" s="25">
        <f>IF(R242="","",IF(AND(LEFT(R242,4)&lt;&gt;"http",set_RMSBase=""),"",HYPERLINK(IF(LEFT(R242,4)="http",R242,set_RMSBase&amp;R242),"Open opportunity")))</f>
        <v/>
      </c>
      <c r="T242" s="24" t="n"/>
      <c r="U242" s="25">
        <f>IF(T242="","",HYPERLINK(IF(LEFT(T242,4)="http",T242,set_QwilrBase&amp;T242),"Open quote"))</f>
        <v/>
      </c>
      <c r="V242" s="25">
        <f>IF(C242="","",C242)</f>
        <v/>
      </c>
      <c r="W242" s="24" t="n"/>
      <c r="X242" s="26" t="n"/>
      <c r="Y242" s="27">
        <f>IF(C242="","",H242+N(X242))</f>
        <v/>
      </c>
      <c r="Z242" s="29">
        <f>IFERROR(X242/Y242,"")</f>
        <v/>
      </c>
      <c r="AA242" s="26" t="n"/>
      <c r="AB242" s="26" t="n"/>
      <c r="AC242" s="26" t="n"/>
      <c r="AD242" s="26" t="n"/>
      <c r="AE242" s="27">
        <f>IF(C242="","",SUMIFS(tbl_Finance[Ex GST],tbl_Finance[Job Number],C242&amp;"",tbl_Finance[Cost Centre],"VIDEO"))</f>
        <v/>
      </c>
      <c r="AF242" s="29">
        <f>IFERROR(AE242/H242,"")</f>
        <v/>
      </c>
      <c r="AG242" s="27">
        <f>IF(C242="","",N(AA242)+N(AB242)+N(AC242)+N(AD242))</f>
        <v/>
      </c>
      <c r="AH242" s="27">
        <f>IF(C242="","",H242-AG242)</f>
        <v/>
      </c>
      <c r="AI242" s="29">
        <f>IFERROR(AH242/H242,"")</f>
        <v/>
      </c>
      <c r="AJ242" s="64" t="n"/>
      <c r="AK242" s="64" t="n"/>
      <c r="AL242" s="64" t="n"/>
      <c r="AM242" s="64" t="n"/>
      <c r="AN242" s="64" t="n"/>
      <c r="AO242" s="24" t="n"/>
    </row>
    <row r="243" ht="15" customHeight="1">
      <c r="A243" s="63">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7">
        <f>IF(C243="","",SUMIFS(tbl_Finance[Inc GST],tbl_Finance[Job Number],C243&amp;""))</f>
        <v/>
      </c>
      <c r="M243" s="24" t="n"/>
      <c r="N243" s="25">
        <f>IF(C243="","",IFERROR(INDEX(tbl_Finance[Description],MATCH(C243&amp;"",tbl_Finance[Job Number],0)),""))</f>
        <v/>
      </c>
      <c r="O243" s="24" t="n"/>
      <c r="P243" s="24" t="n"/>
      <c r="Q243" s="22" t="n"/>
      <c r="R243" s="24" t="n"/>
      <c r="S243" s="25">
        <f>IF(R243="","",IF(AND(LEFT(R243,4)&lt;&gt;"http",set_RMSBase=""),"",HYPERLINK(IF(LEFT(R243,4)="http",R243,set_RMSBase&amp;R243),"Open opportunity")))</f>
        <v/>
      </c>
      <c r="T243" s="24" t="n"/>
      <c r="U243" s="25">
        <f>IF(T243="","",HYPERLINK(IF(LEFT(T243,4)="http",T243,set_QwilrBase&amp;T243),"Open quote"))</f>
        <v/>
      </c>
      <c r="V243" s="25">
        <f>IF(C243="","",C243)</f>
        <v/>
      </c>
      <c r="W243" s="24" t="n"/>
      <c r="X243" s="26" t="n"/>
      <c r="Y243" s="27">
        <f>IF(C243="","",H243+N(X243))</f>
        <v/>
      </c>
      <c r="Z243" s="29">
        <f>IFERROR(X243/Y243,"")</f>
        <v/>
      </c>
      <c r="AA243" s="26" t="n"/>
      <c r="AB243" s="26" t="n"/>
      <c r="AC243" s="26" t="n"/>
      <c r="AD243" s="26" t="n"/>
      <c r="AE243" s="27">
        <f>IF(C243="","",SUMIFS(tbl_Finance[Ex GST],tbl_Finance[Job Number],C243&amp;"",tbl_Finance[Cost Centre],"VIDEO"))</f>
        <v/>
      </c>
      <c r="AF243" s="29">
        <f>IFERROR(AE243/H243,"")</f>
        <v/>
      </c>
      <c r="AG243" s="27">
        <f>IF(C243="","",N(AA243)+N(AB243)+N(AC243)+N(AD243))</f>
        <v/>
      </c>
      <c r="AH243" s="27">
        <f>IF(C243="","",H243-AG243)</f>
        <v/>
      </c>
      <c r="AI243" s="29">
        <f>IFERROR(AH243/H243,"")</f>
        <v/>
      </c>
      <c r="AJ243" s="64" t="n"/>
      <c r="AK243" s="64" t="n"/>
      <c r="AL243" s="64" t="n"/>
      <c r="AM243" s="64" t="n"/>
      <c r="AN243" s="64" t="n"/>
      <c r="AO243" s="24" t="n"/>
    </row>
    <row r="244" ht="15" customHeight="1">
      <c r="A244" s="63">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7">
        <f>IF(C244="","",SUMIFS(tbl_Finance[Inc GST],tbl_Finance[Job Number],C244&amp;""))</f>
        <v/>
      </c>
      <c r="M244" s="24" t="n"/>
      <c r="N244" s="25">
        <f>IF(C244="","",IFERROR(INDEX(tbl_Finance[Description],MATCH(C244&amp;"",tbl_Finance[Job Number],0)),""))</f>
        <v/>
      </c>
      <c r="O244" s="24" t="n"/>
      <c r="P244" s="24" t="n"/>
      <c r="Q244" s="22" t="n"/>
      <c r="R244" s="24" t="n"/>
      <c r="S244" s="25">
        <f>IF(R244="","",IF(AND(LEFT(R244,4)&lt;&gt;"http",set_RMSBase=""),"",HYPERLINK(IF(LEFT(R244,4)="http",R244,set_RMSBase&amp;R244),"Open opportunity")))</f>
        <v/>
      </c>
      <c r="T244" s="24" t="n"/>
      <c r="U244" s="25">
        <f>IF(T244="","",HYPERLINK(IF(LEFT(T244,4)="http",T244,set_QwilrBase&amp;T244),"Open quote"))</f>
        <v/>
      </c>
      <c r="V244" s="25">
        <f>IF(C244="","",C244)</f>
        <v/>
      </c>
      <c r="W244" s="24" t="n"/>
      <c r="X244" s="26" t="n"/>
      <c r="Y244" s="27">
        <f>IF(C244="","",H244+N(X244))</f>
        <v/>
      </c>
      <c r="Z244" s="29">
        <f>IFERROR(X244/Y244,"")</f>
        <v/>
      </c>
      <c r="AA244" s="26" t="n"/>
      <c r="AB244" s="26" t="n"/>
      <c r="AC244" s="26" t="n"/>
      <c r="AD244" s="26" t="n"/>
      <c r="AE244" s="27">
        <f>IF(C244="","",SUMIFS(tbl_Finance[Ex GST],tbl_Finance[Job Number],C244&amp;"",tbl_Finance[Cost Centre],"VIDEO"))</f>
        <v/>
      </c>
      <c r="AF244" s="29">
        <f>IFERROR(AE244/H244,"")</f>
        <v/>
      </c>
      <c r="AG244" s="27">
        <f>IF(C244="","",N(AA244)+N(AB244)+N(AC244)+N(AD244))</f>
        <v/>
      </c>
      <c r="AH244" s="27">
        <f>IF(C244="","",H244-AG244)</f>
        <v/>
      </c>
      <c r="AI244" s="29">
        <f>IFERROR(AH244/H244,"")</f>
        <v/>
      </c>
      <c r="AJ244" s="64" t="n"/>
      <c r="AK244" s="64" t="n"/>
      <c r="AL244" s="64" t="n"/>
      <c r="AM244" s="64" t="n"/>
      <c r="AN244" s="64" t="n"/>
      <c r="AO244" s="24" t="n"/>
    </row>
    <row r="245" ht="15" customHeight="1">
      <c r="A245" s="63">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7">
        <f>IF(C245="","",SUMIFS(tbl_Finance[Inc GST],tbl_Finance[Job Number],C245&amp;""))</f>
        <v/>
      </c>
      <c r="M245" s="24" t="n"/>
      <c r="N245" s="25">
        <f>IF(C245="","",IFERROR(INDEX(tbl_Finance[Description],MATCH(C245&amp;"",tbl_Finance[Job Number],0)),""))</f>
        <v/>
      </c>
      <c r="O245" s="24" t="n"/>
      <c r="P245" s="24" t="n"/>
      <c r="Q245" s="22" t="n"/>
      <c r="R245" s="24" t="n"/>
      <c r="S245" s="25">
        <f>IF(R245="","",IF(AND(LEFT(R245,4)&lt;&gt;"http",set_RMSBase=""),"",HYPERLINK(IF(LEFT(R245,4)="http",R245,set_RMSBase&amp;R245),"Open opportunity")))</f>
        <v/>
      </c>
      <c r="T245" s="24" t="n"/>
      <c r="U245" s="25">
        <f>IF(T245="","",HYPERLINK(IF(LEFT(T245,4)="http",T245,set_QwilrBase&amp;T245),"Open quote"))</f>
        <v/>
      </c>
      <c r="V245" s="25">
        <f>IF(C245="","",C245)</f>
        <v/>
      </c>
      <c r="W245" s="24" t="n"/>
      <c r="X245" s="26" t="n"/>
      <c r="Y245" s="27">
        <f>IF(C245="","",H245+N(X245))</f>
        <v/>
      </c>
      <c r="Z245" s="29">
        <f>IFERROR(X245/Y245,"")</f>
        <v/>
      </c>
      <c r="AA245" s="26" t="n"/>
      <c r="AB245" s="26" t="n"/>
      <c r="AC245" s="26" t="n"/>
      <c r="AD245" s="26" t="n"/>
      <c r="AE245" s="27">
        <f>IF(C245="","",SUMIFS(tbl_Finance[Ex GST],tbl_Finance[Job Number],C245&amp;"",tbl_Finance[Cost Centre],"VIDEO"))</f>
        <v/>
      </c>
      <c r="AF245" s="29">
        <f>IFERROR(AE245/H245,"")</f>
        <v/>
      </c>
      <c r="AG245" s="27">
        <f>IF(C245="","",N(AA245)+N(AB245)+N(AC245)+N(AD245))</f>
        <v/>
      </c>
      <c r="AH245" s="27">
        <f>IF(C245="","",H245-AG245)</f>
        <v/>
      </c>
      <c r="AI245" s="29">
        <f>IFERROR(AH245/H245,"")</f>
        <v/>
      </c>
      <c r="AJ245" s="64" t="n"/>
      <c r="AK245" s="64" t="n"/>
      <c r="AL245" s="64" t="n"/>
      <c r="AM245" s="64" t="n"/>
      <c r="AN245" s="64" t="n"/>
      <c r="AO245" s="24" t="n"/>
    </row>
    <row r="246" ht="15" customHeight="1">
      <c r="A246" s="63">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7">
        <f>IF(C246="","",SUMIFS(tbl_Finance[Inc GST],tbl_Finance[Job Number],C246&amp;""))</f>
        <v/>
      </c>
      <c r="M246" s="24" t="n"/>
      <c r="N246" s="25">
        <f>IF(C246="","",IFERROR(INDEX(tbl_Finance[Description],MATCH(C246&amp;"",tbl_Finance[Job Number],0)),""))</f>
        <v/>
      </c>
      <c r="O246" s="24" t="n"/>
      <c r="P246" s="24" t="n"/>
      <c r="Q246" s="22" t="n"/>
      <c r="R246" s="24" t="n"/>
      <c r="S246" s="25">
        <f>IF(R246="","",IF(AND(LEFT(R246,4)&lt;&gt;"http",set_RMSBase=""),"",HYPERLINK(IF(LEFT(R246,4)="http",R246,set_RMSBase&amp;R246),"Open opportunity")))</f>
        <v/>
      </c>
      <c r="T246" s="24" t="n"/>
      <c r="U246" s="25">
        <f>IF(T246="","",HYPERLINK(IF(LEFT(T246,4)="http",T246,set_QwilrBase&amp;T246),"Open quote"))</f>
        <v/>
      </c>
      <c r="V246" s="25">
        <f>IF(C246="","",C246)</f>
        <v/>
      </c>
      <c r="W246" s="24" t="n"/>
      <c r="X246" s="26" t="n"/>
      <c r="Y246" s="27">
        <f>IF(C246="","",H246+N(X246))</f>
        <v/>
      </c>
      <c r="Z246" s="29">
        <f>IFERROR(X246/Y246,"")</f>
        <v/>
      </c>
      <c r="AA246" s="26" t="n"/>
      <c r="AB246" s="26" t="n"/>
      <c r="AC246" s="26" t="n"/>
      <c r="AD246" s="26" t="n"/>
      <c r="AE246" s="27">
        <f>IF(C246="","",SUMIFS(tbl_Finance[Ex GST],tbl_Finance[Job Number],C246&amp;"",tbl_Finance[Cost Centre],"VIDEO"))</f>
        <v/>
      </c>
      <c r="AF246" s="29">
        <f>IFERROR(AE246/H246,"")</f>
        <v/>
      </c>
      <c r="AG246" s="27">
        <f>IF(C246="","",N(AA246)+N(AB246)+N(AC246)+N(AD246))</f>
        <v/>
      </c>
      <c r="AH246" s="27">
        <f>IF(C246="","",H246-AG246)</f>
        <v/>
      </c>
      <c r="AI246" s="29">
        <f>IFERROR(AH246/H246,"")</f>
        <v/>
      </c>
      <c r="AJ246" s="64" t="n"/>
      <c r="AK246" s="64" t="n"/>
      <c r="AL246" s="64" t="n"/>
      <c r="AM246" s="64" t="n"/>
      <c r="AN246" s="64" t="n"/>
      <c r="AO246" s="24" t="n"/>
    </row>
    <row r="247" ht="15" customHeight="1">
      <c r="A247" s="63">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7">
        <f>IF(C247="","",SUMIFS(tbl_Finance[Inc GST],tbl_Finance[Job Number],C247&amp;""))</f>
        <v/>
      </c>
      <c r="M247" s="24" t="n"/>
      <c r="N247" s="25">
        <f>IF(C247="","",IFERROR(INDEX(tbl_Finance[Description],MATCH(C247&amp;"",tbl_Finance[Job Number],0)),""))</f>
        <v/>
      </c>
      <c r="O247" s="24" t="n"/>
      <c r="P247" s="24" t="n"/>
      <c r="Q247" s="22" t="n"/>
      <c r="R247" s="24" t="n"/>
      <c r="S247" s="25">
        <f>IF(R247="","",IF(AND(LEFT(R247,4)&lt;&gt;"http",set_RMSBase=""),"",HYPERLINK(IF(LEFT(R247,4)="http",R247,set_RMSBase&amp;R247),"Open opportunity")))</f>
        <v/>
      </c>
      <c r="T247" s="24" t="n"/>
      <c r="U247" s="25">
        <f>IF(T247="","",HYPERLINK(IF(LEFT(T247,4)="http",T247,set_QwilrBase&amp;T247),"Open quote"))</f>
        <v/>
      </c>
      <c r="V247" s="25">
        <f>IF(C247="","",C247)</f>
        <v/>
      </c>
      <c r="W247" s="24" t="n"/>
      <c r="X247" s="26" t="n"/>
      <c r="Y247" s="27">
        <f>IF(C247="","",H247+N(X247))</f>
        <v/>
      </c>
      <c r="Z247" s="29">
        <f>IFERROR(X247/Y247,"")</f>
        <v/>
      </c>
      <c r="AA247" s="26" t="n"/>
      <c r="AB247" s="26" t="n"/>
      <c r="AC247" s="26" t="n"/>
      <c r="AD247" s="26" t="n"/>
      <c r="AE247" s="27">
        <f>IF(C247="","",SUMIFS(tbl_Finance[Ex GST],tbl_Finance[Job Number],C247&amp;"",tbl_Finance[Cost Centre],"VIDEO"))</f>
        <v/>
      </c>
      <c r="AF247" s="29">
        <f>IFERROR(AE247/H247,"")</f>
        <v/>
      </c>
      <c r="AG247" s="27">
        <f>IF(C247="","",N(AA247)+N(AB247)+N(AC247)+N(AD247))</f>
        <v/>
      </c>
      <c r="AH247" s="27">
        <f>IF(C247="","",H247-AG247)</f>
        <v/>
      </c>
      <c r="AI247" s="29">
        <f>IFERROR(AH247/H247,"")</f>
        <v/>
      </c>
      <c r="AJ247" s="64" t="n"/>
      <c r="AK247" s="64" t="n"/>
      <c r="AL247" s="64" t="n"/>
      <c r="AM247" s="64" t="n"/>
      <c r="AN247" s="64" t="n"/>
      <c r="AO247" s="24" t="n"/>
    </row>
    <row r="248" ht="15" customHeight="1">
      <c r="A248" s="63">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7">
        <f>IF(C248="","",SUMIFS(tbl_Finance[Inc GST],tbl_Finance[Job Number],C248&amp;""))</f>
        <v/>
      </c>
      <c r="M248" s="24" t="n"/>
      <c r="N248" s="25">
        <f>IF(C248="","",IFERROR(INDEX(tbl_Finance[Description],MATCH(C248&amp;"",tbl_Finance[Job Number],0)),""))</f>
        <v/>
      </c>
      <c r="O248" s="24" t="n"/>
      <c r="P248" s="24" t="n"/>
      <c r="Q248" s="22" t="n"/>
      <c r="R248" s="24" t="n"/>
      <c r="S248" s="25">
        <f>IF(R248="","",IF(AND(LEFT(R248,4)&lt;&gt;"http",set_RMSBase=""),"",HYPERLINK(IF(LEFT(R248,4)="http",R248,set_RMSBase&amp;R248),"Open opportunity")))</f>
        <v/>
      </c>
      <c r="T248" s="24" t="n"/>
      <c r="U248" s="25">
        <f>IF(T248="","",HYPERLINK(IF(LEFT(T248,4)="http",T248,set_QwilrBase&amp;T248),"Open quote"))</f>
        <v/>
      </c>
      <c r="V248" s="25">
        <f>IF(C248="","",C248)</f>
        <v/>
      </c>
      <c r="W248" s="24" t="n"/>
      <c r="X248" s="26" t="n"/>
      <c r="Y248" s="27">
        <f>IF(C248="","",H248+N(X248))</f>
        <v/>
      </c>
      <c r="Z248" s="29">
        <f>IFERROR(X248/Y248,"")</f>
        <v/>
      </c>
      <c r="AA248" s="26" t="n"/>
      <c r="AB248" s="26" t="n"/>
      <c r="AC248" s="26" t="n"/>
      <c r="AD248" s="26" t="n"/>
      <c r="AE248" s="27">
        <f>IF(C248="","",SUMIFS(tbl_Finance[Ex GST],tbl_Finance[Job Number],C248&amp;"",tbl_Finance[Cost Centre],"VIDEO"))</f>
        <v/>
      </c>
      <c r="AF248" s="29">
        <f>IFERROR(AE248/H248,"")</f>
        <v/>
      </c>
      <c r="AG248" s="27">
        <f>IF(C248="","",N(AA248)+N(AB248)+N(AC248)+N(AD248))</f>
        <v/>
      </c>
      <c r="AH248" s="27">
        <f>IF(C248="","",H248-AG248)</f>
        <v/>
      </c>
      <c r="AI248" s="29">
        <f>IFERROR(AH248/H248,"")</f>
        <v/>
      </c>
      <c r="AJ248" s="64" t="n"/>
      <c r="AK248" s="64" t="n"/>
      <c r="AL248" s="64" t="n"/>
      <c r="AM248" s="64" t="n"/>
      <c r="AN248" s="64" t="n"/>
      <c r="AO248" s="24" t="n"/>
    </row>
    <row r="249" ht="15" customHeight="1">
      <c r="A249" s="63">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7">
        <f>IF(C249="","",SUMIFS(tbl_Finance[Inc GST],tbl_Finance[Job Number],C249&amp;""))</f>
        <v/>
      </c>
      <c r="M249" s="24" t="n"/>
      <c r="N249" s="25">
        <f>IF(C249="","",IFERROR(INDEX(tbl_Finance[Description],MATCH(C249&amp;"",tbl_Finance[Job Number],0)),""))</f>
        <v/>
      </c>
      <c r="O249" s="24" t="n"/>
      <c r="P249" s="24" t="n"/>
      <c r="Q249" s="22" t="n"/>
      <c r="R249" s="24" t="n"/>
      <c r="S249" s="25">
        <f>IF(R249="","",IF(AND(LEFT(R249,4)&lt;&gt;"http",set_RMSBase=""),"",HYPERLINK(IF(LEFT(R249,4)="http",R249,set_RMSBase&amp;R249),"Open opportunity")))</f>
        <v/>
      </c>
      <c r="T249" s="24" t="n"/>
      <c r="U249" s="25">
        <f>IF(T249="","",HYPERLINK(IF(LEFT(T249,4)="http",T249,set_QwilrBase&amp;T249),"Open quote"))</f>
        <v/>
      </c>
      <c r="V249" s="25">
        <f>IF(C249="","",C249)</f>
        <v/>
      </c>
      <c r="W249" s="24" t="n"/>
      <c r="X249" s="26" t="n"/>
      <c r="Y249" s="27">
        <f>IF(C249="","",H249+N(X249))</f>
        <v/>
      </c>
      <c r="Z249" s="29">
        <f>IFERROR(X249/Y249,"")</f>
        <v/>
      </c>
      <c r="AA249" s="26" t="n"/>
      <c r="AB249" s="26" t="n"/>
      <c r="AC249" s="26" t="n"/>
      <c r="AD249" s="26" t="n"/>
      <c r="AE249" s="27">
        <f>IF(C249="","",SUMIFS(tbl_Finance[Ex GST],tbl_Finance[Job Number],C249&amp;"",tbl_Finance[Cost Centre],"VIDEO"))</f>
        <v/>
      </c>
      <c r="AF249" s="29">
        <f>IFERROR(AE249/H249,"")</f>
        <v/>
      </c>
      <c r="AG249" s="27">
        <f>IF(C249="","",N(AA249)+N(AB249)+N(AC249)+N(AD249))</f>
        <v/>
      </c>
      <c r="AH249" s="27">
        <f>IF(C249="","",H249-AG249)</f>
        <v/>
      </c>
      <c r="AI249" s="29">
        <f>IFERROR(AH249/H249,"")</f>
        <v/>
      </c>
      <c r="AJ249" s="64" t="n"/>
      <c r="AK249" s="64" t="n"/>
      <c r="AL249" s="64" t="n"/>
      <c r="AM249" s="64" t="n"/>
      <c r="AN249" s="64" t="n"/>
      <c r="AO249" s="24" t="n"/>
    </row>
    <row r="250" ht="15" customHeight="1">
      <c r="A250" s="63">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7">
        <f>IF(C250="","",SUMIFS(tbl_Finance[Inc GST],tbl_Finance[Job Number],C250&amp;""))</f>
        <v/>
      </c>
      <c r="M250" s="24" t="n"/>
      <c r="N250" s="25">
        <f>IF(C250="","",IFERROR(INDEX(tbl_Finance[Description],MATCH(C250&amp;"",tbl_Finance[Job Number],0)),""))</f>
        <v/>
      </c>
      <c r="O250" s="24" t="n"/>
      <c r="P250" s="24" t="n"/>
      <c r="Q250" s="22" t="n"/>
      <c r="R250" s="24" t="n"/>
      <c r="S250" s="25">
        <f>IF(R250="","",IF(AND(LEFT(R250,4)&lt;&gt;"http",set_RMSBase=""),"",HYPERLINK(IF(LEFT(R250,4)="http",R250,set_RMSBase&amp;R250),"Open opportunity")))</f>
        <v/>
      </c>
      <c r="T250" s="24" t="n"/>
      <c r="U250" s="25">
        <f>IF(T250="","",HYPERLINK(IF(LEFT(T250,4)="http",T250,set_QwilrBase&amp;T250),"Open quote"))</f>
        <v/>
      </c>
      <c r="V250" s="25">
        <f>IF(C250="","",C250)</f>
        <v/>
      </c>
      <c r="W250" s="24" t="n"/>
      <c r="X250" s="26" t="n"/>
      <c r="Y250" s="27">
        <f>IF(C250="","",H250+N(X250))</f>
        <v/>
      </c>
      <c r="Z250" s="29">
        <f>IFERROR(X250/Y250,"")</f>
        <v/>
      </c>
      <c r="AA250" s="26" t="n"/>
      <c r="AB250" s="26" t="n"/>
      <c r="AC250" s="26" t="n"/>
      <c r="AD250" s="26" t="n"/>
      <c r="AE250" s="27">
        <f>IF(C250="","",SUMIFS(tbl_Finance[Ex GST],tbl_Finance[Job Number],C250&amp;"",tbl_Finance[Cost Centre],"VIDEO"))</f>
        <v/>
      </c>
      <c r="AF250" s="29">
        <f>IFERROR(AE250/H250,"")</f>
        <v/>
      </c>
      <c r="AG250" s="27">
        <f>IF(C250="","",N(AA250)+N(AB250)+N(AC250)+N(AD250))</f>
        <v/>
      </c>
      <c r="AH250" s="27">
        <f>IF(C250="","",H250-AG250)</f>
        <v/>
      </c>
      <c r="AI250" s="29">
        <f>IFERROR(AH250/H250,"")</f>
        <v/>
      </c>
      <c r="AJ250" s="64" t="n"/>
      <c r="AK250" s="64" t="n"/>
      <c r="AL250" s="64" t="n"/>
      <c r="AM250" s="64" t="n"/>
      <c r="AN250" s="64" t="n"/>
      <c r="AO250" s="24" t="n"/>
    </row>
    <row r="251" ht="15" customHeight="1">
      <c r="A251" s="63">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7">
        <f>IF(C251="","",SUMIFS(tbl_Finance[Inc GST],tbl_Finance[Job Number],C251&amp;""))</f>
        <v/>
      </c>
      <c r="M251" s="24" t="n"/>
      <c r="N251" s="25">
        <f>IF(C251="","",IFERROR(INDEX(tbl_Finance[Description],MATCH(C251&amp;"",tbl_Finance[Job Number],0)),""))</f>
        <v/>
      </c>
      <c r="O251" s="24" t="n"/>
      <c r="P251" s="24" t="n"/>
      <c r="Q251" s="22" t="n"/>
      <c r="R251" s="24" t="n"/>
      <c r="S251" s="25">
        <f>IF(R251="","",IF(AND(LEFT(R251,4)&lt;&gt;"http",set_RMSBase=""),"",HYPERLINK(IF(LEFT(R251,4)="http",R251,set_RMSBase&amp;R251),"Open opportunity")))</f>
        <v/>
      </c>
      <c r="T251" s="24" t="n"/>
      <c r="U251" s="25">
        <f>IF(T251="","",HYPERLINK(IF(LEFT(T251,4)="http",T251,set_QwilrBase&amp;T251),"Open quote"))</f>
        <v/>
      </c>
      <c r="V251" s="25">
        <f>IF(C251="","",C251)</f>
        <v/>
      </c>
      <c r="W251" s="24" t="n"/>
      <c r="X251" s="26" t="n"/>
      <c r="Y251" s="27">
        <f>IF(C251="","",H251+N(X251))</f>
        <v/>
      </c>
      <c r="Z251" s="29">
        <f>IFERROR(X251/Y251,"")</f>
        <v/>
      </c>
      <c r="AA251" s="26" t="n"/>
      <c r="AB251" s="26" t="n"/>
      <c r="AC251" s="26" t="n"/>
      <c r="AD251" s="26" t="n"/>
      <c r="AE251" s="27">
        <f>IF(C251="","",SUMIFS(tbl_Finance[Ex GST],tbl_Finance[Job Number],C251&amp;"",tbl_Finance[Cost Centre],"VIDEO"))</f>
        <v/>
      </c>
      <c r="AF251" s="29">
        <f>IFERROR(AE251/H251,"")</f>
        <v/>
      </c>
      <c r="AG251" s="27">
        <f>IF(C251="","",N(AA251)+N(AB251)+N(AC251)+N(AD251))</f>
        <v/>
      </c>
      <c r="AH251" s="27">
        <f>IF(C251="","",H251-AG251)</f>
        <v/>
      </c>
      <c r="AI251" s="29">
        <f>IFERROR(AH251/H251,"")</f>
        <v/>
      </c>
      <c r="AJ251" s="64" t="n"/>
      <c r="AK251" s="64" t="n"/>
      <c r="AL251" s="64" t="n"/>
      <c r="AM251" s="64" t="n"/>
      <c r="AN251" s="64" t="n"/>
      <c r="AO251" s="24" t="n"/>
    </row>
    <row r="252" ht="15" customHeight="1">
      <c r="A252" s="63">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7">
        <f>IF(C252="","",SUMIFS(tbl_Finance[Inc GST],tbl_Finance[Job Number],C252&amp;""))</f>
        <v/>
      </c>
      <c r="M252" s="24" t="n"/>
      <c r="N252" s="25">
        <f>IF(C252="","",IFERROR(INDEX(tbl_Finance[Description],MATCH(C252&amp;"",tbl_Finance[Job Number],0)),""))</f>
        <v/>
      </c>
      <c r="O252" s="24" t="n"/>
      <c r="P252" s="24" t="n"/>
      <c r="Q252" s="22" t="n"/>
      <c r="R252" s="24" t="n"/>
      <c r="S252" s="25">
        <f>IF(R252="","",IF(AND(LEFT(R252,4)&lt;&gt;"http",set_RMSBase=""),"",HYPERLINK(IF(LEFT(R252,4)="http",R252,set_RMSBase&amp;R252),"Open opportunity")))</f>
        <v/>
      </c>
      <c r="T252" s="24" t="n"/>
      <c r="U252" s="25">
        <f>IF(T252="","",HYPERLINK(IF(LEFT(T252,4)="http",T252,set_QwilrBase&amp;T252),"Open quote"))</f>
        <v/>
      </c>
      <c r="V252" s="25">
        <f>IF(C252="","",C252)</f>
        <v/>
      </c>
      <c r="W252" s="24" t="n"/>
      <c r="X252" s="26" t="n"/>
      <c r="Y252" s="27">
        <f>IF(C252="","",H252+N(X252))</f>
        <v/>
      </c>
      <c r="Z252" s="29">
        <f>IFERROR(X252/Y252,"")</f>
        <v/>
      </c>
      <c r="AA252" s="26" t="n"/>
      <c r="AB252" s="26" t="n"/>
      <c r="AC252" s="26" t="n"/>
      <c r="AD252" s="26" t="n"/>
      <c r="AE252" s="27">
        <f>IF(C252="","",SUMIFS(tbl_Finance[Ex GST],tbl_Finance[Job Number],C252&amp;"",tbl_Finance[Cost Centre],"VIDEO"))</f>
        <v/>
      </c>
      <c r="AF252" s="29">
        <f>IFERROR(AE252/H252,"")</f>
        <v/>
      </c>
      <c r="AG252" s="27">
        <f>IF(C252="","",N(AA252)+N(AB252)+N(AC252)+N(AD252))</f>
        <v/>
      </c>
      <c r="AH252" s="27">
        <f>IF(C252="","",H252-AG252)</f>
        <v/>
      </c>
      <c r="AI252" s="29">
        <f>IFERROR(AH252/H252,"")</f>
        <v/>
      </c>
      <c r="AJ252" s="64" t="n"/>
      <c r="AK252" s="64" t="n"/>
      <c r="AL252" s="64" t="n"/>
      <c r="AM252" s="64" t="n"/>
      <c r="AN252" s="64" t="n"/>
      <c r="AO252" s="24" t="n"/>
    </row>
    <row r="253" ht="15" customHeight="1">
      <c r="A253" s="63">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7">
        <f>IF(C253="","",SUMIFS(tbl_Finance[Inc GST],tbl_Finance[Job Number],C253&amp;""))</f>
        <v/>
      </c>
      <c r="M253" s="24" t="n"/>
      <c r="N253" s="25">
        <f>IF(C253="","",IFERROR(INDEX(tbl_Finance[Description],MATCH(C253&amp;"",tbl_Finance[Job Number],0)),""))</f>
        <v/>
      </c>
      <c r="O253" s="24" t="n"/>
      <c r="P253" s="24" t="n"/>
      <c r="Q253" s="22" t="n"/>
      <c r="R253" s="24" t="n"/>
      <c r="S253" s="25">
        <f>IF(R253="","",IF(AND(LEFT(R253,4)&lt;&gt;"http",set_RMSBase=""),"",HYPERLINK(IF(LEFT(R253,4)="http",R253,set_RMSBase&amp;R253),"Open opportunity")))</f>
        <v/>
      </c>
      <c r="T253" s="24" t="n"/>
      <c r="U253" s="25">
        <f>IF(T253="","",HYPERLINK(IF(LEFT(T253,4)="http",T253,set_QwilrBase&amp;T253),"Open quote"))</f>
        <v/>
      </c>
      <c r="V253" s="25">
        <f>IF(C253="","",C253)</f>
        <v/>
      </c>
      <c r="W253" s="24" t="n"/>
      <c r="X253" s="26" t="n"/>
      <c r="Y253" s="27">
        <f>IF(C253="","",H253+N(X253))</f>
        <v/>
      </c>
      <c r="Z253" s="29">
        <f>IFERROR(X253/Y253,"")</f>
        <v/>
      </c>
      <c r="AA253" s="26" t="n"/>
      <c r="AB253" s="26" t="n"/>
      <c r="AC253" s="26" t="n"/>
      <c r="AD253" s="26" t="n"/>
      <c r="AE253" s="27">
        <f>IF(C253="","",SUMIFS(tbl_Finance[Ex GST],tbl_Finance[Job Number],C253&amp;"",tbl_Finance[Cost Centre],"VIDEO"))</f>
        <v/>
      </c>
      <c r="AF253" s="29">
        <f>IFERROR(AE253/H253,"")</f>
        <v/>
      </c>
      <c r="AG253" s="27">
        <f>IF(C253="","",N(AA253)+N(AB253)+N(AC253)+N(AD253))</f>
        <v/>
      </c>
      <c r="AH253" s="27">
        <f>IF(C253="","",H253-AG253)</f>
        <v/>
      </c>
      <c r="AI253" s="29">
        <f>IFERROR(AH253/H253,"")</f>
        <v/>
      </c>
      <c r="AJ253" s="64" t="n"/>
      <c r="AK253" s="64" t="n"/>
      <c r="AL253" s="64" t="n"/>
      <c r="AM253" s="64" t="n"/>
      <c r="AN253" s="64" t="n"/>
      <c r="AO253" s="24" t="n"/>
    </row>
    <row r="254" ht="15" customHeight="1">
      <c r="A254" s="63">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7">
        <f>IF(C254="","",SUMIFS(tbl_Finance[Inc GST],tbl_Finance[Job Number],C254&amp;""))</f>
        <v/>
      </c>
      <c r="M254" s="24" t="n"/>
      <c r="N254" s="25">
        <f>IF(C254="","",IFERROR(INDEX(tbl_Finance[Description],MATCH(C254&amp;"",tbl_Finance[Job Number],0)),""))</f>
        <v/>
      </c>
      <c r="O254" s="24" t="n"/>
      <c r="P254" s="24" t="n"/>
      <c r="Q254" s="22" t="n"/>
      <c r="R254" s="24" t="n"/>
      <c r="S254" s="25">
        <f>IF(R254="","",IF(AND(LEFT(R254,4)&lt;&gt;"http",set_RMSBase=""),"",HYPERLINK(IF(LEFT(R254,4)="http",R254,set_RMSBase&amp;R254),"Open opportunity")))</f>
        <v/>
      </c>
      <c r="T254" s="24" t="n"/>
      <c r="U254" s="25">
        <f>IF(T254="","",HYPERLINK(IF(LEFT(T254,4)="http",T254,set_QwilrBase&amp;T254),"Open quote"))</f>
        <v/>
      </c>
      <c r="V254" s="25">
        <f>IF(C254="","",C254)</f>
        <v/>
      </c>
      <c r="W254" s="24" t="n"/>
      <c r="X254" s="26" t="n"/>
      <c r="Y254" s="27">
        <f>IF(C254="","",H254+N(X254))</f>
        <v/>
      </c>
      <c r="Z254" s="29">
        <f>IFERROR(X254/Y254,"")</f>
        <v/>
      </c>
      <c r="AA254" s="26" t="n"/>
      <c r="AB254" s="26" t="n"/>
      <c r="AC254" s="26" t="n"/>
      <c r="AD254" s="26" t="n"/>
      <c r="AE254" s="27">
        <f>IF(C254="","",SUMIFS(tbl_Finance[Ex GST],tbl_Finance[Job Number],C254&amp;"",tbl_Finance[Cost Centre],"VIDEO"))</f>
        <v/>
      </c>
      <c r="AF254" s="29">
        <f>IFERROR(AE254/H254,"")</f>
        <v/>
      </c>
      <c r="AG254" s="27">
        <f>IF(C254="","",N(AA254)+N(AB254)+N(AC254)+N(AD254))</f>
        <v/>
      </c>
      <c r="AH254" s="27">
        <f>IF(C254="","",H254-AG254)</f>
        <v/>
      </c>
      <c r="AI254" s="29">
        <f>IFERROR(AH254/H254,"")</f>
        <v/>
      </c>
      <c r="AJ254" s="64" t="n"/>
      <c r="AK254" s="64" t="n"/>
      <c r="AL254" s="64" t="n"/>
      <c r="AM254" s="64" t="n"/>
      <c r="AN254" s="64" t="n"/>
      <c r="AO254" s="24" t="n"/>
    </row>
    <row r="255" ht="15" customHeight="1">
      <c r="A255" s="63">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7">
        <f>IF(C255="","",SUMIFS(tbl_Finance[Inc GST],tbl_Finance[Job Number],C255&amp;""))</f>
        <v/>
      </c>
      <c r="M255" s="24" t="n"/>
      <c r="N255" s="25">
        <f>IF(C255="","",IFERROR(INDEX(tbl_Finance[Description],MATCH(C255&amp;"",tbl_Finance[Job Number],0)),""))</f>
        <v/>
      </c>
      <c r="O255" s="24" t="n"/>
      <c r="P255" s="24" t="n"/>
      <c r="Q255" s="22" t="n"/>
      <c r="R255" s="24" t="n"/>
      <c r="S255" s="25">
        <f>IF(R255="","",IF(AND(LEFT(R255,4)&lt;&gt;"http",set_RMSBase=""),"",HYPERLINK(IF(LEFT(R255,4)="http",R255,set_RMSBase&amp;R255),"Open opportunity")))</f>
        <v/>
      </c>
      <c r="T255" s="24" t="n"/>
      <c r="U255" s="25">
        <f>IF(T255="","",HYPERLINK(IF(LEFT(T255,4)="http",T255,set_QwilrBase&amp;T255),"Open quote"))</f>
        <v/>
      </c>
      <c r="V255" s="25">
        <f>IF(C255="","",C255)</f>
        <v/>
      </c>
      <c r="W255" s="24" t="n"/>
      <c r="X255" s="26" t="n"/>
      <c r="Y255" s="27">
        <f>IF(C255="","",H255+N(X255))</f>
        <v/>
      </c>
      <c r="Z255" s="29">
        <f>IFERROR(X255/Y255,"")</f>
        <v/>
      </c>
      <c r="AA255" s="26" t="n"/>
      <c r="AB255" s="26" t="n"/>
      <c r="AC255" s="26" t="n"/>
      <c r="AD255" s="26" t="n"/>
      <c r="AE255" s="27">
        <f>IF(C255="","",SUMIFS(tbl_Finance[Ex GST],tbl_Finance[Job Number],C255&amp;"",tbl_Finance[Cost Centre],"VIDEO"))</f>
        <v/>
      </c>
      <c r="AF255" s="29">
        <f>IFERROR(AE255/H255,"")</f>
        <v/>
      </c>
      <c r="AG255" s="27">
        <f>IF(C255="","",N(AA255)+N(AB255)+N(AC255)+N(AD255))</f>
        <v/>
      </c>
      <c r="AH255" s="27">
        <f>IF(C255="","",H255-AG255)</f>
        <v/>
      </c>
      <c r="AI255" s="29">
        <f>IFERROR(AH255/H255,"")</f>
        <v/>
      </c>
      <c r="AJ255" s="64" t="n"/>
      <c r="AK255" s="64" t="n"/>
      <c r="AL255" s="64" t="n"/>
      <c r="AM255" s="64" t="n"/>
      <c r="AN255" s="64" t="n"/>
      <c r="AO255" s="24" t="n"/>
    </row>
    <row r="256" ht="15" customHeight="1">
      <c r="A256" s="63">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7">
        <f>IF(C256="","",SUMIFS(tbl_Finance[Inc GST],tbl_Finance[Job Number],C256&amp;""))</f>
        <v/>
      </c>
      <c r="M256" s="24" t="n"/>
      <c r="N256" s="25">
        <f>IF(C256="","",IFERROR(INDEX(tbl_Finance[Description],MATCH(C256&amp;"",tbl_Finance[Job Number],0)),""))</f>
        <v/>
      </c>
      <c r="O256" s="24" t="n"/>
      <c r="P256" s="24" t="n"/>
      <c r="Q256" s="22" t="n"/>
      <c r="R256" s="24" t="n"/>
      <c r="S256" s="25">
        <f>IF(R256="","",IF(AND(LEFT(R256,4)&lt;&gt;"http",set_RMSBase=""),"",HYPERLINK(IF(LEFT(R256,4)="http",R256,set_RMSBase&amp;R256),"Open opportunity")))</f>
        <v/>
      </c>
      <c r="T256" s="24" t="n"/>
      <c r="U256" s="25">
        <f>IF(T256="","",HYPERLINK(IF(LEFT(T256,4)="http",T256,set_QwilrBase&amp;T256),"Open quote"))</f>
        <v/>
      </c>
      <c r="V256" s="25">
        <f>IF(C256="","",C256)</f>
        <v/>
      </c>
      <c r="W256" s="24" t="n"/>
      <c r="X256" s="26" t="n"/>
      <c r="Y256" s="27">
        <f>IF(C256="","",H256+N(X256))</f>
        <v/>
      </c>
      <c r="Z256" s="29">
        <f>IFERROR(X256/Y256,"")</f>
        <v/>
      </c>
      <c r="AA256" s="26" t="n"/>
      <c r="AB256" s="26" t="n"/>
      <c r="AC256" s="26" t="n"/>
      <c r="AD256" s="26" t="n"/>
      <c r="AE256" s="27">
        <f>IF(C256="","",SUMIFS(tbl_Finance[Ex GST],tbl_Finance[Job Number],C256&amp;"",tbl_Finance[Cost Centre],"VIDEO"))</f>
        <v/>
      </c>
      <c r="AF256" s="29">
        <f>IFERROR(AE256/H256,"")</f>
        <v/>
      </c>
      <c r="AG256" s="27">
        <f>IF(C256="","",N(AA256)+N(AB256)+N(AC256)+N(AD256))</f>
        <v/>
      </c>
      <c r="AH256" s="27">
        <f>IF(C256="","",H256-AG256)</f>
        <v/>
      </c>
      <c r="AI256" s="29">
        <f>IFERROR(AH256/H256,"")</f>
        <v/>
      </c>
      <c r="AJ256" s="64" t="n"/>
      <c r="AK256" s="64" t="n"/>
      <c r="AL256" s="64" t="n"/>
      <c r="AM256" s="64" t="n"/>
      <c r="AN256" s="64" t="n"/>
      <c r="AO256" s="24" t="n"/>
    </row>
    <row r="257" ht="15" customHeight="1">
      <c r="A257" s="63">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7">
        <f>IF(C257="","",SUMIFS(tbl_Finance[Inc GST],tbl_Finance[Job Number],C257&amp;""))</f>
        <v/>
      </c>
      <c r="M257" s="24" t="n"/>
      <c r="N257" s="25">
        <f>IF(C257="","",IFERROR(INDEX(tbl_Finance[Description],MATCH(C257&amp;"",tbl_Finance[Job Number],0)),""))</f>
        <v/>
      </c>
      <c r="O257" s="24" t="n"/>
      <c r="P257" s="24" t="n"/>
      <c r="Q257" s="22" t="n"/>
      <c r="R257" s="24" t="n"/>
      <c r="S257" s="25">
        <f>IF(R257="","",IF(AND(LEFT(R257,4)&lt;&gt;"http",set_RMSBase=""),"",HYPERLINK(IF(LEFT(R257,4)="http",R257,set_RMSBase&amp;R257),"Open opportunity")))</f>
        <v/>
      </c>
      <c r="T257" s="24" t="n"/>
      <c r="U257" s="25">
        <f>IF(T257="","",HYPERLINK(IF(LEFT(T257,4)="http",T257,set_QwilrBase&amp;T257),"Open quote"))</f>
        <v/>
      </c>
      <c r="V257" s="25">
        <f>IF(C257="","",C257)</f>
        <v/>
      </c>
      <c r="W257" s="24" t="n"/>
      <c r="X257" s="26" t="n"/>
      <c r="Y257" s="27">
        <f>IF(C257="","",H257+N(X257))</f>
        <v/>
      </c>
      <c r="Z257" s="29">
        <f>IFERROR(X257/Y257,"")</f>
        <v/>
      </c>
      <c r="AA257" s="26" t="n"/>
      <c r="AB257" s="26" t="n"/>
      <c r="AC257" s="26" t="n"/>
      <c r="AD257" s="26" t="n"/>
      <c r="AE257" s="27">
        <f>IF(C257="","",SUMIFS(tbl_Finance[Ex GST],tbl_Finance[Job Number],C257&amp;"",tbl_Finance[Cost Centre],"VIDEO"))</f>
        <v/>
      </c>
      <c r="AF257" s="29">
        <f>IFERROR(AE257/H257,"")</f>
        <v/>
      </c>
      <c r="AG257" s="27">
        <f>IF(C257="","",N(AA257)+N(AB257)+N(AC257)+N(AD257))</f>
        <v/>
      </c>
      <c r="AH257" s="27">
        <f>IF(C257="","",H257-AG257)</f>
        <v/>
      </c>
      <c r="AI257" s="29">
        <f>IFERROR(AH257/H257,"")</f>
        <v/>
      </c>
      <c r="AJ257" s="64" t="n"/>
      <c r="AK257" s="64" t="n"/>
      <c r="AL257" s="64" t="n"/>
      <c r="AM257" s="64" t="n"/>
      <c r="AN257" s="64" t="n"/>
      <c r="AO257" s="24" t="n"/>
    </row>
    <row r="258" ht="15" customHeight="1">
      <c r="A258" s="63">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7">
        <f>IF(C258="","",SUMIFS(tbl_Finance[Inc GST],tbl_Finance[Job Number],C258&amp;""))</f>
        <v/>
      </c>
      <c r="M258" s="24" t="n"/>
      <c r="N258" s="25">
        <f>IF(C258="","",IFERROR(INDEX(tbl_Finance[Description],MATCH(C258&amp;"",tbl_Finance[Job Number],0)),""))</f>
        <v/>
      </c>
      <c r="O258" s="24" t="n"/>
      <c r="P258" s="24" t="n"/>
      <c r="Q258" s="22" t="n"/>
      <c r="R258" s="24" t="n"/>
      <c r="S258" s="25">
        <f>IF(R258="","",IF(AND(LEFT(R258,4)&lt;&gt;"http",set_RMSBase=""),"",HYPERLINK(IF(LEFT(R258,4)="http",R258,set_RMSBase&amp;R258),"Open opportunity")))</f>
        <v/>
      </c>
      <c r="T258" s="24" t="n"/>
      <c r="U258" s="25">
        <f>IF(T258="","",HYPERLINK(IF(LEFT(T258,4)="http",T258,set_QwilrBase&amp;T258),"Open quote"))</f>
        <v/>
      </c>
      <c r="V258" s="25">
        <f>IF(C258="","",C258)</f>
        <v/>
      </c>
      <c r="W258" s="24" t="n"/>
      <c r="X258" s="26" t="n"/>
      <c r="Y258" s="27">
        <f>IF(C258="","",H258+N(X258))</f>
        <v/>
      </c>
      <c r="Z258" s="29">
        <f>IFERROR(X258/Y258,"")</f>
        <v/>
      </c>
      <c r="AA258" s="26" t="n"/>
      <c r="AB258" s="26" t="n"/>
      <c r="AC258" s="26" t="n"/>
      <c r="AD258" s="26" t="n"/>
      <c r="AE258" s="27">
        <f>IF(C258="","",SUMIFS(tbl_Finance[Ex GST],tbl_Finance[Job Number],C258&amp;"",tbl_Finance[Cost Centre],"VIDEO"))</f>
        <v/>
      </c>
      <c r="AF258" s="29">
        <f>IFERROR(AE258/H258,"")</f>
        <v/>
      </c>
      <c r="AG258" s="27">
        <f>IF(C258="","",N(AA258)+N(AB258)+N(AC258)+N(AD258))</f>
        <v/>
      </c>
      <c r="AH258" s="27">
        <f>IF(C258="","",H258-AG258)</f>
        <v/>
      </c>
      <c r="AI258" s="29">
        <f>IFERROR(AH258/H258,"")</f>
        <v/>
      </c>
      <c r="AJ258" s="64" t="n"/>
      <c r="AK258" s="64" t="n"/>
      <c r="AL258" s="64" t="n"/>
      <c r="AM258" s="64" t="n"/>
      <c r="AN258" s="64" t="n"/>
      <c r="AO258" s="24" t="n"/>
    </row>
    <row r="259" ht="15" customHeight="1">
      <c r="A259" s="63">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7">
        <f>IF(C259="","",SUMIFS(tbl_Finance[Inc GST],tbl_Finance[Job Number],C259&amp;""))</f>
        <v/>
      </c>
      <c r="M259" s="24" t="n"/>
      <c r="N259" s="25">
        <f>IF(C259="","",IFERROR(INDEX(tbl_Finance[Description],MATCH(C259&amp;"",tbl_Finance[Job Number],0)),""))</f>
        <v/>
      </c>
      <c r="O259" s="24" t="n"/>
      <c r="P259" s="24" t="n"/>
      <c r="Q259" s="22" t="n"/>
      <c r="R259" s="24" t="n"/>
      <c r="S259" s="25">
        <f>IF(R259="","",IF(AND(LEFT(R259,4)&lt;&gt;"http",set_RMSBase=""),"",HYPERLINK(IF(LEFT(R259,4)="http",R259,set_RMSBase&amp;R259),"Open opportunity")))</f>
        <v/>
      </c>
      <c r="T259" s="24" t="n"/>
      <c r="U259" s="25">
        <f>IF(T259="","",HYPERLINK(IF(LEFT(T259,4)="http",T259,set_QwilrBase&amp;T259),"Open quote"))</f>
        <v/>
      </c>
      <c r="V259" s="25">
        <f>IF(C259="","",C259)</f>
        <v/>
      </c>
      <c r="W259" s="24" t="n"/>
      <c r="X259" s="26" t="n"/>
      <c r="Y259" s="27">
        <f>IF(C259="","",H259+N(X259))</f>
        <v/>
      </c>
      <c r="Z259" s="29">
        <f>IFERROR(X259/Y259,"")</f>
        <v/>
      </c>
      <c r="AA259" s="26" t="n"/>
      <c r="AB259" s="26" t="n"/>
      <c r="AC259" s="26" t="n"/>
      <c r="AD259" s="26" t="n"/>
      <c r="AE259" s="27">
        <f>IF(C259="","",SUMIFS(tbl_Finance[Ex GST],tbl_Finance[Job Number],C259&amp;"",tbl_Finance[Cost Centre],"VIDEO"))</f>
        <v/>
      </c>
      <c r="AF259" s="29">
        <f>IFERROR(AE259/H259,"")</f>
        <v/>
      </c>
      <c r="AG259" s="27">
        <f>IF(C259="","",N(AA259)+N(AB259)+N(AC259)+N(AD259))</f>
        <v/>
      </c>
      <c r="AH259" s="27">
        <f>IF(C259="","",H259-AG259)</f>
        <v/>
      </c>
      <c r="AI259" s="29">
        <f>IFERROR(AH259/H259,"")</f>
        <v/>
      </c>
      <c r="AJ259" s="64" t="n"/>
      <c r="AK259" s="64" t="n"/>
      <c r="AL259" s="64" t="n"/>
      <c r="AM259" s="64" t="n"/>
      <c r="AN259" s="64" t="n"/>
      <c r="AO259" s="24" t="n"/>
    </row>
    <row r="260" ht="15" customHeight="1">
      <c r="A260" s="63">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7">
        <f>IF(C260="","",SUMIFS(tbl_Finance[Inc GST],tbl_Finance[Job Number],C260&amp;""))</f>
        <v/>
      </c>
      <c r="M260" s="24" t="n"/>
      <c r="N260" s="25">
        <f>IF(C260="","",IFERROR(INDEX(tbl_Finance[Description],MATCH(C260&amp;"",tbl_Finance[Job Number],0)),""))</f>
        <v/>
      </c>
      <c r="O260" s="24" t="n"/>
      <c r="P260" s="24" t="n"/>
      <c r="Q260" s="22" t="n"/>
      <c r="R260" s="24" t="n"/>
      <c r="S260" s="25">
        <f>IF(R260="","",IF(AND(LEFT(R260,4)&lt;&gt;"http",set_RMSBase=""),"",HYPERLINK(IF(LEFT(R260,4)="http",R260,set_RMSBase&amp;R260),"Open opportunity")))</f>
        <v/>
      </c>
      <c r="T260" s="24" t="n"/>
      <c r="U260" s="25">
        <f>IF(T260="","",HYPERLINK(IF(LEFT(T260,4)="http",T260,set_QwilrBase&amp;T260),"Open quote"))</f>
        <v/>
      </c>
      <c r="V260" s="25">
        <f>IF(C260="","",C260)</f>
        <v/>
      </c>
      <c r="W260" s="24" t="n"/>
      <c r="X260" s="26" t="n"/>
      <c r="Y260" s="27">
        <f>IF(C260="","",H260+N(X260))</f>
        <v/>
      </c>
      <c r="Z260" s="29">
        <f>IFERROR(X260/Y260,"")</f>
        <v/>
      </c>
      <c r="AA260" s="26" t="n"/>
      <c r="AB260" s="26" t="n"/>
      <c r="AC260" s="26" t="n"/>
      <c r="AD260" s="26" t="n"/>
      <c r="AE260" s="27">
        <f>IF(C260="","",SUMIFS(tbl_Finance[Ex GST],tbl_Finance[Job Number],C260&amp;"",tbl_Finance[Cost Centre],"VIDEO"))</f>
        <v/>
      </c>
      <c r="AF260" s="29">
        <f>IFERROR(AE260/H260,"")</f>
        <v/>
      </c>
      <c r="AG260" s="27">
        <f>IF(C260="","",N(AA260)+N(AB260)+N(AC260)+N(AD260))</f>
        <v/>
      </c>
      <c r="AH260" s="27">
        <f>IF(C260="","",H260-AG260)</f>
        <v/>
      </c>
      <c r="AI260" s="29">
        <f>IFERROR(AH260/H260,"")</f>
        <v/>
      </c>
      <c r="AJ260" s="64" t="n"/>
      <c r="AK260" s="64" t="n"/>
      <c r="AL260" s="64" t="n"/>
      <c r="AM260" s="64" t="n"/>
      <c r="AN260" s="64" t="n"/>
      <c r="AO260" s="24" t="n"/>
    </row>
    <row r="261" ht="15" customHeight="1">
      <c r="A261" s="63">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7">
        <f>IF(C261="","",SUMIFS(tbl_Finance[Inc GST],tbl_Finance[Job Number],C261&amp;""))</f>
        <v/>
      </c>
      <c r="M261" s="24" t="n"/>
      <c r="N261" s="25">
        <f>IF(C261="","",IFERROR(INDEX(tbl_Finance[Description],MATCH(C261&amp;"",tbl_Finance[Job Number],0)),""))</f>
        <v/>
      </c>
      <c r="O261" s="24" t="n"/>
      <c r="P261" s="24" t="n"/>
      <c r="Q261" s="22" t="n"/>
      <c r="R261" s="24" t="n"/>
      <c r="S261" s="25">
        <f>IF(R261="","",IF(AND(LEFT(R261,4)&lt;&gt;"http",set_RMSBase=""),"",HYPERLINK(IF(LEFT(R261,4)="http",R261,set_RMSBase&amp;R261),"Open opportunity")))</f>
        <v/>
      </c>
      <c r="T261" s="24" t="n"/>
      <c r="U261" s="25">
        <f>IF(T261="","",HYPERLINK(IF(LEFT(T261,4)="http",T261,set_QwilrBase&amp;T261),"Open quote"))</f>
        <v/>
      </c>
      <c r="V261" s="25">
        <f>IF(C261="","",C261)</f>
        <v/>
      </c>
      <c r="W261" s="24" t="n"/>
      <c r="X261" s="26" t="n"/>
      <c r="Y261" s="27">
        <f>IF(C261="","",H261+N(X261))</f>
        <v/>
      </c>
      <c r="Z261" s="29">
        <f>IFERROR(X261/Y261,"")</f>
        <v/>
      </c>
      <c r="AA261" s="26" t="n"/>
      <c r="AB261" s="26" t="n"/>
      <c r="AC261" s="26" t="n"/>
      <c r="AD261" s="26" t="n"/>
      <c r="AE261" s="27">
        <f>IF(C261="","",SUMIFS(tbl_Finance[Ex GST],tbl_Finance[Job Number],C261&amp;"",tbl_Finance[Cost Centre],"VIDEO"))</f>
        <v/>
      </c>
      <c r="AF261" s="29">
        <f>IFERROR(AE261/H261,"")</f>
        <v/>
      </c>
      <c r="AG261" s="27">
        <f>IF(C261="","",N(AA261)+N(AB261)+N(AC261)+N(AD261))</f>
        <v/>
      </c>
      <c r="AH261" s="27">
        <f>IF(C261="","",H261-AG261)</f>
        <v/>
      </c>
      <c r="AI261" s="29">
        <f>IFERROR(AH261/H261,"")</f>
        <v/>
      </c>
      <c r="AJ261" s="64" t="n"/>
      <c r="AK261" s="64" t="n"/>
      <c r="AL261" s="64" t="n"/>
      <c r="AM261" s="64" t="n"/>
      <c r="AN261" s="64" t="n"/>
      <c r="AO261" s="24" t="n"/>
    </row>
    <row r="262" ht="15" customHeight="1">
      <c r="A262" s="63">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7">
        <f>IF(C262="","",SUMIFS(tbl_Finance[Inc GST],tbl_Finance[Job Number],C262&amp;""))</f>
        <v/>
      </c>
      <c r="M262" s="24" t="n"/>
      <c r="N262" s="25">
        <f>IF(C262="","",IFERROR(INDEX(tbl_Finance[Description],MATCH(C262&amp;"",tbl_Finance[Job Number],0)),""))</f>
        <v/>
      </c>
      <c r="O262" s="24" t="n"/>
      <c r="P262" s="24" t="n"/>
      <c r="Q262" s="22" t="n"/>
      <c r="R262" s="24" t="n"/>
      <c r="S262" s="25">
        <f>IF(R262="","",IF(AND(LEFT(R262,4)&lt;&gt;"http",set_RMSBase=""),"",HYPERLINK(IF(LEFT(R262,4)="http",R262,set_RMSBase&amp;R262),"Open opportunity")))</f>
        <v/>
      </c>
      <c r="T262" s="24" t="n"/>
      <c r="U262" s="25">
        <f>IF(T262="","",HYPERLINK(IF(LEFT(T262,4)="http",T262,set_QwilrBase&amp;T262),"Open quote"))</f>
        <v/>
      </c>
      <c r="V262" s="25">
        <f>IF(C262="","",C262)</f>
        <v/>
      </c>
      <c r="W262" s="24" t="n"/>
      <c r="X262" s="26" t="n"/>
      <c r="Y262" s="27">
        <f>IF(C262="","",H262+N(X262))</f>
        <v/>
      </c>
      <c r="Z262" s="29">
        <f>IFERROR(X262/Y262,"")</f>
        <v/>
      </c>
      <c r="AA262" s="26" t="n"/>
      <c r="AB262" s="26" t="n"/>
      <c r="AC262" s="26" t="n"/>
      <c r="AD262" s="26" t="n"/>
      <c r="AE262" s="27">
        <f>IF(C262="","",SUMIFS(tbl_Finance[Ex GST],tbl_Finance[Job Number],C262&amp;"",tbl_Finance[Cost Centre],"VIDEO"))</f>
        <v/>
      </c>
      <c r="AF262" s="29">
        <f>IFERROR(AE262/H262,"")</f>
        <v/>
      </c>
      <c r="AG262" s="27">
        <f>IF(C262="","",N(AA262)+N(AB262)+N(AC262)+N(AD262))</f>
        <v/>
      </c>
      <c r="AH262" s="27">
        <f>IF(C262="","",H262-AG262)</f>
        <v/>
      </c>
      <c r="AI262" s="29">
        <f>IFERROR(AH262/H262,"")</f>
        <v/>
      </c>
      <c r="AJ262" s="64" t="n"/>
      <c r="AK262" s="64" t="n"/>
      <c r="AL262" s="64" t="n"/>
      <c r="AM262" s="64" t="n"/>
      <c r="AN262" s="64" t="n"/>
      <c r="AO262" s="24" t="n"/>
    </row>
    <row r="263" ht="15" customHeight="1">
      <c r="A263" s="63">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7">
        <f>IF(C263="","",SUMIFS(tbl_Finance[Inc GST],tbl_Finance[Job Number],C263&amp;""))</f>
        <v/>
      </c>
      <c r="M263" s="24" t="n"/>
      <c r="N263" s="25">
        <f>IF(C263="","",IFERROR(INDEX(tbl_Finance[Description],MATCH(C263&amp;"",tbl_Finance[Job Number],0)),""))</f>
        <v/>
      </c>
      <c r="O263" s="24" t="n"/>
      <c r="P263" s="24" t="n"/>
      <c r="Q263" s="22" t="n"/>
      <c r="R263" s="24" t="n"/>
      <c r="S263" s="25">
        <f>IF(R263="","",IF(AND(LEFT(R263,4)&lt;&gt;"http",set_RMSBase=""),"",HYPERLINK(IF(LEFT(R263,4)="http",R263,set_RMSBase&amp;R263),"Open opportunity")))</f>
        <v/>
      </c>
      <c r="T263" s="24" t="n"/>
      <c r="U263" s="25">
        <f>IF(T263="","",HYPERLINK(IF(LEFT(T263,4)="http",T263,set_QwilrBase&amp;T263),"Open quote"))</f>
        <v/>
      </c>
      <c r="V263" s="25">
        <f>IF(C263="","",C263)</f>
        <v/>
      </c>
      <c r="W263" s="24" t="n"/>
      <c r="X263" s="26" t="n"/>
      <c r="Y263" s="27">
        <f>IF(C263="","",H263+N(X263))</f>
        <v/>
      </c>
      <c r="Z263" s="29">
        <f>IFERROR(X263/Y263,"")</f>
        <v/>
      </c>
      <c r="AA263" s="26" t="n"/>
      <c r="AB263" s="26" t="n"/>
      <c r="AC263" s="26" t="n"/>
      <c r="AD263" s="26" t="n"/>
      <c r="AE263" s="27">
        <f>IF(C263="","",SUMIFS(tbl_Finance[Ex GST],tbl_Finance[Job Number],C263&amp;"",tbl_Finance[Cost Centre],"VIDEO"))</f>
        <v/>
      </c>
      <c r="AF263" s="29">
        <f>IFERROR(AE263/H263,"")</f>
        <v/>
      </c>
      <c r="AG263" s="27">
        <f>IF(C263="","",N(AA263)+N(AB263)+N(AC263)+N(AD263))</f>
        <v/>
      </c>
      <c r="AH263" s="27">
        <f>IF(C263="","",H263-AG263)</f>
        <v/>
      </c>
      <c r="AI263" s="29">
        <f>IFERROR(AH263/H263,"")</f>
        <v/>
      </c>
      <c r="AJ263" s="64" t="n"/>
      <c r="AK263" s="64" t="n"/>
      <c r="AL263" s="64" t="n"/>
      <c r="AM263" s="64" t="n"/>
      <c r="AN263" s="64" t="n"/>
      <c r="AO263" s="24" t="n"/>
    </row>
    <row r="264" ht="15" customHeight="1">
      <c r="A264" s="63">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7">
        <f>IF(C264="","",SUMIFS(tbl_Finance[Inc GST],tbl_Finance[Job Number],C264&amp;""))</f>
        <v/>
      </c>
      <c r="M264" s="24" t="n"/>
      <c r="N264" s="25">
        <f>IF(C264="","",IFERROR(INDEX(tbl_Finance[Description],MATCH(C264&amp;"",tbl_Finance[Job Number],0)),""))</f>
        <v/>
      </c>
      <c r="O264" s="24" t="n"/>
      <c r="P264" s="24" t="n"/>
      <c r="Q264" s="22" t="n"/>
      <c r="R264" s="24" t="n"/>
      <c r="S264" s="25">
        <f>IF(R264="","",IF(AND(LEFT(R264,4)&lt;&gt;"http",set_RMSBase=""),"",HYPERLINK(IF(LEFT(R264,4)="http",R264,set_RMSBase&amp;R264),"Open opportunity")))</f>
        <v/>
      </c>
      <c r="T264" s="24" t="n"/>
      <c r="U264" s="25">
        <f>IF(T264="","",HYPERLINK(IF(LEFT(T264,4)="http",T264,set_QwilrBase&amp;T264),"Open quote"))</f>
        <v/>
      </c>
      <c r="V264" s="25">
        <f>IF(C264="","",C264)</f>
        <v/>
      </c>
      <c r="W264" s="24" t="n"/>
      <c r="X264" s="26" t="n"/>
      <c r="Y264" s="27">
        <f>IF(C264="","",H264+N(X264))</f>
        <v/>
      </c>
      <c r="Z264" s="29">
        <f>IFERROR(X264/Y264,"")</f>
        <v/>
      </c>
      <c r="AA264" s="26" t="n"/>
      <c r="AB264" s="26" t="n"/>
      <c r="AC264" s="26" t="n"/>
      <c r="AD264" s="26" t="n"/>
      <c r="AE264" s="27">
        <f>IF(C264="","",SUMIFS(tbl_Finance[Ex GST],tbl_Finance[Job Number],C264&amp;"",tbl_Finance[Cost Centre],"VIDEO"))</f>
        <v/>
      </c>
      <c r="AF264" s="29">
        <f>IFERROR(AE264/H264,"")</f>
        <v/>
      </c>
      <c r="AG264" s="27">
        <f>IF(C264="","",N(AA264)+N(AB264)+N(AC264)+N(AD264))</f>
        <v/>
      </c>
      <c r="AH264" s="27">
        <f>IF(C264="","",H264-AG264)</f>
        <v/>
      </c>
      <c r="AI264" s="29">
        <f>IFERROR(AH264/H264,"")</f>
        <v/>
      </c>
      <c r="AJ264" s="64" t="n"/>
      <c r="AK264" s="64" t="n"/>
      <c r="AL264" s="64" t="n"/>
      <c r="AM264" s="64" t="n"/>
      <c r="AN264" s="64" t="n"/>
      <c r="AO264" s="24" t="n"/>
    </row>
    <row r="265" ht="15" customHeight="1">
      <c r="A265" s="63">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7">
        <f>IF(C265="","",SUMIFS(tbl_Finance[Inc GST],tbl_Finance[Job Number],C265&amp;""))</f>
        <v/>
      </c>
      <c r="M265" s="24" t="n"/>
      <c r="N265" s="25">
        <f>IF(C265="","",IFERROR(INDEX(tbl_Finance[Description],MATCH(C265&amp;"",tbl_Finance[Job Number],0)),""))</f>
        <v/>
      </c>
      <c r="O265" s="24" t="n"/>
      <c r="P265" s="24" t="n"/>
      <c r="Q265" s="22" t="n"/>
      <c r="R265" s="24" t="n"/>
      <c r="S265" s="25">
        <f>IF(R265="","",IF(AND(LEFT(R265,4)&lt;&gt;"http",set_RMSBase=""),"",HYPERLINK(IF(LEFT(R265,4)="http",R265,set_RMSBase&amp;R265),"Open opportunity")))</f>
        <v/>
      </c>
      <c r="T265" s="24" t="n"/>
      <c r="U265" s="25">
        <f>IF(T265="","",HYPERLINK(IF(LEFT(T265,4)="http",T265,set_QwilrBase&amp;T265),"Open quote"))</f>
        <v/>
      </c>
      <c r="V265" s="25">
        <f>IF(C265="","",C265)</f>
        <v/>
      </c>
      <c r="W265" s="24" t="n"/>
      <c r="X265" s="26" t="n"/>
      <c r="Y265" s="27">
        <f>IF(C265="","",H265+N(X265))</f>
        <v/>
      </c>
      <c r="Z265" s="29">
        <f>IFERROR(X265/Y265,"")</f>
        <v/>
      </c>
      <c r="AA265" s="26" t="n"/>
      <c r="AB265" s="26" t="n"/>
      <c r="AC265" s="26" t="n"/>
      <c r="AD265" s="26" t="n"/>
      <c r="AE265" s="27">
        <f>IF(C265="","",SUMIFS(tbl_Finance[Ex GST],tbl_Finance[Job Number],C265&amp;"",tbl_Finance[Cost Centre],"VIDEO"))</f>
        <v/>
      </c>
      <c r="AF265" s="29">
        <f>IFERROR(AE265/H265,"")</f>
        <v/>
      </c>
      <c r="AG265" s="27">
        <f>IF(C265="","",N(AA265)+N(AB265)+N(AC265)+N(AD265))</f>
        <v/>
      </c>
      <c r="AH265" s="27">
        <f>IF(C265="","",H265-AG265)</f>
        <v/>
      </c>
      <c r="AI265" s="29">
        <f>IFERROR(AH265/H265,"")</f>
        <v/>
      </c>
      <c r="AJ265" s="64" t="n"/>
      <c r="AK265" s="64" t="n"/>
      <c r="AL265" s="64" t="n"/>
      <c r="AM265" s="64" t="n"/>
      <c r="AN265" s="64" t="n"/>
      <c r="AO265" s="24" t="n"/>
    </row>
    <row r="266" ht="15" customHeight="1">
      <c r="A266" s="63">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7">
        <f>IF(C266="","",SUMIFS(tbl_Finance[Inc GST],tbl_Finance[Job Number],C266&amp;""))</f>
        <v/>
      </c>
      <c r="M266" s="24" t="n"/>
      <c r="N266" s="25">
        <f>IF(C266="","",IFERROR(INDEX(tbl_Finance[Description],MATCH(C266&amp;"",tbl_Finance[Job Number],0)),""))</f>
        <v/>
      </c>
      <c r="O266" s="24" t="n"/>
      <c r="P266" s="24" t="n"/>
      <c r="Q266" s="22" t="n"/>
      <c r="R266" s="24" t="n"/>
      <c r="S266" s="25">
        <f>IF(R266="","",IF(AND(LEFT(R266,4)&lt;&gt;"http",set_RMSBase=""),"",HYPERLINK(IF(LEFT(R266,4)="http",R266,set_RMSBase&amp;R266),"Open opportunity")))</f>
        <v/>
      </c>
      <c r="T266" s="24" t="n"/>
      <c r="U266" s="25">
        <f>IF(T266="","",HYPERLINK(IF(LEFT(T266,4)="http",T266,set_QwilrBase&amp;T266),"Open quote"))</f>
        <v/>
      </c>
      <c r="V266" s="25">
        <f>IF(C266="","",C266)</f>
        <v/>
      </c>
      <c r="W266" s="24" t="n"/>
      <c r="X266" s="26" t="n"/>
      <c r="Y266" s="27">
        <f>IF(C266="","",H266+N(X266))</f>
        <v/>
      </c>
      <c r="Z266" s="29">
        <f>IFERROR(X266/Y266,"")</f>
        <v/>
      </c>
      <c r="AA266" s="26" t="n"/>
      <c r="AB266" s="26" t="n"/>
      <c r="AC266" s="26" t="n"/>
      <c r="AD266" s="26" t="n"/>
      <c r="AE266" s="27">
        <f>IF(C266="","",SUMIFS(tbl_Finance[Ex GST],tbl_Finance[Job Number],C266&amp;"",tbl_Finance[Cost Centre],"VIDEO"))</f>
        <v/>
      </c>
      <c r="AF266" s="29">
        <f>IFERROR(AE266/H266,"")</f>
        <v/>
      </c>
      <c r="AG266" s="27">
        <f>IF(C266="","",N(AA266)+N(AB266)+N(AC266)+N(AD266))</f>
        <v/>
      </c>
      <c r="AH266" s="27">
        <f>IF(C266="","",H266-AG266)</f>
        <v/>
      </c>
      <c r="AI266" s="29">
        <f>IFERROR(AH266/H266,"")</f>
        <v/>
      </c>
      <c r="AJ266" s="64" t="n"/>
      <c r="AK266" s="64" t="n"/>
      <c r="AL266" s="64" t="n"/>
      <c r="AM266" s="64" t="n"/>
      <c r="AN266" s="64" t="n"/>
      <c r="AO266" s="24" t="n"/>
    </row>
    <row r="267" ht="15" customHeight="1">
      <c r="A267" s="63">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7">
        <f>IF(C267="","",SUMIFS(tbl_Finance[Inc GST],tbl_Finance[Job Number],C267&amp;""))</f>
        <v/>
      </c>
      <c r="M267" s="24" t="n"/>
      <c r="N267" s="25">
        <f>IF(C267="","",IFERROR(INDEX(tbl_Finance[Description],MATCH(C267&amp;"",tbl_Finance[Job Number],0)),""))</f>
        <v/>
      </c>
      <c r="O267" s="24" t="n"/>
      <c r="P267" s="24" t="n"/>
      <c r="Q267" s="22" t="n"/>
      <c r="R267" s="24" t="n"/>
      <c r="S267" s="25">
        <f>IF(R267="","",IF(AND(LEFT(R267,4)&lt;&gt;"http",set_RMSBase=""),"",HYPERLINK(IF(LEFT(R267,4)="http",R267,set_RMSBase&amp;R267),"Open opportunity")))</f>
        <v/>
      </c>
      <c r="T267" s="24" t="n"/>
      <c r="U267" s="25">
        <f>IF(T267="","",HYPERLINK(IF(LEFT(T267,4)="http",T267,set_QwilrBase&amp;T267),"Open quote"))</f>
        <v/>
      </c>
      <c r="V267" s="25">
        <f>IF(C267="","",C267)</f>
        <v/>
      </c>
      <c r="W267" s="24" t="n"/>
      <c r="X267" s="26" t="n"/>
      <c r="Y267" s="27">
        <f>IF(C267="","",H267+N(X267))</f>
        <v/>
      </c>
      <c r="Z267" s="29">
        <f>IFERROR(X267/Y267,"")</f>
        <v/>
      </c>
      <c r="AA267" s="26" t="n"/>
      <c r="AB267" s="26" t="n"/>
      <c r="AC267" s="26" t="n"/>
      <c r="AD267" s="26" t="n"/>
      <c r="AE267" s="27">
        <f>IF(C267="","",SUMIFS(tbl_Finance[Ex GST],tbl_Finance[Job Number],C267&amp;"",tbl_Finance[Cost Centre],"VIDEO"))</f>
        <v/>
      </c>
      <c r="AF267" s="29">
        <f>IFERROR(AE267/H267,"")</f>
        <v/>
      </c>
      <c r="AG267" s="27">
        <f>IF(C267="","",N(AA267)+N(AB267)+N(AC267)+N(AD267))</f>
        <v/>
      </c>
      <c r="AH267" s="27">
        <f>IF(C267="","",H267-AG267)</f>
        <v/>
      </c>
      <c r="AI267" s="29">
        <f>IFERROR(AH267/H267,"")</f>
        <v/>
      </c>
      <c r="AJ267" s="64" t="n"/>
      <c r="AK267" s="64" t="n"/>
      <c r="AL267" s="64" t="n"/>
      <c r="AM267" s="64" t="n"/>
      <c r="AN267" s="64" t="n"/>
      <c r="AO267" s="24" t="n"/>
    </row>
    <row r="268" ht="15" customHeight="1">
      <c r="A268" s="63">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7">
        <f>IF(C268="","",SUMIFS(tbl_Finance[Inc GST],tbl_Finance[Job Number],C268&amp;""))</f>
        <v/>
      </c>
      <c r="M268" s="24" t="n"/>
      <c r="N268" s="25">
        <f>IF(C268="","",IFERROR(INDEX(tbl_Finance[Description],MATCH(C268&amp;"",tbl_Finance[Job Number],0)),""))</f>
        <v/>
      </c>
      <c r="O268" s="24" t="n"/>
      <c r="P268" s="24" t="n"/>
      <c r="Q268" s="22" t="n"/>
      <c r="R268" s="24" t="n"/>
      <c r="S268" s="25">
        <f>IF(R268="","",IF(AND(LEFT(R268,4)&lt;&gt;"http",set_RMSBase=""),"",HYPERLINK(IF(LEFT(R268,4)="http",R268,set_RMSBase&amp;R268),"Open opportunity")))</f>
        <v/>
      </c>
      <c r="T268" s="24" t="n"/>
      <c r="U268" s="25">
        <f>IF(T268="","",HYPERLINK(IF(LEFT(T268,4)="http",T268,set_QwilrBase&amp;T268),"Open quote"))</f>
        <v/>
      </c>
      <c r="V268" s="25">
        <f>IF(C268="","",C268)</f>
        <v/>
      </c>
      <c r="W268" s="24" t="n"/>
      <c r="X268" s="26" t="n"/>
      <c r="Y268" s="27">
        <f>IF(C268="","",H268+N(X268))</f>
        <v/>
      </c>
      <c r="Z268" s="29">
        <f>IFERROR(X268/Y268,"")</f>
        <v/>
      </c>
      <c r="AA268" s="26" t="n"/>
      <c r="AB268" s="26" t="n"/>
      <c r="AC268" s="26" t="n"/>
      <c r="AD268" s="26" t="n"/>
      <c r="AE268" s="27">
        <f>IF(C268="","",SUMIFS(tbl_Finance[Ex GST],tbl_Finance[Job Number],C268&amp;"",tbl_Finance[Cost Centre],"VIDEO"))</f>
        <v/>
      </c>
      <c r="AF268" s="29">
        <f>IFERROR(AE268/H268,"")</f>
        <v/>
      </c>
      <c r="AG268" s="27">
        <f>IF(C268="","",N(AA268)+N(AB268)+N(AC268)+N(AD268))</f>
        <v/>
      </c>
      <c r="AH268" s="27">
        <f>IF(C268="","",H268-AG268)</f>
        <v/>
      </c>
      <c r="AI268" s="29">
        <f>IFERROR(AH268/H268,"")</f>
        <v/>
      </c>
      <c r="AJ268" s="64" t="n"/>
      <c r="AK268" s="64" t="n"/>
      <c r="AL268" s="64" t="n"/>
      <c r="AM268" s="64" t="n"/>
      <c r="AN268" s="64" t="n"/>
      <c r="AO268" s="24" t="n"/>
    </row>
    <row r="269" ht="15" customHeight="1">
      <c r="A269" s="63">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7">
        <f>IF(C269="","",SUMIFS(tbl_Finance[Inc GST],tbl_Finance[Job Number],C269&amp;""))</f>
        <v/>
      </c>
      <c r="M269" s="24" t="n"/>
      <c r="N269" s="25">
        <f>IF(C269="","",IFERROR(INDEX(tbl_Finance[Description],MATCH(C269&amp;"",tbl_Finance[Job Number],0)),""))</f>
        <v/>
      </c>
      <c r="O269" s="24" t="n"/>
      <c r="P269" s="24" t="n"/>
      <c r="Q269" s="22" t="n"/>
      <c r="R269" s="24" t="n"/>
      <c r="S269" s="25">
        <f>IF(R269="","",IF(AND(LEFT(R269,4)&lt;&gt;"http",set_RMSBase=""),"",HYPERLINK(IF(LEFT(R269,4)="http",R269,set_RMSBase&amp;R269),"Open opportunity")))</f>
        <v/>
      </c>
      <c r="T269" s="24" t="n"/>
      <c r="U269" s="25">
        <f>IF(T269="","",HYPERLINK(IF(LEFT(T269,4)="http",T269,set_QwilrBase&amp;T269),"Open quote"))</f>
        <v/>
      </c>
      <c r="V269" s="25">
        <f>IF(C269="","",C269)</f>
        <v/>
      </c>
      <c r="W269" s="24" t="n"/>
      <c r="X269" s="26" t="n"/>
      <c r="Y269" s="27">
        <f>IF(C269="","",H269+N(X269))</f>
        <v/>
      </c>
      <c r="Z269" s="29">
        <f>IFERROR(X269/Y269,"")</f>
        <v/>
      </c>
      <c r="AA269" s="26" t="n"/>
      <c r="AB269" s="26" t="n"/>
      <c r="AC269" s="26" t="n"/>
      <c r="AD269" s="26" t="n"/>
      <c r="AE269" s="27">
        <f>IF(C269="","",SUMIFS(tbl_Finance[Ex GST],tbl_Finance[Job Number],C269&amp;"",tbl_Finance[Cost Centre],"VIDEO"))</f>
        <v/>
      </c>
      <c r="AF269" s="29">
        <f>IFERROR(AE269/H269,"")</f>
        <v/>
      </c>
      <c r="AG269" s="27">
        <f>IF(C269="","",N(AA269)+N(AB269)+N(AC269)+N(AD269))</f>
        <v/>
      </c>
      <c r="AH269" s="27">
        <f>IF(C269="","",H269-AG269)</f>
        <v/>
      </c>
      <c r="AI269" s="29">
        <f>IFERROR(AH269/H269,"")</f>
        <v/>
      </c>
      <c r="AJ269" s="64" t="n"/>
      <c r="AK269" s="64" t="n"/>
      <c r="AL269" s="64" t="n"/>
      <c r="AM269" s="64" t="n"/>
      <c r="AN269" s="64" t="n"/>
      <c r="AO269" s="24" t="n"/>
    </row>
    <row r="270" ht="15" customHeight="1">
      <c r="A270" s="63">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7">
        <f>IF(C270="","",SUMIFS(tbl_Finance[Inc GST],tbl_Finance[Job Number],C270&amp;""))</f>
        <v/>
      </c>
      <c r="M270" s="24" t="n"/>
      <c r="N270" s="25">
        <f>IF(C270="","",IFERROR(INDEX(tbl_Finance[Description],MATCH(C270&amp;"",tbl_Finance[Job Number],0)),""))</f>
        <v/>
      </c>
      <c r="O270" s="24" t="n"/>
      <c r="P270" s="24" t="n"/>
      <c r="Q270" s="22" t="n"/>
      <c r="R270" s="24" t="n"/>
      <c r="S270" s="25">
        <f>IF(R270="","",IF(AND(LEFT(R270,4)&lt;&gt;"http",set_RMSBase=""),"",HYPERLINK(IF(LEFT(R270,4)="http",R270,set_RMSBase&amp;R270),"Open opportunity")))</f>
        <v/>
      </c>
      <c r="T270" s="24" t="n"/>
      <c r="U270" s="25">
        <f>IF(T270="","",HYPERLINK(IF(LEFT(T270,4)="http",T270,set_QwilrBase&amp;T270),"Open quote"))</f>
        <v/>
      </c>
      <c r="V270" s="25">
        <f>IF(C270="","",C270)</f>
        <v/>
      </c>
      <c r="W270" s="24" t="n"/>
      <c r="X270" s="26" t="n"/>
      <c r="Y270" s="27">
        <f>IF(C270="","",H270+N(X270))</f>
        <v/>
      </c>
      <c r="Z270" s="29">
        <f>IFERROR(X270/Y270,"")</f>
        <v/>
      </c>
      <c r="AA270" s="26" t="n"/>
      <c r="AB270" s="26" t="n"/>
      <c r="AC270" s="26" t="n"/>
      <c r="AD270" s="26" t="n"/>
      <c r="AE270" s="27">
        <f>IF(C270="","",SUMIFS(tbl_Finance[Ex GST],tbl_Finance[Job Number],C270&amp;"",tbl_Finance[Cost Centre],"VIDEO"))</f>
        <v/>
      </c>
      <c r="AF270" s="29">
        <f>IFERROR(AE270/H270,"")</f>
        <v/>
      </c>
      <c r="AG270" s="27">
        <f>IF(C270="","",N(AA270)+N(AB270)+N(AC270)+N(AD270))</f>
        <v/>
      </c>
      <c r="AH270" s="27">
        <f>IF(C270="","",H270-AG270)</f>
        <v/>
      </c>
      <c r="AI270" s="29">
        <f>IFERROR(AH270/H270,"")</f>
        <v/>
      </c>
      <c r="AJ270" s="64" t="n"/>
      <c r="AK270" s="64" t="n"/>
      <c r="AL270" s="64" t="n"/>
      <c r="AM270" s="64" t="n"/>
      <c r="AN270" s="64" t="n"/>
      <c r="AO270" s="24" t="n"/>
    </row>
    <row r="271" ht="15" customHeight="1">
      <c r="A271" s="63">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7">
        <f>IF(C271="","",SUMIFS(tbl_Finance[Inc GST],tbl_Finance[Job Number],C271&amp;""))</f>
        <v/>
      </c>
      <c r="M271" s="24" t="n"/>
      <c r="N271" s="25">
        <f>IF(C271="","",IFERROR(INDEX(tbl_Finance[Description],MATCH(C271&amp;"",tbl_Finance[Job Number],0)),""))</f>
        <v/>
      </c>
      <c r="O271" s="24" t="n"/>
      <c r="P271" s="24" t="n"/>
      <c r="Q271" s="22" t="n"/>
      <c r="R271" s="24" t="n"/>
      <c r="S271" s="25">
        <f>IF(R271="","",IF(AND(LEFT(R271,4)&lt;&gt;"http",set_RMSBase=""),"",HYPERLINK(IF(LEFT(R271,4)="http",R271,set_RMSBase&amp;R271),"Open opportunity")))</f>
        <v/>
      </c>
      <c r="T271" s="24" t="n"/>
      <c r="U271" s="25">
        <f>IF(T271="","",HYPERLINK(IF(LEFT(T271,4)="http",T271,set_QwilrBase&amp;T271),"Open quote"))</f>
        <v/>
      </c>
      <c r="V271" s="25">
        <f>IF(C271="","",C271)</f>
        <v/>
      </c>
      <c r="W271" s="24" t="n"/>
      <c r="X271" s="26" t="n"/>
      <c r="Y271" s="27">
        <f>IF(C271="","",H271+N(X271))</f>
        <v/>
      </c>
      <c r="Z271" s="29">
        <f>IFERROR(X271/Y271,"")</f>
        <v/>
      </c>
      <c r="AA271" s="26" t="n"/>
      <c r="AB271" s="26" t="n"/>
      <c r="AC271" s="26" t="n"/>
      <c r="AD271" s="26" t="n"/>
      <c r="AE271" s="27">
        <f>IF(C271="","",SUMIFS(tbl_Finance[Ex GST],tbl_Finance[Job Number],C271&amp;"",tbl_Finance[Cost Centre],"VIDEO"))</f>
        <v/>
      </c>
      <c r="AF271" s="29">
        <f>IFERROR(AE271/H271,"")</f>
        <v/>
      </c>
      <c r="AG271" s="27">
        <f>IF(C271="","",N(AA271)+N(AB271)+N(AC271)+N(AD271))</f>
        <v/>
      </c>
      <c r="AH271" s="27">
        <f>IF(C271="","",H271-AG271)</f>
        <v/>
      </c>
      <c r="AI271" s="29">
        <f>IFERROR(AH271/H271,"")</f>
        <v/>
      </c>
      <c r="AJ271" s="64" t="n"/>
      <c r="AK271" s="64" t="n"/>
      <c r="AL271" s="64" t="n"/>
      <c r="AM271" s="64" t="n"/>
      <c r="AN271" s="64" t="n"/>
      <c r="AO271" s="24" t="n"/>
    </row>
    <row r="272" ht="15" customHeight="1">
      <c r="A272" s="63">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7">
        <f>IF(C272="","",SUMIFS(tbl_Finance[Inc GST],tbl_Finance[Job Number],C272&amp;""))</f>
        <v/>
      </c>
      <c r="M272" s="24" t="n"/>
      <c r="N272" s="25">
        <f>IF(C272="","",IFERROR(INDEX(tbl_Finance[Description],MATCH(C272&amp;"",tbl_Finance[Job Number],0)),""))</f>
        <v/>
      </c>
      <c r="O272" s="24" t="n"/>
      <c r="P272" s="24" t="n"/>
      <c r="Q272" s="22" t="n"/>
      <c r="R272" s="24" t="n"/>
      <c r="S272" s="25">
        <f>IF(R272="","",IF(AND(LEFT(R272,4)&lt;&gt;"http",set_RMSBase=""),"",HYPERLINK(IF(LEFT(R272,4)="http",R272,set_RMSBase&amp;R272),"Open opportunity")))</f>
        <v/>
      </c>
      <c r="T272" s="24" t="n"/>
      <c r="U272" s="25">
        <f>IF(T272="","",HYPERLINK(IF(LEFT(T272,4)="http",T272,set_QwilrBase&amp;T272),"Open quote"))</f>
        <v/>
      </c>
      <c r="V272" s="25">
        <f>IF(C272="","",C272)</f>
        <v/>
      </c>
      <c r="W272" s="24" t="n"/>
      <c r="X272" s="26" t="n"/>
      <c r="Y272" s="27">
        <f>IF(C272="","",H272+N(X272))</f>
        <v/>
      </c>
      <c r="Z272" s="29">
        <f>IFERROR(X272/Y272,"")</f>
        <v/>
      </c>
      <c r="AA272" s="26" t="n"/>
      <c r="AB272" s="26" t="n"/>
      <c r="AC272" s="26" t="n"/>
      <c r="AD272" s="26" t="n"/>
      <c r="AE272" s="27">
        <f>IF(C272="","",SUMIFS(tbl_Finance[Ex GST],tbl_Finance[Job Number],C272&amp;"",tbl_Finance[Cost Centre],"VIDEO"))</f>
        <v/>
      </c>
      <c r="AF272" s="29">
        <f>IFERROR(AE272/H272,"")</f>
        <v/>
      </c>
      <c r="AG272" s="27">
        <f>IF(C272="","",N(AA272)+N(AB272)+N(AC272)+N(AD272))</f>
        <v/>
      </c>
      <c r="AH272" s="27">
        <f>IF(C272="","",H272-AG272)</f>
        <v/>
      </c>
      <c r="AI272" s="29">
        <f>IFERROR(AH272/H272,"")</f>
        <v/>
      </c>
      <c r="AJ272" s="64" t="n"/>
      <c r="AK272" s="64" t="n"/>
      <c r="AL272" s="64" t="n"/>
      <c r="AM272" s="64" t="n"/>
      <c r="AN272" s="64" t="n"/>
      <c r="AO272" s="24" t="n"/>
    </row>
    <row r="273" ht="15" customHeight="1">
      <c r="A273" s="63">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7">
        <f>IF(C273="","",SUMIFS(tbl_Finance[Inc GST],tbl_Finance[Job Number],C273&amp;""))</f>
        <v/>
      </c>
      <c r="M273" s="24" t="n"/>
      <c r="N273" s="25">
        <f>IF(C273="","",IFERROR(INDEX(tbl_Finance[Description],MATCH(C273&amp;"",tbl_Finance[Job Number],0)),""))</f>
        <v/>
      </c>
      <c r="O273" s="24" t="n"/>
      <c r="P273" s="24" t="n"/>
      <c r="Q273" s="22" t="n"/>
      <c r="R273" s="24" t="n"/>
      <c r="S273" s="25">
        <f>IF(R273="","",IF(AND(LEFT(R273,4)&lt;&gt;"http",set_RMSBase=""),"",HYPERLINK(IF(LEFT(R273,4)="http",R273,set_RMSBase&amp;R273),"Open opportunity")))</f>
        <v/>
      </c>
      <c r="T273" s="24" t="n"/>
      <c r="U273" s="25">
        <f>IF(T273="","",HYPERLINK(IF(LEFT(T273,4)="http",T273,set_QwilrBase&amp;T273),"Open quote"))</f>
        <v/>
      </c>
      <c r="V273" s="25">
        <f>IF(C273="","",C273)</f>
        <v/>
      </c>
      <c r="W273" s="24" t="n"/>
      <c r="X273" s="26" t="n"/>
      <c r="Y273" s="27">
        <f>IF(C273="","",H273+N(X273))</f>
        <v/>
      </c>
      <c r="Z273" s="29">
        <f>IFERROR(X273/Y273,"")</f>
        <v/>
      </c>
      <c r="AA273" s="26" t="n"/>
      <c r="AB273" s="26" t="n"/>
      <c r="AC273" s="26" t="n"/>
      <c r="AD273" s="26" t="n"/>
      <c r="AE273" s="27">
        <f>IF(C273="","",SUMIFS(tbl_Finance[Ex GST],tbl_Finance[Job Number],C273&amp;"",tbl_Finance[Cost Centre],"VIDEO"))</f>
        <v/>
      </c>
      <c r="AF273" s="29">
        <f>IFERROR(AE273/H273,"")</f>
        <v/>
      </c>
      <c r="AG273" s="27">
        <f>IF(C273="","",N(AA273)+N(AB273)+N(AC273)+N(AD273))</f>
        <v/>
      </c>
      <c r="AH273" s="27">
        <f>IF(C273="","",H273-AG273)</f>
        <v/>
      </c>
      <c r="AI273" s="29">
        <f>IFERROR(AH273/H273,"")</f>
        <v/>
      </c>
      <c r="AJ273" s="64" t="n"/>
      <c r="AK273" s="64" t="n"/>
      <c r="AL273" s="64" t="n"/>
      <c r="AM273" s="64" t="n"/>
      <c r="AN273" s="64" t="n"/>
      <c r="AO273" s="24" t="n"/>
    </row>
    <row r="274" ht="15" customHeight="1">
      <c r="A274" s="63">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7">
        <f>IF(C274="","",SUMIFS(tbl_Finance[Inc GST],tbl_Finance[Job Number],C274&amp;""))</f>
        <v/>
      </c>
      <c r="M274" s="24" t="n"/>
      <c r="N274" s="25">
        <f>IF(C274="","",IFERROR(INDEX(tbl_Finance[Description],MATCH(C274&amp;"",tbl_Finance[Job Number],0)),""))</f>
        <v/>
      </c>
      <c r="O274" s="24" t="n"/>
      <c r="P274" s="24" t="n"/>
      <c r="Q274" s="22" t="n"/>
      <c r="R274" s="24" t="n"/>
      <c r="S274" s="25">
        <f>IF(R274="","",IF(AND(LEFT(R274,4)&lt;&gt;"http",set_RMSBase=""),"",HYPERLINK(IF(LEFT(R274,4)="http",R274,set_RMSBase&amp;R274),"Open opportunity")))</f>
        <v/>
      </c>
      <c r="T274" s="24" t="n"/>
      <c r="U274" s="25">
        <f>IF(T274="","",HYPERLINK(IF(LEFT(T274,4)="http",T274,set_QwilrBase&amp;T274),"Open quote"))</f>
        <v/>
      </c>
      <c r="V274" s="25">
        <f>IF(C274="","",C274)</f>
        <v/>
      </c>
      <c r="W274" s="24" t="n"/>
      <c r="X274" s="26" t="n"/>
      <c r="Y274" s="27">
        <f>IF(C274="","",H274+N(X274))</f>
        <v/>
      </c>
      <c r="Z274" s="29">
        <f>IFERROR(X274/Y274,"")</f>
        <v/>
      </c>
      <c r="AA274" s="26" t="n"/>
      <c r="AB274" s="26" t="n"/>
      <c r="AC274" s="26" t="n"/>
      <c r="AD274" s="26" t="n"/>
      <c r="AE274" s="27">
        <f>IF(C274="","",SUMIFS(tbl_Finance[Ex GST],tbl_Finance[Job Number],C274&amp;"",tbl_Finance[Cost Centre],"VIDEO"))</f>
        <v/>
      </c>
      <c r="AF274" s="29">
        <f>IFERROR(AE274/H274,"")</f>
        <v/>
      </c>
      <c r="AG274" s="27">
        <f>IF(C274="","",N(AA274)+N(AB274)+N(AC274)+N(AD274))</f>
        <v/>
      </c>
      <c r="AH274" s="27">
        <f>IF(C274="","",H274-AG274)</f>
        <v/>
      </c>
      <c r="AI274" s="29">
        <f>IFERROR(AH274/H274,"")</f>
        <v/>
      </c>
      <c r="AJ274" s="64" t="n"/>
      <c r="AK274" s="64" t="n"/>
      <c r="AL274" s="64" t="n"/>
      <c r="AM274" s="64" t="n"/>
      <c r="AN274" s="64" t="n"/>
      <c r="AO274" s="24" t="n"/>
    </row>
    <row r="275" ht="15" customHeight="1">
      <c r="A275" s="63">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7">
        <f>IF(C275="","",SUMIFS(tbl_Finance[Inc GST],tbl_Finance[Job Number],C275&amp;""))</f>
        <v/>
      </c>
      <c r="M275" s="24" t="n"/>
      <c r="N275" s="25">
        <f>IF(C275="","",IFERROR(INDEX(tbl_Finance[Description],MATCH(C275&amp;"",tbl_Finance[Job Number],0)),""))</f>
        <v/>
      </c>
      <c r="O275" s="24" t="n"/>
      <c r="P275" s="24" t="n"/>
      <c r="Q275" s="22" t="n"/>
      <c r="R275" s="24" t="n"/>
      <c r="S275" s="25">
        <f>IF(R275="","",IF(AND(LEFT(R275,4)&lt;&gt;"http",set_RMSBase=""),"",HYPERLINK(IF(LEFT(R275,4)="http",R275,set_RMSBase&amp;R275),"Open opportunity")))</f>
        <v/>
      </c>
      <c r="T275" s="24" t="n"/>
      <c r="U275" s="25">
        <f>IF(T275="","",HYPERLINK(IF(LEFT(T275,4)="http",T275,set_QwilrBase&amp;T275),"Open quote"))</f>
        <v/>
      </c>
      <c r="V275" s="25">
        <f>IF(C275="","",C275)</f>
        <v/>
      </c>
      <c r="W275" s="24" t="n"/>
      <c r="X275" s="26" t="n"/>
      <c r="Y275" s="27">
        <f>IF(C275="","",H275+N(X275))</f>
        <v/>
      </c>
      <c r="Z275" s="29">
        <f>IFERROR(X275/Y275,"")</f>
        <v/>
      </c>
      <c r="AA275" s="26" t="n"/>
      <c r="AB275" s="26" t="n"/>
      <c r="AC275" s="26" t="n"/>
      <c r="AD275" s="26" t="n"/>
      <c r="AE275" s="27">
        <f>IF(C275="","",SUMIFS(tbl_Finance[Ex GST],tbl_Finance[Job Number],C275&amp;"",tbl_Finance[Cost Centre],"VIDEO"))</f>
        <v/>
      </c>
      <c r="AF275" s="29">
        <f>IFERROR(AE275/H275,"")</f>
        <v/>
      </c>
      <c r="AG275" s="27">
        <f>IF(C275="","",N(AA275)+N(AB275)+N(AC275)+N(AD275))</f>
        <v/>
      </c>
      <c r="AH275" s="27">
        <f>IF(C275="","",H275-AG275)</f>
        <v/>
      </c>
      <c r="AI275" s="29">
        <f>IFERROR(AH275/H275,"")</f>
        <v/>
      </c>
      <c r="AJ275" s="64" t="n"/>
      <c r="AK275" s="64" t="n"/>
      <c r="AL275" s="64" t="n"/>
      <c r="AM275" s="64" t="n"/>
      <c r="AN275" s="64" t="n"/>
      <c r="AO275" s="24" t="n"/>
    </row>
    <row r="276" ht="15" customHeight="1">
      <c r="A276" s="63">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7">
        <f>IF(C276="","",SUMIFS(tbl_Finance[Inc GST],tbl_Finance[Job Number],C276&amp;""))</f>
        <v/>
      </c>
      <c r="M276" s="24" t="n"/>
      <c r="N276" s="25">
        <f>IF(C276="","",IFERROR(INDEX(tbl_Finance[Description],MATCH(C276&amp;"",tbl_Finance[Job Number],0)),""))</f>
        <v/>
      </c>
      <c r="O276" s="24" t="n"/>
      <c r="P276" s="24" t="n"/>
      <c r="Q276" s="22" t="n"/>
      <c r="R276" s="24" t="n"/>
      <c r="S276" s="25">
        <f>IF(R276="","",IF(AND(LEFT(R276,4)&lt;&gt;"http",set_RMSBase=""),"",HYPERLINK(IF(LEFT(R276,4)="http",R276,set_RMSBase&amp;R276),"Open opportunity")))</f>
        <v/>
      </c>
      <c r="T276" s="24" t="n"/>
      <c r="U276" s="25">
        <f>IF(T276="","",HYPERLINK(IF(LEFT(T276,4)="http",T276,set_QwilrBase&amp;T276),"Open quote"))</f>
        <v/>
      </c>
      <c r="V276" s="25">
        <f>IF(C276="","",C276)</f>
        <v/>
      </c>
      <c r="W276" s="24" t="n"/>
      <c r="X276" s="26" t="n"/>
      <c r="Y276" s="27">
        <f>IF(C276="","",H276+N(X276))</f>
        <v/>
      </c>
      <c r="Z276" s="29">
        <f>IFERROR(X276/Y276,"")</f>
        <v/>
      </c>
      <c r="AA276" s="26" t="n"/>
      <c r="AB276" s="26" t="n"/>
      <c r="AC276" s="26" t="n"/>
      <c r="AD276" s="26" t="n"/>
      <c r="AE276" s="27">
        <f>IF(C276="","",SUMIFS(tbl_Finance[Ex GST],tbl_Finance[Job Number],C276&amp;"",tbl_Finance[Cost Centre],"VIDEO"))</f>
        <v/>
      </c>
      <c r="AF276" s="29">
        <f>IFERROR(AE276/H276,"")</f>
        <v/>
      </c>
      <c r="AG276" s="27">
        <f>IF(C276="","",N(AA276)+N(AB276)+N(AC276)+N(AD276))</f>
        <v/>
      </c>
      <c r="AH276" s="27">
        <f>IF(C276="","",H276-AG276)</f>
        <v/>
      </c>
      <c r="AI276" s="29">
        <f>IFERROR(AH276/H276,"")</f>
        <v/>
      </c>
      <c r="AJ276" s="64" t="n"/>
      <c r="AK276" s="64" t="n"/>
      <c r="AL276" s="64" t="n"/>
      <c r="AM276" s="64" t="n"/>
      <c r="AN276" s="64" t="n"/>
      <c r="AO276" s="24" t="n"/>
    </row>
    <row r="277" ht="15" customHeight="1">
      <c r="A277" s="63">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7">
        <f>IF(C277="","",SUMIFS(tbl_Finance[Inc GST],tbl_Finance[Job Number],C277&amp;""))</f>
        <v/>
      </c>
      <c r="M277" s="24" t="n"/>
      <c r="N277" s="25">
        <f>IF(C277="","",IFERROR(INDEX(tbl_Finance[Description],MATCH(C277&amp;"",tbl_Finance[Job Number],0)),""))</f>
        <v/>
      </c>
      <c r="O277" s="24" t="n"/>
      <c r="P277" s="24" t="n"/>
      <c r="Q277" s="22" t="n"/>
      <c r="R277" s="24" t="n"/>
      <c r="S277" s="25">
        <f>IF(R277="","",IF(AND(LEFT(R277,4)&lt;&gt;"http",set_RMSBase=""),"",HYPERLINK(IF(LEFT(R277,4)="http",R277,set_RMSBase&amp;R277),"Open opportunity")))</f>
        <v/>
      </c>
      <c r="T277" s="24" t="n"/>
      <c r="U277" s="25">
        <f>IF(T277="","",HYPERLINK(IF(LEFT(T277,4)="http",T277,set_QwilrBase&amp;T277),"Open quote"))</f>
        <v/>
      </c>
      <c r="V277" s="25">
        <f>IF(C277="","",C277)</f>
        <v/>
      </c>
      <c r="W277" s="24" t="n"/>
      <c r="X277" s="26" t="n"/>
      <c r="Y277" s="27">
        <f>IF(C277="","",H277+N(X277))</f>
        <v/>
      </c>
      <c r="Z277" s="29">
        <f>IFERROR(X277/Y277,"")</f>
        <v/>
      </c>
      <c r="AA277" s="26" t="n"/>
      <c r="AB277" s="26" t="n"/>
      <c r="AC277" s="26" t="n"/>
      <c r="AD277" s="26" t="n"/>
      <c r="AE277" s="27">
        <f>IF(C277="","",SUMIFS(tbl_Finance[Ex GST],tbl_Finance[Job Number],C277&amp;"",tbl_Finance[Cost Centre],"VIDEO"))</f>
        <v/>
      </c>
      <c r="AF277" s="29">
        <f>IFERROR(AE277/H277,"")</f>
        <v/>
      </c>
      <c r="AG277" s="27">
        <f>IF(C277="","",N(AA277)+N(AB277)+N(AC277)+N(AD277))</f>
        <v/>
      </c>
      <c r="AH277" s="27">
        <f>IF(C277="","",H277-AG277)</f>
        <v/>
      </c>
      <c r="AI277" s="29">
        <f>IFERROR(AH277/H277,"")</f>
        <v/>
      </c>
      <c r="AJ277" s="64" t="n"/>
      <c r="AK277" s="64" t="n"/>
      <c r="AL277" s="64" t="n"/>
      <c r="AM277" s="64" t="n"/>
      <c r="AN277" s="64" t="n"/>
      <c r="AO277" s="24" t="n"/>
    </row>
    <row r="278" ht="15" customHeight="1">
      <c r="A278" s="63">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7">
        <f>IF(C278="","",SUMIFS(tbl_Finance[Inc GST],tbl_Finance[Job Number],C278&amp;""))</f>
        <v/>
      </c>
      <c r="M278" s="24" t="n"/>
      <c r="N278" s="25">
        <f>IF(C278="","",IFERROR(INDEX(tbl_Finance[Description],MATCH(C278&amp;"",tbl_Finance[Job Number],0)),""))</f>
        <v/>
      </c>
      <c r="O278" s="24" t="n"/>
      <c r="P278" s="24" t="n"/>
      <c r="Q278" s="22" t="n"/>
      <c r="R278" s="24" t="n"/>
      <c r="S278" s="25">
        <f>IF(R278="","",IF(AND(LEFT(R278,4)&lt;&gt;"http",set_RMSBase=""),"",HYPERLINK(IF(LEFT(R278,4)="http",R278,set_RMSBase&amp;R278),"Open opportunity")))</f>
        <v/>
      </c>
      <c r="T278" s="24" t="n"/>
      <c r="U278" s="25">
        <f>IF(T278="","",HYPERLINK(IF(LEFT(T278,4)="http",T278,set_QwilrBase&amp;T278),"Open quote"))</f>
        <v/>
      </c>
      <c r="V278" s="25">
        <f>IF(C278="","",C278)</f>
        <v/>
      </c>
      <c r="W278" s="24" t="n"/>
      <c r="X278" s="26" t="n"/>
      <c r="Y278" s="27">
        <f>IF(C278="","",H278+N(X278))</f>
        <v/>
      </c>
      <c r="Z278" s="29">
        <f>IFERROR(X278/Y278,"")</f>
        <v/>
      </c>
      <c r="AA278" s="26" t="n"/>
      <c r="AB278" s="26" t="n"/>
      <c r="AC278" s="26" t="n"/>
      <c r="AD278" s="26" t="n"/>
      <c r="AE278" s="27">
        <f>IF(C278="","",SUMIFS(tbl_Finance[Ex GST],tbl_Finance[Job Number],C278&amp;"",tbl_Finance[Cost Centre],"VIDEO"))</f>
        <v/>
      </c>
      <c r="AF278" s="29">
        <f>IFERROR(AE278/H278,"")</f>
        <v/>
      </c>
      <c r="AG278" s="27">
        <f>IF(C278="","",N(AA278)+N(AB278)+N(AC278)+N(AD278))</f>
        <v/>
      </c>
      <c r="AH278" s="27">
        <f>IF(C278="","",H278-AG278)</f>
        <v/>
      </c>
      <c r="AI278" s="29">
        <f>IFERROR(AH278/H278,"")</f>
        <v/>
      </c>
      <c r="AJ278" s="64" t="n"/>
      <c r="AK278" s="64" t="n"/>
      <c r="AL278" s="64" t="n"/>
      <c r="AM278" s="64" t="n"/>
      <c r="AN278" s="64" t="n"/>
      <c r="AO278" s="24" t="n"/>
    </row>
    <row r="279" ht="15" customHeight="1">
      <c r="A279" s="63">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7">
        <f>IF(C279="","",SUMIFS(tbl_Finance[Inc GST],tbl_Finance[Job Number],C279&amp;""))</f>
        <v/>
      </c>
      <c r="M279" s="24" t="n"/>
      <c r="N279" s="25">
        <f>IF(C279="","",IFERROR(INDEX(tbl_Finance[Description],MATCH(C279&amp;"",tbl_Finance[Job Number],0)),""))</f>
        <v/>
      </c>
      <c r="O279" s="24" t="n"/>
      <c r="P279" s="24" t="n"/>
      <c r="Q279" s="22" t="n"/>
      <c r="R279" s="24" t="n"/>
      <c r="S279" s="25">
        <f>IF(R279="","",IF(AND(LEFT(R279,4)&lt;&gt;"http",set_RMSBase=""),"",HYPERLINK(IF(LEFT(R279,4)="http",R279,set_RMSBase&amp;R279),"Open opportunity")))</f>
        <v/>
      </c>
      <c r="T279" s="24" t="n"/>
      <c r="U279" s="25">
        <f>IF(T279="","",HYPERLINK(IF(LEFT(T279,4)="http",T279,set_QwilrBase&amp;T279),"Open quote"))</f>
        <v/>
      </c>
      <c r="V279" s="25">
        <f>IF(C279="","",C279)</f>
        <v/>
      </c>
      <c r="W279" s="24" t="n"/>
      <c r="X279" s="26" t="n"/>
      <c r="Y279" s="27">
        <f>IF(C279="","",H279+N(X279))</f>
        <v/>
      </c>
      <c r="Z279" s="29">
        <f>IFERROR(X279/Y279,"")</f>
        <v/>
      </c>
      <c r="AA279" s="26" t="n"/>
      <c r="AB279" s="26" t="n"/>
      <c r="AC279" s="26" t="n"/>
      <c r="AD279" s="26" t="n"/>
      <c r="AE279" s="27">
        <f>IF(C279="","",SUMIFS(tbl_Finance[Ex GST],tbl_Finance[Job Number],C279&amp;"",tbl_Finance[Cost Centre],"VIDEO"))</f>
        <v/>
      </c>
      <c r="AF279" s="29">
        <f>IFERROR(AE279/H279,"")</f>
        <v/>
      </c>
      <c r="AG279" s="27">
        <f>IF(C279="","",N(AA279)+N(AB279)+N(AC279)+N(AD279))</f>
        <v/>
      </c>
      <c r="AH279" s="27">
        <f>IF(C279="","",H279-AG279)</f>
        <v/>
      </c>
      <c r="AI279" s="29">
        <f>IFERROR(AH279/H279,"")</f>
        <v/>
      </c>
      <c r="AJ279" s="64" t="n"/>
      <c r="AK279" s="64" t="n"/>
      <c r="AL279" s="64" t="n"/>
      <c r="AM279" s="64" t="n"/>
      <c r="AN279" s="64" t="n"/>
      <c r="AO279" s="24" t="n"/>
    </row>
    <row r="280" ht="15" customHeight="1">
      <c r="A280" s="63">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7">
        <f>IF(C280="","",SUMIFS(tbl_Finance[Inc GST],tbl_Finance[Job Number],C280&amp;""))</f>
        <v/>
      </c>
      <c r="M280" s="24" t="n"/>
      <c r="N280" s="25">
        <f>IF(C280="","",IFERROR(INDEX(tbl_Finance[Description],MATCH(C280&amp;"",tbl_Finance[Job Number],0)),""))</f>
        <v/>
      </c>
      <c r="O280" s="24" t="n"/>
      <c r="P280" s="24" t="n"/>
      <c r="Q280" s="22" t="n"/>
      <c r="R280" s="24" t="n"/>
      <c r="S280" s="25">
        <f>IF(R280="","",IF(AND(LEFT(R280,4)&lt;&gt;"http",set_RMSBase=""),"",HYPERLINK(IF(LEFT(R280,4)="http",R280,set_RMSBase&amp;R280),"Open opportunity")))</f>
        <v/>
      </c>
      <c r="T280" s="24" t="n"/>
      <c r="U280" s="25">
        <f>IF(T280="","",HYPERLINK(IF(LEFT(T280,4)="http",T280,set_QwilrBase&amp;T280),"Open quote"))</f>
        <v/>
      </c>
      <c r="V280" s="25">
        <f>IF(C280="","",C280)</f>
        <v/>
      </c>
      <c r="W280" s="24" t="n"/>
      <c r="X280" s="26" t="n"/>
      <c r="Y280" s="27">
        <f>IF(C280="","",H280+N(X280))</f>
        <v/>
      </c>
      <c r="Z280" s="29">
        <f>IFERROR(X280/Y280,"")</f>
        <v/>
      </c>
      <c r="AA280" s="26" t="n"/>
      <c r="AB280" s="26" t="n"/>
      <c r="AC280" s="26" t="n"/>
      <c r="AD280" s="26" t="n"/>
      <c r="AE280" s="27">
        <f>IF(C280="","",SUMIFS(tbl_Finance[Ex GST],tbl_Finance[Job Number],C280&amp;"",tbl_Finance[Cost Centre],"VIDEO"))</f>
        <v/>
      </c>
      <c r="AF280" s="29">
        <f>IFERROR(AE280/H280,"")</f>
        <v/>
      </c>
      <c r="AG280" s="27">
        <f>IF(C280="","",N(AA280)+N(AB280)+N(AC280)+N(AD280))</f>
        <v/>
      </c>
      <c r="AH280" s="27">
        <f>IF(C280="","",H280-AG280)</f>
        <v/>
      </c>
      <c r="AI280" s="29">
        <f>IFERROR(AH280/H280,"")</f>
        <v/>
      </c>
      <c r="AJ280" s="64" t="n"/>
      <c r="AK280" s="64" t="n"/>
      <c r="AL280" s="64" t="n"/>
      <c r="AM280" s="64" t="n"/>
      <c r="AN280" s="64" t="n"/>
      <c r="AO280" s="24" t="n"/>
    </row>
    <row r="281" ht="15" customHeight="1">
      <c r="A281" s="63">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7">
        <f>IF(C281="","",SUMIFS(tbl_Finance[Inc GST],tbl_Finance[Job Number],C281&amp;""))</f>
        <v/>
      </c>
      <c r="M281" s="24" t="n"/>
      <c r="N281" s="25">
        <f>IF(C281="","",IFERROR(INDEX(tbl_Finance[Description],MATCH(C281&amp;"",tbl_Finance[Job Number],0)),""))</f>
        <v/>
      </c>
      <c r="O281" s="24" t="n"/>
      <c r="P281" s="24" t="n"/>
      <c r="Q281" s="22" t="n"/>
      <c r="R281" s="24" t="n"/>
      <c r="S281" s="25">
        <f>IF(R281="","",IF(AND(LEFT(R281,4)&lt;&gt;"http",set_RMSBase=""),"",HYPERLINK(IF(LEFT(R281,4)="http",R281,set_RMSBase&amp;R281),"Open opportunity")))</f>
        <v/>
      </c>
      <c r="T281" s="24" t="n"/>
      <c r="U281" s="25">
        <f>IF(T281="","",HYPERLINK(IF(LEFT(T281,4)="http",T281,set_QwilrBase&amp;T281),"Open quote"))</f>
        <v/>
      </c>
      <c r="V281" s="25">
        <f>IF(C281="","",C281)</f>
        <v/>
      </c>
      <c r="W281" s="24" t="n"/>
      <c r="X281" s="26" t="n"/>
      <c r="Y281" s="27">
        <f>IF(C281="","",H281+N(X281))</f>
        <v/>
      </c>
      <c r="Z281" s="29">
        <f>IFERROR(X281/Y281,"")</f>
        <v/>
      </c>
      <c r="AA281" s="26" t="n"/>
      <c r="AB281" s="26" t="n"/>
      <c r="AC281" s="26" t="n"/>
      <c r="AD281" s="26" t="n"/>
      <c r="AE281" s="27">
        <f>IF(C281="","",SUMIFS(tbl_Finance[Ex GST],tbl_Finance[Job Number],C281&amp;"",tbl_Finance[Cost Centre],"VIDEO"))</f>
        <v/>
      </c>
      <c r="AF281" s="29">
        <f>IFERROR(AE281/H281,"")</f>
        <v/>
      </c>
      <c r="AG281" s="27">
        <f>IF(C281="","",N(AA281)+N(AB281)+N(AC281)+N(AD281))</f>
        <v/>
      </c>
      <c r="AH281" s="27">
        <f>IF(C281="","",H281-AG281)</f>
        <v/>
      </c>
      <c r="AI281" s="29">
        <f>IFERROR(AH281/H281,"")</f>
        <v/>
      </c>
      <c r="AJ281" s="64" t="n"/>
      <c r="AK281" s="64" t="n"/>
      <c r="AL281" s="64" t="n"/>
      <c r="AM281" s="64" t="n"/>
      <c r="AN281" s="64" t="n"/>
      <c r="AO281" s="24" t="n"/>
    </row>
    <row r="282" ht="15" customHeight="1">
      <c r="A282" s="63">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7">
        <f>IF(C282="","",SUMIFS(tbl_Finance[Inc GST],tbl_Finance[Job Number],C282&amp;""))</f>
        <v/>
      </c>
      <c r="M282" s="24" t="n"/>
      <c r="N282" s="25">
        <f>IF(C282="","",IFERROR(INDEX(tbl_Finance[Description],MATCH(C282&amp;"",tbl_Finance[Job Number],0)),""))</f>
        <v/>
      </c>
      <c r="O282" s="24" t="n"/>
      <c r="P282" s="24" t="n"/>
      <c r="Q282" s="22" t="n"/>
      <c r="R282" s="24" t="n"/>
      <c r="S282" s="25">
        <f>IF(R282="","",IF(AND(LEFT(R282,4)&lt;&gt;"http",set_RMSBase=""),"",HYPERLINK(IF(LEFT(R282,4)="http",R282,set_RMSBase&amp;R282),"Open opportunity")))</f>
        <v/>
      </c>
      <c r="T282" s="24" t="n"/>
      <c r="U282" s="25">
        <f>IF(T282="","",HYPERLINK(IF(LEFT(T282,4)="http",T282,set_QwilrBase&amp;T282),"Open quote"))</f>
        <v/>
      </c>
      <c r="V282" s="25">
        <f>IF(C282="","",C282)</f>
        <v/>
      </c>
      <c r="W282" s="24" t="n"/>
      <c r="X282" s="26" t="n"/>
      <c r="Y282" s="27">
        <f>IF(C282="","",H282+N(X282))</f>
        <v/>
      </c>
      <c r="Z282" s="29">
        <f>IFERROR(X282/Y282,"")</f>
        <v/>
      </c>
      <c r="AA282" s="26" t="n"/>
      <c r="AB282" s="26" t="n"/>
      <c r="AC282" s="26" t="n"/>
      <c r="AD282" s="26" t="n"/>
      <c r="AE282" s="27">
        <f>IF(C282="","",SUMIFS(tbl_Finance[Ex GST],tbl_Finance[Job Number],C282&amp;"",tbl_Finance[Cost Centre],"VIDEO"))</f>
        <v/>
      </c>
      <c r="AF282" s="29">
        <f>IFERROR(AE282/H282,"")</f>
        <v/>
      </c>
      <c r="AG282" s="27">
        <f>IF(C282="","",N(AA282)+N(AB282)+N(AC282)+N(AD282))</f>
        <v/>
      </c>
      <c r="AH282" s="27">
        <f>IF(C282="","",H282-AG282)</f>
        <v/>
      </c>
      <c r="AI282" s="29">
        <f>IFERROR(AH282/H282,"")</f>
        <v/>
      </c>
      <c r="AJ282" s="64" t="n"/>
      <c r="AK282" s="64" t="n"/>
      <c r="AL282" s="64" t="n"/>
      <c r="AM282" s="64" t="n"/>
      <c r="AN282" s="64" t="n"/>
      <c r="AO282" s="24" t="n"/>
    </row>
    <row r="283" ht="15" customHeight="1">
      <c r="A283" s="63">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7">
        <f>IF(C283="","",SUMIFS(tbl_Finance[Inc GST],tbl_Finance[Job Number],C283&amp;""))</f>
        <v/>
      </c>
      <c r="M283" s="24" t="n"/>
      <c r="N283" s="25">
        <f>IF(C283="","",IFERROR(INDEX(tbl_Finance[Description],MATCH(C283&amp;"",tbl_Finance[Job Number],0)),""))</f>
        <v/>
      </c>
      <c r="O283" s="24" t="n"/>
      <c r="P283" s="24" t="n"/>
      <c r="Q283" s="22" t="n"/>
      <c r="R283" s="24" t="n"/>
      <c r="S283" s="25">
        <f>IF(R283="","",IF(AND(LEFT(R283,4)&lt;&gt;"http",set_RMSBase=""),"",HYPERLINK(IF(LEFT(R283,4)="http",R283,set_RMSBase&amp;R283),"Open opportunity")))</f>
        <v/>
      </c>
      <c r="T283" s="24" t="n"/>
      <c r="U283" s="25">
        <f>IF(T283="","",HYPERLINK(IF(LEFT(T283,4)="http",T283,set_QwilrBase&amp;T283),"Open quote"))</f>
        <v/>
      </c>
      <c r="V283" s="25">
        <f>IF(C283="","",C283)</f>
        <v/>
      </c>
      <c r="W283" s="24" t="n"/>
      <c r="X283" s="26" t="n"/>
      <c r="Y283" s="27">
        <f>IF(C283="","",H283+N(X283))</f>
        <v/>
      </c>
      <c r="Z283" s="29">
        <f>IFERROR(X283/Y283,"")</f>
        <v/>
      </c>
      <c r="AA283" s="26" t="n"/>
      <c r="AB283" s="26" t="n"/>
      <c r="AC283" s="26" t="n"/>
      <c r="AD283" s="26" t="n"/>
      <c r="AE283" s="27">
        <f>IF(C283="","",SUMIFS(tbl_Finance[Ex GST],tbl_Finance[Job Number],C283&amp;"",tbl_Finance[Cost Centre],"VIDEO"))</f>
        <v/>
      </c>
      <c r="AF283" s="29">
        <f>IFERROR(AE283/H283,"")</f>
        <v/>
      </c>
      <c r="AG283" s="27">
        <f>IF(C283="","",N(AA283)+N(AB283)+N(AC283)+N(AD283))</f>
        <v/>
      </c>
      <c r="AH283" s="27">
        <f>IF(C283="","",H283-AG283)</f>
        <v/>
      </c>
      <c r="AI283" s="29">
        <f>IFERROR(AH283/H283,"")</f>
        <v/>
      </c>
      <c r="AJ283" s="64" t="n"/>
      <c r="AK283" s="64" t="n"/>
      <c r="AL283" s="64" t="n"/>
      <c r="AM283" s="64" t="n"/>
      <c r="AN283" s="64" t="n"/>
      <c r="AO283" s="24" t="n"/>
    </row>
    <row r="284" ht="15" customHeight="1">
      <c r="A284" s="63">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7">
        <f>IF(C284="","",SUMIFS(tbl_Finance[Inc GST],tbl_Finance[Job Number],C284&amp;""))</f>
        <v/>
      </c>
      <c r="M284" s="24" t="n"/>
      <c r="N284" s="25">
        <f>IF(C284="","",IFERROR(INDEX(tbl_Finance[Description],MATCH(C284&amp;"",tbl_Finance[Job Number],0)),""))</f>
        <v/>
      </c>
      <c r="O284" s="24" t="n"/>
      <c r="P284" s="24" t="n"/>
      <c r="Q284" s="22" t="n"/>
      <c r="R284" s="24" t="n"/>
      <c r="S284" s="25">
        <f>IF(R284="","",IF(AND(LEFT(R284,4)&lt;&gt;"http",set_RMSBase=""),"",HYPERLINK(IF(LEFT(R284,4)="http",R284,set_RMSBase&amp;R284),"Open opportunity")))</f>
        <v/>
      </c>
      <c r="T284" s="24" t="n"/>
      <c r="U284" s="25">
        <f>IF(T284="","",HYPERLINK(IF(LEFT(T284,4)="http",T284,set_QwilrBase&amp;T284),"Open quote"))</f>
        <v/>
      </c>
      <c r="V284" s="25">
        <f>IF(C284="","",C284)</f>
        <v/>
      </c>
      <c r="W284" s="24" t="n"/>
      <c r="X284" s="26" t="n"/>
      <c r="Y284" s="27">
        <f>IF(C284="","",H284+N(X284))</f>
        <v/>
      </c>
      <c r="Z284" s="29">
        <f>IFERROR(X284/Y284,"")</f>
        <v/>
      </c>
      <c r="AA284" s="26" t="n"/>
      <c r="AB284" s="26" t="n"/>
      <c r="AC284" s="26" t="n"/>
      <c r="AD284" s="26" t="n"/>
      <c r="AE284" s="27">
        <f>IF(C284="","",SUMIFS(tbl_Finance[Ex GST],tbl_Finance[Job Number],C284&amp;"",tbl_Finance[Cost Centre],"VIDEO"))</f>
        <v/>
      </c>
      <c r="AF284" s="29">
        <f>IFERROR(AE284/H284,"")</f>
        <v/>
      </c>
      <c r="AG284" s="27">
        <f>IF(C284="","",N(AA284)+N(AB284)+N(AC284)+N(AD284))</f>
        <v/>
      </c>
      <c r="AH284" s="27">
        <f>IF(C284="","",H284-AG284)</f>
        <v/>
      </c>
      <c r="AI284" s="29">
        <f>IFERROR(AH284/H284,"")</f>
        <v/>
      </c>
      <c r="AJ284" s="64" t="n"/>
      <c r="AK284" s="64" t="n"/>
      <c r="AL284" s="64" t="n"/>
      <c r="AM284" s="64" t="n"/>
      <c r="AN284" s="64" t="n"/>
      <c r="AO284" s="24" t="n"/>
    </row>
    <row r="285" ht="15" customHeight="1">
      <c r="A285" s="63">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7">
        <f>IF(C285="","",SUMIFS(tbl_Finance[Inc GST],tbl_Finance[Job Number],C285&amp;""))</f>
        <v/>
      </c>
      <c r="M285" s="24" t="n"/>
      <c r="N285" s="25">
        <f>IF(C285="","",IFERROR(INDEX(tbl_Finance[Description],MATCH(C285&amp;"",tbl_Finance[Job Number],0)),""))</f>
        <v/>
      </c>
      <c r="O285" s="24" t="n"/>
      <c r="P285" s="24" t="n"/>
      <c r="Q285" s="22" t="n"/>
      <c r="R285" s="24" t="n"/>
      <c r="S285" s="25">
        <f>IF(R285="","",IF(AND(LEFT(R285,4)&lt;&gt;"http",set_RMSBase=""),"",HYPERLINK(IF(LEFT(R285,4)="http",R285,set_RMSBase&amp;R285),"Open opportunity")))</f>
        <v/>
      </c>
      <c r="T285" s="24" t="n"/>
      <c r="U285" s="25">
        <f>IF(T285="","",HYPERLINK(IF(LEFT(T285,4)="http",T285,set_QwilrBase&amp;T285),"Open quote"))</f>
        <v/>
      </c>
      <c r="V285" s="25">
        <f>IF(C285="","",C285)</f>
        <v/>
      </c>
      <c r="W285" s="24" t="n"/>
      <c r="X285" s="26" t="n"/>
      <c r="Y285" s="27">
        <f>IF(C285="","",H285+N(X285))</f>
        <v/>
      </c>
      <c r="Z285" s="29">
        <f>IFERROR(X285/Y285,"")</f>
        <v/>
      </c>
      <c r="AA285" s="26" t="n"/>
      <c r="AB285" s="26" t="n"/>
      <c r="AC285" s="26" t="n"/>
      <c r="AD285" s="26" t="n"/>
      <c r="AE285" s="27">
        <f>IF(C285="","",SUMIFS(tbl_Finance[Ex GST],tbl_Finance[Job Number],C285&amp;"",tbl_Finance[Cost Centre],"VIDEO"))</f>
        <v/>
      </c>
      <c r="AF285" s="29">
        <f>IFERROR(AE285/H285,"")</f>
        <v/>
      </c>
      <c r="AG285" s="27">
        <f>IF(C285="","",N(AA285)+N(AB285)+N(AC285)+N(AD285))</f>
        <v/>
      </c>
      <c r="AH285" s="27">
        <f>IF(C285="","",H285-AG285)</f>
        <v/>
      </c>
      <c r="AI285" s="29">
        <f>IFERROR(AH285/H285,"")</f>
        <v/>
      </c>
      <c r="AJ285" s="64" t="n"/>
      <c r="AK285" s="64" t="n"/>
      <c r="AL285" s="64" t="n"/>
      <c r="AM285" s="64" t="n"/>
      <c r="AN285" s="64" t="n"/>
      <c r="AO285" s="24" t="n"/>
    </row>
    <row r="286" ht="15" customHeight="1">
      <c r="A286" s="63">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7">
        <f>IF(C286="","",SUMIFS(tbl_Finance[Inc GST],tbl_Finance[Job Number],C286&amp;""))</f>
        <v/>
      </c>
      <c r="M286" s="24" t="n"/>
      <c r="N286" s="25">
        <f>IF(C286="","",IFERROR(INDEX(tbl_Finance[Description],MATCH(C286&amp;"",tbl_Finance[Job Number],0)),""))</f>
        <v/>
      </c>
      <c r="O286" s="24" t="n"/>
      <c r="P286" s="24" t="n"/>
      <c r="Q286" s="22" t="n"/>
      <c r="R286" s="24" t="n"/>
      <c r="S286" s="25">
        <f>IF(R286="","",IF(AND(LEFT(R286,4)&lt;&gt;"http",set_RMSBase=""),"",HYPERLINK(IF(LEFT(R286,4)="http",R286,set_RMSBase&amp;R286),"Open opportunity")))</f>
        <v/>
      </c>
      <c r="T286" s="24" t="n"/>
      <c r="U286" s="25">
        <f>IF(T286="","",HYPERLINK(IF(LEFT(T286,4)="http",T286,set_QwilrBase&amp;T286),"Open quote"))</f>
        <v/>
      </c>
      <c r="V286" s="25">
        <f>IF(C286="","",C286)</f>
        <v/>
      </c>
      <c r="W286" s="24" t="n"/>
      <c r="X286" s="26" t="n"/>
      <c r="Y286" s="27">
        <f>IF(C286="","",H286+N(X286))</f>
        <v/>
      </c>
      <c r="Z286" s="29">
        <f>IFERROR(X286/Y286,"")</f>
        <v/>
      </c>
      <c r="AA286" s="26" t="n"/>
      <c r="AB286" s="26" t="n"/>
      <c r="AC286" s="26" t="n"/>
      <c r="AD286" s="26" t="n"/>
      <c r="AE286" s="27">
        <f>IF(C286="","",SUMIFS(tbl_Finance[Ex GST],tbl_Finance[Job Number],C286&amp;"",tbl_Finance[Cost Centre],"VIDEO"))</f>
        <v/>
      </c>
      <c r="AF286" s="29">
        <f>IFERROR(AE286/H286,"")</f>
        <v/>
      </c>
      <c r="AG286" s="27">
        <f>IF(C286="","",N(AA286)+N(AB286)+N(AC286)+N(AD286))</f>
        <v/>
      </c>
      <c r="AH286" s="27">
        <f>IF(C286="","",H286-AG286)</f>
        <v/>
      </c>
      <c r="AI286" s="29">
        <f>IFERROR(AH286/H286,"")</f>
        <v/>
      </c>
      <c r="AJ286" s="64" t="n"/>
      <c r="AK286" s="64" t="n"/>
      <c r="AL286" s="64" t="n"/>
      <c r="AM286" s="64" t="n"/>
      <c r="AN286" s="64" t="n"/>
      <c r="AO286" s="24" t="n"/>
    </row>
    <row r="287" ht="15" customHeight="1">
      <c r="A287" s="63">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7">
        <f>IF(C287="","",SUMIFS(tbl_Finance[Inc GST],tbl_Finance[Job Number],C287&amp;""))</f>
        <v/>
      </c>
      <c r="M287" s="24" t="n"/>
      <c r="N287" s="25">
        <f>IF(C287="","",IFERROR(INDEX(tbl_Finance[Description],MATCH(C287&amp;"",tbl_Finance[Job Number],0)),""))</f>
        <v/>
      </c>
      <c r="O287" s="24" t="n"/>
      <c r="P287" s="24" t="n"/>
      <c r="Q287" s="22" t="n"/>
      <c r="R287" s="24" t="n"/>
      <c r="S287" s="25">
        <f>IF(R287="","",IF(AND(LEFT(R287,4)&lt;&gt;"http",set_RMSBase=""),"",HYPERLINK(IF(LEFT(R287,4)="http",R287,set_RMSBase&amp;R287),"Open opportunity")))</f>
        <v/>
      </c>
      <c r="T287" s="24" t="n"/>
      <c r="U287" s="25">
        <f>IF(T287="","",HYPERLINK(IF(LEFT(T287,4)="http",T287,set_QwilrBase&amp;T287),"Open quote"))</f>
        <v/>
      </c>
      <c r="V287" s="25">
        <f>IF(C287="","",C287)</f>
        <v/>
      </c>
      <c r="W287" s="24" t="n"/>
      <c r="X287" s="26" t="n"/>
      <c r="Y287" s="27">
        <f>IF(C287="","",H287+N(X287))</f>
        <v/>
      </c>
      <c r="Z287" s="29">
        <f>IFERROR(X287/Y287,"")</f>
        <v/>
      </c>
      <c r="AA287" s="26" t="n"/>
      <c r="AB287" s="26" t="n"/>
      <c r="AC287" s="26" t="n"/>
      <c r="AD287" s="26" t="n"/>
      <c r="AE287" s="27">
        <f>IF(C287="","",SUMIFS(tbl_Finance[Ex GST],tbl_Finance[Job Number],C287&amp;"",tbl_Finance[Cost Centre],"VIDEO"))</f>
        <v/>
      </c>
      <c r="AF287" s="29">
        <f>IFERROR(AE287/H287,"")</f>
        <v/>
      </c>
      <c r="AG287" s="27">
        <f>IF(C287="","",N(AA287)+N(AB287)+N(AC287)+N(AD287))</f>
        <v/>
      </c>
      <c r="AH287" s="27">
        <f>IF(C287="","",H287-AG287)</f>
        <v/>
      </c>
      <c r="AI287" s="29">
        <f>IFERROR(AH287/H287,"")</f>
        <v/>
      </c>
      <c r="AJ287" s="64" t="n"/>
      <c r="AK287" s="64" t="n"/>
      <c r="AL287" s="64" t="n"/>
      <c r="AM287" s="64" t="n"/>
      <c r="AN287" s="64" t="n"/>
      <c r="AO287" s="24" t="n"/>
    </row>
    <row r="288" ht="15" customHeight="1">
      <c r="A288" s="63">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7">
        <f>IF(C288="","",SUMIFS(tbl_Finance[Inc GST],tbl_Finance[Job Number],C288&amp;""))</f>
        <v/>
      </c>
      <c r="M288" s="24" t="n"/>
      <c r="N288" s="25">
        <f>IF(C288="","",IFERROR(INDEX(tbl_Finance[Description],MATCH(C288&amp;"",tbl_Finance[Job Number],0)),""))</f>
        <v/>
      </c>
      <c r="O288" s="24" t="n"/>
      <c r="P288" s="24" t="n"/>
      <c r="Q288" s="22" t="n"/>
      <c r="R288" s="24" t="n"/>
      <c r="S288" s="25">
        <f>IF(R288="","",IF(AND(LEFT(R288,4)&lt;&gt;"http",set_RMSBase=""),"",HYPERLINK(IF(LEFT(R288,4)="http",R288,set_RMSBase&amp;R288),"Open opportunity")))</f>
        <v/>
      </c>
      <c r="T288" s="24" t="n"/>
      <c r="U288" s="25">
        <f>IF(T288="","",HYPERLINK(IF(LEFT(T288,4)="http",T288,set_QwilrBase&amp;T288),"Open quote"))</f>
        <v/>
      </c>
      <c r="V288" s="25">
        <f>IF(C288="","",C288)</f>
        <v/>
      </c>
      <c r="W288" s="24" t="n"/>
      <c r="X288" s="26" t="n"/>
      <c r="Y288" s="27">
        <f>IF(C288="","",H288+N(X288))</f>
        <v/>
      </c>
      <c r="Z288" s="29">
        <f>IFERROR(X288/Y288,"")</f>
        <v/>
      </c>
      <c r="AA288" s="26" t="n"/>
      <c r="AB288" s="26" t="n"/>
      <c r="AC288" s="26" t="n"/>
      <c r="AD288" s="26" t="n"/>
      <c r="AE288" s="27">
        <f>IF(C288="","",SUMIFS(tbl_Finance[Ex GST],tbl_Finance[Job Number],C288&amp;"",tbl_Finance[Cost Centre],"VIDEO"))</f>
        <v/>
      </c>
      <c r="AF288" s="29">
        <f>IFERROR(AE288/H288,"")</f>
        <v/>
      </c>
      <c r="AG288" s="27">
        <f>IF(C288="","",N(AA288)+N(AB288)+N(AC288)+N(AD288))</f>
        <v/>
      </c>
      <c r="AH288" s="27">
        <f>IF(C288="","",H288-AG288)</f>
        <v/>
      </c>
      <c r="AI288" s="29">
        <f>IFERROR(AH288/H288,"")</f>
        <v/>
      </c>
      <c r="AJ288" s="64" t="n"/>
      <c r="AK288" s="64" t="n"/>
      <c r="AL288" s="64" t="n"/>
      <c r="AM288" s="64" t="n"/>
      <c r="AN288" s="64" t="n"/>
      <c r="AO288" s="24" t="n"/>
    </row>
    <row r="289" ht="15" customHeight="1">
      <c r="A289" s="63">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7">
        <f>IF(C289="","",SUMIFS(tbl_Finance[Inc GST],tbl_Finance[Job Number],C289&amp;""))</f>
        <v/>
      </c>
      <c r="M289" s="24" t="n"/>
      <c r="N289" s="25">
        <f>IF(C289="","",IFERROR(INDEX(tbl_Finance[Description],MATCH(C289&amp;"",tbl_Finance[Job Number],0)),""))</f>
        <v/>
      </c>
      <c r="O289" s="24" t="n"/>
      <c r="P289" s="24" t="n"/>
      <c r="Q289" s="22" t="n"/>
      <c r="R289" s="24" t="n"/>
      <c r="S289" s="25">
        <f>IF(R289="","",IF(AND(LEFT(R289,4)&lt;&gt;"http",set_RMSBase=""),"",HYPERLINK(IF(LEFT(R289,4)="http",R289,set_RMSBase&amp;R289),"Open opportunity")))</f>
        <v/>
      </c>
      <c r="T289" s="24" t="n"/>
      <c r="U289" s="25">
        <f>IF(T289="","",HYPERLINK(IF(LEFT(T289,4)="http",T289,set_QwilrBase&amp;T289),"Open quote"))</f>
        <v/>
      </c>
      <c r="V289" s="25">
        <f>IF(C289="","",C289)</f>
        <v/>
      </c>
      <c r="W289" s="24" t="n"/>
      <c r="X289" s="26" t="n"/>
      <c r="Y289" s="27">
        <f>IF(C289="","",H289+N(X289))</f>
        <v/>
      </c>
      <c r="Z289" s="29">
        <f>IFERROR(X289/Y289,"")</f>
        <v/>
      </c>
      <c r="AA289" s="26" t="n"/>
      <c r="AB289" s="26" t="n"/>
      <c r="AC289" s="26" t="n"/>
      <c r="AD289" s="26" t="n"/>
      <c r="AE289" s="27">
        <f>IF(C289="","",SUMIFS(tbl_Finance[Ex GST],tbl_Finance[Job Number],C289&amp;"",tbl_Finance[Cost Centre],"VIDEO"))</f>
        <v/>
      </c>
      <c r="AF289" s="29">
        <f>IFERROR(AE289/H289,"")</f>
        <v/>
      </c>
      <c r="AG289" s="27">
        <f>IF(C289="","",N(AA289)+N(AB289)+N(AC289)+N(AD289))</f>
        <v/>
      </c>
      <c r="AH289" s="27">
        <f>IF(C289="","",H289-AG289)</f>
        <v/>
      </c>
      <c r="AI289" s="29">
        <f>IFERROR(AH289/H289,"")</f>
        <v/>
      </c>
      <c r="AJ289" s="64" t="n"/>
      <c r="AK289" s="64" t="n"/>
      <c r="AL289" s="64" t="n"/>
      <c r="AM289" s="64" t="n"/>
      <c r="AN289" s="64" t="n"/>
      <c r="AO289" s="24" t="n"/>
    </row>
    <row r="290" ht="15" customHeight="1">
      <c r="A290" s="63">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7">
        <f>IF(C290="","",SUMIFS(tbl_Finance[Inc GST],tbl_Finance[Job Number],C290&amp;""))</f>
        <v/>
      </c>
      <c r="M290" s="24" t="n"/>
      <c r="N290" s="25">
        <f>IF(C290="","",IFERROR(INDEX(tbl_Finance[Description],MATCH(C290&amp;"",tbl_Finance[Job Number],0)),""))</f>
        <v/>
      </c>
      <c r="O290" s="24" t="n"/>
      <c r="P290" s="24" t="n"/>
      <c r="Q290" s="22" t="n"/>
      <c r="R290" s="24" t="n"/>
      <c r="S290" s="25">
        <f>IF(R290="","",IF(AND(LEFT(R290,4)&lt;&gt;"http",set_RMSBase=""),"",HYPERLINK(IF(LEFT(R290,4)="http",R290,set_RMSBase&amp;R290),"Open opportunity")))</f>
        <v/>
      </c>
      <c r="T290" s="24" t="n"/>
      <c r="U290" s="25">
        <f>IF(T290="","",HYPERLINK(IF(LEFT(T290,4)="http",T290,set_QwilrBase&amp;T290),"Open quote"))</f>
        <v/>
      </c>
      <c r="V290" s="25">
        <f>IF(C290="","",C290)</f>
        <v/>
      </c>
      <c r="W290" s="24" t="n"/>
      <c r="X290" s="26" t="n"/>
      <c r="Y290" s="27">
        <f>IF(C290="","",H290+N(X290))</f>
        <v/>
      </c>
      <c r="Z290" s="29">
        <f>IFERROR(X290/Y290,"")</f>
        <v/>
      </c>
      <c r="AA290" s="26" t="n"/>
      <c r="AB290" s="26" t="n"/>
      <c r="AC290" s="26" t="n"/>
      <c r="AD290" s="26" t="n"/>
      <c r="AE290" s="27">
        <f>IF(C290="","",SUMIFS(tbl_Finance[Ex GST],tbl_Finance[Job Number],C290&amp;"",tbl_Finance[Cost Centre],"VIDEO"))</f>
        <v/>
      </c>
      <c r="AF290" s="29">
        <f>IFERROR(AE290/H290,"")</f>
        <v/>
      </c>
      <c r="AG290" s="27">
        <f>IF(C290="","",N(AA290)+N(AB290)+N(AC290)+N(AD290))</f>
        <v/>
      </c>
      <c r="AH290" s="27">
        <f>IF(C290="","",H290-AG290)</f>
        <v/>
      </c>
      <c r="AI290" s="29">
        <f>IFERROR(AH290/H290,"")</f>
        <v/>
      </c>
      <c r="AJ290" s="64" t="n"/>
      <c r="AK290" s="64" t="n"/>
      <c r="AL290" s="64" t="n"/>
      <c r="AM290" s="64" t="n"/>
      <c r="AN290" s="64" t="n"/>
      <c r="AO290" s="24" t="n"/>
    </row>
    <row r="291" ht="15" customHeight="1">
      <c r="A291" s="63">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7">
        <f>IF(C291="","",SUMIFS(tbl_Finance[Inc GST],tbl_Finance[Job Number],C291&amp;""))</f>
        <v/>
      </c>
      <c r="M291" s="24" t="n"/>
      <c r="N291" s="25">
        <f>IF(C291="","",IFERROR(INDEX(tbl_Finance[Description],MATCH(C291&amp;"",tbl_Finance[Job Number],0)),""))</f>
        <v/>
      </c>
      <c r="O291" s="24" t="n"/>
      <c r="P291" s="24" t="n"/>
      <c r="Q291" s="22" t="n"/>
      <c r="R291" s="24" t="n"/>
      <c r="S291" s="25">
        <f>IF(R291="","",IF(AND(LEFT(R291,4)&lt;&gt;"http",set_RMSBase=""),"",HYPERLINK(IF(LEFT(R291,4)="http",R291,set_RMSBase&amp;R291),"Open opportunity")))</f>
        <v/>
      </c>
      <c r="T291" s="24" t="n"/>
      <c r="U291" s="25">
        <f>IF(T291="","",HYPERLINK(IF(LEFT(T291,4)="http",T291,set_QwilrBase&amp;T291),"Open quote"))</f>
        <v/>
      </c>
      <c r="V291" s="25">
        <f>IF(C291="","",C291)</f>
        <v/>
      </c>
      <c r="W291" s="24" t="n"/>
      <c r="X291" s="26" t="n"/>
      <c r="Y291" s="27">
        <f>IF(C291="","",H291+N(X291))</f>
        <v/>
      </c>
      <c r="Z291" s="29">
        <f>IFERROR(X291/Y291,"")</f>
        <v/>
      </c>
      <c r="AA291" s="26" t="n"/>
      <c r="AB291" s="26" t="n"/>
      <c r="AC291" s="26" t="n"/>
      <c r="AD291" s="26" t="n"/>
      <c r="AE291" s="27">
        <f>IF(C291="","",SUMIFS(tbl_Finance[Ex GST],tbl_Finance[Job Number],C291&amp;"",tbl_Finance[Cost Centre],"VIDEO"))</f>
        <v/>
      </c>
      <c r="AF291" s="29">
        <f>IFERROR(AE291/H291,"")</f>
        <v/>
      </c>
      <c r="AG291" s="27">
        <f>IF(C291="","",N(AA291)+N(AB291)+N(AC291)+N(AD291))</f>
        <v/>
      </c>
      <c r="AH291" s="27">
        <f>IF(C291="","",H291-AG291)</f>
        <v/>
      </c>
      <c r="AI291" s="29">
        <f>IFERROR(AH291/H291,"")</f>
        <v/>
      </c>
      <c r="AJ291" s="64" t="n"/>
      <c r="AK291" s="64" t="n"/>
      <c r="AL291" s="64" t="n"/>
      <c r="AM291" s="64" t="n"/>
      <c r="AN291" s="64" t="n"/>
      <c r="AO291" s="24" t="n"/>
    </row>
    <row r="292" ht="15" customHeight="1">
      <c r="A292" s="63">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7">
        <f>IF(C292="","",SUMIFS(tbl_Finance[Inc GST],tbl_Finance[Job Number],C292&amp;""))</f>
        <v/>
      </c>
      <c r="M292" s="24" t="n"/>
      <c r="N292" s="25">
        <f>IF(C292="","",IFERROR(INDEX(tbl_Finance[Description],MATCH(C292&amp;"",tbl_Finance[Job Number],0)),""))</f>
        <v/>
      </c>
      <c r="O292" s="24" t="n"/>
      <c r="P292" s="24" t="n"/>
      <c r="Q292" s="22" t="n"/>
      <c r="R292" s="24" t="n"/>
      <c r="S292" s="25">
        <f>IF(R292="","",IF(AND(LEFT(R292,4)&lt;&gt;"http",set_RMSBase=""),"",HYPERLINK(IF(LEFT(R292,4)="http",R292,set_RMSBase&amp;R292),"Open opportunity")))</f>
        <v/>
      </c>
      <c r="T292" s="24" t="n"/>
      <c r="U292" s="25">
        <f>IF(T292="","",HYPERLINK(IF(LEFT(T292,4)="http",T292,set_QwilrBase&amp;T292),"Open quote"))</f>
        <v/>
      </c>
      <c r="V292" s="25">
        <f>IF(C292="","",C292)</f>
        <v/>
      </c>
      <c r="W292" s="24" t="n"/>
      <c r="X292" s="26" t="n"/>
      <c r="Y292" s="27">
        <f>IF(C292="","",H292+N(X292))</f>
        <v/>
      </c>
      <c r="Z292" s="29">
        <f>IFERROR(X292/Y292,"")</f>
        <v/>
      </c>
      <c r="AA292" s="26" t="n"/>
      <c r="AB292" s="26" t="n"/>
      <c r="AC292" s="26" t="n"/>
      <c r="AD292" s="26" t="n"/>
      <c r="AE292" s="27">
        <f>IF(C292="","",SUMIFS(tbl_Finance[Ex GST],tbl_Finance[Job Number],C292&amp;"",tbl_Finance[Cost Centre],"VIDEO"))</f>
        <v/>
      </c>
      <c r="AF292" s="29">
        <f>IFERROR(AE292/H292,"")</f>
        <v/>
      </c>
      <c r="AG292" s="27">
        <f>IF(C292="","",N(AA292)+N(AB292)+N(AC292)+N(AD292))</f>
        <v/>
      </c>
      <c r="AH292" s="27">
        <f>IF(C292="","",H292-AG292)</f>
        <v/>
      </c>
      <c r="AI292" s="29">
        <f>IFERROR(AH292/H292,"")</f>
        <v/>
      </c>
      <c r="AJ292" s="64" t="n"/>
      <c r="AK292" s="64" t="n"/>
      <c r="AL292" s="64" t="n"/>
      <c r="AM292" s="64" t="n"/>
      <c r="AN292" s="64" t="n"/>
      <c r="AO292" s="24" t="n"/>
    </row>
    <row r="293" ht="15" customHeight="1">
      <c r="A293" s="63">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7">
        <f>IF(C293="","",SUMIFS(tbl_Finance[Inc GST],tbl_Finance[Job Number],C293&amp;""))</f>
        <v/>
      </c>
      <c r="M293" s="24" t="n"/>
      <c r="N293" s="25">
        <f>IF(C293="","",IFERROR(INDEX(tbl_Finance[Description],MATCH(C293&amp;"",tbl_Finance[Job Number],0)),""))</f>
        <v/>
      </c>
      <c r="O293" s="24" t="n"/>
      <c r="P293" s="24" t="n"/>
      <c r="Q293" s="22" t="n"/>
      <c r="R293" s="24" t="n"/>
      <c r="S293" s="25">
        <f>IF(R293="","",IF(AND(LEFT(R293,4)&lt;&gt;"http",set_RMSBase=""),"",HYPERLINK(IF(LEFT(R293,4)="http",R293,set_RMSBase&amp;R293),"Open opportunity")))</f>
        <v/>
      </c>
      <c r="T293" s="24" t="n"/>
      <c r="U293" s="25">
        <f>IF(T293="","",HYPERLINK(IF(LEFT(T293,4)="http",T293,set_QwilrBase&amp;T293),"Open quote"))</f>
        <v/>
      </c>
      <c r="V293" s="25">
        <f>IF(C293="","",C293)</f>
        <v/>
      </c>
      <c r="W293" s="24" t="n"/>
      <c r="X293" s="26" t="n"/>
      <c r="Y293" s="27">
        <f>IF(C293="","",H293+N(X293))</f>
        <v/>
      </c>
      <c r="Z293" s="29">
        <f>IFERROR(X293/Y293,"")</f>
        <v/>
      </c>
      <c r="AA293" s="26" t="n"/>
      <c r="AB293" s="26" t="n"/>
      <c r="AC293" s="26" t="n"/>
      <c r="AD293" s="26" t="n"/>
      <c r="AE293" s="27">
        <f>IF(C293="","",SUMIFS(tbl_Finance[Ex GST],tbl_Finance[Job Number],C293&amp;"",tbl_Finance[Cost Centre],"VIDEO"))</f>
        <v/>
      </c>
      <c r="AF293" s="29">
        <f>IFERROR(AE293/H293,"")</f>
        <v/>
      </c>
      <c r="AG293" s="27">
        <f>IF(C293="","",N(AA293)+N(AB293)+N(AC293)+N(AD293))</f>
        <v/>
      </c>
      <c r="AH293" s="27">
        <f>IF(C293="","",H293-AG293)</f>
        <v/>
      </c>
      <c r="AI293" s="29">
        <f>IFERROR(AH293/H293,"")</f>
        <v/>
      </c>
      <c r="AJ293" s="64" t="n"/>
      <c r="AK293" s="64" t="n"/>
      <c r="AL293" s="64" t="n"/>
      <c r="AM293" s="64" t="n"/>
      <c r="AN293" s="64" t="n"/>
      <c r="AO293" s="24" t="n"/>
    </row>
    <row r="294" ht="15" customHeight="1">
      <c r="A294" s="63">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7">
        <f>IF(C294="","",SUMIFS(tbl_Finance[Inc GST],tbl_Finance[Job Number],C294&amp;""))</f>
        <v/>
      </c>
      <c r="M294" s="24" t="n"/>
      <c r="N294" s="25">
        <f>IF(C294="","",IFERROR(INDEX(tbl_Finance[Description],MATCH(C294&amp;"",tbl_Finance[Job Number],0)),""))</f>
        <v/>
      </c>
      <c r="O294" s="24" t="n"/>
      <c r="P294" s="24" t="n"/>
      <c r="Q294" s="22" t="n"/>
      <c r="R294" s="24" t="n"/>
      <c r="S294" s="25">
        <f>IF(R294="","",IF(AND(LEFT(R294,4)&lt;&gt;"http",set_RMSBase=""),"",HYPERLINK(IF(LEFT(R294,4)="http",R294,set_RMSBase&amp;R294),"Open opportunity")))</f>
        <v/>
      </c>
      <c r="T294" s="24" t="n"/>
      <c r="U294" s="25">
        <f>IF(T294="","",HYPERLINK(IF(LEFT(T294,4)="http",T294,set_QwilrBase&amp;T294),"Open quote"))</f>
        <v/>
      </c>
      <c r="V294" s="25">
        <f>IF(C294="","",C294)</f>
        <v/>
      </c>
      <c r="W294" s="24" t="n"/>
      <c r="X294" s="26" t="n"/>
      <c r="Y294" s="27">
        <f>IF(C294="","",H294+N(X294))</f>
        <v/>
      </c>
      <c r="Z294" s="29">
        <f>IFERROR(X294/Y294,"")</f>
        <v/>
      </c>
      <c r="AA294" s="26" t="n"/>
      <c r="AB294" s="26" t="n"/>
      <c r="AC294" s="26" t="n"/>
      <c r="AD294" s="26" t="n"/>
      <c r="AE294" s="27">
        <f>IF(C294="","",SUMIFS(tbl_Finance[Ex GST],tbl_Finance[Job Number],C294&amp;"",tbl_Finance[Cost Centre],"VIDEO"))</f>
        <v/>
      </c>
      <c r="AF294" s="29">
        <f>IFERROR(AE294/H294,"")</f>
        <v/>
      </c>
      <c r="AG294" s="27">
        <f>IF(C294="","",N(AA294)+N(AB294)+N(AC294)+N(AD294))</f>
        <v/>
      </c>
      <c r="AH294" s="27">
        <f>IF(C294="","",H294-AG294)</f>
        <v/>
      </c>
      <c r="AI294" s="29">
        <f>IFERROR(AH294/H294,"")</f>
        <v/>
      </c>
      <c r="AJ294" s="64" t="n"/>
      <c r="AK294" s="64" t="n"/>
      <c r="AL294" s="64" t="n"/>
      <c r="AM294" s="64" t="n"/>
      <c r="AN294" s="64" t="n"/>
      <c r="AO294" s="24" t="n"/>
    </row>
    <row r="295" ht="15" customHeight="1">
      <c r="A295" s="63">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7">
        <f>IF(C295="","",SUMIFS(tbl_Finance[Inc GST],tbl_Finance[Job Number],C295&amp;""))</f>
        <v/>
      </c>
      <c r="M295" s="24" t="n"/>
      <c r="N295" s="25">
        <f>IF(C295="","",IFERROR(INDEX(tbl_Finance[Description],MATCH(C295&amp;"",tbl_Finance[Job Number],0)),""))</f>
        <v/>
      </c>
      <c r="O295" s="24" t="n"/>
      <c r="P295" s="24" t="n"/>
      <c r="Q295" s="22" t="n"/>
      <c r="R295" s="24" t="n"/>
      <c r="S295" s="25">
        <f>IF(R295="","",IF(AND(LEFT(R295,4)&lt;&gt;"http",set_RMSBase=""),"",HYPERLINK(IF(LEFT(R295,4)="http",R295,set_RMSBase&amp;R295),"Open opportunity")))</f>
        <v/>
      </c>
      <c r="T295" s="24" t="n"/>
      <c r="U295" s="25">
        <f>IF(T295="","",HYPERLINK(IF(LEFT(T295,4)="http",T295,set_QwilrBase&amp;T295),"Open quote"))</f>
        <v/>
      </c>
      <c r="V295" s="25">
        <f>IF(C295="","",C295)</f>
        <v/>
      </c>
      <c r="W295" s="24" t="n"/>
      <c r="X295" s="26" t="n"/>
      <c r="Y295" s="27">
        <f>IF(C295="","",H295+N(X295))</f>
        <v/>
      </c>
      <c r="Z295" s="29">
        <f>IFERROR(X295/Y295,"")</f>
        <v/>
      </c>
      <c r="AA295" s="26" t="n"/>
      <c r="AB295" s="26" t="n"/>
      <c r="AC295" s="26" t="n"/>
      <c r="AD295" s="26" t="n"/>
      <c r="AE295" s="27">
        <f>IF(C295="","",SUMIFS(tbl_Finance[Ex GST],tbl_Finance[Job Number],C295&amp;"",tbl_Finance[Cost Centre],"VIDEO"))</f>
        <v/>
      </c>
      <c r="AF295" s="29">
        <f>IFERROR(AE295/H295,"")</f>
        <v/>
      </c>
      <c r="AG295" s="27">
        <f>IF(C295="","",N(AA295)+N(AB295)+N(AC295)+N(AD295))</f>
        <v/>
      </c>
      <c r="AH295" s="27">
        <f>IF(C295="","",H295-AG295)</f>
        <v/>
      </c>
      <c r="AI295" s="29">
        <f>IFERROR(AH295/H295,"")</f>
        <v/>
      </c>
      <c r="AJ295" s="64" t="n"/>
      <c r="AK295" s="64" t="n"/>
      <c r="AL295" s="64" t="n"/>
      <c r="AM295" s="64" t="n"/>
      <c r="AN295" s="64" t="n"/>
      <c r="AO295" s="24" t="n"/>
    </row>
    <row r="296" ht="15" customHeight="1">
      <c r="A296" s="63">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7">
        <f>IF(C296="","",SUMIFS(tbl_Finance[Inc GST],tbl_Finance[Job Number],C296&amp;""))</f>
        <v/>
      </c>
      <c r="M296" s="24" t="n"/>
      <c r="N296" s="25">
        <f>IF(C296="","",IFERROR(INDEX(tbl_Finance[Description],MATCH(C296&amp;"",tbl_Finance[Job Number],0)),""))</f>
        <v/>
      </c>
      <c r="O296" s="24" t="n"/>
      <c r="P296" s="24" t="n"/>
      <c r="Q296" s="22" t="n"/>
      <c r="R296" s="24" t="n"/>
      <c r="S296" s="25">
        <f>IF(R296="","",IF(AND(LEFT(R296,4)&lt;&gt;"http",set_RMSBase=""),"",HYPERLINK(IF(LEFT(R296,4)="http",R296,set_RMSBase&amp;R296),"Open opportunity")))</f>
        <v/>
      </c>
      <c r="T296" s="24" t="n"/>
      <c r="U296" s="25">
        <f>IF(T296="","",HYPERLINK(IF(LEFT(T296,4)="http",T296,set_QwilrBase&amp;T296),"Open quote"))</f>
        <v/>
      </c>
      <c r="V296" s="25">
        <f>IF(C296="","",C296)</f>
        <v/>
      </c>
      <c r="W296" s="24" t="n"/>
      <c r="X296" s="26" t="n"/>
      <c r="Y296" s="27">
        <f>IF(C296="","",H296+N(X296))</f>
        <v/>
      </c>
      <c r="Z296" s="29">
        <f>IFERROR(X296/Y296,"")</f>
        <v/>
      </c>
      <c r="AA296" s="26" t="n"/>
      <c r="AB296" s="26" t="n"/>
      <c r="AC296" s="26" t="n"/>
      <c r="AD296" s="26" t="n"/>
      <c r="AE296" s="27">
        <f>IF(C296="","",SUMIFS(tbl_Finance[Ex GST],tbl_Finance[Job Number],C296&amp;"",tbl_Finance[Cost Centre],"VIDEO"))</f>
        <v/>
      </c>
      <c r="AF296" s="29">
        <f>IFERROR(AE296/H296,"")</f>
        <v/>
      </c>
      <c r="AG296" s="27">
        <f>IF(C296="","",N(AA296)+N(AB296)+N(AC296)+N(AD296))</f>
        <v/>
      </c>
      <c r="AH296" s="27">
        <f>IF(C296="","",H296-AG296)</f>
        <v/>
      </c>
      <c r="AI296" s="29">
        <f>IFERROR(AH296/H296,"")</f>
        <v/>
      </c>
      <c r="AJ296" s="64" t="n"/>
      <c r="AK296" s="64" t="n"/>
      <c r="AL296" s="64" t="n"/>
      <c r="AM296" s="64" t="n"/>
      <c r="AN296" s="64" t="n"/>
      <c r="AO296" s="24" t="n"/>
    </row>
    <row r="297" ht="15" customHeight="1">
      <c r="A297" s="63">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7">
        <f>IF(C297="","",SUMIFS(tbl_Finance[Inc GST],tbl_Finance[Job Number],C297&amp;""))</f>
        <v/>
      </c>
      <c r="M297" s="24" t="n"/>
      <c r="N297" s="25">
        <f>IF(C297="","",IFERROR(INDEX(tbl_Finance[Description],MATCH(C297&amp;"",tbl_Finance[Job Number],0)),""))</f>
        <v/>
      </c>
      <c r="O297" s="24" t="n"/>
      <c r="P297" s="24" t="n"/>
      <c r="Q297" s="22" t="n"/>
      <c r="R297" s="24" t="n"/>
      <c r="S297" s="25">
        <f>IF(R297="","",IF(AND(LEFT(R297,4)&lt;&gt;"http",set_RMSBase=""),"",HYPERLINK(IF(LEFT(R297,4)="http",R297,set_RMSBase&amp;R297),"Open opportunity")))</f>
        <v/>
      </c>
      <c r="T297" s="24" t="n"/>
      <c r="U297" s="25">
        <f>IF(T297="","",HYPERLINK(IF(LEFT(T297,4)="http",T297,set_QwilrBase&amp;T297),"Open quote"))</f>
        <v/>
      </c>
      <c r="V297" s="25">
        <f>IF(C297="","",C297)</f>
        <v/>
      </c>
      <c r="W297" s="24" t="n"/>
      <c r="X297" s="26" t="n"/>
      <c r="Y297" s="27">
        <f>IF(C297="","",H297+N(X297))</f>
        <v/>
      </c>
      <c r="Z297" s="29">
        <f>IFERROR(X297/Y297,"")</f>
        <v/>
      </c>
      <c r="AA297" s="26" t="n"/>
      <c r="AB297" s="26" t="n"/>
      <c r="AC297" s="26" t="n"/>
      <c r="AD297" s="26" t="n"/>
      <c r="AE297" s="27">
        <f>IF(C297="","",SUMIFS(tbl_Finance[Ex GST],tbl_Finance[Job Number],C297&amp;"",tbl_Finance[Cost Centre],"VIDEO"))</f>
        <v/>
      </c>
      <c r="AF297" s="29">
        <f>IFERROR(AE297/H297,"")</f>
        <v/>
      </c>
      <c r="AG297" s="27">
        <f>IF(C297="","",N(AA297)+N(AB297)+N(AC297)+N(AD297))</f>
        <v/>
      </c>
      <c r="AH297" s="27">
        <f>IF(C297="","",H297-AG297)</f>
        <v/>
      </c>
      <c r="AI297" s="29">
        <f>IFERROR(AH297/H297,"")</f>
        <v/>
      </c>
      <c r="AJ297" s="64" t="n"/>
      <c r="AK297" s="64" t="n"/>
      <c r="AL297" s="64" t="n"/>
      <c r="AM297" s="64" t="n"/>
      <c r="AN297" s="64" t="n"/>
      <c r="AO297" s="24" t="n"/>
    </row>
    <row r="298" ht="15" customHeight="1">
      <c r="A298" s="63">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7">
        <f>IF(C298="","",SUMIFS(tbl_Finance[Inc GST],tbl_Finance[Job Number],C298&amp;""))</f>
        <v/>
      </c>
      <c r="M298" s="24" t="n"/>
      <c r="N298" s="25">
        <f>IF(C298="","",IFERROR(INDEX(tbl_Finance[Description],MATCH(C298&amp;"",tbl_Finance[Job Number],0)),""))</f>
        <v/>
      </c>
      <c r="O298" s="24" t="n"/>
      <c r="P298" s="24" t="n"/>
      <c r="Q298" s="22" t="n"/>
      <c r="R298" s="24" t="n"/>
      <c r="S298" s="25">
        <f>IF(R298="","",IF(AND(LEFT(R298,4)&lt;&gt;"http",set_RMSBase=""),"",HYPERLINK(IF(LEFT(R298,4)="http",R298,set_RMSBase&amp;R298),"Open opportunity")))</f>
        <v/>
      </c>
      <c r="T298" s="24" t="n"/>
      <c r="U298" s="25">
        <f>IF(T298="","",HYPERLINK(IF(LEFT(T298,4)="http",T298,set_QwilrBase&amp;T298),"Open quote"))</f>
        <v/>
      </c>
      <c r="V298" s="25">
        <f>IF(C298="","",C298)</f>
        <v/>
      </c>
      <c r="W298" s="24" t="n"/>
      <c r="X298" s="26" t="n"/>
      <c r="Y298" s="27">
        <f>IF(C298="","",H298+N(X298))</f>
        <v/>
      </c>
      <c r="Z298" s="29">
        <f>IFERROR(X298/Y298,"")</f>
        <v/>
      </c>
      <c r="AA298" s="26" t="n"/>
      <c r="AB298" s="26" t="n"/>
      <c r="AC298" s="26" t="n"/>
      <c r="AD298" s="26" t="n"/>
      <c r="AE298" s="27">
        <f>IF(C298="","",SUMIFS(tbl_Finance[Ex GST],tbl_Finance[Job Number],C298&amp;"",tbl_Finance[Cost Centre],"VIDEO"))</f>
        <v/>
      </c>
      <c r="AF298" s="29">
        <f>IFERROR(AE298/H298,"")</f>
        <v/>
      </c>
      <c r="AG298" s="27">
        <f>IF(C298="","",N(AA298)+N(AB298)+N(AC298)+N(AD298))</f>
        <v/>
      </c>
      <c r="AH298" s="27">
        <f>IF(C298="","",H298-AG298)</f>
        <v/>
      </c>
      <c r="AI298" s="29">
        <f>IFERROR(AH298/H298,"")</f>
        <v/>
      </c>
      <c r="AJ298" s="64" t="n"/>
      <c r="AK298" s="64" t="n"/>
      <c r="AL298" s="64" t="n"/>
      <c r="AM298" s="64" t="n"/>
      <c r="AN298" s="64" t="n"/>
      <c r="AO298" s="24" t="n"/>
    </row>
    <row r="299" ht="15" customHeight="1">
      <c r="A299" s="63">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7">
        <f>IF(C299="","",SUMIFS(tbl_Finance[Inc GST],tbl_Finance[Job Number],C299&amp;""))</f>
        <v/>
      </c>
      <c r="M299" s="24" t="n"/>
      <c r="N299" s="25">
        <f>IF(C299="","",IFERROR(INDEX(tbl_Finance[Description],MATCH(C299&amp;"",tbl_Finance[Job Number],0)),""))</f>
        <v/>
      </c>
      <c r="O299" s="24" t="n"/>
      <c r="P299" s="24" t="n"/>
      <c r="Q299" s="22" t="n"/>
      <c r="R299" s="24" t="n"/>
      <c r="S299" s="25">
        <f>IF(R299="","",IF(AND(LEFT(R299,4)&lt;&gt;"http",set_RMSBase=""),"",HYPERLINK(IF(LEFT(R299,4)="http",R299,set_RMSBase&amp;R299),"Open opportunity")))</f>
        <v/>
      </c>
      <c r="T299" s="24" t="n"/>
      <c r="U299" s="25">
        <f>IF(T299="","",HYPERLINK(IF(LEFT(T299,4)="http",T299,set_QwilrBase&amp;T299),"Open quote"))</f>
        <v/>
      </c>
      <c r="V299" s="25">
        <f>IF(C299="","",C299)</f>
        <v/>
      </c>
      <c r="W299" s="24" t="n"/>
      <c r="X299" s="26" t="n"/>
      <c r="Y299" s="27">
        <f>IF(C299="","",H299+N(X299))</f>
        <v/>
      </c>
      <c r="Z299" s="29">
        <f>IFERROR(X299/Y299,"")</f>
        <v/>
      </c>
      <c r="AA299" s="26" t="n"/>
      <c r="AB299" s="26" t="n"/>
      <c r="AC299" s="26" t="n"/>
      <c r="AD299" s="26" t="n"/>
      <c r="AE299" s="27">
        <f>IF(C299="","",SUMIFS(tbl_Finance[Ex GST],tbl_Finance[Job Number],C299&amp;"",tbl_Finance[Cost Centre],"VIDEO"))</f>
        <v/>
      </c>
      <c r="AF299" s="29">
        <f>IFERROR(AE299/H299,"")</f>
        <v/>
      </c>
      <c r="AG299" s="27">
        <f>IF(C299="","",N(AA299)+N(AB299)+N(AC299)+N(AD299))</f>
        <v/>
      </c>
      <c r="AH299" s="27">
        <f>IF(C299="","",H299-AG299)</f>
        <v/>
      </c>
      <c r="AI299" s="29">
        <f>IFERROR(AH299/H299,"")</f>
        <v/>
      </c>
      <c r="AJ299" s="64" t="n"/>
      <c r="AK299" s="64" t="n"/>
      <c r="AL299" s="64" t="n"/>
      <c r="AM299" s="64" t="n"/>
      <c r="AN299" s="64" t="n"/>
      <c r="AO299" s="24" t="n"/>
    </row>
    <row r="300" ht="15" customHeight="1">
      <c r="A300" s="63">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7">
        <f>IF(C300="","",SUMIFS(tbl_Finance[Inc GST],tbl_Finance[Job Number],C300&amp;""))</f>
        <v/>
      </c>
      <c r="M300" s="24" t="n"/>
      <c r="N300" s="25">
        <f>IF(C300="","",IFERROR(INDEX(tbl_Finance[Description],MATCH(C300&amp;"",tbl_Finance[Job Number],0)),""))</f>
        <v/>
      </c>
      <c r="O300" s="24" t="n"/>
      <c r="P300" s="24" t="n"/>
      <c r="Q300" s="22" t="n"/>
      <c r="R300" s="24" t="n"/>
      <c r="S300" s="25">
        <f>IF(R300="","",IF(AND(LEFT(R300,4)&lt;&gt;"http",set_RMSBase=""),"",HYPERLINK(IF(LEFT(R300,4)="http",R300,set_RMSBase&amp;R300),"Open opportunity")))</f>
        <v/>
      </c>
      <c r="T300" s="24" t="n"/>
      <c r="U300" s="25">
        <f>IF(T300="","",HYPERLINK(IF(LEFT(T300,4)="http",T300,set_QwilrBase&amp;T300),"Open quote"))</f>
        <v/>
      </c>
      <c r="V300" s="25">
        <f>IF(C300="","",C300)</f>
        <v/>
      </c>
      <c r="W300" s="24" t="n"/>
      <c r="X300" s="26" t="n"/>
      <c r="Y300" s="27">
        <f>IF(C300="","",H300+N(X300))</f>
        <v/>
      </c>
      <c r="Z300" s="29">
        <f>IFERROR(X300/Y300,"")</f>
        <v/>
      </c>
      <c r="AA300" s="26" t="n"/>
      <c r="AB300" s="26" t="n"/>
      <c r="AC300" s="26" t="n"/>
      <c r="AD300" s="26" t="n"/>
      <c r="AE300" s="27">
        <f>IF(C300="","",SUMIFS(tbl_Finance[Ex GST],tbl_Finance[Job Number],C300&amp;"",tbl_Finance[Cost Centre],"VIDEO"))</f>
        <v/>
      </c>
      <c r="AF300" s="29">
        <f>IFERROR(AE300/H300,"")</f>
        <v/>
      </c>
      <c r="AG300" s="27">
        <f>IF(C300="","",N(AA300)+N(AB300)+N(AC300)+N(AD300))</f>
        <v/>
      </c>
      <c r="AH300" s="27">
        <f>IF(C300="","",H300-AG300)</f>
        <v/>
      </c>
      <c r="AI300" s="29">
        <f>IFERROR(AH300/H300,"")</f>
        <v/>
      </c>
      <c r="AJ300" s="64" t="n"/>
      <c r="AK300" s="64" t="n"/>
      <c r="AL300" s="64" t="n"/>
      <c r="AM300" s="64" t="n"/>
      <c r="AN300" s="64" t="n"/>
      <c r="AO300" s="24" t="n"/>
    </row>
    <row r="301" ht="15" customHeight="1">
      <c r="A301" s="63">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7">
        <f>IF(C301="","",SUMIFS(tbl_Finance[Inc GST],tbl_Finance[Job Number],C301&amp;""))</f>
        <v/>
      </c>
      <c r="M301" s="24" t="n"/>
      <c r="N301" s="25">
        <f>IF(C301="","",IFERROR(INDEX(tbl_Finance[Description],MATCH(C301&amp;"",tbl_Finance[Job Number],0)),""))</f>
        <v/>
      </c>
      <c r="O301" s="24" t="n"/>
      <c r="P301" s="24" t="n"/>
      <c r="Q301" s="22" t="n"/>
      <c r="R301" s="24" t="n"/>
      <c r="S301" s="25">
        <f>IF(R301="","",IF(AND(LEFT(R301,4)&lt;&gt;"http",set_RMSBase=""),"",HYPERLINK(IF(LEFT(R301,4)="http",R301,set_RMSBase&amp;R301),"Open opportunity")))</f>
        <v/>
      </c>
      <c r="T301" s="24" t="n"/>
      <c r="U301" s="25">
        <f>IF(T301="","",HYPERLINK(IF(LEFT(T301,4)="http",T301,set_QwilrBase&amp;T301),"Open quote"))</f>
        <v/>
      </c>
      <c r="V301" s="25">
        <f>IF(C301="","",C301)</f>
        <v/>
      </c>
      <c r="W301" s="24" t="n"/>
      <c r="X301" s="26" t="n"/>
      <c r="Y301" s="27">
        <f>IF(C301="","",H301+N(X301))</f>
        <v/>
      </c>
      <c r="Z301" s="29">
        <f>IFERROR(X301/Y301,"")</f>
        <v/>
      </c>
      <c r="AA301" s="26" t="n"/>
      <c r="AB301" s="26" t="n"/>
      <c r="AC301" s="26" t="n"/>
      <c r="AD301" s="26" t="n"/>
      <c r="AE301" s="27">
        <f>IF(C301="","",SUMIFS(tbl_Finance[Ex GST],tbl_Finance[Job Number],C301&amp;"",tbl_Finance[Cost Centre],"VIDEO"))</f>
        <v/>
      </c>
      <c r="AF301" s="29">
        <f>IFERROR(AE301/H301,"")</f>
        <v/>
      </c>
      <c r="AG301" s="27">
        <f>IF(C301="","",N(AA301)+N(AB301)+N(AC301)+N(AD301))</f>
        <v/>
      </c>
      <c r="AH301" s="27">
        <f>IF(C301="","",H301-AG301)</f>
        <v/>
      </c>
      <c r="AI301" s="29">
        <f>IFERROR(AH301/H301,"")</f>
        <v/>
      </c>
      <c r="AJ301" s="64" t="n"/>
      <c r="AK301" s="64" t="n"/>
      <c r="AL301" s="64" t="n"/>
      <c r="AM301" s="64" t="n"/>
      <c r="AN301" s="64" t="n"/>
      <c r="AO301" s="24" t="n"/>
    </row>
    <row r="302" ht="15" customHeight="1">
      <c r="A302" s="63">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7">
        <f>IF(C302="","",SUMIFS(tbl_Finance[Inc GST],tbl_Finance[Job Number],C302&amp;""))</f>
        <v/>
      </c>
      <c r="M302" s="24" t="n"/>
      <c r="N302" s="25">
        <f>IF(C302="","",IFERROR(INDEX(tbl_Finance[Description],MATCH(C302&amp;"",tbl_Finance[Job Number],0)),""))</f>
        <v/>
      </c>
      <c r="O302" s="24" t="n"/>
      <c r="P302" s="24" t="n"/>
      <c r="Q302" s="22" t="n"/>
      <c r="R302" s="24" t="n"/>
      <c r="S302" s="25">
        <f>IF(R302="","",IF(AND(LEFT(R302,4)&lt;&gt;"http",set_RMSBase=""),"",HYPERLINK(IF(LEFT(R302,4)="http",R302,set_RMSBase&amp;R302),"Open opportunity")))</f>
        <v/>
      </c>
      <c r="T302" s="24" t="n"/>
      <c r="U302" s="25">
        <f>IF(T302="","",HYPERLINK(IF(LEFT(T302,4)="http",T302,set_QwilrBase&amp;T302),"Open quote"))</f>
        <v/>
      </c>
      <c r="V302" s="25">
        <f>IF(C302="","",C302)</f>
        <v/>
      </c>
      <c r="W302" s="24" t="n"/>
      <c r="X302" s="26" t="n"/>
      <c r="Y302" s="27">
        <f>IF(C302="","",H302+N(X302))</f>
        <v/>
      </c>
      <c r="Z302" s="29">
        <f>IFERROR(X302/Y302,"")</f>
        <v/>
      </c>
      <c r="AA302" s="26" t="n"/>
      <c r="AB302" s="26" t="n"/>
      <c r="AC302" s="26" t="n"/>
      <c r="AD302" s="26" t="n"/>
      <c r="AE302" s="27">
        <f>IF(C302="","",SUMIFS(tbl_Finance[Ex GST],tbl_Finance[Job Number],C302&amp;"",tbl_Finance[Cost Centre],"VIDEO"))</f>
        <v/>
      </c>
      <c r="AF302" s="29">
        <f>IFERROR(AE302/H302,"")</f>
        <v/>
      </c>
      <c r="AG302" s="27">
        <f>IF(C302="","",N(AA302)+N(AB302)+N(AC302)+N(AD302))</f>
        <v/>
      </c>
      <c r="AH302" s="27">
        <f>IF(C302="","",H302-AG302)</f>
        <v/>
      </c>
      <c r="AI302" s="29">
        <f>IFERROR(AH302/H302,"")</f>
        <v/>
      </c>
      <c r="AJ302" s="64" t="n"/>
      <c r="AK302" s="64" t="n"/>
      <c r="AL302" s="64" t="n"/>
      <c r="AM302" s="64" t="n"/>
      <c r="AN302" s="64" t="n"/>
      <c r="AO302" s="24" t="n"/>
    </row>
    <row r="303" ht="15" customHeight="1">
      <c r="A303" s="63">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7">
        <f>IF(C303="","",SUMIFS(tbl_Finance[Inc GST],tbl_Finance[Job Number],C303&amp;""))</f>
        <v/>
      </c>
      <c r="M303" s="24" t="n"/>
      <c r="N303" s="25">
        <f>IF(C303="","",IFERROR(INDEX(tbl_Finance[Description],MATCH(C303&amp;"",tbl_Finance[Job Number],0)),""))</f>
        <v/>
      </c>
      <c r="O303" s="24" t="n"/>
      <c r="P303" s="24" t="n"/>
      <c r="Q303" s="22" t="n"/>
      <c r="R303" s="24" t="n"/>
      <c r="S303" s="25">
        <f>IF(R303="","",IF(AND(LEFT(R303,4)&lt;&gt;"http",set_RMSBase=""),"",HYPERLINK(IF(LEFT(R303,4)="http",R303,set_RMSBase&amp;R303),"Open opportunity")))</f>
        <v/>
      </c>
      <c r="T303" s="24" t="n"/>
      <c r="U303" s="25">
        <f>IF(T303="","",HYPERLINK(IF(LEFT(T303,4)="http",T303,set_QwilrBase&amp;T303),"Open quote"))</f>
        <v/>
      </c>
      <c r="V303" s="25">
        <f>IF(C303="","",C303)</f>
        <v/>
      </c>
      <c r="W303" s="24" t="n"/>
      <c r="X303" s="26" t="n"/>
      <c r="Y303" s="27">
        <f>IF(C303="","",H303+N(X303))</f>
        <v/>
      </c>
      <c r="Z303" s="29">
        <f>IFERROR(X303/Y303,"")</f>
        <v/>
      </c>
      <c r="AA303" s="26" t="n"/>
      <c r="AB303" s="26" t="n"/>
      <c r="AC303" s="26" t="n"/>
      <c r="AD303" s="26" t="n"/>
      <c r="AE303" s="27">
        <f>IF(C303="","",SUMIFS(tbl_Finance[Ex GST],tbl_Finance[Job Number],C303&amp;"",tbl_Finance[Cost Centre],"VIDEO"))</f>
        <v/>
      </c>
      <c r="AF303" s="29">
        <f>IFERROR(AE303/H303,"")</f>
        <v/>
      </c>
      <c r="AG303" s="27">
        <f>IF(C303="","",N(AA303)+N(AB303)+N(AC303)+N(AD303))</f>
        <v/>
      </c>
      <c r="AH303" s="27">
        <f>IF(C303="","",H303-AG303)</f>
        <v/>
      </c>
      <c r="AI303" s="29">
        <f>IFERROR(AH303/H303,"")</f>
        <v/>
      </c>
      <c r="AJ303" s="64" t="n"/>
      <c r="AK303" s="64" t="n"/>
      <c r="AL303" s="64" t="n"/>
      <c r="AM303" s="64" t="n"/>
      <c r="AN303" s="64" t="n"/>
      <c r="AO303" s="24" t="n"/>
    </row>
    <row r="304" ht="15" customHeight="1">
      <c r="A304" s="63">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7">
        <f>IF(C304="","",SUMIFS(tbl_Finance[Inc GST],tbl_Finance[Job Number],C304&amp;""))</f>
        <v/>
      </c>
      <c r="M304" s="24" t="n"/>
      <c r="N304" s="25">
        <f>IF(C304="","",IFERROR(INDEX(tbl_Finance[Description],MATCH(C304&amp;"",tbl_Finance[Job Number],0)),""))</f>
        <v/>
      </c>
      <c r="O304" s="24" t="n"/>
      <c r="P304" s="24" t="n"/>
      <c r="Q304" s="22" t="n"/>
      <c r="R304" s="24" t="n"/>
      <c r="S304" s="25">
        <f>IF(R304="","",IF(AND(LEFT(R304,4)&lt;&gt;"http",set_RMSBase=""),"",HYPERLINK(IF(LEFT(R304,4)="http",R304,set_RMSBase&amp;R304),"Open opportunity")))</f>
        <v/>
      </c>
      <c r="T304" s="24" t="n"/>
      <c r="U304" s="25">
        <f>IF(T304="","",HYPERLINK(IF(LEFT(T304,4)="http",T304,set_QwilrBase&amp;T304),"Open quote"))</f>
        <v/>
      </c>
      <c r="V304" s="25">
        <f>IF(C304="","",C304)</f>
        <v/>
      </c>
      <c r="W304" s="24" t="n"/>
      <c r="X304" s="26" t="n"/>
      <c r="Y304" s="27">
        <f>IF(C304="","",H304+N(X304))</f>
        <v/>
      </c>
      <c r="Z304" s="29">
        <f>IFERROR(X304/Y304,"")</f>
        <v/>
      </c>
      <c r="AA304" s="26" t="n"/>
      <c r="AB304" s="26" t="n"/>
      <c r="AC304" s="26" t="n"/>
      <c r="AD304" s="26" t="n"/>
      <c r="AE304" s="27">
        <f>IF(C304="","",SUMIFS(tbl_Finance[Ex GST],tbl_Finance[Job Number],C304&amp;"",tbl_Finance[Cost Centre],"VIDEO"))</f>
        <v/>
      </c>
      <c r="AF304" s="29">
        <f>IFERROR(AE304/H304,"")</f>
        <v/>
      </c>
      <c r="AG304" s="27">
        <f>IF(C304="","",N(AA304)+N(AB304)+N(AC304)+N(AD304))</f>
        <v/>
      </c>
      <c r="AH304" s="27">
        <f>IF(C304="","",H304-AG304)</f>
        <v/>
      </c>
      <c r="AI304" s="29">
        <f>IFERROR(AH304/H304,"")</f>
        <v/>
      </c>
      <c r="AJ304" s="64" t="n"/>
      <c r="AK304" s="64" t="n"/>
      <c r="AL304" s="64" t="n"/>
      <c r="AM304" s="64" t="n"/>
      <c r="AN304" s="64" t="n"/>
      <c r="AO304" s="24" t="n"/>
    </row>
    <row r="305" ht="15" customHeight="1">
      <c r="A305" s="63">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7">
        <f>IF(C305="","",SUMIFS(tbl_Finance[Inc GST],tbl_Finance[Job Number],C305&amp;""))</f>
        <v/>
      </c>
      <c r="M305" s="24" t="n"/>
      <c r="N305" s="25">
        <f>IF(C305="","",IFERROR(INDEX(tbl_Finance[Description],MATCH(C305&amp;"",tbl_Finance[Job Number],0)),""))</f>
        <v/>
      </c>
      <c r="O305" s="24" t="n"/>
      <c r="P305" s="24" t="n"/>
      <c r="Q305" s="22" t="n"/>
      <c r="R305" s="24" t="n"/>
      <c r="S305" s="25">
        <f>IF(R305="","",IF(AND(LEFT(R305,4)&lt;&gt;"http",set_RMSBase=""),"",HYPERLINK(IF(LEFT(R305,4)="http",R305,set_RMSBase&amp;R305),"Open opportunity")))</f>
        <v/>
      </c>
      <c r="T305" s="24" t="n"/>
      <c r="U305" s="25">
        <f>IF(T305="","",HYPERLINK(IF(LEFT(T305,4)="http",T305,set_QwilrBase&amp;T305),"Open quote"))</f>
        <v/>
      </c>
      <c r="V305" s="25">
        <f>IF(C305="","",C305)</f>
        <v/>
      </c>
      <c r="W305" s="24" t="n"/>
      <c r="X305" s="26" t="n"/>
      <c r="Y305" s="27">
        <f>IF(C305="","",H305+N(X305))</f>
        <v/>
      </c>
      <c r="Z305" s="29">
        <f>IFERROR(X305/Y305,"")</f>
        <v/>
      </c>
      <c r="AA305" s="26" t="n"/>
      <c r="AB305" s="26" t="n"/>
      <c r="AC305" s="26" t="n"/>
      <c r="AD305" s="26" t="n"/>
      <c r="AE305" s="27">
        <f>IF(C305="","",SUMIFS(tbl_Finance[Ex GST],tbl_Finance[Job Number],C305&amp;"",tbl_Finance[Cost Centre],"VIDEO"))</f>
        <v/>
      </c>
      <c r="AF305" s="29">
        <f>IFERROR(AE305/H305,"")</f>
        <v/>
      </c>
      <c r="AG305" s="27">
        <f>IF(C305="","",N(AA305)+N(AB305)+N(AC305)+N(AD305))</f>
        <v/>
      </c>
      <c r="AH305" s="27">
        <f>IF(C305="","",H305-AG305)</f>
        <v/>
      </c>
      <c r="AI305" s="29">
        <f>IFERROR(AH305/H305,"")</f>
        <v/>
      </c>
      <c r="AJ305" s="64" t="n"/>
      <c r="AK305" s="64" t="n"/>
      <c r="AL305" s="64" t="n"/>
      <c r="AM305" s="64" t="n"/>
      <c r="AN305" s="64" t="n"/>
      <c r="AO305" s="24" t="n"/>
    </row>
    <row r="306" ht="15" customHeight="1">
      <c r="A306" s="63">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7">
        <f>IF(C306="","",SUMIFS(tbl_Finance[Inc GST],tbl_Finance[Job Number],C306&amp;""))</f>
        <v/>
      </c>
      <c r="M306" s="24" t="n"/>
      <c r="N306" s="25">
        <f>IF(C306="","",IFERROR(INDEX(tbl_Finance[Description],MATCH(C306&amp;"",tbl_Finance[Job Number],0)),""))</f>
        <v/>
      </c>
      <c r="O306" s="24" t="n"/>
      <c r="P306" s="24" t="n"/>
      <c r="Q306" s="22" t="n"/>
      <c r="R306" s="24" t="n"/>
      <c r="S306" s="25">
        <f>IF(R306="","",IF(AND(LEFT(R306,4)&lt;&gt;"http",set_RMSBase=""),"",HYPERLINK(IF(LEFT(R306,4)="http",R306,set_RMSBase&amp;R306),"Open opportunity")))</f>
        <v/>
      </c>
      <c r="T306" s="24" t="n"/>
      <c r="U306" s="25">
        <f>IF(T306="","",HYPERLINK(IF(LEFT(T306,4)="http",T306,set_QwilrBase&amp;T306),"Open quote"))</f>
        <v/>
      </c>
      <c r="V306" s="25">
        <f>IF(C306="","",C306)</f>
        <v/>
      </c>
      <c r="W306" s="24" t="n"/>
      <c r="X306" s="26" t="n"/>
      <c r="Y306" s="27">
        <f>IF(C306="","",H306+N(X306))</f>
        <v/>
      </c>
      <c r="Z306" s="29">
        <f>IFERROR(X306/Y306,"")</f>
        <v/>
      </c>
      <c r="AA306" s="26" t="n"/>
      <c r="AB306" s="26" t="n"/>
      <c r="AC306" s="26" t="n"/>
      <c r="AD306" s="26" t="n"/>
      <c r="AE306" s="27">
        <f>IF(C306="","",SUMIFS(tbl_Finance[Ex GST],tbl_Finance[Job Number],C306&amp;"",tbl_Finance[Cost Centre],"VIDEO"))</f>
        <v/>
      </c>
      <c r="AF306" s="29">
        <f>IFERROR(AE306/H306,"")</f>
        <v/>
      </c>
      <c r="AG306" s="27">
        <f>IF(C306="","",N(AA306)+N(AB306)+N(AC306)+N(AD306))</f>
        <v/>
      </c>
      <c r="AH306" s="27">
        <f>IF(C306="","",H306-AG306)</f>
        <v/>
      </c>
      <c r="AI306" s="29">
        <f>IFERROR(AH306/H306,"")</f>
        <v/>
      </c>
      <c r="AJ306" s="64" t="n"/>
      <c r="AK306" s="64" t="n"/>
      <c r="AL306" s="64" t="n"/>
      <c r="AM306" s="64" t="n"/>
      <c r="AN306" s="64" t="n"/>
      <c r="AO306" s="24" t="n"/>
    </row>
    <row r="307" ht="15" customHeight="1">
      <c r="A307" s="63">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7">
        <f>IF(C307="","",SUMIFS(tbl_Finance[Inc GST],tbl_Finance[Job Number],C307&amp;""))</f>
        <v/>
      </c>
      <c r="M307" s="24" t="n"/>
      <c r="N307" s="25">
        <f>IF(C307="","",IFERROR(INDEX(tbl_Finance[Description],MATCH(C307&amp;"",tbl_Finance[Job Number],0)),""))</f>
        <v/>
      </c>
      <c r="O307" s="24" t="n"/>
      <c r="P307" s="24" t="n"/>
      <c r="Q307" s="22" t="n"/>
      <c r="R307" s="24" t="n"/>
      <c r="S307" s="25">
        <f>IF(R307="","",IF(AND(LEFT(R307,4)&lt;&gt;"http",set_RMSBase=""),"",HYPERLINK(IF(LEFT(R307,4)="http",R307,set_RMSBase&amp;R307),"Open opportunity")))</f>
        <v/>
      </c>
      <c r="T307" s="24" t="n"/>
      <c r="U307" s="25">
        <f>IF(T307="","",HYPERLINK(IF(LEFT(T307,4)="http",T307,set_QwilrBase&amp;T307),"Open quote"))</f>
        <v/>
      </c>
      <c r="V307" s="25">
        <f>IF(C307="","",C307)</f>
        <v/>
      </c>
      <c r="W307" s="24" t="n"/>
      <c r="X307" s="26" t="n"/>
      <c r="Y307" s="27">
        <f>IF(C307="","",H307+N(X307))</f>
        <v/>
      </c>
      <c r="Z307" s="29">
        <f>IFERROR(X307/Y307,"")</f>
        <v/>
      </c>
      <c r="AA307" s="26" t="n"/>
      <c r="AB307" s="26" t="n"/>
      <c r="AC307" s="26" t="n"/>
      <c r="AD307" s="26" t="n"/>
      <c r="AE307" s="27">
        <f>IF(C307="","",SUMIFS(tbl_Finance[Ex GST],tbl_Finance[Job Number],C307&amp;"",tbl_Finance[Cost Centre],"VIDEO"))</f>
        <v/>
      </c>
      <c r="AF307" s="29">
        <f>IFERROR(AE307/H307,"")</f>
        <v/>
      </c>
      <c r="AG307" s="27">
        <f>IF(C307="","",N(AA307)+N(AB307)+N(AC307)+N(AD307))</f>
        <v/>
      </c>
      <c r="AH307" s="27">
        <f>IF(C307="","",H307-AG307)</f>
        <v/>
      </c>
      <c r="AI307" s="29">
        <f>IFERROR(AH307/H307,"")</f>
        <v/>
      </c>
      <c r="AJ307" s="64" t="n"/>
      <c r="AK307" s="64" t="n"/>
      <c r="AL307" s="64" t="n"/>
      <c r="AM307" s="64" t="n"/>
      <c r="AN307" s="64" t="n"/>
      <c r="AO307" s="24" t="n"/>
    </row>
    <row r="308" ht="15" customHeight="1">
      <c r="A308" s="63">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7">
        <f>IF(C308="","",SUMIFS(tbl_Finance[Inc GST],tbl_Finance[Job Number],C308&amp;""))</f>
        <v/>
      </c>
      <c r="M308" s="24" t="n"/>
      <c r="N308" s="25">
        <f>IF(C308="","",IFERROR(INDEX(tbl_Finance[Description],MATCH(C308&amp;"",tbl_Finance[Job Number],0)),""))</f>
        <v/>
      </c>
      <c r="O308" s="24" t="n"/>
      <c r="P308" s="24" t="n"/>
      <c r="Q308" s="22" t="n"/>
      <c r="R308" s="24" t="n"/>
      <c r="S308" s="25">
        <f>IF(R308="","",IF(AND(LEFT(R308,4)&lt;&gt;"http",set_RMSBase=""),"",HYPERLINK(IF(LEFT(R308,4)="http",R308,set_RMSBase&amp;R308),"Open opportunity")))</f>
        <v/>
      </c>
      <c r="T308" s="24" t="n"/>
      <c r="U308" s="25">
        <f>IF(T308="","",HYPERLINK(IF(LEFT(T308,4)="http",T308,set_QwilrBase&amp;T308),"Open quote"))</f>
        <v/>
      </c>
      <c r="V308" s="25">
        <f>IF(C308="","",C308)</f>
        <v/>
      </c>
      <c r="W308" s="24" t="n"/>
      <c r="X308" s="26" t="n"/>
      <c r="Y308" s="27">
        <f>IF(C308="","",H308+N(X308))</f>
        <v/>
      </c>
      <c r="Z308" s="29">
        <f>IFERROR(X308/Y308,"")</f>
        <v/>
      </c>
      <c r="AA308" s="26" t="n"/>
      <c r="AB308" s="26" t="n"/>
      <c r="AC308" s="26" t="n"/>
      <c r="AD308" s="26" t="n"/>
      <c r="AE308" s="27">
        <f>IF(C308="","",SUMIFS(tbl_Finance[Ex GST],tbl_Finance[Job Number],C308&amp;"",tbl_Finance[Cost Centre],"VIDEO"))</f>
        <v/>
      </c>
      <c r="AF308" s="29">
        <f>IFERROR(AE308/H308,"")</f>
        <v/>
      </c>
      <c r="AG308" s="27">
        <f>IF(C308="","",N(AA308)+N(AB308)+N(AC308)+N(AD308))</f>
        <v/>
      </c>
      <c r="AH308" s="27">
        <f>IF(C308="","",H308-AG308)</f>
        <v/>
      </c>
      <c r="AI308" s="29">
        <f>IFERROR(AH308/H308,"")</f>
        <v/>
      </c>
      <c r="AJ308" s="64" t="n"/>
      <c r="AK308" s="64" t="n"/>
      <c r="AL308" s="64" t="n"/>
      <c r="AM308" s="64" t="n"/>
      <c r="AN308" s="64" t="n"/>
      <c r="AO308" s="24" t="n"/>
    </row>
    <row r="309" ht="15" customHeight="1">
      <c r="A309" s="63">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7">
        <f>IF(C309="","",SUMIFS(tbl_Finance[Inc GST],tbl_Finance[Job Number],C309&amp;""))</f>
        <v/>
      </c>
      <c r="M309" s="24" t="n"/>
      <c r="N309" s="25">
        <f>IF(C309="","",IFERROR(INDEX(tbl_Finance[Description],MATCH(C309&amp;"",tbl_Finance[Job Number],0)),""))</f>
        <v/>
      </c>
      <c r="O309" s="24" t="n"/>
      <c r="P309" s="24" t="n"/>
      <c r="Q309" s="22" t="n"/>
      <c r="R309" s="24" t="n"/>
      <c r="S309" s="25">
        <f>IF(R309="","",IF(AND(LEFT(R309,4)&lt;&gt;"http",set_RMSBase=""),"",HYPERLINK(IF(LEFT(R309,4)="http",R309,set_RMSBase&amp;R309),"Open opportunity")))</f>
        <v/>
      </c>
      <c r="T309" s="24" t="n"/>
      <c r="U309" s="25">
        <f>IF(T309="","",HYPERLINK(IF(LEFT(T309,4)="http",T309,set_QwilrBase&amp;T309),"Open quote"))</f>
        <v/>
      </c>
      <c r="V309" s="25">
        <f>IF(C309="","",C309)</f>
        <v/>
      </c>
      <c r="W309" s="24" t="n"/>
      <c r="X309" s="26" t="n"/>
      <c r="Y309" s="27">
        <f>IF(C309="","",H309+N(X309))</f>
        <v/>
      </c>
      <c r="Z309" s="29">
        <f>IFERROR(X309/Y309,"")</f>
        <v/>
      </c>
      <c r="AA309" s="26" t="n"/>
      <c r="AB309" s="26" t="n"/>
      <c r="AC309" s="26" t="n"/>
      <c r="AD309" s="26" t="n"/>
      <c r="AE309" s="27">
        <f>IF(C309="","",SUMIFS(tbl_Finance[Ex GST],tbl_Finance[Job Number],C309&amp;"",tbl_Finance[Cost Centre],"VIDEO"))</f>
        <v/>
      </c>
      <c r="AF309" s="29">
        <f>IFERROR(AE309/H309,"")</f>
        <v/>
      </c>
      <c r="AG309" s="27">
        <f>IF(C309="","",N(AA309)+N(AB309)+N(AC309)+N(AD309))</f>
        <v/>
      </c>
      <c r="AH309" s="27">
        <f>IF(C309="","",H309-AG309)</f>
        <v/>
      </c>
      <c r="AI309" s="29">
        <f>IFERROR(AH309/H309,"")</f>
        <v/>
      </c>
      <c r="AJ309" s="64" t="n"/>
      <c r="AK309" s="64" t="n"/>
      <c r="AL309" s="64" t="n"/>
      <c r="AM309" s="64" t="n"/>
      <c r="AN309" s="64" t="n"/>
      <c r="AO309" s="24" t="n"/>
    </row>
    <row r="310" ht="15" customHeight="1">
      <c r="A310" s="63">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7">
        <f>IF(C310="","",SUMIFS(tbl_Finance[Inc GST],tbl_Finance[Job Number],C310&amp;""))</f>
        <v/>
      </c>
      <c r="M310" s="24" t="n"/>
      <c r="N310" s="25">
        <f>IF(C310="","",IFERROR(INDEX(tbl_Finance[Description],MATCH(C310&amp;"",tbl_Finance[Job Number],0)),""))</f>
        <v/>
      </c>
      <c r="O310" s="24" t="n"/>
      <c r="P310" s="24" t="n"/>
      <c r="Q310" s="22" t="n"/>
      <c r="R310" s="24" t="n"/>
      <c r="S310" s="25">
        <f>IF(R310="","",IF(AND(LEFT(R310,4)&lt;&gt;"http",set_RMSBase=""),"",HYPERLINK(IF(LEFT(R310,4)="http",R310,set_RMSBase&amp;R310),"Open opportunity")))</f>
        <v/>
      </c>
      <c r="T310" s="24" t="n"/>
      <c r="U310" s="25">
        <f>IF(T310="","",HYPERLINK(IF(LEFT(T310,4)="http",T310,set_QwilrBase&amp;T310),"Open quote"))</f>
        <v/>
      </c>
      <c r="V310" s="25">
        <f>IF(C310="","",C310)</f>
        <v/>
      </c>
      <c r="W310" s="24" t="n"/>
      <c r="X310" s="26" t="n"/>
      <c r="Y310" s="27">
        <f>IF(C310="","",H310+N(X310))</f>
        <v/>
      </c>
      <c r="Z310" s="29">
        <f>IFERROR(X310/Y310,"")</f>
        <v/>
      </c>
      <c r="AA310" s="26" t="n"/>
      <c r="AB310" s="26" t="n"/>
      <c r="AC310" s="26" t="n"/>
      <c r="AD310" s="26" t="n"/>
      <c r="AE310" s="27">
        <f>IF(C310="","",SUMIFS(tbl_Finance[Ex GST],tbl_Finance[Job Number],C310&amp;"",tbl_Finance[Cost Centre],"VIDEO"))</f>
        <v/>
      </c>
      <c r="AF310" s="29">
        <f>IFERROR(AE310/H310,"")</f>
        <v/>
      </c>
      <c r="AG310" s="27">
        <f>IF(C310="","",N(AA310)+N(AB310)+N(AC310)+N(AD310))</f>
        <v/>
      </c>
      <c r="AH310" s="27">
        <f>IF(C310="","",H310-AG310)</f>
        <v/>
      </c>
      <c r="AI310" s="29">
        <f>IFERROR(AH310/H310,"")</f>
        <v/>
      </c>
      <c r="AJ310" s="64" t="n"/>
      <c r="AK310" s="64" t="n"/>
      <c r="AL310" s="64" t="n"/>
      <c r="AM310" s="64" t="n"/>
      <c r="AN310" s="64" t="n"/>
      <c r="AO310" s="24" t="n"/>
    </row>
    <row r="311" ht="15" customHeight="1">
      <c r="A311" s="63">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7">
        <f>IF(C311="","",SUMIFS(tbl_Finance[Inc GST],tbl_Finance[Job Number],C311&amp;""))</f>
        <v/>
      </c>
      <c r="M311" s="24" t="n"/>
      <c r="N311" s="25">
        <f>IF(C311="","",IFERROR(INDEX(tbl_Finance[Description],MATCH(C311&amp;"",tbl_Finance[Job Number],0)),""))</f>
        <v/>
      </c>
      <c r="O311" s="24" t="n"/>
      <c r="P311" s="24" t="n"/>
      <c r="Q311" s="22" t="n"/>
      <c r="R311" s="24" t="n"/>
      <c r="S311" s="25">
        <f>IF(R311="","",IF(AND(LEFT(R311,4)&lt;&gt;"http",set_RMSBase=""),"",HYPERLINK(IF(LEFT(R311,4)="http",R311,set_RMSBase&amp;R311),"Open opportunity")))</f>
        <v/>
      </c>
      <c r="T311" s="24" t="n"/>
      <c r="U311" s="25">
        <f>IF(T311="","",HYPERLINK(IF(LEFT(T311,4)="http",T311,set_QwilrBase&amp;T311),"Open quote"))</f>
        <v/>
      </c>
      <c r="V311" s="25">
        <f>IF(C311="","",C311)</f>
        <v/>
      </c>
      <c r="W311" s="24" t="n"/>
      <c r="X311" s="26" t="n"/>
      <c r="Y311" s="27">
        <f>IF(C311="","",H311+N(X311))</f>
        <v/>
      </c>
      <c r="Z311" s="29">
        <f>IFERROR(X311/Y311,"")</f>
        <v/>
      </c>
      <c r="AA311" s="26" t="n"/>
      <c r="AB311" s="26" t="n"/>
      <c r="AC311" s="26" t="n"/>
      <c r="AD311" s="26" t="n"/>
      <c r="AE311" s="27">
        <f>IF(C311="","",SUMIFS(tbl_Finance[Ex GST],tbl_Finance[Job Number],C311&amp;"",tbl_Finance[Cost Centre],"VIDEO"))</f>
        <v/>
      </c>
      <c r="AF311" s="29">
        <f>IFERROR(AE311/H311,"")</f>
        <v/>
      </c>
      <c r="AG311" s="27">
        <f>IF(C311="","",N(AA311)+N(AB311)+N(AC311)+N(AD311))</f>
        <v/>
      </c>
      <c r="AH311" s="27">
        <f>IF(C311="","",H311-AG311)</f>
        <v/>
      </c>
      <c r="AI311" s="29">
        <f>IFERROR(AH311/H311,"")</f>
        <v/>
      </c>
      <c r="AJ311" s="64" t="n"/>
      <c r="AK311" s="64" t="n"/>
      <c r="AL311" s="64" t="n"/>
      <c r="AM311" s="64" t="n"/>
      <c r="AN311" s="64" t="n"/>
      <c r="AO311" s="24" t="n"/>
    </row>
    <row r="312" ht="15" customHeight="1">
      <c r="A312" s="63">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7">
        <f>IF(C312="","",SUMIFS(tbl_Finance[Inc GST],tbl_Finance[Job Number],C312&amp;""))</f>
        <v/>
      </c>
      <c r="M312" s="24" t="n"/>
      <c r="N312" s="25">
        <f>IF(C312="","",IFERROR(INDEX(tbl_Finance[Description],MATCH(C312&amp;"",tbl_Finance[Job Number],0)),""))</f>
        <v/>
      </c>
      <c r="O312" s="24" t="n"/>
      <c r="P312" s="24" t="n"/>
      <c r="Q312" s="22" t="n"/>
      <c r="R312" s="24" t="n"/>
      <c r="S312" s="25">
        <f>IF(R312="","",IF(AND(LEFT(R312,4)&lt;&gt;"http",set_RMSBase=""),"",HYPERLINK(IF(LEFT(R312,4)="http",R312,set_RMSBase&amp;R312),"Open opportunity")))</f>
        <v/>
      </c>
      <c r="T312" s="24" t="n"/>
      <c r="U312" s="25">
        <f>IF(T312="","",HYPERLINK(IF(LEFT(T312,4)="http",T312,set_QwilrBase&amp;T312),"Open quote"))</f>
        <v/>
      </c>
      <c r="V312" s="25">
        <f>IF(C312="","",C312)</f>
        <v/>
      </c>
      <c r="W312" s="24" t="n"/>
      <c r="X312" s="26" t="n"/>
      <c r="Y312" s="27">
        <f>IF(C312="","",H312+N(X312))</f>
        <v/>
      </c>
      <c r="Z312" s="29">
        <f>IFERROR(X312/Y312,"")</f>
        <v/>
      </c>
      <c r="AA312" s="26" t="n"/>
      <c r="AB312" s="26" t="n"/>
      <c r="AC312" s="26" t="n"/>
      <c r="AD312" s="26" t="n"/>
      <c r="AE312" s="27">
        <f>IF(C312="","",SUMIFS(tbl_Finance[Ex GST],tbl_Finance[Job Number],C312&amp;"",tbl_Finance[Cost Centre],"VIDEO"))</f>
        <v/>
      </c>
      <c r="AF312" s="29">
        <f>IFERROR(AE312/H312,"")</f>
        <v/>
      </c>
      <c r="AG312" s="27">
        <f>IF(C312="","",N(AA312)+N(AB312)+N(AC312)+N(AD312))</f>
        <v/>
      </c>
      <c r="AH312" s="27">
        <f>IF(C312="","",H312-AG312)</f>
        <v/>
      </c>
      <c r="AI312" s="29">
        <f>IFERROR(AH312/H312,"")</f>
        <v/>
      </c>
      <c r="AJ312" s="64" t="n"/>
      <c r="AK312" s="64" t="n"/>
      <c r="AL312" s="64" t="n"/>
      <c r="AM312" s="64" t="n"/>
      <c r="AN312" s="64" t="n"/>
      <c r="AO312" s="24" t="n"/>
    </row>
    <row r="313" ht="15" customHeight="1">
      <c r="A313" s="63">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7">
        <f>IF(C313="","",SUMIFS(tbl_Finance[Inc GST],tbl_Finance[Job Number],C313&amp;""))</f>
        <v/>
      </c>
      <c r="M313" s="24" t="n"/>
      <c r="N313" s="25">
        <f>IF(C313="","",IFERROR(INDEX(tbl_Finance[Description],MATCH(C313&amp;"",tbl_Finance[Job Number],0)),""))</f>
        <v/>
      </c>
      <c r="O313" s="24" t="n"/>
      <c r="P313" s="24" t="n"/>
      <c r="Q313" s="22" t="n"/>
      <c r="R313" s="24" t="n"/>
      <c r="S313" s="25">
        <f>IF(R313="","",IF(AND(LEFT(R313,4)&lt;&gt;"http",set_RMSBase=""),"",HYPERLINK(IF(LEFT(R313,4)="http",R313,set_RMSBase&amp;R313),"Open opportunity")))</f>
        <v/>
      </c>
      <c r="T313" s="24" t="n"/>
      <c r="U313" s="25">
        <f>IF(T313="","",HYPERLINK(IF(LEFT(T313,4)="http",T313,set_QwilrBase&amp;T313),"Open quote"))</f>
        <v/>
      </c>
      <c r="V313" s="25">
        <f>IF(C313="","",C313)</f>
        <v/>
      </c>
      <c r="W313" s="24" t="n"/>
      <c r="X313" s="26" t="n"/>
      <c r="Y313" s="27">
        <f>IF(C313="","",H313+N(X313))</f>
        <v/>
      </c>
      <c r="Z313" s="29">
        <f>IFERROR(X313/Y313,"")</f>
        <v/>
      </c>
      <c r="AA313" s="26" t="n"/>
      <c r="AB313" s="26" t="n"/>
      <c r="AC313" s="26" t="n"/>
      <c r="AD313" s="26" t="n"/>
      <c r="AE313" s="27">
        <f>IF(C313="","",SUMIFS(tbl_Finance[Ex GST],tbl_Finance[Job Number],C313&amp;"",tbl_Finance[Cost Centre],"VIDEO"))</f>
        <v/>
      </c>
      <c r="AF313" s="29">
        <f>IFERROR(AE313/H313,"")</f>
        <v/>
      </c>
      <c r="AG313" s="27">
        <f>IF(C313="","",N(AA313)+N(AB313)+N(AC313)+N(AD313))</f>
        <v/>
      </c>
      <c r="AH313" s="27">
        <f>IF(C313="","",H313-AG313)</f>
        <v/>
      </c>
      <c r="AI313" s="29">
        <f>IFERROR(AH313/H313,"")</f>
        <v/>
      </c>
      <c r="AJ313" s="64" t="n"/>
      <c r="AK313" s="64" t="n"/>
      <c r="AL313" s="64" t="n"/>
      <c r="AM313" s="64" t="n"/>
      <c r="AN313" s="64" t="n"/>
      <c r="AO313" s="24" t="n"/>
    </row>
    <row r="314" ht="15" customHeight="1">
      <c r="A314" s="63">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7">
        <f>IF(C314="","",SUMIFS(tbl_Finance[Inc GST],tbl_Finance[Job Number],C314&amp;""))</f>
        <v/>
      </c>
      <c r="M314" s="24" t="n"/>
      <c r="N314" s="25">
        <f>IF(C314="","",IFERROR(INDEX(tbl_Finance[Description],MATCH(C314&amp;"",tbl_Finance[Job Number],0)),""))</f>
        <v/>
      </c>
      <c r="O314" s="24" t="n"/>
      <c r="P314" s="24" t="n"/>
      <c r="Q314" s="22" t="n"/>
      <c r="R314" s="24" t="n"/>
      <c r="S314" s="25">
        <f>IF(R314="","",IF(AND(LEFT(R314,4)&lt;&gt;"http",set_RMSBase=""),"",HYPERLINK(IF(LEFT(R314,4)="http",R314,set_RMSBase&amp;R314),"Open opportunity")))</f>
        <v/>
      </c>
      <c r="T314" s="24" t="n"/>
      <c r="U314" s="25">
        <f>IF(T314="","",HYPERLINK(IF(LEFT(T314,4)="http",T314,set_QwilrBase&amp;T314),"Open quote"))</f>
        <v/>
      </c>
      <c r="V314" s="25">
        <f>IF(C314="","",C314)</f>
        <v/>
      </c>
      <c r="W314" s="24" t="n"/>
      <c r="X314" s="26" t="n"/>
      <c r="Y314" s="27">
        <f>IF(C314="","",H314+N(X314))</f>
        <v/>
      </c>
      <c r="Z314" s="29">
        <f>IFERROR(X314/Y314,"")</f>
        <v/>
      </c>
      <c r="AA314" s="26" t="n"/>
      <c r="AB314" s="26" t="n"/>
      <c r="AC314" s="26" t="n"/>
      <c r="AD314" s="26" t="n"/>
      <c r="AE314" s="27">
        <f>IF(C314="","",SUMIFS(tbl_Finance[Ex GST],tbl_Finance[Job Number],C314&amp;"",tbl_Finance[Cost Centre],"VIDEO"))</f>
        <v/>
      </c>
      <c r="AF314" s="29">
        <f>IFERROR(AE314/H314,"")</f>
        <v/>
      </c>
      <c r="AG314" s="27">
        <f>IF(C314="","",N(AA314)+N(AB314)+N(AC314)+N(AD314))</f>
        <v/>
      </c>
      <c r="AH314" s="27">
        <f>IF(C314="","",H314-AG314)</f>
        <v/>
      </c>
      <c r="AI314" s="29">
        <f>IFERROR(AH314/H314,"")</f>
        <v/>
      </c>
      <c r="AJ314" s="64" t="n"/>
      <c r="AK314" s="64" t="n"/>
      <c r="AL314" s="64" t="n"/>
      <c r="AM314" s="64" t="n"/>
      <c r="AN314" s="64" t="n"/>
      <c r="AO314" s="24" t="n"/>
    </row>
    <row r="315" ht="15" customHeight="1">
      <c r="A315" s="63">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7">
        <f>IF(C315="","",SUMIFS(tbl_Finance[Inc GST],tbl_Finance[Job Number],C315&amp;""))</f>
        <v/>
      </c>
      <c r="M315" s="24" t="n"/>
      <c r="N315" s="25">
        <f>IF(C315="","",IFERROR(INDEX(tbl_Finance[Description],MATCH(C315&amp;"",tbl_Finance[Job Number],0)),""))</f>
        <v/>
      </c>
      <c r="O315" s="24" t="n"/>
      <c r="P315" s="24" t="n"/>
      <c r="Q315" s="22" t="n"/>
      <c r="R315" s="24" t="n"/>
      <c r="S315" s="25">
        <f>IF(R315="","",IF(AND(LEFT(R315,4)&lt;&gt;"http",set_RMSBase=""),"",HYPERLINK(IF(LEFT(R315,4)="http",R315,set_RMSBase&amp;R315),"Open opportunity")))</f>
        <v/>
      </c>
      <c r="T315" s="24" t="n"/>
      <c r="U315" s="25">
        <f>IF(T315="","",HYPERLINK(IF(LEFT(T315,4)="http",T315,set_QwilrBase&amp;T315),"Open quote"))</f>
        <v/>
      </c>
      <c r="V315" s="25">
        <f>IF(C315="","",C315)</f>
        <v/>
      </c>
      <c r="W315" s="24" t="n"/>
      <c r="X315" s="26" t="n"/>
      <c r="Y315" s="27">
        <f>IF(C315="","",H315+N(X315))</f>
        <v/>
      </c>
      <c r="Z315" s="29">
        <f>IFERROR(X315/Y315,"")</f>
        <v/>
      </c>
      <c r="AA315" s="26" t="n"/>
      <c r="AB315" s="26" t="n"/>
      <c r="AC315" s="26" t="n"/>
      <c r="AD315" s="26" t="n"/>
      <c r="AE315" s="27">
        <f>IF(C315="","",SUMIFS(tbl_Finance[Ex GST],tbl_Finance[Job Number],C315&amp;"",tbl_Finance[Cost Centre],"VIDEO"))</f>
        <v/>
      </c>
      <c r="AF315" s="29">
        <f>IFERROR(AE315/H315,"")</f>
        <v/>
      </c>
      <c r="AG315" s="27">
        <f>IF(C315="","",N(AA315)+N(AB315)+N(AC315)+N(AD315))</f>
        <v/>
      </c>
      <c r="AH315" s="27">
        <f>IF(C315="","",H315-AG315)</f>
        <v/>
      </c>
      <c r="AI315" s="29">
        <f>IFERROR(AH315/H315,"")</f>
        <v/>
      </c>
      <c r="AJ315" s="64" t="n"/>
      <c r="AK315" s="64" t="n"/>
      <c r="AL315" s="64" t="n"/>
      <c r="AM315" s="64" t="n"/>
      <c r="AN315" s="64" t="n"/>
      <c r="AO315" s="24" t="n"/>
    </row>
    <row r="316" ht="15" customHeight="1">
      <c r="A316" s="63">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7">
        <f>IF(C316="","",SUMIFS(tbl_Finance[Inc GST],tbl_Finance[Job Number],C316&amp;""))</f>
        <v/>
      </c>
      <c r="M316" s="24" t="n"/>
      <c r="N316" s="25">
        <f>IF(C316="","",IFERROR(INDEX(tbl_Finance[Description],MATCH(C316&amp;"",tbl_Finance[Job Number],0)),""))</f>
        <v/>
      </c>
      <c r="O316" s="24" t="n"/>
      <c r="P316" s="24" t="n"/>
      <c r="Q316" s="22" t="n"/>
      <c r="R316" s="24" t="n"/>
      <c r="S316" s="25">
        <f>IF(R316="","",IF(AND(LEFT(R316,4)&lt;&gt;"http",set_RMSBase=""),"",HYPERLINK(IF(LEFT(R316,4)="http",R316,set_RMSBase&amp;R316),"Open opportunity")))</f>
        <v/>
      </c>
      <c r="T316" s="24" t="n"/>
      <c r="U316" s="25">
        <f>IF(T316="","",HYPERLINK(IF(LEFT(T316,4)="http",T316,set_QwilrBase&amp;T316),"Open quote"))</f>
        <v/>
      </c>
      <c r="V316" s="25">
        <f>IF(C316="","",C316)</f>
        <v/>
      </c>
      <c r="W316" s="24" t="n"/>
      <c r="X316" s="26" t="n"/>
      <c r="Y316" s="27">
        <f>IF(C316="","",H316+N(X316))</f>
        <v/>
      </c>
      <c r="Z316" s="29">
        <f>IFERROR(X316/Y316,"")</f>
        <v/>
      </c>
      <c r="AA316" s="26" t="n"/>
      <c r="AB316" s="26" t="n"/>
      <c r="AC316" s="26" t="n"/>
      <c r="AD316" s="26" t="n"/>
      <c r="AE316" s="27">
        <f>IF(C316="","",SUMIFS(tbl_Finance[Ex GST],tbl_Finance[Job Number],C316&amp;"",tbl_Finance[Cost Centre],"VIDEO"))</f>
        <v/>
      </c>
      <c r="AF316" s="29">
        <f>IFERROR(AE316/H316,"")</f>
        <v/>
      </c>
      <c r="AG316" s="27">
        <f>IF(C316="","",N(AA316)+N(AB316)+N(AC316)+N(AD316))</f>
        <v/>
      </c>
      <c r="AH316" s="27">
        <f>IF(C316="","",H316-AG316)</f>
        <v/>
      </c>
      <c r="AI316" s="29">
        <f>IFERROR(AH316/H316,"")</f>
        <v/>
      </c>
      <c r="AJ316" s="64" t="n"/>
      <c r="AK316" s="64" t="n"/>
      <c r="AL316" s="64" t="n"/>
      <c r="AM316" s="64" t="n"/>
      <c r="AN316" s="64" t="n"/>
      <c r="AO316" s="24" t="n"/>
    </row>
    <row r="317" ht="15" customHeight="1">
      <c r="A317" s="63">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7">
        <f>IF(C317="","",SUMIFS(tbl_Finance[Inc GST],tbl_Finance[Job Number],C317&amp;""))</f>
        <v/>
      </c>
      <c r="M317" s="24" t="n"/>
      <c r="N317" s="25">
        <f>IF(C317="","",IFERROR(INDEX(tbl_Finance[Description],MATCH(C317&amp;"",tbl_Finance[Job Number],0)),""))</f>
        <v/>
      </c>
      <c r="O317" s="24" t="n"/>
      <c r="P317" s="24" t="n"/>
      <c r="Q317" s="22" t="n"/>
      <c r="R317" s="24" t="n"/>
      <c r="S317" s="25">
        <f>IF(R317="","",IF(AND(LEFT(R317,4)&lt;&gt;"http",set_RMSBase=""),"",HYPERLINK(IF(LEFT(R317,4)="http",R317,set_RMSBase&amp;R317),"Open opportunity")))</f>
        <v/>
      </c>
      <c r="T317" s="24" t="n"/>
      <c r="U317" s="25">
        <f>IF(T317="","",HYPERLINK(IF(LEFT(T317,4)="http",T317,set_QwilrBase&amp;T317),"Open quote"))</f>
        <v/>
      </c>
      <c r="V317" s="25">
        <f>IF(C317="","",C317)</f>
        <v/>
      </c>
      <c r="W317" s="24" t="n"/>
      <c r="X317" s="26" t="n"/>
      <c r="Y317" s="27">
        <f>IF(C317="","",H317+N(X317))</f>
        <v/>
      </c>
      <c r="Z317" s="29">
        <f>IFERROR(X317/Y317,"")</f>
        <v/>
      </c>
      <c r="AA317" s="26" t="n"/>
      <c r="AB317" s="26" t="n"/>
      <c r="AC317" s="26" t="n"/>
      <c r="AD317" s="26" t="n"/>
      <c r="AE317" s="27">
        <f>IF(C317="","",SUMIFS(tbl_Finance[Ex GST],tbl_Finance[Job Number],C317&amp;"",tbl_Finance[Cost Centre],"VIDEO"))</f>
        <v/>
      </c>
      <c r="AF317" s="29">
        <f>IFERROR(AE317/H317,"")</f>
        <v/>
      </c>
      <c r="AG317" s="27">
        <f>IF(C317="","",N(AA317)+N(AB317)+N(AC317)+N(AD317))</f>
        <v/>
      </c>
      <c r="AH317" s="27">
        <f>IF(C317="","",H317-AG317)</f>
        <v/>
      </c>
      <c r="AI317" s="29">
        <f>IFERROR(AH317/H317,"")</f>
        <v/>
      </c>
      <c r="AJ317" s="64" t="n"/>
      <c r="AK317" s="64" t="n"/>
      <c r="AL317" s="64" t="n"/>
      <c r="AM317" s="64" t="n"/>
      <c r="AN317" s="64" t="n"/>
      <c r="AO317" s="24" t="n"/>
    </row>
    <row r="318" ht="15" customHeight="1">
      <c r="A318" s="63">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7">
        <f>IF(C318="","",SUMIFS(tbl_Finance[Inc GST],tbl_Finance[Job Number],C318&amp;""))</f>
        <v/>
      </c>
      <c r="M318" s="24" t="n"/>
      <c r="N318" s="25">
        <f>IF(C318="","",IFERROR(INDEX(tbl_Finance[Description],MATCH(C318&amp;"",tbl_Finance[Job Number],0)),""))</f>
        <v/>
      </c>
      <c r="O318" s="24" t="n"/>
      <c r="P318" s="24" t="n"/>
      <c r="Q318" s="22" t="n"/>
      <c r="R318" s="24" t="n"/>
      <c r="S318" s="25">
        <f>IF(R318="","",IF(AND(LEFT(R318,4)&lt;&gt;"http",set_RMSBase=""),"",HYPERLINK(IF(LEFT(R318,4)="http",R318,set_RMSBase&amp;R318),"Open opportunity")))</f>
        <v/>
      </c>
      <c r="T318" s="24" t="n"/>
      <c r="U318" s="25">
        <f>IF(T318="","",HYPERLINK(IF(LEFT(T318,4)="http",T318,set_QwilrBase&amp;T318),"Open quote"))</f>
        <v/>
      </c>
      <c r="V318" s="25">
        <f>IF(C318="","",C318)</f>
        <v/>
      </c>
      <c r="W318" s="24" t="n"/>
      <c r="X318" s="26" t="n"/>
      <c r="Y318" s="27">
        <f>IF(C318="","",H318+N(X318))</f>
        <v/>
      </c>
      <c r="Z318" s="29">
        <f>IFERROR(X318/Y318,"")</f>
        <v/>
      </c>
      <c r="AA318" s="26" t="n"/>
      <c r="AB318" s="26" t="n"/>
      <c r="AC318" s="26" t="n"/>
      <c r="AD318" s="26" t="n"/>
      <c r="AE318" s="27">
        <f>IF(C318="","",SUMIFS(tbl_Finance[Ex GST],tbl_Finance[Job Number],C318&amp;"",tbl_Finance[Cost Centre],"VIDEO"))</f>
        <v/>
      </c>
      <c r="AF318" s="29">
        <f>IFERROR(AE318/H318,"")</f>
        <v/>
      </c>
      <c r="AG318" s="27">
        <f>IF(C318="","",N(AA318)+N(AB318)+N(AC318)+N(AD318))</f>
        <v/>
      </c>
      <c r="AH318" s="27">
        <f>IF(C318="","",H318-AG318)</f>
        <v/>
      </c>
      <c r="AI318" s="29">
        <f>IFERROR(AH318/H318,"")</f>
        <v/>
      </c>
      <c r="AJ318" s="64" t="n"/>
      <c r="AK318" s="64" t="n"/>
      <c r="AL318" s="64" t="n"/>
      <c r="AM318" s="64" t="n"/>
      <c r="AN318" s="64" t="n"/>
      <c r="AO318" s="24" t="n"/>
    </row>
    <row r="319" ht="15" customHeight="1">
      <c r="A319" s="63">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7">
        <f>IF(C319="","",SUMIFS(tbl_Finance[Inc GST],tbl_Finance[Job Number],C319&amp;""))</f>
        <v/>
      </c>
      <c r="M319" s="24" t="n"/>
      <c r="N319" s="25">
        <f>IF(C319="","",IFERROR(INDEX(tbl_Finance[Description],MATCH(C319&amp;"",tbl_Finance[Job Number],0)),""))</f>
        <v/>
      </c>
      <c r="O319" s="24" t="n"/>
      <c r="P319" s="24" t="n"/>
      <c r="Q319" s="22" t="n"/>
      <c r="R319" s="24" t="n"/>
      <c r="S319" s="25">
        <f>IF(R319="","",IF(AND(LEFT(R319,4)&lt;&gt;"http",set_RMSBase=""),"",HYPERLINK(IF(LEFT(R319,4)="http",R319,set_RMSBase&amp;R319),"Open opportunity")))</f>
        <v/>
      </c>
      <c r="T319" s="24" t="n"/>
      <c r="U319" s="25">
        <f>IF(T319="","",HYPERLINK(IF(LEFT(T319,4)="http",T319,set_QwilrBase&amp;T319),"Open quote"))</f>
        <v/>
      </c>
      <c r="V319" s="25">
        <f>IF(C319="","",C319)</f>
        <v/>
      </c>
      <c r="W319" s="24" t="n"/>
      <c r="X319" s="26" t="n"/>
      <c r="Y319" s="27">
        <f>IF(C319="","",H319+N(X319))</f>
        <v/>
      </c>
      <c r="Z319" s="29">
        <f>IFERROR(X319/Y319,"")</f>
        <v/>
      </c>
      <c r="AA319" s="26" t="n"/>
      <c r="AB319" s="26" t="n"/>
      <c r="AC319" s="26" t="n"/>
      <c r="AD319" s="26" t="n"/>
      <c r="AE319" s="27">
        <f>IF(C319="","",SUMIFS(tbl_Finance[Ex GST],tbl_Finance[Job Number],C319&amp;"",tbl_Finance[Cost Centre],"VIDEO"))</f>
        <v/>
      </c>
      <c r="AF319" s="29">
        <f>IFERROR(AE319/H319,"")</f>
        <v/>
      </c>
      <c r="AG319" s="27">
        <f>IF(C319="","",N(AA319)+N(AB319)+N(AC319)+N(AD319))</f>
        <v/>
      </c>
      <c r="AH319" s="27">
        <f>IF(C319="","",H319-AG319)</f>
        <v/>
      </c>
      <c r="AI319" s="29">
        <f>IFERROR(AH319/H319,"")</f>
        <v/>
      </c>
      <c r="AJ319" s="64" t="n"/>
      <c r="AK319" s="64" t="n"/>
      <c r="AL319" s="64" t="n"/>
      <c r="AM319" s="64" t="n"/>
      <c r="AN319" s="64" t="n"/>
      <c r="AO319" s="24" t="n"/>
    </row>
    <row r="320" ht="15" customHeight="1">
      <c r="A320" s="63">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7">
        <f>IF(C320="","",SUMIFS(tbl_Finance[Inc GST],tbl_Finance[Job Number],C320&amp;""))</f>
        <v/>
      </c>
      <c r="M320" s="24" t="n"/>
      <c r="N320" s="25">
        <f>IF(C320="","",IFERROR(INDEX(tbl_Finance[Description],MATCH(C320&amp;"",tbl_Finance[Job Number],0)),""))</f>
        <v/>
      </c>
      <c r="O320" s="24" t="n"/>
      <c r="P320" s="24" t="n"/>
      <c r="Q320" s="22" t="n"/>
      <c r="R320" s="24" t="n"/>
      <c r="S320" s="25">
        <f>IF(R320="","",IF(AND(LEFT(R320,4)&lt;&gt;"http",set_RMSBase=""),"",HYPERLINK(IF(LEFT(R320,4)="http",R320,set_RMSBase&amp;R320),"Open opportunity")))</f>
        <v/>
      </c>
      <c r="T320" s="24" t="n"/>
      <c r="U320" s="25">
        <f>IF(T320="","",HYPERLINK(IF(LEFT(T320,4)="http",T320,set_QwilrBase&amp;T320),"Open quote"))</f>
        <v/>
      </c>
      <c r="V320" s="25">
        <f>IF(C320="","",C320)</f>
        <v/>
      </c>
      <c r="W320" s="24" t="n"/>
      <c r="X320" s="26" t="n"/>
      <c r="Y320" s="27">
        <f>IF(C320="","",H320+N(X320))</f>
        <v/>
      </c>
      <c r="Z320" s="29">
        <f>IFERROR(X320/Y320,"")</f>
        <v/>
      </c>
      <c r="AA320" s="26" t="n"/>
      <c r="AB320" s="26" t="n"/>
      <c r="AC320" s="26" t="n"/>
      <c r="AD320" s="26" t="n"/>
      <c r="AE320" s="27">
        <f>IF(C320="","",SUMIFS(tbl_Finance[Ex GST],tbl_Finance[Job Number],C320&amp;"",tbl_Finance[Cost Centre],"VIDEO"))</f>
        <v/>
      </c>
      <c r="AF320" s="29">
        <f>IFERROR(AE320/H320,"")</f>
        <v/>
      </c>
      <c r="AG320" s="27">
        <f>IF(C320="","",N(AA320)+N(AB320)+N(AC320)+N(AD320))</f>
        <v/>
      </c>
      <c r="AH320" s="27">
        <f>IF(C320="","",H320-AG320)</f>
        <v/>
      </c>
      <c r="AI320" s="29">
        <f>IFERROR(AH320/H320,"")</f>
        <v/>
      </c>
      <c r="AJ320" s="64" t="n"/>
      <c r="AK320" s="64" t="n"/>
      <c r="AL320" s="64" t="n"/>
      <c r="AM320" s="64" t="n"/>
      <c r="AN320" s="64" t="n"/>
      <c r="AO320" s="24" t="n"/>
    </row>
    <row r="321" ht="15" customHeight="1">
      <c r="A321" s="63">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7">
        <f>IF(C321="","",SUMIFS(tbl_Finance[Inc GST],tbl_Finance[Job Number],C321&amp;""))</f>
        <v/>
      </c>
      <c r="M321" s="24" t="n"/>
      <c r="N321" s="25">
        <f>IF(C321="","",IFERROR(INDEX(tbl_Finance[Description],MATCH(C321&amp;"",tbl_Finance[Job Number],0)),""))</f>
        <v/>
      </c>
      <c r="O321" s="24" t="n"/>
      <c r="P321" s="24" t="n"/>
      <c r="Q321" s="22" t="n"/>
      <c r="R321" s="24" t="n"/>
      <c r="S321" s="25">
        <f>IF(R321="","",IF(AND(LEFT(R321,4)&lt;&gt;"http",set_RMSBase=""),"",HYPERLINK(IF(LEFT(R321,4)="http",R321,set_RMSBase&amp;R321),"Open opportunity")))</f>
        <v/>
      </c>
      <c r="T321" s="24" t="n"/>
      <c r="U321" s="25">
        <f>IF(T321="","",HYPERLINK(IF(LEFT(T321,4)="http",T321,set_QwilrBase&amp;T321),"Open quote"))</f>
        <v/>
      </c>
      <c r="V321" s="25">
        <f>IF(C321="","",C321)</f>
        <v/>
      </c>
      <c r="W321" s="24" t="n"/>
      <c r="X321" s="26" t="n"/>
      <c r="Y321" s="27">
        <f>IF(C321="","",H321+N(X321))</f>
        <v/>
      </c>
      <c r="Z321" s="29">
        <f>IFERROR(X321/Y321,"")</f>
        <v/>
      </c>
      <c r="AA321" s="26" t="n"/>
      <c r="AB321" s="26" t="n"/>
      <c r="AC321" s="26" t="n"/>
      <c r="AD321" s="26" t="n"/>
      <c r="AE321" s="27">
        <f>IF(C321="","",SUMIFS(tbl_Finance[Ex GST],tbl_Finance[Job Number],C321&amp;"",tbl_Finance[Cost Centre],"VIDEO"))</f>
        <v/>
      </c>
      <c r="AF321" s="29">
        <f>IFERROR(AE321/H321,"")</f>
        <v/>
      </c>
      <c r="AG321" s="27">
        <f>IF(C321="","",N(AA321)+N(AB321)+N(AC321)+N(AD321))</f>
        <v/>
      </c>
      <c r="AH321" s="27">
        <f>IF(C321="","",H321-AG321)</f>
        <v/>
      </c>
      <c r="AI321" s="29">
        <f>IFERROR(AH321/H321,"")</f>
        <v/>
      </c>
      <c r="AJ321" s="64" t="n"/>
      <c r="AK321" s="64" t="n"/>
      <c r="AL321" s="64" t="n"/>
      <c r="AM321" s="64" t="n"/>
      <c r="AN321" s="64" t="n"/>
      <c r="AO321" s="24" t="n"/>
    </row>
    <row r="322" ht="15" customHeight="1">
      <c r="A322" s="63">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7">
        <f>IF(C322="","",SUMIFS(tbl_Finance[Inc GST],tbl_Finance[Job Number],C322&amp;""))</f>
        <v/>
      </c>
      <c r="M322" s="24" t="n"/>
      <c r="N322" s="25">
        <f>IF(C322="","",IFERROR(INDEX(tbl_Finance[Description],MATCH(C322&amp;"",tbl_Finance[Job Number],0)),""))</f>
        <v/>
      </c>
      <c r="O322" s="24" t="n"/>
      <c r="P322" s="24" t="n"/>
      <c r="Q322" s="22" t="n"/>
      <c r="R322" s="24" t="n"/>
      <c r="S322" s="25">
        <f>IF(R322="","",IF(AND(LEFT(R322,4)&lt;&gt;"http",set_RMSBase=""),"",HYPERLINK(IF(LEFT(R322,4)="http",R322,set_RMSBase&amp;R322),"Open opportunity")))</f>
        <v/>
      </c>
      <c r="T322" s="24" t="n"/>
      <c r="U322" s="25">
        <f>IF(T322="","",HYPERLINK(IF(LEFT(T322,4)="http",T322,set_QwilrBase&amp;T322),"Open quote"))</f>
        <v/>
      </c>
      <c r="V322" s="25">
        <f>IF(C322="","",C322)</f>
        <v/>
      </c>
      <c r="W322" s="24" t="n"/>
      <c r="X322" s="26" t="n"/>
      <c r="Y322" s="27">
        <f>IF(C322="","",H322+N(X322))</f>
        <v/>
      </c>
      <c r="Z322" s="29">
        <f>IFERROR(X322/Y322,"")</f>
        <v/>
      </c>
      <c r="AA322" s="26" t="n"/>
      <c r="AB322" s="26" t="n"/>
      <c r="AC322" s="26" t="n"/>
      <c r="AD322" s="26" t="n"/>
      <c r="AE322" s="27">
        <f>IF(C322="","",SUMIFS(tbl_Finance[Ex GST],tbl_Finance[Job Number],C322&amp;"",tbl_Finance[Cost Centre],"VIDEO"))</f>
        <v/>
      </c>
      <c r="AF322" s="29">
        <f>IFERROR(AE322/H322,"")</f>
        <v/>
      </c>
      <c r="AG322" s="27">
        <f>IF(C322="","",N(AA322)+N(AB322)+N(AC322)+N(AD322))</f>
        <v/>
      </c>
      <c r="AH322" s="27">
        <f>IF(C322="","",H322-AG322)</f>
        <v/>
      </c>
      <c r="AI322" s="29">
        <f>IFERROR(AH322/H322,"")</f>
        <v/>
      </c>
      <c r="AJ322" s="64" t="n"/>
      <c r="AK322" s="64" t="n"/>
      <c r="AL322" s="64" t="n"/>
      <c r="AM322" s="64" t="n"/>
      <c r="AN322" s="64" t="n"/>
      <c r="AO322" s="24" t="n"/>
    </row>
    <row r="323" ht="15" customHeight="1">
      <c r="A323" s="63">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7">
        <f>IF(C323="","",SUMIFS(tbl_Finance[Inc GST],tbl_Finance[Job Number],C323&amp;""))</f>
        <v/>
      </c>
      <c r="M323" s="24" t="n"/>
      <c r="N323" s="25">
        <f>IF(C323="","",IFERROR(INDEX(tbl_Finance[Description],MATCH(C323&amp;"",tbl_Finance[Job Number],0)),""))</f>
        <v/>
      </c>
      <c r="O323" s="24" t="n"/>
      <c r="P323" s="24" t="n"/>
      <c r="Q323" s="22" t="n"/>
      <c r="R323" s="24" t="n"/>
      <c r="S323" s="25">
        <f>IF(R323="","",IF(AND(LEFT(R323,4)&lt;&gt;"http",set_RMSBase=""),"",HYPERLINK(IF(LEFT(R323,4)="http",R323,set_RMSBase&amp;R323),"Open opportunity")))</f>
        <v/>
      </c>
      <c r="T323" s="24" t="n"/>
      <c r="U323" s="25">
        <f>IF(T323="","",HYPERLINK(IF(LEFT(T323,4)="http",T323,set_QwilrBase&amp;T323),"Open quote"))</f>
        <v/>
      </c>
      <c r="V323" s="25">
        <f>IF(C323="","",C323)</f>
        <v/>
      </c>
      <c r="W323" s="24" t="n"/>
      <c r="X323" s="26" t="n"/>
      <c r="Y323" s="27">
        <f>IF(C323="","",H323+N(X323))</f>
        <v/>
      </c>
      <c r="Z323" s="29">
        <f>IFERROR(X323/Y323,"")</f>
        <v/>
      </c>
      <c r="AA323" s="26" t="n"/>
      <c r="AB323" s="26" t="n"/>
      <c r="AC323" s="26" t="n"/>
      <c r="AD323" s="26" t="n"/>
      <c r="AE323" s="27">
        <f>IF(C323="","",SUMIFS(tbl_Finance[Ex GST],tbl_Finance[Job Number],C323&amp;"",tbl_Finance[Cost Centre],"VIDEO"))</f>
        <v/>
      </c>
      <c r="AF323" s="29">
        <f>IFERROR(AE323/H323,"")</f>
        <v/>
      </c>
      <c r="AG323" s="27">
        <f>IF(C323="","",N(AA323)+N(AB323)+N(AC323)+N(AD323))</f>
        <v/>
      </c>
      <c r="AH323" s="27">
        <f>IF(C323="","",H323-AG323)</f>
        <v/>
      </c>
      <c r="AI323" s="29">
        <f>IFERROR(AH323/H323,"")</f>
        <v/>
      </c>
      <c r="AJ323" s="64" t="n"/>
      <c r="AK323" s="64" t="n"/>
      <c r="AL323" s="64" t="n"/>
      <c r="AM323" s="64" t="n"/>
      <c r="AN323" s="64" t="n"/>
      <c r="AO323" s="24" t="n"/>
    </row>
    <row r="324" ht="15" customHeight="1">
      <c r="A324" s="63">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7">
        <f>IF(C324="","",SUMIFS(tbl_Finance[Inc GST],tbl_Finance[Job Number],C324&amp;""))</f>
        <v/>
      </c>
      <c r="M324" s="24" t="n"/>
      <c r="N324" s="25">
        <f>IF(C324="","",IFERROR(INDEX(tbl_Finance[Description],MATCH(C324&amp;"",tbl_Finance[Job Number],0)),""))</f>
        <v/>
      </c>
      <c r="O324" s="24" t="n"/>
      <c r="P324" s="24" t="n"/>
      <c r="Q324" s="22" t="n"/>
      <c r="R324" s="24" t="n"/>
      <c r="S324" s="25">
        <f>IF(R324="","",IF(AND(LEFT(R324,4)&lt;&gt;"http",set_RMSBase=""),"",HYPERLINK(IF(LEFT(R324,4)="http",R324,set_RMSBase&amp;R324),"Open opportunity")))</f>
        <v/>
      </c>
      <c r="T324" s="24" t="n"/>
      <c r="U324" s="25">
        <f>IF(T324="","",HYPERLINK(IF(LEFT(T324,4)="http",T324,set_QwilrBase&amp;T324),"Open quote"))</f>
        <v/>
      </c>
      <c r="V324" s="25">
        <f>IF(C324="","",C324)</f>
        <v/>
      </c>
      <c r="W324" s="24" t="n"/>
      <c r="X324" s="26" t="n"/>
      <c r="Y324" s="27">
        <f>IF(C324="","",H324+N(X324))</f>
        <v/>
      </c>
      <c r="Z324" s="29">
        <f>IFERROR(X324/Y324,"")</f>
        <v/>
      </c>
      <c r="AA324" s="26" t="n"/>
      <c r="AB324" s="26" t="n"/>
      <c r="AC324" s="26" t="n"/>
      <c r="AD324" s="26" t="n"/>
      <c r="AE324" s="27">
        <f>IF(C324="","",SUMIFS(tbl_Finance[Ex GST],tbl_Finance[Job Number],C324&amp;"",tbl_Finance[Cost Centre],"VIDEO"))</f>
        <v/>
      </c>
      <c r="AF324" s="29">
        <f>IFERROR(AE324/H324,"")</f>
        <v/>
      </c>
      <c r="AG324" s="27">
        <f>IF(C324="","",N(AA324)+N(AB324)+N(AC324)+N(AD324))</f>
        <v/>
      </c>
      <c r="AH324" s="27">
        <f>IF(C324="","",H324-AG324)</f>
        <v/>
      </c>
      <c r="AI324" s="29">
        <f>IFERROR(AH324/H324,"")</f>
        <v/>
      </c>
      <c r="AJ324" s="64" t="n"/>
      <c r="AK324" s="64" t="n"/>
      <c r="AL324" s="64" t="n"/>
      <c r="AM324" s="64" t="n"/>
      <c r="AN324" s="64" t="n"/>
      <c r="AO324" s="24" t="n"/>
    </row>
    <row r="325" ht="15" customHeight="1">
      <c r="A325" s="63">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7">
        <f>IF(C325="","",SUMIFS(tbl_Finance[Inc GST],tbl_Finance[Job Number],C325&amp;""))</f>
        <v/>
      </c>
      <c r="M325" s="24" t="n"/>
      <c r="N325" s="25">
        <f>IF(C325="","",IFERROR(INDEX(tbl_Finance[Description],MATCH(C325&amp;"",tbl_Finance[Job Number],0)),""))</f>
        <v/>
      </c>
      <c r="O325" s="24" t="n"/>
      <c r="P325" s="24" t="n"/>
      <c r="Q325" s="22" t="n"/>
      <c r="R325" s="24" t="n"/>
      <c r="S325" s="25">
        <f>IF(R325="","",IF(AND(LEFT(R325,4)&lt;&gt;"http",set_RMSBase=""),"",HYPERLINK(IF(LEFT(R325,4)="http",R325,set_RMSBase&amp;R325),"Open opportunity")))</f>
        <v/>
      </c>
      <c r="T325" s="24" t="n"/>
      <c r="U325" s="25">
        <f>IF(T325="","",HYPERLINK(IF(LEFT(T325,4)="http",T325,set_QwilrBase&amp;T325),"Open quote"))</f>
        <v/>
      </c>
      <c r="V325" s="25">
        <f>IF(C325="","",C325)</f>
        <v/>
      </c>
      <c r="W325" s="24" t="n"/>
      <c r="X325" s="26" t="n"/>
      <c r="Y325" s="27">
        <f>IF(C325="","",H325+N(X325))</f>
        <v/>
      </c>
      <c r="Z325" s="29">
        <f>IFERROR(X325/Y325,"")</f>
        <v/>
      </c>
      <c r="AA325" s="26" t="n"/>
      <c r="AB325" s="26" t="n"/>
      <c r="AC325" s="26" t="n"/>
      <c r="AD325" s="26" t="n"/>
      <c r="AE325" s="27">
        <f>IF(C325="","",SUMIFS(tbl_Finance[Ex GST],tbl_Finance[Job Number],C325&amp;"",tbl_Finance[Cost Centre],"VIDEO"))</f>
        <v/>
      </c>
      <c r="AF325" s="29">
        <f>IFERROR(AE325/H325,"")</f>
        <v/>
      </c>
      <c r="AG325" s="27">
        <f>IF(C325="","",N(AA325)+N(AB325)+N(AC325)+N(AD325))</f>
        <v/>
      </c>
      <c r="AH325" s="27">
        <f>IF(C325="","",H325-AG325)</f>
        <v/>
      </c>
      <c r="AI325" s="29">
        <f>IFERROR(AH325/H325,"")</f>
        <v/>
      </c>
      <c r="AJ325" s="64" t="n"/>
      <c r="AK325" s="64" t="n"/>
      <c r="AL325" s="64" t="n"/>
      <c r="AM325" s="64" t="n"/>
      <c r="AN325" s="64" t="n"/>
      <c r="AO325" s="24" t="n"/>
    </row>
    <row r="326" ht="15" customHeight="1">
      <c r="A326" s="63">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7">
        <f>IF(C326="","",SUMIFS(tbl_Finance[Inc GST],tbl_Finance[Job Number],C326&amp;""))</f>
        <v/>
      </c>
      <c r="M326" s="24" t="n"/>
      <c r="N326" s="25">
        <f>IF(C326="","",IFERROR(INDEX(tbl_Finance[Description],MATCH(C326&amp;"",tbl_Finance[Job Number],0)),""))</f>
        <v/>
      </c>
      <c r="O326" s="24" t="n"/>
      <c r="P326" s="24" t="n"/>
      <c r="Q326" s="22" t="n"/>
      <c r="R326" s="24" t="n"/>
      <c r="S326" s="25">
        <f>IF(R326="","",IF(AND(LEFT(R326,4)&lt;&gt;"http",set_RMSBase=""),"",HYPERLINK(IF(LEFT(R326,4)="http",R326,set_RMSBase&amp;R326),"Open opportunity")))</f>
        <v/>
      </c>
      <c r="T326" s="24" t="n"/>
      <c r="U326" s="25">
        <f>IF(T326="","",HYPERLINK(IF(LEFT(T326,4)="http",T326,set_QwilrBase&amp;T326),"Open quote"))</f>
        <v/>
      </c>
      <c r="V326" s="25">
        <f>IF(C326="","",C326)</f>
        <v/>
      </c>
      <c r="W326" s="24" t="n"/>
      <c r="X326" s="26" t="n"/>
      <c r="Y326" s="27">
        <f>IF(C326="","",H326+N(X326))</f>
        <v/>
      </c>
      <c r="Z326" s="29">
        <f>IFERROR(X326/Y326,"")</f>
        <v/>
      </c>
      <c r="AA326" s="26" t="n"/>
      <c r="AB326" s="26" t="n"/>
      <c r="AC326" s="26" t="n"/>
      <c r="AD326" s="26" t="n"/>
      <c r="AE326" s="27">
        <f>IF(C326="","",SUMIFS(tbl_Finance[Ex GST],tbl_Finance[Job Number],C326&amp;"",tbl_Finance[Cost Centre],"VIDEO"))</f>
        <v/>
      </c>
      <c r="AF326" s="29">
        <f>IFERROR(AE326/H326,"")</f>
        <v/>
      </c>
      <c r="AG326" s="27">
        <f>IF(C326="","",N(AA326)+N(AB326)+N(AC326)+N(AD326))</f>
        <v/>
      </c>
      <c r="AH326" s="27">
        <f>IF(C326="","",H326-AG326)</f>
        <v/>
      </c>
      <c r="AI326" s="29">
        <f>IFERROR(AH326/H326,"")</f>
        <v/>
      </c>
      <c r="AJ326" s="64" t="n"/>
      <c r="AK326" s="64" t="n"/>
      <c r="AL326" s="64" t="n"/>
      <c r="AM326" s="64" t="n"/>
      <c r="AN326" s="64" t="n"/>
      <c r="AO326" s="24" t="n"/>
    </row>
    <row r="327" ht="15" customHeight="1">
      <c r="A327" s="63">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7">
        <f>IF(C327="","",SUMIFS(tbl_Finance[Inc GST],tbl_Finance[Job Number],C327&amp;""))</f>
        <v/>
      </c>
      <c r="M327" s="24" t="n"/>
      <c r="N327" s="25">
        <f>IF(C327="","",IFERROR(INDEX(tbl_Finance[Description],MATCH(C327&amp;"",tbl_Finance[Job Number],0)),""))</f>
        <v/>
      </c>
      <c r="O327" s="24" t="n"/>
      <c r="P327" s="24" t="n"/>
      <c r="Q327" s="22" t="n"/>
      <c r="R327" s="24" t="n"/>
      <c r="S327" s="25">
        <f>IF(R327="","",IF(AND(LEFT(R327,4)&lt;&gt;"http",set_RMSBase=""),"",HYPERLINK(IF(LEFT(R327,4)="http",R327,set_RMSBase&amp;R327),"Open opportunity")))</f>
        <v/>
      </c>
      <c r="T327" s="24" t="n"/>
      <c r="U327" s="25">
        <f>IF(T327="","",HYPERLINK(IF(LEFT(T327,4)="http",T327,set_QwilrBase&amp;T327),"Open quote"))</f>
        <v/>
      </c>
      <c r="V327" s="25">
        <f>IF(C327="","",C327)</f>
        <v/>
      </c>
      <c r="W327" s="24" t="n"/>
      <c r="X327" s="26" t="n"/>
      <c r="Y327" s="27">
        <f>IF(C327="","",H327+N(X327))</f>
        <v/>
      </c>
      <c r="Z327" s="29">
        <f>IFERROR(X327/Y327,"")</f>
        <v/>
      </c>
      <c r="AA327" s="26" t="n"/>
      <c r="AB327" s="26" t="n"/>
      <c r="AC327" s="26" t="n"/>
      <c r="AD327" s="26" t="n"/>
      <c r="AE327" s="27">
        <f>IF(C327="","",SUMIFS(tbl_Finance[Ex GST],tbl_Finance[Job Number],C327&amp;"",tbl_Finance[Cost Centre],"VIDEO"))</f>
        <v/>
      </c>
      <c r="AF327" s="29">
        <f>IFERROR(AE327/H327,"")</f>
        <v/>
      </c>
      <c r="AG327" s="27">
        <f>IF(C327="","",N(AA327)+N(AB327)+N(AC327)+N(AD327))</f>
        <v/>
      </c>
      <c r="AH327" s="27">
        <f>IF(C327="","",H327-AG327)</f>
        <v/>
      </c>
      <c r="AI327" s="29">
        <f>IFERROR(AH327/H327,"")</f>
        <v/>
      </c>
      <c r="AJ327" s="64" t="n"/>
      <c r="AK327" s="64" t="n"/>
      <c r="AL327" s="64" t="n"/>
      <c r="AM327" s="64" t="n"/>
      <c r="AN327" s="64" t="n"/>
      <c r="AO327" s="24" t="n"/>
    </row>
    <row r="328" ht="15" customHeight="1">
      <c r="A328" s="63">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7">
        <f>IF(C328="","",SUMIFS(tbl_Finance[Inc GST],tbl_Finance[Job Number],C328&amp;""))</f>
        <v/>
      </c>
      <c r="M328" s="24" t="n"/>
      <c r="N328" s="25">
        <f>IF(C328="","",IFERROR(INDEX(tbl_Finance[Description],MATCH(C328&amp;"",tbl_Finance[Job Number],0)),""))</f>
        <v/>
      </c>
      <c r="O328" s="24" t="n"/>
      <c r="P328" s="24" t="n"/>
      <c r="Q328" s="22" t="n"/>
      <c r="R328" s="24" t="n"/>
      <c r="S328" s="25">
        <f>IF(R328="","",IF(AND(LEFT(R328,4)&lt;&gt;"http",set_RMSBase=""),"",HYPERLINK(IF(LEFT(R328,4)="http",R328,set_RMSBase&amp;R328),"Open opportunity")))</f>
        <v/>
      </c>
      <c r="T328" s="24" t="n"/>
      <c r="U328" s="25">
        <f>IF(T328="","",HYPERLINK(IF(LEFT(T328,4)="http",T328,set_QwilrBase&amp;T328),"Open quote"))</f>
        <v/>
      </c>
      <c r="V328" s="25">
        <f>IF(C328="","",C328)</f>
        <v/>
      </c>
      <c r="W328" s="24" t="n"/>
      <c r="X328" s="26" t="n"/>
      <c r="Y328" s="27">
        <f>IF(C328="","",H328+N(X328))</f>
        <v/>
      </c>
      <c r="Z328" s="29">
        <f>IFERROR(X328/Y328,"")</f>
        <v/>
      </c>
      <c r="AA328" s="26" t="n"/>
      <c r="AB328" s="26" t="n"/>
      <c r="AC328" s="26" t="n"/>
      <c r="AD328" s="26" t="n"/>
      <c r="AE328" s="27">
        <f>IF(C328="","",SUMIFS(tbl_Finance[Ex GST],tbl_Finance[Job Number],C328&amp;"",tbl_Finance[Cost Centre],"VIDEO"))</f>
        <v/>
      </c>
      <c r="AF328" s="29">
        <f>IFERROR(AE328/H328,"")</f>
        <v/>
      </c>
      <c r="AG328" s="27">
        <f>IF(C328="","",N(AA328)+N(AB328)+N(AC328)+N(AD328))</f>
        <v/>
      </c>
      <c r="AH328" s="27">
        <f>IF(C328="","",H328-AG328)</f>
        <v/>
      </c>
      <c r="AI328" s="29">
        <f>IFERROR(AH328/H328,"")</f>
        <v/>
      </c>
      <c r="AJ328" s="64" t="n"/>
      <c r="AK328" s="64" t="n"/>
      <c r="AL328" s="64" t="n"/>
      <c r="AM328" s="64" t="n"/>
      <c r="AN328" s="64" t="n"/>
      <c r="AO328" s="24" t="n"/>
    </row>
    <row r="329" ht="15" customHeight="1">
      <c r="A329" s="63">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7">
        <f>IF(C329="","",SUMIFS(tbl_Finance[Inc GST],tbl_Finance[Job Number],C329&amp;""))</f>
        <v/>
      </c>
      <c r="M329" s="24" t="n"/>
      <c r="N329" s="25">
        <f>IF(C329="","",IFERROR(INDEX(tbl_Finance[Description],MATCH(C329&amp;"",tbl_Finance[Job Number],0)),""))</f>
        <v/>
      </c>
      <c r="O329" s="24" t="n"/>
      <c r="P329" s="24" t="n"/>
      <c r="Q329" s="22" t="n"/>
      <c r="R329" s="24" t="n"/>
      <c r="S329" s="25">
        <f>IF(R329="","",IF(AND(LEFT(R329,4)&lt;&gt;"http",set_RMSBase=""),"",HYPERLINK(IF(LEFT(R329,4)="http",R329,set_RMSBase&amp;R329),"Open opportunity")))</f>
        <v/>
      </c>
      <c r="T329" s="24" t="n"/>
      <c r="U329" s="25">
        <f>IF(T329="","",HYPERLINK(IF(LEFT(T329,4)="http",T329,set_QwilrBase&amp;T329),"Open quote"))</f>
        <v/>
      </c>
      <c r="V329" s="25">
        <f>IF(C329="","",C329)</f>
        <v/>
      </c>
      <c r="W329" s="24" t="n"/>
      <c r="X329" s="26" t="n"/>
      <c r="Y329" s="27">
        <f>IF(C329="","",H329+N(X329))</f>
        <v/>
      </c>
      <c r="Z329" s="29">
        <f>IFERROR(X329/Y329,"")</f>
        <v/>
      </c>
      <c r="AA329" s="26" t="n"/>
      <c r="AB329" s="26" t="n"/>
      <c r="AC329" s="26" t="n"/>
      <c r="AD329" s="26" t="n"/>
      <c r="AE329" s="27">
        <f>IF(C329="","",SUMIFS(tbl_Finance[Ex GST],tbl_Finance[Job Number],C329&amp;"",tbl_Finance[Cost Centre],"VIDEO"))</f>
        <v/>
      </c>
      <c r="AF329" s="29">
        <f>IFERROR(AE329/H329,"")</f>
        <v/>
      </c>
      <c r="AG329" s="27">
        <f>IF(C329="","",N(AA329)+N(AB329)+N(AC329)+N(AD329))</f>
        <v/>
      </c>
      <c r="AH329" s="27">
        <f>IF(C329="","",H329-AG329)</f>
        <v/>
      </c>
      <c r="AI329" s="29">
        <f>IFERROR(AH329/H329,"")</f>
        <v/>
      </c>
      <c r="AJ329" s="64" t="n"/>
      <c r="AK329" s="64" t="n"/>
      <c r="AL329" s="64" t="n"/>
      <c r="AM329" s="64" t="n"/>
      <c r="AN329" s="64" t="n"/>
      <c r="AO329" s="24" t="n"/>
    </row>
    <row r="330" ht="15" customHeight="1">
      <c r="A330" s="63">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7">
        <f>IF(C330="","",SUMIFS(tbl_Finance[Inc GST],tbl_Finance[Job Number],C330&amp;""))</f>
        <v/>
      </c>
      <c r="M330" s="24" t="n"/>
      <c r="N330" s="25">
        <f>IF(C330="","",IFERROR(INDEX(tbl_Finance[Description],MATCH(C330&amp;"",tbl_Finance[Job Number],0)),""))</f>
        <v/>
      </c>
      <c r="O330" s="24" t="n"/>
      <c r="P330" s="24" t="n"/>
      <c r="Q330" s="22" t="n"/>
      <c r="R330" s="24" t="n"/>
      <c r="S330" s="25">
        <f>IF(R330="","",IF(AND(LEFT(R330,4)&lt;&gt;"http",set_RMSBase=""),"",HYPERLINK(IF(LEFT(R330,4)="http",R330,set_RMSBase&amp;R330),"Open opportunity")))</f>
        <v/>
      </c>
      <c r="T330" s="24" t="n"/>
      <c r="U330" s="25">
        <f>IF(T330="","",HYPERLINK(IF(LEFT(T330,4)="http",T330,set_QwilrBase&amp;T330),"Open quote"))</f>
        <v/>
      </c>
      <c r="V330" s="25">
        <f>IF(C330="","",C330)</f>
        <v/>
      </c>
      <c r="W330" s="24" t="n"/>
      <c r="X330" s="26" t="n"/>
      <c r="Y330" s="27">
        <f>IF(C330="","",H330+N(X330))</f>
        <v/>
      </c>
      <c r="Z330" s="29">
        <f>IFERROR(X330/Y330,"")</f>
        <v/>
      </c>
      <c r="AA330" s="26" t="n"/>
      <c r="AB330" s="26" t="n"/>
      <c r="AC330" s="26" t="n"/>
      <c r="AD330" s="26" t="n"/>
      <c r="AE330" s="27">
        <f>IF(C330="","",SUMIFS(tbl_Finance[Ex GST],tbl_Finance[Job Number],C330&amp;"",tbl_Finance[Cost Centre],"VIDEO"))</f>
        <v/>
      </c>
      <c r="AF330" s="29">
        <f>IFERROR(AE330/H330,"")</f>
        <v/>
      </c>
      <c r="AG330" s="27">
        <f>IF(C330="","",N(AA330)+N(AB330)+N(AC330)+N(AD330))</f>
        <v/>
      </c>
      <c r="AH330" s="27">
        <f>IF(C330="","",H330-AG330)</f>
        <v/>
      </c>
      <c r="AI330" s="29">
        <f>IFERROR(AH330/H330,"")</f>
        <v/>
      </c>
      <c r="AJ330" s="64" t="n"/>
      <c r="AK330" s="64" t="n"/>
      <c r="AL330" s="64" t="n"/>
      <c r="AM330" s="64" t="n"/>
      <c r="AN330" s="64" t="n"/>
      <c r="AO330" s="24" t="n"/>
    </row>
    <row r="331" ht="15" customHeight="1">
      <c r="A331" s="63">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7">
        <f>IF(C331="","",SUMIFS(tbl_Finance[Inc GST],tbl_Finance[Job Number],C331&amp;""))</f>
        <v/>
      </c>
      <c r="M331" s="24" t="n"/>
      <c r="N331" s="25">
        <f>IF(C331="","",IFERROR(INDEX(tbl_Finance[Description],MATCH(C331&amp;"",tbl_Finance[Job Number],0)),""))</f>
        <v/>
      </c>
      <c r="O331" s="24" t="n"/>
      <c r="P331" s="24" t="n"/>
      <c r="Q331" s="22" t="n"/>
      <c r="R331" s="24" t="n"/>
      <c r="S331" s="25">
        <f>IF(R331="","",IF(AND(LEFT(R331,4)&lt;&gt;"http",set_RMSBase=""),"",HYPERLINK(IF(LEFT(R331,4)="http",R331,set_RMSBase&amp;R331),"Open opportunity")))</f>
        <v/>
      </c>
      <c r="T331" s="24" t="n"/>
      <c r="U331" s="25">
        <f>IF(T331="","",HYPERLINK(IF(LEFT(T331,4)="http",T331,set_QwilrBase&amp;T331),"Open quote"))</f>
        <v/>
      </c>
      <c r="V331" s="25">
        <f>IF(C331="","",C331)</f>
        <v/>
      </c>
      <c r="W331" s="24" t="n"/>
      <c r="X331" s="26" t="n"/>
      <c r="Y331" s="27">
        <f>IF(C331="","",H331+N(X331))</f>
        <v/>
      </c>
      <c r="Z331" s="29">
        <f>IFERROR(X331/Y331,"")</f>
        <v/>
      </c>
      <c r="AA331" s="26" t="n"/>
      <c r="AB331" s="26" t="n"/>
      <c r="AC331" s="26" t="n"/>
      <c r="AD331" s="26" t="n"/>
      <c r="AE331" s="27">
        <f>IF(C331="","",SUMIFS(tbl_Finance[Ex GST],tbl_Finance[Job Number],C331&amp;"",tbl_Finance[Cost Centre],"VIDEO"))</f>
        <v/>
      </c>
      <c r="AF331" s="29">
        <f>IFERROR(AE331/H331,"")</f>
        <v/>
      </c>
      <c r="AG331" s="27">
        <f>IF(C331="","",N(AA331)+N(AB331)+N(AC331)+N(AD331))</f>
        <v/>
      </c>
      <c r="AH331" s="27">
        <f>IF(C331="","",H331-AG331)</f>
        <v/>
      </c>
      <c r="AI331" s="29">
        <f>IFERROR(AH331/H331,"")</f>
        <v/>
      </c>
      <c r="AJ331" s="64" t="n"/>
      <c r="AK331" s="64" t="n"/>
      <c r="AL331" s="64" t="n"/>
      <c r="AM331" s="64" t="n"/>
      <c r="AN331" s="64" t="n"/>
      <c r="AO331" s="24" t="n"/>
    </row>
    <row r="332" ht="15" customHeight="1">
      <c r="A332" s="63">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7">
        <f>IF(C332="","",SUMIFS(tbl_Finance[Inc GST],tbl_Finance[Job Number],C332&amp;""))</f>
        <v/>
      </c>
      <c r="M332" s="24" t="n"/>
      <c r="N332" s="25">
        <f>IF(C332="","",IFERROR(INDEX(tbl_Finance[Description],MATCH(C332&amp;"",tbl_Finance[Job Number],0)),""))</f>
        <v/>
      </c>
      <c r="O332" s="24" t="n"/>
      <c r="P332" s="24" t="n"/>
      <c r="Q332" s="22" t="n"/>
      <c r="R332" s="24" t="n"/>
      <c r="S332" s="25">
        <f>IF(R332="","",IF(AND(LEFT(R332,4)&lt;&gt;"http",set_RMSBase=""),"",HYPERLINK(IF(LEFT(R332,4)="http",R332,set_RMSBase&amp;R332),"Open opportunity")))</f>
        <v/>
      </c>
      <c r="T332" s="24" t="n"/>
      <c r="U332" s="25">
        <f>IF(T332="","",HYPERLINK(IF(LEFT(T332,4)="http",T332,set_QwilrBase&amp;T332),"Open quote"))</f>
        <v/>
      </c>
      <c r="V332" s="25">
        <f>IF(C332="","",C332)</f>
        <v/>
      </c>
      <c r="W332" s="24" t="n"/>
      <c r="X332" s="26" t="n"/>
      <c r="Y332" s="27">
        <f>IF(C332="","",H332+N(X332))</f>
        <v/>
      </c>
      <c r="Z332" s="29">
        <f>IFERROR(X332/Y332,"")</f>
        <v/>
      </c>
      <c r="AA332" s="26" t="n"/>
      <c r="AB332" s="26" t="n"/>
      <c r="AC332" s="26" t="n"/>
      <c r="AD332" s="26" t="n"/>
      <c r="AE332" s="27">
        <f>IF(C332="","",SUMIFS(tbl_Finance[Ex GST],tbl_Finance[Job Number],C332&amp;"",tbl_Finance[Cost Centre],"VIDEO"))</f>
        <v/>
      </c>
      <c r="AF332" s="29">
        <f>IFERROR(AE332/H332,"")</f>
        <v/>
      </c>
      <c r="AG332" s="27">
        <f>IF(C332="","",N(AA332)+N(AB332)+N(AC332)+N(AD332))</f>
        <v/>
      </c>
      <c r="AH332" s="27">
        <f>IF(C332="","",H332-AG332)</f>
        <v/>
      </c>
      <c r="AI332" s="29">
        <f>IFERROR(AH332/H332,"")</f>
        <v/>
      </c>
      <c r="AJ332" s="64" t="n"/>
      <c r="AK332" s="64" t="n"/>
      <c r="AL332" s="64" t="n"/>
      <c r="AM332" s="64" t="n"/>
      <c r="AN332" s="64" t="n"/>
      <c r="AO332" s="24" t="n"/>
    </row>
    <row r="333" ht="15" customHeight="1">
      <c r="A333" s="63">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7">
        <f>IF(C333="","",SUMIFS(tbl_Finance[Inc GST],tbl_Finance[Job Number],C333&amp;""))</f>
        <v/>
      </c>
      <c r="M333" s="24" t="n"/>
      <c r="N333" s="25">
        <f>IF(C333="","",IFERROR(INDEX(tbl_Finance[Description],MATCH(C333&amp;"",tbl_Finance[Job Number],0)),""))</f>
        <v/>
      </c>
      <c r="O333" s="24" t="n"/>
      <c r="P333" s="24" t="n"/>
      <c r="Q333" s="22" t="n"/>
      <c r="R333" s="24" t="n"/>
      <c r="S333" s="25">
        <f>IF(R333="","",IF(AND(LEFT(R333,4)&lt;&gt;"http",set_RMSBase=""),"",HYPERLINK(IF(LEFT(R333,4)="http",R333,set_RMSBase&amp;R333),"Open opportunity")))</f>
        <v/>
      </c>
      <c r="T333" s="24" t="n"/>
      <c r="U333" s="25">
        <f>IF(T333="","",HYPERLINK(IF(LEFT(T333,4)="http",T333,set_QwilrBase&amp;T333),"Open quote"))</f>
        <v/>
      </c>
      <c r="V333" s="25">
        <f>IF(C333="","",C333)</f>
        <v/>
      </c>
      <c r="W333" s="24" t="n"/>
      <c r="X333" s="26" t="n"/>
      <c r="Y333" s="27">
        <f>IF(C333="","",H333+N(X333))</f>
        <v/>
      </c>
      <c r="Z333" s="29">
        <f>IFERROR(X333/Y333,"")</f>
        <v/>
      </c>
      <c r="AA333" s="26" t="n"/>
      <c r="AB333" s="26" t="n"/>
      <c r="AC333" s="26" t="n"/>
      <c r="AD333" s="26" t="n"/>
      <c r="AE333" s="27">
        <f>IF(C333="","",SUMIFS(tbl_Finance[Ex GST],tbl_Finance[Job Number],C333&amp;"",tbl_Finance[Cost Centre],"VIDEO"))</f>
        <v/>
      </c>
      <c r="AF333" s="29">
        <f>IFERROR(AE333/H333,"")</f>
        <v/>
      </c>
      <c r="AG333" s="27">
        <f>IF(C333="","",N(AA333)+N(AB333)+N(AC333)+N(AD333))</f>
        <v/>
      </c>
      <c r="AH333" s="27">
        <f>IF(C333="","",H333-AG333)</f>
        <v/>
      </c>
      <c r="AI333" s="29">
        <f>IFERROR(AH333/H333,"")</f>
        <v/>
      </c>
      <c r="AJ333" s="64" t="n"/>
      <c r="AK333" s="64" t="n"/>
      <c r="AL333" s="64" t="n"/>
      <c r="AM333" s="64" t="n"/>
      <c r="AN333" s="64" t="n"/>
      <c r="AO333" s="24" t="n"/>
    </row>
    <row r="334" ht="15" customHeight="1">
      <c r="A334" s="63">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7">
        <f>IF(C334="","",SUMIFS(tbl_Finance[Inc GST],tbl_Finance[Job Number],C334&amp;""))</f>
        <v/>
      </c>
      <c r="M334" s="24" t="n"/>
      <c r="N334" s="25">
        <f>IF(C334="","",IFERROR(INDEX(tbl_Finance[Description],MATCH(C334&amp;"",tbl_Finance[Job Number],0)),""))</f>
        <v/>
      </c>
      <c r="O334" s="24" t="n"/>
      <c r="P334" s="24" t="n"/>
      <c r="Q334" s="22" t="n"/>
      <c r="R334" s="24" t="n"/>
      <c r="S334" s="25">
        <f>IF(R334="","",IF(AND(LEFT(R334,4)&lt;&gt;"http",set_RMSBase=""),"",HYPERLINK(IF(LEFT(R334,4)="http",R334,set_RMSBase&amp;R334),"Open opportunity")))</f>
        <v/>
      </c>
      <c r="T334" s="24" t="n"/>
      <c r="U334" s="25">
        <f>IF(T334="","",HYPERLINK(IF(LEFT(T334,4)="http",T334,set_QwilrBase&amp;T334),"Open quote"))</f>
        <v/>
      </c>
      <c r="V334" s="25">
        <f>IF(C334="","",C334)</f>
        <v/>
      </c>
      <c r="W334" s="24" t="n"/>
      <c r="X334" s="26" t="n"/>
      <c r="Y334" s="27">
        <f>IF(C334="","",H334+N(X334))</f>
        <v/>
      </c>
      <c r="Z334" s="29">
        <f>IFERROR(X334/Y334,"")</f>
        <v/>
      </c>
      <c r="AA334" s="26" t="n"/>
      <c r="AB334" s="26" t="n"/>
      <c r="AC334" s="26" t="n"/>
      <c r="AD334" s="26" t="n"/>
      <c r="AE334" s="27">
        <f>IF(C334="","",SUMIFS(tbl_Finance[Ex GST],tbl_Finance[Job Number],C334&amp;"",tbl_Finance[Cost Centre],"VIDEO"))</f>
        <v/>
      </c>
      <c r="AF334" s="29">
        <f>IFERROR(AE334/H334,"")</f>
        <v/>
      </c>
      <c r="AG334" s="27">
        <f>IF(C334="","",N(AA334)+N(AB334)+N(AC334)+N(AD334))</f>
        <v/>
      </c>
      <c r="AH334" s="27">
        <f>IF(C334="","",H334-AG334)</f>
        <v/>
      </c>
      <c r="AI334" s="29">
        <f>IFERROR(AH334/H334,"")</f>
        <v/>
      </c>
      <c r="AJ334" s="64" t="n"/>
      <c r="AK334" s="64" t="n"/>
      <c r="AL334" s="64" t="n"/>
      <c r="AM334" s="64" t="n"/>
      <c r="AN334" s="64" t="n"/>
      <c r="AO334" s="24" t="n"/>
    </row>
    <row r="335" ht="15" customHeight="1">
      <c r="A335" s="63">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7">
        <f>IF(C335="","",SUMIFS(tbl_Finance[Inc GST],tbl_Finance[Job Number],C335&amp;""))</f>
        <v/>
      </c>
      <c r="M335" s="24" t="n"/>
      <c r="N335" s="25">
        <f>IF(C335="","",IFERROR(INDEX(tbl_Finance[Description],MATCH(C335&amp;"",tbl_Finance[Job Number],0)),""))</f>
        <v/>
      </c>
      <c r="O335" s="24" t="n"/>
      <c r="P335" s="24" t="n"/>
      <c r="Q335" s="22" t="n"/>
      <c r="R335" s="24" t="n"/>
      <c r="S335" s="25">
        <f>IF(R335="","",IF(AND(LEFT(R335,4)&lt;&gt;"http",set_RMSBase=""),"",HYPERLINK(IF(LEFT(R335,4)="http",R335,set_RMSBase&amp;R335),"Open opportunity")))</f>
        <v/>
      </c>
      <c r="T335" s="24" t="n"/>
      <c r="U335" s="25">
        <f>IF(T335="","",HYPERLINK(IF(LEFT(T335,4)="http",T335,set_QwilrBase&amp;T335),"Open quote"))</f>
        <v/>
      </c>
      <c r="V335" s="25">
        <f>IF(C335="","",C335)</f>
        <v/>
      </c>
      <c r="W335" s="24" t="n"/>
      <c r="X335" s="26" t="n"/>
      <c r="Y335" s="27">
        <f>IF(C335="","",H335+N(X335))</f>
        <v/>
      </c>
      <c r="Z335" s="29">
        <f>IFERROR(X335/Y335,"")</f>
        <v/>
      </c>
      <c r="AA335" s="26" t="n"/>
      <c r="AB335" s="26" t="n"/>
      <c r="AC335" s="26" t="n"/>
      <c r="AD335" s="26" t="n"/>
      <c r="AE335" s="27">
        <f>IF(C335="","",SUMIFS(tbl_Finance[Ex GST],tbl_Finance[Job Number],C335&amp;"",tbl_Finance[Cost Centre],"VIDEO"))</f>
        <v/>
      </c>
      <c r="AF335" s="29">
        <f>IFERROR(AE335/H335,"")</f>
        <v/>
      </c>
      <c r="AG335" s="27">
        <f>IF(C335="","",N(AA335)+N(AB335)+N(AC335)+N(AD335))</f>
        <v/>
      </c>
      <c r="AH335" s="27">
        <f>IF(C335="","",H335-AG335)</f>
        <v/>
      </c>
      <c r="AI335" s="29">
        <f>IFERROR(AH335/H335,"")</f>
        <v/>
      </c>
      <c r="AJ335" s="64" t="n"/>
      <c r="AK335" s="64" t="n"/>
      <c r="AL335" s="64" t="n"/>
      <c r="AM335" s="64" t="n"/>
      <c r="AN335" s="64" t="n"/>
      <c r="AO335" s="24" t="n"/>
    </row>
    <row r="336" ht="15" customHeight="1">
      <c r="A336" s="63">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7">
        <f>IF(C336="","",SUMIFS(tbl_Finance[Inc GST],tbl_Finance[Job Number],C336&amp;""))</f>
        <v/>
      </c>
      <c r="M336" s="24" t="n"/>
      <c r="N336" s="25">
        <f>IF(C336="","",IFERROR(INDEX(tbl_Finance[Description],MATCH(C336&amp;"",tbl_Finance[Job Number],0)),""))</f>
        <v/>
      </c>
      <c r="O336" s="24" t="n"/>
      <c r="P336" s="24" t="n"/>
      <c r="Q336" s="22" t="n"/>
      <c r="R336" s="24" t="n"/>
      <c r="S336" s="25">
        <f>IF(R336="","",IF(AND(LEFT(R336,4)&lt;&gt;"http",set_RMSBase=""),"",HYPERLINK(IF(LEFT(R336,4)="http",R336,set_RMSBase&amp;R336),"Open opportunity")))</f>
        <v/>
      </c>
      <c r="T336" s="24" t="n"/>
      <c r="U336" s="25">
        <f>IF(T336="","",HYPERLINK(IF(LEFT(T336,4)="http",T336,set_QwilrBase&amp;T336),"Open quote"))</f>
        <v/>
      </c>
      <c r="V336" s="25">
        <f>IF(C336="","",C336)</f>
        <v/>
      </c>
      <c r="W336" s="24" t="n"/>
      <c r="X336" s="26" t="n"/>
      <c r="Y336" s="27">
        <f>IF(C336="","",H336+N(X336))</f>
        <v/>
      </c>
      <c r="Z336" s="29">
        <f>IFERROR(X336/Y336,"")</f>
        <v/>
      </c>
      <c r="AA336" s="26" t="n"/>
      <c r="AB336" s="26" t="n"/>
      <c r="AC336" s="26" t="n"/>
      <c r="AD336" s="26" t="n"/>
      <c r="AE336" s="27">
        <f>IF(C336="","",SUMIFS(tbl_Finance[Ex GST],tbl_Finance[Job Number],C336&amp;"",tbl_Finance[Cost Centre],"VIDEO"))</f>
        <v/>
      </c>
      <c r="AF336" s="29">
        <f>IFERROR(AE336/H336,"")</f>
        <v/>
      </c>
      <c r="AG336" s="27">
        <f>IF(C336="","",N(AA336)+N(AB336)+N(AC336)+N(AD336))</f>
        <v/>
      </c>
      <c r="AH336" s="27">
        <f>IF(C336="","",H336-AG336)</f>
        <v/>
      </c>
      <c r="AI336" s="29">
        <f>IFERROR(AH336/H336,"")</f>
        <v/>
      </c>
      <c r="AJ336" s="64" t="n"/>
      <c r="AK336" s="64" t="n"/>
      <c r="AL336" s="64" t="n"/>
      <c r="AM336" s="64" t="n"/>
      <c r="AN336" s="64" t="n"/>
      <c r="AO336" s="24" t="n"/>
    </row>
    <row r="337" ht="15" customHeight="1">
      <c r="A337" s="63">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7">
        <f>IF(C337="","",SUMIFS(tbl_Finance[Inc GST],tbl_Finance[Job Number],C337&amp;""))</f>
        <v/>
      </c>
      <c r="M337" s="24" t="n"/>
      <c r="N337" s="25">
        <f>IF(C337="","",IFERROR(INDEX(tbl_Finance[Description],MATCH(C337&amp;"",tbl_Finance[Job Number],0)),""))</f>
        <v/>
      </c>
      <c r="O337" s="24" t="n"/>
      <c r="P337" s="24" t="n"/>
      <c r="Q337" s="22" t="n"/>
      <c r="R337" s="24" t="n"/>
      <c r="S337" s="25">
        <f>IF(R337="","",IF(AND(LEFT(R337,4)&lt;&gt;"http",set_RMSBase=""),"",HYPERLINK(IF(LEFT(R337,4)="http",R337,set_RMSBase&amp;R337),"Open opportunity")))</f>
        <v/>
      </c>
      <c r="T337" s="24" t="n"/>
      <c r="U337" s="25">
        <f>IF(T337="","",HYPERLINK(IF(LEFT(T337,4)="http",T337,set_QwilrBase&amp;T337),"Open quote"))</f>
        <v/>
      </c>
      <c r="V337" s="25">
        <f>IF(C337="","",C337)</f>
        <v/>
      </c>
      <c r="W337" s="24" t="n"/>
      <c r="X337" s="26" t="n"/>
      <c r="Y337" s="27">
        <f>IF(C337="","",H337+N(X337))</f>
        <v/>
      </c>
      <c r="Z337" s="29">
        <f>IFERROR(X337/Y337,"")</f>
        <v/>
      </c>
      <c r="AA337" s="26" t="n"/>
      <c r="AB337" s="26" t="n"/>
      <c r="AC337" s="26" t="n"/>
      <c r="AD337" s="26" t="n"/>
      <c r="AE337" s="27">
        <f>IF(C337="","",SUMIFS(tbl_Finance[Ex GST],tbl_Finance[Job Number],C337&amp;"",tbl_Finance[Cost Centre],"VIDEO"))</f>
        <v/>
      </c>
      <c r="AF337" s="29">
        <f>IFERROR(AE337/H337,"")</f>
        <v/>
      </c>
      <c r="AG337" s="27">
        <f>IF(C337="","",N(AA337)+N(AB337)+N(AC337)+N(AD337))</f>
        <v/>
      </c>
      <c r="AH337" s="27">
        <f>IF(C337="","",H337-AG337)</f>
        <v/>
      </c>
      <c r="AI337" s="29">
        <f>IFERROR(AH337/H337,"")</f>
        <v/>
      </c>
      <c r="AJ337" s="64" t="n"/>
      <c r="AK337" s="64" t="n"/>
      <c r="AL337" s="64" t="n"/>
      <c r="AM337" s="64" t="n"/>
      <c r="AN337" s="64" t="n"/>
      <c r="AO337" s="24" t="n"/>
    </row>
    <row r="338" ht="15" customHeight="1">
      <c r="A338" s="63">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7">
        <f>IF(C338="","",SUMIFS(tbl_Finance[Inc GST],tbl_Finance[Job Number],C338&amp;""))</f>
        <v/>
      </c>
      <c r="M338" s="24" t="n"/>
      <c r="N338" s="25">
        <f>IF(C338="","",IFERROR(INDEX(tbl_Finance[Description],MATCH(C338&amp;"",tbl_Finance[Job Number],0)),""))</f>
        <v/>
      </c>
      <c r="O338" s="24" t="n"/>
      <c r="P338" s="24" t="n"/>
      <c r="Q338" s="22" t="n"/>
      <c r="R338" s="24" t="n"/>
      <c r="S338" s="25">
        <f>IF(R338="","",IF(AND(LEFT(R338,4)&lt;&gt;"http",set_RMSBase=""),"",HYPERLINK(IF(LEFT(R338,4)="http",R338,set_RMSBase&amp;R338),"Open opportunity")))</f>
        <v/>
      </c>
      <c r="T338" s="24" t="n"/>
      <c r="U338" s="25">
        <f>IF(T338="","",HYPERLINK(IF(LEFT(T338,4)="http",T338,set_QwilrBase&amp;T338),"Open quote"))</f>
        <v/>
      </c>
      <c r="V338" s="25">
        <f>IF(C338="","",C338)</f>
        <v/>
      </c>
      <c r="W338" s="24" t="n"/>
      <c r="X338" s="26" t="n"/>
      <c r="Y338" s="27">
        <f>IF(C338="","",H338+N(X338))</f>
        <v/>
      </c>
      <c r="Z338" s="29">
        <f>IFERROR(X338/Y338,"")</f>
        <v/>
      </c>
      <c r="AA338" s="26" t="n"/>
      <c r="AB338" s="26" t="n"/>
      <c r="AC338" s="26" t="n"/>
      <c r="AD338" s="26" t="n"/>
      <c r="AE338" s="27">
        <f>IF(C338="","",SUMIFS(tbl_Finance[Ex GST],tbl_Finance[Job Number],C338&amp;"",tbl_Finance[Cost Centre],"VIDEO"))</f>
        <v/>
      </c>
      <c r="AF338" s="29">
        <f>IFERROR(AE338/H338,"")</f>
        <v/>
      </c>
      <c r="AG338" s="27">
        <f>IF(C338="","",N(AA338)+N(AB338)+N(AC338)+N(AD338))</f>
        <v/>
      </c>
      <c r="AH338" s="27">
        <f>IF(C338="","",H338-AG338)</f>
        <v/>
      </c>
      <c r="AI338" s="29">
        <f>IFERROR(AH338/H338,"")</f>
        <v/>
      </c>
      <c r="AJ338" s="64" t="n"/>
      <c r="AK338" s="64" t="n"/>
      <c r="AL338" s="64" t="n"/>
      <c r="AM338" s="64" t="n"/>
      <c r="AN338" s="64" t="n"/>
      <c r="AO338" s="24" t="n"/>
    </row>
    <row r="339" ht="15" customHeight="1">
      <c r="A339" s="63">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7">
        <f>IF(C339="","",SUMIFS(tbl_Finance[Inc GST],tbl_Finance[Job Number],C339&amp;""))</f>
        <v/>
      </c>
      <c r="M339" s="24" t="n"/>
      <c r="N339" s="25">
        <f>IF(C339="","",IFERROR(INDEX(tbl_Finance[Description],MATCH(C339&amp;"",tbl_Finance[Job Number],0)),""))</f>
        <v/>
      </c>
      <c r="O339" s="24" t="n"/>
      <c r="P339" s="24" t="n"/>
      <c r="Q339" s="22" t="n"/>
      <c r="R339" s="24" t="n"/>
      <c r="S339" s="25">
        <f>IF(R339="","",IF(AND(LEFT(R339,4)&lt;&gt;"http",set_RMSBase=""),"",HYPERLINK(IF(LEFT(R339,4)="http",R339,set_RMSBase&amp;R339),"Open opportunity")))</f>
        <v/>
      </c>
      <c r="T339" s="24" t="n"/>
      <c r="U339" s="25">
        <f>IF(T339="","",HYPERLINK(IF(LEFT(T339,4)="http",T339,set_QwilrBase&amp;T339),"Open quote"))</f>
        <v/>
      </c>
      <c r="V339" s="25">
        <f>IF(C339="","",C339)</f>
        <v/>
      </c>
      <c r="W339" s="24" t="n"/>
      <c r="X339" s="26" t="n"/>
      <c r="Y339" s="27">
        <f>IF(C339="","",H339+N(X339))</f>
        <v/>
      </c>
      <c r="Z339" s="29">
        <f>IFERROR(X339/Y339,"")</f>
        <v/>
      </c>
      <c r="AA339" s="26" t="n"/>
      <c r="AB339" s="26" t="n"/>
      <c r="AC339" s="26" t="n"/>
      <c r="AD339" s="26" t="n"/>
      <c r="AE339" s="27">
        <f>IF(C339="","",SUMIFS(tbl_Finance[Ex GST],tbl_Finance[Job Number],C339&amp;"",tbl_Finance[Cost Centre],"VIDEO"))</f>
        <v/>
      </c>
      <c r="AF339" s="29">
        <f>IFERROR(AE339/H339,"")</f>
        <v/>
      </c>
      <c r="AG339" s="27">
        <f>IF(C339="","",N(AA339)+N(AB339)+N(AC339)+N(AD339))</f>
        <v/>
      </c>
      <c r="AH339" s="27">
        <f>IF(C339="","",H339-AG339)</f>
        <v/>
      </c>
      <c r="AI339" s="29">
        <f>IFERROR(AH339/H339,"")</f>
        <v/>
      </c>
      <c r="AJ339" s="64" t="n"/>
      <c r="AK339" s="64" t="n"/>
      <c r="AL339" s="64" t="n"/>
      <c r="AM339" s="64" t="n"/>
      <c r="AN339" s="64" t="n"/>
      <c r="AO339" s="24" t="n"/>
    </row>
    <row r="340" ht="15" customHeight="1">
      <c r="A340" s="63">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7">
        <f>IF(C340="","",SUMIFS(tbl_Finance[Inc GST],tbl_Finance[Job Number],C340&amp;""))</f>
        <v/>
      </c>
      <c r="M340" s="24" t="n"/>
      <c r="N340" s="25">
        <f>IF(C340="","",IFERROR(INDEX(tbl_Finance[Description],MATCH(C340&amp;"",tbl_Finance[Job Number],0)),""))</f>
        <v/>
      </c>
      <c r="O340" s="24" t="n"/>
      <c r="P340" s="24" t="n"/>
      <c r="Q340" s="22" t="n"/>
      <c r="R340" s="24" t="n"/>
      <c r="S340" s="25">
        <f>IF(R340="","",IF(AND(LEFT(R340,4)&lt;&gt;"http",set_RMSBase=""),"",HYPERLINK(IF(LEFT(R340,4)="http",R340,set_RMSBase&amp;R340),"Open opportunity")))</f>
        <v/>
      </c>
      <c r="T340" s="24" t="n"/>
      <c r="U340" s="25">
        <f>IF(T340="","",HYPERLINK(IF(LEFT(T340,4)="http",T340,set_QwilrBase&amp;T340),"Open quote"))</f>
        <v/>
      </c>
      <c r="V340" s="25">
        <f>IF(C340="","",C340)</f>
        <v/>
      </c>
      <c r="W340" s="24" t="n"/>
      <c r="X340" s="26" t="n"/>
      <c r="Y340" s="27">
        <f>IF(C340="","",H340+N(X340))</f>
        <v/>
      </c>
      <c r="Z340" s="29">
        <f>IFERROR(X340/Y340,"")</f>
        <v/>
      </c>
      <c r="AA340" s="26" t="n"/>
      <c r="AB340" s="26" t="n"/>
      <c r="AC340" s="26" t="n"/>
      <c r="AD340" s="26" t="n"/>
      <c r="AE340" s="27">
        <f>IF(C340="","",SUMIFS(tbl_Finance[Ex GST],tbl_Finance[Job Number],C340&amp;"",tbl_Finance[Cost Centre],"VIDEO"))</f>
        <v/>
      </c>
      <c r="AF340" s="29">
        <f>IFERROR(AE340/H340,"")</f>
        <v/>
      </c>
      <c r="AG340" s="27">
        <f>IF(C340="","",N(AA340)+N(AB340)+N(AC340)+N(AD340))</f>
        <v/>
      </c>
      <c r="AH340" s="27">
        <f>IF(C340="","",H340-AG340)</f>
        <v/>
      </c>
      <c r="AI340" s="29">
        <f>IFERROR(AH340/H340,"")</f>
        <v/>
      </c>
      <c r="AJ340" s="64" t="n"/>
      <c r="AK340" s="64" t="n"/>
      <c r="AL340" s="64" t="n"/>
      <c r="AM340" s="64" t="n"/>
      <c r="AN340" s="64" t="n"/>
      <c r="AO340" s="24" t="n"/>
    </row>
    <row r="341" ht="15" customHeight="1">
      <c r="A341" s="63">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7">
        <f>IF(C341="","",SUMIFS(tbl_Finance[Inc GST],tbl_Finance[Job Number],C341&amp;""))</f>
        <v/>
      </c>
      <c r="M341" s="24" t="n"/>
      <c r="N341" s="25">
        <f>IF(C341="","",IFERROR(INDEX(tbl_Finance[Description],MATCH(C341&amp;"",tbl_Finance[Job Number],0)),""))</f>
        <v/>
      </c>
      <c r="O341" s="24" t="n"/>
      <c r="P341" s="24" t="n"/>
      <c r="Q341" s="22" t="n"/>
      <c r="R341" s="24" t="n"/>
      <c r="S341" s="25">
        <f>IF(R341="","",IF(AND(LEFT(R341,4)&lt;&gt;"http",set_RMSBase=""),"",HYPERLINK(IF(LEFT(R341,4)="http",R341,set_RMSBase&amp;R341),"Open opportunity")))</f>
        <v/>
      </c>
      <c r="T341" s="24" t="n"/>
      <c r="U341" s="25">
        <f>IF(T341="","",HYPERLINK(IF(LEFT(T341,4)="http",T341,set_QwilrBase&amp;T341),"Open quote"))</f>
        <v/>
      </c>
      <c r="V341" s="25">
        <f>IF(C341="","",C341)</f>
        <v/>
      </c>
      <c r="W341" s="24" t="n"/>
      <c r="X341" s="26" t="n"/>
      <c r="Y341" s="27">
        <f>IF(C341="","",H341+N(X341))</f>
        <v/>
      </c>
      <c r="Z341" s="29">
        <f>IFERROR(X341/Y341,"")</f>
        <v/>
      </c>
      <c r="AA341" s="26" t="n"/>
      <c r="AB341" s="26" t="n"/>
      <c r="AC341" s="26" t="n"/>
      <c r="AD341" s="26" t="n"/>
      <c r="AE341" s="27">
        <f>IF(C341="","",SUMIFS(tbl_Finance[Ex GST],tbl_Finance[Job Number],C341&amp;"",tbl_Finance[Cost Centre],"VIDEO"))</f>
        <v/>
      </c>
      <c r="AF341" s="29">
        <f>IFERROR(AE341/H341,"")</f>
        <v/>
      </c>
      <c r="AG341" s="27">
        <f>IF(C341="","",N(AA341)+N(AB341)+N(AC341)+N(AD341))</f>
        <v/>
      </c>
      <c r="AH341" s="27">
        <f>IF(C341="","",H341-AG341)</f>
        <v/>
      </c>
      <c r="AI341" s="29">
        <f>IFERROR(AH341/H341,"")</f>
        <v/>
      </c>
      <c r="AJ341" s="64" t="n"/>
      <c r="AK341" s="64" t="n"/>
      <c r="AL341" s="64" t="n"/>
      <c r="AM341" s="64" t="n"/>
      <c r="AN341" s="64" t="n"/>
      <c r="AO341" s="24" t="n"/>
    </row>
    <row r="342" ht="15" customHeight="1">
      <c r="A342" s="63">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7">
        <f>IF(C342="","",SUMIFS(tbl_Finance[Inc GST],tbl_Finance[Job Number],C342&amp;""))</f>
        <v/>
      </c>
      <c r="M342" s="24" t="n"/>
      <c r="N342" s="25">
        <f>IF(C342="","",IFERROR(INDEX(tbl_Finance[Description],MATCH(C342&amp;"",tbl_Finance[Job Number],0)),""))</f>
        <v/>
      </c>
      <c r="O342" s="24" t="n"/>
      <c r="P342" s="24" t="n"/>
      <c r="Q342" s="22" t="n"/>
      <c r="R342" s="24" t="n"/>
      <c r="S342" s="25">
        <f>IF(R342="","",IF(AND(LEFT(R342,4)&lt;&gt;"http",set_RMSBase=""),"",HYPERLINK(IF(LEFT(R342,4)="http",R342,set_RMSBase&amp;R342),"Open opportunity")))</f>
        <v/>
      </c>
      <c r="T342" s="24" t="n"/>
      <c r="U342" s="25">
        <f>IF(T342="","",HYPERLINK(IF(LEFT(T342,4)="http",T342,set_QwilrBase&amp;T342),"Open quote"))</f>
        <v/>
      </c>
      <c r="V342" s="25">
        <f>IF(C342="","",C342)</f>
        <v/>
      </c>
      <c r="W342" s="24" t="n"/>
      <c r="X342" s="26" t="n"/>
      <c r="Y342" s="27">
        <f>IF(C342="","",H342+N(X342))</f>
        <v/>
      </c>
      <c r="Z342" s="29">
        <f>IFERROR(X342/Y342,"")</f>
        <v/>
      </c>
      <c r="AA342" s="26" t="n"/>
      <c r="AB342" s="26" t="n"/>
      <c r="AC342" s="26" t="n"/>
      <c r="AD342" s="26" t="n"/>
      <c r="AE342" s="27">
        <f>IF(C342="","",SUMIFS(tbl_Finance[Ex GST],tbl_Finance[Job Number],C342&amp;"",tbl_Finance[Cost Centre],"VIDEO"))</f>
        <v/>
      </c>
      <c r="AF342" s="29">
        <f>IFERROR(AE342/H342,"")</f>
        <v/>
      </c>
      <c r="AG342" s="27">
        <f>IF(C342="","",N(AA342)+N(AB342)+N(AC342)+N(AD342))</f>
        <v/>
      </c>
      <c r="AH342" s="27">
        <f>IF(C342="","",H342-AG342)</f>
        <v/>
      </c>
      <c r="AI342" s="29">
        <f>IFERROR(AH342/H342,"")</f>
        <v/>
      </c>
      <c r="AJ342" s="64" t="n"/>
      <c r="AK342" s="64" t="n"/>
      <c r="AL342" s="64" t="n"/>
      <c r="AM342" s="64" t="n"/>
      <c r="AN342" s="64" t="n"/>
      <c r="AO342" s="24" t="n"/>
    </row>
    <row r="343" ht="15" customHeight="1">
      <c r="A343" s="63">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7">
        <f>IF(C343="","",SUMIFS(tbl_Finance[Inc GST],tbl_Finance[Job Number],C343&amp;""))</f>
        <v/>
      </c>
      <c r="M343" s="24" t="n"/>
      <c r="N343" s="25">
        <f>IF(C343="","",IFERROR(INDEX(tbl_Finance[Description],MATCH(C343&amp;"",tbl_Finance[Job Number],0)),""))</f>
        <v/>
      </c>
      <c r="O343" s="24" t="n"/>
      <c r="P343" s="24" t="n"/>
      <c r="Q343" s="22" t="n"/>
      <c r="R343" s="24" t="n"/>
      <c r="S343" s="25">
        <f>IF(R343="","",IF(AND(LEFT(R343,4)&lt;&gt;"http",set_RMSBase=""),"",HYPERLINK(IF(LEFT(R343,4)="http",R343,set_RMSBase&amp;R343),"Open opportunity")))</f>
        <v/>
      </c>
      <c r="T343" s="24" t="n"/>
      <c r="U343" s="25">
        <f>IF(T343="","",HYPERLINK(IF(LEFT(T343,4)="http",T343,set_QwilrBase&amp;T343),"Open quote"))</f>
        <v/>
      </c>
      <c r="V343" s="25">
        <f>IF(C343="","",C343)</f>
        <v/>
      </c>
      <c r="W343" s="24" t="n"/>
      <c r="X343" s="26" t="n"/>
      <c r="Y343" s="27">
        <f>IF(C343="","",H343+N(X343))</f>
        <v/>
      </c>
      <c r="Z343" s="29">
        <f>IFERROR(X343/Y343,"")</f>
        <v/>
      </c>
      <c r="AA343" s="26" t="n"/>
      <c r="AB343" s="26" t="n"/>
      <c r="AC343" s="26" t="n"/>
      <c r="AD343" s="26" t="n"/>
      <c r="AE343" s="27">
        <f>IF(C343="","",SUMIFS(tbl_Finance[Ex GST],tbl_Finance[Job Number],C343&amp;"",tbl_Finance[Cost Centre],"VIDEO"))</f>
        <v/>
      </c>
      <c r="AF343" s="29">
        <f>IFERROR(AE343/H343,"")</f>
        <v/>
      </c>
      <c r="AG343" s="27">
        <f>IF(C343="","",N(AA343)+N(AB343)+N(AC343)+N(AD343))</f>
        <v/>
      </c>
      <c r="AH343" s="27">
        <f>IF(C343="","",H343-AG343)</f>
        <v/>
      </c>
      <c r="AI343" s="29">
        <f>IFERROR(AH343/H343,"")</f>
        <v/>
      </c>
      <c r="AJ343" s="64" t="n"/>
      <c r="AK343" s="64" t="n"/>
      <c r="AL343" s="64" t="n"/>
      <c r="AM343" s="64" t="n"/>
      <c r="AN343" s="64" t="n"/>
      <c r="AO343" s="24" t="n"/>
    </row>
    <row r="344" ht="15" customHeight="1">
      <c r="A344" s="63">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7">
        <f>IF(C344="","",SUMIFS(tbl_Finance[Inc GST],tbl_Finance[Job Number],C344&amp;""))</f>
        <v/>
      </c>
      <c r="M344" s="24" t="n"/>
      <c r="N344" s="25">
        <f>IF(C344="","",IFERROR(INDEX(tbl_Finance[Description],MATCH(C344&amp;"",tbl_Finance[Job Number],0)),""))</f>
        <v/>
      </c>
      <c r="O344" s="24" t="n"/>
      <c r="P344" s="24" t="n"/>
      <c r="Q344" s="22" t="n"/>
      <c r="R344" s="24" t="n"/>
      <c r="S344" s="25">
        <f>IF(R344="","",IF(AND(LEFT(R344,4)&lt;&gt;"http",set_RMSBase=""),"",HYPERLINK(IF(LEFT(R344,4)="http",R344,set_RMSBase&amp;R344),"Open opportunity")))</f>
        <v/>
      </c>
      <c r="T344" s="24" t="n"/>
      <c r="U344" s="25">
        <f>IF(T344="","",HYPERLINK(IF(LEFT(T344,4)="http",T344,set_QwilrBase&amp;T344),"Open quote"))</f>
        <v/>
      </c>
      <c r="V344" s="25">
        <f>IF(C344="","",C344)</f>
        <v/>
      </c>
      <c r="W344" s="24" t="n"/>
      <c r="X344" s="26" t="n"/>
      <c r="Y344" s="27">
        <f>IF(C344="","",H344+N(X344))</f>
        <v/>
      </c>
      <c r="Z344" s="29">
        <f>IFERROR(X344/Y344,"")</f>
        <v/>
      </c>
      <c r="AA344" s="26" t="n"/>
      <c r="AB344" s="26" t="n"/>
      <c r="AC344" s="26" t="n"/>
      <c r="AD344" s="26" t="n"/>
      <c r="AE344" s="27">
        <f>IF(C344="","",SUMIFS(tbl_Finance[Ex GST],tbl_Finance[Job Number],C344&amp;"",tbl_Finance[Cost Centre],"VIDEO"))</f>
        <v/>
      </c>
      <c r="AF344" s="29">
        <f>IFERROR(AE344/H344,"")</f>
        <v/>
      </c>
      <c r="AG344" s="27">
        <f>IF(C344="","",N(AA344)+N(AB344)+N(AC344)+N(AD344))</f>
        <v/>
      </c>
      <c r="AH344" s="27">
        <f>IF(C344="","",H344-AG344)</f>
        <v/>
      </c>
      <c r="AI344" s="29">
        <f>IFERROR(AH344/H344,"")</f>
        <v/>
      </c>
      <c r="AJ344" s="64" t="n"/>
      <c r="AK344" s="64" t="n"/>
      <c r="AL344" s="64" t="n"/>
      <c r="AM344" s="64" t="n"/>
      <c r="AN344" s="64" t="n"/>
      <c r="AO344" s="24" t="n"/>
    </row>
    <row r="345" ht="15" customHeight="1">
      <c r="A345" s="63">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7">
        <f>IF(C345="","",SUMIFS(tbl_Finance[Inc GST],tbl_Finance[Job Number],C345&amp;""))</f>
        <v/>
      </c>
      <c r="M345" s="24" t="n"/>
      <c r="N345" s="25">
        <f>IF(C345="","",IFERROR(INDEX(tbl_Finance[Description],MATCH(C345&amp;"",tbl_Finance[Job Number],0)),""))</f>
        <v/>
      </c>
      <c r="O345" s="24" t="n"/>
      <c r="P345" s="24" t="n"/>
      <c r="Q345" s="22" t="n"/>
      <c r="R345" s="24" t="n"/>
      <c r="S345" s="25">
        <f>IF(R345="","",IF(AND(LEFT(R345,4)&lt;&gt;"http",set_RMSBase=""),"",HYPERLINK(IF(LEFT(R345,4)="http",R345,set_RMSBase&amp;R345),"Open opportunity")))</f>
        <v/>
      </c>
      <c r="T345" s="24" t="n"/>
      <c r="U345" s="25">
        <f>IF(T345="","",HYPERLINK(IF(LEFT(T345,4)="http",T345,set_QwilrBase&amp;T345),"Open quote"))</f>
        <v/>
      </c>
      <c r="V345" s="25">
        <f>IF(C345="","",C345)</f>
        <v/>
      </c>
      <c r="W345" s="24" t="n"/>
      <c r="X345" s="26" t="n"/>
      <c r="Y345" s="27">
        <f>IF(C345="","",H345+N(X345))</f>
        <v/>
      </c>
      <c r="Z345" s="29">
        <f>IFERROR(X345/Y345,"")</f>
        <v/>
      </c>
      <c r="AA345" s="26" t="n"/>
      <c r="AB345" s="26" t="n"/>
      <c r="AC345" s="26" t="n"/>
      <c r="AD345" s="26" t="n"/>
      <c r="AE345" s="27">
        <f>IF(C345="","",SUMIFS(tbl_Finance[Ex GST],tbl_Finance[Job Number],C345&amp;"",tbl_Finance[Cost Centre],"VIDEO"))</f>
        <v/>
      </c>
      <c r="AF345" s="29">
        <f>IFERROR(AE345/H345,"")</f>
        <v/>
      </c>
      <c r="AG345" s="27">
        <f>IF(C345="","",N(AA345)+N(AB345)+N(AC345)+N(AD345))</f>
        <v/>
      </c>
      <c r="AH345" s="27">
        <f>IF(C345="","",H345-AG345)</f>
        <v/>
      </c>
      <c r="AI345" s="29">
        <f>IFERROR(AH345/H345,"")</f>
        <v/>
      </c>
      <c r="AJ345" s="64" t="n"/>
      <c r="AK345" s="64" t="n"/>
      <c r="AL345" s="64" t="n"/>
      <c r="AM345" s="64" t="n"/>
      <c r="AN345" s="64" t="n"/>
      <c r="AO345" s="24" t="n"/>
    </row>
    <row r="346" ht="15" customHeight="1">
      <c r="A346" s="63">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7">
        <f>IF(C346="","",SUMIFS(tbl_Finance[Inc GST],tbl_Finance[Job Number],C346&amp;""))</f>
        <v/>
      </c>
      <c r="M346" s="24" t="n"/>
      <c r="N346" s="25">
        <f>IF(C346="","",IFERROR(INDEX(tbl_Finance[Description],MATCH(C346&amp;"",tbl_Finance[Job Number],0)),""))</f>
        <v/>
      </c>
      <c r="O346" s="24" t="n"/>
      <c r="P346" s="24" t="n"/>
      <c r="Q346" s="22" t="n"/>
      <c r="R346" s="24" t="n"/>
      <c r="S346" s="25">
        <f>IF(R346="","",IF(AND(LEFT(R346,4)&lt;&gt;"http",set_RMSBase=""),"",HYPERLINK(IF(LEFT(R346,4)="http",R346,set_RMSBase&amp;R346),"Open opportunity")))</f>
        <v/>
      </c>
      <c r="T346" s="24" t="n"/>
      <c r="U346" s="25">
        <f>IF(T346="","",HYPERLINK(IF(LEFT(T346,4)="http",T346,set_QwilrBase&amp;T346),"Open quote"))</f>
        <v/>
      </c>
      <c r="V346" s="25">
        <f>IF(C346="","",C346)</f>
        <v/>
      </c>
      <c r="W346" s="24" t="n"/>
      <c r="X346" s="26" t="n"/>
      <c r="Y346" s="27">
        <f>IF(C346="","",H346+N(X346))</f>
        <v/>
      </c>
      <c r="Z346" s="29">
        <f>IFERROR(X346/Y346,"")</f>
        <v/>
      </c>
      <c r="AA346" s="26" t="n"/>
      <c r="AB346" s="26" t="n"/>
      <c r="AC346" s="26" t="n"/>
      <c r="AD346" s="26" t="n"/>
      <c r="AE346" s="27">
        <f>IF(C346="","",SUMIFS(tbl_Finance[Ex GST],tbl_Finance[Job Number],C346&amp;"",tbl_Finance[Cost Centre],"VIDEO"))</f>
        <v/>
      </c>
      <c r="AF346" s="29">
        <f>IFERROR(AE346/H346,"")</f>
        <v/>
      </c>
      <c r="AG346" s="27">
        <f>IF(C346="","",N(AA346)+N(AB346)+N(AC346)+N(AD346))</f>
        <v/>
      </c>
      <c r="AH346" s="27">
        <f>IF(C346="","",H346-AG346)</f>
        <v/>
      </c>
      <c r="AI346" s="29">
        <f>IFERROR(AH346/H346,"")</f>
        <v/>
      </c>
      <c r="AJ346" s="64" t="n"/>
      <c r="AK346" s="64" t="n"/>
      <c r="AL346" s="64" t="n"/>
      <c r="AM346" s="64" t="n"/>
      <c r="AN346" s="64" t="n"/>
      <c r="AO346" s="24" t="n"/>
    </row>
    <row r="347" ht="15" customHeight="1">
      <c r="A347" s="63">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7">
        <f>IF(C347="","",SUMIFS(tbl_Finance[Inc GST],tbl_Finance[Job Number],C347&amp;""))</f>
        <v/>
      </c>
      <c r="M347" s="24" t="n"/>
      <c r="N347" s="25">
        <f>IF(C347="","",IFERROR(INDEX(tbl_Finance[Description],MATCH(C347&amp;"",tbl_Finance[Job Number],0)),""))</f>
        <v/>
      </c>
      <c r="O347" s="24" t="n"/>
      <c r="P347" s="24" t="n"/>
      <c r="Q347" s="22" t="n"/>
      <c r="R347" s="24" t="n"/>
      <c r="S347" s="25">
        <f>IF(R347="","",IF(AND(LEFT(R347,4)&lt;&gt;"http",set_RMSBase=""),"",HYPERLINK(IF(LEFT(R347,4)="http",R347,set_RMSBase&amp;R347),"Open opportunity")))</f>
        <v/>
      </c>
      <c r="T347" s="24" t="n"/>
      <c r="U347" s="25">
        <f>IF(T347="","",HYPERLINK(IF(LEFT(T347,4)="http",T347,set_QwilrBase&amp;T347),"Open quote"))</f>
        <v/>
      </c>
      <c r="V347" s="25">
        <f>IF(C347="","",C347)</f>
        <v/>
      </c>
      <c r="W347" s="24" t="n"/>
      <c r="X347" s="26" t="n"/>
      <c r="Y347" s="27">
        <f>IF(C347="","",H347+N(X347))</f>
        <v/>
      </c>
      <c r="Z347" s="29">
        <f>IFERROR(X347/Y347,"")</f>
        <v/>
      </c>
      <c r="AA347" s="26" t="n"/>
      <c r="AB347" s="26" t="n"/>
      <c r="AC347" s="26" t="n"/>
      <c r="AD347" s="26" t="n"/>
      <c r="AE347" s="27">
        <f>IF(C347="","",SUMIFS(tbl_Finance[Ex GST],tbl_Finance[Job Number],C347&amp;"",tbl_Finance[Cost Centre],"VIDEO"))</f>
        <v/>
      </c>
      <c r="AF347" s="29">
        <f>IFERROR(AE347/H347,"")</f>
        <v/>
      </c>
      <c r="AG347" s="27">
        <f>IF(C347="","",N(AA347)+N(AB347)+N(AC347)+N(AD347))</f>
        <v/>
      </c>
      <c r="AH347" s="27">
        <f>IF(C347="","",H347-AG347)</f>
        <v/>
      </c>
      <c r="AI347" s="29">
        <f>IFERROR(AH347/H347,"")</f>
        <v/>
      </c>
      <c r="AJ347" s="64" t="n"/>
      <c r="AK347" s="64" t="n"/>
      <c r="AL347" s="64" t="n"/>
      <c r="AM347" s="64" t="n"/>
      <c r="AN347" s="64" t="n"/>
      <c r="AO347" s="24" t="n"/>
    </row>
    <row r="348" ht="15" customHeight="1">
      <c r="A348" s="63">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7">
        <f>IF(C348="","",SUMIFS(tbl_Finance[Inc GST],tbl_Finance[Job Number],C348&amp;""))</f>
        <v/>
      </c>
      <c r="M348" s="24" t="n"/>
      <c r="N348" s="25">
        <f>IF(C348="","",IFERROR(INDEX(tbl_Finance[Description],MATCH(C348&amp;"",tbl_Finance[Job Number],0)),""))</f>
        <v/>
      </c>
      <c r="O348" s="24" t="n"/>
      <c r="P348" s="24" t="n"/>
      <c r="Q348" s="22" t="n"/>
      <c r="R348" s="24" t="n"/>
      <c r="S348" s="25">
        <f>IF(R348="","",IF(AND(LEFT(R348,4)&lt;&gt;"http",set_RMSBase=""),"",HYPERLINK(IF(LEFT(R348,4)="http",R348,set_RMSBase&amp;R348),"Open opportunity")))</f>
        <v/>
      </c>
      <c r="T348" s="24" t="n"/>
      <c r="U348" s="25">
        <f>IF(T348="","",HYPERLINK(IF(LEFT(T348,4)="http",T348,set_QwilrBase&amp;T348),"Open quote"))</f>
        <v/>
      </c>
      <c r="V348" s="25">
        <f>IF(C348="","",C348)</f>
        <v/>
      </c>
      <c r="W348" s="24" t="n"/>
      <c r="X348" s="26" t="n"/>
      <c r="Y348" s="27">
        <f>IF(C348="","",H348+N(X348))</f>
        <v/>
      </c>
      <c r="Z348" s="29">
        <f>IFERROR(X348/Y348,"")</f>
        <v/>
      </c>
      <c r="AA348" s="26" t="n"/>
      <c r="AB348" s="26" t="n"/>
      <c r="AC348" s="26" t="n"/>
      <c r="AD348" s="26" t="n"/>
      <c r="AE348" s="27">
        <f>IF(C348="","",SUMIFS(tbl_Finance[Ex GST],tbl_Finance[Job Number],C348&amp;"",tbl_Finance[Cost Centre],"VIDEO"))</f>
        <v/>
      </c>
      <c r="AF348" s="29">
        <f>IFERROR(AE348/H348,"")</f>
        <v/>
      </c>
      <c r="AG348" s="27">
        <f>IF(C348="","",N(AA348)+N(AB348)+N(AC348)+N(AD348))</f>
        <v/>
      </c>
      <c r="AH348" s="27">
        <f>IF(C348="","",H348-AG348)</f>
        <v/>
      </c>
      <c r="AI348" s="29">
        <f>IFERROR(AH348/H348,"")</f>
        <v/>
      </c>
      <c r="AJ348" s="64" t="n"/>
      <c r="AK348" s="64" t="n"/>
      <c r="AL348" s="64" t="n"/>
      <c r="AM348" s="64" t="n"/>
      <c r="AN348" s="64" t="n"/>
      <c r="AO348" s="24" t="n"/>
    </row>
    <row r="349" ht="15" customHeight="1">
      <c r="A349" s="63">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7">
        <f>IF(C349="","",SUMIFS(tbl_Finance[Inc GST],tbl_Finance[Job Number],C349&amp;""))</f>
        <v/>
      </c>
      <c r="M349" s="24" t="n"/>
      <c r="N349" s="25">
        <f>IF(C349="","",IFERROR(INDEX(tbl_Finance[Description],MATCH(C349&amp;"",tbl_Finance[Job Number],0)),""))</f>
        <v/>
      </c>
      <c r="O349" s="24" t="n"/>
      <c r="P349" s="24" t="n"/>
      <c r="Q349" s="22" t="n"/>
      <c r="R349" s="24" t="n"/>
      <c r="S349" s="25">
        <f>IF(R349="","",IF(AND(LEFT(R349,4)&lt;&gt;"http",set_RMSBase=""),"",HYPERLINK(IF(LEFT(R349,4)="http",R349,set_RMSBase&amp;R349),"Open opportunity")))</f>
        <v/>
      </c>
      <c r="T349" s="24" t="n"/>
      <c r="U349" s="25">
        <f>IF(T349="","",HYPERLINK(IF(LEFT(T349,4)="http",T349,set_QwilrBase&amp;T349),"Open quote"))</f>
        <v/>
      </c>
      <c r="V349" s="25">
        <f>IF(C349="","",C349)</f>
        <v/>
      </c>
      <c r="W349" s="24" t="n"/>
      <c r="X349" s="26" t="n"/>
      <c r="Y349" s="27">
        <f>IF(C349="","",H349+N(X349))</f>
        <v/>
      </c>
      <c r="Z349" s="29">
        <f>IFERROR(X349/Y349,"")</f>
        <v/>
      </c>
      <c r="AA349" s="26" t="n"/>
      <c r="AB349" s="26" t="n"/>
      <c r="AC349" s="26" t="n"/>
      <c r="AD349" s="26" t="n"/>
      <c r="AE349" s="27">
        <f>IF(C349="","",SUMIFS(tbl_Finance[Ex GST],tbl_Finance[Job Number],C349&amp;"",tbl_Finance[Cost Centre],"VIDEO"))</f>
        <v/>
      </c>
      <c r="AF349" s="29">
        <f>IFERROR(AE349/H349,"")</f>
        <v/>
      </c>
      <c r="AG349" s="27">
        <f>IF(C349="","",N(AA349)+N(AB349)+N(AC349)+N(AD349))</f>
        <v/>
      </c>
      <c r="AH349" s="27">
        <f>IF(C349="","",H349-AG349)</f>
        <v/>
      </c>
      <c r="AI349" s="29">
        <f>IFERROR(AH349/H349,"")</f>
        <v/>
      </c>
      <c r="AJ349" s="64" t="n"/>
      <c r="AK349" s="64" t="n"/>
      <c r="AL349" s="64" t="n"/>
      <c r="AM349" s="64" t="n"/>
      <c r="AN349" s="64" t="n"/>
      <c r="AO349" s="24" t="n"/>
    </row>
    <row r="350" ht="15" customHeight="1">
      <c r="A350" s="63">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7">
        <f>IF(C350="","",SUMIFS(tbl_Finance[Inc GST],tbl_Finance[Job Number],C350&amp;""))</f>
        <v/>
      </c>
      <c r="M350" s="24" t="n"/>
      <c r="N350" s="25">
        <f>IF(C350="","",IFERROR(INDEX(tbl_Finance[Description],MATCH(C350&amp;"",tbl_Finance[Job Number],0)),""))</f>
        <v/>
      </c>
      <c r="O350" s="24" t="n"/>
      <c r="P350" s="24" t="n"/>
      <c r="Q350" s="22" t="n"/>
      <c r="R350" s="24" t="n"/>
      <c r="S350" s="25">
        <f>IF(R350="","",IF(AND(LEFT(R350,4)&lt;&gt;"http",set_RMSBase=""),"",HYPERLINK(IF(LEFT(R350,4)="http",R350,set_RMSBase&amp;R350),"Open opportunity")))</f>
        <v/>
      </c>
      <c r="T350" s="24" t="n"/>
      <c r="U350" s="25">
        <f>IF(T350="","",HYPERLINK(IF(LEFT(T350,4)="http",T350,set_QwilrBase&amp;T350),"Open quote"))</f>
        <v/>
      </c>
      <c r="V350" s="25">
        <f>IF(C350="","",C350)</f>
        <v/>
      </c>
      <c r="W350" s="24" t="n"/>
      <c r="X350" s="26" t="n"/>
      <c r="Y350" s="27">
        <f>IF(C350="","",H350+N(X350))</f>
        <v/>
      </c>
      <c r="Z350" s="29">
        <f>IFERROR(X350/Y350,"")</f>
        <v/>
      </c>
      <c r="AA350" s="26" t="n"/>
      <c r="AB350" s="26" t="n"/>
      <c r="AC350" s="26" t="n"/>
      <c r="AD350" s="26" t="n"/>
      <c r="AE350" s="27">
        <f>IF(C350="","",SUMIFS(tbl_Finance[Ex GST],tbl_Finance[Job Number],C350&amp;"",tbl_Finance[Cost Centre],"VIDEO"))</f>
        <v/>
      </c>
      <c r="AF350" s="29">
        <f>IFERROR(AE350/H350,"")</f>
        <v/>
      </c>
      <c r="AG350" s="27">
        <f>IF(C350="","",N(AA350)+N(AB350)+N(AC350)+N(AD350))</f>
        <v/>
      </c>
      <c r="AH350" s="27">
        <f>IF(C350="","",H350-AG350)</f>
        <v/>
      </c>
      <c r="AI350" s="29">
        <f>IFERROR(AH350/H350,"")</f>
        <v/>
      </c>
      <c r="AJ350" s="64" t="n"/>
      <c r="AK350" s="64" t="n"/>
      <c r="AL350" s="64" t="n"/>
      <c r="AM350" s="64" t="n"/>
      <c r="AN350" s="64" t="n"/>
      <c r="AO350" s="24" t="n"/>
    </row>
    <row r="351" ht="15" customHeight="1">
      <c r="A351" s="63">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7">
        <f>IF(C351="","",SUMIFS(tbl_Finance[Inc GST],tbl_Finance[Job Number],C351&amp;""))</f>
        <v/>
      </c>
      <c r="M351" s="24" t="n"/>
      <c r="N351" s="25">
        <f>IF(C351="","",IFERROR(INDEX(tbl_Finance[Description],MATCH(C351&amp;"",tbl_Finance[Job Number],0)),""))</f>
        <v/>
      </c>
      <c r="O351" s="24" t="n"/>
      <c r="P351" s="24" t="n"/>
      <c r="Q351" s="22" t="n"/>
      <c r="R351" s="24" t="n"/>
      <c r="S351" s="25">
        <f>IF(R351="","",IF(AND(LEFT(R351,4)&lt;&gt;"http",set_RMSBase=""),"",HYPERLINK(IF(LEFT(R351,4)="http",R351,set_RMSBase&amp;R351),"Open opportunity")))</f>
        <v/>
      </c>
      <c r="T351" s="24" t="n"/>
      <c r="U351" s="25">
        <f>IF(T351="","",HYPERLINK(IF(LEFT(T351,4)="http",T351,set_QwilrBase&amp;T351),"Open quote"))</f>
        <v/>
      </c>
      <c r="V351" s="25">
        <f>IF(C351="","",C351)</f>
        <v/>
      </c>
      <c r="W351" s="24" t="n"/>
      <c r="X351" s="26" t="n"/>
      <c r="Y351" s="27">
        <f>IF(C351="","",H351+N(X351))</f>
        <v/>
      </c>
      <c r="Z351" s="29">
        <f>IFERROR(X351/Y351,"")</f>
        <v/>
      </c>
      <c r="AA351" s="26" t="n"/>
      <c r="AB351" s="26" t="n"/>
      <c r="AC351" s="26" t="n"/>
      <c r="AD351" s="26" t="n"/>
      <c r="AE351" s="27">
        <f>IF(C351="","",SUMIFS(tbl_Finance[Ex GST],tbl_Finance[Job Number],C351&amp;"",tbl_Finance[Cost Centre],"VIDEO"))</f>
        <v/>
      </c>
      <c r="AF351" s="29">
        <f>IFERROR(AE351/H351,"")</f>
        <v/>
      </c>
      <c r="AG351" s="27">
        <f>IF(C351="","",N(AA351)+N(AB351)+N(AC351)+N(AD351))</f>
        <v/>
      </c>
      <c r="AH351" s="27">
        <f>IF(C351="","",H351-AG351)</f>
        <v/>
      </c>
      <c r="AI351" s="29">
        <f>IFERROR(AH351/H351,"")</f>
        <v/>
      </c>
      <c r="AJ351" s="64" t="n"/>
      <c r="AK351" s="64" t="n"/>
      <c r="AL351" s="64" t="n"/>
      <c r="AM351" s="64" t="n"/>
      <c r="AN351" s="64" t="n"/>
      <c r="AO351" s="24" t="n"/>
    </row>
    <row r="352" ht="15" customHeight="1">
      <c r="A352" s="63">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7">
        <f>IF(C352="","",SUMIFS(tbl_Finance[Inc GST],tbl_Finance[Job Number],C352&amp;""))</f>
        <v/>
      </c>
      <c r="M352" s="24" t="n"/>
      <c r="N352" s="25">
        <f>IF(C352="","",IFERROR(INDEX(tbl_Finance[Description],MATCH(C352&amp;"",tbl_Finance[Job Number],0)),""))</f>
        <v/>
      </c>
      <c r="O352" s="24" t="n"/>
      <c r="P352" s="24" t="n"/>
      <c r="Q352" s="22" t="n"/>
      <c r="R352" s="24" t="n"/>
      <c r="S352" s="25">
        <f>IF(R352="","",IF(AND(LEFT(R352,4)&lt;&gt;"http",set_RMSBase=""),"",HYPERLINK(IF(LEFT(R352,4)="http",R352,set_RMSBase&amp;R352),"Open opportunity")))</f>
        <v/>
      </c>
      <c r="T352" s="24" t="n"/>
      <c r="U352" s="25">
        <f>IF(T352="","",HYPERLINK(IF(LEFT(T352,4)="http",T352,set_QwilrBase&amp;T352),"Open quote"))</f>
        <v/>
      </c>
      <c r="V352" s="25">
        <f>IF(C352="","",C352)</f>
        <v/>
      </c>
      <c r="W352" s="24" t="n"/>
      <c r="X352" s="26" t="n"/>
      <c r="Y352" s="27">
        <f>IF(C352="","",H352+N(X352))</f>
        <v/>
      </c>
      <c r="Z352" s="29">
        <f>IFERROR(X352/Y352,"")</f>
        <v/>
      </c>
      <c r="AA352" s="26" t="n"/>
      <c r="AB352" s="26" t="n"/>
      <c r="AC352" s="26" t="n"/>
      <c r="AD352" s="26" t="n"/>
      <c r="AE352" s="27">
        <f>IF(C352="","",SUMIFS(tbl_Finance[Ex GST],tbl_Finance[Job Number],C352&amp;"",tbl_Finance[Cost Centre],"VIDEO"))</f>
        <v/>
      </c>
      <c r="AF352" s="29">
        <f>IFERROR(AE352/H352,"")</f>
        <v/>
      </c>
      <c r="AG352" s="27">
        <f>IF(C352="","",N(AA352)+N(AB352)+N(AC352)+N(AD352))</f>
        <v/>
      </c>
      <c r="AH352" s="27">
        <f>IF(C352="","",H352-AG352)</f>
        <v/>
      </c>
      <c r="AI352" s="29">
        <f>IFERROR(AH352/H352,"")</f>
        <v/>
      </c>
      <c r="AJ352" s="64" t="n"/>
      <c r="AK352" s="64" t="n"/>
      <c r="AL352" s="64" t="n"/>
      <c r="AM352" s="64" t="n"/>
      <c r="AN352" s="64" t="n"/>
      <c r="AO352" s="24" t="n"/>
    </row>
    <row r="353" ht="15" customHeight="1">
      <c r="A353" s="63">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7">
        <f>IF(C353="","",SUMIFS(tbl_Finance[Inc GST],tbl_Finance[Job Number],C353&amp;""))</f>
        <v/>
      </c>
      <c r="M353" s="24" t="n"/>
      <c r="N353" s="25">
        <f>IF(C353="","",IFERROR(INDEX(tbl_Finance[Description],MATCH(C353&amp;"",tbl_Finance[Job Number],0)),""))</f>
        <v/>
      </c>
      <c r="O353" s="24" t="n"/>
      <c r="P353" s="24" t="n"/>
      <c r="Q353" s="22" t="n"/>
      <c r="R353" s="24" t="n"/>
      <c r="S353" s="25">
        <f>IF(R353="","",IF(AND(LEFT(R353,4)&lt;&gt;"http",set_RMSBase=""),"",HYPERLINK(IF(LEFT(R353,4)="http",R353,set_RMSBase&amp;R353),"Open opportunity")))</f>
        <v/>
      </c>
      <c r="T353" s="24" t="n"/>
      <c r="U353" s="25">
        <f>IF(T353="","",HYPERLINK(IF(LEFT(T353,4)="http",T353,set_QwilrBase&amp;T353),"Open quote"))</f>
        <v/>
      </c>
      <c r="V353" s="25">
        <f>IF(C353="","",C353)</f>
        <v/>
      </c>
      <c r="W353" s="24" t="n"/>
      <c r="X353" s="26" t="n"/>
      <c r="Y353" s="27">
        <f>IF(C353="","",H353+N(X353))</f>
        <v/>
      </c>
      <c r="Z353" s="29">
        <f>IFERROR(X353/Y353,"")</f>
        <v/>
      </c>
      <c r="AA353" s="26" t="n"/>
      <c r="AB353" s="26" t="n"/>
      <c r="AC353" s="26" t="n"/>
      <c r="AD353" s="26" t="n"/>
      <c r="AE353" s="27">
        <f>IF(C353="","",SUMIFS(tbl_Finance[Ex GST],tbl_Finance[Job Number],C353&amp;"",tbl_Finance[Cost Centre],"VIDEO"))</f>
        <v/>
      </c>
      <c r="AF353" s="29">
        <f>IFERROR(AE353/H353,"")</f>
        <v/>
      </c>
      <c r="AG353" s="27">
        <f>IF(C353="","",N(AA353)+N(AB353)+N(AC353)+N(AD353))</f>
        <v/>
      </c>
      <c r="AH353" s="27">
        <f>IF(C353="","",H353-AG353)</f>
        <v/>
      </c>
      <c r="AI353" s="29">
        <f>IFERROR(AH353/H353,"")</f>
        <v/>
      </c>
      <c r="AJ353" s="64" t="n"/>
      <c r="AK353" s="64" t="n"/>
      <c r="AL353" s="64" t="n"/>
      <c r="AM353" s="64" t="n"/>
      <c r="AN353" s="64" t="n"/>
      <c r="AO353" s="24" t="n"/>
    </row>
    <row r="354" ht="15" customHeight="1">
      <c r="A354" s="63">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7">
        <f>IF(C354="","",SUMIFS(tbl_Finance[Inc GST],tbl_Finance[Job Number],C354&amp;""))</f>
        <v/>
      </c>
      <c r="M354" s="24" t="n"/>
      <c r="N354" s="25">
        <f>IF(C354="","",IFERROR(INDEX(tbl_Finance[Description],MATCH(C354&amp;"",tbl_Finance[Job Number],0)),""))</f>
        <v/>
      </c>
      <c r="O354" s="24" t="n"/>
      <c r="P354" s="24" t="n"/>
      <c r="Q354" s="22" t="n"/>
      <c r="R354" s="24" t="n"/>
      <c r="S354" s="25">
        <f>IF(R354="","",IF(AND(LEFT(R354,4)&lt;&gt;"http",set_RMSBase=""),"",HYPERLINK(IF(LEFT(R354,4)="http",R354,set_RMSBase&amp;R354),"Open opportunity")))</f>
        <v/>
      </c>
      <c r="T354" s="24" t="n"/>
      <c r="U354" s="25">
        <f>IF(T354="","",HYPERLINK(IF(LEFT(T354,4)="http",T354,set_QwilrBase&amp;T354),"Open quote"))</f>
        <v/>
      </c>
      <c r="V354" s="25">
        <f>IF(C354="","",C354)</f>
        <v/>
      </c>
      <c r="W354" s="24" t="n"/>
      <c r="X354" s="26" t="n"/>
      <c r="Y354" s="27">
        <f>IF(C354="","",H354+N(X354))</f>
        <v/>
      </c>
      <c r="Z354" s="29">
        <f>IFERROR(X354/Y354,"")</f>
        <v/>
      </c>
      <c r="AA354" s="26" t="n"/>
      <c r="AB354" s="26" t="n"/>
      <c r="AC354" s="26" t="n"/>
      <c r="AD354" s="26" t="n"/>
      <c r="AE354" s="27">
        <f>IF(C354="","",SUMIFS(tbl_Finance[Ex GST],tbl_Finance[Job Number],C354&amp;"",tbl_Finance[Cost Centre],"VIDEO"))</f>
        <v/>
      </c>
      <c r="AF354" s="29">
        <f>IFERROR(AE354/H354,"")</f>
        <v/>
      </c>
      <c r="AG354" s="27">
        <f>IF(C354="","",N(AA354)+N(AB354)+N(AC354)+N(AD354))</f>
        <v/>
      </c>
      <c r="AH354" s="27">
        <f>IF(C354="","",H354-AG354)</f>
        <v/>
      </c>
      <c r="AI354" s="29">
        <f>IFERROR(AH354/H354,"")</f>
        <v/>
      </c>
      <c r="AJ354" s="64" t="n"/>
      <c r="AK354" s="64" t="n"/>
      <c r="AL354" s="64" t="n"/>
      <c r="AM354" s="64" t="n"/>
      <c r="AN354" s="64" t="n"/>
      <c r="AO354" s="24" t="n"/>
    </row>
    <row r="355" ht="15" customHeight="1">
      <c r="A355" s="63">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7">
        <f>IF(C355="","",SUMIFS(tbl_Finance[Inc GST],tbl_Finance[Job Number],C355&amp;""))</f>
        <v/>
      </c>
      <c r="M355" s="24" t="n"/>
      <c r="N355" s="25">
        <f>IF(C355="","",IFERROR(INDEX(tbl_Finance[Description],MATCH(C355&amp;"",tbl_Finance[Job Number],0)),""))</f>
        <v/>
      </c>
      <c r="O355" s="24" t="n"/>
      <c r="P355" s="24" t="n"/>
      <c r="Q355" s="22" t="n"/>
      <c r="R355" s="24" t="n"/>
      <c r="S355" s="25">
        <f>IF(R355="","",IF(AND(LEFT(R355,4)&lt;&gt;"http",set_RMSBase=""),"",HYPERLINK(IF(LEFT(R355,4)="http",R355,set_RMSBase&amp;R355),"Open opportunity")))</f>
        <v/>
      </c>
      <c r="T355" s="24" t="n"/>
      <c r="U355" s="25">
        <f>IF(T355="","",HYPERLINK(IF(LEFT(T355,4)="http",T355,set_QwilrBase&amp;T355),"Open quote"))</f>
        <v/>
      </c>
      <c r="V355" s="25">
        <f>IF(C355="","",C355)</f>
        <v/>
      </c>
      <c r="W355" s="24" t="n"/>
      <c r="X355" s="26" t="n"/>
      <c r="Y355" s="27">
        <f>IF(C355="","",H355+N(X355))</f>
        <v/>
      </c>
      <c r="Z355" s="29">
        <f>IFERROR(X355/Y355,"")</f>
        <v/>
      </c>
      <c r="AA355" s="26" t="n"/>
      <c r="AB355" s="26" t="n"/>
      <c r="AC355" s="26" t="n"/>
      <c r="AD355" s="26" t="n"/>
      <c r="AE355" s="27">
        <f>IF(C355="","",SUMIFS(tbl_Finance[Ex GST],tbl_Finance[Job Number],C355&amp;"",tbl_Finance[Cost Centre],"VIDEO"))</f>
        <v/>
      </c>
      <c r="AF355" s="29">
        <f>IFERROR(AE355/H355,"")</f>
        <v/>
      </c>
      <c r="AG355" s="27">
        <f>IF(C355="","",N(AA355)+N(AB355)+N(AC355)+N(AD355))</f>
        <v/>
      </c>
      <c r="AH355" s="27">
        <f>IF(C355="","",H355-AG355)</f>
        <v/>
      </c>
      <c r="AI355" s="29">
        <f>IFERROR(AH355/H355,"")</f>
        <v/>
      </c>
      <c r="AJ355" s="64" t="n"/>
      <c r="AK355" s="64" t="n"/>
      <c r="AL355" s="64" t="n"/>
      <c r="AM355" s="64" t="n"/>
      <c r="AN355" s="64" t="n"/>
      <c r="AO355" s="24" t="n"/>
    </row>
    <row r="356" ht="15" customHeight="1">
      <c r="A356" s="63">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7">
        <f>IF(C356="","",SUMIFS(tbl_Finance[Inc GST],tbl_Finance[Job Number],C356&amp;""))</f>
        <v/>
      </c>
      <c r="M356" s="24" t="n"/>
      <c r="N356" s="25">
        <f>IF(C356="","",IFERROR(INDEX(tbl_Finance[Description],MATCH(C356&amp;"",tbl_Finance[Job Number],0)),""))</f>
        <v/>
      </c>
      <c r="O356" s="24" t="n"/>
      <c r="P356" s="24" t="n"/>
      <c r="Q356" s="22" t="n"/>
      <c r="R356" s="24" t="n"/>
      <c r="S356" s="25">
        <f>IF(R356="","",IF(AND(LEFT(R356,4)&lt;&gt;"http",set_RMSBase=""),"",HYPERLINK(IF(LEFT(R356,4)="http",R356,set_RMSBase&amp;R356),"Open opportunity")))</f>
        <v/>
      </c>
      <c r="T356" s="24" t="n"/>
      <c r="U356" s="25">
        <f>IF(T356="","",HYPERLINK(IF(LEFT(T356,4)="http",T356,set_QwilrBase&amp;T356),"Open quote"))</f>
        <v/>
      </c>
      <c r="V356" s="25">
        <f>IF(C356="","",C356)</f>
        <v/>
      </c>
      <c r="W356" s="24" t="n"/>
      <c r="X356" s="26" t="n"/>
      <c r="Y356" s="27">
        <f>IF(C356="","",H356+N(X356))</f>
        <v/>
      </c>
      <c r="Z356" s="29">
        <f>IFERROR(X356/Y356,"")</f>
        <v/>
      </c>
      <c r="AA356" s="26" t="n"/>
      <c r="AB356" s="26" t="n"/>
      <c r="AC356" s="26" t="n"/>
      <c r="AD356" s="26" t="n"/>
      <c r="AE356" s="27">
        <f>IF(C356="","",SUMIFS(tbl_Finance[Ex GST],tbl_Finance[Job Number],C356&amp;"",tbl_Finance[Cost Centre],"VIDEO"))</f>
        <v/>
      </c>
      <c r="AF356" s="29">
        <f>IFERROR(AE356/H356,"")</f>
        <v/>
      </c>
      <c r="AG356" s="27">
        <f>IF(C356="","",N(AA356)+N(AB356)+N(AC356)+N(AD356))</f>
        <v/>
      </c>
      <c r="AH356" s="27">
        <f>IF(C356="","",H356-AG356)</f>
        <v/>
      </c>
      <c r="AI356" s="29">
        <f>IFERROR(AH356/H356,"")</f>
        <v/>
      </c>
      <c r="AJ356" s="64" t="n"/>
      <c r="AK356" s="64" t="n"/>
      <c r="AL356" s="64" t="n"/>
      <c r="AM356" s="64" t="n"/>
      <c r="AN356" s="64" t="n"/>
      <c r="AO356" s="24" t="n"/>
    </row>
    <row r="357" ht="15" customHeight="1">
      <c r="A357" s="63">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7">
        <f>IF(C357="","",SUMIFS(tbl_Finance[Inc GST],tbl_Finance[Job Number],C357&amp;""))</f>
        <v/>
      </c>
      <c r="M357" s="24" t="n"/>
      <c r="N357" s="25">
        <f>IF(C357="","",IFERROR(INDEX(tbl_Finance[Description],MATCH(C357&amp;"",tbl_Finance[Job Number],0)),""))</f>
        <v/>
      </c>
      <c r="O357" s="24" t="n"/>
      <c r="P357" s="24" t="n"/>
      <c r="Q357" s="22" t="n"/>
      <c r="R357" s="24" t="n"/>
      <c r="S357" s="25">
        <f>IF(R357="","",IF(AND(LEFT(R357,4)&lt;&gt;"http",set_RMSBase=""),"",HYPERLINK(IF(LEFT(R357,4)="http",R357,set_RMSBase&amp;R357),"Open opportunity")))</f>
        <v/>
      </c>
      <c r="T357" s="24" t="n"/>
      <c r="U357" s="25">
        <f>IF(T357="","",HYPERLINK(IF(LEFT(T357,4)="http",T357,set_QwilrBase&amp;T357),"Open quote"))</f>
        <v/>
      </c>
      <c r="V357" s="25">
        <f>IF(C357="","",C357)</f>
        <v/>
      </c>
      <c r="W357" s="24" t="n"/>
      <c r="X357" s="26" t="n"/>
      <c r="Y357" s="27">
        <f>IF(C357="","",H357+N(X357))</f>
        <v/>
      </c>
      <c r="Z357" s="29">
        <f>IFERROR(X357/Y357,"")</f>
        <v/>
      </c>
      <c r="AA357" s="26" t="n"/>
      <c r="AB357" s="26" t="n"/>
      <c r="AC357" s="26" t="n"/>
      <c r="AD357" s="26" t="n"/>
      <c r="AE357" s="27">
        <f>IF(C357="","",SUMIFS(tbl_Finance[Ex GST],tbl_Finance[Job Number],C357&amp;"",tbl_Finance[Cost Centre],"VIDEO"))</f>
        <v/>
      </c>
      <c r="AF357" s="29">
        <f>IFERROR(AE357/H357,"")</f>
        <v/>
      </c>
      <c r="AG357" s="27">
        <f>IF(C357="","",N(AA357)+N(AB357)+N(AC357)+N(AD357))</f>
        <v/>
      </c>
      <c r="AH357" s="27">
        <f>IF(C357="","",H357-AG357)</f>
        <v/>
      </c>
      <c r="AI357" s="29">
        <f>IFERROR(AH357/H357,"")</f>
        <v/>
      </c>
      <c r="AJ357" s="64" t="n"/>
      <c r="AK357" s="64" t="n"/>
      <c r="AL357" s="64" t="n"/>
      <c r="AM357" s="64" t="n"/>
      <c r="AN357" s="64" t="n"/>
      <c r="AO357" s="24" t="n"/>
    </row>
    <row r="358" ht="15" customHeight="1">
      <c r="A358" s="63">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7">
        <f>IF(C358="","",SUMIFS(tbl_Finance[Inc GST],tbl_Finance[Job Number],C358&amp;""))</f>
        <v/>
      </c>
      <c r="M358" s="24" t="n"/>
      <c r="N358" s="25">
        <f>IF(C358="","",IFERROR(INDEX(tbl_Finance[Description],MATCH(C358&amp;"",tbl_Finance[Job Number],0)),""))</f>
        <v/>
      </c>
      <c r="O358" s="24" t="n"/>
      <c r="P358" s="24" t="n"/>
      <c r="Q358" s="22" t="n"/>
      <c r="R358" s="24" t="n"/>
      <c r="S358" s="25">
        <f>IF(R358="","",IF(AND(LEFT(R358,4)&lt;&gt;"http",set_RMSBase=""),"",HYPERLINK(IF(LEFT(R358,4)="http",R358,set_RMSBase&amp;R358),"Open opportunity")))</f>
        <v/>
      </c>
      <c r="T358" s="24" t="n"/>
      <c r="U358" s="25">
        <f>IF(T358="","",HYPERLINK(IF(LEFT(T358,4)="http",T358,set_QwilrBase&amp;T358),"Open quote"))</f>
        <v/>
      </c>
      <c r="V358" s="25">
        <f>IF(C358="","",C358)</f>
        <v/>
      </c>
      <c r="W358" s="24" t="n"/>
      <c r="X358" s="26" t="n"/>
      <c r="Y358" s="27">
        <f>IF(C358="","",H358+N(X358))</f>
        <v/>
      </c>
      <c r="Z358" s="29">
        <f>IFERROR(X358/Y358,"")</f>
        <v/>
      </c>
      <c r="AA358" s="26" t="n"/>
      <c r="AB358" s="26" t="n"/>
      <c r="AC358" s="26" t="n"/>
      <c r="AD358" s="26" t="n"/>
      <c r="AE358" s="27">
        <f>IF(C358="","",SUMIFS(tbl_Finance[Ex GST],tbl_Finance[Job Number],C358&amp;"",tbl_Finance[Cost Centre],"VIDEO"))</f>
        <v/>
      </c>
      <c r="AF358" s="29">
        <f>IFERROR(AE358/H358,"")</f>
        <v/>
      </c>
      <c r="AG358" s="27">
        <f>IF(C358="","",N(AA358)+N(AB358)+N(AC358)+N(AD358))</f>
        <v/>
      </c>
      <c r="AH358" s="27">
        <f>IF(C358="","",H358-AG358)</f>
        <v/>
      </c>
      <c r="AI358" s="29">
        <f>IFERROR(AH358/H358,"")</f>
        <v/>
      </c>
      <c r="AJ358" s="64" t="n"/>
      <c r="AK358" s="64" t="n"/>
      <c r="AL358" s="64" t="n"/>
      <c r="AM358" s="64" t="n"/>
      <c r="AN358" s="64" t="n"/>
      <c r="AO358" s="24" t="n"/>
    </row>
    <row r="359" ht="15" customHeight="1">
      <c r="A359" s="63">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7">
        <f>IF(C359="","",SUMIFS(tbl_Finance[Inc GST],tbl_Finance[Job Number],C359&amp;""))</f>
        <v/>
      </c>
      <c r="M359" s="24" t="n"/>
      <c r="N359" s="25">
        <f>IF(C359="","",IFERROR(INDEX(tbl_Finance[Description],MATCH(C359&amp;"",tbl_Finance[Job Number],0)),""))</f>
        <v/>
      </c>
      <c r="O359" s="24" t="n"/>
      <c r="P359" s="24" t="n"/>
      <c r="Q359" s="22" t="n"/>
      <c r="R359" s="24" t="n"/>
      <c r="S359" s="25">
        <f>IF(R359="","",IF(AND(LEFT(R359,4)&lt;&gt;"http",set_RMSBase=""),"",HYPERLINK(IF(LEFT(R359,4)="http",R359,set_RMSBase&amp;R359),"Open opportunity")))</f>
        <v/>
      </c>
      <c r="T359" s="24" t="n"/>
      <c r="U359" s="25">
        <f>IF(T359="","",HYPERLINK(IF(LEFT(T359,4)="http",T359,set_QwilrBase&amp;T359),"Open quote"))</f>
        <v/>
      </c>
      <c r="V359" s="25">
        <f>IF(C359="","",C359)</f>
        <v/>
      </c>
      <c r="W359" s="24" t="n"/>
      <c r="X359" s="26" t="n"/>
      <c r="Y359" s="27">
        <f>IF(C359="","",H359+N(X359))</f>
        <v/>
      </c>
      <c r="Z359" s="29">
        <f>IFERROR(X359/Y359,"")</f>
        <v/>
      </c>
      <c r="AA359" s="26" t="n"/>
      <c r="AB359" s="26" t="n"/>
      <c r="AC359" s="26" t="n"/>
      <c r="AD359" s="26" t="n"/>
      <c r="AE359" s="27">
        <f>IF(C359="","",SUMIFS(tbl_Finance[Ex GST],tbl_Finance[Job Number],C359&amp;"",tbl_Finance[Cost Centre],"VIDEO"))</f>
        <v/>
      </c>
      <c r="AF359" s="29">
        <f>IFERROR(AE359/H359,"")</f>
        <v/>
      </c>
      <c r="AG359" s="27">
        <f>IF(C359="","",N(AA359)+N(AB359)+N(AC359)+N(AD359))</f>
        <v/>
      </c>
      <c r="AH359" s="27">
        <f>IF(C359="","",H359-AG359)</f>
        <v/>
      </c>
      <c r="AI359" s="29">
        <f>IFERROR(AH359/H359,"")</f>
        <v/>
      </c>
      <c r="AJ359" s="64" t="n"/>
      <c r="AK359" s="64" t="n"/>
      <c r="AL359" s="64" t="n"/>
      <c r="AM359" s="64" t="n"/>
      <c r="AN359" s="64" t="n"/>
      <c r="AO359" s="24" t="n"/>
    </row>
    <row r="360" ht="15" customHeight="1">
      <c r="A360" s="63">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7">
        <f>IF(C360="","",SUMIFS(tbl_Finance[Inc GST],tbl_Finance[Job Number],C360&amp;""))</f>
        <v/>
      </c>
      <c r="M360" s="24" t="n"/>
      <c r="N360" s="25">
        <f>IF(C360="","",IFERROR(INDEX(tbl_Finance[Description],MATCH(C360&amp;"",tbl_Finance[Job Number],0)),""))</f>
        <v/>
      </c>
      <c r="O360" s="24" t="n"/>
      <c r="P360" s="24" t="n"/>
      <c r="Q360" s="22" t="n"/>
      <c r="R360" s="24" t="n"/>
      <c r="S360" s="25">
        <f>IF(R360="","",IF(AND(LEFT(R360,4)&lt;&gt;"http",set_RMSBase=""),"",HYPERLINK(IF(LEFT(R360,4)="http",R360,set_RMSBase&amp;R360),"Open opportunity")))</f>
        <v/>
      </c>
      <c r="T360" s="24" t="n"/>
      <c r="U360" s="25">
        <f>IF(T360="","",HYPERLINK(IF(LEFT(T360,4)="http",T360,set_QwilrBase&amp;T360),"Open quote"))</f>
        <v/>
      </c>
      <c r="V360" s="25">
        <f>IF(C360="","",C360)</f>
        <v/>
      </c>
      <c r="W360" s="24" t="n"/>
      <c r="X360" s="26" t="n"/>
      <c r="Y360" s="27">
        <f>IF(C360="","",H360+N(X360))</f>
        <v/>
      </c>
      <c r="Z360" s="29">
        <f>IFERROR(X360/Y360,"")</f>
        <v/>
      </c>
      <c r="AA360" s="26" t="n"/>
      <c r="AB360" s="26" t="n"/>
      <c r="AC360" s="26" t="n"/>
      <c r="AD360" s="26" t="n"/>
      <c r="AE360" s="27">
        <f>IF(C360="","",SUMIFS(tbl_Finance[Ex GST],tbl_Finance[Job Number],C360&amp;"",tbl_Finance[Cost Centre],"VIDEO"))</f>
        <v/>
      </c>
      <c r="AF360" s="29">
        <f>IFERROR(AE360/H360,"")</f>
        <v/>
      </c>
      <c r="AG360" s="27">
        <f>IF(C360="","",N(AA360)+N(AB360)+N(AC360)+N(AD360))</f>
        <v/>
      </c>
      <c r="AH360" s="27">
        <f>IF(C360="","",H360-AG360)</f>
        <v/>
      </c>
      <c r="AI360" s="29">
        <f>IFERROR(AH360/H360,"")</f>
        <v/>
      </c>
      <c r="AJ360" s="64" t="n"/>
      <c r="AK360" s="64" t="n"/>
      <c r="AL360" s="64" t="n"/>
      <c r="AM360" s="64" t="n"/>
      <c r="AN360" s="64" t="n"/>
      <c r="AO360" s="24" t="n"/>
    </row>
    <row r="361" ht="15" customHeight="1">
      <c r="A361" s="63">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7">
        <f>IF(C361="","",SUMIFS(tbl_Finance[Inc GST],tbl_Finance[Job Number],C361&amp;""))</f>
        <v/>
      </c>
      <c r="M361" s="24" t="n"/>
      <c r="N361" s="25">
        <f>IF(C361="","",IFERROR(INDEX(tbl_Finance[Description],MATCH(C361&amp;"",tbl_Finance[Job Number],0)),""))</f>
        <v/>
      </c>
      <c r="O361" s="24" t="n"/>
      <c r="P361" s="24" t="n"/>
      <c r="Q361" s="22" t="n"/>
      <c r="R361" s="24" t="n"/>
      <c r="S361" s="25">
        <f>IF(R361="","",IF(AND(LEFT(R361,4)&lt;&gt;"http",set_RMSBase=""),"",HYPERLINK(IF(LEFT(R361,4)="http",R361,set_RMSBase&amp;R361),"Open opportunity")))</f>
        <v/>
      </c>
      <c r="T361" s="24" t="n"/>
      <c r="U361" s="25">
        <f>IF(T361="","",HYPERLINK(IF(LEFT(T361,4)="http",T361,set_QwilrBase&amp;T361),"Open quote"))</f>
        <v/>
      </c>
      <c r="V361" s="25">
        <f>IF(C361="","",C361)</f>
        <v/>
      </c>
      <c r="W361" s="24" t="n"/>
      <c r="X361" s="26" t="n"/>
      <c r="Y361" s="27">
        <f>IF(C361="","",H361+N(X361))</f>
        <v/>
      </c>
      <c r="Z361" s="29">
        <f>IFERROR(X361/Y361,"")</f>
        <v/>
      </c>
      <c r="AA361" s="26" t="n"/>
      <c r="AB361" s="26" t="n"/>
      <c r="AC361" s="26" t="n"/>
      <c r="AD361" s="26" t="n"/>
      <c r="AE361" s="27">
        <f>IF(C361="","",SUMIFS(tbl_Finance[Ex GST],tbl_Finance[Job Number],C361&amp;"",tbl_Finance[Cost Centre],"VIDEO"))</f>
        <v/>
      </c>
      <c r="AF361" s="29">
        <f>IFERROR(AE361/H361,"")</f>
        <v/>
      </c>
      <c r="AG361" s="27">
        <f>IF(C361="","",N(AA361)+N(AB361)+N(AC361)+N(AD361))</f>
        <v/>
      </c>
      <c r="AH361" s="27">
        <f>IF(C361="","",H361-AG361)</f>
        <v/>
      </c>
      <c r="AI361" s="29">
        <f>IFERROR(AH361/H361,"")</f>
        <v/>
      </c>
      <c r="AJ361" s="64" t="n"/>
      <c r="AK361" s="64" t="n"/>
      <c r="AL361" s="64" t="n"/>
      <c r="AM361" s="64" t="n"/>
      <c r="AN361" s="64" t="n"/>
      <c r="AO361" s="24" t="n"/>
    </row>
    <row r="362" ht="15" customHeight="1">
      <c r="A362" s="63">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7">
        <f>IF(C362="","",SUMIFS(tbl_Finance[Inc GST],tbl_Finance[Job Number],C362&amp;""))</f>
        <v/>
      </c>
      <c r="M362" s="24" t="n"/>
      <c r="N362" s="25">
        <f>IF(C362="","",IFERROR(INDEX(tbl_Finance[Description],MATCH(C362&amp;"",tbl_Finance[Job Number],0)),""))</f>
        <v/>
      </c>
      <c r="O362" s="24" t="n"/>
      <c r="P362" s="24" t="n"/>
      <c r="Q362" s="22" t="n"/>
      <c r="R362" s="24" t="n"/>
      <c r="S362" s="25">
        <f>IF(R362="","",IF(AND(LEFT(R362,4)&lt;&gt;"http",set_RMSBase=""),"",HYPERLINK(IF(LEFT(R362,4)="http",R362,set_RMSBase&amp;R362),"Open opportunity")))</f>
        <v/>
      </c>
      <c r="T362" s="24" t="n"/>
      <c r="U362" s="25">
        <f>IF(T362="","",HYPERLINK(IF(LEFT(T362,4)="http",T362,set_QwilrBase&amp;T362),"Open quote"))</f>
        <v/>
      </c>
      <c r="V362" s="25">
        <f>IF(C362="","",C362)</f>
        <v/>
      </c>
      <c r="W362" s="24" t="n"/>
      <c r="X362" s="26" t="n"/>
      <c r="Y362" s="27">
        <f>IF(C362="","",H362+N(X362))</f>
        <v/>
      </c>
      <c r="Z362" s="29">
        <f>IFERROR(X362/Y362,"")</f>
        <v/>
      </c>
      <c r="AA362" s="26" t="n"/>
      <c r="AB362" s="26" t="n"/>
      <c r="AC362" s="26" t="n"/>
      <c r="AD362" s="26" t="n"/>
      <c r="AE362" s="27">
        <f>IF(C362="","",SUMIFS(tbl_Finance[Ex GST],tbl_Finance[Job Number],C362&amp;"",tbl_Finance[Cost Centre],"VIDEO"))</f>
        <v/>
      </c>
      <c r="AF362" s="29">
        <f>IFERROR(AE362/H362,"")</f>
        <v/>
      </c>
      <c r="AG362" s="27">
        <f>IF(C362="","",N(AA362)+N(AB362)+N(AC362)+N(AD362))</f>
        <v/>
      </c>
      <c r="AH362" s="27">
        <f>IF(C362="","",H362-AG362)</f>
        <v/>
      </c>
      <c r="AI362" s="29">
        <f>IFERROR(AH362/H362,"")</f>
        <v/>
      </c>
      <c r="AJ362" s="64" t="n"/>
      <c r="AK362" s="64" t="n"/>
      <c r="AL362" s="64" t="n"/>
      <c r="AM362" s="64" t="n"/>
      <c r="AN362" s="64" t="n"/>
      <c r="AO362" s="24" t="n"/>
    </row>
    <row r="363" ht="15" customHeight="1">
      <c r="A363" s="63">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7">
        <f>IF(C363="","",SUMIFS(tbl_Finance[Inc GST],tbl_Finance[Job Number],C363&amp;""))</f>
        <v/>
      </c>
      <c r="M363" s="24" t="n"/>
      <c r="N363" s="25">
        <f>IF(C363="","",IFERROR(INDEX(tbl_Finance[Description],MATCH(C363&amp;"",tbl_Finance[Job Number],0)),""))</f>
        <v/>
      </c>
      <c r="O363" s="24" t="n"/>
      <c r="P363" s="24" t="n"/>
      <c r="Q363" s="22" t="n"/>
      <c r="R363" s="24" t="n"/>
      <c r="S363" s="25">
        <f>IF(R363="","",IF(AND(LEFT(R363,4)&lt;&gt;"http",set_RMSBase=""),"",HYPERLINK(IF(LEFT(R363,4)="http",R363,set_RMSBase&amp;R363),"Open opportunity")))</f>
        <v/>
      </c>
      <c r="T363" s="24" t="n"/>
      <c r="U363" s="25">
        <f>IF(T363="","",HYPERLINK(IF(LEFT(T363,4)="http",T363,set_QwilrBase&amp;T363),"Open quote"))</f>
        <v/>
      </c>
      <c r="V363" s="25">
        <f>IF(C363="","",C363)</f>
        <v/>
      </c>
      <c r="W363" s="24" t="n"/>
      <c r="X363" s="26" t="n"/>
      <c r="Y363" s="27">
        <f>IF(C363="","",H363+N(X363))</f>
        <v/>
      </c>
      <c r="Z363" s="29">
        <f>IFERROR(X363/Y363,"")</f>
        <v/>
      </c>
      <c r="AA363" s="26" t="n"/>
      <c r="AB363" s="26" t="n"/>
      <c r="AC363" s="26" t="n"/>
      <c r="AD363" s="26" t="n"/>
      <c r="AE363" s="27">
        <f>IF(C363="","",SUMIFS(tbl_Finance[Ex GST],tbl_Finance[Job Number],C363&amp;"",tbl_Finance[Cost Centre],"VIDEO"))</f>
        <v/>
      </c>
      <c r="AF363" s="29">
        <f>IFERROR(AE363/H363,"")</f>
        <v/>
      </c>
      <c r="AG363" s="27">
        <f>IF(C363="","",N(AA363)+N(AB363)+N(AC363)+N(AD363))</f>
        <v/>
      </c>
      <c r="AH363" s="27">
        <f>IF(C363="","",H363-AG363)</f>
        <v/>
      </c>
      <c r="AI363" s="29">
        <f>IFERROR(AH363/H363,"")</f>
        <v/>
      </c>
      <c r="AJ363" s="64" t="n"/>
      <c r="AK363" s="64" t="n"/>
      <c r="AL363" s="64" t="n"/>
      <c r="AM363" s="64" t="n"/>
      <c r="AN363" s="64" t="n"/>
      <c r="AO363" s="24" t="n"/>
    </row>
    <row r="364" ht="15" customHeight="1">
      <c r="A364" s="63">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7">
        <f>IF(C364="","",SUMIFS(tbl_Finance[Inc GST],tbl_Finance[Job Number],C364&amp;""))</f>
        <v/>
      </c>
      <c r="M364" s="24" t="n"/>
      <c r="N364" s="25">
        <f>IF(C364="","",IFERROR(INDEX(tbl_Finance[Description],MATCH(C364&amp;"",tbl_Finance[Job Number],0)),""))</f>
        <v/>
      </c>
      <c r="O364" s="24" t="n"/>
      <c r="P364" s="24" t="n"/>
      <c r="Q364" s="22" t="n"/>
      <c r="R364" s="24" t="n"/>
      <c r="S364" s="25">
        <f>IF(R364="","",IF(AND(LEFT(R364,4)&lt;&gt;"http",set_RMSBase=""),"",HYPERLINK(IF(LEFT(R364,4)="http",R364,set_RMSBase&amp;R364),"Open opportunity")))</f>
        <v/>
      </c>
      <c r="T364" s="24" t="n"/>
      <c r="U364" s="25">
        <f>IF(T364="","",HYPERLINK(IF(LEFT(T364,4)="http",T364,set_QwilrBase&amp;T364),"Open quote"))</f>
        <v/>
      </c>
      <c r="V364" s="25">
        <f>IF(C364="","",C364)</f>
        <v/>
      </c>
      <c r="W364" s="24" t="n"/>
      <c r="X364" s="26" t="n"/>
      <c r="Y364" s="27">
        <f>IF(C364="","",H364+N(X364))</f>
        <v/>
      </c>
      <c r="Z364" s="29">
        <f>IFERROR(X364/Y364,"")</f>
        <v/>
      </c>
      <c r="AA364" s="26" t="n"/>
      <c r="AB364" s="26" t="n"/>
      <c r="AC364" s="26" t="n"/>
      <c r="AD364" s="26" t="n"/>
      <c r="AE364" s="27">
        <f>IF(C364="","",SUMIFS(tbl_Finance[Ex GST],tbl_Finance[Job Number],C364&amp;"",tbl_Finance[Cost Centre],"VIDEO"))</f>
        <v/>
      </c>
      <c r="AF364" s="29">
        <f>IFERROR(AE364/H364,"")</f>
        <v/>
      </c>
      <c r="AG364" s="27">
        <f>IF(C364="","",N(AA364)+N(AB364)+N(AC364)+N(AD364))</f>
        <v/>
      </c>
      <c r="AH364" s="27">
        <f>IF(C364="","",H364-AG364)</f>
        <v/>
      </c>
      <c r="AI364" s="29">
        <f>IFERROR(AH364/H364,"")</f>
        <v/>
      </c>
      <c r="AJ364" s="64" t="n"/>
      <c r="AK364" s="64" t="n"/>
      <c r="AL364" s="64" t="n"/>
      <c r="AM364" s="64" t="n"/>
      <c r="AN364" s="64" t="n"/>
      <c r="AO364" s="24" t="n"/>
    </row>
    <row r="365" ht="15" customHeight="1">
      <c r="A365" s="63">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7">
        <f>IF(C365="","",SUMIFS(tbl_Finance[Inc GST],tbl_Finance[Job Number],C365&amp;""))</f>
        <v/>
      </c>
      <c r="M365" s="24" t="n"/>
      <c r="N365" s="25">
        <f>IF(C365="","",IFERROR(INDEX(tbl_Finance[Description],MATCH(C365&amp;"",tbl_Finance[Job Number],0)),""))</f>
        <v/>
      </c>
      <c r="O365" s="24" t="n"/>
      <c r="P365" s="24" t="n"/>
      <c r="Q365" s="22" t="n"/>
      <c r="R365" s="24" t="n"/>
      <c r="S365" s="25">
        <f>IF(R365="","",IF(AND(LEFT(R365,4)&lt;&gt;"http",set_RMSBase=""),"",HYPERLINK(IF(LEFT(R365,4)="http",R365,set_RMSBase&amp;R365),"Open opportunity")))</f>
        <v/>
      </c>
      <c r="T365" s="24" t="n"/>
      <c r="U365" s="25">
        <f>IF(T365="","",HYPERLINK(IF(LEFT(T365,4)="http",T365,set_QwilrBase&amp;T365),"Open quote"))</f>
        <v/>
      </c>
      <c r="V365" s="25">
        <f>IF(C365="","",C365)</f>
        <v/>
      </c>
      <c r="W365" s="24" t="n"/>
      <c r="X365" s="26" t="n"/>
      <c r="Y365" s="27">
        <f>IF(C365="","",H365+N(X365))</f>
        <v/>
      </c>
      <c r="Z365" s="29">
        <f>IFERROR(X365/Y365,"")</f>
        <v/>
      </c>
      <c r="AA365" s="26" t="n"/>
      <c r="AB365" s="26" t="n"/>
      <c r="AC365" s="26" t="n"/>
      <c r="AD365" s="26" t="n"/>
      <c r="AE365" s="27">
        <f>IF(C365="","",SUMIFS(tbl_Finance[Ex GST],tbl_Finance[Job Number],C365&amp;"",tbl_Finance[Cost Centre],"VIDEO"))</f>
        <v/>
      </c>
      <c r="AF365" s="29">
        <f>IFERROR(AE365/H365,"")</f>
        <v/>
      </c>
      <c r="AG365" s="27">
        <f>IF(C365="","",N(AA365)+N(AB365)+N(AC365)+N(AD365))</f>
        <v/>
      </c>
      <c r="AH365" s="27">
        <f>IF(C365="","",H365-AG365)</f>
        <v/>
      </c>
      <c r="AI365" s="29">
        <f>IFERROR(AH365/H365,"")</f>
        <v/>
      </c>
      <c r="AJ365" s="64" t="n"/>
      <c r="AK365" s="64" t="n"/>
      <c r="AL365" s="64" t="n"/>
      <c r="AM365" s="64" t="n"/>
      <c r="AN365" s="64" t="n"/>
      <c r="AO365" s="24" t="n"/>
    </row>
    <row r="366" ht="15" customHeight="1">
      <c r="A366" s="63">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7">
        <f>IF(C366="","",SUMIFS(tbl_Finance[Inc GST],tbl_Finance[Job Number],C366&amp;""))</f>
        <v/>
      </c>
      <c r="M366" s="24" t="n"/>
      <c r="N366" s="25">
        <f>IF(C366="","",IFERROR(INDEX(tbl_Finance[Description],MATCH(C366&amp;"",tbl_Finance[Job Number],0)),""))</f>
        <v/>
      </c>
      <c r="O366" s="24" t="n"/>
      <c r="P366" s="24" t="n"/>
      <c r="Q366" s="22" t="n"/>
      <c r="R366" s="24" t="n"/>
      <c r="S366" s="25">
        <f>IF(R366="","",IF(AND(LEFT(R366,4)&lt;&gt;"http",set_RMSBase=""),"",HYPERLINK(IF(LEFT(R366,4)="http",R366,set_RMSBase&amp;R366),"Open opportunity")))</f>
        <v/>
      </c>
      <c r="T366" s="24" t="n"/>
      <c r="U366" s="25">
        <f>IF(T366="","",HYPERLINK(IF(LEFT(T366,4)="http",T366,set_QwilrBase&amp;T366),"Open quote"))</f>
        <v/>
      </c>
      <c r="V366" s="25">
        <f>IF(C366="","",C366)</f>
        <v/>
      </c>
      <c r="W366" s="24" t="n"/>
      <c r="X366" s="26" t="n"/>
      <c r="Y366" s="27">
        <f>IF(C366="","",H366+N(X366))</f>
        <v/>
      </c>
      <c r="Z366" s="29">
        <f>IFERROR(X366/Y366,"")</f>
        <v/>
      </c>
      <c r="AA366" s="26" t="n"/>
      <c r="AB366" s="26" t="n"/>
      <c r="AC366" s="26" t="n"/>
      <c r="AD366" s="26" t="n"/>
      <c r="AE366" s="27">
        <f>IF(C366="","",SUMIFS(tbl_Finance[Ex GST],tbl_Finance[Job Number],C366&amp;"",tbl_Finance[Cost Centre],"VIDEO"))</f>
        <v/>
      </c>
      <c r="AF366" s="29">
        <f>IFERROR(AE366/H366,"")</f>
        <v/>
      </c>
      <c r="AG366" s="27">
        <f>IF(C366="","",N(AA366)+N(AB366)+N(AC366)+N(AD366))</f>
        <v/>
      </c>
      <c r="AH366" s="27">
        <f>IF(C366="","",H366-AG366)</f>
        <v/>
      </c>
      <c r="AI366" s="29">
        <f>IFERROR(AH366/H366,"")</f>
        <v/>
      </c>
      <c r="AJ366" s="64" t="n"/>
      <c r="AK366" s="64" t="n"/>
      <c r="AL366" s="64" t="n"/>
      <c r="AM366" s="64" t="n"/>
      <c r="AN366" s="64" t="n"/>
      <c r="AO366" s="24" t="n"/>
    </row>
    <row r="367" ht="15" customHeight="1">
      <c r="A367" s="63">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7">
        <f>IF(C367="","",SUMIFS(tbl_Finance[Inc GST],tbl_Finance[Job Number],C367&amp;""))</f>
        <v/>
      </c>
      <c r="M367" s="24" t="n"/>
      <c r="N367" s="25">
        <f>IF(C367="","",IFERROR(INDEX(tbl_Finance[Description],MATCH(C367&amp;"",tbl_Finance[Job Number],0)),""))</f>
        <v/>
      </c>
      <c r="O367" s="24" t="n"/>
      <c r="P367" s="24" t="n"/>
      <c r="Q367" s="22" t="n"/>
      <c r="R367" s="24" t="n"/>
      <c r="S367" s="25">
        <f>IF(R367="","",IF(AND(LEFT(R367,4)&lt;&gt;"http",set_RMSBase=""),"",HYPERLINK(IF(LEFT(R367,4)="http",R367,set_RMSBase&amp;R367),"Open opportunity")))</f>
        <v/>
      </c>
      <c r="T367" s="24" t="n"/>
      <c r="U367" s="25">
        <f>IF(T367="","",HYPERLINK(IF(LEFT(T367,4)="http",T367,set_QwilrBase&amp;T367),"Open quote"))</f>
        <v/>
      </c>
      <c r="V367" s="25">
        <f>IF(C367="","",C367)</f>
        <v/>
      </c>
      <c r="W367" s="24" t="n"/>
      <c r="X367" s="26" t="n"/>
      <c r="Y367" s="27">
        <f>IF(C367="","",H367+N(X367))</f>
        <v/>
      </c>
      <c r="Z367" s="29">
        <f>IFERROR(X367/Y367,"")</f>
        <v/>
      </c>
      <c r="AA367" s="26" t="n"/>
      <c r="AB367" s="26" t="n"/>
      <c r="AC367" s="26" t="n"/>
      <c r="AD367" s="26" t="n"/>
      <c r="AE367" s="27">
        <f>IF(C367="","",SUMIFS(tbl_Finance[Ex GST],tbl_Finance[Job Number],C367&amp;"",tbl_Finance[Cost Centre],"VIDEO"))</f>
        <v/>
      </c>
      <c r="AF367" s="29">
        <f>IFERROR(AE367/H367,"")</f>
        <v/>
      </c>
      <c r="AG367" s="27">
        <f>IF(C367="","",N(AA367)+N(AB367)+N(AC367)+N(AD367))</f>
        <v/>
      </c>
      <c r="AH367" s="27">
        <f>IF(C367="","",H367-AG367)</f>
        <v/>
      </c>
      <c r="AI367" s="29">
        <f>IFERROR(AH367/H367,"")</f>
        <v/>
      </c>
      <c r="AJ367" s="64" t="n"/>
      <c r="AK367" s="64" t="n"/>
      <c r="AL367" s="64" t="n"/>
      <c r="AM367" s="64" t="n"/>
      <c r="AN367" s="64" t="n"/>
      <c r="AO367" s="24" t="n"/>
    </row>
    <row r="368" ht="15" customHeight="1">
      <c r="A368" s="63">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7">
        <f>IF(C368="","",SUMIFS(tbl_Finance[Inc GST],tbl_Finance[Job Number],C368&amp;""))</f>
        <v/>
      </c>
      <c r="M368" s="24" t="n"/>
      <c r="N368" s="25">
        <f>IF(C368="","",IFERROR(INDEX(tbl_Finance[Description],MATCH(C368&amp;"",tbl_Finance[Job Number],0)),""))</f>
        <v/>
      </c>
      <c r="O368" s="24" t="n"/>
      <c r="P368" s="24" t="n"/>
      <c r="Q368" s="22" t="n"/>
      <c r="R368" s="24" t="n"/>
      <c r="S368" s="25">
        <f>IF(R368="","",IF(AND(LEFT(R368,4)&lt;&gt;"http",set_RMSBase=""),"",HYPERLINK(IF(LEFT(R368,4)="http",R368,set_RMSBase&amp;R368),"Open opportunity")))</f>
        <v/>
      </c>
      <c r="T368" s="24" t="n"/>
      <c r="U368" s="25">
        <f>IF(T368="","",HYPERLINK(IF(LEFT(T368,4)="http",T368,set_QwilrBase&amp;T368),"Open quote"))</f>
        <v/>
      </c>
      <c r="V368" s="25">
        <f>IF(C368="","",C368)</f>
        <v/>
      </c>
      <c r="W368" s="24" t="n"/>
      <c r="X368" s="26" t="n"/>
      <c r="Y368" s="27">
        <f>IF(C368="","",H368+N(X368))</f>
        <v/>
      </c>
      <c r="Z368" s="29">
        <f>IFERROR(X368/Y368,"")</f>
        <v/>
      </c>
      <c r="AA368" s="26" t="n"/>
      <c r="AB368" s="26" t="n"/>
      <c r="AC368" s="26" t="n"/>
      <c r="AD368" s="26" t="n"/>
      <c r="AE368" s="27">
        <f>IF(C368="","",SUMIFS(tbl_Finance[Ex GST],tbl_Finance[Job Number],C368&amp;"",tbl_Finance[Cost Centre],"VIDEO"))</f>
        <v/>
      </c>
      <c r="AF368" s="29">
        <f>IFERROR(AE368/H368,"")</f>
        <v/>
      </c>
      <c r="AG368" s="27">
        <f>IF(C368="","",N(AA368)+N(AB368)+N(AC368)+N(AD368))</f>
        <v/>
      </c>
      <c r="AH368" s="27">
        <f>IF(C368="","",H368-AG368)</f>
        <v/>
      </c>
      <c r="AI368" s="29">
        <f>IFERROR(AH368/H368,"")</f>
        <v/>
      </c>
      <c r="AJ368" s="64" t="n"/>
      <c r="AK368" s="64" t="n"/>
      <c r="AL368" s="64" t="n"/>
      <c r="AM368" s="64" t="n"/>
      <c r="AN368" s="64" t="n"/>
      <c r="AO368" s="24" t="n"/>
    </row>
    <row r="369" ht="15" customHeight="1">
      <c r="A369" s="63">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7">
        <f>IF(C369="","",SUMIFS(tbl_Finance[Inc GST],tbl_Finance[Job Number],C369&amp;""))</f>
        <v/>
      </c>
      <c r="M369" s="24" t="n"/>
      <c r="N369" s="25">
        <f>IF(C369="","",IFERROR(INDEX(tbl_Finance[Description],MATCH(C369&amp;"",tbl_Finance[Job Number],0)),""))</f>
        <v/>
      </c>
      <c r="O369" s="24" t="n"/>
      <c r="P369" s="24" t="n"/>
      <c r="Q369" s="22" t="n"/>
      <c r="R369" s="24" t="n"/>
      <c r="S369" s="25">
        <f>IF(R369="","",IF(AND(LEFT(R369,4)&lt;&gt;"http",set_RMSBase=""),"",HYPERLINK(IF(LEFT(R369,4)="http",R369,set_RMSBase&amp;R369),"Open opportunity")))</f>
        <v/>
      </c>
      <c r="T369" s="24" t="n"/>
      <c r="U369" s="25">
        <f>IF(T369="","",HYPERLINK(IF(LEFT(T369,4)="http",T369,set_QwilrBase&amp;T369),"Open quote"))</f>
        <v/>
      </c>
      <c r="V369" s="25">
        <f>IF(C369="","",C369)</f>
        <v/>
      </c>
      <c r="W369" s="24" t="n"/>
      <c r="X369" s="26" t="n"/>
      <c r="Y369" s="27">
        <f>IF(C369="","",H369+N(X369))</f>
        <v/>
      </c>
      <c r="Z369" s="29">
        <f>IFERROR(X369/Y369,"")</f>
        <v/>
      </c>
      <c r="AA369" s="26" t="n"/>
      <c r="AB369" s="26" t="n"/>
      <c r="AC369" s="26" t="n"/>
      <c r="AD369" s="26" t="n"/>
      <c r="AE369" s="27">
        <f>IF(C369="","",SUMIFS(tbl_Finance[Ex GST],tbl_Finance[Job Number],C369&amp;"",tbl_Finance[Cost Centre],"VIDEO"))</f>
        <v/>
      </c>
      <c r="AF369" s="29">
        <f>IFERROR(AE369/H369,"")</f>
        <v/>
      </c>
      <c r="AG369" s="27">
        <f>IF(C369="","",N(AA369)+N(AB369)+N(AC369)+N(AD369))</f>
        <v/>
      </c>
      <c r="AH369" s="27">
        <f>IF(C369="","",H369-AG369)</f>
        <v/>
      </c>
      <c r="AI369" s="29">
        <f>IFERROR(AH369/H369,"")</f>
        <v/>
      </c>
      <c r="AJ369" s="64" t="n"/>
      <c r="AK369" s="64" t="n"/>
      <c r="AL369" s="64" t="n"/>
      <c r="AM369" s="64" t="n"/>
      <c r="AN369" s="64" t="n"/>
      <c r="AO369" s="24" t="n"/>
    </row>
    <row r="370" ht="15" customHeight="1">
      <c r="A370" s="63">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7">
        <f>IF(C370="","",SUMIFS(tbl_Finance[Inc GST],tbl_Finance[Job Number],C370&amp;""))</f>
        <v/>
      </c>
      <c r="M370" s="24" t="n"/>
      <c r="N370" s="25">
        <f>IF(C370="","",IFERROR(INDEX(tbl_Finance[Description],MATCH(C370&amp;"",tbl_Finance[Job Number],0)),""))</f>
        <v/>
      </c>
      <c r="O370" s="24" t="n"/>
      <c r="P370" s="24" t="n"/>
      <c r="Q370" s="22" t="n"/>
      <c r="R370" s="24" t="n"/>
      <c r="S370" s="25">
        <f>IF(R370="","",IF(AND(LEFT(R370,4)&lt;&gt;"http",set_RMSBase=""),"",HYPERLINK(IF(LEFT(R370,4)="http",R370,set_RMSBase&amp;R370),"Open opportunity")))</f>
        <v/>
      </c>
      <c r="T370" s="24" t="n"/>
      <c r="U370" s="25">
        <f>IF(T370="","",HYPERLINK(IF(LEFT(T370,4)="http",T370,set_QwilrBase&amp;T370),"Open quote"))</f>
        <v/>
      </c>
      <c r="V370" s="25">
        <f>IF(C370="","",C370)</f>
        <v/>
      </c>
      <c r="W370" s="24" t="n"/>
      <c r="X370" s="26" t="n"/>
      <c r="Y370" s="27">
        <f>IF(C370="","",H370+N(X370))</f>
        <v/>
      </c>
      <c r="Z370" s="29">
        <f>IFERROR(X370/Y370,"")</f>
        <v/>
      </c>
      <c r="AA370" s="26" t="n"/>
      <c r="AB370" s="26" t="n"/>
      <c r="AC370" s="26" t="n"/>
      <c r="AD370" s="26" t="n"/>
      <c r="AE370" s="27">
        <f>IF(C370="","",SUMIFS(tbl_Finance[Ex GST],tbl_Finance[Job Number],C370&amp;"",tbl_Finance[Cost Centre],"VIDEO"))</f>
        <v/>
      </c>
      <c r="AF370" s="29">
        <f>IFERROR(AE370/H370,"")</f>
        <v/>
      </c>
      <c r="AG370" s="27">
        <f>IF(C370="","",N(AA370)+N(AB370)+N(AC370)+N(AD370))</f>
        <v/>
      </c>
      <c r="AH370" s="27">
        <f>IF(C370="","",H370-AG370)</f>
        <v/>
      </c>
      <c r="AI370" s="29">
        <f>IFERROR(AH370/H370,"")</f>
        <v/>
      </c>
      <c r="AJ370" s="64" t="n"/>
      <c r="AK370" s="64" t="n"/>
      <c r="AL370" s="64" t="n"/>
      <c r="AM370" s="64" t="n"/>
      <c r="AN370" s="64" t="n"/>
      <c r="AO370" s="24" t="n"/>
    </row>
    <row r="371" ht="15" customHeight="1">
      <c r="A371" s="63">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7">
        <f>IF(C371="","",SUMIFS(tbl_Finance[Inc GST],tbl_Finance[Job Number],C371&amp;""))</f>
        <v/>
      </c>
      <c r="M371" s="24" t="n"/>
      <c r="N371" s="25">
        <f>IF(C371="","",IFERROR(INDEX(tbl_Finance[Description],MATCH(C371&amp;"",tbl_Finance[Job Number],0)),""))</f>
        <v/>
      </c>
      <c r="O371" s="24" t="n"/>
      <c r="P371" s="24" t="n"/>
      <c r="Q371" s="22" t="n"/>
      <c r="R371" s="24" t="n"/>
      <c r="S371" s="25">
        <f>IF(R371="","",IF(AND(LEFT(R371,4)&lt;&gt;"http",set_RMSBase=""),"",HYPERLINK(IF(LEFT(R371,4)="http",R371,set_RMSBase&amp;R371),"Open opportunity")))</f>
        <v/>
      </c>
      <c r="T371" s="24" t="n"/>
      <c r="U371" s="25">
        <f>IF(T371="","",HYPERLINK(IF(LEFT(T371,4)="http",T371,set_QwilrBase&amp;T371),"Open quote"))</f>
        <v/>
      </c>
      <c r="V371" s="25">
        <f>IF(C371="","",C371)</f>
        <v/>
      </c>
      <c r="W371" s="24" t="n"/>
      <c r="X371" s="26" t="n"/>
      <c r="Y371" s="27">
        <f>IF(C371="","",H371+N(X371))</f>
        <v/>
      </c>
      <c r="Z371" s="29">
        <f>IFERROR(X371/Y371,"")</f>
        <v/>
      </c>
      <c r="AA371" s="26" t="n"/>
      <c r="AB371" s="26" t="n"/>
      <c r="AC371" s="26" t="n"/>
      <c r="AD371" s="26" t="n"/>
      <c r="AE371" s="27">
        <f>IF(C371="","",SUMIFS(tbl_Finance[Ex GST],tbl_Finance[Job Number],C371&amp;"",tbl_Finance[Cost Centre],"VIDEO"))</f>
        <v/>
      </c>
      <c r="AF371" s="29">
        <f>IFERROR(AE371/H371,"")</f>
        <v/>
      </c>
      <c r="AG371" s="27">
        <f>IF(C371="","",N(AA371)+N(AB371)+N(AC371)+N(AD371))</f>
        <v/>
      </c>
      <c r="AH371" s="27">
        <f>IF(C371="","",H371-AG371)</f>
        <v/>
      </c>
      <c r="AI371" s="29">
        <f>IFERROR(AH371/H371,"")</f>
        <v/>
      </c>
      <c r="AJ371" s="64" t="n"/>
      <c r="AK371" s="64" t="n"/>
      <c r="AL371" s="64" t="n"/>
      <c r="AM371" s="64" t="n"/>
      <c r="AN371" s="64" t="n"/>
      <c r="AO371" s="24" t="n"/>
    </row>
    <row r="372" ht="15" customHeight="1">
      <c r="A372" s="63">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7">
        <f>IF(C372="","",SUMIFS(tbl_Finance[Inc GST],tbl_Finance[Job Number],C372&amp;""))</f>
        <v/>
      </c>
      <c r="M372" s="24" t="n"/>
      <c r="N372" s="25">
        <f>IF(C372="","",IFERROR(INDEX(tbl_Finance[Description],MATCH(C372&amp;"",tbl_Finance[Job Number],0)),""))</f>
        <v/>
      </c>
      <c r="O372" s="24" t="n"/>
      <c r="P372" s="24" t="n"/>
      <c r="Q372" s="22" t="n"/>
      <c r="R372" s="24" t="n"/>
      <c r="S372" s="25">
        <f>IF(R372="","",IF(AND(LEFT(R372,4)&lt;&gt;"http",set_RMSBase=""),"",HYPERLINK(IF(LEFT(R372,4)="http",R372,set_RMSBase&amp;R372),"Open opportunity")))</f>
        <v/>
      </c>
      <c r="T372" s="24" t="n"/>
      <c r="U372" s="25">
        <f>IF(T372="","",HYPERLINK(IF(LEFT(T372,4)="http",T372,set_QwilrBase&amp;T372),"Open quote"))</f>
        <v/>
      </c>
      <c r="V372" s="25">
        <f>IF(C372="","",C372)</f>
        <v/>
      </c>
      <c r="W372" s="24" t="n"/>
      <c r="X372" s="26" t="n"/>
      <c r="Y372" s="27">
        <f>IF(C372="","",H372+N(X372))</f>
        <v/>
      </c>
      <c r="Z372" s="29">
        <f>IFERROR(X372/Y372,"")</f>
        <v/>
      </c>
      <c r="AA372" s="26" t="n"/>
      <c r="AB372" s="26" t="n"/>
      <c r="AC372" s="26" t="n"/>
      <c r="AD372" s="26" t="n"/>
      <c r="AE372" s="27">
        <f>IF(C372="","",SUMIFS(tbl_Finance[Ex GST],tbl_Finance[Job Number],C372&amp;"",tbl_Finance[Cost Centre],"VIDEO"))</f>
        <v/>
      </c>
      <c r="AF372" s="29">
        <f>IFERROR(AE372/H372,"")</f>
        <v/>
      </c>
      <c r="AG372" s="27">
        <f>IF(C372="","",N(AA372)+N(AB372)+N(AC372)+N(AD372))</f>
        <v/>
      </c>
      <c r="AH372" s="27">
        <f>IF(C372="","",H372-AG372)</f>
        <v/>
      </c>
      <c r="AI372" s="29">
        <f>IFERROR(AH372/H372,"")</f>
        <v/>
      </c>
      <c r="AJ372" s="64" t="n"/>
      <c r="AK372" s="64" t="n"/>
      <c r="AL372" s="64" t="n"/>
      <c r="AM372" s="64" t="n"/>
      <c r="AN372" s="64" t="n"/>
      <c r="AO372" s="24" t="n"/>
    </row>
    <row r="373" ht="15" customHeight="1">
      <c r="A373" s="63">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7">
        <f>IF(C373="","",SUMIFS(tbl_Finance[Inc GST],tbl_Finance[Job Number],C373&amp;""))</f>
        <v/>
      </c>
      <c r="M373" s="24" t="n"/>
      <c r="N373" s="25">
        <f>IF(C373="","",IFERROR(INDEX(tbl_Finance[Description],MATCH(C373&amp;"",tbl_Finance[Job Number],0)),""))</f>
        <v/>
      </c>
      <c r="O373" s="24" t="n"/>
      <c r="P373" s="24" t="n"/>
      <c r="Q373" s="22" t="n"/>
      <c r="R373" s="24" t="n"/>
      <c r="S373" s="25">
        <f>IF(R373="","",IF(AND(LEFT(R373,4)&lt;&gt;"http",set_RMSBase=""),"",HYPERLINK(IF(LEFT(R373,4)="http",R373,set_RMSBase&amp;R373),"Open opportunity")))</f>
        <v/>
      </c>
      <c r="T373" s="24" t="n"/>
      <c r="U373" s="25">
        <f>IF(T373="","",HYPERLINK(IF(LEFT(T373,4)="http",T373,set_QwilrBase&amp;T373),"Open quote"))</f>
        <v/>
      </c>
      <c r="V373" s="25">
        <f>IF(C373="","",C373)</f>
        <v/>
      </c>
      <c r="W373" s="24" t="n"/>
      <c r="X373" s="26" t="n"/>
      <c r="Y373" s="27">
        <f>IF(C373="","",H373+N(X373))</f>
        <v/>
      </c>
      <c r="Z373" s="29">
        <f>IFERROR(X373/Y373,"")</f>
        <v/>
      </c>
      <c r="AA373" s="26" t="n"/>
      <c r="AB373" s="26" t="n"/>
      <c r="AC373" s="26" t="n"/>
      <c r="AD373" s="26" t="n"/>
      <c r="AE373" s="27">
        <f>IF(C373="","",SUMIFS(tbl_Finance[Ex GST],tbl_Finance[Job Number],C373&amp;"",tbl_Finance[Cost Centre],"VIDEO"))</f>
        <v/>
      </c>
      <c r="AF373" s="29">
        <f>IFERROR(AE373/H373,"")</f>
        <v/>
      </c>
      <c r="AG373" s="27">
        <f>IF(C373="","",N(AA373)+N(AB373)+N(AC373)+N(AD373))</f>
        <v/>
      </c>
      <c r="AH373" s="27">
        <f>IF(C373="","",H373-AG373)</f>
        <v/>
      </c>
      <c r="AI373" s="29">
        <f>IFERROR(AH373/H373,"")</f>
        <v/>
      </c>
      <c r="AJ373" s="64" t="n"/>
      <c r="AK373" s="64" t="n"/>
      <c r="AL373" s="64" t="n"/>
      <c r="AM373" s="64" t="n"/>
      <c r="AN373" s="64" t="n"/>
      <c r="AO373" s="24" t="n"/>
    </row>
    <row r="374" ht="15" customHeight="1">
      <c r="A374" s="63">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7">
        <f>IF(C374="","",SUMIFS(tbl_Finance[Inc GST],tbl_Finance[Job Number],C374&amp;""))</f>
        <v/>
      </c>
      <c r="M374" s="24" t="n"/>
      <c r="N374" s="25">
        <f>IF(C374="","",IFERROR(INDEX(tbl_Finance[Description],MATCH(C374&amp;"",tbl_Finance[Job Number],0)),""))</f>
        <v/>
      </c>
      <c r="O374" s="24" t="n"/>
      <c r="P374" s="24" t="n"/>
      <c r="Q374" s="22" t="n"/>
      <c r="R374" s="24" t="n"/>
      <c r="S374" s="25">
        <f>IF(R374="","",IF(AND(LEFT(R374,4)&lt;&gt;"http",set_RMSBase=""),"",HYPERLINK(IF(LEFT(R374,4)="http",R374,set_RMSBase&amp;R374),"Open opportunity")))</f>
        <v/>
      </c>
      <c r="T374" s="24" t="n"/>
      <c r="U374" s="25">
        <f>IF(T374="","",HYPERLINK(IF(LEFT(T374,4)="http",T374,set_QwilrBase&amp;T374),"Open quote"))</f>
        <v/>
      </c>
      <c r="V374" s="25">
        <f>IF(C374="","",C374)</f>
        <v/>
      </c>
      <c r="W374" s="24" t="n"/>
      <c r="X374" s="26" t="n"/>
      <c r="Y374" s="27">
        <f>IF(C374="","",H374+N(X374))</f>
        <v/>
      </c>
      <c r="Z374" s="29">
        <f>IFERROR(X374/Y374,"")</f>
        <v/>
      </c>
      <c r="AA374" s="26" t="n"/>
      <c r="AB374" s="26" t="n"/>
      <c r="AC374" s="26" t="n"/>
      <c r="AD374" s="26" t="n"/>
      <c r="AE374" s="27">
        <f>IF(C374="","",SUMIFS(tbl_Finance[Ex GST],tbl_Finance[Job Number],C374&amp;"",tbl_Finance[Cost Centre],"VIDEO"))</f>
        <v/>
      </c>
      <c r="AF374" s="29">
        <f>IFERROR(AE374/H374,"")</f>
        <v/>
      </c>
      <c r="AG374" s="27">
        <f>IF(C374="","",N(AA374)+N(AB374)+N(AC374)+N(AD374))</f>
        <v/>
      </c>
      <c r="AH374" s="27">
        <f>IF(C374="","",H374-AG374)</f>
        <v/>
      </c>
      <c r="AI374" s="29">
        <f>IFERROR(AH374/H374,"")</f>
        <v/>
      </c>
      <c r="AJ374" s="64" t="n"/>
      <c r="AK374" s="64" t="n"/>
      <c r="AL374" s="64" t="n"/>
      <c r="AM374" s="64" t="n"/>
      <c r="AN374" s="64" t="n"/>
      <c r="AO374" s="24" t="n"/>
    </row>
    <row r="375" ht="15" customHeight="1">
      <c r="A375" s="63">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7">
        <f>IF(C375="","",SUMIFS(tbl_Finance[Inc GST],tbl_Finance[Job Number],C375&amp;""))</f>
        <v/>
      </c>
      <c r="M375" s="24" t="n"/>
      <c r="N375" s="25">
        <f>IF(C375="","",IFERROR(INDEX(tbl_Finance[Description],MATCH(C375&amp;"",tbl_Finance[Job Number],0)),""))</f>
        <v/>
      </c>
      <c r="O375" s="24" t="n"/>
      <c r="P375" s="24" t="n"/>
      <c r="Q375" s="22" t="n"/>
      <c r="R375" s="24" t="n"/>
      <c r="S375" s="25">
        <f>IF(R375="","",IF(AND(LEFT(R375,4)&lt;&gt;"http",set_RMSBase=""),"",HYPERLINK(IF(LEFT(R375,4)="http",R375,set_RMSBase&amp;R375),"Open opportunity")))</f>
        <v/>
      </c>
      <c r="T375" s="24" t="n"/>
      <c r="U375" s="25">
        <f>IF(T375="","",HYPERLINK(IF(LEFT(T375,4)="http",T375,set_QwilrBase&amp;T375),"Open quote"))</f>
        <v/>
      </c>
      <c r="V375" s="25">
        <f>IF(C375="","",C375)</f>
        <v/>
      </c>
      <c r="W375" s="24" t="n"/>
      <c r="X375" s="26" t="n"/>
      <c r="Y375" s="27">
        <f>IF(C375="","",H375+N(X375))</f>
        <v/>
      </c>
      <c r="Z375" s="29">
        <f>IFERROR(X375/Y375,"")</f>
        <v/>
      </c>
      <c r="AA375" s="26" t="n"/>
      <c r="AB375" s="26" t="n"/>
      <c r="AC375" s="26" t="n"/>
      <c r="AD375" s="26" t="n"/>
      <c r="AE375" s="27">
        <f>IF(C375="","",SUMIFS(tbl_Finance[Ex GST],tbl_Finance[Job Number],C375&amp;"",tbl_Finance[Cost Centre],"VIDEO"))</f>
        <v/>
      </c>
      <c r="AF375" s="29">
        <f>IFERROR(AE375/H375,"")</f>
        <v/>
      </c>
      <c r="AG375" s="27">
        <f>IF(C375="","",N(AA375)+N(AB375)+N(AC375)+N(AD375))</f>
        <v/>
      </c>
      <c r="AH375" s="27">
        <f>IF(C375="","",H375-AG375)</f>
        <v/>
      </c>
      <c r="AI375" s="29">
        <f>IFERROR(AH375/H375,"")</f>
        <v/>
      </c>
      <c r="AJ375" s="64" t="n"/>
      <c r="AK375" s="64" t="n"/>
      <c r="AL375" s="64" t="n"/>
      <c r="AM375" s="64" t="n"/>
      <c r="AN375" s="64" t="n"/>
      <c r="AO375" s="24" t="n"/>
    </row>
    <row r="376" ht="15" customHeight="1">
      <c r="A376" s="63">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7">
        <f>IF(C376="","",SUMIFS(tbl_Finance[Inc GST],tbl_Finance[Job Number],C376&amp;""))</f>
        <v/>
      </c>
      <c r="M376" s="24" t="n"/>
      <c r="N376" s="25">
        <f>IF(C376="","",IFERROR(INDEX(tbl_Finance[Description],MATCH(C376&amp;"",tbl_Finance[Job Number],0)),""))</f>
        <v/>
      </c>
      <c r="O376" s="24" t="n"/>
      <c r="P376" s="24" t="n"/>
      <c r="Q376" s="22" t="n"/>
      <c r="R376" s="24" t="n"/>
      <c r="S376" s="25">
        <f>IF(R376="","",IF(AND(LEFT(R376,4)&lt;&gt;"http",set_RMSBase=""),"",HYPERLINK(IF(LEFT(R376,4)="http",R376,set_RMSBase&amp;R376),"Open opportunity")))</f>
        <v/>
      </c>
      <c r="T376" s="24" t="n"/>
      <c r="U376" s="25">
        <f>IF(T376="","",HYPERLINK(IF(LEFT(T376,4)="http",T376,set_QwilrBase&amp;T376),"Open quote"))</f>
        <v/>
      </c>
      <c r="V376" s="25">
        <f>IF(C376="","",C376)</f>
        <v/>
      </c>
      <c r="W376" s="24" t="n"/>
      <c r="X376" s="26" t="n"/>
      <c r="Y376" s="27">
        <f>IF(C376="","",H376+N(X376))</f>
        <v/>
      </c>
      <c r="Z376" s="29">
        <f>IFERROR(X376/Y376,"")</f>
        <v/>
      </c>
      <c r="AA376" s="26" t="n"/>
      <c r="AB376" s="26" t="n"/>
      <c r="AC376" s="26" t="n"/>
      <c r="AD376" s="26" t="n"/>
      <c r="AE376" s="27">
        <f>IF(C376="","",SUMIFS(tbl_Finance[Ex GST],tbl_Finance[Job Number],C376&amp;"",tbl_Finance[Cost Centre],"VIDEO"))</f>
        <v/>
      </c>
      <c r="AF376" s="29">
        <f>IFERROR(AE376/H376,"")</f>
        <v/>
      </c>
      <c r="AG376" s="27">
        <f>IF(C376="","",N(AA376)+N(AB376)+N(AC376)+N(AD376))</f>
        <v/>
      </c>
      <c r="AH376" s="27">
        <f>IF(C376="","",H376-AG376)</f>
        <v/>
      </c>
      <c r="AI376" s="29">
        <f>IFERROR(AH376/H376,"")</f>
        <v/>
      </c>
      <c r="AJ376" s="64" t="n"/>
      <c r="AK376" s="64" t="n"/>
      <c r="AL376" s="64" t="n"/>
      <c r="AM376" s="64" t="n"/>
      <c r="AN376" s="64" t="n"/>
      <c r="AO376" s="24" t="n"/>
    </row>
    <row r="377" ht="15" customHeight="1">
      <c r="A377" s="63">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7">
        <f>IF(C377="","",SUMIFS(tbl_Finance[Inc GST],tbl_Finance[Job Number],C377&amp;""))</f>
        <v/>
      </c>
      <c r="M377" s="24" t="n"/>
      <c r="N377" s="25">
        <f>IF(C377="","",IFERROR(INDEX(tbl_Finance[Description],MATCH(C377&amp;"",tbl_Finance[Job Number],0)),""))</f>
        <v/>
      </c>
      <c r="O377" s="24" t="n"/>
      <c r="P377" s="24" t="n"/>
      <c r="Q377" s="22" t="n"/>
      <c r="R377" s="24" t="n"/>
      <c r="S377" s="25">
        <f>IF(R377="","",IF(AND(LEFT(R377,4)&lt;&gt;"http",set_RMSBase=""),"",HYPERLINK(IF(LEFT(R377,4)="http",R377,set_RMSBase&amp;R377),"Open opportunity")))</f>
        <v/>
      </c>
      <c r="T377" s="24" t="n"/>
      <c r="U377" s="25">
        <f>IF(T377="","",HYPERLINK(IF(LEFT(T377,4)="http",T377,set_QwilrBase&amp;T377),"Open quote"))</f>
        <v/>
      </c>
      <c r="V377" s="25">
        <f>IF(C377="","",C377)</f>
        <v/>
      </c>
      <c r="W377" s="24" t="n"/>
      <c r="X377" s="26" t="n"/>
      <c r="Y377" s="27">
        <f>IF(C377="","",H377+N(X377))</f>
        <v/>
      </c>
      <c r="Z377" s="29">
        <f>IFERROR(X377/Y377,"")</f>
        <v/>
      </c>
      <c r="AA377" s="26" t="n"/>
      <c r="AB377" s="26" t="n"/>
      <c r="AC377" s="26" t="n"/>
      <c r="AD377" s="26" t="n"/>
      <c r="AE377" s="27">
        <f>IF(C377="","",SUMIFS(tbl_Finance[Ex GST],tbl_Finance[Job Number],C377&amp;"",tbl_Finance[Cost Centre],"VIDEO"))</f>
        <v/>
      </c>
      <c r="AF377" s="29">
        <f>IFERROR(AE377/H377,"")</f>
        <v/>
      </c>
      <c r="AG377" s="27">
        <f>IF(C377="","",N(AA377)+N(AB377)+N(AC377)+N(AD377))</f>
        <v/>
      </c>
      <c r="AH377" s="27">
        <f>IF(C377="","",H377-AG377)</f>
        <v/>
      </c>
      <c r="AI377" s="29">
        <f>IFERROR(AH377/H377,"")</f>
        <v/>
      </c>
      <c r="AJ377" s="64" t="n"/>
      <c r="AK377" s="64" t="n"/>
      <c r="AL377" s="64" t="n"/>
      <c r="AM377" s="64" t="n"/>
      <c r="AN377" s="64" t="n"/>
      <c r="AO377" s="24" t="n"/>
    </row>
    <row r="378" ht="15" customHeight="1">
      <c r="A378" s="63">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7">
        <f>IF(C378="","",SUMIFS(tbl_Finance[Inc GST],tbl_Finance[Job Number],C378&amp;""))</f>
        <v/>
      </c>
      <c r="M378" s="24" t="n"/>
      <c r="N378" s="25">
        <f>IF(C378="","",IFERROR(INDEX(tbl_Finance[Description],MATCH(C378&amp;"",tbl_Finance[Job Number],0)),""))</f>
        <v/>
      </c>
      <c r="O378" s="24" t="n"/>
      <c r="P378" s="24" t="n"/>
      <c r="Q378" s="22" t="n"/>
      <c r="R378" s="24" t="n"/>
      <c r="S378" s="25">
        <f>IF(R378="","",IF(AND(LEFT(R378,4)&lt;&gt;"http",set_RMSBase=""),"",HYPERLINK(IF(LEFT(R378,4)="http",R378,set_RMSBase&amp;R378),"Open opportunity")))</f>
        <v/>
      </c>
      <c r="T378" s="24" t="n"/>
      <c r="U378" s="25">
        <f>IF(T378="","",HYPERLINK(IF(LEFT(T378,4)="http",T378,set_QwilrBase&amp;T378),"Open quote"))</f>
        <v/>
      </c>
      <c r="V378" s="25">
        <f>IF(C378="","",C378)</f>
        <v/>
      </c>
      <c r="W378" s="24" t="n"/>
      <c r="X378" s="26" t="n"/>
      <c r="Y378" s="27">
        <f>IF(C378="","",H378+N(X378))</f>
        <v/>
      </c>
      <c r="Z378" s="29">
        <f>IFERROR(X378/Y378,"")</f>
        <v/>
      </c>
      <c r="AA378" s="26" t="n"/>
      <c r="AB378" s="26" t="n"/>
      <c r="AC378" s="26" t="n"/>
      <c r="AD378" s="26" t="n"/>
      <c r="AE378" s="27">
        <f>IF(C378="","",SUMIFS(tbl_Finance[Ex GST],tbl_Finance[Job Number],C378&amp;"",tbl_Finance[Cost Centre],"VIDEO"))</f>
        <v/>
      </c>
      <c r="AF378" s="29">
        <f>IFERROR(AE378/H378,"")</f>
        <v/>
      </c>
      <c r="AG378" s="27">
        <f>IF(C378="","",N(AA378)+N(AB378)+N(AC378)+N(AD378))</f>
        <v/>
      </c>
      <c r="AH378" s="27">
        <f>IF(C378="","",H378-AG378)</f>
        <v/>
      </c>
      <c r="AI378" s="29">
        <f>IFERROR(AH378/H378,"")</f>
        <v/>
      </c>
      <c r="AJ378" s="64" t="n"/>
      <c r="AK378" s="64" t="n"/>
      <c r="AL378" s="64" t="n"/>
      <c r="AM378" s="64" t="n"/>
      <c r="AN378" s="64" t="n"/>
      <c r="AO378" s="24" t="n"/>
    </row>
    <row r="379" ht="15" customHeight="1">
      <c r="A379" s="63">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7">
        <f>IF(C379="","",SUMIFS(tbl_Finance[Inc GST],tbl_Finance[Job Number],C379&amp;""))</f>
        <v/>
      </c>
      <c r="M379" s="24" t="n"/>
      <c r="N379" s="25">
        <f>IF(C379="","",IFERROR(INDEX(tbl_Finance[Description],MATCH(C379&amp;"",tbl_Finance[Job Number],0)),""))</f>
        <v/>
      </c>
      <c r="O379" s="24" t="n"/>
      <c r="P379" s="24" t="n"/>
      <c r="Q379" s="22" t="n"/>
      <c r="R379" s="24" t="n"/>
      <c r="S379" s="25">
        <f>IF(R379="","",IF(AND(LEFT(R379,4)&lt;&gt;"http",set_RMSBase=""),"",HYPERLINK(IF(LEFT(R379,4)="http",R379,set_RMSBase&amp;R379),"Open opportunity")))</f>
        <v/>
      </c>
      <c r="T379" s="24" t="n"/>
      <c r="U379" s="25">
        <f>IF(T379="","",HYPERLINK(IF(LEFT(T379,4)="http",T379,set_QwilrBase&amp;T379),"Open quote"))</f>
        <v/>
      </c>
      <c r="V379" s="25">
        <f>IF(C379="","",C379)</f>
        <v/>
      </c>
      <c r="W379" s="24" t="n"/>
      <c r="X379" s="26" t="n"/>
      <c r="Y379" s="27">
        <f>IF(C379="","",H379+N(X379))</f>
        <v/>
      </c>
      <c r="Z379" s="29">
        <f>IFERROR(X379/Y379,"")</f>
        <v/>
      </c>
      <c r="AA379" s="26" t="n"/>
      <c r="AB379" s="26" t="n"/>
      <c r="AC379" s="26" t="n"/>
      <c r="AD379" s="26" t="n"/>
      <c r="AE379" s="27">
        <f>IF(C379="","",SUMIFS(tbl_Finance[Ex GST],tbl_Finance[Job Number],C379&amp;"",tbl_Finance[Cost Centre],"VIDEO"))</f>
        <v/>
      </c>
      <c r="AF379" s="29">
        <f>IFERROR(AE379/H379,"")</f>
        <v/>
      </c>
      <c r="AG379" s="27">
        <f>IF(C379="","",N(AA379)+N(AB379)+N(AC379)+N(AD379))</f>
        <v/>
      </c>
      <c r="AH379" s="27">
        <f>IF(C379="","",H379-AG379)</f>
        <v/>
      </c>
      <c r="AI379" s="29">
        <f>IFERROR(AH379/H379,"")</f>
        <v/>
      </c>
      <c r="AJ379" s="64" t="n"/>
      <c r="AK379" s="64" t="n"/>
      <c r="AL379" s="64" t="n"/>
      <c r="AM379" s="64" t="n"/>
      <c r="AN379" s="64" t="n"/>
      <c r="AO379" s="24" t="n"/>
    </row>
    <row r="380" ht="15" customHeight="1">
      <c r="A380" s="63">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7">
        <f>IF(C380="","",SUMIFS(tbl_Finance[Inc GST],tbl_Finance[Job Number],C380&amp;""))</f>
        <v/>
      </c>
      <c r="M380" s="24" t="n"/>
      <c r="N380" s="25">
        <f>IF(C380="","",IFERROR(INDEX(tbl_Finance[Description],MATCH(C380&amp;"",tbl_Finance[Job Number],0)),""))</f>
        <v/>
      </c>
      <c r="O380" s="24" t="n"/>
      <c r="P380" s="24" t="n"/>
      <c r="Q380" s="22" t="n"/>
      <c r="R380" s="24" t="n"/>
      <c r="S380" s="25">
        <f>IF(R380="","",IF(AND(LEFT(R380,4)&lt;&gt;"http",set_RMSBase=""),"",HYPERLINK(IF(LEFT(R380,4)="http",R380,set_RMSBase&amp;R380),"Open opportunity")))</f>
        <v/>
      </c>
      <c r="T380" s="24" t="n"/>
      <c r="U380" s="25">
        <f>IF(T380="","",HYPERLINK(IF(LEFT(T380,4)="http",T380,set_QwilrBase&amp;T380),"Open quote"))</f>
        <v/>
      </c>
      <c r="V380" s="25">
        <f>IF(C380="","",C380)</f>
        <v/>
      </c>
      <c r="W380" s="24" t="n"/>
      <c r="X380" s="26" t="n"/>
      <c r="Y380" s="27">
        <f>IF(C380="","",H380+N(X380))</f>
        <v/>
      </c>
      <c r="Z380" s="29">
        <f>IFERROR(X380/Y380,"")</f>
        <v/>
      </c>
      <c r="AA380" s="26" t="n"/>
      <c r="AB380" s="26" t="n"/>
      <c r="AC380" s="26" t="n"/>
      <c r="AD380" s="26" t="n"/>
      <c r="AE380" s="27">
        <f>IF(C380="","",SUMIFS(tbl_Finance[Ex GST],tbl_Finance[Job Number],C380&amp;"",tbl_Finance[Cost Centre],"VIDEO"))</f>
        <v/>
      </c>
      <c r="AF380" s="29">
        <f>IFERROR(AE380/H380,"")</f>
        <v/>
      </c>
      <c r="AG380" s="27">
        <f>IF(C380="","",N(AA380)+N(AB380)+N(AC380)+N(AD380))</f>
        <v/>
      </c>
      <c r="AH380" s="27">
        <f>IF(C380="","",H380-AG380)</f>
        <v/>
      </c>
      <c r="AI380" s="29">
        <f>IFERROR(AH380/H380,"")</f>
        <v/>
      </c>
      <c r="AJ380" s="64" t="n"/>
      <c r="AK380" s="64" t="n"/>
      <c r="AL380" s="64" t="n"/>
      <c r="AM380" s="64" t="n"/>
      <c r="AN380" s="64" t="n"/>
      <c r="AO380" s="24" t="n"/>
    </row>
    <row r="381" ht="15" customHeight="1">
      <c r="A381" s="63">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7">
        <f>IF(C381="","",SUMIFS(tbl_Finance[Inc GST],tbl_Finance[Job Number],C381&amp;""))</f>
        <v/>
      </c>
      <c r="M381" s="24" t="n"/>
      <c r="N381" s="25">
        <f>IF(C381="","",IFERROR(INDEX(tbl_Finance[Description],MATCH(C381&amp;"",tbl_Finance[Job Number],0)),""))</f>
        <v/>
      </c>
      <c r="O381" s="24" t="n"/>
      <c r="P381" s="24" t="n"/>
      <c r="Q381" s="22" t="n"/>
      <c r="R381" s="24" t="n"/>
      <c r="S381" s="25">
        <f>IF(R381="","",IF(AND(LEFT(R381,4)&lt;&gt;"http",set_RMSBase=""),"",HYPERLINK(IF(LEFT(R381,4)="http",R381,set_RMSBase&amp;R381),"Open opportunity")))</f>
        <v/>
      </c>
      <c r="T381" s="24" t="n"/>
      <c r="U381" s="25">
        <f>IF(T381="","",HYPERLINK(IF(LEFT(T381,4)="http",T381,set_QwilrBase&amp;T381),"Open quote"))</f>
        <v/>
      </c>
      <c r="V381" s="25">
        <f>IF(C381="","",C381)</f>
        <v/>
      </c>
      <c r="W381" s="24" t="n"/>
      <c r="X381" s="26" t="n"/>
      <c r="Y381" s="27">
        <f>IF(C381="","",H381+N(X381))</f>
        <v/>
      </c>
      <c r="Z381" s="29">
        <f>IFERROR(X381/Y381,"")</f>
        <v/>
      </c>
      <c r="AA381" s="26" t="n"/>
      <c r="AB381" s="26" t="n"/>
      <c r="AC381" s="26" t="n"/>
      <c r="AD381" s="26" t="n"/>
      <c r="AE381" s="27">
        <f>IF(C381="","",SUMIFS(tbl_Finance[Ex GST],tbl_Finance[Job Number],C381&amp;"",tbl_Finance[Cost Centre],"VIDEO"))</f>
        <v/>
      </c>
      <c r="AF381" s="29">
        <f>IFERROR(AE381/H381,"")</f>
        <v/>
      </c>
      <c r="AG381" s="27">
        <f>IF(C381="","",N(AA381)+N(AB381)+N(AC381)+N(AD381))</f>
        <v/>
      </c>
      <c r="AH381" s="27">
        <f>IF(C381="","",H381-AG381)</f>
        <v/>
      </c>
      <c r="AI381" s="29">
        <f>IFERROR(AH381/H381,"")</f>
        <v/>
      </c>
      <c r="AJ381" s="64" t="n"/>
      <c r="AK381" s="64" t="n"/>
      <c r="AL381" s="64" t="n"/>
      <c r="AM381" s="64" t="n"/>
      <c r="AN381" s="64" t="n"/>
      <c r="AO381" s="24" t="n"/>
    </row>
    <row r="382" ht="15" customHeight="1">
      <c r="A382" s="63">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7">
        <f>IF(C382="","",SUMIFS(tbl_Finance[Inc GST],tbl_Finance[Job Number],C382&amp;""))</f>
        <v/>
      </c>
      <c r="M382" s="24" t="n"/>
      <c r="N382" s="25">
        <f>IF(C382="","",IFERROR(INDEX(tbl_Finance[Description],MATCH(C382&amp;"",tbl_Finance[Job Number],0)),""))</f>
        <v/>
      </c>
      <c r="O382" s="24" t="n"/>
      <c r="P382" s="24" t="n"/>
      <c r="Q382" s="22" t="n"/>
      <c r="R382" s="24" t="n"/>
      <c r="S382" s="25">
        <f>IF(R382="","",IF(AND(LEFT(R382,4)&lt;&gt;"http",set_RMSBase=""),"",HYPERLINK(IF(LEFT(R382,4)="http",R382,set_RMSBase&amp;R382),"Open opportunity")))</f>
        <v/>
      </c>
      <c r="T382" s="24" t="n"/>
      <c r="U382" s="25">
        <f>IF(T382="","",HYPERLINK(IF(LEFT(T382,4)="http",T382,set_QwilrBase&amp;T382),"Open quote"))</f>
        <v/>
      </c>
      <c r="V382" s="25">
        <f>IF(C382="","",C382)</f>
        <v/>
      </c>
      <c r="W382" s="24" t="n"/>
      <c r="X382" s="26" t="n"/>
      <c r="Y382" s="27">
        <f>IF(C382="","",H382+N(X382))</f>
        <v/>
      </c>
      <c r="Z382" s="29">
        <f>IFERROR(X382/Y382,"")</f>
        <v/>
      </c>
      <c r="AA382" s="26" t="n"/>
      <c r="AB382" s="26" t="n"/>
      <c r="AC382" s="26" t="n"/>
      <c r="AD382" s="26" t="n"/>
      <c r="AE382" s="27">
        <f>IF(C382="","",SUMIFS(tbl_Finance[Ex GST],tbl_Finance[Job Number],C382&amp;"",tbl_Finance[Cost Centre],"VIDEO"))</f>
        <v/>
      </c>
      <c r="AF382" s="29">
        <f>IFERROR(AE382/H382,"")</f>
        <v/>
      </c>
      <c r="AG382" s="27">
        <f>IF(C382="","",N(AA382)+N(AB382)+N(AC382)+N(AD382))</f>
        <v/>
      </c>
      <c r="AH382" s="27">
        <f>IF(C382="","",H382-AG382)</f>
        <v/>
      </c>
      <c r="AI382" s="29">
        <f>IFERROR(AH382/H382,"")</f>
        <v/>
      </c>
      <c r="AJ382" s="64" t="n"/>
      <c r="AK382" s="64" t="n"/>
      <c r="AL382" s="64" t="n"/>
      <c r="AM382" s="64" t="n"/>
      <c r="AN382" s="64" t="n"/>
      <c r="AO382" s="24" t="n"/>
    </row>
    <row r="383" ht="15" customHeight="1">
      <c r="A383" s="63">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7">
        <f>IF(C383="","",SUMIFS(tbl_Finance[Inc GST],tbl_Finance[Job Number],C383&amp;""))</f>
        <v/>
      </c>
      <c r="M383" s="24" t="n"/>
      <c r="N383" s="25">
        <f>IF(C383="","",IFERROR(INDEX(tbl_Finance[Description],MATCH(C383&amp;"",tbl_Finance[Job Number],0)),""))</f>
        <v/>
      </c>
      <c r="O383" s="24" t="n"/>
      <c r="P383" s="24" t="n"/>
      <c r="Q383" s="22" t="n"/>
      <c r="R383" s="24" t="n"/>
      <c r="S383" s="25">
        <f>IF(R383="","",IF(AND(LEFT(R383,4)&lt;&gt;"http",set_RMSBase=""),"",HYPERLINK(IF(LEFT(R383,4)="http",R383,set_RMSBase&amp;R383),"Open opportunity")))</f>
        <v/>
      </c>
      <c r="T383" s="24" t="n"/>
      <c r="U383" s="25">
        <f>IF(T383="","",HYPERLINK(IF(LEFT(T383,4)="http",T383,set_QwilrBase&amp;T383),"Open quote"))</f>
        <v/>
      </c>
      <c r="V383" s="25">
        <f>IF(C383="","",C383)</f>
        <v/>
      </c>
      <c r="W383" s="24" t="n"/>
      <c r="X383" s="26" t="n"/>
      <c r="Y383" s="27">
        <f>IF(C383="","",H383+N(X383))</f>
        <v/>
      </c>
      <c r="Z383" s="29">
        <f>IFERROR(X383/Y383,"")</f>
        <v/>
      </c>
      <c r="AA383" s="26" t="n"/>
      <c r="AB383" s="26" t="n"/>
      <c r="AC383" s="26" t="n"/>
      <c r="AD383" s="26" t="n"/>
      <c r="AE383" s="27">
        <f>IF(C383="","",SUMIFS(tbl_Finance[Ex GST],tbl_Finance[Job Number],C383&amp;"",tbl_Finance[Cost Centre],"VIDEO"))</f>
        <v/>
      </c>
      <c r="AF383" s="29">
        <f>IFERROR(AE383/H383,"")</f>
        <v/>
      </c>
      <c r="AG383" s="27">
        <f>IF(C383="","",N(AA383)+N(AB383)+N(AC383)+N(AD383))</f>
        <v/>
      </c>
      <c r="AH383" s="27">
        <f>IF(C383="","",H383-AG383)</f>
        <v/>
      </c>
      <c r="AI383" s="29">
        <f>IFERROR(AH383/H383,"")</f>
        <v/>
      </c>
      <c r="AJ383" s="64" t="n"/>
      <c r="AK383" s="64" t="n"/>
      <c r="AL383" s="64" t="n"/>
      <c r="AM383" s="64" t="n"/>
      <c r="AN383" s="64" t="n"/>
      <c r="AO383" s="24" t="n"/>
    </row>
    <row r="384" ht="15" customHeight="1">
      <c r="A384" s="63">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7">
        <f>IF(C384="","",SUMIFS(tbl_Finance[Inc GST],tbl_Finance[Job Number],C384&amp;""))</f>
        <v/>
      </c>
      <c r="M384" s="24" t="n"/>
      <c r="N384" s="25">
        <f>IF(C384="","",IFERROR(INDEX(tbl_Finance[Description],MATCH(C384&amp;"",tbl_Finance[Job Number],0)),""))</f>
        <v/>
      </c>
      <c r="O384" s="24" t="n"/>
      <c r="P384" s="24" t="n"/>
      <c r="Q384" s="22" t="n"/>
      <c r="R384" s="24" t="n"/>
      <c r="S384" s="25">
        <f>IF(R384="","",IF(AND(LEFT(R384,4)&lt;&gt;"http",set_RMSBase=""),"",HYPERLINK(IF(LEFT(R384,4)="http",R384,set_RMSBase&amp;R384),"Open opportunity")))</f>
        <v/>
      </c>
      <c r="T384" s="24" t="n"/>
      <c r="U384" s="25">
        <f>IF(T384="","",HYPERLINK(IF(LEFT(T384,4)="http",T384,set_QwilrBase&amp;T384),"Open quote"))</f>
        <v/>
      </c>
      <c r="V384" s="25">
        <f>IF(C384="","",C384)</f>
        <v/>
      </c>
      <c r="W384" s="24" t="n"/>
      <c r="X384" s="26" t="n"/>
      <c r="Y384" s="27">
        <f>IF(C384="","",H384+N(X384))</f>
        <v/>
      </c>
      <c r="Z384" s="29">
        <f>IFERROR(X384/Y384,"")</f>
        <v/>
      </c>
      <c r="AA384" s="26" t="n"/>
      <c r="AB384" s="26" t="n"/>
      <c r="AC384" s="26" t="n"/>
      <c r="AD384" s="26" t="n"/>
      <c r="AE384" s="27">
        <f>IF(C384="","",SUMIFS(tbl_Finance[Ex GST],tbl_Finance[Job Number],C384&amp;"",tbl_Finance[Cost Centre],"VIDEO"))</f>
        <v/>
      </c>
      <c r="AF384" s="29">
        <f>IFERROR(AE384/H384,"")</f>
        <v/>
      </c>
      <c r="AG384" s="27">
        <f>IF(C384="","",N(AA384)+N(AB384)+N(AC384)+N(AD384))</f>
        <v/>
      </c>
      <c r="AH384" s="27">
        <f>IF(C384="","",H384-AG384)</f>
        <v/>
      </c>
      <c r="AI384" s="29">
        <f>IFERROR(AH384/H384,"")</f>
        <v/>
      </c>
      <c r="AJ384" s="64" t="n"/>
      <c r="AK384" s="64" t="n"/>
      <c r="AL384" s="64" t="n"/>
      <c r="AM384" s="64" t="n"/>
      <c r="AN384" s="64" t="n"/>
      <c r="AO384" s="24" t="n"/>
    </row>
    <row r="385" ht="15" customHeight="1">
      <c r="A385" s="63">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7">
        <f>IF(C385="","",SUMIFS(tbl_Finance[Inc GST],tbl_Finance[Job Number],C385&amp;""))</f>
        <v/>
      </c>
      <c r="M385" s="24" t="n"/>
      <c r="N385" s="25">
        <f>IF(C385="","",IFERROR(INDEX(tbl_Finance[Description],MATCH(C385&amp;"",tbl_Finance[Job Number],0)),""))</f>
        <v/>
      </c>
      <c r="O385" s="24" t="n"/>
      <c r="P385" s="24" t="n"/>
      <c r="Q385" s="22" t="n"/>
      <c r="R385" s="24" t="n"/>
      <c r="S385" s="25">
        <f>IF(R385="","",IF(AND(LEFT(R385,4)&lt;&gt;"http",set_RMSBase=""),"",HYPERLINK(IF(LEFT(R385,4)="http",R385,set_RMSBase&amp;R385),"Open opportunity")))</f>
        <v/>
      </c>
      <c r="T385" s="24" t="n"/>
      <c r="U385" s="25">
        <f>IF(T385="","",HYPERLINK(IF(LEFT(T385,4)="http",T385,set_QwilrBase&amp;T385),"Open quote"))</f>
        <v/>
      </c>
      <c r="V385" s="25">
        <f>IF(C385="","",C385)</f>
        <v/>
      </c>
      <c r="W385" s="24" t="n"/>
      <c r="X385" s="26" t="n"/>
      <c r="Y385" s="27">
        <f>IF(C385="","",H385+N(X385))</f>
        <v/>
      </c>
      <c r="Z385" s="29">
        <f>IFERROR(X385/Y385,"")</f>
        <v/>
      </c>
      <c r="AA385" s="26" t="n"/>
      <c r="AB385" s="26" t="n"/>
      <c r="AC385" s="26" t="n"/>
      <c r="AD385" s="26" t="n"/>
      <c r="AE385" s="27">
        <f>IF(C385="","",SUMIFS(tbl_Finance[Ex GST],tbl_Finance[Job Number],C385&amp;"",tbl_Finance[Cost Centre],"VIDEO"))</f>
        <v/>
      </c>
      <c r="AF385" s="29">
        <f>IFERROR(AE385/H385,"")</f>
        <v/>
      </c>
      <c r="AG385" s="27">
        <f>IF(C385="","",N(AA385)+N(AB385)+N(AC385)+N(AD385))</f>
        <v/>
      </c>
      <c r="AH385" s="27">
        <f>IF(C385="","",H385-AG385)</f>
        <v/>
      </c>
      <c r="AI385" s="29">
        <f>IFERROR(AH385/H385,"")</f>
        <v/>
      </c>
      <c r="AJ385" s="64" t="n"/>
      <c r="AK385" s="64" t="n"/>
      <c r="AL385" s="64" t="n"/>
      <c r="AM385" s="64" t="n"/>
      <c r="AN385" s="64" t="n"/>
      <c r="AO385" s="24" t="n"/>
    </row>
    <row r="386" ht="15" customHeight="1">
      <c r="A386" s="63">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7">
        <f>IF(C386="","",SUMIFS(tbl_Finance[Inc GST],tbl_Finance[Job Number],C386&amp;""))</f>
        <v/>
      </c>
      <c r="M386" s="24" t="n"/>
      <c r="N386" s="25">
        <f>IF(C386="","",IFERROR(INDEX(tbl_Finance[Description],MATCH(C386&amp;"",tbl_Finance[Job Number],0)),""))</f>
        <v/>
      </c>
      <c r="O386" s="24" t="n"/>
      <c r="P386" s="24" t="n"/>
      <c r="Q386" s="22" t="n"/>
      <c r="R386" s="24" t="n"/>
      <c r="S386" s="25">
        <f>IF(R386="","",IF(AND(LEFT(R386,4)&lt;&gt;"http",set_RMSBase=""),"",HYPERLINK(IF(LEFT(R386,4)="http",R386,set_RMSBase&amp;R386),"Open opportunity")))</f>
        <v/>
      </c>
      <c r="T386" s="24" t="n"/>
      <c r="U386" s="25">
        <f>IF(T386="","",HYPERLINK(IF(LEFT(T386,4)="http",T386,set_QwilrBase&amp;T386),"Open quote"))</f>
        <v/>
      </c>
      <c r="V386" s="25">
        <f>IF(C386="","",C386)</f>
        <v/>
      </c>
      <c r="W386" s="24" t="n"/>
      <c r="X386" s="26" t="n"/>
      <c r="Y386" s="27">
        <f>IF(C386="","",H386+N(X386))</f>
        <v/>
      </c>
      <c r="Z386" s="29">
        <f>IFERROR(X386/Y386,"")</f>
        <v/>
      </c>
      <c r="AA386" s="26" t="n"/>
      <c r="AB386" s="26" t="n"/>
      <c r="AC386" s="26" t="n"/>
      <c r="AD386" s="26" t="n"/>
      <c r="AE386" s="27">
        <f>IF(C386="","",SUMIFS(tbl_Finance[Ex GST],tbl_Finance[Job Number],C386&amp;"",tbl_Finance[Cost Centre],"VIDEO"))</f>
        <v/>
      </c>
      <c r="AF386" s="29">
        <f>IFERROR(AE386/H386,"")</f>
        <v/>
      </c>
      <c r="AG386" s="27">
        <f>IF(C386="","",N(AA386)+N(AB386)+N(AC386)+N(AD386))</f>
        <v/>
      </c>
      <c r="AH386" s="27">
        <f>IF(C386="","",H386-AG386)</f>
        <v/>
      </c>
      <c r="AI386" s="29">
        <f>IFERROR(AH386/H386,"")</f>
        <v/>
      </c>
      <c r="AJ386" s="64" t="n"/>
      <c r="AK386" s="64" t="n"/>
      <c r="AL386" s="64" t="n"/>
      <c r="AM386" s="64" t="n"/>
      <c r="AN386" s="64" t="n"/>
      <c r="AO386" s="24" t="n"/>
    </row>
    <row r="387" ht="15" customHeight="1">
      <c r="A387" s="63">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7">
        <f>IF(C387="","",SUMIFS(tbl_Finance[Inc GST],tbl_Finance[Job Number],C387&amp;""))</f>
        <v/>
      </c>
      <c r="M387" s="24" t="n"/>
      <c r="N387" s="25">
        <f>IF(C387="","",IFERROR(INDEX(tbl_Finance[Description],MATCH(C387&amp;"",tbl_Finance[Job Number],0)),""))</f>
        <v/>
      </c>
      <c r="O387" s="24" t="n"/>
      <c r="P387" s="24" t="n"/>
      <c r="Q387" s="22" t="n"/>
      <c r="R387" s="24" t="n"/>
      <c r="S387" s="25">
        <f>IF(R387="","",IF(AND(LEFT(R387,4)&lt;&gt;"http",set_RMSBase=""),"",HYPERLINK(IF(LEFT(R387,4)="http",R387,set_RMSBase&amp;R387),"Open opportunity")))</f>
        <v/>
      </c>
      <c r="T387" s="24" t="n"/>
      <c r="U387" s="25">
        <f>IF(T387="","",HYPERLINK(IF(LEFT(T387,4)="http",T387,set_QwilrBase&amp;T387),"Open quote"))</f>
        <v/>
      </c>
      <c r="V387" s="25">
        <f>IF(C387="","",C387)</f>
        <v/>
      </c>
      <c r="W387" s="24" t="n"/>
      <c r="X387" s="26" t="n"/>
      <c r="Y387" s="27">
        <f>IF(C387="","",H387+N(X387))</f>
        <v/>
      </c>
      <c r="Z387" s="29">
        <f>IFERROR(X387/Y387,"")</f>
        <v/>
      </c>
      <c r="AA387" s="26" t="n"/>
      <c r="AB387" s="26" t="n"/>
      <c r="AC387" s="26" t="n"/>
      <c r="AD387" s="26" t="n"/>
      <c r="AE387" s="27">
        <f>IF(C387="","",SUMIFS(tbl_Finance[Ex GST],tbl_Finance[Job Number],C387&amp;"",tbl_Finance[Cost Centre],"VIDEO"))</f>
        <v/>
      </c>
      <c r="AF387" s="29">
        <f>IFERROR(AE387/H387,"")</f>
        <v/>
      </c>
      <c r="AG387" s="27">
        <f>IF(C387="","",N(AA387)+N(AB387)+N(AC387)+N(AD387))</f>
        <v/>
      </c>
      <c r="AH387" s="27">
        <f>IF(C387="","",H387-AG387)</f>
        <v/>
      </c>
      <c r="AI387" s="29">
        <f>IFERROR(AH387/H387,"")</f>
        <v/>
      </c>
      <c r="AJ387" s="64" t="n"/>
      <c r="AK387" s="64" t="n"/>
      <c r="AL387" s="64" t="n"/>
      <c r="AM387" s="64" t="n"/>
      <c r="AN387" s="64" t="n"/>
      <c r="AO387" s="24" t="n"/>
    </row>
    <row r="388" ht="15" customHeight="1">
      <c r="A388" s="63">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7">
        <f>IF(C388="","",SUMIFS(tbl_Finance[Inc GST],tbl_Finance[Job Number],C388&amp;""))</f>
        <v/>
      </c>
      <c r="M388" s="24" t="n"/>
      <c r="N388" s="25">
        <f>IF(C388="","",IFERROR(INDEX(tbl_Finance[Description],MATCH(C388&amp;"",tbl_Finance[Job Number],0)),""))</f>
        <v/>
      </c>
      <c r="O388" s="24" t="n"/>
      <c r="P388" s="24" t="n"/>
      <c r="Q388" s="22" t="n"/>
      <c r="R388" s="24" t="n"/>
      <c r="S388" s="25">
        <f>IF(R388="","",IF(AND(LEFT(R388,4)&lt;&gt;"http",set_RMSBase=""),"",HYPERLINK(IF(LEFT(R388,4)="http",R388,set_RMSBase&amp;R388),"Open opportunity")))</f>
        <v/>
      </c>
      <c r="T388" s="24" t="n"/>
      <c r="U388" s="25">
        <f>IF(T388="","",HYPERLINK(IF(LEFT(T388,4)="http",T388,set_QwilrBase&amp;T388),"Open quote"))</f>
        <v/>
      </c>
      <c r="V388" s="25">
        <f>IF(C388="","",C388)</f>
        <v/>
      </c>
      <c r="W388" s="24" t="n"/>
      <c r="X388" s="26" t="n"/>
      <c r="Y388" s="27">
        <f>IF(C388="","",H388+N(X388))</f>
        <v/>
      </c>
      <c r="Z388" s="29">
        <f>IFERROR(X388/Y388,"")</f>
        <v/>
      </c>
      <c r="AA388" s="26" t="n"/>
      <c r="AB388" s="26" t="n"/>
      <c r="AC388" s="26" t="n"/>
      <c r="AD388" s="26" t="n"/>
      <c r="AE388" s="27">
        <f>IF(C388="","",SUMIFS(tbl_Finance[Ex GST],tbl_Finance[Job Number],C388&amp;"",tbl_Finance[Cost Centre],"VIDEO"))</f>
        <v/>
      </c>
      <c r="AF388" s="29">
        <f>IFERROR(AE388/H388,"")</f>
        <v/>
      </c>
      <c r="AG388" s="27">
        <f>IF(C388="","",N(AA388)+N(AB388)+N(AC388)+N(AD388))</f>
        <v/>
      </c>
      <c r="AH388" s="27">
        <f>IF(C388="","",H388-AG388)</f>
        <v/>
      </c>
      <c r="AI388" s="29">
        <f>IFERROR(AH388/H388,"")</f>
        <v/>
      </c>
      <c r="AJ388" s="64" t="n"/>
      <c r="AK388" s="64" t="n"/>
      <c r="AL388" s="64" t="n"/>
      <c r="AM388" s="64" t="n"/>
      <c r="AN388" s="64" t="n"/>
      <c r="AO388" s="24" t="n"/>
    </row>
    <row r="389" ht="15" customHeight="1">
      <c r="A389" s="63">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7">
        <f>IF(C389="","",SUMIFS(tbl_Finance[Inc GST],tbl_Finance[Job Number],C389&amp;""))</f>
        <v/>
      </c>
      <c r="M389" s="24" t="n"/>
      <c r="N389" s="25">
        <f>IF(C389="","",IFERROR(INDEX(tbl_Finance[Description],MATCH(C389&amp;"",tbl_Finance[Job Number],0)),""))</f>
        <v/>
      </c>
      <c r="O389" s="24" t="n"/>
      <c r="P389" s="24" t="n"/>
      <c r="Q389" s="22" t="n"/>
      <c r="R389" s="24" t="n"/>
      <c r="S389" s="25">
        <f>IF(R389="","",IF(AND(LEFT(R389,4)&lt;&gt;"http",set_RMSBase=""),"",HYPERLINK(IF(LEFT(R389,4)="http",R389,set_RMSBase&amp;R389),"Open opportunity")))</f>
        <v/>
      </c>
      <c r="T389" s="24" t="n"/>
      <c r="U389" s="25">
        <f>IF(T389="","",HYPERLINK(IF(LEFT(T389,4)="http",T389,set_QwilrBase&amp;T389),"Open quote"))</f>
        <v/>
      </c>
      <c r="V389" s="25">
        <f>IF(C389="","",C389)</f>
        <v/>
      </c>
      <c r="W389" s="24" t="n"/>
      <c r="X389" s="26" t="n"/>
      <c r="Y389" s="27">
        <f>IF(C389="","",H389+N(X389))</f>
        <v/>
      </c>
      <c r="Z389" s="29">
        <f>IFERROR(X389/Y389,"")</f>
        <v/>
      </c>
      <c r="AA389" s="26" t="n"/>
      <c r="AB389" s="26" t="n"/>
      <c r="AC389" s="26" t="n"/>
      <c r="AD389" s="26" t="n"/>
      <c r="AE389" s="27">
        <f>IF(C389="","",SUMIFS(tbl_Finance[Ex GST],tbl_Finance[Job Number],C389&amp;"",tbl_Finance[Cost Centre],"VIDEO"))</f>
        <v/>
      </c>
      <c r="AF389" s="29">
        <f>IFERROR(AE389/H389,"")</f>
        <v/>
      </c>
      <c r="AG389" s="27">
        <f>IF(C389="","",N(AA389)+N(AB389)+N(AC389)+N(AD389))</f>
        <v/>
      </c>
      <c r="AH389" s="27">
        <f>IF(C389="","",H389-AG389)</f>
        <v/>
      </c>
      <c r="AI389" s="29">
        <f>IFERROR(AH389/H389,"")</f>
        <v/>
      </c>
      <c r="AJ389" s="64" t="n"/>
      <c r="AK389" s="64" t="n"/>
      <c r="AL389" s="64" t="n"/>
      <c r="AM389" s="64" t="n"/>
      <c r="AN389" s="64" t="n"/>
      <c r="AO389" s="24" t="n"/>
    </row>
    <row r="390" ht="15" customHeight="1">
      <c r="A390" s="63">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7">
        <f>IF(C390="","",SUMIFS(tbl_Finance[Inc GST],tbl_Finance[Job Number],C390&amp;""))</f>
        <v/>
      </c>
      <c r="M390" s="24" t="n"/>
      <c r="N390" s="25">
        <f>IF(C390="","",IFERROR(INDEX(tbl_Finance[Description],MATCH(C390&amp;"",tbl_Finance[Job Number],0)),""))</f>
        <v/>
      </c>
      <c r="O390" s="24" t="n"/>
      <c r="P390" s="24" t="n"/>
      <c r="Q390" s="22" t="n"/>
      <c r="R390" s="24" t="n"/>
      <c r="S390" s="25">
        <f>IF(R390="","",IF(AND(LEFT(R390,4)&lt;&gt;"http",set_RMSBase=""),"",HYPERLINK(IF(LEFT(R390,4)="http",R390,set_RMSBase&amp;R390),"Open opportunity")))</f>
        <v/>
      </c>
      <c r="T390" s="24" t="n"/>
      <c r="U390" s="25">
        <f>IF(T390="","",HYPERLINK(IF(LEFT(T390,4)="http",T390,set_QwilrBase&amp;T390),"Open quote"))</f>
        <v/>
      </c>
      <c r="V390" s="25">
        <f>IF(C390="","",C390)</f>
        <v/>
      </c>
      <c r="W390" s="24" t="n"/>
      <c r="X390" s="26" t="n"/>
      <c r="Y390" s="27">
        <f>IF(C390="","",H390+N(X390))</f>
        <v/>
      </c>
      <c r="Z390" s="29">
        <f>IFERROR(X390/Y390,"")</f>
        <v/>
      </c>
      <c r="AA390" s="26" t="n"/>
      <c r="AB390" s="26" t="n"/>
      <c r="AC390" s="26" t="n"/>
      <c r="AD390" s="26" t="n"/>
      <c r="AE390" s="27">
        <f>IF(C390="","",SUMIFS(tbl_Finance[Ex GST],tbl_Finance[Job Number],C390&amp;"",tbl_Finance[Cost Centre],"VIDEO"))</f>
        <v/>
      </c>
      <c r="AF390" s="29">
        <f>IFERROR(AE390/H390,"")</f>
        <v/>
      </c>
      <c r="AG390" s="27">
        <f>IF(C390="","",N(AA390)+N(AB390)+N(AC390)+N(AD390))</f>
        <v/>
      </c>
      <c r="AH390" s="27">
        <f>IF(C390="","",H390-AG390)</f>
        <v/>
      </c>
      <c r="AI390" s="29">
        <f>IFERROR(AH390/H390,"")</f>
        <v/>
      </c>
      <c r="AJ390" s="64" t="n"/>
      <c r="AK390" s="64" t="n"/>
      <c r="AL390" s="64" t="n"/>
      <c r="AM390" s="64" t="n"/>
      <c r="AN390" s="64" t="n"/>
      <c r="AO390" s="24" t="n"/>
    </row>
    <row r="391" ht="15" customHeight="1">
      <c r="A391" s="63">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7">
        <f>IF(C391="","",SUMIFS(tbl_Finance[Inc GST],tbl_Finance[Job Number],C391&amp;""))</f>
        <v/>
      </c>
      <c r="M391" s="24" t="n"/>
      <c r="N391" s="25">
        <f>IF(C391="","",IFERROR(INDEX(tbl_Finance[Description],MATCH(C391&amp;"",tbl_Finance[Job Number],0)),""))</f>
        <v/>
      </c>
      <c r="O391" s="24" t="n"/>
      <c r="P391" s="24" t="n"/>
      <c r="Q391" s="22" t="n"/>
      <c r="R391" s="24" t="n"/>
      <c r="S391" s="25">
        <f>IF(R391="","",IF(AND(LEFT(R391,4)&lt;&gt;"http",set_RMSBase=""),"",HYPERLINK(IF(LEFT(R391,4)="http",R391,set_RMSBase&amp;R391),"Open opportunity")))</f>
        <v/>
      </c>
      <c r="T391" s="24" t="n"/>
      <c r="U391" s="25">
        <f>IF(T391="","",HYPERLINK(IF(LEFT(T391,4)="http",T391,set_QwilrBase&amp;T391),"Open quote"))</f>
        <v/>
      </c>
      <c r="V391" s="25">
        <f>IF(C391="","",C391)</f>
        <v/>
      </c>
      <c r="W391" s="24" t="n"/>
      <c r="X391" s="26" t="n"/>
      <c r="Y391" s="27">
        <f>IF(C391="","",H391+N(X391))</f>
        <v/>
      </c>
      <c r="Z391" s="29">
        <f>IFERROR(X391/Y391,"")</f>
        <v/>
      </c>
      <c r="AA391" s="26" t="n"/>
      <c r="AB391" s="26" t="n"/>
      <c r="AC391" s="26" t="n"/>
      <c r="AD391" s="26" t="n"/>
      <c r="AE391" s="27">
        <f>IF(C391="","",SUMIFS(tbl_Finance[Ex GST],tbl_Finance[Job Number],C391&amp;"",tbl_Finance[Cost Centre],"VIDEO"))</f>
        <v/>
      </c>
      <c r="AF391" s="29">
        <f>IFERROR(AE391/H391,"")</f>
        <v/>
      </c>
      <c r="AG391" s="27">
        <f>IF(C391="","",N(AA391)+N(AB391)+N(AC391)+N(AD391))</f>
        <v/>
      </c>
      <c r="AH391" s="27">
        <f>IF(C391="","",H391-AG391)</f>
        <v/>
      </c>
      <c r="AI391" s="29">
        <f>IFERROR(AH391/H391,"")</f>
        <v/>
      </c>
      <c r="AJ391" s="64" t="n"/>
      <c r="AK391" s="64" t="n"/>
      <c r="AL391" s="64" t="n"/>
      <c r="AM391" s="64" t="n"/>
      <c r="AN391" s="64" t="n"/>
      <c r="AO391" s="24" t="n"/>
    </row>
    <row r="392" ht="15" customHeight="1">
      <c r="A392" s="63">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7">
        <f>IF(C392="","",SUMIFS(tbl_Finance[Inc GST],tbl_Finance[Job Number],C392&amp;""))</f>
        <v/>
      </c>
      <c r="M392" s="24" t="n"/>
      <c r="N392" s="25">
        <f>IF(C392="","",IFERROR(INDEX(tbl_Finance[Description],MATCH(C392&amp;"",tbl_Finance[Job Number],0)),""))</f>
        <v/>
      </c>
      <c r="O392" s="24" t="n"/>
      <c r="P392" s="24" t="n"/>
      <c r="Q392" s="22" t="n"/>
      <c r="R392" s="24" t="n"/>
      <c r="S392" s="25">
        <f>IF(R392="","",IF(AND(LEFT(R392,4)&lt;&gt;"http",set_RMSBase=""),"",HYPERLINK(IF(LEFT(R392,4)="http",R392,set_RMSBase&amp;R392),"Open opportunity")))</f>
        <v/>
      </c>
      <c r="T392" s="24" t="n"/>
      <c r="U392" s="25">
        <f>IF(T392="","",HYPERLINK(IF(LEFT(T392,4)="http",T392,set_QwilrBase&amp;T392),"Open quote"))</f>
        <v/>
      </c>
      <c r="V392" s="25">
        <f>IF(C392="","",C392)</f>
        <v/>
      </c>
      <c r="W392" s="24" t="n"/>
      <c r="X392" s="26" t="n"/>
      <c r="Y392" s="27">
        <f>IF(C392="","",H392+N(X392))</f>
        <v/>
      </c>
      <c r="Z392" s="29">
        <f>IFERROR(X392/Y392,"")</f>
        <v/>
      </c>
      <c r="AA392" s="26" t="n"/>
      <c r="AB392" s="26" t="n"/>
      <c r="AC392" s="26" t="n"/>
      <c r="AD392" s="26" t="n"/>
      <c r="AE392" s="27">
        <f>IF(C392="","",SUMIFS(tbl_Finance[Ex GST],tbl_Finance[Job Number],C392&amp;"",tbl_Finance[Cost Centre],"VIDEO"))</f>
        <v/>
      </c>
      <c r="AF392" s="29">
        <f>IFERROR(AE392/H392,"")</f>
        <v/>
      </c>
      <c r="AG392" s="27">
        <f>IF(C392="","",N(AA392)+N(AB392)+N(AC392)+N(AD392))</f>
        <v/>
      </c>
      <c r="AH392" s="27">
        <f>IF(C392="","",H392-AG392)</f>
        <v/>
      </c>
      <c r="AI392" s="29">
        <f>IFERROR(AH392/H392,"")</f>
        <v/>
      </c>
      <c r="AJ392" s="64" t="n"/>
      <c r="AK392" s="64" t="n"/>
      <c r="AL392" s="64" t="n"/>
      <c r="AM392" s="64" t="n"/>
      <c r="AN392" s="64" t="n"/>
      <c r="AO392" s="24" t="n"/>
    </row>
    <row r="393" ht="15" customHeight="1">
      <c r="A393" s="63">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7">
        <f>IF(C393="","",SUMIFS(tbl_Finance[Inc GST],tbl_Finance[Job Number],C393&amp;""))</f>
        <v/>
      </c>
      <c r="M393" s="24" t="n"/>
      <c r="N393" s="25">
        <f>IF(C393="","",IFERROR(INDEX(tbl_Finance[Description],MATCH(C393&amp;"",tbl_Finance[Job Number],0)),""))</f>
        <v/>
      </c>
      <c r="O393" s="24" t="n"/>
      <c r="P393" s="24" t="n"/>
      <c r="Q393" s="22" t="n"/>
      <c r="R393" s="24" t="n"/>
      <c r="S393" s="25">
        <f>IF(R393="","",IF(AND(LEFT(R393,4)&lt;&gt;"http",set_RMSBase=""),"",HYPERLINK(IF(LEFT(R393,4)="http",R393,set_RMSBase&amp;R393),"Open opportunity")))</f>
        <v/>
      </c>
      <c r="T393" s="24" t="n"/>
      <c r="U393" s="25">
        <f>IF(T393="","",HYPERLINK(IF(LEFT(T393,4)="http",T393,set_QwilrBase&amp;T393),"Open quote"))</f>
        <v/>
      </c>
      <c r="V393" s="25">
        <f>IF(C393="","",C393)</f>
        <v/>
      </c>
      <c r="W393" s="24" t="n"/>
      <c r="X393" s="26" t="n"/>
      <c r="Y393" s="27">
        <f>IF(C393="","",H393+N(X393))</f>
        <v/>
      </c>
      <c r="Z393" s="29">
        <f>IFERROR(X393/Y393,"")</f>
        <v/>
      </c>
      <c r="AA393" s="26" t="n"/>
      <c r="AB393" s="26" t="n"/>
      <c r="AC393" s="26" t="n"/>
      <c r="AD393" s="26" t="n"/>
      <c r="AE393" s="27">
        <f>IF(C393="","",SUMIFS(tbl_Finance[Ex GST],tbl_Finance[Job Number],C393&amp;"",tbl_Finance[Cost Centre],"VIDEO"))</f>
        <v/>
      </c>
      <c r="AF393" s="29">
        <f>IFERROR(AE393/H393,"")</f>
        <v/>
      </c>
      <c r="AG393" s="27">
        <f>IF(C393="","",N(AA393)+N(AB393)+N(AC393)+N(AD393))</f>
        <v/>
      </c>
      <c r="AH393" s="27">
        <f>IF(C393="","",H393-AG393)</f>
        <v/>
      </c>
      <c r="AI393" s="29">
        <f>IFERROR(AH393/H393,"")</f>
        <v/>
      </c>
      <c r="AJ393" s="64" t="n"/>
      <c r="AK393" s="64" t="n"/>
      <c r="AL393" s="64" t="n"/>
      <c r="AM393" s="64" t="n"/>
      <c r="AN393" s="64" t="n"/>
      <c r="AO393" s="24" t="n"/>
    </row>
    <row r="394" ht="15" customHeight="1">
      <c r="A394" s="63">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7">
        <f>IF(C394="","",SUMIFS(tbl_Finance[Inc GST],tbl_Finance[Job Number],C394&amp;""))</f>
        <v/>
      </c>
      <c r="M394" s="24" t="n"/>
      <c r="N394" s="25">
        <f>IF(C394="","",IFERROR(INDEX(tbl_Finance[Description],MATCH(C394&amp;"",tbl_Finance[Job Number],0)),""))</f>
        <v/>
      </c>
      <c r="O394" s="24" t="n"/>
      <c r="P394" s="24" t="n"/>
      <c r="Q394" s="22" t="n"/>
      <c r="R394" s="24" t="n"/>
      <c r="S394" s="25">
        <f>IF(R394="","",IF(AND(LEFT(R394,4)&lt;&gt;"http",set_RMSBase=""),"",HYPERLINK(IF(LEFT(R394,4)="http",R394,set_RMSBase&amp;R394),"Open opportunity")))</f>
        <v/>
      </c>
      <c r="T394" s="24" t="n"/>
      <c r="U394" s="25">
        <f>IF(T394="","",HYPERLINK(IF(LEFT(T394,4)="http",T394,set_QwilrBase&amp;T394),"Open quote"))</f>
        <v/>
      </c>
      <c r="V394" s="25">
        <f>IF(C394="","",C394)</f>
        <v/>
      </c>
      <c r="W394" s="24" t="n"/>
      <c r="X394" s="26" t="n"/>
      <c r="Y394" s="27">
        <f>IF(C394="","",H394+N(X394))</f>
        <v/>
      </c>
      <c r="Z394" s="29">
        <f>IFERROR(X394/Y394,"")</f>
        <v/>
      </c>
      <c r="AA394" s="26" t="n"/>
      <c r="AB394" s="26" t="n"/>
      <c r="AC394" s="26" t="n"/>
      <c r="AD394" s="26" t="n"/>
      <c r="AE394" s="27">
        <f>IF(C394="","",SUMIFS(tbl_Finance[Ex GST],tbl_Finance[Job Number],C394&amp;"",tbl_Finance[Cost Centre],"VIDEO"))</f>
        <v/>
      </c>
      <c r="AF394" s="29">
        <f>IFERROR(AE394/H394,"")</f>
        <v/>
      </c>
      <c r="AG394" s="27">
        <f>IF(C394="","",N(AA394)+N(AB394)+N(AC394)+N(AD394))</f>
        <v/>
      </c>
      <c r="AH394" s="27">
        <f>IF(C394="","",H394-AG394)</f>
        <v/>
      </c>
      <c r="AI394" s="29">
        <f>IFERROR(AH394/H394,"")</f>
        <v/>
      </c>
      <c r="AJ394" s="64" t="n"/>
      <c r="AK394" s="64" t="n"/>
      <c r="AL394" s="64" t="n"/>
      <c r="AM394" s="64" t="n"/>
      <c r="AN394" s="64" t="n"/>
      <c r="AO394" s="24" t="n"/>
    </row>
    <row r="395" ht="15" customHeight="1">
      <c r="A395" s="63">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7">
        <f>IF(C395="","",SUMIFS(tbl_Finance[Inc GST],tbl_Finance[Job Number],C395&amp;""))</f>
        <v/>
      </c>
      <c r="M395" s="24" t="n"/>
      <c r="N395" s="25">
        <f>IF(C395="","",IFERROR(INDEX(tbl_Finance[Description],MATCH(C395&amp;"",tbl_Finance[Job Number],0)),""))</f>
        <v/>
      </c>
      <c r="O395" s="24" t="n"/>
      <c r="P395" s="24" t="n"/>
      <c r="Q395" s="22" t="n"/>
      <c r="R395" s="24" t="n"/>
      <c r="S395" s="25">
        <f>IF(R395="","",IF(AND(LEFT(R395,4)&lt;&gt;"http",set_RMSBase=""),"",HYPERLINK(IF(LEFT(R395,4)="http",R395,set_RMSBase&amp;R395),"Open opportunity")))</f>
        <v/>
      </c>
      <c r="T395" s="24" t="n"/>
      <c r="U395" s="25">
        <f>IF(T395="","",HYPERLINK(IF(LEFT(T395,4)="http",T395,set_QwilrBase&amp;T395),"Open quote"))</f>
        <v/>
      </c>
      <c r="V395" s="25">
        <f>IF(C395="","",C395)</f>
        <v/>
      </c>
      <c r="W395" s="24" t="n"/>
      <c r="X395" s="26" t="n"/>
      <c r="Y395" s="27">
        <f>IF(C395="","",H395+N(X395))</f>
        <v/>
      </c>
      <c r="Z395" s="29">
        <f>IFERROR(X395/Y395,"")</f>
        <v/>
      </c>
      <c r="AA395" s="26" t="n"/>
      <c r="AB395" s="26" t="n"/>
      <c r="AC395" s="26" t="n"/>
      <c r="AD395" s="26" t="n"/>
      <c r="AE395" s="27">
        <f>IF(C395="","",SUMIFS(tbl_Finance[Ex GST],tbl_Finance[Job Number],C395&amp;"",tbl_Finance[Cost Centre],"VIDEO"))</f>
        <v/>
      </c>
      <c r="AF395" s="29">
        <f>IFERROR(AE395/H395,"")</f>
        <v/>
      </c>
      <c r="AG395" s="27">
        <f>IF(C395="","",N(AA395)+N(AB395)+N(AC395)+N(AD395))</f>
        <v/>
      </c>
      <c r="AH395" s="27">
        <f>IF(C395="","",H395-AG395)</f>
        <v/>
      </c>
      <c r="AI395" s="29">
        <f>IFERROR(AH395/H395,"")</f>
        <v/>
      </c>
      <c r="AJ395" s="64" t="n"/>
      <c r="AK395" s="64" t="n"/>
      <c r="AL395" s="64" t="n"/>
      <c r="AM395" s="64" t="n"/>
      <c r="AN395" s="64" t="n"/>
      <c r="AO395" s="24" t="n"/>
    </row>
    <row r="396" ht="15" customHeight="1">
      <c r="A396" s="63">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7">
        <f>IF(C396="","",SUMIFS(tbl_Finance[Inc GST],tbl_Finance[Job Number],C396&amp;""))</f>
        <v/>
      </c>
      <c r="M396" s="24" t="n"/>
      <c r="N396" s="25">
        <f>IF(C396="","",IFERROR(INDEX(tbl_Finance[Description],MATCH(C396&amp;"",tbl_Finance[Job Number],0)),""))</f>
        <v/>
      </c>
      <c r="O396" s="24" t="n"/>
      <c r="P396" s="24" t="n"/>
      <c r="Q396" s="22" t="n"/>
      <c r="R396" s="24" t="n"/>
      <c r="S396" s="25">
        <f>IF(R396="","",IF(AND(LEFT(R396,4)&lt;&gt;"http",set_RMSBase=""),"",HYPERLINK(IF(LEFT(R396,4)="http",R396,set_RMSBase&amp;R396),"Open opportunity")))</f>
        <v/>
      </c>
      <c r="T396" s="24" t="n"/>
      <c r="U396" s="25">
        <f>IF(T396="","",HYPERLINK(IF(LEFT(T396,4)="http",T396,set_QwilrBase&amp;T396),"Open quote"))</f>
        <v/>
      </c>
      <c r="V396" s="25">
        <f>IF(C396="","",C396)</f>
        <v/>
      </c>
      <c r="W396" s="24" t="n"/>
      <c r="X396" s="26" t="n"/>
      <c r="Y396" s="27">
        <f>IF(C396="","",H396+N(X396))</f>
        <v/>
      </c>
      <c r="Z396" s="29">
        <f>IFERROR(X396/Y396,"")</f>
        <v/>
      </c>
      <c r="AA396" s="26" t="n"/>
      <c r="AB396" s="26" t="n"/>
      <c r="AC396" s="26" t="n"/>
      <c r="AD396" s="26" t="n"/>
      <c r="AE396" s="27">
        <f>IF(C396="","",SUMIFS(tbl_Finance[Ex GST],tbl_Finance[Job Number],C396&amp;"",tbl_Finance[Cost Centre],"VIDEO"))</f>
        <v/>
      </c>
      <c r="AF396" s="29">
        <f>IFERROR(AE396/H396,"")</f>
        <v/>
      </c>
      <c r="AG396" s="27">
        <f>IF(C396="","",N(AA396)+N(AB396)+N(AC396)+N(AD396))</f>
        <v/>
      </c>
      <c r="AH396" s="27">
        <f>IF(C396="","",H396-AG396)</f>
        <v/>
      </c>
      <c r="AI396" s="29">
        <f>IFERROR(AH396/H396,"")</f>
        <v/>
      </c>
      <c r="AJ396" s="64" t="n"/>
      <c r="AK396" s="64" t="n"/>
      <c r="AL396" s="64" t="n"/>
      <c r="AM396" s="64" t="n"/>
      <c r="AN396" s="64" t="n"/>
      <c r="AO396" s="24" t="n"/>
    </row>
    <row r="397" ht="15" customHeight="1">
      <c r="A397" s="63">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7">
        <f>IF(C397="","",SUMIFS(tbl_Finance[Inc GST],tbl_Finance[Job Number],C397&amp;""))</f>
        <v/>
      </c>
      <c r="M397" s="24" t="n"/>
      <c r="N397" s="25">
        <f>IF(C397="","",IFERROR(INDEX(tbl_Finance[Description],MATCH(C397&amp;"",tbl_Finance[Job Number],0)),""))</f>
        <v/>
      </c>
      <c r="O397" s="24" t="n"/>
      <c r="P397" s="24" t="n"/>
      <c r="Q397" s="22" t="n"/>
      <c r="R397" s="24" t="n"/>
      <c r="S397" s="25">
        <f>IF(R397="","",IF(AND(LEFT(R397,4)&lt;&gt;"http",set_RMSBase=""),"",HYPERLINK(IF(LEFT(R397,4)="http",R397,set_RMSBase&amp;R397),"Open opportunity")))</f>
        <v/>
      </c>
      <c r="T397" s="24" t="n"/>
      <c r="U397" s="25">
        <f>IF(T397="","",HYPERLINK(IF(LEFT(T397,4)="http",T397,set_QwilrBase&amp;T397),"Open quote"))</f>
        <v/>
      </c>
      <c r="V397" s="25">
        <f>IF(C397="","",C397)</f>
        <v/>
      </c>
      <c r="W397" s="24" t="n"/>
      <c r="X397" s="26" t="n"/>
      <c r="Y397" s="27">
        <f>IF(C397="","",H397+N(X397))</f>
        <v/>
      </c>
      <c r="Z397" s="29">
        <f>IFERROR(X397/Y397,"")</f>
        <v/>
      </c>
      <c r="AA397" s="26" t="n"/>
      <c r="AB397" s="26" t="n"/>
      <c r="AC397" s="26" t="n"/>
      <c r="AD397" s="26" t="n"/>
      <c r="AE397" s="27">
        <f>IF(C397="","",SUMIFS(tbl_Finance[Ex GST],tbl_Finance[Job Number],C397&amp;"",tbl_Finance[Cost Centre],"VIDEO"))</f>
        <v/>
      </c>
      <c r="AF397" s="29">
        <f>IFERROR(AE397/H397,"")</f>
        <v/>
      </c>
      <c r="AG397" s="27">
        <f>IF(C397="","",N(AA397)+N(AB397)+N(AC397)+N(AD397))</f>
        <v/>
      </c>
      <c r="AH397" s="27">
        <f>IF(C397="","",H397-AG397)</f>
        <v/>
      </c>
      <c r="AI397" s="29">
        <f>IFERROR(AH397/H397,"")</f>
        <v/>
      </c>
      <c r="AJ397" s="64" t="n"/>
      <c r="AK397" s="64" t="n"/>
      <c r="AL397" s="64" t="n"/>
      <c r="AM397" s="64" t="n"/>
      <c r="AN397" s="64" t="n"/>
      <c r="AO397" s="24" t="n"/>
    </row>
    <row r="398" ht="15" customHeight="1">
      <c r="A398" s="63">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7">
        <f>IF(C398="","",SUMIFS(tbl_Finance[Inc GST],tbl_Finance[Job Number],C398&amp;""))</f>
        <v/>
      </c>
      <c r="M398" s="24" t="n"/>
      <c r="N398" s="25">
        <f>IF(C398="","",IFERROR(INDEX(tbl_Finance[Description],MATCH(C398&amp;"",tbl_Finance[Job Number],0)),""))</f>
        <v/>
      </c>
      <c r="O398" s="24" t="n"/>
      <c r="P398" s="24" t="n"/>
      <c r="Q398" s="22" t="n"/>
      <c r="R398" s="24" t="n"/>
      <c r="S398" s="25">
        <f>IF(R398="","",IF(AND(LEFT(R398,4)&lt;&gt;"http",set_RMSBase=""),"",HYPERLINK(IF(LEFT(R398,4)="http",R398,set_RMSBase&amp;R398),"Open opportunity")))</f>
        <v/>
      </c>
      <c r="T398" s="24" t="n"/>
      <c r="U398" s="25">
        <f>IF(T398="","",HYPERLINK(IF(LEFT(T398,4)="http",T398,set_QwilrBase&amp;T398),"Open quote"))</f>
        <v/>
      </c>
      <c r="V398" s="25">
        <f>IF(C398="","",C398)</f>
        <v/>
      </c>
      <c r="W398" s="24" t="n"/>
      <c r="X398" s="26" t="n"/>
      <c r="Y398" s="27">
        <f>IF(C398="","",H398+N(X398))</f>
        <v/>
      </c>
      <c r="Z398" s="29">
        <f>IFERROR(X398/Y398,"")</f>
        <v/>
      </c>
      <c r="AA398" s="26" t="n"/>
      <c r="AB398" s="26" t="n"/>
      <c r="AC398" s="26" t="n"/>
      <c r="AD398" s="26" t="n"/>
      <c r="AE398" s="27">
        <f>IF(C398="","",SUMIFS(tbl_Finance[Ex GST],tbl_Finance[Job Number],C398&amp;"",tbl_Finance[Cost Centre],"VIDEO"))</f>
        <v/>
      </c>
      <c r="AF398" s="29">
        <f>IFERROR(AE398/H398,"")</f>
        <v/>
      </c>
      <c r="AG398" s="27">
        <f>IF(C398="","",N(AA398)+N(AB398)+N(AC398)+N(AD398))</f>
        <v/>
      </c>
      <c r="AH398" s="27">
        <f>IF(C398="","",H398-AG398)</f>
        <v/>
      </c>
      <c r="AI398" s="29">
        <f>IFERROR(AH398/H398,"")</f>
        <v/>
      </c>
      <c r="AJ398" s="64" t="n"/>
      <c r="AK398" s="64" t="n"/>
      <c r="AL398" s="64" t="n"/>
      <c r="AM398" s="64" t="n"/>
      <c r="AN398" s="64" t="n"/>
      <c r="AO398" s="24" t="n"/>
    </row>
    <row r="399" ht="15" customHeight="1">
      <c r="A399" s="63">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7">
        <f>IF(C399="","",SUMIFS(tbl_Finance[Inc GST],tbl_Finance[Job Number],C399&amp;""))</f>
        <v/>
      </c>
      <c r="M399" s="24" t="n"/>
      <c r="N399" s="25">
        <f>IF(C399="","",IFERROR(INDEX(tbl_Finance[Description],MATCH(C399&amp;"",tbl_Finance[Job Number],0)),""))</f>
        <v/>
      </c>
      <c r="O399" s="24" t="n"/>
      <c r="P399" s="24" t="n"/>
      <c r="Q399" s="22" t="n"/>
      <c r="R399" s="24" t="n"/>
      <c r="S399" s="25">
        <f>IF(R399="","",IF(AND(LEFT(R399,4)&lt;&gt;"http",set_RMSBase=""),"",HYPERLINK(IF(LEFT(R399,4)="http",R399,set_RMSBase&amp;R399),"Open opportunity")))</f>
        <v/>
      </c>
      <c r="T399" s="24" t="n"/>
      <c r="U399" s="25">
        <f>IF(T399="","",HYPERLINK(IF(LEFT(T399,4)="http",T399,set_QwilrBase&amp;T399),"Open quote"))</f>
        <v/>
      </c>
      <c r="V399" s="25">
        <f>IF(C399="","",C399)</f>
        <v/>
      </c>
      <c r="W399" s="24" t="n"/>
      <c r="X399" s="26" t="n"/>
      <c r="Y399" s="27">
        <f>IF(C399="","",H399+N(X399))</f>
        <v/>
      </c>
      <c r="Z399" s="29">
        <f>IFERROR(X399/Y399,"")</f>
        <v/>
      </c>
      <c r="AA399" s="26" t="n"/>
      <c r="AB399" s="26" t="n"/>
      <c r="AC399" s="26" t="n"/>
      <c r="AD399" s="26" t="n"/>
      <c r="AE399" s="27">
        <f>IF(C399="","",SUMIFS(tbl_Finance[Ex GST],tbl_Finance[Job Number],C399&amp;"",tbl_Finance[Cost Centre],"VIDEO"))</f>
        <v/>
      </c>
      <c r="AF399" s="29">
        <f>IFERROR(AE399/H399,"")</f>
        <v/>
      </c>
      <c r="AG399" s="27">
        <f>IF(C399="","",N(AA399)+N(AB399)+N(AC399)+N(AD399))</f>
        <v/>
      </c>
      <c r="AH399" s="27">
        <f>IF(C399="","",H399-AG399)</f>
        <v/>
      </c>
      <c r="AI399" s="29">
        <f>IFERROR(AH399/H399,"")</f>
        <v/>
      </c>
      <c r="AJ399" s="64" t="n"/>
      <c r="AK399" s="64" t="n"/>
      <c r="AL399" s="64" t="n"/>
      <c r="AM399" s="64" t="n"/>
      <c r="AN399" s="64" t="n"/>
      <c r="AO399" s="24" t="n"/>
    </row>
    <row r="400" ht="15" customHeight="1">
      <c r="A400" s="63">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7">
        <f>IF(C400="","",SUMIFS(tbl_Finance[Inc GST],tbl_Finance[Job Number],C400&amp;""))</f>
        <v/>
      </c>
      <c r="M400" s="24" t="n"/>
      <c r="N400" s="25">
        <f>IF(C400="","",IFERROR(INDEX(tbl_Finance[Description],MATCH(C400&amp;"",tbl_Finance[Job Number],0)),""))</f>
        <v/>
      </c>
      <c r="O400" s="24" t="n"/>
      <c r="P400" s="24" t="n"/>
      <c r="Q400" s="22" t="n"/>
      <c r="R400" s="24" t="n"/>
      <c r="S400" s="25">
        <f>IF(R400="","",IF(AND(LEFT(R400,4)&lt;&gt;"http",set_RMSBase=""),"",HYPERLINK(IF(LEFT(R400,4)="http",R400,set_RMSBase&amp;R400),"Open opportunity")))</f>
        <v/>
      </c>
      <c r="T400" s="24" t="n"/>
      <c r="U400" s="25">
        <f>IF(T400="","",HYPERLINK(IF(LEFT(T400,4)="http",T400,set_QwilrBase&amp;T400),"Open quote"))</f>
        <v/>
      </c>
      <c r="V400" s="25">
        <f>IF(C400="","",C400)</f>
        <v/>
      </c>
      <c r="W400" s="24" t="n"/>
      <c r="X400" s="26" t="n"/>
      <c r="Y400" s="27">
        <f>IF(C400="","",H400+N(X400))</f>
        <v/>
      </c>
      <c r="Z400" s="29">
        <f>IFERROR(X400/Y400,"")</f>
        <v/>
      </c>
      <c r="AA400" s="26" t="n"/>
      <c r="AB400" s="26" t="n"/>
      <c r="AC400" s="26" t="n"/>
      <c r="AD400" s="26" t="n"/>
      <c r="AE400" s="27">
        <f>IF(C400="","",SUMIFS(tbl_Finance[Ex GST],tbl_Finance[Job Number],C400&amp;"",tbl_Finance[Cost Centre],"VIDEO"))</f>
        <v/>
      </c>
      <c r="AF400" s="29">
        <f>IFERROR(AE400/H400,"")</f>
        <v/>
      </c>
      <c r="AG400" s="27">
        <f>IF(C400="","",N(AA400)+N(AB400)+N(AC400)+N(AD400))</f>
        <v/>
      </c>
      <c r="AH400" s="27">
        <f>IF(C400="","",H400-AG400)</f>
        <v/>
      </c>
      <c r="AI400" s="29">
        <f>IFERROR(AH400/H400,"")</f>
        <v/>
      </c>
      <c r="AJ400" s="64" t="n"/>
      <c r="AK400" s="64" t="n"/>
      <c r="AL400" s="64" t="n"/>
      <c r="AM400" s="64" t="n"/>
      <c r="AN400" s="64" t="n"/>
      <c r="AO400" s="24" t="n"/>
    </row>
    <row r="401" ht="15" customHeight="1">
      <c r="A401" s="63">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7">
        <f>IF(C401="","",SUMIFS(tbl_Finance[Inc GST],tbl_Finance[Job Number],C401&amp;""))</f>
        <v/>
      </c>
      <c r="M401" s="24" t="n"/>
      <c r="N401" s="25">
        <f>IF(C401="","",IFERROR(INDEX(tbl_Finance[Description],MATCH(C401&amp;"",tbl_Finance[Job Number],0)),""))</f>
        <v/>
      </c>
      <c r="O401" s="24" t="n"/>
      <c r="P401" s="24" t="n"/>
      <c r="Q401" s="22" t="n"/>
      <c r="R401" s="24" t="n"/>
      <c r="S401" s="25">
        <f>IF(R401="","",IF(AND(LEFT(R401,4)&lt;&gt;"http",set_RMSBase=""),"",HYPERLINK(IF(LEFT(R401,4)="http",R401,set_RMSBase&amp;R401),"Open opportunity")))</f>
        <v/>
      </c>
      <c r="T401" s="24" t="n"/>
      <c r="U401" s="25">
        <f>IF(T401="","",HYPERLINK(IF(LEFT(T401,4)="http",T401,set_QwilrBase&amp;T401),"Open quote"))</f>
        <v/>
      </c>
      <c r="V401" s="25">
        <f>IF(C401="","",C401)</f>
        <v/>
      </c>
      <c r="W401" s="24" t="n"/>
      <c r="X401" s="26" t="n"/>
      <c r="Y401" s="27">
        <f>IF(C401="","",H401+N(X401))</f>
        <v/>
      </c>
      <c r="Z401" s="29">
        <f>IFERROR(X401/Y401,"")</f>
        <v/>
      </c>
      <c r="AA401" s="26" t="n"/>
      <c r="AB401" s="26" t="n"/>
      <c r="AC401" s="26" t="n"/>
      <c r="AD401" s="26" t="n"/>
      <c r="AE401" s="27">
        <f>IF(C401="","",SUMIFS(tbl_Finance[Ex GST],tbl_Finance[Job Number],C401&amp;"",tbl_Finance[Cost Centre],"VIDEO"))</f>
        <v/>
      </c>
      <c r="AF401" s="29">
        <f>IFERROR(AE401/H401,"")</f>
        <v/>
      </c>
      <c r="AG401" s="27">
        <f>IF(C401="","",N(AA401)+N(AB401)+N(AC401)+N(AD401))</f>
        <v/>
      </c>
      <c r="AH401" s="27">
        <f>IF(C401="","",H401-AG401)</f>
        <v/>
      </c>
      <c r="AI401" s="29">
        <f>IFERROR(AH401/H401,"")</f>
        <v/>
      </c>
      <c r="AJ401" s="64" t="n"/>
      <c r="AK401" s="64" t="n"/>
      <c r="AL401" s="64" t="n"/>
      <c r="AM401" s="64" t="n"/>
      <c r="AN401" s="64" t="n"/>
      <c r="AO401" s="24" t="n"/>
    </row>
    <row r="402" ht="15" customHeight="1">
      <c r="A402" s="63">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7">
        <f>IF(C402="","",SUMIFS(tbl_Finance[Inc GST],tbl_Finance[Job Number],C402&amp;""))</f>
        <v/>
      </c>
      <c r="M402" s="24" t="n"/>
      <c r="N402" s="25">
        <f>IF(C402="","",IFERROR(INDEX(tbl_Finance[Description],MATCH(C402&amp;"",tbl_Finance[Job Number],0)),""))</f>
        <v/>
      </c>
      <c r="O402" s="24" t="n"/>
      <c r="P402" s="24" t="n"/>
      <c r="Q402" s="22" t="n"/>
      <c r="R402" s="24" t="n"/>
      <c r="S402" s="25">
        <f>IF(R402="","",IF(AND(LEFT(R402,4)&lt;&gt;"http",set_RMSBase=""),"",HYPERLINK(IF(LEFT(R402,4)="http",R402,set_RMSBase&amp;R402),"Open opportunity")))</f>
        <v/>
      </c>
      <c r="T402" s="24" t="n"/>
      <c r="U402" s="25">
        <f>IF(T402="","",HYPERLINK(IF(LEFT(T402,4)="http",T402,set_QwilrBase&amp;T402),"Open quote"))</f>
        <v/>
      </c>
      <c r="V402" s="25">
        <f>IF(C402="","",C402)</f>
        <v/>
      </c>
      <c r="W402" s="24" t="n"/>
      <c r="X402" s="26" t="n"/>
      <c r="Y402" s="27">
        <f>IF(C402="","",H402+N(X402))</f>
        <v/>
      </c>
      <c r="Z402" s="29">
        <f>IFERROR(X402/Y402,"")</f>
        <v/>
      </c>
      <c r="AA402" s="26" t="n"/>
      <c r="AB402" s="26" t="n"/>
      <c r="AC402" s="26" t="n"/>
      <c r="AD402" s="26" t="n"/>
      <c r="AE402" s="27">
        <f>IF(C402="","",SUMIFS(tbl_Finance[Ex GST],tbl_Finance[Job Number],C402&amp;"",tbl_Finance[Cost Centre],"VIDEO"))</f>
        <v/>
      </c>
      <c r="AF402" s="29">
        <f>IFERROR(AE402/H402,"")</f>
        <v/>
      </c>
      <c r="AG402" s="27">
        <f>IF(C402="","",N(AA402)+N(AB402)+N(AC402)+N(AD402))</f>
        <v/>
      </c>
      <c r="AH402" s="27">
        <f>IF(C402="","",H402-AG402)</f>
        <v/>
      </c>
      <c r="AI402" s="29">
        <f>IFERROR(AH402/H402,"")</f>
        <v/>
      </c>
      <c r="AJ402" s="64" t="n"/>
      <c r="AK402" s="64" t="n"/>
      <c r="AL402" s="64" t="n"/>
      <c r="AM402" s="64" t="n"/>
      <c r="AN402" s="64" t="n"/>
      <c r="AO402" s="24" t="n"/>
    </row>
    <row r="403" ht="15" customHeight="1">
      <c r="A403" s="63">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7">
        <f>IF(C403="","",SUMIFS(tbl_Finance[Inc GST],tbl_Finance[Job Number],C403&amp;""))</f>
        <v/>
      </c>
      <c r="M403" s="24" t="n"/>
      <c r="N403" s="25">
        <f>IF(C403="","",IFERROR(INDEX(tbl_Finance[Description],MATCH(C403&amp;"",tbl_Finance[Job Number],0)),""))</f>
        <v/>
      </c>
      <c r="O403" s="24" t="n"/>
      <c r="P403" s="24" t="n"/>
      <c r="Q403" s="22" t="n"/>
      <c r="R403" s="24" t="n"/>
      <c r="S403" s="25">
        <f>IF(R403="","",IF(AND(LEFT(R403,4)&lt;&gt;"http",set_RMSBase=""),"",HYPERLINK(IF(LEFT(R403,4)="http",R403,set_RMSBase&amp;R403),"Open opportunity")))</f>
        <v/>
      </c>
      <c r="T403" s="24" t="n"/>
      <c r="U403" s="25">
        <f>IF(T403="","",HYPERLINK(IF(LEFT(T403,4)="http",T403,set_QwilrBase&amp;T403),"Open quote"))</f>
        <v/>
      </c>
      <c r="V403" s="25">
        <f>IF(C403="","",C403)</f>
        <v/>
      </c>
      <c r="W403" s="24" t="n"/>
      <c r="X403" s="26" t="n"/>
      <c r="Y403" s="27">
        <f>IF(C403="","",H403+N(X403))</f>
        <v/>
      </c>
      <c r="Z403" s="29">
        <f>IFERROR(X403/Y403,"")</f>
        <v/>
      </c>
      <c r="AA403" s="26" t="n"/>
      <c r="AB403" s="26" t="n"/>
      <c r="AC403" s="26" t="n"/>
      <c r="AD403" s="26" t="n"/>
      <c r="AE403" s="27">
        <f>IF(C403="","",SUMIFS(tbl_Finance[Ex GST],tbl_Finance[Job Number],C403&amp;"",tbl_Finance[Cost Centre],"VIDEO"))</f>
        <v/>
      </c>
      <c r="AF403" s="29">
        <f>IFERROR(AE403/H403,"")</f>
        <v/>
      </c>
      <c r="AG403" s="27">
        <f>IF(C403="","",N(AA403)+N(AB403)+N(AC403)+N(AD403))</f>
        <v/>
      </c>
      <c r="AH403" s="27">
        <f>IF(C403="","",H403-AG403)</f>
        <v/>
      </c>
      <c r="AI403" s="29">
        <f>IFERROR(AH403/H403,"")</f>
        <v/>
      </c>
      <c r="AJ403" s="64" t="n"/>
      <c r="AK403" s="64" t="n"/>
      <c r="AL403" s="64" t="n"/>
      <c r="AM403" s="64" t="n"/>
      <c r="AN403" s="64" t="n"/>
      <c r="AO403" s="24" t="n"/>
    </row>
    <row r="404" ht="15" customHeight="1">
      <c r="A404" s="63">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7">
        <f>IF(C404="","",SUMIFS(tbl_Finance[Inc GST],tbl_Finance[Job Number],C404&amp;""))</f>
        <v/>
      </c>
      <c r="M404" s="24" t="n"/>
      <c r="N404" s="25">
        <f>IF(C404="","",IFERROR(INDEX(tbl_Finance[Description],MATCH(C404&amp;"",tbl_Finance[Job Number],0)),""))</f>
        <v/>
      </c>
      <c r="O404" s="24" t="n"/>
      <c r="P404" s="24" t="n"/>
      <c r="Q404" s="22" t="n"/>
      <c r="R404" s="24" t="n"/>
      <c r="S404" s="25">
        <f>IF(R404="","",IF(AND(LEFT(R404,4)&lt;&gt;"http",set_RMSBase=""),"",HYPERLINK(IF(LEFT(R404,4)="http",R404,set_RMSBase&amp;R404),"Open opportunity")))</f>
        <v/>
      </c>
      <c r="T404" s="24" t="n"/>
      <c r="U404" s="25">
        <f>IF(T404="","",HYPERLINK(IF(LEFT(T404,4)="http",T404,set_QwilrBase&amp;T404),"Open quote"))</f>
        <v/>
      </c>
      <c r="V404" s="25">
        <f>IF(C404="","",C404)</f>
        <v/>
      </c>
      <c r="W404" s="24" t="n"/>
      <c r="X404" s="26" t="n"/>
      <c r="Y404" s="27">
        <f>IF(C404="","",H404+N(X404))</f>
        <v/>
      </c>
      <c r="Z404" s="29">
        <f>IFERROR(X404/Y404,"")</f>
        <v/>
      </c>
      <c r="AA404" s="26" t="n"/>
      <c r="AB404" s="26" t="n"/>
      <c r="AC404" s="26" t="n"/>
      <c r="AD404" s="26" t="n"/>
      <c r="AE404" s="27">
        <f>IF(C404="","",SUMIFS(tbl_Finance[Ex GST],tbl_Finance[Job Number],C404&amp;"",tbl_Finance[Cost Centre],"VIDEO"))</f>
        <v/>
      </c>
      <c r="AF404" s="29">
        <f>IFERROR(AE404/H404,"")</f>
        <v/>
      </c>
      <c r="AG404" s="27">
        <f>IF(C404="","",N(AA404)+N(AB404)+N(AC404)+N(AD404))</f>
        <v/>
      </c>
      <c r="AH404" s="27">
        <f>IF(C404="","",H404-AG404)</f>
        <v/>
      </c>
      <c r="AI404" s="29">
        <f>IFERROR(AH404/H404,"")</f>
        <v/>
      </c>
      <c r="AJ404" s="64" t="n"/>
      <c r="AK404" s="64" t="n"/>
      <c r="AL404" s="64" t="n"/>
      <c r="AM404" s="64" t="n"/>
      <c r="AN404" s="64" t="n"/>
      <c r="AO404" s="24" t="n"/>
    </row>
    <row r="405" ht="15" customHeight="1">
      <c r="A405" s="63">
        <f>IF(C405="","",IFERROR(IF(SUMPRODUCT(MAX((tbl_Finance[Job Number]=C405&amp;"")*(tbl_Finance[Xero Invoice No]&lt;&gt;"")*tbl_Finance[Date]))=0,"",SUMPRODUCT(MAX((tbl_Finance[Job Number]=C405&amp;"")*(tbl_Finance[Xero Invoice No]&lt;&gt;"")*tbl_Finance[Date]))),""))</f>
        <v/>
      </c>
      <c r="B405" s="25">
        <f>IF(C405="","",IF(COUNTIFS(tbl_Finance[Job Number],C405&amp;"",tbl_Finance[Xero Invoice No],"&lt;&gt;")=0,"",IFERROR(IF(COUNTIFS(tbl_Finance[Job Number],C405&amp;"",tbl_Finance[Xero Invoice No],LOOKUP(2,1/((tbl_Finance[Job Number]=C405&amp;"")*(tbl_Finance[Xero Invoice No]&lt;&gt;"")),tbl_Finance[Xero Invoice No]))=COUNTIFS(tbl_Finance[Job Number],C405&amp;"",tbl_Finance[Xero Invoice No],"&lt;&gt;"),LOOKUP(2,1/((tbl_Finance[Job Number]=C405&amp;"")*(tbl_Finance[Xero Invoice No]&lt;&gt;"")),tbl_Finance[Xero Invoice No]),LOOKUP(2,1/((tbl_Finance[Job Number]=C405&amp;"")*(tbl_Finance[Xero Invoice No]&lt;&gt;"")),tbl_Finance[Xero Invoice No])&amp;" +more"),"")))</f>
        <v/>
      </c>
      <c r="C405" s="24" t="n"/>
      <c r="D405" s="25">
        <f>IF(C405="","",IF(COUNTIF(lst_Jobs,C405&amp;"")&gt;0,"OK","CHECK"))</f>
        <v/>
      </c>
      <c r="E405" s="25">
        <f>IF(C405="","",IFERROR(INDEX(lst_JobName,MATCH(C405&amp;"",lst_Jobs,0)),""))</f>
        <v/>
      </c>
      <c r="F405" s="25">
        <f>IF(C405="","",IFERROR(INDEX(tbl_Finance[Client],MATCH(C405&amp;"",tbl_Finance[Job Number],0)),""))</f>
        <v/>
      </c>
      <c r="G405" s="28">
        <f>IF(C405="","",COUNTIFS(tbl_Finance[Job Number],C405&amp;"",tbl_Finance[Ex GST],"&lt;&gt;"))</f>
        <v/>
      </c>
      <c r="H405" s="27">
        <f>IF(C405="","",SUMIFS(tbl_Finance[Ex GST],tbl_Finance[Job Number],C405&amp;""))</f>
        <v/>
      </c>
      <c r="I405" s="27">
        <f>IF(C405="","",SUMIFS(tbl_Finance[Ex GST],tbl_Finance[Job Number],C405&amp;"",tbl_Finance[Xero Invoice No],"&lt;&gt;"))</f>
        <v/>
      </c>
      <c r="J405" s="27">
        <f>IF(C405="","",H405-I405)</f>
        <v/>
      </c>
      <c r="K405" s="25">
        <f>IF(C405="","",IF(G405=0,"not invoiced yet",SUBSTITUTE(TRIM(IF(COUNTIFS(tbl_Finance[Job Number],C405&amp;"",tbl_Finance[Cost Centre],"ONSITE")&gt;0,"ONSITE ","")&amp;IF(COUNTIFS(tbl_Finance[Job Number],C405&amp;"",tbl_Finance[Cost Centre],"PRODUCTION")&gt;0,"PRODUCTION ","")&amp;IF(COUNTIFS(tbl_Finance[Job Number],C405&amp;"",tbl_Finance[Cost Centre],"VIDEO")&gt;0,"VIDEO ","")&amp;IF(COUNTIFS(tbl_Finance[Job Number],C405&amp;"",tbl_Finance[Cost Centre],"INTEGRATION")&gt;0,"INTEGRATION ","")&amp;IF(COUNTIFS(tbl_Finance[Job Number],C405&amp;"",tbl_Finance[Cost Centre],"CONSULTING")&gt;0,"CONSULTING ","")&amp;IF(COUNTIFS(tbl_Finance[Job Number],C405&amp;"",tbl_Finance[Cost Centre],"CTS")&gt;0,"CTS ",""))," ",", ")))</f>
        <v/>
      </c>
      <c r="L405" s="27">
        <f>IF(C405="","",SUMIFS(tbl_Finance[Inc GST],tbl_Finance[Job Number],C405&amp;""))</f>
        <v/>
      </c>
      <c r="M405" s="24" t="n"/>
      <c r="N405" s="25">
        <f>IF(C405="","",IFERROR(INDEX(tbl_Finance[Description],MATCH(C405&amp;"",tbl_Finance[Job Number],0)),""))</f>
        <v/>
      </c>
      <c r="O405" s="24" t="n"/>
      <c r="P405" s="24" t="n"/>
      <c r="Q405" s="22" t="n"/>
      <c r="R405" s="24" t="n"/>
      <c r="S405" s="25">
        <f>IF(R405="","",IF(AND(LEFT(R405,4)&lt;&gt;"http",set_RMSBase=""),"",HYPERLINK(IF(LEFT(R405,4)="http",R405,set_RMSBase&amp;R405),"Open opportunity")))</f>
        <v/>
      </c>
      <c r="T405" s="24" t="n"/>
      <c r="U405" s="25">
        <f>IF(T405="","",HYPERLINK(IF(LEFT(T405,4)="http",T405,set_QwilrBase&amp;T405),"Open quote"))</f>
        <v/>
      </c>
      <c r="V405" s="25">
        <f>IF(C405="","",C405)</f>
        <v/>
      </c>
      <c r="W405" s="24" t="n"/>
      <c r="X405" s="26" t="n"/>
      <c r="Y405" s="27">
        <f>IF(C405="","",H405+N(X405))</f>
        <v/>
      </c>
      <c r="Z405" s="29">
        <f>IFERROR(X405/Y405,"")</f>
        <v/>
      </c>
      <c r="AA405" s="26" t="n"/>
      <c r="AB405" s="26" t="n"/>
      <c r="AC405" s="26" t="n"/>
      <c r="AD405" s="26" t="n"/>
      <c r="AE405" s="27">
        <f>IF(C405="","",SUMIFS(tbl_Finance[Ex GST],tbl_Finance[Job Number],C405&amp;"",tbl_Finance[Cost Centre],"VIDEO"))</f>
        <v/>
      </c>
      <c r="AF405" s="29">
        <f>IFERROR(AE405/H405,"")</f>
        <v/>
      </c>
      <c r="AG405" s="27">
        <f>IF(C405="","",N(AA405)+N(AB405)+N(AC405)+N(AD405))</f>
        <v/>
      </c>
      <c r="AH405" s="27">
        <f>IF(C405="","",H405-AG405)</f>
        <v/>
      </c>
      <c r="AI405" s="29">
        <f>IFERROR(AH405/H405,"")</f>
        <v/>
      </c>
      <c r="AJ405" s="64" t="n"/>
      <c r="AK405" s="64" t="n"/>
      <c r="AL405" s="64" t="n"/>
      <c r="AM405" s="64" t="n"/>
      <c r="AN405" s="64" t="n"/>
      <c r="AO405" s="24" t="n"/>
    </row>
    <row r="406" ht="15" customHeight="1">
      <c r="A406" s="63">
        <f>IF(C406="","",IFERROR(IF(SUMPRODUCT(MAX((tbl_Finance[Job Number]=C406&amp;"")*(tbl_Finance[Xero Invoice No]&lt;&gt;"")*tbl_Finance[Date]))=0,"",SUMPRODUCT(MAX((tbl_Finance[Job Number]=C406&amp;"")*(tbl_Finance[Xero Invoice No]&lt;&gt;"")*tbl_Finance[Date]))),""))</f>
        <v/>
      </c>
      <c r="B406" s="25">
        <f>IF(C406="","",IF(COUNTIFS(tbl_Finance[Job Number],C406&amp;"",tbl_Finance[Xero Invoice No],"&lt;&gt;")=0,"",IFERROR(IF(COUNTIFS(tbl_Finance[Job Number],C406&amp;"",tbl_Finance[Xero Invoice No],LOOKUP(2,1/((tbl_Finance[Job Number]=C406&amp;"")*(tbl_Finance[Xero Invoice No]&lt;&gt;"")),tbl_Finance[Xero Invoice No]))=COUNTIFS(tbl_Finance[Job Number],C406&amp;"",tbl_Finance[Xero Invoice No],"&lt;&gt;"),LOOKUP(2,1/((tbl_Finance[Job Number]=C406&amp;"")*(tbl_Finance[Xero Invoice No]&lt;&gt;"")),tbl_Finance[Xero Invoice No]),LOOKUP(2,1/((tbl_Finance[Job Number]=C406&amp;"")*(tbl_Finance[Xero Invoice No]&lt;&gt;"")),tbl_Finance[Xero Invoice No])&amp;" +more"),"")))</f>
        <v/>
      </c>
      <c r="C406" s="24" t="n"/>
      <c r="D406" s="25">
        <f>IF(C406="","",IF(COUNTIF(lst_Jobs,C406&amp;"")&gt;0,"OK","CHECK"))</f>
        <v/>
      </c>
      <c r="E406" s="25">
        <f>IF(C406="","",IFERROR(INDEX(lst_JobName,MATCH(C406&amp;"",lst_Jobs,0)),""))</f>
        <v/>
      </c>
      <c r="F406" s="25">
        <f>IF(C406="","",IFERROR(INDEX(tbl_Finance[Client],MATCH(C406&amp;"",tbl_Finance[Job Number],0)),""))</f>
        <v/>
      </c>
      <c r="G406" s="28">
        <f>IF(C406="","",COUNTIFS(tbl_Finance[Job Number],C406&amp;"",tbl_Finance[Ex GST],"&lt;&gt;"))</f>
        <v/>
      </c>
      <c r="H406" s="27">
        <f>IF(C406="","",SUMIFS(tbl_Finance[Ex GST],tbl_Finance[Job Number],C406&amp;""))</f>
        <v/>
      </c>
      <c r="I406" s="27">
        <f>IF(C406="","",SUMIFS(tbl_Finance[Ex GST],tbl_Finance[Job Number],C406&amp;"",tbl_Finance[Xero Invoice No],"&lt;&gt;"))</f>
        <v/>
      </c>
      <c r="J406" s="27">
        <f>IF(C406="","",H406-I406)</f>
        <v/>
      </c>
      <c r="K406" s="25">
        <f>IF(C406="","",IF(G406=0,"not invoiced yet",SUBSTITUTE(TRIM(IF(COUNTIFS(tbl_Finance[Job Number],C406&amp;"",tbl_Finance[Cost Centre],"ONSITE")&gt;0,"ONSITE ","")&amp;IF(COUNTIFS(tbl_Finance[Job Number],C406&amp;"",tbl_Finance[Cost Centre],"PRODUCTION")&gt;0,"PRODUCTION ","")&amp;IF(COUNTIFS(tbl_Finance[Job Number],C406&amp;"",tbl_Finance[Cost Centre],"VIDEO")&gt;0,"VIDEO ","")&amp;IF(COUNTIFS(tbl_Finance[Job Number],C406&amp;"",tbl_Finance[Cost Centre],"INTEGRATION")&gt;0,"INTEGRATION ","")&amp;IF(COUNTIFS(tbl_Finance[Job Number],C406&amp;"",tbl_Finance[Cost Centre],"CONSULTING")&gt;0,"CONSULTING ","")&amp;IF(COUNTIFS(tbl_Finance[Job Number],C406&amp;"",tbl_Finance[Cost Centre],"CTS")&gt;0,"CTS ",""))," ",", ")))</f>
        <v/>
      </c>
      <c r="L406" s="27">
        <f>IF(C406="","",SUMIFS(tbl_Finance[Inc GST],tbl_Finance[Job Number],C406&amp;""))</f>
        <v/>
      </c>
      <c r="M406" s="24" t="n"/>
      <c r="N406" s="25">
        <f>IF(C406="","",IFERROR(INDEX(tbl_Finance[Description],MATCH(C406&amp;"",tbl_Finance[Job Number],0)),""))</f>
        <v/>
      </c>
      <c r="O406" s="24" t="n"/>
      <c r="P406" s="24" t="n"/>
      <c r="Q406" s="22" t="n"/>
      <c r="R406" s="24" t="n"/>
      <c r="S406" s="25">
        <f>IF(R406="","",IF(AND(LEFT(R406,4)&lt;&gt;"http",set_RMSBase=""),"",HYPERLINK(IF(LEFT(R406,4)="http",R406,set_RMSBase&amp;R406),"Open opportunity")))</f>
        <v/>
      </c>
      <c r="T406" s="24" t="n"/>
      <c r="U406" s="25">
        <f>IF(T406="","",HYPERLINK(IF(LEFT(T406,4)="http",T406,set_QwilrBase&amp;T406),"Open quote"))</f>
        <v/>
      </c>
      <c r="V406" s="25">
        <f>IF(C406="","",C406)</f>
        <v/>
      </c>
      <c r="W406" s="24" t="n"/>
      <c r="X406" s="26" t="n"/>
      <c r="Y406" s="27">
        <f>IF(C406="","",H406+N(X406))</f>
        <v/>
      </c>
      <c r="Z406" s="29">
        <f>IFERROR(X406/Y406,"")</f>
        <v/>
      </c>
      <c r="AA406" s="26" t="n"/>
      <c r="AB406" s="26" t="n"/>
      <c r="AC406" s="26" t="n"/>
      <c r="AD406" s="26" t="n"/>
      <c r="AE406" s="27">
        <f>IF(C406="","",SUMIFS(tbl_Finance[Ex GST],tbl_Finance[Job Number],C406&amp;"",tbl_Finance[Cost Centre],"VIDEO"))</f>
        <v/>
      </c>
      <c r="AF406" s="29">
        <f>IFERROR(AE406/H406,"")</f>
        <v/>
      </c>
      <c r="AG406" s="27">
        <f>IF(C406="","",N(AA406)+N(AB406)+N(AC406)+N(AD406))</f>
        <v/>
      </c>
      <c r="AH406" s="27">
        <f>IF(C406="","",H406-AG406)</f>
        <v/>
      </c>
      <c r="AI406" s="29">
        <f>IFERROR(AH406/H406,"")</f>
        <v/>
      </c>
      <c r="AJ406" s="64" t="n"/>
      <c r="AK406" s="64" t="n"/>
      <c r="AL406" s="64" t="n"/>
      <c r="AM406" s="64" t="n"/>
      <c r="AN406" s="64" t="n"/>
      <c r="AO406" s="24" t="n"/>
    </row>
    <row r="407" ht="15" customHeight="1">
      <c r="A407" s="63">
        <f>IF(C407="","",IFERROR(IF(SUMPRODUCT(MAX((tbl_Finance[Job Number]=C407&amp;"")*(tbl_Finance[Xero Invoice No]&lt;&gt;"")*tbl_Finance[Date]))=0,"",SUMPRODUCT(MAX((tbl_Finance[Job Number]=C407&amp;"")*(tbl_Finance[Xero Invoice No]&lt;&gt;"")*tbl_Finance[Date]))),""))</f>
        <v/>
      </c>
      <c r="B407" s="25">
        <f>IF(C407="","",IF(COUNTIFS(tbl_Finance[Job Number],C407&amp;"",tbl_Finance[Xero Invoice No],"&lt;&gt;")=0,"",IFERROR(IF(COUNTIFS(tbl_Finance[Job Number],C407&amp;"",tbl_Finance[Xero Invoice No],LOOKUP(2,1/((tbl_Finance[Job Number]=C407&amp;"")*(tbl_Finance[Xero Invoice No]&lt;&gt;"")),tbl_Finance[Xero Invoice No]))=COUNTIFS(tbl_Finance[Job Number],C407&amp;"",tbl_Finance[Xero Invoice No],"&lt;&gt;"),LOOKUP(2,1/((tbl_Finance[Job Number]=C407&amp;"")*(tbl_Finance[Xero Invoice No]&lt;&gt;"")),tbl_Finance[Xero Invoice No]),LOOKUP(2,1/((tbl_Finance[Job Number]=C407&amp;"")*(tbl_Finance[Xero Invoice No]&lt;&gt;"")),tbl_Finance[Xero Invoice No])&amp;" +more"),"")))</f>
        <v/>
      </c>
      <c r="C407" s="24" t="n"/>
      <c r="D407" s="25">
        <f>IF(C407="","",IF(COUNTIF(lst_Jobs,C407&amp;"")&gt;0,"OK","CHECK"))</f>
        <v/>
      </c>
      <c r="E407" s="25">
        <f>IF(C407="","",IFERROR(INDEX(lst_JobName,MATCH(C407&amp;"",lst_Jobs,0)),""))</f>
        <v/>
      </c>
      <c r="F407" s="25">
        <f>IF(C407="","",IFERROR(INDEX(tbl_Finance[Client],MATCH(C407&amp;"",tbl_Finance[Job Number],0)),""))</f>
        <v/>
      </c>
      <c r="G407" s="28">
        <f>IF(C407="","",COUNTIFS(tbl_Finance[Job Number],C407&amp;"",tbl_Finance[Ex GST],"&lt;&gt;"))</f>
        <v/>
      </c>
      <c r="H407" s="27">
        <f>IF(C407="","",SUMIFS(tbl_Finance[Ex GST],tbl_Finance[Job Number],C407&amp;""))</f>
        <v/>
      </c>
      <c r="I407" s="27">
        <f>IF(C407="","",SUMIFS(tbl_Finance[Ex GST],tbl_Finance[Job Number],C407&amp;"",tbl_Finance[Xero Invoice No],"&lt;&gt;"))</f>
        <v/>
      </c>
      <c r="J407" s="27">
        <f>IF(C407="","",H407-I407)</f>
        <v/>
      </c>
      <c r="K407" s="25">
        <f>IF(C407="","",IF(G407=0,"not invoiced yet",SUBSTITUTE(TRIM(IF(COUNTIFS(tbl_Finance[Job Number],C407&amp;"",tbl_Finance[Cost Centre],"ONSITE")&gt;0,"ONSITE ","")&amp;IF(COUNTIFS(tbl_Finance[Job Number],C407&amp;"",tbl_Finance[Cost Centre],"PRODUCTION")&gt;0,"PRODUCTION ","")&amp;IF(COUNTIFS(tbl_Finance[Job Number],C407&amp;"",tbl_Finance[Cost Centre],"VIDEO")&gt;0,"VIDEO ","")&amp;IF(COUNTIFS(tbl_Finance[Job Number],C407&amp;"",tbl_Finance[Cost Centre],"INTEGRATION")&gt;0,"INTEGRATION ","")&amp;IF(COUNTIFS(tbl_Finance[Job Number],C407&amp;"",tbl_Finance[Cost Centre],"CONSULTING")&gt;0,"CONSULTING ","")&amp;IF(COUNTIFS(tbl_Finance[Job Number],C407&amp;"",tbl_Finance[Cost Centre],"CTS")&gt;0,"CTS ",""))," ",", ")))</f>
        <v/>
      </c>
      <c r="L407" s="27">
        <f>IF(C407="","",SUMIFS(tbl_Finance[Inc GST],tbl_Finance[Job Number],C407&amp;""))</f>
        <v/>
      </c>
      <c r="M407" s="24" t="n"/>
      <c r="N407" s="25">
        <f>IF(C407="","",IFERROR(INDEX(tbl_Finance[Description],MATCH(C407&amp;"",tbl_Finance[Job Number],0)),""))</f>
        <v/>
      </c>
      <c r="O407" s="24" t="n"/>
      <c r="P407" s="24" t="n"/>
      <c r="Q407" s="22" t="n"/>
      <c r="R407" s="24" t="n"/>
      <c r="S407" s="25">
        <f>IF(R407="","",IF(AND(LEFT(R407,4)&lt;&gt;"http",set_RMSBase=""),"",HYPERLINK(IF(LEFT(R407,4)="http",R407,set_RMSBase&amp;R407),"Open opportunity")))</f>
        <v/>
      </c>
      <c r="T407" s="24" t="n"/>
      <c r="U407" s="25">
        <f>IF(T407="","",HYPERLINK(IF(LEFT(T407,4)="http",T407,set_QwilrBase&amp;T407),"Open quote"))</f>
        <v/>
      </c>
      <c r="V407" s="25">
        <f>IF(C407="","",C407)</f>
        <v/>
      </c>
      <c r="W407" s="24" t="n"/>
      <c r="X407" s="26" t="n"/>
      <c r="Y407" s="27">
        <f>IF(C407="","",H407+N(X407))</f>
        <v/>
      </c>
      <c r="Z407" s="29">
        <f>IFERROR(X407/Y407,"")</f>
        <v/>
      </c>
      <c r="AA407" s="26" t="n"/>
      <c r="AB407" s="26" t="n"/>
      <c r="AC407" s="26" t="n"/>
      <c r="AD407" s="26" t="n"/>
      <c r="AE407" s="27">
        <f>IF(C407="","",SUMIFS(tbl_Finance[Ex GST],tbl_Finance[Job Number],C407&amp;"",tbl_Finance[Cost Centre],"VIDEO"))</f>
        <v/>
      </c>
      <c r="AF407" s="29">
        <f>IFERROR(AE407/H407,"")</f>
        <v/>
      </c>
      <c r="AG407" s="27">
        <f>IF(C407="","",N(AA407)+N(AB407)+N(AC407)+N(AD407))</f>
        <v/>
      </c>
      <c r="AH407" s="27">
        <f>IF(C407="","",H407-AG407)</f>
        <v/>
      </c>
      <c r="AI407" s="29">
        <f>IFERROR(AH407/H407,"")</f>
        <v/>
      </c>
      <c r="AJ407" s="64" t="n"/>
      <c r="AK407" s="64" t="n"/>
      <c r="AL407" s="64" t="n"/>
      <c r="AM407" s="64" t="n"/>
      <c r="AN407" s="64" t="n"/>
      <c r="AO407" s="24" t="n"/>
    </row>
    <row r="408" ht="15" customHeight="1">
      <c r="A408" s="63">
        <f>IF(C408="","",IFERROR(IF(SUMPRODUCT(MAX((tbl_Finance[Job Number]=C408&amp;"")*(tbl_Finance[Xero Invoice No]&lt;&gt;"")*tbl_Finance[Date]))=0,"",SUMPRODUCT(MAX((tbl_Finance[Job Number]=C408&amp;"")*(tbl_Finance[Xero Invoice No]&lt;&gt;"")*tbl_Finance[Date]))),""))</f>
        <v/>
      </c>
      <c r="B408" s="25">
        <f>IF(C408="","",IF(COUNTIFS(tbl_Finance[Job Number],C408&amp;"",tbl_Finance[Xero Invoice No],"&lt;&gt;")=0,"",IFERROR(IF(COUNTIFS(tbl_Finance[Job Number],C408&amp;"",tbl_Finance[Xero Invoice No],LOOKUP(2,1/((tbl_Finance[Job Number]=C408&amp;"")*(tbl_Finance[Xero Invoice No]&lt;&gt;"")),tbl_Finance[Xero Invoice No]))=COUNTIFS(tbl_Finance[Job Number],C408&amp;"",tbl_Finance[Xero Invoice No],"&lt;&gt;"),LOOKUP(2,1/((tbl_Finance[Job Number]=C408&amp;"")*(tbl_Finance[Xero Invoice No]&lt;&gt;"")),tbl_Finance[Xero Invoice No]),LOOKUP(2,1/((tbl_Finance[Job Number]=C408&amp;"")*(tbl_Finance[Xero Invoice No]&lt;&gt;"")),tbl_Finance[Xero Invoice No])&amp;" +more"),"")))</f>
        <v/>
      </c>
      <c r="C408" s="24" t="n"/>
      <c r="D408" s="25">
        <f>IF(C408="","",IF(COUNTIF(lst_Jobs,C408&amp;"")&gt;0,"OK","CHECK"))</f>
        <v/>
      </c>
      <c r="E408" s="25">
        <f>IF(C408="","",IFERROR(INDEX(lst_JobName,MATCH(C408&amp;"",lst_Jobs,0)),""))</f>
        <v/>
      </c>
      <c r="F408" s="25">
        <f>IF(C408="","",IFERROR(INDEX(tbl_Finance[Client],MATCH(C408&amp;"",tbl_Finance[Job Number],0)),""))</f>
        <v/>
      </c>
      <c r="G408" s="28">
        <f>IF(C408="","",COUNTIFS(tbl_Finance[Job Number],C408&amp;"",tbl_Finance[Ex GST],"&lt;&gt;"))</f>
        <v/>
      </c>
      <c r="H408" s="27">
        <f>IF(C408="","",SUMIFS(tbl_Finance[Ex GST],tbl_Finance[Job Number],C408&amp;""))</f>
        <v/>
      </c>
      <c r="I408" s="27">
        <f>IF(C408="","",SUMIFS(tbl_Finance[Ex GST],tbl_Finance[Job Number],C408&amp;"",tbl_Finance[Xero Invoice No],"&lt;&gt;"))</f>
        <v/>
      </c>
      <c r="J408" s="27">
        <f>IF(C408="","",H408-I408)</f>
        <v/>
      </c>
      <c r="K408" s="25">
        <f>IF(C408="","",IF(G408=0,"not invoiced yet",SUBSTITUTE(TRIM(IF(COUNTIFS(tbl_Finance[Job Number],C408&amp;"",tbl_Finance[Cost Centre],"ONSITE")&gt;0,"ONSITE ","")&amp;IF(COUNTIFS(tbl_Finance[Job Number],C408&amp;"",tbl_Finance[Cost Centre],"PRODUCTION")&gt;0,"PRODUCTION ","")&amp;IF(COUNTIFS(tbl_Finance[Job Number],C408&amp;"",tbl_Finance[Cost Centre],"VIDEO")&gt;0,"VIDEO ","")&amp;IF(COUNTIFS(tbl_Finance[Job Number],C408&amp;"",tbl_Finance[Cost Centre],"INTEGRATION")&gt;0,"INTEGRATION ","")&amp;IF(COUNTIFS(tbl_Finance[Job Number],C408&amp;"",tbl_Finance[Cost Centre],"CONSULTING")&gt;0,"CONSULTING ","")&amp;IF(COUNTIFS(tbl_Finance[Job Number],C408&amp;"",tbl_Finance[Cost Centre],"CTS")&gt;0,"CTS ",""))," ",", ")))</f>
        <v/>
      </c>
      <c r="L408" s="27">
        <f>IF(C408="","",SUMIFS(tbl_Finance[Inc GST],tbl_Finance[Job Number],C408&amp;""))</f>
        <v/>
      </c>
      <c r="M408" s="24" t="n"/>
      <c r="N408" s="25">
        <f>IF(C408="","",IFERROR(INDEX(tbl_Finance[Description],MATCH(C408&amp;"",tbl_Finance[Job Number],0)),""))</f>
        <v/>
      </c>
      <c r="O408" s="24" t="n"/>
      <c r="P408" s="24" t="n"/>
      <c r="Q408" s="22" t="n"/>
      <c r="R408" s="24" t="n"/>
      <c r="S408" s="25">
        <f>IF(R408="","",IF(AND(LEFT(R408,4)&lt;&gt;"http",set_RMSBase=""),"",HYPERLINK(IF(LEFT(R408,4)="http",R408,set_RMSBase&amp;R408),"Open opportunity")))</f>
        <v/>
      </c>
      <c r="T408" s="24" t="n"/>
      <c r="U408" s="25">
        <f>IF(T408="","",HYPERLINK(IF(LEFT(T408,4)="http",T408,set_QwilrBase&amp;T408),"Open quote"))</f>
        <v/>
      </c>
      <c r="V408" s="25">
        <f>IF(C408="","",C408)</f>
        <v/>
      </c>
      <c r="W408" s="24" t="n"/>
      <c r="X408" s="26" t="n"/>
      <c r="Y408" s="27">
        <f>IF(C408="","",H408+N(X408))</f>
        <v/>
      </c>
      <c r="Z408" s="29">
        <f>IFERROR(X408/Y408,"")</f>
        <v/>
      </c>
      <c r="AA408" s="26" t="n"/>
      <c r="AB408" s="26" t="n"/>
      <c r="AC408" s="26" t="n"/>
      <c r="AD408" s="26" t="n"/>
      <c r="AE408" s="27">
        <f>IF(C408="","",SUMIFS(tbl_Finance[Ex GST],tbl_Finance[Job Number],C408&amp;"",tbl_Finance[Cost Centre],"VIDEO"))</f>
        <v/>
      </c>
      <c r="AF408" s="29">
        <f>IFERROR(AE408/H408,"")</f>
        <v/>
      </c>
      <c r="AG408" s="27">
        <f>IF(C408="","",N(AA408)+N(AB408)+N(AC408)+N(AD408))</f>
        <v/>
      </c>
      <c r="AH408" s="27">
        <f>IF(C408="","",H408-AG408)</f>
        <v/>
      </c>
      <c r="AI408" s="29">
        <f>IFERROR(AH408/H408,"")</f>
        <v/>
      </c>
      <c r="AJ408" s="64" t="n"/>
      <c r="AK408" s="64" t="n"/>
      <c r="AL408" s="64" t="n"/>
      <c r="AM408" s="64" t="n"/>
      <c r="AN408" s="64" t="n"/>
      <c r="AO408" s="24" t="n"/>
    </row>
    <row r="409" ht="15" customHeight="1">
      <c r="A409" s="63">
        <f>IF(C409="","",IFERROR(IF(SUMPRODUCT(MAX((tbl_Finance[Job Number]=C409&amp;"")*(tbl_Finance[Xero Invoice No]&lt;&gt;"")*tbl_Finance[Date]))=0,"",SUMPRODUCT(MAX((tbl_Finance[Job Number]=C409&amp;"")*(tbl_Finance[Xero Invoice No]&lt;&gt;"")*tbl_Finance[Date]))),""))</f>
        <v/>
      </c>
      <c r="B409" s="25">
        <f>IF(C409="","",IF(COUNTIFS(tbl_Finance[Job Number],C409&amp;"",tbl_Finance[Xero Invoice No],"&lt;&gt;")=0,"",IFERROR(IF(COUNTIFS(tbl_Finance[Job Number],C409&amp;"",tbl_Finance[Xero Invoice No],LOOKUP(2,1/((tbl_Finance[Job Number]=C409&amp;"")*(tbl_Finance[Xero Invoice No]&lt;&gt;"")),tbl_Finance[Xero Invoice No]))=COUNTIFS(tbl_Finance[Job Number],C409&amp;"",tbl_Finance[Xero Invoice No],"&lt;&gt;"),LOOKUP(2,1/((tbl_Finance[Job Number]=C409&amp;"")*(tbl_Finance[Xero Invoice No]&lt;&gt;"")),tbl_Finance[Xero Invoice No]),LOOKUP(2,1/((tbl_Finance[Job Number]=C409&amp;"")*(tbl_Finance[Xero Invoice No]&lt;&gt;"")),tbl_Finance[Xero Invoice No])&amp;" +more"),"")))</f>
        <v/>
      </c>
      <c r="C409" s="24" t="n"/>
      <c r="D409" s="25">
        <f>IF(C409="","",IF(COUNTIF(lst_Jobs,C409&amp;"")&gt;0,"OK","CHECK"))</f>
        <v/>
      </c>
      <c r="E409" s="25">
        <f>IF(C409="","",IFERROR(INDEX(lst_JobName,MATCH(C409&amp;"",lst_Jobs,0)),""))</f>
        <v/>
      </c>
      <c r="F409" s="25">
        <f>IF(C409="","",IFERROR(INDEX(tbl_Finance[Client],MATCH(C409&amp;"",tbl_Finance[Job Number],0)),""))</f>
        <v/>
      </c>
      <c r="G409" s="28">
        <f>IF(C409="","",COUNTIFS(tbl_Finance[Job Number],C409&amp;"",tbl_Finance[Ex GST],"&lt;&gt;"))</f>
        <v/>
      </c>
      <c r="H409" s="27">
        <f>IF(C409="","",SUMIFS(tbl_Finance[Ex GST],tbl_Finance[Job Number],C409&amp;""))</f>
        <v/>
      </c>
      <c r="I409" s="27">
        <f>IF(C409="","",SUMIFS(tbl_Finance[Ex GST],tbl_Finance[Job Number],C409&amp;"",tbl_Finance[Xero Invoice No],"&lt;&gt;"))</f>
        <v/>
      </c>
      <c r="J409" s="27">
        <f>IF(C409="","",H409-I409)</f>
        <v/>
      </c>
      <c r="K409" s="25">
        <f>IF(C409="","",IF(G409=0,"not invoiced yet",SUBSTITUTE(TRIM(IF(COUNTIFS(tbl_Finance[Job Number],C409&amp;"",tbl_Finance[Cost Centre],"ONSITE")&gt;0,"ONSITE ","")&amp;IF(COUNTIFS(tbl_Finance[Job Number],C409&amp;"",tbl_Finance[Cost Centre],"PRODUCTION")&gt;0,"PRODUCTION ","")&amp;IF(COUNTIFS(tbl_Finance[Job Number],C409&amp;"",tbl_Finance[Cost Centre],"VIDEO")&gt;0,"VIDEO ","")&amp;IF(COUNTIFS(tbl_Finance[Job Number],C409&amp;"",tbl_Finance[Cost Centre],"INTEGRATION")&gt;0,"INTEGRATION ","")&amp;IF(COUNTIFS(tbl_Finance[Job Number],C409&amp;"",tbl_Finance[Cost Centre],"CONSULTING")&gt;0,"CONSULTING ","")&amp;IF(COUNTIFS(tbl_Finance[Job Number],C409&amp;"",tbl_Finance[Cost Centre],"CTS")&gt;0,"CTS ",""))," ",", ")))</f>
        <v/>
      </c>
      <c r="L409" s="27">
        <f>IF(C409="","",SUMIFS(tbl_Finance[Inc GST],tbl_Finance[Job Number],C409&amp;""))</f>
        <v/>
      </c>
      <c r="M409" s="24" t="n"/>
      <c r="N409" s="25">
        <f>IF(C409="","",IFERROR(INDEX(tbl_Finance[Description],MATCH(C409&amp;"",tbl_Finance[Job Number],0)),""))</f>
        <v/>
      </c>
      <c r="O409" s="24" t="n"/>
      <c r="P409" s="24" t="n"/>
      <c r="Q409" s="22" t="n"/>
      <c r="R409" s="24" t="n"/>
      <c r="S409" s="25">
        <f>IF(R409="","",IF(AND(LEFT(R409,4)&lt;&gt;"http",set_RMSBase=""),"",HYPERLINK(IF(LEFT(R409,4)="http",R409,set_RMSBase&amp;R409),"Open opportunity")))</f>
        <v/>
      </c>
      <c r="T409" s="24" t="n"/>
      <c r="U409" s="25">
        <f>IF(T409="","",HYPERLINK(IF(LEFT(T409,4)="http",T409,set_QwilrBase&amp;T409),"Open quote"))</f>
        <v/>
      </c>
      <c r="V409" s="25">
        <f>IF(C409="","",C409)</f>
        <v/>
      </c>
      <c r="W409" s="24" t="n"/>
      <c r="X409" s="26" t="n"/>
      <c r="Y409" s="27">
        <f>IF(C409="","",H409+N(X409))</f>
        <v/>
      </c>
      <c r="Z409" s="29">
        <f>IFERROR(X409/Y409,"")</f>
        <v/>
      </c>
      <c r="AA409" s="26" t="n"/>
      <c r="AB409" s="26" t="n"/>
      <c r="AC409" s="26" t="n"/>
      <c r="AD409" s="26" t="n"/>
      <c r="AE409" s="27">
        <f>IF(C409="","",SUMIFS(tbl_Finance[Ex GST],tbl_Finance[Job Number],C409&amp;"",tbl_Finance[Cost Centre],"VIDEO"))</f>
        <v/>
      </c>
      <c r="AF409" s="29">
        <f>IFERROR(AE409/H409,"")</f>
        <v/>
      </c>
      <c r="AG409" s="27">
        <f>IF(C409="","",N(AA409)+N(AB409)+N(AC409)+N(AD409))</f>
        <v/>
      </c>
      <c r="AH409" s="27">
        <f>IF(C409="","",H409-AG409)</f>
        <v/>
      </c>
      <c r="AI409" s="29">
        <f>IFERROR(AH409/H409,"")</f>
        <v/>
      </c>
      <c r="AJ409" s="64" t="n"/>
      <c r="AK409" s="64" t="n"/>
      <c r="AL409" s="64" t="n"/>
      <c r="AM409" s="64" t="n"/>
      <c r="AN409" s="64" t="n"/>
      <c r="AO409" s="24" t="n"/>
    </row>
    <row r="410" ht="15" customHeight="1">
      <c r="A410" s="63">
        <f>IF(C410="","",IFERROR(IF(SUMPRODUCT(MAX((tbl_Finance[Job Number]=C410&amp;"")*(tbl_Finance[Xero Invoice No]&lt;&gt;"")*tbl_Finance[Date]))=0,"",SUMPRODUCT(MAX((tbl_Finance[Job Number]=C410&amp;"")*(tbl_Finance[Xero Invoice No]&lt;&gt;"")*tbl_Finance[Date]))),""))</f>
        <v/>
      </c>
      <c r="B410" s="25">
        <f>IF(C410="","",IF(COUNTIFS(tbl_Finance[Job Number],C410&amp;"",tbl_Finance[Xero Invoice No],"&lt;&gt;")=0,"",IFERROR(IF(COUNTIFS(tbl_Finance[Job Number],C410&amp;"",tbl_Finance[Xero Invoice No],LOOKUP(2,1/((tbl_Finance[Job Number]=C410&amp;"")*(tbl_Finance[Xero Invoice No]&lt;&gt;"")),tbl_Finance[Xero Invoice No]))=COUNTIFS(tbl_Finance[Job Number],C410&amp;"",tbl_Finance[Xero Invoice No],"&lt;&gt;"),LOOKUP(2,1/((tbl_Finance[Job Number]=C410&amp;"")*(tbl_Finance[Xero Invoice No]&lt;&gt;"")),tbl_Finance[Xero Invoice No]),LOOKUP(2,1/((tbl_Finance[Job Number]=C410&amp;"")*(tbl_Finance[Xero Invoice No]&lt;&gt;"")),tbl_Finance[Xero Invoice No])&amp;" +more"),"")))</f>
        <v/>
      </c>
      <c r="C410" s="24" t="n"/>
      <c r="D410" s="25">
        <f>IF(C410="","",IF(COUNTIF(lst_Jobs,C410&amp;"")&gt;0,"OK","CHECK"))</f>
        <v/>
      </c>
      <c r="E410" s="25">
        <f>IF(C410="","",IFERROR(INDEX(lst_JobName,MATCH(C410&amp;"",lst_Jobs,0)),""))</f>
        <v/>
      </c>
      <c r="F410" s="25">
        <f>IF(C410="","",IFERROR(INDEX(tbl_Finance[Client],MATCH(C410&amp;"",tbl_Finance[Job Number],0)),""))</f>
        <v/>
      </c>
      <c r="G410" s="28">
        <f>IF(C410="","",COUNTIFS(tbl_Finance[Job Number],C410&amp;"",tbl_Finance[Ex GST],"&lt;&gt;"))</f>
        <v/>
      </c>
      <c r="H410" s="27">
        <f>IF(C410="","",SUMIFS(tbl_Finance[Ex GST],tbl_Finance[Job Number],C410&amp;""))</f>
        <v/>
      </c>
      <c r="I410" s="27">
        <f>IF(C410="","",SUMIFS(tbl_Finance[Ex GST],tbl_Finance[Job Number],C410&amp;"",tbl_Finance[Xero Invoice No],"&lt;&gt;"))</f>
        <v/>
      </c>
      <c r="J410" s="27">
        <f>IF(C410="","",H410-I410)</f>
        <v/>
      </c>
      <c r="K410" s="25">
        <f>IF(C410="","",IF(G410=0,"not invoiced yet",SUBSTITUTE(TRIM(IF(COUNTIFS(tbl_Finance[Job Number],C410&amp;"",tbl_Finance[Cost Centre],"ONSITE")&gt;0,"ONSITE ","")&amp;IF(COUNTIFS(tbl_Finance[Job Number],C410&amp;"",tbl_Finance[Cost Centre],"PRODUCTION")&gt;0,"PRODUCTION ","")&amp;IF(COUNTIFS(tbl_Finance[Job Number],C410&amp;"",tbl_Finance[Cost Centre],"VIDEO")&gt;0,"VIDEO ","")&amp;IF(COUNTIFS(tbl_Finance[Job Number],C410&amp;"",tbl_Finance[Cost Centre],"INTEGRATION")&gt;0,"INTEGRATION ","")&amp;IF(COUNTIFS(tbl_Finance[Job Number],C410&amp;"",tbl_Finance[Cost Centre],"CONSULTING")&gt;0,"CONSULTING ","")&amp;IF(COUNTIFS(tbl_Finance[Job Number],C410&amp;"",tbl_Finance[Cost Centre],"CTS")&gt;0,"CTS ",""))," ",", ")))</f>
        <v/>
      </c>
      <c r="L410" s="27">
        <f>IF(C410="","",SUMIFS(tbl_Finance[Inc GST],tbl_Finance[Job Number],C410&amp;""))</f>
        <v/>
      </c>
      <c r="M410" s="24" t="n"/>
      <c r="N410" s="25">
        <f>IF(C410="","",IFERROR(INDEX(tbl_Finance[Description],MATCH(C410&amp;"",tbl_Finance[Job Number],0)),""))</f>
        <v/>
      </c>
      <c r="O410" s="24" t="n"/>
      <c r="P410" s="24" t="n"/>
      <c r="Q410" s="22" t="n"/>
      <c r="R410" s="24" t="n"/>
      <c r="S410" s="25">
        <f>IF(R410="","",IF(AND(LEFT(R410,4)&lt;&gt;"http",set_RMSBase=""),"",HYPERLINK(IF(LEFT(R410,4)="http",R410,set_RMSBase&amp;R410),"Open opportunity")))</f>
        <v/>
      </c>
      <c r="T410" s="24" t="n"/>
      <c r="U410" s="25">
        <f>IF(T410="","",HYPERLINK(IF(LEFT(T410,4)="http",T410,set_QwilrBase&amp;T410),"Open quote"))</f>
        <v/>
      </c>
      <c r="V410" s="25">
        <f>IF(C410="","",C410)</f>
        <v/>
      </c>
      <c r="W410" s="24" t="n"/>
      <c r="X410" s="26" t="n"/>
      <c r="Y410" s="27">
        <f>IF(C410="","",H410+N(X410))</f>
        <v/>
      </c>
      <c r="Z410" s="29">
        <f>IFERROR(X410/Y410,"")</f>
        <v/>
      </c>
      <c r="AA410" s="26" t="n"/>
      <c r="AB410" s="26" t="n"/>
      <c r="AC410" s="26" t="n"/>
      <c r="AD410" s="26" t="n"/>
      <c r="AE410" s="27">
        <f>IF(C410="","",SUMIFS(tbl_Finance[Ex GST],tbl_Finance[Job Number],C410&amp;"",tbl_Finance[Cost Centre],"VIDEO"))</f>
        <v/>
      </c>
      <c r="AF410" s="29">
        <f>IFERROR(AE410/H410,"")</f>
        <v/>
      </c>
      <c r="AG410" s="27">
        <f>IF(C410="","",N(AA410)+N(AB410)+N(AC410)+N(AD410))</f>
        <v/>
      </c>
      <c r="AH410" s="27">
        <f>IF(C410="","",H410-AG410)</f>
        <v/>
      </c>
      <c r="AI410" s="29">
        <f>IFERROR(AH410/H410,"")</f>
        <v/>
      </c>
      <c r="AJ410" s="64" t="n"/>
      <c r="AK410" s="64" t="n"/>
      <c r="AL410" s="64" t="n"/>
      <c r="AM410" s="64" t="n"/>
      <c r="AN410" s="64" t="n"/>
      <c r="AO410" s="24" t="n"/>
    </row>
    <row r="411" ht="15" customHeight="1">
      <c r="A411" s="63">
        <f>IF(C411="","",IFERROR(IF(SUMPRODUCT(MAX((tbl_Finance[Job Number]=C411&amp;"")*(tbl_Finance[Xero Invoice No]&lt;&gt;"")*tbl_Finance[Date]))=0,"",SUMPRODUCT(MAX((tbl_Finance[Job Number]=C411&amp;"")*(tbl_Finance[Xero Invoice No]&lt;&gt;"")*tbl_Finance[Date]))),""))</f>
        <v/>
      </c>
      <c r="B411" s="25">
        <f>IF(C411="","",IF(COUNTIFS(tbl_Finance[Job Number],C411&amp;"",tbl_Finance[Xero Invoice No],"&lt;&gt;")=0,"",IFERROR(IF(COUNTIFS(tbl_Finance[Job Number],C411&amp;"",tbl_Finance[Xero Invoice No],LOOKUP(2,1/((tbl_Finance[Job Number]=C411&amp;"")*(tbl_Finance[Xero Invoice No]&lt;&gt;"")),tbl_Finance[Xero Invoice No]))=COUNTIFS(tbl_Finance[Job Number],C411&amp;"",tbl_Finance[Xero Invoice No],"&lt;&gt;"),LOOKUP(2,1/((tbl_Finance[Job Number]=C411&amp;"")*(tbl_Finance[Xero Invoice No]&lt;&gt;"")),tbl_Finance[Xero Invoice No]),LOOKUP(2,1/((tbl_Finance[Job Number]=C411&amp;"")*(tbl_Finance[Xero Invoice No]&lt;&gt;"")),tbl_Finance[Xero Invoice No])&amp;" +more"),"")))</f>
        <v/>
      </c>
      <c r="C411" s="24" t="n"/>
      <c r="D411" s="25">
        <f>IF(C411="","",IF(COUNTIF(lst_Jobs,C411&amp;"")&gt;0,"OK","CHECK"))</f>
        <v/>
      </c>
      <c r="E411" s="25">
        <f>IF(C411="","",IFERROR(INDEX(lst_JobName,MATCH(C411&amp;"",lst_Jobs,0)),""))</f>
        <v/>
      </c>
      <c r="F411" s="25">
        <f>IF(C411="","",IFERROR(INDEX(tbl_Finance[Client],MATCH(C411&amp;"",tbl_Finance[Job Number],0)),""))</f>
        <v/>
      </c>
      <c r="G411" s="28">
        <f>IF(C411="","",COUNTIFS(tbl_Finance[Job Number],C411&amp;"",tbl_Finance[Ex GST],"&lt;&gt;"))</f>
        <v/>
      </c>
      <c r="H411" s="27">
        <f>IF(C411="","",SUMIFS(tbl_Finance[Ex GST],tbl_Finance[Job Number],C411&amp;""))</f>
        <v/>
      </c>
      <c r="I411" s="27">
        <f>IF(C411="","",SUMIFS(tbl_Finance[Ex GST],tbl_Finance[Job Number],C411&amp;"",tbl_Finance[Xero Invoice No],"&lt;&gt;"))</f>
        <v/>
      </c>
      <c r="J411" s="27">
        <f>IF(C411="","",H411-I411)</f>
        <v/>
      </c>
      <c r="K411" s="25">
        <f>IF(C411="","",IF(G411=0,"not invoiced yet",SUBSTITUTE(TRIM(IF(COUNTIFS(tbl_Finance[Job Number],C411&amp;"",tbl_Finance[Cost Centre],"ONSITE")&gt;0,"ONSITE ","")&amp;IF(COUNTIFS(tbl_Finance[Job Number],C411&amp;"",tbl_Finance[Cost Centre],"PRODUCTION")&gt;0,"PRODUCTION ","")&amp;IF(COUNTIFS(tbl_Finance[Job Number],C411&amp;"",tbl_Finance[Cost Centre],"VIDEO")&gt;0,"VIDEO ","")&amp;IF(COUNTIFS(tbl_Finance[Job Number],C411&amp;"",tbl_Finance[Cost Centre],"INTEGRATION")&gt;0,"INTEGRATION ","")&amp;IF(COUNTIFS(tbl_Finance[Job Number],C411&amp;"",tbl_Finance[Cost Centre],"CONSULTING")&gt;0,"CONSULTING ","")&amp;IF(COUNTIFS(tbl_Finance[Job Number],C411&amp;"",tbl_Finance[Cost Centre],"CTS")&gt;0,"CTS ",""))," ",", ")))</f>
        <v/>
      </c>
      <c r="L411" s="27">
        <f>IF(C411="","",SUMIFS(tbl_Finance[Inc GST],tbl_Finance[Job Number],C411&amp;""))</f>
        <v/>
      </c>
      <c r="M411" s="24" t="n"/>
      <c r="N411" s="25">
        <f>IF(C411="","",IFERROR(INDEX(tbl_Finance[Description],MATCH(C411&amp;"",tbl_Finance[Job Number],0)),""))</f>
        <v/>
      </c>
      <c r="O411" s="24" t="n"/>
      <c r="P411" s="24" t="n"/>
      <c r="Q411" s="22" t="n"/>
      <c r="R411" s="24" t="n"/>
      <c r="S411" s="25">
        <f>IF(R411="","",IF(AND(LEFT(R411,4)&lt;&gt;"http",set_RMSBase=""),"",HYPERLINK(IF(LEFT(R411,4)="http",R411,set_RMSBase&amp;R411),"Open opportunity")))</f>
        <v/>
      </c>
      <c r="T411" s="24" t="n"/>
      <c r="U411" s="25">
        <f>IF(T411="","",HYPERLINK(IF(LEFT(T411,4)="http",T411,set_QwilrBase&amp;T411),"Open quote"))</f>
        <v/>
      </c>
      <c r="V411" s="25">
        <f>IF(C411="","",C411)</f>
        <v/>
      </c>
      <c r="W411" s="24" t="n"/>
      <c r="X411" s="26" t="n"/>
      <c r="Y411" s="27">
        <f>IF(C411="","",H411+N(X411))</f>
        <v/>
      </c>
      <c r="Z411" s="29">
        <f>IFERROR(X411/Y411,"")</f>
        <v/>
      </c>
      <c r="AA411" s="26" t="n"/>
      <c r="AB411" s="26" t="n"/>
      <c r="AC411" s="26" t="n"/>
      <c r="AD411" s="26" t="n"/>
      <c r="AE411" s="27">
        <f>IF(C411="","",SUMIFS(tbl_Finance[Ex GST],tbl_Finance[Job Number],C411&amp;"",tbl_Finance[Cost Centre],"VIDEO"))</f>
        <v/>
      </c>
      <c r="AF411" s="29">
        <f>IFERROR(AE411/H411,"")</f>
        <v/>
      </c>
      <c r="AG411" s="27">
        <f>IF(C411="","",N(AA411)+N(AB411)+N(AC411)+N(AD411))</f>
        <v/>
      </c>
      <c r="AH411" s="27">
        <f>IF(C411="","",H411-AG411)</f>
        <v/>
      </c>
      <c r="AI411" s="29">
        <f>IFERROR(AH411/H411,"")</f>
        <v/>
      </c>
      <c r="AJ411" s="64" t="n"/>
      <c r="AK411" s="64" t="n"/>
      <c r="AL411" s="64" t="n"/>
      <c r="AM411" s="64" t="n"/>
      <c r="AN411" s="64" t="n"/>
      <c r="AO411" s="24" t="n"/>
    </row>
    <row r="412" ht="15" customHeight="1">
      <c r="A412" s="63">
        <f>IF(C412="","",IFERROR(IF(SUMPRODUCT(MAX((tbl_Finance[Job Number]=C412&amp;"")*(tbl_Finance[Xero Invoice No]&lt;&gt;"")*tbl_Finance[Date]))=0,"",SUMPRODUCT(MAX((tbl_Finance[Job Number]=C412&amp;"")*(tbl_Finance[Xero Invoice No]&lt;&gt;"")*tbl_Finance[Date]))),""))</f>
        <v/>
      </c>
      <c r="B412" s="25">
        <f>IF(C412="","",IF(COUNTIFS(tbl_Finance[Job Number],C412&amp;"",tbl_Finance[Xero Invoice No],"&lt;&gt;")=0,"",IFERROR(IF(COUNTIFS(tbl_Finance[Job Number],C412&amp;"",tbl_Finance[Xero Invoice No],LOOKUP(2,1/((tbl_Finance[Job Number]=C412&amp;"")*(tbl_Finance[Xero Invoice No]&lt;&gt;"")),tbl_Finance[Xero Invoice No]))=COUNTIFS(tbl_Finance[Job Number],C412&amp;"",tbl_Finance[Xero Invoice No],"&lt;&gt;"),LOOKUP(2,1/((tbl_Finance[Job Number]=C412&amp;"")*(tbl_Finance[Xero Invoice No]&lt;&gt;"")),tbl_Finance[Xero Invoice No]),LOOKUP(2,1/((tbl_Finance[Job Number]=C412&amp;"")*(tbl_Finance[Xero Invoice No]&lt;&gt;"")),tbl_Finance[Xero Invoice No])&amp;" +more"),"")))</f>
        <v/>
      </c>
      <c r="C412" s="24" t="n"/>
      <c r="D412" s="25">
        <f>IF(C412="","",IF(COUNTIF(lst_Jobs,C412&amp;"")&gt;0,"OK","CHECK"))</f>
        <v/>
      </c>
      <c r="E412" s="25">
        <f>IF(C412="","",IFERROR(INDEX(lst_JobName,MATCH(C412&amp;"",lst_Jobs,0)),""))</f>
        <v/>
      </c>
      <c r="F412" s="25">
        <f>IF(C412="","",IFERROR(INDEX(tbl_Finance[Client],MATCH(C412&amp;"",tbl_Finance[Job Number],0)),""))</f>
        <v/>
      </c>
      <c r="G412" s="28">
        <f>IF(C412="","",COUNTIFS(tbl_Finance[Job Number],C412&amp;"",tbl_Finance[Ex GST],"&lt;&gt;"))</f>
        <v/>
      </c>
      <c r="H412" s="27">
        <f>IF(C412="","",SUMIFS(tbl_Finance[Ex GST],tbl_Finance[Job Number],C412&amp;""))</f>
        <v/>
      </c>
      <c r="I412" s="27">
        <f>IF(C412="","",SUMIFS(tbl_Finance[Ex GST],tbl_Finance[Job Number],C412&amp;"",tbl_Finance[Xero Invoice No],"&lt;&gt;"))</f>
        <v/>
      </c>
      <c r="J412" s="27">
        <f>IF(C412="","",H412-I412)</f>
        <v/>
      </c>
      <c r="K412" s="25">
        <f>IF(C412="","",IF(G412=0,"not invoiced yet",SUBSTITUTE(TRIM(IF(COUNTIFS(tbl_Finance[Job Number],C412&amp;"",tbl_Finance[Cost Centre],"ONSITE")&gt;0,"ONSITE ","")&amp;IF(COUNTIFS(tbl_Finance[Job Number],C412&amp;"",tbl_Finance[Cost Centre],"PRODUCTION")&gt;0,"PRODUCTION ","")&amp;IF(COUNTIFS(tbl_Finance[Job Number],C412&amp;"",tbl_Finance[Cost Centre],"VIDEO")&gt;0,"VIDEO ","")&amp;IF(COUNTIFS(tbl_Finance[Job Number],C412&amp;"",tbl_Finance[Cost Centre],"INTEGRATION")&gt;0,"INTEGRATION ","")&amp;IF(COUNTIFS(tbl_Finance[Job Number],C412&amp;"",tbl_Finance[Cost Centre],"CONSULTING")&gt;0,"CONSULTING ","")&amp;IF(COUNTIFS(tbl_Finance[Job Number],C412&amp;"",tbl_Finance[Cost Centre],"CTS")&gt;0,"CTS ",""))," ",", ")))</f>
        <v/>
      </c>
      <c r="L412" s="27">
        <f>IF(C412="","",SUMIFS(tbl_Finance[Inc GST],tbl_Finance[Job Number],C412&amp;""))</f>
        <v/>
      </c>
      <c r="M412" s="24" t="n"/>
      <c r="N412" s="25">
        <f>IF(C412="","",IFERROR(INDEX(tbl_Finance[Description],MATCH(C412&amp;"",tbl_Finance[Job Number],0)),""))</f>
        <v/>
      </c>
      <c r="O412" s="24" t="n"/>
      <c r="P412" s="24" t="n"/>
      <c r="Q412" s="22" t="n"/>
      <c r="R412" s="24" t="n"/>
      <c r="S412" s="25">
        <f>IF(R412="","",IF(AND(LEFT(R412,4)&lt;&gt;"http",set_RMSBase=""),"",HYPERLINK(IF(LEFT(R412,4)="http",R412,set_RMSBase&amp;R412),"Open opportunity")))</f>
        <v/>
      </c>
      <c r="T412" s="24" t="n"/>
      <c r="U412" s="25">
        <f>IF(T412="","",HYPERLINK(IF(LEFT(T412,4)="http",T412,set_QwilrBase&amp;T412),"Open quote"))</f>
        <v/>
      </c>
      <c r="V412" s="25">
        <f>IF(C412="","",C412)</f>
        <v/>
      </c>
      <c r="W412" s="24" t="n"/>
      <c r="X412" s="26" t="n"/>
      <c r="Y412" s="27">
        <f>IF(C412="","",H412+N(X412))</f>
        <v/>
      </c>
      <c r="Z412" s="29">
        <f>IFERROR(X412/Y412,"")</f>
        <v/>
      </c>
      <c r="AA412" s="26" t="n"/>
      <c r="AB412" s="26" t="n"/>
      <c r="AC412" s="26" t="n"/>
      <c r="AD412" s="26" t="n"/>
      <c r="AE412" s="27">
        <f>IF(C412="","",SUMIFS(tbl_Finance[Ex GST],tbl_Finance[Job Number],C412&amp;"",tbl_Finance[Cost Centre],"VIDEO"))</f>
        <v/>
      </c>
      <c r="AF412" s="29">
        <f>IFERROR(AE412/H412,"")</f>
        <v/>
      </c>
      <c r="AG412" s="27">
        <f>IF(C412="","",N(AA412)+N(AB412)+N(AC412)+N(AD412))</f>
        <v/>
      </c>
      <c r="AH412" s="27">
        <f>IF(C412="","",H412-AG412)</f>
        <v/>
      </c>
      <c r="AI412" s="29">
        <f>IFERROR(AH412/H412,"")</f>
        <v/>
      </c>
      <c r="AJ412" s="64" t="n"/>
      <c r="AK412" s="64" t="n"/>
      <c r="AL412" s="64" t="n"/>
      <c r="AM412" s="64" t="n"/>
      <c r="AN412" s="64" t="n"/>
      <c r="AO412" s="24" t="n"/>
    </row>
    <row r="413" ht="15" customHeight="1">
      <c r="A413" s="63">
        <f>IF(C413="","",IFERROR(IF(SUMPRODUCT(MAX((tbl_Finance[Job Number]=C413&amp;"")*(tbl_Finance[Xero Invoice No]&lt;&gt;"")*tbl_Finance[Date]))=0,"",SUMPRODUCT(MAX((tbl_Finance[Job Number]=C413&amp;"")*(tbl_Finance[Xero Invoice No]&lt;&gt;"")*tbl_Finance[Date]))),""))</f>
        <v/>
      </c>
      <c r="B413" s="25">
        <f>IF(C413="","",IF(COUNTIFS(tbl_Finance[Job Number],C413&amp;"",tbl_Finance[Xero Invoice No],"&lt;&gt;")=0,"",IFERROR(IF(COUNTIFS(tbl_Finance[Job Number],C413&amp;"",tbl_Finance[Xero Invoice No],LOOKUP(2,1/((tbl_Finance[Job Number]=C413&amp;"")*(tbl_Finance[Xero Invoice No]&lt;&gt;"")),tbl_Finance[Xero Invoice No]))=COUNTIFS(tbl_Finance[Job Number],C413&amp;"",tbl_Finance[Xero Invoice No],"&lt;&gt;"),LOOKUP(2,1/((tbl_Finance[Job Number]=C413&amp;"")*(tbl_Finance[Xero Invoice No]&lt;&gt;"")),tbl_Finance[Xero Invoice No]),LOOKUP(2,1/((tbl_Finance[Job Number]=C413&amp;"")*(tbl_Finance[Xero Invoice No]&lt;&gt;"")),tbl_Finance[Xero Invoice No])&amp;" +more"),"")))</f>
        <v/>
      </c>
      <c r="C413" s="24" t="n"/>
      <c r="D413" s="25">
        <f>IF(C413="","",IF(COUNTIF(lst_Jobs,C413&amp;"")&gt;0,"OK","CHECK"))</f>
        <v/>
      </c>
      <c r="E413" s="25">
        <f>IF(C413="","",IFERROR(INDEX(lst_JobName,MATCH(C413&amp;"",lst_Jobs,0)),""))</f>
        <v/>
      </c>
      <c r="F413" s="25">
        <f>IF(C413="","",IFERROR(INDEX(tbl_Finance[Client],MATCH(C413&amp;"",tbl_Finance[Job Number],0)),""))</f>
        <v/>
      </c>
      <c r="G413" s="28">
        <f>IF(C413="","",COUNTIFS(tbl_Finance[Job Number],C413&amp;"",tbl_Finance[Ex GST],"&lt;&gt;"))</f>
        <v/>
      </c>
      <c r="H413" s="27">
        <f>IF(C413="","",SUMIFS(tbl_Finance[Ex GST],tbl_Finance[Job Number],C413&amp;""))</f>
        <v/>
      </c>
      <c r="I413" s="27">
        <f>IF(C413="","",SUMIFS(tbl_Finance[Ex GST],tbl_Finance[Job Number],C413&amp;"",tbl_Finance[Xero Invoice No],"&lt;&gt;"))</f>
        <v/>
      </c>
      <c r="J413" s="27">
        <f>IF(C413="","",H413-I413)</f>
        <v/>
      </c>
      <c r="K413" s="25">
        <f>IF(C413="","",IF(G413=0,"not invoiced yet",SUBSTITUTE(TRIM(IF(COUNTIFS(tbl_Finance[Job Number],C413&amp;"",tbl_Finance[Cost Centre],"ONSITE")&gt;0,"ONSITE ","")&amp;IF(COUNTIFS(tbl_Finance[Job Number],C413&amp;"",tbl_Finance[Cost Centre],"PRODUCTION")&gt;0,"PRODUCTION ","")&amp;IF(COUNTIFS(tbl_Finance[Job Number],C413&amp;"",tbl_Finance[Cost Centre],"VIDEO")&gt;0,"VIDEO ","")&amp;IF(COUNTIFS(tbl_Finance[Job Number],C413&amp;"",tbl_Finance[Cost Centre],"INTEGRATION")&gt;0,"INTEGRATION ","")&amp;IF(COUNTIFS(tbl_Finance[Job Number],C413&amp;"",tbl_Finance[Cost Centre],"CONSULTING")&gt;0,"CONSULTING ","")&amp;IF(COUNTIFS(tbl_Finance[Job Number],C413&amp;"",tbl_Finance[Cost Centre],"CTS")&gt;0,"CTS ",""))," ",", ")))</f>
        <v/>
      </c>
      <c r="L413" s="27">
        <f>IF(C413="","",SUMIFS(tbl_Finance[Inc GST],tbl_Finance[Job Number],C413&amp;""))</f>
        <v/>
      </c>
      <c r="M413" s="24" t="n"/>
      <c r="N413" s="25">
        <f>IF(C413="","",IFERROR(INDEX(tbl_Finance[Description],MATCH(C413&amp;"",tbl_Finance[Job Number],0)),""))</f>
        <v/>
      </c>
      <c r="O413" s="24" t="n"/>
      <c r="P413" s="24" t="n"/>
      <c r="Q413" s="22" t="n"/>
      <c r="R413" s="24" t="n"/>
      <c r="S413" s="25">
        <f>IF(R413="","",IF(AND(LEFT(R413,4)&lt;&gt;"http",set_RMSBase=""),"",HYPERLINK(IF(LEFT(R413,4)="http",R413,set_RMSBase&amp;R413),"Open opportunity")))</f>
        <v/>
      </c>
      <c r="T413" s="24" t="n"/>
      <c r="U413" s="25">
        <f>IF(T413="","",HYPERLINK(IF(LEFT(T413,4)="http",T413,set_QwilrBase&amp;T413),"Open quote"))</f>
        <v/>
      </c>
      <c r="V413" s="25">
        <f>IF(C413="","",C413)</f>
        <v/>
      </c>
      <c r="W413" s="24" t="n"/>
      <c r="X413" s="26" t="n"/>
      <c r="Y413" s="27">
        <f>IF(C413="","",H413+N(X413))</f>
        <v/>
      </c>
      <c r="Z413" s="29">
        <f>IFERROR(X413/Y413,"")</f>
        <v/>
      </c>
      <c r="AA413" s="26" t="n"/>
      <c r="AB413" s="26" t="n"/>
      <c r="AC413" s="26" t="n"/>
      <c r="AD413" s="26" t="n"/>
      <c r="AE413" s="27">
        <f>IF(C413="","",SUMIFS(tbl_Finance[Ex GST],tbl_Finance[Job Number],C413&amp;"",tbl_Finance[Cost Centre],"VIDEO"))</f>
        <v/>
      </c>
      <c r="AF413" s="29">
        <f>IFERROR(AE413/H413,"")</f>
        <v/>
      </c>
      <c r="AG413" s="27">
        <f>IF(C413="","",N(AA413)+N(AB413)+N(AC413)+N(AD413))</f>
        <v/>
      </c>
      <c r="AH413" s="27">
        <f>IF(C413="","",H413-AG413)</f>
        <v/>
      </c>
      <c r="AI413" s="29">
        <f>IFERROR(AH413/H413,"")</f>
        <v/>
      </c>
      <c r="AJ413" s="64" t="n"/>
      <c r="AK413" s="64" t="n"/>
      <c r="AL413" s="64" t="n"/>
      <c r="AM413" s="64" t="n"/>
      <c r="AN413" s="64" t="n"/>
      <c r="AO413" s="24" t="n"/>
    </row>
    <row r="414" ht="15" customHeight="1">
      <c r="A414" s="63">
        <f>IF(C414="","",IFERROR(IF(SUMPRODUCT(MAX((tbl_Finance[Job Number]=C414&amp;"")*(tbl_Finance[Xero Invoice No]&lt;&gt;"")*tbl_Finance[Date]))=0,"",SUMPRODUCT(MAX((tbl_Finance[Job Number]=C414&amp;"")*(tbl_Finance[Xero Invoice No]&lt;&gt;"")*tbl_Finance[Date]))),""))</f>
        <v/>
      </c>
      <c r="B414" s="25">
        <f>IF(C414="","",IF(COUNTIFS(tbl_Finance[Job Number],C414&amp;"",tbl_Finance[Xero Invoice No],"&lt;&gt;")=0,"",IFERROR(IF(COUNTIFS(tbl_Finance[Job Number],C414&amp;"",tbl_Finance[Xero Invoice No],LOOKUP(2,1/((tbl_Finance[Job Number]=C414&amp;"")*(tbl_Finance[Xero Invoice No]&lt;&gt;"")),tbl_Finance[Xero Invoice No]))=COUNTIFS(tbl_Finance[Job Number],C414&amp;"",tbl_Finance[Xero Invoice No],"&lt;&gt;"),LOOKUP(2,1/((tbl_Finance[Job Number]=C414&amp;"")*(tbl_Finance[Xero Invoice No]&lt;&gt;"")),tbl_Finance[Xero Invoice No]),LOOKUP(2,1/((tbl_Finance[Job Number]=C414&amp;"")*(tbl_Finance[Xero Invoice No]&lt;&gt;"")),tbl_Finance[Xero Invoice No])&amp;" +more"),"")))</f>
        <v/>
      </c>
      <c r="C414" s="24" t="n"/>
      <c r="D414" s="25">
        <f>IF(C414="","",IF(COUNTIF(lst_Jobs,C414&amp;"")&gt;0,"OK","CHECK"))</f>
        <v/>
      </c>
      <c r="E414" s="25">
        <f>IF(C414="","",IFERROR(INDEX(lst_JobName,MATCH(C414&amp;"",lst_Jobs,0)),""))</f>
        <v/>
      </c>
      <c r="F414" s="25">
        <f>IF(C414="","",IFERROR(INDEX(tbl_Finance[Client],MATCH(C414&amp;"",tbl_Finance[Job Number],0)),""))</f>
        <v/>
      </c>
      <c r="G414" s="28">
        <f>IF(C414="","",COUNTIFS(tbl_Finance[Job Number],C414&amp;"",tbl_Finance[Ex GST],"&lt;&gt;"))</f>
        <v/>
      </c>
      <c r="H414" s="27">
        <f>IF(C414="","",SUMIFS(tbl_Finance[Ex GST],tbl_Finance[Job Number],C414&amp;""))</f>
        <v/>
      </c>
      <c r="I414" s="27">
        <f>IF(C414="","",SUMIFS(tbl_Finance[Ex GST],tbl_Finance[Job Number],C414&amp;"",tbl_Finance[Xero Invoice No],"&lt;&gt;"))</f>
        <v/>
      </c>
      <c r="J414" s="27">
        <f>IF(C414="","",H414-I414)</f>
        <v/>
      </c>
      <c r="K414" s="25">
        <f>IF(C414="","",IF(G414=0,"not invoiced yet",SUBSTITUTE(TRIM(IF(COUNTIFS(tbl_Finance[Job Number],C414&amp;"",tbl_Finance[Cost Centre],"ONSITE")&gt;0,"ONSITE ","")&amp;IF(COUNTIFS(tbl_Finance[Job Number],C414&amp;"",tbl_Finance[Cost Centre],"PRODUCTION")&gt;0,"PRODUCTION ","")&amp;IF(COUNTIFS(tbl_Finance[Job Number],C414&amp;"",tbl_Finance[Cost Centre],"VIDEO")&gt;0,"VIDEO ","")&amp;IF(COUNTIFS(tbl_Finance[Job Number],C414&amp;"",tbl_Finance[Cost Centre],"INTEGRATION")&gt;0,"INTEGRATION ","")&amp;IF(COUNTIFS(tbl_Finance[Job Number],C414&amp;"",tbl_Finance[Cost Centre],"CONSULTING")&gt;0,"CONSULTING ","")&amp;IF(COUNTIFS(tbl_Finance[Job Number],C414&amp;"",tbl_Finance[Cost Centre],"CTS")&gt;0,"CTS ",""))," ",", ")))</f>
        <v/>
      </c>
      <c r="L414" s="27">
        <f>IF(C414="","",SUMIFS(tbl_Finance[Inc GST],tbl_Finance[Job Number],C414&amp;""))</f>
        <v/>
      </c>
      <c r="M414" s="24" t="n"/>
      <c r="N414" s="25">
        <f>IF(C414="","",IFERROR(INDEX(tbl_Finance[Description],MATCH(C414&amp;"",tbl_Finance[Job Number],0)),""))</f>
        <v/>
      </c>
      <c r="O414" s="24" t="n"/>
      <c r="P414" s="24" t="n"/>
      <c r="Q414" s="22" t="n"/>
      <c r="R414" s="24" t="n"/>
      <c r="S414" s="25">
        <f>IF(R414="","",IF(AND(LEFT(R414,4)&lt;&gt;"http",set_RMSBase=""),"",HYPERLINK(IF(LEFT(R414,4)="http",R414,set_RMSBase&amp;R414),"Open opportunity")))</f>
        <v/>
      </c>
      <c r="T414" s="24" t="n"/>
      <c r="U414" s="25">
        <f>IF(T414="","",HYPERLINK(IF(LEFT(T414,4)="http",T414,set_QwilrBase&amp;T414),"Open quote"))</f>
        <v/>
      </c>
      <c r="V414" s="25">
        <f>IF(C414="","",C414)</f>
        <v/>
      </c>
      <c r="W414" s="24" t="n"/>
      <c r="X414" s="26" t="n"/>
      <c r="Y414" s="27">
        <f>IF(C414="","",H414+N(X414))</f>
        <v/>
      </c>
      <c r="Z414" s="29">
        <f>IFERROR(X414/Y414,"")</f>
        <v/>
      </c>
      <c r="AA414" s="26" t="n"/>
      <c r="AB414" s="26" t="n"/>
      <c r="AC414" s="26" t="n"/>
      <c r="AD414" s="26" t="n"/>
      <c r="AE414" s="27">
        <f>IF(C414="","",SUMIFS(tbl_Finance[Ex GST],tbl_Finance[Job Number],C414&amp;"",tbl_Finance[Cost Centre],"VIDEO"))</f>
        <v/>
      </c>
      <c r="AF414" s="29">
        <f>IFERROR(AE414/H414,"")</f>
        <v/>
      </c>
      <c r="AG414" s="27">
        <f>IF(C414="","",N(AA414)+N(AB414)+N(AC414)+N(AD414))</f>
        <v/>
      </c>
      <c r="AH414" s="27">
        <f>IF(C414="","",H414-AG414)</f>
        <v/>
      </c>
      <c r="AI414" s="29">
        <f>IFERROR(AH414/H414,"")</f>
        <v/>
      </c>
      <c r="AJ414" s="64" t="n"/>
      <c r="AK414" s="64" t="n"/>
      <c r="AL414" s="64" t="n"/>
      <c r="AM414" s="64" t="n"/>
      <c r="AN414" s="64" t="n"/>
      <c r="AO414" s="24" t="n"/>
    </row>
    <row r="415" ht="15" customHeight="1">
      <c r="A415" s="63">
        <f>IF(C415="","",IFERROR(IF(SUMPRODUCT(MAX((tbl_Finance[Job Number]=C415&amp;"")*(tbl_Finance[Xero Invoice No]&lt;&gt;"")*tbl_Finance[Date]))=0,"",SUMPRODUCT(MAX((tbl_Finance[Job Number]=C415&amp;"")*(tbl_Finance[Xero Invoice No]&lt;&gt;"")*tbl_Finance[Date]))),""))</f>
        <v/>
      </c>
      <c r="B415" s="25">
        <f>IF(C415="","",IF(COUNTIFS(tbl_Finance[Job Number],C415&amp;"",tbl_Finance[Xero Invoice No],"&lt;&gt;")=0,"",IFERROR(IF(COUNTIFS(tbl_Finance[Job Number],C415&amp;"",tbl_Finance[Xero Invoice No],LOOKUP(2,1/((tbl_Finance[Job Number]=C415&amp;"")*(tbl_Finance[Xero Invoice No]&lt;&gt;"")),tbl_Finance[Xero Invoice No]))=COUNTIFS(tbl_Finance[Job Number],C415&amp;"",tbl_Finance[Xero Invoice No],"&lt;&gt;"),LOOKUP(2,1/((tbl_Finance[Job Number]=C415&amp;"")*(tbl_Finance[Xero Invoice No]&lt;&gt;"")),tbl_Finance[Xero Invoice No]),LOOKUP(2,1/((tbl_Finance[Job Number]=C415&amp;"")*(tbl_Finance[Xero Invoice No]&lt;&gt;"")),tbl_Finance[Xero Invoice No])&amp;" +more"),"")))</f>
        <v/>
      </c>
      <c r="C415" s="24" t="n"/>
      <c r="D415" s="25">
        <f>IF(C415="","",IF(COUNTIF(lst_Jobs,C415&amp;"")&gt;0,"OK","CHECK"))</f>
        <v/>
      </c>
      <c r="E415" s="25">
        <f>IF(C415="","",IFERROR(INDEX(lst_JobName,MATCH(C415&amp;"",lst_Jobs,0)),""))</f>
        <v/>
      </c>
      <c r="F415" s="25">
        <f>IF(C415="","",IFERROR(INDEX(tbl_Finance[Client],MATCH(C415&amp;"",tbl_Finance[Job Number],0)),""))</f>
        <v/>
      </c>
      <c r="G415" s="28">
        <f>IF(C415="","",COUNTIFS(tbl_Finance[Job Number],C415&amp;"",tbl_Finance[Ex GST],"&lt;&gt;"))</f>
        <v/>
      </c>
      <c r="H415" s="27">
        <f>IF(C415="","",SUMIFS(tbl_Finance[Ex GST],tbl_Finance[Job Number],C415&amp;""))</f>
        <v/>
      </c>
      <c r="I415" s="27">
        <f>IF(C415="","",SUMIFS(tbl_Finance[Ex GST],tbl_Finance[Job Number],C415&amp;"",tbl_Finance[Xero Invoice No],"&lt;&gt;"))</f>
        <v/>
      </c>
      <c r="J415" s="27">
        <f>IF(C415="","",H415-I415)</f>
        <v/>
      </c>
      <c r="K415" s="25">
        <f>IF(C415="","",IF(G415=0,"not invoiced yet",SUBSTITUTE(TRIM(IF(COUNTIFS(tbl_Finance[Job Number],C415&amp;"",tbl_Finance[Cost Centre],"ONSITE")&gt;0,"ONSITE ","")&amp;IF(COUNTIFS(tbl_Finance[Job Number],C415&amp;"",tbl_Finance[Cost Centre],"PRODUCTION")&gt;0,"PRODUCTION ","")&amp;IF(COUNTIFS(tbl_Finance[Job Number],C415&amp;"",tbl_Finance[Cost Centre],"VIDEO")&gt;0,"VIDEO ","")&amp;IF(COUNTIFS(tbl_Finance[Job Number],C415&amp;"",tbl_Finance[Cost Centre],"INTEGRATION")&gt;0,"INTEGRATION ","")&amp;IF(COUNTIFS(tbl_Finance[Job Number],C415&amp;"",tbl_Finance[Cost Centre],"CONSULTING")&gt;0,"CONSULTING ","")&amp;IF(COUNTIFS(tbl_Finance[Job Number],C415&amp;"",tbl_Finance[Cost Centre],"CTS")&gt;0,"CTS ",""))," ",", ")))</f>
        <v/>
      </c>
      <c r="L415" s="27">
        <f>IF(C415="","",SUMIFS(tbl_Finance[Inc GST],tbl_Finance[Job Number],C415&amp;""))</f>
        <v/>
      </c>
      <c r="M415" s="24" t="n"/>
      <c r="N415" s="25">
        <f>IF(C415="","",IFERROR(INDEX(tbl_Finance[Description],MATCH(C415&amp;"",tbl_Finance[Job Number],0)),""))</f>
        <v/>
      </c>
      <c r="O415" s="24" t="n"/>
      <c r="P415" s="24" t="n"/>
      <c r="Q415" s="22" t="n"/>
      <c r="R415" s="24" t="n"/>
      <c r="S415" s="25">
        <f>IF(R415="","",IF(AND(LEFT(R415,4)&lt;&gt;"http",set_RMSBase=""),"",HYPERLINK(IF(LEFT(R415,4)="http",R415,set_RMSBase&amp;R415),"Open opportunity")))</f>
        <v/>
      </c>
      <c r="T415" s="24" t="n"/>
      <c r="U415" s="25">
        <f>IF(T415="","",HYPERLINK(IF(LEFT(T415,4)="http",T415,set_QwilrBase&amp;T415),"Open quote"))</f>
        <v/>
      </c>
      <c r="V415" s="25">
        <f>IF(C415="","",C415)</f>
        <v/>
      </c>
      <c r="W415" s="24" t="n"/>
      <c r="X415" s="26" t="n"/>
      <c r="Y415" s="27">
        <f>IF(C415="","",H415+N(X415))</f>
        <v/>
      </c>
      <c r="Z415" s="29">
        <f>IFERROR(X415/Y415,"")</f>
        <v/>
      </c>
      <c r="AA415" s="26" t="n"/>
      <c r="AB415" s="26" t="n"/>
      <c r="AC415" s="26" t="n"/>
      <c r="AD415" s="26" t="n"/>
      <c r="AE415" s="27">
        <f>IF(C415="","",SUMIFS(tbl_Finance[Ex GST],tbl_Finance[Job Number],C415&amp;"",tbl_Finance[Cost Centre],"VIDEO"))</f>
        <v/>
      </c>
      <c r="AF415" s="29">
        <f>IFERROR(AE415/H415,"")</f>
        <v/>
      </c>
      <c r="AG415" s="27">
        <f>IF(C415="","",N(AA415)+N(AB415)+N(AC415)+N(AD415))</f>
        <v/>
      </c>
      <c r="AH415" s="27">
        <f>IF(C415="","",H415-AG415)</f>
        <v/>
      </c>
      <c r="AI415" s="29">
        <f>IFERROR(AH415/H415,"")</f>
        <v/>
      </c>
      <c r="AJ415" s="64" t="n"/>
      <c r="AK415" s="64" t="n"/>
      <c r="AL415" s="64" t="n"/>
      <c r="AM415" s="64" t="n"/>
      <c r="AN415" s="64" t="n"/>
      <c r="AO415" s="24" t="n"/>
    </row>
    <row r="416" ht="15" customHeight="1">
      <c r="A416" s="63">
        <f>IF(C416="","",IFERROR(IF(SUMPRODUCT(MAX((tbl_Finance[Job Number]=C416&amp;"")*(tbl_Finance[Xero Invoice No]&lt;&gt;"")*tbl_Finance[Date]))=0,"",SUMPRODUCT(MAX((tbl_Finance[Job Number]=C416&amp;"")*(tbl_Finance[Xero Invoice No]&lt;&gt;"")*tbl_Finance[Date]))),""))</f>
        <v/>
      </c>
      <c r="B416" s="25">
        <f>IF(C416="","",IF(COUNTIFS(tbl_Finance[Job Number],C416&amp;"",tbl_Finance[Xero Invoice No],"&lt;&gt;")=0,"",IFERROR(IF(COUNTIFS(tbl_Finance[Job Number],C416&amp;"",tbl_Finance[Xero Invoice No],LOOKUP(2,1/((tbl_Finance[Job Number]=C416&amp;"")*(tbl_Finance[Xero Invoice No]&lt;&gt;"")),tbl_Finance[Xero Invoice No]))=COUNTIFS(tbl_Finance[Job Number],C416&amp;"",tbl_Finance[Xero Invoice No],"&lt;&gt;"),LOOKUP(2,1/((tbl_Finance[Job Number]=C416&amp;"")*(tbl_Finance[Xero Invoice No]&lt;&gt;"")),tbl_Finance[Xero Invoice No]),LOOKUP(2,1/((tbl_Finance[Job Number]=C416&amp;"")*(tbl_Finance[Xero Invoice No]&lt;&gt;"")),tbl_Finance[Xero Invoice No])&amp;" +more"),"")))</f>
        <v/>
      </c>
      <c r="C416" s="24" t="n"/>
      <c r="D416" s="25">
        <f>IF(C416="","",IF(COUNTIF(lst_Jobs,C416&amp;"")&gt;0,"OK","CHECK"))</f>
        <v/>
      </c>
      <c r="E416" s="25">
        <f>IF(C416="","",IFERROR(INDEX(lst_JobName,MATCH(C416&amp;"",lst_Jobs,0)),""))</f>
        <v/>
      </c>
      <c r="F416" s="25">
        <f>IF(C416="","",IFERROR(INDEX(tbl_Finance[Client],MATCH(C416&amp;"",tbl_Finance[Job Number],0)),""))</f>
        <v/>
      </c>
      <c r="G416" s="28">
        <f>IF(C416="","",COUNTIFS(tbl_Finance[Job Number],C416&amp;"",tbl_Finance[Ex GST],"&lt;&gt;"))</f>
        <v/>
      </c>
      <c r="H416" s="27">
        <f>IF(C416="","",SUMIFS(tbl_Finance[Ex GST],tbl_Finance[Job Number],C416&amp;""))</f>
        <v/>
      </c>
      <c r="I416" s="27">
        <f>IF(C416="","",SUMIFS(tbl_Finance[Ex GST],tbl_Finance[Job Number],C416&amp;"",tbl_Finance[Xero Invoice No],"&lt;&gt;"))</f>
        <v/>
      </c>
      <c r="J416" s="27">
        <f>IF(C416="","",H416-I416)</f>
        <v/>
      </c>
      <c r="K416" s="25">
        <f>IF(C416="","",IF(G416=0,"not invoiced yet",SUBSTITUTE(TRIM(IF(COUNTIFS(tbl_Finance[Job Number],C416&amp;"",tbl_Finance[Cost Centre],"ONSITE")&gt;0,"ONSITE ","")&amp;IF(COUNTIFS(tbl_Finance[Job Number],C416&amp;"",tbl_Finance[Cost Centre],"PRODUCTION")&gt;0,"PRODUCTION ","")&amp;IF(COUNTIFS(tbl_Finance[Job Number],C416&amp;"",tbl_Finance[Cost Centre],"VIDEO")&gt;0,"VIDEO ","")&amp;IF(COUNTIFS(tbl_Finance[Job Number],C416&amp;"",tbl_Finance[Cost Centre],"INTEGRATION")&gt;0,"INTEGRATION ","")&amp;IF(COUNTIFS(tbl_Finance[Job Number],C416&amp;"",tbl_Finance[Cost Centre],"CONSULTING")&gt;0,"CONSULTING ","")&amp;IF(COUNTIFS(tbl_Finance[Job Number],C416&amp;"",tbl_Finance[Cost Centre],"CTS")&gt;0,"CTS ",""))," ",", ")))</f>
        <v/>
      </c>
      <c r="L416" s="27">
        <f>IF(C416="","",SUMIFS(tbl_Finance[Inc GST],tbl_Finance[Job Number],C416&amp;""))</f>
        <v/>
      </c>
      <c r="M416" s="24" t="n"/>
      <c r="N416" s="25">
        <f>IF(C416="","",IFERROR(INDEX(tbl_Finance[Description],MATCH(C416&amp;"",tbl_Finance[Job Number],0)),""))</f>
        <v/>
      </c>
      <c r="O416" s="24" t="n"/>
      <c r="P416" s="24" t="n"/>
      <c r="Q416" s="22" t="n"/>
      <c r="R416" s="24" t="n"/>
      <c r="S416" s="25">
        <f>IF(R416="","",IF(AND(LEFT(R416,4)&lt;&gt;"http",set_RMSBase=""),"",HYPERLINK(IF(LEFT(R416,4)="http",R416,set_RMSBase&amp;R416),"Open opportunity")))</f>
        <v/>
      </c>
      <c r="T416" s="24" t="n"/>
      <c r="U416" s="25">
        <f>IF(T416="","",HYPERLINK(IF(LEFT(T416,4)="http",T416,set_QwilrBase&amp;T416),"Open quote"))</f>
        <v/>
      </c>
      <c r="V416" s="25">
        <f>IF(C416="","",C416)</f>
        <v/>
      </c>
      <c r="W416" s="24" t="n"/>
      <c r="X416" s="26" t="n"/>
      <c r="Y416" s="27">
        <f>IF(C416="","",H416+N(X416))</f>
        <v/>
      </c>
      <c r="Z416" s="29">
        <f>IFERROR(X416/Y416,"")</f>
        <v/>
      </c>
      <c r="AA416" s="26" t="n"/>
      <c r="AB416" s="26" t="n"/>
      <c r="AC416" s="26" t="n"/>
      <c r="AD416" s="26" t="n"/>
      <c r="AE416" s="27">
        <f>IF(C416="","",SUMIFS(tbl_Finance[Ex GST],tbl_Finance[Job Number],C416&amp;"",tbl_Finance[Cost Centre],"VIDEO"))</f>
        <v/>
      </c>
      <c r="AF416" s="29">
        <f>IFERROR(AE416/H416,"")</f>
        <v/>
      </c>
      <c r="AG416" s="27">
        <f>IF(C416="","",N(AA416)+N(AB416)+N(AC416)+N(AD416))</f>
        <v/>
      </c>
      <c r="AH416" s="27">
        <f>IF(C416="","",H416-AG416)</f>
        <v/>
      </c>
      <c r="AI416" s="29">
        <f>IFERROR(AH416/H416,"")</f>
        <v/>
      </c>
      <c r="AJ416" s="64" t="n"/>
      <c r="AK416" s="64" t="n"/>
      <c r="AL416" s="64" t="n"/>
      <c r="AM416" s="64" t="n"/>
      <c r="AN416" s="64" t="n"/>
      <c r="AO416" s="24" t="n"/>
    </row>
    <row r="417" ht="15" customHeight="1">
      <c r="A417" s="63">
        <f>IF(C417="","",IFERROR(IF(SUMPRODUCT(MAX((tbl_Finance[Job Number]=C417&amp;"")*(tbl_Finance[Xero Invoice No]&lt;&gt;"")*tbl_Finance[Date]))=0,"",SUMPRODUCT(MAX((tbl_Finance[Job Number]=C417&amp;"")*(tbl_Finance[Xero Invoice No]&lt;&gt;"")*tbl_Finance[Date]))),""))</f>
        <v/>
      </c>
      <c r="B417" s="25">
        <f>IF(C417="","",IF(COUNTIFS(tbl_Finance[Job Number],C417&amp;"",tbl_Finance[Xero Invoice No],"&lt;&gt;")=0,"",IFERROR(IF(COUNTIFS(tbl_Finance[Job Number],C417&amp;"",tbl_Finance[Xero Invoice No],LOOKUP(2,1/((tbl_Finance[Job Number]=C417&amp;"")*(tbl_Finance[Xero Invoice No]&lt;&gt;"")),tbl_Finance[Xero Invoice No]))=COUNTIFS(tbl_Finance[Job Number],C417&amp;"",tbl_Finance[Xero Invoice No],"&lt;&gt;"),LOOKUP(2,1/((tbl_Finance[Job Number]=C417&amp;"")*(tbl_Finance[Xero Invoice No]&lt;&gt;"")),tbl_Finance[Xero Invoice No]),LOOKUP(2,1/((tbl_Finance[Job Number]=C417&amp;"")*(tbl_Finance[Xero Invoice No]&lt;&gt;"")),tbl_Finance[Xero Invoice No])&amp;" +more"),"")))</f>
        <v/>
      </c>
      <c r="C417" s="24" t="n"/>
      <c r="D417" s="25">
        <f>IF(C417="","",IF(COUNTIF(lst_Jobs,C417&amp;"")&gt;0,"OK","CHECK"))</f>
        <v/>
      </c>
      <c r="E417" s="25">
        <f>IF(C417="","",IFERROR(INDEX(lst_JobName,MATCH(C417&amp;"",lst_Jobs,0)),""))</f>
        <v/>
      </c>
      <c r="F417" s="25">
        <f>IF(C417="","",IFERROR(INDEX(tbl_Finance[Client],MATCH(C417&amp;"",tbl_Finance[Job Number],0)),""))</f>
        <v/>
      </c>
      <c r="G417" s="28">
        <f>IF(C417="","",COUNTIFS(tbl_Finance[Job Number],C417&amp;"",tbl_Finance[Ex GST],"&lt;&gt;"))</f>
        <v/>
      </c>
      <c r="H417" s="27">
        <f>IF(C417="","",SUMIFS(tbl_Finance[Ex GST],tbl_Finance[Job Number],C417&amp;""))</f>
        <v/>
      </c>
      <c r="I417" s="27">
        <f>IF(C417="","",SUMIFS(tbl_Finance[Ex GST],tbl_Finance[Job Number],C417&amp;"",tbl_Finance[Xero Invoice No],"&lt;&gt;"))</f>
        <v/>
      </c>
      <c r="J417" s="27">
        <f>IF(C417="","",H417-I417)</f>
        <v/>
      </c>
      <c r="K417" s="25">
        <f>IF(C417="","",IF(G417=0,"not invoiced yet",SUBSTITUTE(TRIM(IF(COUNTIFS(tbl_Finance[Job Number],C417&amp;"",tbl_Finance[Cost Centre],"ONSITE")&gt;0,"ONSITE ","")&amp;IF(COUNTIFS(tbl_Finance[Job Number],C417&amp;"",tbl_Finance[Cost Centre],"PRODUCTION")&gt;0,"PRODUCTION ","")&amp;IF(COUNTIFS(tbl_Finance[Job Number],C417&amp;"",tbl_Finance[Cost Centre],"VIDEO")&gt;0,"VIDEO ","")&amp;IF(COUNTIFS(tbl_Finance[Job Number],C417&amp;"",tbl_Finance[Cost Centre],"INTEGRATION")&gt;0,"INTEGRATION ","")&amp;IF(COUNTIFS(tbl_Finance[Job Number],C417&amp;"",tbl_Finance[Cost Centre],"CONSULTING")&gt;0,"CONSULTING ","")&amp;IF(COUNTIFS(tbl_Finance[Job Number],C417&amp;"",tbl_Finance[Cost Centre],"CTS")&gt;0,"CTS ",""))," ",", ")))</f>
        <v/>
      </c>
      <c r="L417" s="27">
        <f>IF(C417="","",SUMIFS(tbl_Finance[Inc GST],tbl_Finance[Job Number],C417&amp;""))</f>
        <v/>
      </c>
      <c r="M417" s="24" t="n"/>
      <c r="N417" s="25">
        <f>IF(C417="","",IFERROR(INDEX(tbl_Finance[Description],MATCH(C417&amp;"",tbl_Finance[Job Number],0)),""))</f>
        <v/>
      </c>
      <c r="O417" s="24" t="n"/>
      <c r="P417" s="24" t="n"/>
      <c r="Q417" s="22" t="n"/>
      <c r="R417" s="24" t="n"/>
      <c r="S417" s="25">
        <f>IF(R417="","",IF(AND(LEFT(R417,4)&lt;&gt;"http",set_RMSBase=""),"",HYPERLINK(IF(LEFT(R417,4)="http",R417,set_RMSBase&amp;R417),"Open opportunity")))</f>
        <v/>
      </c>
      <c r="T417" s="24" t="n"/>
      <c r="U417" s="25">
        <f>IF(T417="","",HYPERLINK(IF(LEFT(T417,4)="http",T417,set_QwilrBase&amp;T417),"Open quote"))</f>
        <v/>
      </c>
      <c r="V417" s="25">
        <f>IF(C417="","",C417)</f>
        <v/>
      </c>
      <c r="W417" s="24" t="n"/>
      <c r="X417" s="26" t="n"/>
      <c r="Y417" s="27">
        <f>IF(C417="","",H417+N(X417))</f>
        <v/>
      </c>
      <c r="Z417" s="29">
        <f>IFERROR(X417/Y417,"")</f>
        <v/>
      </c>
      <c r="AA417" s="26" t="n"/>
      <c r="AB417" s="26" t="n"/>
      <c r="AC417" s="26" t="n"/>
      <c r="AD417" s="26" t="n"/>
      <c r="AE417" s="27">
        <f>IF(C417="","",SUMIFS(tbl_Finance[Ex GST],tbl_Finance[Job Number],C417&amp;"",tbl_Finance[Cost Centre],"VIDEO"))</f>
        <v/>
      </c>
      <c r="AF417" s="29">
        <f>IFERROR(AE417/H417,"")</f>
        <v/>
      </c>
      <c r="AG417" s="27">
        <f>IF(C417="","",N(AA417)+N(AB417)+N(AC417)+N(AD417))</f>
        <v/>
      </c>
      <c r="AH417" s="27">
        <f>IF(C417="","",H417-AG417)</f>
        <v/>
      </c>
      <c r="AI417" s="29">
        <f>IFERROR(AH417/H417,"")</f>
        <v/>
      </c>
      <c r="AJ417" s="64" t="n"/>
      <c r="AK417" s="64" t="n"/>
      <c r="AL417" s="64" t="n"/>
      <c r="AM417" s="64" t="n"/>
      <c r="AN417" s="64" t="n"/>
      <c r="AO417" s="24" t="n"/>
    </row>
    <row r="418" ht="15" customHeight="1">
      <c r="A418" s="63">
        <f>IF(C418="","",IFERROR(IF(SUMPRODUCT(MAX((tbl_Finance[Job Number]=C418&amp;"")*(tbl_Finance[Xero Invoice No]&lt;&gt;"")*tbl_Finance[Date]))=0,"",SUMPRODUCT(MAX((tbl_Finance[Job Number]=C418&amp;"")*(tbl_Finance[Xero Invoice No]&lt;&gt;"")*tbl_Finance[Date]))),""))</f>
        <v/>
      </c>
      <c r="B418" s="25">
        <f>IF(C418="","",IF(COUNTIFS(tbl_Finance[Job Number],C418&amp;"",tbl_Finance[Xero Invoice No],"&lt;&gt;")=0,"",IFERROR(IF(COUNTIFS(tbl_Finance[Job Number],C418&amp;"",tbl_Finance[Xero Invoice No],LOOKUP(2,1/((tbl_Finance[Job Number]=C418&amp;"")*(tbl_Finance[Xero Invoice No]&lt;&gt;"")),tbl_Finance[Xero Invoice No]))=COUNTIFS(tbl_Finance[Job Number],C418&amp;"",tbl_Finance[Xero Invoice No],"&lt;&gt;"),LOOKUP(2,1/((tbl_Finance[Job Number]=C418&amp;"")*(tbl_Finance[Xero Invoice No]&lt;&gt;"")),tbl_Finance[Xero Invoice No]),LOOKUP(2,1/((tbl_Finance[Job Number]=C418&amp;"")*(tbl_Finance[Xero Invoice No]&lt;&gt;"")),tbl_Finance[Xero Invoice No])&amp;" +more"),"")))</f>
        <v/>
      </c>
      <c r="C418" s="24" t="n"/>
      <c r="D418" s="25">
        <f>IF(C418="","",IF(COUNTIF(lst_Jobs,C418&amp;"")&gt;0,"OK","CHECK"))</f>
        <v/>
      </c>
      <c r="E418" s="25">
        <f>IF(C418="","",IFERROR(INDEX(lst_JobName,MATCH(C418&amp;"",lst_Jobs,0)),""))</f>
        <v/>
      </c>
      <c r="F418" s="25">
        <f>IF(C418="","",IFERROR(INDEX(tbl_Finance[Client],MATCH(C418&amp;"",tbl_Finance[Job Number],0)),""))</f>
        <v/>
      </c>
      <c r="G418" s="28">
        <f>IF(C418="","",COUNTIFS(tbl_Finance[Job Number],C418&amp;"",tbl_Finance[Ex GST],"&lt;&gt;"))</f>
        <v/>
      </c>
      <c r="H418" s="27">
        <f>IF(C418="","",SUMIFS(tbl_Finance[Ex GST],tbl_Finance[Job Number],C418&amp;""))</f>
        <v/>
      </c>
      <c r="I418" s="27">
        <f>IF(C418="","",SUMIFS(tbl_Finance[Ex GST],tbl_Finance[Job Number],C418&amp;"",tbl_Finance[Xero Invoice No],"&lt;&gt;"))</f>
        <v/>
      </c>
      <c r="J418" s="27">
        <f>IF(C418="","",H418-I418)</f>
        <v/>
      </c>
      <c r="K418" s="25">
        <f>IF(C418="","",IF(G418=0,"not invoiced yet",SUBSTITUTE(TRIM(IF(COUNTIFS(tbl_Finance[Job Number],C418&amp;"",tbl_Finance[Cost Centre],"ONSITE")&gt;0,"ONSITE ","")&amp;IF(COUNTIFS(tbl_Finance[Job Number],C418&amp;"",tbl_Finance[Cost Centre],"PRODUCTION")&gt;0,"PRODUCTION ","")&amp;IF(COUNTIFS(tbl_Finance[Job Number],C418&amp;"",tbl_Finance[Cost Centre],"VIDEO")&gt;0,"VIDEO ","")&amp;IF(COUNTIFS(tbl_Finance[Job Number],C418&amp;"",tbl_Finance[Cost Centre],"INTEGRATION")&gt;0,"INTEGRATION ","")&amp;IF(COUNTIFS(tbl_Finance[Job Number],C418&amp;"",tbl_Finance[Cost Centre],"CONSULTING")&gt;0,"CONSULTING ","")&amp;IF(COUNTIFS(tbl_Finance[Job Number],C418&amp;"",tbl_Finance[Cost Centre],"CTS")&gt;0,"CTS ",""))," ",", ")))</f>
        <v/>
      </c>
      <c r="L418" s="27">
        <f>IF(C418="","",SUMIFS(tbl_Finance[Inc GST],tbl_Finance[Job Number],C418&amp;""))</f>
        <v/>
      </c>
      <c r="M418" s="24" t="n"/>
      <c r="N418" s="25">
        <f>IF(C418="","",IFERROR(INDEX(tbl_Finance[Description],MATCH(C418&amp;"",tbl_Finance[Job Number],0)),""))</f>
        <v/>
      </c>
      <c r="O418" s="24" t="n"/>
      <c r="P418" s="24" t="n"/>
      <c r="Q418" s="22" t="n"/>
      <c r="R418" s="24" t="n"/>
      <c r="S418" s="25">
        <f>IF(R418="","",IF(AND(LEFT(R418,4)&lt;&gt;"http",set_RMSBase=""),"",HYPERLINK(IF(LEFT(R418,4)="http",R418,set_RMSBase&amp;R418),"Open opportunity")))</f>
        <v/>
      </c>
      <c r="T418" s="24" t="n"/>
      <c r="U418" s="25">
        <f>IF(T418="","",HYPERLINK(IF(LEFT(T418,4)="http",T418,set_QwilrBase&amp;T418),"Open quote"))</f>
        <v/>
      </c>
      <c r="V418" s="25">
        <f>IF(C418="","",C418)</f>
        <v/>
      </c>
      <c r="W418" s="24" t="n"/>
      <c r="X418" s="26" t="n"/>
      <c r="Y418" s="27">
        <f>IF(C418="","",H418+N(X418))</f>
        <v/>
      </c>
      <c r="Z418" s="29">
        <f>IFERROR(X418/Y418,"")</f>
        <v/>
      </c>
      <c r="AA418" s="26" t="n"/>
      <c r="AB418" s="26" t="n"/>
      <c r="AC418" s="26" t="n"/>
      <c r="AD418" s="26" t="n"/>
      <c r="AE418" s="27">
        <f>IF(C418="","",SUMIFS(tbl_Finance[Ex GST],tbl_Finance[Job Number],C418&amp;"",tbl_Finance[Cost Centre],"VIDEO"))</f>
        <v/>
      </c>
      <c r="AF418" s="29">
        <f>IFERROR(AE418/H418,"")</f>
        <v/>
      </c>
      <c r="AG418" s="27">
        <f>IF(C418="","",N(AA418)+N(AB418)+N(AC418)+N(AD418))</f>
        <v/>
      </c>
      <c r="AH418" s="27">
        <f>IF(C418="","",H418-AG418)</f>
        <v/>
      </c>
      <c r="AI418" s="29">
        <f>IFERROR(AH418/H418,"")</f>
        <v/>
      </c>
      <c r="AJ418" s="64" t="n"/>
      <c r="AK418" s="64" t="n"/>
      <c r="AL418" s="64" t="n"/>
      <c r="AM418" s="64" t="n"/>
      <c r="AN418" s="64" t="n"/>
      <c r="AO418" s="24" t="n"/>
    </row>
    <row r="419" ht="15" customHeight="1">
      <c r="A419" s="63">
        <f>IF(C419="","",IFERROR(IF(SUMPRODUCT(MAX((tbl_Finance[Job Number]=C419&amp;"")*(tbl_Finance[Xero Invoice No]&lt;&gt;"")*tbl_Finance[Date]))=0,"",SUMPRODUCT(MAX((tbl_Finance[Job Number]=C419&amp;"")*(tbl_Finance[Xero Invoice No]&lt;&gt;"")*tbl_Finance[Date]))),""))</f>
        <v/>
      </c>
      <c r="B419" s="25">
        <f>IF(C419="","",IF(COUNTIFS(tbl_Finance[Job Number],C419&amp;"",tbl_Finance[Xero Invoice No],"&lt;&gt;")=0,"",IFERROR(IF(COUNTIFS(tbl_Finance[Job Number],C419&amp;"",tbl_Finance[Xero Invoice No],LOOKUP(2,1/((tbl_Finance[Job Number]=C419&amp;"")*(tbl_Finance[Xero Invoice No]&lt;&gt;"")),tbl_Finance[Xero Invoice No]))=COUNTIFS(tbl_Finance[Job Number],C419&amp;"",tbl_Finance[Xero Invoice No],"&lt;&gt;"),LOOKUP(2,1/((tbl_Finance[Job Number]=C419&amp;"")*(tbl_Finance[Xero Invoice No]&lt;&gt;"")),tbl_Finance[Xero Invoice No]),LOOKUP(2,1/((tbl_Finance[Job Number]=C419&amp;"")*(tbl_Finance[Xero Invoice No]&lt;&gt;"")),tbl_Finance[Xero Invoice No])&amp;" +more"),"")))</f>
        <v/>
      </c>
      <c r="C419" s="24" t="n"/>
      <c r="D419" s="25">
        <f>IF(C419="","",IF(COUNTIF(lst_Jobs,C419&amp;"")&gt;0,"OK","CHECK"))</f>
        <v/>
      </c>
      <c r="E419" s="25">
        <f>IF(C419="","",IFERROR(INDEX(lst_JobName,MATCH(C419&amp;"",lst_Jobs,0)),""))</f>
        <v/>
      </c>
      <c r="F419" s="25">
        <f>IF(C419="","",IFERROR(INDEX(tbl_Finance[Client],MATCH(C419&amp;"",tbl_Finance[Job Number],0)),""))</f>
        <v/>
      </c>
      <c r="G419" s="28">
        <f>IF(C419="","",COUNTIFS(tbl_Finance[Job Number],C419&amp;"",tbl_Finance[Ex GST],"&lt;&gt;"))</f>
        <v/>
      </c>
      <c r="H419" s="27">
        <f>IF(C419="","",SUMIFS(tbl_Finance[Ex GST],tbl_Finance[Job Number],C419&amp;""))</f>
        <v/>
      </c>
      <c r="I419" s="27">
        <f>IF(C419="","",SUMIFS(tbl_Finance[Ex GST],tbl_Finance[Job Number],C419&amp;"",tbl_Finance[Xero Invoice No],"&lt;&gt;"))</f>
        <v/>
      </c>
      <c r="J419" s="27">
        <f>IF(C419="","",H419-I419)</f>
        <v/>
      </c>
      <c r="K419" s="25">
        <f>IF(C419="","",IF(G419=0,"not invoiced yet",SUBSTITUTE(TRIM(IF(COUNTIFS(tbl_Finance[Job Number],C419&amp;"",tbl_Finance[Cost Centre],"ONSITE")&gt;0,"ONSITE ","")&amp;IF(COUNTIFS(tbl_Finance[Job Number],C419&amp;"",tbl_Finance[Cost Centre],"PRODUCTION")&gt;0,"PRODUCTION ","")&amp;IF(COUNTIFS(tbl_Finance[Job Number],C419&amp;"",tbl_Finance[Cost Centre],"VIDEO")&gt;0,"VIDEO ","")&amp;IF(COUNTIFS(tbl_Finance[Job Number],C419&amp;"",tbl_Finance[Cost Centre],"INTEGRATION")&gt;0,"INTEGRATION ","")&amp;IF(COUNTIFS(tbl_Finance[Job Number],C419&amp;"",tbl_Finance[Cost Centre],"CONSULTING")&gt;0,"CONSULTING ","")&amp;IF(COUNTIFS(tbl_Finance[Job Number],C419&amp;"",tbl_Finance[Cost Centre],"CTS")&gt;0,"CTS ",""))," ",", ")))</f>
        <v/>
      </c>
      <c r="L419" s="27">
        <f>IF(C419="","",SUMIFS(tbl_Finance[Inc GST],tbl_Finance[Job Number],C419&amp;""))</f>
        <v/>
      </c>
      <c r="M419" s="24" t="n"/>
      <c r="N419" s="25">
        <f>IF(C419="","",IFERROR(INDEX(tbl_Finance[Description],MATCH(C419&amp;"",tbl_Finance[Job Number],0)),""))</f>
        <v/>
      </c>
      <c r="O419" s="24" t="n"/>
      <c r="P419" s="24" t="n"/>
      <c r="Q419" s="22" t="n"/>
      <c r="R419" s="24" t="n"/>
      <c r="S419" s="25">
        <f>IF(R419="","",IF(AND(LEFT(R419,4)&lt;&gt;"http",set_RMSBase=""),"",HYPERLINK(IF(LEFT(R419,4)="http",R419,set_RMSBase&amp;R419),"Open opportunity")))</f>
        <v/>
      </c>
      <c r="T419" s="24" t="n"/>
      <c r="U419" s="25">
        <f>IF(T419="","",HYPERLINK(IF(LEFT(T419,4)="http",T419,set_QwilrBase&amp;T419),"Open quote"))</f>
        <v/>
      </c>
      <c r="V419" s="25">
        <f>IF(C419="","",C419)</f>
        <v/>
      </c>
      <c r="W419" s="24" t="n"/>
      <c r="X419" s="26" t="n"/>
      <c r="Y419" s="27">
        <f>IF(C419="","",H419+N(X419))</f>
        <v/>
      </c>
      <c r="Z419" s="29">
        <f>IFERROR(X419/Y419,"")</f>
        <v/>
      </c>
      <c r="AA419" s="26" t="n"/>
      <c r="AB419" s="26" t="n"/>
      <c r="AC419" s="26" t="n"/>
      <c r="AD419" s="26" t="n"/>
      <c r="AE419" s="27">
        <f>IF(C419="","",SUMIFS(tbl_Finance[Ex GST],tbl_Finance[Job Number],C419&amp;"",tbl_Finance[Cost Centre],"VIDEO"))</f>
        <v/>
      </c>
      <c r="AF419" s="29">
        <f>IFERROR(AE419/H419,"")</f>
        <v/>
      </c>
      <c r="AG419" s="27">
        <f>IF(C419="","",N(AA419)+N(AB419)+N(AC419)+N(AD419))</f>
        <v/>
      </c>
      <c r="AH419" s="27">
        <f>IF(C419="","",H419-AG419)</f>
        <v/>
      </c>
      <c r="AI419" s="29">
        <f>IFERROR(AH419/H419,"")</f>
        <v/>
      </c>
      <c r="AJ419" s="64" t="n"/>
      <c r="AK419" s="64" t="n"/>
      <c r="AL419" s="64" t="n"/>
      <c r="AM419" s="64" t="n"/>
      <c r="AN419" s="64" t="n"/>
      <c r="AO419" s="24" t="n"/>
    </row>
    <row r="420" ht="15" customHeight="1">
      <c r="A420" s="63">
        <f>IF(C420="","",IFERROR(IF(SUMPRODUCT(MAX((tbl_Finance[Job Number]=C420&amp;"")*(tbl_Finance[Xero Invoice No]&lt;&gt;"")*tbl_Finance[Date]))=0,"",SUMPRODUCT(MAX((tbl_Finance[Job Number]=C420&amp;"")*(tbl_Finance[Xero Invoice No]&lt;&gt;"")*tbl_Finance[Date]))),""))</f>
        <v/>
      </c>
      <c r="B420" s="25">
        <f>IF(C420="","",IF(COUNTIFS(tbl_Finance[Job Number],C420&amp;"",tbl_Finance[Xero Invoice No],"&lt;&gt;")=0,"",IFERROR(IF(COUNTIFS(tbl_Finance[Job Number],C420&amp;"",tbl_Finance[Xero Invoice No],LOOKUP(2,1/((tbl_Finance[Job Number]=C420&amp;"")*(tbl_Finance[Xero Invoice No]&lt;&gt;"")),tbl_Finance[Xero Invoice No]))=COUNTIFS(tbl_Finance[Job Number],C420&amp;"",tbl_Finance[Xero Invoice No],"&lt;&gt;"),LOOKUP(2,1/((tbl_Finance[Job Number]=C420&amp;"")*(tbl_Finance[Xero Invoice No]&lt;&gt;"")),tbl_Finance[Xero Invoice No]),LOOKUP(2,1/((tbl_Finance[Job Number]=C420&amp;"")*(tbl_Finance[Xero Invoice No]&lt;&gt;"")),tbl_Finance[Xero Invoice No])&amp;" +more"),"")))</f>
        <v/>
      </c>
      <c r="C420" s="24" t="n"/>
      <c r="D420" s="25">
        <f>IF(C420="","",IF(COUNTIF(lst_Jobs,C420&amp;"")&gt;0,"OK","CHECK"))</f>
        <v/>
      </c>
      <c r="E420" s="25">
        <f>IF(C420="","",IFERROR(INDEX(lst_JobName,MATCH(C420&amp;"",lst_Jobs,0)),""))</f>
        <v/>
      </c>
      <c r="F420" s="25">
        <f>IF(C420="","",IFERROR(INDEX(tbl_Finance[Client],MATCH(C420&amp;"",tbl_Finance[Job Number],0)),""))</f>
        <v/>
      </c>
      <c r="G420" s="28">
        <f>IF(C420="","",COUNTIFS(tbl_Finance[Job Number],C420&amp;"",tbl_Finance[Ex GST],"&lt;&gt;"))</f>
        <v/>
      </c>
      <c r="H420" s="27">
        <f>IF(C420="","",SUMIFS(tbl_Finance[Ex GST],tbl_Finance[Job Number],C420&amp;""))</f>
        <v/>
      </c>
      <c r="I420" s="27">
        <f>IF(C420="","",SUMIFS(tbl_Finance[Ex GST],tbl_Finance[Job Number],C420&amp;"",tbl_Finance[Xero Invoice No],"&lt;&gt;"))</f>
        <v/>
      </c>
      <c r="J420" s="27">
        <f>IF(C420="","",H420-I420)</f>
        <v/>
      </c>
      <c r="K420" s="25">
        <f>IF(C420="","",IF(G420=0,"not invoiced yet",SUBSTITUTE(TRIM(IF(COUNTIFS(tbl_Finance[Job Number],C420&amp;"",tbl_Finance[Cost Centre],"ONSITE")&gt;0,"ONSITE ","")&amp;IF(COUNTIFS(tbl_Finance[Job Number],C420&amp;"",tbl_Finance[Cost Centre],"PRODUCTION")&gt;0,"PRODUCTION ","")&amp;IF(COUNTIFS(tbl_Finance[Job Number],C420&amp;"",tbl_Finance[Cost Centre],"VIDEO")&gt;0,"VIDEO ","")&amp;IF(COUNTIFS(tbl_Finance[Job Number],C420&amp;"",tbl_Finance[Cost Centre],"INTEGRATION")&gt;0,"INTEGRATION ","")&amp;IF(COUNTIFS(tbl_Finance[Job Number],C420&amp;"",tbl_Finance[Cost Centre],"CONSULTING")&gt;0,"CONSULTING ","")&amp;IF(COUNTIFS(tbl_Finance[Job Number],C420&amp;"",tbl_Finance[Cost Centre],"CTS")&gt;0,"CTS ",""))," ",", ")))</f>
        <v/>
      </c>
      <c r="L420" s="27">
        <f>IF(C420="","",SUMIFS(tbl_Finance[Inc GST],tbl_Finance[Job Number],C420&amp;""))</f>
        <v/>
      </c>
      <c r="M420" s="24" t="n"/>
      <c r="N420" s="25">
        <f>IF(C420="","",IFERROR(INDEX(tbl_Finance[Description],MATCH(C420&amp;"",tbl_Finance[Job Number],0)),""))</f>
        <v/>
      </c>
      <c r="O420" s="24" t="n"/>
      <c r="P420" s="24" t="n"/>
      <c r="Q420" s="22" t="n"/>
      <c r="R420" s="24" t="n"/>
      <c r="S420" s="25">
        <f>IF(R420="","",IF(AND(LEFT(R420,4)&lt;&gt;"http",set_RMSBase=""),"",HYPERLINK(IF(LEFT(R420,4)="http",R420,set_RMSBase&amp;R420),"Open opportunity")))</f>
        <v/>
      </c>
      <c r="T420" s="24" t="n"/>
      <c r="U420" s="25">
        <f>IF(T420="","",HYPERLINK(IF(LEFT(T420,4)="http",T420,set_QwilrBase&amp;T420),"Open quote"))</f>
        <v/>
      </c>
      <c r="V420" s="25">
        <f>IF(C420="","",C420)</f>
        <v/>
      </c>
      <c r="W420" s="24" t="n"/>
      <c r="X420" s="26" t="n"/>
      <c r="Y420" s="27">
        <f>IF(C420="","",H420+N(X420))</f>
        <v/>
      </c>
      <c r="Z420" s="29">
        <f>IFERROR(X420/Y420,"")</f>
        <v/>
      </c>
      <c r="AA420" s="26" t="n"/>
      <c r="AB420" s="26" t="n"/>
      <c r="AC420" s="26" t="n"/>
      <c r="AD420" s="26" t="n"/>
      <c r="AE420" s="27">
        <f>IF(C420="","",SUMIFS(tbl_Finance[Ex GST],tbl_Finance[Job Number],C420&amp;"",tbl_Finance[Cost Centre],"VIDEO"))</f>
        <v/>
      </c>
      <c r="AF420" s="29">
        <f>IFERROR(AE420/H420,"")</f>
        <v/>
      </c>
      <c r="AG420" s="27">
        <f>IF(C420="","",N(AA420)+N(AB420)+N(AC420)+N(AD420))</f>
        <v/>
      </c>
      <c r="AH420" s="27">
        <f>IF(C420="","",H420-AG420)</f>
        <v/>
      </c>
      <c r="AI420" s="29">
        <f>IFERROR(AH420/H420,"")</f>
        <v/>
      </c>
      <c r="AJ420" s="64" t="n"/>
      <c r="AK420" s="64" t="n"/>
      <c r="AL420" s="64" t="n"/>
      <c r="AM420" s="64" t="n"/>
      <c r="AN420" s="64" t="n"/>
      <c r="AO420" s="24" t="n"/>
    </row>
    <row r="421" ht="15" customHeight="1">
      <c r="A421" s="63">
        <f>IF(C421="","",IFERROR(IF(SUMPRODUCT(MAX((tbl_Finance[Job Number]=C421&amp;"")*(tbl_Finance[Xero Invoice No]&lt;&gt;"")*tbl_Finance[Date]))=0,"",SUMPRODUCT(MAX((tbl_Finance[Job Number]=C421&amp;"")*(tbl_Finance[Xero Invoice No]&lt;&gt;"")*tbl_Finance[Date]))),""))</f>
        <v/>
      </c>
      <c r="B421" s="25">
        <f>IF(C421="","",IF(COUNTIFS(tbl_Finance[Job Number],C421&amp;"",tbl_Finance[Xero Invoice No],"&lt;&gt;")=0,"",IFERROR(IF(COUNTIFS(tbl_Finance[Job Number],C421&amp;"",tbl_Finance[Xero Invoice No],LOOKUP(2,1/((tbl_Finance[Job Number]=C421&amp;"")*(tbl_Finance[Xero Invoice No]&lt;&gt;"")),tbl_Finance[Xero Invoice No]))=COUNTIFS(tbl_Finance[Job Number],C421&amp;"",tbl_Finance[Xero Invoice No],"&lt;&gt;"),LOOKUP(2,1/((tbl_Finance[Job Number]=C421&amp;"")*(tbl_Finance[Xero Invoice No]&lt;&gt;"")),tbl_Finance[Xero Invoice No]),LOOKUP(2,1/((tbl_Finance[Job Number]=C421&amp;"")*(tbl_Finance[Xero Invoice No]&lt;&gt;"")),tbl_Finance[Xero Invoice No])&amp;" +more"),"")))</f>
        <v/>
      </c>
      <c r="C421" s="24" t="n"/>
      <c r="D421" s="25">
        <f>IF(C421="","",IF(COUNTIF(lst_Jobs,C421&amp;"")&gt;0,"OK","CHECK"))</f>
        <v/>
      </c>
      <c r="E421" s="25">
        <f>IF(C421="","",IFERROR(INDEX(lst_JobName,MATCH(C421&amp;"",lst_Jobs,0)),""))</f>
        <v/>
      </c>
      <c r="F421" s="25">
        <f>IF(C421="","",IFERROR(INDEX(tbl_Finance[Client],MATCH(C421&amp;"",tbl_Finance[Job Number],0)),""))</f>
        <v/>
      </c>
      <c r="G421" s="28">
        <f>IF(C421="","",COUNTIFS(tbl_Finance[Job Number],C421&amp;"",tbl_Finance[Ex GST],"&lt;&gt;"))</f>
        <v/>
      </c>
      <c r="H421" s="27">
        <f>IF(C421="","",SUMIFS(tbl_Finance[Ex GST],tbl_Finance[Job Number],C421&amp;""))</f>
        <v/>
      </c>
      <c r="I421" s="27">
        <f>IF(C421="","",SUMIFS(tbl_Finance[Ex GST],tbl_Finance[Job Number],C421&amp;"",tbl_Finance[Xero Invoice No],"&lt;&gt;"))</f>
        <v/>
      </c>
      <c r="J421" s="27">
        <f>IF(C421="","",H421-I421)</f>
        <v/>
      </c>
      <c r="K421" s="25">
        <f>IF(C421="","",IF(G421=0,"not invoiced yet",SUBSTITUTE(TRIM(IF(COUNTIFS(tbl_Finance[Job Number],C421&amp;"",tbl_Finance[Cost Centre],"ONSITE")&gt;0,"ONSITE ","")&amp;IF(COUNTIFS(tbl_Finance[Job Number],C421&amp;"",tbl_Finance[Cost Centre],"PRODUCTION")&gt;0,"PRODUCTION ","")&amp;IF(COUNTIFS(tbl_Finance[Job Number],C421&amp;"",tbl_Finance[Cost Centre],"VIDEO")&gt;0,"VIDEO ","")&amp;IF(COUNTIFS(tbl_Finance[Job Number],C421&amp;"",tbl_Finance[Cost Centre],"INTEGRATION")&gt;0,"INTEGRATION ","")&amp;IF(COUNTIFS(tbl_Finance[Job Number],C421&amp;"",tbl_Finance[Cost Centre],"CONSULTING")&gt;0,"CONSULTING ","")&amp;IF(COUNTIFS(tbl_Finance[Job Number],C421&amp;"",tbl_Finance[Cost Centre],"CTS")&gt;0,"CTS ",""))," ",", ")))</f>
        <v/>
      </c>
      <c r="L421" s="27">
        <f>IF(C421="","",SUMIFS(tbl_Finance[Inc GST],tbl_Finance[Job Number],C421&amp;""))</f>
        <v/>
      </c>
      <c r="M421" s="24" t="n"/>
      <c r="N421" s="25">
        <f>IF(C421="","",IFERROR(INDEX(tbl_Finance[Description],MATCH(C421&amp;"",tbl_Finance[Job Number],0)),""))</f>
        <v/>
      </c>
      <c r="O421" s="24" t="n"/>
      <c r="P421" s="24" t="n"/>
      <c r="Q421" s="22" t="n"/>
      <c r="R421" s="24" t="n"/>
      <c r="S421" s="25">
        <f>IF(R421="","",IF(AND(LEFT(R421,4)&lt;&gt;"http",set_RMSBase=""),"",HYPERLINK(IF(LEFT(R421,4)="http",R421,set_RMSBase&amp;R421),"Open opportunity")))</f>
        <v/>
      </c>
      <c r="T421" s="24" t="n"/>
      <c r="U421" s="25">
        <f>IF(T421="","",HYPERLINK(IF(LEFT(T421,4)="http",T421,set_QwilrBase&amp;T421),"Open quote"))</f>
        <v/>
      </c>
      <c r="V421" s="25">
        <f>IF(C421="","",C421)</f>
        <v/>
      </c>
      <c r="W421" s="24" t="n"/>
      <c r="X421" s="26" t="n"/>
      <c r="Y421" s="27">
        <f>IF(C421="","",H421+N(X421))</f>
        <v/>
      </c>
      <c r="Z421" s="29">
        <f>IFERROR(X421/Y421,"")</f>
        <v/>
      </c>
      <c r="AA421" s="26" t="n"/>
      <c r="AB421" s="26" t="n"/>
      <c r="AC421" s="26" t="n"/>
      <c r="AD421" s="26" t="n"/>
      <c r="AE421" s="27">
        <f>IF(C421="","",SUMIFS(tbl_Finance[Ex GST],tbl_Finance[Job Number],C421&amp;"",tbl_Finance[Cost Centre],"VIDEO"))</f>
        <v/>
      </c>
      <c r="AF421" s="29">
        <f>IFERROR(AE421/H421,"")</f>
        <v/>
      </c>
      <c r="AG421" s="27">
        <f>IF(C421="","",N(AA421)+N(AB421)+N(AC421)+N(AD421))</f>
        <v/>
      </c>
      <c r="AH421" s="27">
        <f>IF(C421="","",H421-AG421)</f>
        <v/>
      </c>
      <c r="AI421" s="29">
        <f>IFERROR(AH421/H421,"")</f>
        <v/>
      </c>
      <c r="AJ421" s="64" t="n"/>
      <c r="AK421" s="64" t="n"/>
      <c r="AL421" s="64" t="n"/>
      <c r="AM421" s="64" t="n"/>
      <c r="AN421" s="64" t="n"/>
      <c r="AO421" s="24" t="n"/>
    </row>
    <row r="422" ht="15" customHeight="1">
      <c r="A422" s="63">
        <f>IF(C422="","",IFERROR(IF(SUMPRODUCT(MAX((tbl_Finance[Job Number]=C422&amp;"")*(tbl_Finance[Xero Invoice No]&lt;&gt;"")*tbl_Finance[Date]))=0,"",SUMPRODUCT(MAX((tbl_Finance[Job Number]=C422&amp;"")*(tbl_Finance[Xero Invoice No]&lt;&gt;"")*tbl_Finance[Date]))),""))</f>
        <v/>
      </c>
      <c r="B422" s="25">
        <f>IF(C422="","",IF(COUNTIFS(tbl_Finance[Job Number],C422&amp;"",tbl_Finance[Xero Invoice No],"&lt;&gt;")=0,"",IFERROR(IF(COUNTIFS(tbl_Finance[Job Number],C422&amp;"",tbl_Finance[Xero Invoice No],LOOKUP(2,1/((tbl_Finance[Job Number]=C422&amp;"")*(tbl_Finance[Xero Invoice No]&lt;&gt;"")),tbl_Finance[Xero Invoice No]))=COUNTIFS(tbl_Finance[Job Number],C422&amp;"",tbl_Finance[Xero Invoice No],"&lt;&gt;"),LOOKUP(2,1/((tbl_Finance[Job Number]=C422&amp;"")*(tbl_Finance[Xero Invoice No]&lt;&gt;"")),tbl_Finance[Xero Invoice No]),LOOKUP(2,1/((tbl_Finance[Job Number]=C422&amp;"")*(tbl_Finance[Xero Invoice No]&lt;&gt;"")),tbl_Finance[Xero Invoice No])&amp;" +more"),"")))</f>
        <v/>
      </c>
      <c r="C422" s="24" t="n"/>
      <c r="D422" s="25">
        <f>IF(C422="","",IF(COUNTIF(lst_Jobs,C422&amp;"")&gt;0,"OK","CHECK"))</f>
        <v/>
      </c>
      <c r="E422" s="25">
        <f>IF(C422="","",IFERROR(INDEX(lst_JobName,MATCH(C422&amp;"",lst_Jobs,0)),""))</f>
        <v/>
      </c>
      <c r="F422" s="25">
        <f>IF(C422="","",IFERROR(INDEX(tbl_Finance[Client],MATCH(C422&amp;"",tbl_Finance[Job Number],0)),""))</f>
        <v/>
      </c>
      <c r="G422" s="28">
        <f>IF(C422="","",COUNTIFS(tbl_Finance[Job Number],C422&amp;"",tbl_Finance[Ex GST],"&lt;&gt;"))</f>
        <v/>
      </c>
      <c r="H422" s="27">
        <f>IF(C422="","",SUMIFS(tbl_Finance[Ex GST],tbl_Finance[Job Number],C422&amp;""))</f>
        <v/>
      </c>
      <c r="I422" s="27">
        <f>IF(C422="","",SUMIFS(tbl_Finance[Ex GST],tbl_Finance[Job Number],C422&amp;"",tbl_Finance[Xero Invoice No],"&lt;&gt;"))</f>
        <v/>
      </c>
      <c r="J422" s="27">
        <f>IF(C422="","",H422-I422)</f>
        <v/>
      </c>
      <c r="K422" s="25">
        <f>IF(C422="","",IF(G422=0,"not invoiced yet",SUBSTITUTE(TRIM(IF(COUNTIFS(tbl_Finance[Job Number],C422&amp;"",tbl_Finance[Cost Centre],"ONSITE")&gt;0,"ONSITE ","")&amp;IF(COUNTIFS(tbl_Finance[Job Number],C422&amp;"",tbl_Finance[Cost Centre],"PRODUCTION")&gt;0,"PRODUCTION ","")&amp;IF(COUNTIFS(tbl_Finance[Job Number],C422&amp;"",tbl_Finance[Cost Centre],"VIDEO")&gt;0,"VIDEO ","")&amp;IF(COUNTIFS(tbl_Finance[Job Number],C422&amp;"",tbl_Finance[Cost Centre],"INTEGRATION")&gt;0,"INTEGRATION ","")&amp;IF(COUNTIFS(tbl_Finance[Job Number],C422&amp;"",tbl_Finance[Cost Centre],"CONSULTING")&gt;0,"CONSULTING ","")&amp;IF(COUNTIFS(tbl_Finance[Job Number],C422&amp;"",tbl_Finance[Cost Centre],"CTS")&gt;0,"CTS ",""))," ",", ")))</f>
        <v/>
      </c>
      <c r="L422" s="27">
        <f>IF(C422="","",SUMIFS(tbl_Finance[Inc GST],tbl_Finance[Job Number],C422&amp;""))</f>
        <v/>
      </c>
      <c r="M422" s="24" t="n"/>
      <c r="N422" s="25">
        <f>IF(C422="","",IFERROR(INDEX(tbl_Finance[Description],MATCH(C422&amp;"",tbl_Finance[Job Number],0)),""))</f>
        <v/>
      </c>
      <c r="O422" s="24" t="n"/>
      <c r="P422" s="24" t="n"/>
      <c r="Q422" s="22" t="n"/>
      <c r="R422" s="24" t="n"/>
      <c r="S422" s="25">
        <f>IF(R422="","",IF(AND(LEFT(R422,4)&lt;&gt;"http",set_RMSBase=""),"",HYPERLINK(IF(LEFT(R422,4)="http",R422,set_RMSBase&amp;R422),"Open opportunity")))</f>
        <v/>
      </c>
      <c r="T422" s="24" t="n"/>
      <c r="U422" s="25">
        <f>IF(T422="","",HYPERLINK(IF(LEFT(T422,4)="http",T422,set_QwilrBase&amp;T422),"Open quote"))</f>
        <v/>
      </c>
      <c r="V422" s="25">
        <f>IF(C422="","",C422)</f>
        <v/>
      </c>
      <c r="W422" s="24" t="n"/>
      <c r="X422" s="26" t="n"/>
      <c r="Y422" s="27">
        <f>IF(C422="","",H422+N(X422))</f>
        <v/>
      </c>
      <c r="Z422" s="29">
        <f>IFERROR(X422/Y422,"")</f>
        <v/>
      </c>
      <c r="AA422" s="26" t="n"/>
      <c r="AB422" s="26" t="n"/>
      <c r="AC422" s="26" t="n"/>
      <c r="AD422" s="26" t="n"/>
      <c r="AE422" s="27">
        <f>IF(C422="","",SUMIFS(tbl_Finance[Ex GST],tbl_Finance[Job Number],C422&amp;"",tbl_Finance[Cost Centre],"VIDEO"))</f>
        <v/>
      </c>
      <c r="AF422" s="29">
        <f>IFERROR(AE422/H422,"")</f>
        <v/>
      </c>
      <c r="AG422" s="27">
        <f>IF(C422="","",N(AA422)+N(AB422)+N(AC422)+N(AD422))</f>
        <v/>
      </c>
      <c r="AH422" s="27">
        <f>IF(C422="","",H422-AG422)</f>
        <v/>
      </c>
      <c r="AI422" s="29">
        <f>IFERROR(AH422/H422,"")</f>
        <v/>
      </c>
      <c r="AJ422" s="64" t="n"/>
      <c r="AK422" s="64" t="n"/>
      <c r="AL422" s="64" t="n"/>
      <c r="AM422" s="64" t="n"/>
      <c r="AN422" s="64" t="n"/>
      <c r="AO422" s="24" t="n"/>
    </row>
    <row r="423" ht="15" customHeight="1">
      <c r="A423" s="63">
        <f>IF(C423="","",IFERROR(IF(SUMPRODUCT(MAX((tbl_Finance[Job Number]=C423&amp;"")*(tbl_Finance[Xero Invoice No]&lt;&gt;"")*tbl_Finance[Date]))=0,"",SUMPRODUCT(MAX((tbl_Finance[Job Number]=C423&amp;"")*(tbl_Finance[Xero Invoice No]&lt;&gt;"")*tbl_Finance[Date]))),""))</f>
        <v/>
      </c>
      <c r="B423" s="25">
        <f>IF(C423="","",IF(COUNTIFS(tbl_Finance[Job Number],C423&amp;"",tbl_Finance[Xero Invoice No],"&lt;&gt;")=0,"",IFERROR(IF(COUNTIFS(tbl_Finance[Job Number],C423&amp;"",tbl_Finance[Xero Invoice No],LOOKUP(2,1/((tbl_Finance[Job Number]=C423&amp;"")*(tbl_Finance[Xero Invoice No]&lt;&gt;"")),tbl_Finance[Xero Invoice No]))=COUNTIFS(tbl_Finance[Job Number],C423&amp;"",tbl_Finance[Xero Invoice No],"&lt;&gt;"),LOOKUP(2,1/((tbl_Finance[Job Number]=C423&amp;"")*(tbl_Finance[Xero Invoice No]&lt;&gt;"")),tbl_Finance[Xero Invoice No]),LOOKUP(2,1/((tbl_Finance[Job Number]=C423&amp;"")*(tbl_Finance[Xero Invoice No]&lt;&gt;"")),tbl_Finance[Xero Invoice No])&amp;" +more"),"")))</f>
        <v/>
      </c>
      <c r="C423" s="24" t="n"/>
      <c r="D423" s="25">
        <f>IF(C423="","",IF(COUNTIF(lst_Jobs,C423&amp;"")&gt;0,"OK","CHECK"))</f>
        <v/>
      </c>
      <c r="E423" s="25">
        <f>IF(C423="","",IFERROR(INDEX(lst_JobName,MATCH(C423&amp;"",lst_Jobs,0)),""))</f>
        <v/>
      </c>
      <c r="F423" s="25">
        <f>IF(C423="","",IFERROR(INDEX(tbl_Finance[Client],MATCH(C423&amp;"",tbl_Finance[Job Number],0)),""))</f>
        <v/>
      </c>
      <c r="G423" s="28">
        <f>IF(C423="","",COUNTIFS(tbl_Finance[Job Number],C423&amp;"",tbl_Finance[Ex GST],"&lt;&gt;"))</f>
        <v/>
      </c>
      <c r="H423" s="27">
        <f>IF(C423="","",SUMIFS(tbl_Finance[Ex GST],tbl_Finance[Job Number],C423&amp;""))</f>
        <v/>
      </c>
      <c r="I423" s="27">
        <f>IF(C423="","",SUMIFS(tbl_Finance[Ex GST],tbl_Finance[Job Number],C423&amp;"",tbl_Finance[Xero Invoice No],"&lt;&gt;"))</f>
        <v/>
      </c>
      <c r="J423" s="27">
        <f>IF(C423="","",H423-I423)</f>
        <v/>
      </c>
      <c r="K423" s="25">
        <f>IF(C423="","",IF(G423=0,"not invoiced yet",SUBSTITUTE(TRIM(IF(COUNTIFS(tbl_Finance[Job Number],C423&amp;"",tbl_Finance[Cost Centre],"ONSITE")&gt;0,"ONSITE ","")&amp;IF(COUNTIFS(tbl_Finance[Job Number],C423&amp;"",tbl_Finance[Cost Centre],"PRODUCTION")&gt;0,"PRODUCTION ","")&amp;IF(COUNTIFS(tbl_Finance[Job Number],C423&amp;"",tbl_Finance[Cost Centre],"VIDEO")&gt;0,"VIDEO ","")&amp;IF(COUNTIFS(tbl_Finance[Job Number],C423&amp;"",tbl_Finance[Cost Centre],"INTEGRATION")&gt;0,"INTEGRATION ","")&amp;IF(COUNTIFS(tbl_Finance[Job Number],C423&amp;"",tbl_Finance[Cost Centre],"CONSULTING")&gt;0,"CONSULTING ","")&amp;IF(COUNTIFS(tbl_Finance[Job Number],C423&amp;"",tbl_Finance[Cost Centre],"CTS")&gt;0,"CTS ",""))," ",", ")))</f>
        <v/>
      </c>
      <c r="L423" s="27">
        <f>IF(C423="","",SUMIFS(tbl_Finance[Inc GST],tbl_Finance[Job Number],C423&amp;""))</f>
        <v/>
      </c>
      <c r="M423" s="24" t="n"/>
      <c r="N423" s="25">
        <f>IF(C423="","",IFERROR(INDEX(tbl_Finance[Description],MATCH(C423&amp;"",tbl_Finance[Job Number],0)),""))</f>
        <v/>
      </c>
      <c r="O423" s="24" t="n"/>
      <c r="P423" s="24" t="n"/>
      <c r="Q423" s="22" t="n"/>
      <c r="R423" s="24" t="n"/>
      <c r="S423" s="25">
        <f>IF(R423="","",IF(AND(LEFT(R423,4)&lt;&gt;"http",set_RMSBase=""),"",HYPERLINK(IF(LEFT(R423,4)="http",R423,set_RMSBase&amp;R423),"Open opportunity")))</f>
        <v/>
      </c>
      <c r="T423" s="24" t="n"/>
      <c r="U423" s="25">
        <f>IF(T423="","",HYPERLINK(IF(LEFT(T423,4)="http",T423,set_QwilrBase&amp;T423),"Open quote"))</f>
        <v/>
      </c>
      <c r="V423" s="25">
        <f>IF(C423="","",C423)</f>
        <v/>
      </c>
      <c r="W423" s="24" t="n"/>
      <c r="X423" s="26" t="n"/>
      <c r="Y423" s="27">
        <f>IF(C423="","",H423+N(X423))</f>
        <v/>
      </c>
      <c r="Z423" s="29">
        <f>IFERROR(X423/Y423,"")</f>
        <v/>
      </c>
      <c r="AA423" s="26" t="n"/>
      <c r="AB423" s="26" t="n"/>
      <c r="AC423" s="26" t="n"/>
      <c r="AD423" s="26" t="n"/>
      <c r="AE423" s="27">
        <f>IF(C423="","",SUMIFS(tbl_Finance[Ex GST],tbl_Finance[Job Number],C423&amp;"",tbl_Finance[Cost Centre],"VIDEO"))</f>
        <v/>
      </c>
      <c r="AF423" s="29">
        <f>IFERROR(AE423/H423,"")</f>
        <v/>
      </c>
      <c r="AG423" s="27">
        <f>IF(C423="","",N(AA423)+N(AB423)+N(AC423)+N(AD423))</f>
        <v/>
      </c>
      <c r="AH423" s="27">
        <f>IF(C423="","",H423-AG423)</f>
        <v/>
      </c>
      <c r="AI423" s="29">
        <f>IFERROR(AH423/H423,"")</f>
        <v/>
      </c>
      <c r="AJ423" s="64" t="n"/>
      <c r="AK423" s="64" t="n"/>
      <c r="AL423" s="64" t="n"/>
      <c r="AM423" s="64" t="n"/>
      <c r="AN423" s="64" t="n"/>
      <c r="AO423" s="24" t="n"/>
    </row>
    <row r="424" ht="15" customHeight="1">
      <c r="A424" s="63">
        <f>IF(C424="","",IFERROR(IF(SUMPRODUCT(MAX((tbl_Finance[Job Number]=C424&amp;"")*(tbl_Finance[Xero Invoice No]&lt;&gt;"")*tbl_Finance[Date]))=0,"",SUMPRODUCT(MAX((tbl_Finance[Job Number]=C424&amp;"")*(tbl_Finance[Xero Invoice No]&lt;&gt;"")*tbl_Finance[Date]))),""))</f>
        <v/>
      </c>
      <c r="B424" s="25">
        <f>IF(C424="","",IF(COUNTIFS(tbl_Finance[Job Number],C424&amp;"",tbl_Finance[Xero Invoice No],"&lt;&gt;")=0,"",IFERROR(IF(COUNTIFS(tbl_Finance[Job Number],C424&amp;"",tbl_Finance[Xero Invoice No],LOOKUP(2,1/((tbl_Finance[Job Number]=C424&amp;"")*(tbl_Finance[Xero Invoice No]&lt;&gt;"")),tbl_Finance[Xero Invoice No]))=COUNTIFS(tbl_Finance[Job Number],C424&amp;"",tbl_Finance[Xero Invoice No],"&lt;&gt;"),LOOKUP(2,1/((tbl_Finance[Job Number]=C424&amp;"")*(tbl_Finance[Xero Invoice No]&lt;&gt;"")),tbl_Finance[Xero Invoice No]),LOOKUP(2,1/((tbl_Finance[Job Number]=C424&amp;"")*(tbl_Finance[Xero Invoice No]&lt;&gt;"")),tbl_Finance[Xero Invoice No])&amp;" +more"),"")))</f>
        <v/>
      </c>
      <c r="C424" s="24" t="n"/>
      <c r="D424" s="25">
        <f>IF(C424="","",IF(COUNTIF(lst_Jobs,C424&amp;"")&gt;0,"OK","CHECK"))</f>
        <v/>
      </c>
      <c r="E424" s="25">
        <f>IF(C424="","",IFERROR(INDEX(lst_JobName,MATCH(C424&amp;"",lst_Jobs,0)),""))</f>
        <v/>
      </c>
      <c r="F424" s="25">
        <f>IF(C424="","",IFERROR(INDEX(tbl_Finance[Client],MATCH(C424&amp;"",tbl_Finance[Job Number],0)),""))</f>
        <v/>
      </c>
      <c r="G424" s="28">
        <f>IF(C424="","",COUNTIFS(tbl_Finance[Job Number],C424&amp;"",tbl_Finance[Ex GST],"&lt;&gt;"))</f>
        <v/>
      </c>
      <c r="H424" s="27">
        <f>IF(C424="","",SUMIFS(tbl_Finance[Ex GST],tbl_Finance[Job Number],C424&amp;""))</f>
        <v/>
      </c>
      <c r="I424" s="27">
        <f>IF(C424="","",SUMIFS(tbl_Finance[Ex GST],tbl_Finance[Job Number],C424&amp;"",tbl_Finance[Xero Invoice No],"&lt;&gt;"))</f>
        <v/>
      </c>
      <c r="J424" s="27">
        <f>IF(C424="","",H424-I424)</f>
        <v/>
      </c>
      <c r="K424" s="25">
        <f>IF(C424="","",IF(G424=0,"not invoiced yet",SUBSTITUTE(TRIM(IF(COUNTIFS(tbl_Finance[Job Number],C424&amp;"",tbl_Finance[Cost Centre],"ONSITE")&gt;0,"ONSITE ","")&amp;IF(COUNTIFS(tbl_Finance[Job Number],C424&amp;"",tbl_Finance[Cost Centre],"PRODUCTION")&gt;0,"PRODUCTION ","")&amp;IF(COUNTIFS(tbl_Finance[Job Number],C424&amp;"",tbl_Finance[Cost Centre],"VIDEO")&gt;0,"VIDEO ","")&amp;IF(COUNTIFS(tbl_Finance[Job Number],C424&amp;"",tbl_Finance[Cost Centre],"INTEGRATION")&gt;0,"INTEGRATION ","")&amp;IF(COUNTIFS(tbl_Finance[Job Number],C424&amp;"",tbl_Finance[Cost Centre],"CONSULTING")&gt;0,"CONSULTING ","")&amp;IF(COUNTIFS(tbl_Finance[Job Number],C424&amp;"",tbl_Finance[Cost Centre],"CTS")&gt;0,"CTS ",""))," ",", ")))</f>
        <v/>
      </c>
      <c r="L424" s="27">
        <f>IF(C424="","",SUMIFS(tbl_Finance[Inc GST],tbl_Finance[Job Number],C424&amp;""))</f>
        <v/>
      </c>
      <c r="M424" s="24" t="n"/>
      <c r="N424" s="25">
        <f>IF(C424="","",IFERROR(INDEX(tbl_Finance[Description],MATCH(C424&amp;"",tbl_Finance[Job Number],0)),""))</f>
        <v/>
      </c>
      <c r="O424" s="24" t="n"/>
      <c r="P424" s="24" t="n"/>
      <c r="Q424" s="22" t="n"/>
      <c r="R424" s="24" t="n"/>
      <c r="S424" s="25">
        <f>IF(R424="","",IF(AND(LEFT(R424,4)&lt;&gt;"http",set_RMSBase=""),"",HYPERLINK(IF(LEFT(R424,4)="http",R424,set_RMSBase&amp;R424),"Open opportunity")))</f>
        <v/>
      </c>
      <c r="T424" s="24" t="n"/>
      <c r="U424" s="25">
        <f>IF(T424="","",HYPERLINK(IF(LEFT(T424,4)="http",T424,set_QwilrBase&amp;T424),"Open quote"))</f>
        <v/>
      </c>
      <c r="V424" s="25">
        <f>IF(C424="","",C424)</f>
        <v/>
      </c>
      <c r="W424" s="24" t="n"/>
      <c r="X424" s="26" t="n"/>
      <c r="Y424" s="27">
        <f>IF(C424="","",H424+N(X424))</f>
        <v/>
      </c>
      <c r="Z424" s="29">
        <f>IFERROR(X424/Y424,"")</f>
        <v/>
      </c>
      <c r="AA424" s="26" t="n"/>
      <c r="AB424" s="26" t="n"/>
      <c r="AC424" s="26" t="n"/>
      <c r="AD424" s="26" t="n"/>
      <c r="AE424" s="27">
        <f>IF(C424="","",SUMIFS(tbl_Finance[Ex GST],tbl_Finance[Job Number],C424&amp;"",tbl_Finance[Cost Centre],"VIDEO"))</f>
        <v/>
      </c>
      <c r="AF424" s="29">
        <f>IFERROR(AE424/H424,"")</f>
        <v/>
      </c>
      <c r="AG424" s="27">
        <f>IF(C424="","",N(AA424)+N(AB424)+N(AC424)+N(AD424))</f>
        <v/>
      </c>
      <c r="AH424" s="27">
        <f>IF(C424="","",H424-AG424)</f>
        <v/>
      </c>
      <c r="AI424" s="29">
        <f>IFERROR(AH424/H424,"")</f>
        <v/>
      </c>
      <c r="AJ424" s="64" t="n"/>
      <c r="AK424" s="64" t="n"/>
      <c r="AL424" s="64" t="n"/>
      <c r="AM424" s="64" t="n"/>
      <c r="AN424" s="64" t="n"/>
      <c r="AO424" s="24" t="n"/>
    </row>
    <row r="425" ht="15" customHeight="1">
      <c r="A425" s="63">
        <f>IF(C425="","",IFERROR(IF(SUMPRODUCT(MAX((tbl_Finance[Job Number]=C425&amp;"")*(tbl_Finance[Xero Invoice No]&lt;&gt;"")*tbl_Finance[Date]))=0,"",SUMPRODUCT(MAX((tbl_Finance[Job Number]=C425&amp;"")*(tbl_Finance[Xero Invoice No]&lt;&gt;"")*tbl_Finance[Date]))),""))</f>
        <v/>
      </c>
      <c r="B425" s="25">
        <f>IF(C425="","",IF(COUNTIFS(tbl_Finance[Job Number],C425&amp;"",tbl_Finance[Xero Invoice No],"&lt;&gt;")=0,"",IFERROR(IF(COUNTIFS(tbl_Finance[Job Number],C425&amp;"",tbl_Finance[Xero Invoice No],LOOKUP(2,1/((tbl_Finance[Job Number]=C425&amp;"")*(tbl_Finance[Xero Invoice No]&lt;&gt;"")),tbl_Finance[Xero Invoice No]))=COUNTIFS(tbl_Finance[Job Number],C425&amp;"",tbl_Finance[Xero Invoice No],"&lt;&gt;"),LOOKUP(2,1/((tbl_Finance[Job Number]=C425&amp;"")*(tbl_Finance[Xero Invoice No]&lt;&gt;"")),tbl_Finance[Xero Invoice No]),LOOKUP(2,1/((tbl_Finance[Job Number]=C425&amp;"")*(tbl_Finance[Xero Invoice No]&lt;&gt;"")),tbl_Finance[Xero Invoice No])&amp;" +more"),"")))</f>
        <v/>
      </c>
      <c r="C425" s="24" t="n"/>
      <c r="D425" s="25">
        <f>IF(C425="","",IF(COUNTIF(lst_Jobs,C425&amp;"")&gt;0,"OK","CHECK"))</f>
        <v/>
      </c>
      <c r="E425" s="25">
        <f>IF(C425="","",IFERROR(INDEX(lst_JobName,MATCH(C425&amp;"",lst_Jobs,0)),""))</f>
        <v/>
      </c>
      <c r="F425" s="25">
        <f>IF(C425="","",IFERROR(INDEX(tbl_Finance[Client],MATCH(C425&amp;"",tbl_Finance[Job Number],0)),""))</f>
        <v/>
      </c>
      <c r="G425" s="28">
        <f>IF(C425="","",COUNTIFS(tbl_Finance[Job Number],C425&amp;"",tbl_Finance[Ex GST],"&lt;&gt;"))</f>
        <v/>
      </c>
      <c r="H425" s="27">
        <f>IF(C425="","",SUMIFS(tbl_Finance[Ex GST],tbl_Finance[Job Number],C425&amp;""))</f>
        <v/>
      </c>
      <c r="I425" s="27">
        <f>IF(C425="","",SUMIFS(tbl_Finance[Ex GST],tbl_Finance[Job Number],C425&amp;"",tbl_Finance[Xero Invoice No],"&lt;&gt;"))</f>
        <v/>
      </c>
      <c r="J425" s="27">
        <f>IF(C425="","",H425-I425)</f>
        <v/>
      </c>
      <c r="K425" s="25">
        <f>IF(C425="","",IF(G425=0,"not invoiced yet",SUBSTITUTE(TRIM(IF(COUNTIFS(tbl_Finance[Job Number],C425&amp;"",tbl_Finance[Cost Centre],"ONSITE")&gt;0,"ONSITE ","")&amp;IF(COUNTIFS(tbl_Finance[Job Number],C425&amp;"",tbl_Finance[Cost Centre],"PRODUCTION")&gt;0,"PRODUCTION ","")&amp;IF(COUNTIFS(tbl_Finance[Job Number],C425&amp;"",tbl_Finance[Cost Centre],"VIDEO")&gt;0,"VIDEO ","")&amp;IF(COUNTIFS(tbl_Finance[Job Number],C425&amp;"",tbl_Finance[Cost Centre],"INTEGRATION")&gt;0,"INTEGRATION ","")&amp;IF(COUNTIFS(tbl_Finance[Job Number],C425&amp;"",tbl_Finance[Cost Centre],"CONSULTING")&gt;0,"CONSULTING ","")&amp;IF(COUNTIFS(tbl_Finance[Job Number],C425&amp;"",tbl_Finance[Cost Centre],"CTS")&gt;0,"CTS ",""))," ",", ")))</f>
        <v/>
      </c>
      <c r="L425" s="27">
        <f>IF(C425="","",SUMIFS(tbl_Finance[Inc GST],tbl_Finance[Job Number],C425&amp;""))</f>
        <v/>
      </c>
      <c r="M425" s="24" t="n"/>
      <c r="N425" s="25">
        <f>IF(C425="","",IFERROR(INDEX(tbl_Finance[Description],MATCH(C425&amp;"",tbl_Finance[Job Number],0)),""))</f>
        <v/>
      </c>
      <c r="O425" s="24" t="n"/>
      <c r="P425" s="24" t="n"/>
      <c r="Q425" s="22" t="n"/>
      <c r="R425" s="24" t="n"/>
      <c r="S425" s="25">
        <f>IF(R425="","",IF(AND(LEFT(R425,4)&lt;&gt;"http",set_RMSBase=""),"",HYPERLINK(IF(LEFT(R425,4)="http",R425,set_RMSBase&amp;R425),"Open opportunity")))</f>
        <v/>
      </c>
      <c r="T425" s="24" t="n"/>
      <c r="U425" s="25">
        <f>IF(T425="","",HYPERLINK(IF(LEFT(T425,4)="http",T425,set_QwilrBase&amp;T425),"Open quote"))</f>
        <v/>
      </c>
      <c r="V425" s="25">
        <f>IF(C425="","",C425)</f>
        <v/>
      </c>
      <c r="W425" s="24" t="n"/>
      <c r="X425" s="26" t="n"/>
      <c r="Y425" s="27">
        <f>IF(C425="","",H425+N(X425))</f>
        <v/>
      </c>
      <c r="Z425" s="29">
        <f>IFERROR(X425/Y425,"")</f>
        <v/>
      </c>
      <c r="AA425" s="26" t="n"/>
      <c r="AB425" s="26" t="n"/>
      <c r="AC425" s="26" t="n"/>
      <c r="AD425" s="26" t="n"/>
      <c r="AE425" s="27">
        <f>IF(C425="","",SUMIFS(tbl_Finance[Ex GST],tbl_Finance[Job Number],C425&amp;"",tbl_Finance[Cost Centre],"VIDEO"))</f>
        <v/>
      </c>
      <c r="AF425" s="29">
        <f>IFERROR(AE425/H425,"")</f>
        <v/>
      </c>
      <c r="AG425" s="27">
        <f>IF(C425="","",N(AA425)+N(AB425)+N(AC425)+N(AD425))</f>
        <v/>
      </c>
      <c r="AH425" s="27">
        <f>IF(C425="","",H425-AG425)</f>
        <v/>
      </c>
      <c r="AI425" s="29">
        <f>IFERROR(AH425/H425,"")</f>
        <v/>
      </c>
      <c r="AJ425" s="64" t="n"/>
      <c r="AK425" s="64" t="n"/>
      <c r="AL425" s="64" t="n"/>
      <c r="AM425" s="64" t="n"/>
      <c r="AN425" s="64" t="n"/>
      <c r="AO425" s="24" t="n"/>
    </row>
    <row r="426" ht="15" customHeight="1">
      <c r="A426" s="63">
        <f>IF(C426="","",IFERROR(IF(SUMPRODUCT(MAX((tbl_Finance[Job Number]=C426&amp;"")*(tbl_Finance[Xero Invoice No]&lt;&gt;"")*tbl_Finance[Date]))=0,"",SUMPRODUCT(MAX((tbl_Finance[Job Number]=C426&amp;"")*(tbl_Finance[Xero Invoice No]&lt;&gt;"")*tbl_Finance[Date]))),""))</f>
        <v/>
      </c>
      <c r="B426" s="25">
        <f>IF(C426="","",IF(COUNTIFS(tbl_Finance[Job Number],C426&amp;"",tbl_Finance[Xero Invoice No],"&lt;&gt;")=0,"",IFERROR(IF(COUNTIFS(tbl_Finance[Job Number],C426&amp;"",tbl_Finance[Xero Invoice No],LOOKUP(2,1/((tbl_Finance[Job Number]=C426&amp;"")*(tbl_Finance[Xero Invoice No]&lt;&gt;"")),tbl_Finance[Xero Invoice No]))=COUNTIFS(tbl_Finance[Job Number],C426&amp;"",tbl_Finance[Xero Invoice No],"&lt;&gt;"),LOOKUP(2,1/((tbl_Finance[Job Number]=C426&amp;"")*(tbl_Finance[Xero Invoice No]&lt;&gt;"")),tbl_Finance[Xero Invoice No]),LOOKUP(2,1/((tbl_Finance[Job Number]=C426&amp;"")*(tbl_Finance[Xero Invoice No]&lt;&gt;"")),tbl_Finance[Xero Invoice No])&amp;" +more"),"")))</f>
        <v/>
      </c>
      <c r="C426" s="24" t="n"/>
      <c r="D426" s="25">
        <f>IF(C426="","",IF(COUNTIF(lst_Jobs,C426&amp;"")&gt;0,"OK","CHECK"))</f>
        <v/>
      </c>
      <c r="E426" s="25">
        <f>IF(C426="","",IFERROR(INDEX(lst_JobName,MATCH(C426&amp;"",lst_Jobs,0)),""))</f>
        <v/>
      </c>
      <c r="F426" s="25">
        <f>IF(C426="","",IFERROR(INDEX(tbl_Finance[Client],MATCH(C426&amp;"",tbl_Finance[Job Number],0)),""))</f>
        <v/>
      </c>
      <c r="G426" s="28">
        <f>IF(C426="","",COUNTIFS(tbl_Finance[Job Number],C426&amp;"",tbl_Finance[Ex GST],"&lt;&gt;"))</f>
        <v/>
      </c>
      <c r="H426" s="27">
        <f>IF(C426="","",SUMIFS(tbl_Finance[Ex GST],tbl_Finance[Job Number],C426&amp;""))</f>
        <v/>
      </c>
      <c r="I426" s="27">
        <f>IF(C426="","",SUMIFS(tbl_Finance[Ex GST],tbl_Finance[Job Number],C426&amp;"",tbl_Finance[Xero Invoice No],"&lt;&gt;"))</f>
        <v/>
      </c>
      <c r="J426" s="27">
        <f>IF(C426="","",H426-I426)</f>
        <v/>
      </c>
      <c r="K426" s="25">
        <f>IF(C426="","",IF(G426=0,"not invoiced yet",SUBSTITUTE(TRIM(IF(COUNTIFS(tbl_Finance[Job Number],C426&amp;"",tbl_Finance[Cost Centre],"ONSITE")&gt;0,"ONSITE ","")&amp;IF(COUNTIFS(tbl_Finance[Job Number],C426&amp;"",tbl_Finance[Cost Centre],"PRODUCTION")&gt;0,"PRODUCTION ","")&amp;IF(COUNTIFS(tbl_Finance[Job Number],C426&amp;"",tbl_Finance[Cost Centre],"VIDEO")&gt;0,"VIDEO ","")&amp;IF(COUNTIFS(tbl_Finance[Job Number],C426&amp;"",tbl_Finance[Cost Centre],"INTEGRATION")&gt;0,"INTEGRATION ","")&amp;IF(COUNTIFS(tbl_Finance[Job Number],C426&amp;"",tbl_Finance[Cost Centre],"CONSULTING")&gt;0,"CONSULTING ","")&amp;IF(COUNTIFS(tbl_Finance[Job Number],C426&amp;"",tbl_Finance[Cost Centre],"CTS")&gt;0,"CTS ",""))," ",", ")))</f>
        <v/>
      </c>
      <c r="L426" s="27">
        <f>IF(C426="","",SUMIFS(tbl_Finance[Inc GST],tbl_Finance[Job Number],C426&amp;""))</f>
        <v/>
      </c>
      <c r="M426" s="24" t="n"/>
      <c r="N426" s="25">
        <f>IF(C426="","",IFERROR(INDEX(tbl_Finance[Description],MATCH(C426&amp;"",tbl_Finance[Job Number],0)),""))</f>
        <v/>
      </c>
      <c r="O426" s="24" t="n"/>
      <c r="P426" s="24" t="n"/>
      <c r="Q426" s="22" t="n"/>
      <c r="R426" s="24" t="n"/>
      <c r="S426" s="25">
        <f>IF(R426="","",IF(AND(LEFT(R426,4)&lt;&gt;"http",set_RMSBase=""),"",HYPERLINK(IF(LEFT(R426,4)="http",R426,set_RMSBase&amp;R426),"Open opportunity")))</f>
        <v/>
      </c>
      <c r="T426" s="24" t="n"/>
      <c r="U426" s="25">
        <f>IF(T426="","",HYPERLINK(IF(LEFT(T426,4)="http",T426,set_QwilrBase&amp;T426),"Open quote"))</f>
        <v/>
      </c>
      <c r="V426" s="25">
        <f>IF(C426="","",C426)</f>
        <v/>
      </c>
      <c r="W426" s="24" t="n"/>
      <c r="X426" s="26" t="n"/>
      <c r="Y426" s="27">
        <f>IF(C426="","",H426+N(X426))</f>
        <v/>
      </c>
      <c r="Z426" s="29">
        <f>IFERROR(X426/Y426,"")</f>
        <v/>
      </c>
      <c r="AA426" s="26" t="n"/>
      <c r="AB426" s="26" t="n"/>
      <c r="AC426" s="26" t="n"/>
      <c r="AD426" s="26" t="n"/>
      <c r="AE426" s="27">
        <f>IF(C426="","",SUMIFS(tbl_Finance[Ex GST],tbl_Finance[Job Number],C426&amp;"",tbl_Finance[Cost Centre],"VIDEO"))</f>
        <v/>
      </c>
      <c r="AF426" s="29">
        <f>IFERROR(AE426/H426,"")</f>
        <v/>
      </c>
      <c r="AG426" s="27">
        <f>IF(C426="","",N(AA426)+N(AB426)+N(AC426)+N(AD426))</f>
        <v/>
      </c>
      <c r="AH426" s="27">
        <f>IF(C426="","",H426-AG426)</f>
        <v/>
      </c>
      <c r="AI426" s="29">
        <f>IFERROR(AH426/H426,"")</f>
        <v/>
      </c>
      <c r="AJ426" s="64" t="n"/>
      <c r="AK426" s="64" t="n"/>
      <c r="AL426" s="64" t="n"/>
      <c r="AM426" s="64" t="n"/>
      <c r="AN426" s="64" t="n"/>
      <c r="AO426" s="24" t="n"/>
    </row>
    <row r="427" ht="15" customHeight="1">
      <c r="A427" s="63">
        <f>IF(C427="","",IFERROR(IF(SUMPRODUCT(MAX((tbl_Finance[Job Number]=C427&amp;"")*(tbl_Finance[Xero Invoice No]&lt;&gt;"")*tbl_Finance[Date]))=0,"",SUMPRODUCT(MAX((tbl_Finance[Job Number]=C427&amp;"")*(tbl_Finance[Xero Invoice No]&lt;&gt;"")*tbl_Finance[Date]))),""))</f>
        <v/>
      </c>
      <c r="B427" s="25">
        <f>IF(C427="","",IF(COUNTIFS(tbl_Finance[Job Number],C427&amp;"",tbl_Finance[Xero Invoice No],"&lt;&gt;")=0,"",IFERROR(IF(COUNTIFS(tbl_Finance[Job Number],C427&amp;"",tbl_Finance[Xero Invoice No],LOOKUP(2,1/((tbl_Finance[Job Number]=C427&amp;"")*(tbl_Finance[Xero Invoice No]&lt;&gt;"")),tbl_Finance[Xero Invoice No]))=COUNTIFS(tbl_Finance[Job Number],C427&amp;"",tbl_Finance[Xero Invoice No],"&lt;&gt;"),LOOKUP(2,1/((tbl_Finance[Job Number]=C427&amp;"")*(tbl_Finance[Xero Invoice No]&lt;&gt;"")),tbl_Finance[Xero Invoice No]),LOOKUP(2,1/((tbl_Finance[Job Number]=C427&amp;"")*(tbl_Finance[Xero Invoice No]&lt;&gt;"")),tbl_Finance[Xero Invoice No])&amp;" +more"),"")))</f>
        <v/>
      </c>
      <c r="C427" s="24" t="n"/>
      <c r="D427" s="25">
        <f>IF(C427="","",IF(COUNTIF(lst_Jobs,C427&amp;"")&gt;0,"OK","CHECK"))</f>
        <v/>
      </c>
      <c r="E427" s="25">
        <f>IF(C427="","",IFERROR(INDEX(lst_JobName,MATCH(C427&amp;"",lst_Jobs,0)),""))</f>
        <v/>
      </c>
      <c r="F427" s="25">
        <f>IF(C427="","",IFERROR(INDEX(tbl_Finance[Client],MATCH(C427&amp;"",tbl_Finance[Job Number],0)),""))</f>
        <v/>
      </c>
      <c r="G427" s="28">
        <f>IF(C427="","",COUNTIFS(tbl_Finance[Job Number],C427&amp;"",tbl_Finance[Ex GST],"&lt;&gt;"))</f>
        <v/>
      </c>
      <c r="H427" s="27">
        <f>IF(C427="","",SUMIFS(tbl_Finance[Ex GST],tbl_Finance[Job Number],C427&amp;""))</f>
        <v/>
      </c>
      <c r="I427" s="27">
        <f>IF(C427="","",SUMIFS(tbl_Finance[Ex GST],tbl_Finance[Job Number],C427&amp;"",tbl_Finance[Xero Invoice No],"&lt;&gt;"))</f>
        <v/>
      </c>
      <c r="J427" s="27">
        <f>IF(C427="","",H427-I427)</f>
        <v/>
      </c>
      <c r="K427" s="25">
        <f>IF(C427="","",IF(G427=0,"not invoiced yet",SUBSTITUTE(TRIM(IF(COUNTIFS(tbl_Finance[Job Number],C427&amp;"",tbl_Finance[Cost Centre],"ONSITE")&gt;0,"ONSITE ","")&amp;IF(COUNTIFS(tbl_Finance[Job Number],C427&amp;"",tbl_Finance[Cost Centre],"PRODUCTION")&gt;0,"PRODUCTION ","")&amp;IF(COUNTIFS(tbl_Finance[Job Number],C427&amp;"",tbl_Finance[Cost Centre],"VIDEO")&gt;0,"VIDEO ","")&amp;IF(COUNTIFS(tbl_Finance[Job Number],C427&amp;"",tbl_Finance[Cost Centre],"INTEGRATION")&gt;0,"INTEGRATION ","")&amp;IF(COUNTIFS(tbl_Finance[Job Number],C427&amp;"",tbl_Finance[Cost Centre],"CONSULTING")&gt;0,"CONSULTING ","")&amp;IF(COUNTIFS(tbl_Finance[Job Number],C427&amp;"",tbl_Finance[Cost Centre],"CTS")&gt;0,"CTS ",""))," ",", ")))</f>
        <v/>
      </c>
      <c r="L427" s="27">
        <f>IF(C427="","",SUMIFS(tbl_Finance[Inc GST],tbl_Finance[Job Number],C427&amp;""))</f>
        <v/>
      </c>
      <c r="M427" s="24" t="n"/>
      <c r="N427" s="25">
        <f>IF(C427="","",IFERROR(INDEX(tbl_Finance[Description],MATCH(C427&amp;"",tbl_Finance[Job Number],0)),""))</f>
        <v/>
      </c>
      <c r="O427" s="24" t="n"/>
      <c r="P427" s="24" t="n"/>
      <c r="Q427" s="22" t="n"/>
      <c r="R427" s="24" t="n"/>
      <c r="S427" s="25">
        <f>IF(R427="","",IF(AND(LEFT(R427,4)&lt;&gt;"http",set_RMSBase=""),"",HYPERLINK(IF(LEFT(R427,4)="http",R427,set_RMSBase&amp;R427),"Open opportunity")))</f>
        <v/>
      </c>
      <c r="T427" s="24" t="n"/>
      <c r="U427" s="25">
        <f>IF(T427="","",HYPERLINK(IF(LEFT(T427,4)="http",T427,set_QwilrBase&amp;T427),"Open quote"))</f>
        <v/>
      </c>
      <c r="V427" s="25">
        <f>IF(C427="","",C427)</f>
        <v/>
      </c>
      <c r="W427" s="24" t="n"/>
      <c r="X427" s="26" t="n"/>
      <c r="Y427" s="27">
        <f>IF(C427="","",H427+N(X427))</f>
        <v/>
      </c>
      <c r="Z427" s="29">
        <f>IFERROR(X427/Y427,"")</f>
        <v/>
      </c>
      <c r="AA427" s="26" t="n"/>
      <c r="AB427" s="26" t="n"/>
      <c r="AC427" s="26" t="n"/>
      <c r="AD427" s="26" t="n"/>
      <c r="AE427" s="27">
        <f>IF(C427="","",SUMIFS(tbl_Finance[Ex GST],tbl_Finance[Job Number],C427&amp;"",tbl_Finance[Cost Centre],"VIDEO"))</f>
        <v/>
      </c>
      <c r="AF427" s="29">
        <f>IFERROR(AE427/H427,"")</f>
        <v/>
      </c>
      <c r="AG427" s="27">
        <f>IF(C427="","",N(AA427)+N(AB427)+N(AC427)+N(AD427))</f>
        <v/>
      </c>
      <c r="AH427" s="27">
        <f>IF(C427="","",H427-AG427)</f>
        <v/>
      </c>
      <c r="AI427" s="29">
        <f>IFERROR(AH427/H427,"")</f>
        <v/>
      </c>
      <c r="AJ427" s="64" t="n"/>
      <c r="AK427" s="64" t="n"/>
      <c r="AL427" s="64" t="n"/>
      <c r="AM427" s="64" t="n"/>
      <c r="AN427" s="64" t="n"/>
      <c r="AO427" s="24" t="n"/>
    </row>
    <row r="428" ht="15" customHeight="1">
      <c r="A428" s="63">
        <f>IF(C428="","",IFERROR(IF(SUMPRODUCT(MAX((tbl_Finance[Job Number]=C428&amp;"")*(tbl_Finance[Xero Invoice No]&lt;&gt;"")*tbl_Finance[Date]))=0,"",SUMPRODUCT(MAX((tbl_Finance[Job Number]=C428&amp;"")*(tbl_Finance[Xero Invoice No]&lt;&gt;"")*tbl_Finance[Date]))),""))</f>
        <v/>
      </c>
      <c r="B428" s="25">
        <f>IF(C428="","",IF(COUNTIFS(tbl_Finance[Job Number],C428&amp;"",tbl_Finance[Xero Invoice No],"&lt;&gt;")=0,"",IFERROR(IF(COUNTIFS(tbl_Finance[Job Number],C428&amp;"",tbl_Finance[Xero Invoice No],LOOKUP(2,1/((tbl_Finance[Job Number]=C428&amp;"")*(tbl_Finance[Xero Invoice No]&lt;&gt;"")),tbl_Finance[Xero Invoice No]))=COUNTIFS(tbl_Finance[Job Number],C428&amp;"",tbl_Finance[Xero Invoice No],"&lt;&gt;"),LOOKUP(2,1/((tbl_Finance[Job Number]=C428&amp;"")*(tbl_Finance[Xero Invoice No]&lt;&gt;"")),tbl_Finance[Xero Invoice No]),LOOKUP(2,1/((tbl_Finance[Job Number]=C428&amp;"")*(tbl_Finance[Xero Invoice No]&lt;&gt;"")),tbl_Finance[Xero Invoice No])&amp;" +more"),"")))</f>
        <v/>
      </c>
      <c r="C428" s="24" t="n"/>
      <c r="D428" s="25">
        <f>IF(C428="","",IF(COUNTIF(lst_Jobs,C428&amp;"")&gt;0,"OK","CHECK"))</f>
        <v/>
      </c>
      <c r="E428" s="25">
        <f>IF(C428="","",IFERROR(INDEX(lst_JobName,MATCH(C428&amp;"",lst_Jobs,0)),""))</f>
        <v/>
      </c>
      <c r="F428" s="25">
        <f>IF(C428="","",IFERROR(INDEX(tbl_Finance[Client],MATCH(C428&amp;"",tbl_Finance[Job Number],0)),""))</f>
        <v/>
      </c>
      <c r="G428" s="28">
        <f>IF(C428="","",COUNTIFS(tbl_Finance[Job Number],C428&amp;"",tbl_Finance[Ex GST],"&lt;&gt;"))</f>
        <v/>
      </c>
      <c r="H428" s="27">
        <f>IF(C428="","",SUMIFS(tbl_Finance[Ex GST],tbl_Finance[Job Number],C428&amp;""))</f>
        <v/>
      </c>
      <c r="I428" s="27">
        <f>IF(C428="","",SUMIFS(tbl_Finance[Ex GST],tbl_Finance[Job Number],C428&amp;"",tbl_Finance[Xero Invoice No],"&lt;&gt;"))</f>
        <v/>
      </c>
      <c r="J428" s="27">
        <f>IF(C428="","",H428-I428)</f>
        <v/>
      </c>
      <c r="K428" s="25">
        <f>IF(C428="","",IF(G428=0,"not invoiced yet",SUBSTITUTE(TRIM(IF(COUNTIFS(tbl_Finance[Job Number],C428&amp;"",tbl_Finance[Cost Centre],"ONSITE")&gt;0,"ONSITE ","")&amp;IF(COUNTIFS(tbl_Finance[Job Number],C428&amp;"",tbl_Finance[Cost Centre],"PRODUCTION")&gt;0,"PRODUCTION ","")&amp;IF(COUNTIFS(tbl_Finance[Job Number],C428&amp;"",tbl_Finance[Cost Centre],"VIDEO")&gt;0,"VIDEO ","")&amp;IF(COUNTIFS(tbl_Finance[Job Number],C428&amp;"",tbl_Finance[Cost Centre],"INTEGRATION")&gt;0,"INTEGRATION ","")&amp;IF(COUNTIFS(tbl_Finance[Job Number],C428&amp;"",tbl_Finance[Cost Centre],"CONSULTING")&gt;0,"CONSULTING ","")&amp;IF(COUNTIFS(tbl_Finance[Job Number],C428&amp;"",tbl_Finance[Cost Centre],"CTS")&gt;0,"CTS ",""))," ",", ")))</f>
        <v/>
      </c>
      <c r="L428" s="27">
        <f>IF(C428="","",SUMIFS(tbl_Finance[Inc GST],tbl_Finance[Job Number],C428&amp;""))</f>
        <v/>
      </c>
      <c r="M428" s="24" t="n"/>
      <c r="N428" s="25">
        <f>IF(C428="","",IFERROR(INDEX(tbl_Finance[Description],MATCH(C428&amp;"",tbl_Finance[Job Number],0)),""))</f>
        <v/>
      </c>
      <c r="O428" s="24" t="n"/>
      <c r="P428" s="24" t="n"/>
      <c r="Q428" s="22" t="n"/>
      <c r="R428" s="24" t="n"/>
      <c r="S428" s="25">
        <f>IF(R428="","",IF(AND(LEFT(R428,4)&lt;&gt;"http",set_RMSBase=""),"",HYPERLINK(IF(LEFT(R428,4)="http",R428,set_RMSBase&amp;R428),"Open opportunity")))</f>
        <v/>
      </c>
      <c r="T428" s="24" t="n"/>
      <c r="U428" s="25">
        <f>IF(T428="","",HYPERLINK(IF(LEFT(T428,4)="http",T428,set_QwilrBase&amp;T428),"Open quote"))</f>
        <v/>
      </c>
      <c r="V428" s="25">
        <f>IF(C428="","",C428)</f>
        <v/>
      </c>
      <c r="W428" s="24" t="n"/>
      <c r="X428" s="26" t="n"/>
      <c r="Y428" s="27">
        <f>IF(C428="","",H428+N(X428))</f>
        <v/>
      </c>
      <c r="Z428" s="29">
        <f>IFERROR(X428/Y428,"")</f>
        <v/>
      </c>
      <c r="AA428" s="26" t="n"/>
      <c r="AB428" s="26" t="n"/>
      <c r="AC428" s="26" t="n"/>
      <c r="AD428" s="26" t="n"/>
      <c r="AE428" s="27">
        <f>IF(C428="","",SUMIFS(tbl_Finance[Ex GST],tbl_Finance[Job Number],C428&amp;"",tbl_Finance[Cost Centre],"VIDEO"))</f>
        <v/>
      </c>
      <c r="AF428" s="29">
        <f>IFERROR(AE428/H428,"")</f>
        <v/>
      </c>
      <c r="AG428" s="27">
        <f>IF(C428="","",N(AA428)+N(AB428)+N(AC428)+N(AD428))</f>
        <v/>
      </c>
      <c r="AH428" s="27">
        <f>IF(C428="","",H428-AG428)</f>
        <v/>
      </c>
      <c r="AI428" s="29">
        <f>IFERROR(AH428/H428,"")</f>
        <v/>
      </c>
      <c r="AJ428" s="64" t="n"/>
      <c r="AK428" s="64" t="n"/>
      <c r="AL428" s="64" t="n"/>
      <c r="AM428" s="64" t="n"/>
      <c r="AN428" s="64" t="n"/>
      <c r="AO428" s="24" t="n"/>
    </row>
    <row r="429" ht="15" customHeight="1">
      <c r="A429" s="63">
        <f>IF(C429="","",IFERROR(IF(SUMPRODUCT(MAX((tbl_Finance[Job Number]=C429&amp;"")*(tbl_Finance[Xero Invoice No]&lt;&gt;"")*tbl_Finance[Date]))=0,"",SUMPRODUCT(MAX((tbl_Finance[Job Number]=C429&amp;"")*(tbl_Finance[Xero Invoice No]&lt;&gt;"")*tbl_Finance[Date]))),""))</f>
        <v/>
      </c>
      <c r="B429" s="25">
        <f>IF(C429="","",IF(COUNTIFS(tbl_Finance[Job Number],C429&amp;"",tbl_Finance[Xero Invoice No],"&lt;&gt;")=0,"",IFERROR(IF(COUNTIFS(tbl_Finance[Job Number],C429&amp;"",tbl_Finance[Xero Invoice No],LOOKUP(2,1/((tbl_Finance[Job Number]=C429&amp;"")*(tbl_Finance[Xero Invoice No]&lt;&gt;"")),tbl_Finance[Xero Invoice No]))=COUNTIFS(tbl_Finance[Job Number],C429&amp;"",tbl_Finance[Xero Invoice No],"&lt;&gt;"),LOOKUP(2,1/((tbl_Finance[Job Number]=C429&amp;"")*(tbl_Finance[Xero Invoice No]&lt;&gt;"")),tbl_Finance[Xero Invoice No]),LOOKUP(2,1/((tbl_Finance[Job Number]=C429&amp;"")*(tbl_Finance[Xero Invoice No]&lt;&gt;"")),tbl_Finance[Xero Invoice No])&amp;" +more"),"")))</f>
        <v/>
      </c>
      <c r="C429" s="24" t="n"/>
      <c r="D429" s="25">
        <f>IF(C429="","",IF(COUNTIF(lst_Jobs,C429&amp;"")&gt;0,"OK","CHECK"))</f>
        <v/>
      </c>
      <c r="E429" s="25">
        <f>IF(C429="","",IFERROR(INDEX(lst_JobName,MATCH(C429&amp;"",lst_Jobs,0)),""))</f>
        <v/>
      </c>
      <c r="F429" s="25">
        <f>IF(C429="","",IFERROR(INDEX(tbl_Finance[Client],MATCH(C429&amp;"",tbl_Finance[Job Number],0)),""))</f>
        <v/>
      </c>
      <c r="G429" s="28">
        <f>IF(C429="","",COUNTIFS(tbl_Finance[Job Number],C429&amp;"",tbl_Finance[Ex GST],"&lt;&gt;"))</f>
        <v/>
      </c>
      <c r="H429" s="27">
        <f>IF(C429="","",SUMIFS(tbl_Finance[Ex GST],tbl_Finance[Job Number],C429&amp;""))</f>
        <v/>
      </c>
      <c r="I429" s="27">
        <f>IF(C429="","",SUMIFS(tbl_Finance[Ex GST],tbl_Finance[Job Number],C429&amp;"",tbl_Finance[Xero Invoice No],"&lt;&gt;"))</f>
        <v/>
      </c>
      <c r="J429" s="27">
        <f>IF(C429="","",H429-I429)</f>
        <v/>
      </c>
      <c r="K429" s="25">
        <f>IF(C429="","",IF(G429=0,"not invoiced yet",SUBSTITUTE(TRIM(IF(COUNTIFS(tbl_Finance[Job Number],C429&amp;"",tbl_Finance[Cost Centre],"ONSITE")&gt;0,"ONSITE ","")&amp;IF(COUNTIFS(tbl_Finance[Job Number],C429&amp;"",tbl_Finance[Cost Centre],"PRODUCTION")&gt;0,"PRODUCTION ","")&amp;IF(COUNTIFS(tbl_Finance[Job Number],C429&amp;"",tbl_Finance[Cost Centre],"VIDEO")&gt;0,"VIDEO ","")&amp;IF(COUNTIFS(tbl_Finance[Job Number],C429&amp;"",tbl_Finance[Cost Centre],"INTEGRATION")&gt;0,"INTEGRATION ","")&amp;IF(COUNTIFS(tbl_Finance[Job Number],C429&amp;"",tbl_Finance[Cost Centre],"CONSULTING")&gt;0,"CONSULTING ","")&amp;IF(COUNTIFS(tbl_Finance[Job Number],C429&amp;"",tbl_Finance[Cost Centre],"CTS")&gt;0,"CTS ",""))," ",", ")))</f>
        <v/>
      </c>
      <c r="L429" s="27">
        <f>IF(C429="","",SUMIFS(tbl_Finance[Inc GST],tbl_Finance[Job Number],C429&amp;""))</f>
        <v/>
      </c>
      <c r="M429" s="24" t="n"/>
      <c r="N429" s="25">
        <f>IF(C429="","",IFERROR(INDEX(tbl_Finance[Description],MATCH(C429&amp;"",tbl_Finance[Job Number],0)),""))</f>
        <v/>
      </c>
      <c r="O429" s="24" t="n"/>
      <c r="P429" s="24" t="n"/>
      <c r="Q429" s="22" t="n"/>
      <c r="R429" s="24" t="n"/>
      <c r="S429" s="25">
        <f>IF(R429="","",IF(AND(LEFT(R429,4)&lt;&gt;"http",set_RMSBase=""),"",HYPERLINK(IF(LEFT(R429,4)="http",R429,set_RMSBase&amp;R429),"Open opportunity")))</f>
        <v/>
      </c>
      <c r="T429" s="24" t="n"/>
      <c r="U429" s="25">
        <f>IF(T429="","",HYPERLINK(IF(LEFT(T429,4)="http",T429,set_QwilrBase&amp;T429),"Open quote"))</f>
        <v/>
      </c>
      <c r="V429" s="25">
        <f>IF(C429="","",C429)</f>
        <v/>
      </c>
      <c r="W429" s="24" t="n"/>
      <c r="X429" s="26" t="n"/>
      <c r="Y429" s="27">
        <f>IF(C429="","",H429+N(X429))</f>
        <v/>
      </c>
      <c r="Z429" s="29">
        <f>IFERROR(X429/Y429,"")</f>
        <v/>
      </c>
      <c r="AA429" s="26" t="n"/>
      <c r="AB429" s="26" t="n"/>
      <c r="AC429" s="26" t="n"/>
      <c r="AD429" s="26" t="n"/>
      <c r="AE429" s="27">
        <f>IF(C429="","",SUMIFS(tbl_Finance[Ex GST],tbl_Finance[Job Number],C429&amp;"",tbl_Finance[Cost Centre],"VIDEO"))</f>
        <v/>
      </c>
      <c r="AF429" s="29">
        <f>IFERROR(AE429/H429,"")</f>
        <v/>
      </c>
      <c r="AG429" s="27">
        <f>IF(C429="","",N(AA429)+N(AB429)+N(AC429)+N(AD429))</f>
        <v/>
      </c>
      <c r="AH429" s="27">
        <f>IF(C429="","",H429-AG429)</f>
        <v/>
      </c>
      <c r="AI429" s="29">
        <f>IFERROR(AH429/H429,"")</f>
        <v/>
      </c>
      <c r="AJ429" s="64" t="n"/>
      <c r="AK429" s="64" t="n"/>
      <c r="AL429" s="64" t="n"/>
      <c r="AM429" s="64" t="n"/>
      <c r="AN429" s="64" t="n"/>
      <c r="AO429" s="24" t="n"/>
    </row>
    <row r="430" ht="15" customHeight="1">
      <c r="A430" s="63">
        <f>IF(C430="","",IFERROR(IF(SUMPRODUCT(MAX((tbl_Finance[Job Number]=C430&amp;"")*(tbl_Finance[Xero Invoice No]&lt;&gt;"")*tbl_Finance[Date]))=0,"",SUMPRODUCT(MAX((tbl_Finance[Job Number]=C430&amp;"")*(tbl_Finance[Xero Invoice No]&lt;&gt;"")*tbl_Finance[Date]))),""))</f>
        <v/>
      </c>
      <c r="B430" s="25">
        <f>IF(C430="","",IF(COUNTIFS(tbl_Finance[Job Number],C430&amp;"",tbl_Finance[Xero Invoice No],"&lt;&gt;")=0,"",IFERROR(IF(COUNTIFS(tbl_Finance[Job Number],C430&amp;"",tbl_Finance[Xero Invoice No],LOOKUP(2,1/((tbl_Finance[Job Number]=C430&amp;"")*(tbl_Finance[Xero Invoice No]&lt;&gt;"")),tbl_Finance[Xero Invoice No]))=COUNTIFS(tbl_Finance[Job Number],C430&amp;"",tbl_Finance[Xero Invoice No],"&lt;&gt;"),LOOKUP(2,1/((tbl_Finance[Job Number]=C430&amp;"")*(tbl_Finance[Xero Invoice No]&lt;&gt;"")),tbl_Finance[Xero Invoice No]),LOOKUP(2,1/((tbl_Finance[Job Number]=C430&amp;"")*(tbl_Finance[Xero Invoice No]&lt;&gt;"")),tbl_Finance[Xero Invoice No])&amp;" +more"),"")))</f>
        <v/>
      </c>
      <c r="C430" s="24" t="n"/>
      <c r="D430" s="25">
        <f>IF(C430="","",IF(COUNTIF(lst_Jobs,C430&amp;"")&gt;0,"OK","CHECK"))</f>
        <v/>
      </c>
      <c r="E430" s="25">
        <f>IF(C430="","",IFERROR(INDEX(lst_JobName,MATCH(C430&amp;"",lst_Jobs,0)),""))</f>
        <v/>
      </c>
      <c r="F430" s="25">
        <f>IF(C430="","",IFERROR(INDEX(tbl_Finance[Client],MATCH(C430&amp;"",tbl_Finance[Job Number],0)),""))</f>
        <v/>
      </c>
      <c r="G430" s="28">
        <f>IF(C430="","",COUNTIFS(tbl_Finance[Job Number],C430&amp;"",tbl_Finance[Ex GST],"&lt;&gt;"))</f>
        <v/>
      </c>
      <c r="H430" s="27">
        <f>IF(C430="","",SUMIFS(tbl_Finance[Ex GST],tbl_Finance[Job Number],C430&amp;""))</f>
        <v/>
      </c>
      <c r="I430" s="27">
        <f>IF(C430="","",SUMIFS(tbl_Finance[Ex GST],tbl_Finance[Job Number],C430&amp;"",tbl_Finance[Xero Invoice No],"&lt;&gt;"))</f>
        <v/>
      </c>
      <c r="J430" s="27">
        <f>IF(C430="","",H430-I430)</f>
        <v/>
      </c>
      <c r="K430" s="25">
        <f>IF(C430="","",IF(G430=0,"not invoiced yet",SUBSTITUTE(TRIM(IF(COUNTIFS(tbl_Finance[Job Number],C430&amp;"",tbl_Finance[Cost Centre],"ONSITE")&gt;0,"ONSITE ","")&amp;IF(COUNTIFS(tbl_Finance[Job Number],C430&amp;"",tbl_Finance[Cost Centre],"PRODUCTION")&gt;0,"PRODUCTION ","")&amp;IF(COUNTIFS(tbl_Finance[Job Number],C430&amp;"",tbl_Finance[Cost Centre],"VIDEO")&gt;0,"VIDEO ","")&amp;IF(COUNTIFS(tbl_Finance[Job Number],C430&amp;"",tbl_Finance[Cost Centre],"INTEGRATION")&gt;0,"INTEGRATION ","")&amp;IF(COUNTIFS(tbl_Finance[Job Number],C430&amp;"",tbl_Finance[Cost Centre],"CONSULTING")&gt;0,"CONSULTING ","")&amp;IF(COUNTIFS(tbl_Finance[Job Number],C430&amp;"",tbl_Finance[Cost Centre],"CTS")&gt;0,"CTS ",""))," ",", ")))</f>
        <v/>
      </c>
      <c r="L430" s="27">
        <f>IF(C430="","",SUMIFS(tbl_Finance[Inc GST],tbl_Finance[Job Number],C430&amp;""))</f>
        <v/>
      </c>
      <c r="M430" s="24" t="n"/>
      <c r="N430" s="25">
        <f>IF(C430="","",IFERROR(INDEX(tbl_Finance[Description],MATCH(C430&amp;"",tbl_Finance[Job Number],0)),""))</f>
        <v/>
      </c>
      <c r="O430" s="24" t="n"/>
      <c r="P430" s="24" t="n"/>
      <c r="Q430" s="22" t="n"/>
      <c r="R430" s="24" t="n"/>
      <c r="S430" s="25">
        <f>IF(R430="","",IF(AND(LEFT(R430,4)&lt;&gt;"http",set_RMSBase=""),"",HYPERLINK(IF(LEFT(R430,4)="http",R430,set_RMSBase&amp;R430),"Open opportunity")))</f>
        <v/>
      </c>
      <c r="T430" s="24" t="n"/>
      <c r="U430" s="25">
        <f>IF(T430="","",HYPERLINK(IF(LEFT(T430,4)="http",T430,set_QwilrBase&amp;T430),"Open quote"))</f>
        <v/>
      </c>
      <c r="V430" s="25">
        <f>IF(C430="","",C430)</f>
        <v/>
      </c>
      <c r="W430" s="24" t="n"/>
      <c r="X430" s="26" t="n"/>
      <c r="Y430" s="27">
        <f>IF(C430="","",H430+N(X430))</f>
        <v/>
      </c>
      <c r="Z430" s="29">
        <f>IFERROR(X430/Y430,"")</f>
        <v/>
      </c>
      <c r="AA430" s="26" t="n"/>
      <c r="AB430" s="26" t="n"/>
      <c r="AC430" s="26" t="n"/>
      <c r="AD430" s="26" t="n"/>
      <c r="AE430" s="27">
        <f>IF(C430="","",SUMIFS(tbl_Finance[Ex GST],tbl_Finance[Job Number],C430&amp;"",tbl_Finance[Cost Centre],"VIDEO"))</f>
        <v/>
      </c>
      <c r="AF430" s="29">
        <f>IFERROR(AE430/H430,"")</f>
        <v/>
      </c>
      <c r="AG430" s="27">
        <f>IF(C430="","",N(AA430)+N(AB430)+N(AC430)+N(AD430))</f>
        <v/>
      </c>
      <c r="AH430" s="27">
        <f>IF(C430="","",H430-AG430)</f>
        <v/>
      </c>
      <c r="AI430" s="29">
        <f>IFERROR(AH430/H430,"")</f>
        <v/>
      </c>
      <c r="AJ430" s="64" t="n"/>
      <c r="AK430" s="64" t="n"/>
      <c r="AL430" s="64" t="n"/>
      <c r="AM430" s="64" t="n"/>
      <c r="AN430" s="64" t="n"/>
      <c r="AO430" s="24" t="n"/>
    </row>
    <row r="431" ht="15" customHeight="1">
      <c r="A431" s="63">
        <f>IF(C431="","",IFERROR(IF(SUMPRODUCT(MAX((tbl_Finance[Job Number]=C431&amp;"")*(tbl_Finance[Xero Invoice No]&lt;&gt;"")*tbl_Finance[Date]))=0,"",SUMPRODUCT(MAX((tbl_Finance[Job Number]=C431&amp;"")*(tbl_Finance[Xero Invoice No]&lt;&gt;"")*tbl_Finance[Date]))),""))</f>
        <v/>
      </c>
      <c r="B431" s="25">
        <f>IF(C431="","",IF(COUNTIFS(tbl_Finance[Job Number],C431&amp;"",tbl_Finance[Xero Invoice No],"&lt;&gt;")=0,"",IFERROR(IF(COUNTIFS(tbl_Finance[Job Number],C431&amp;"",tbl_Finance[Xero Invoice No],LOOKUP(2,1/((tbl_Finance[Job Number]=C431&amp;"")*(tbl_Finance[Xero Invoice No]&lt;&gt;"")),tbl_Finance[Xero Invoice No]))=COUNTIFS(tbl_Finance[Job Number],C431&amp;"",tbl_Finance[Xero Invoice No],"&lt;&gt;"),LOOKUP(2,1/((tbl_Finance[Job Number]=C431&amp;"")*(tbl_Finance[Xero Invoice No]&lt;&gt;"")),tbl_Finance[Xero Invoice No]),LOOKUP(2,1/((tbl_Finance[Job Number]=C431&amp;"")*(tbl_Finance[Xero Invoice No]&lt;&gt;"")),tbl_Finance[Xero Invoice No])&amp;" +more"),"")))</f>
        <v/>
      </c>
      <c r="C431" s="24" t="n"/>
      <c r="D431" s="25">
        <f>IF(C431="","",IF(COUNTIF(lst_Jobs,C431&amp;"")&gt;0,"OK","CHECK"))</f>
        <v/>
      </c>
      <c r="E431" s="25">
        <f>IF(C431="","",IFERROR(INDEX(lst_JobName,MATCH(C431&amp;"",lst_Jobs,0)),""))</f>
        <v/>
      </c>
      <c r="F431" s="25">
        <f>IF(C431="","",IFERROR(INDEX(tbl_Finance[Client],MATCH(C431&amp;"",tbl_Finance[Job Number],0)),""))</f>
        <v/>
      </c>
      <c r="G431" s="28">
        <f>IF(C431="","",COUNTIFS(tbl_Finance[Job Number],C431&amp;"",tbl_Finance[Ex GST],"&lt;&gt;"))</f>
        <v/>
      </c>
      <c r="H431" s="27">
        <f>IF(C431="","",SUMIFS(tbl_Finance[Ex GST],tbl_Finance[Job Number],C431&amp;""))</f>
        <v/>
      </c>
      <c r="I431" s="27">
        <f>IF(C431="","",SUMIFS(tbl_Finance[Ex GST],tbl_Finance[Job Number],C431&amp;"",tbl_Finance[Xero Invoice No],"&lt;&gt;"))</f>
        <v/>
      </c>
      <c r="J431" s="27">
        <f>IF(C431="","",H431-I431)</f>
        <v/>
      </c>
      <c r="K431" s="25">
        <f>IF(C431="","",IF(G431=0,"not invoiced yet",SUBSTITUTE(TRIM(IF(COUNTIFS(tbl_Finance[Job Number],C431&amp;"",tbl_Finance[Cost Centre],"ONSITE")&gt;0,"ONSITE ","")&amp;IF(COUNTIFS(tbl_Finance[Job Number],C431&amp;"",tbl_Finance[Cost Centre],"PRODUCTION")&gt;0,"PRODUCTION ","")&amp;IF(COUNTIFS(tbl_Finance[Job Number],C431&amp;"",tbl_Finance[Cost Centre],"VIDEO")&gt;0,"VIDEO ","")&amp;IF(COUNTIFS(tbl_Finance[Job Number],C431&amp;"",tbl_Finance[Cost Centre],"INTEGRATION")&gt;0,"INTEGRATION ","")&amp;IF(COUNTIFS(tbl_Finance[Job Number],C431&amp;"",tbl_Finance[Cost Centre],"CONSULTING")&gt;0,"CONSULTING ","")&amp;IF(COUNTIFS(tbl_Finance[Job Number],C431&amp;"",tbl_Finance[Cost Centre],"CTS")&gt;0,"CTS ",""))," ",", ")))</f>
        <v/>
      </c>
      <c r="L431" s="27">
        <f>IF(C431="","",SUMIFS(tbl_Finance[Inc GST],tbl_Finance[Job Number],C431&amp;""))</f>
        <v/>
      </c>
      <c r="M431" s="24" t="n"/>
      <c r="N431" s="25">
        <f>IF(C431="","",IFERROR(INDEX(tbl_Finance[Description],MATCH(C431&amp;"",tbl_Finance[Job Number],0)),""))</f>
        <v/>
      </c>
      <c r="O431" s="24" t="n"/>
      <c r="P431" s="24" t="n"/>
      <c r="Q431" s="22" t="n"/>
      <c r="R431" s="24" t="n"/>
      <c r="S431" s="25">
        <f>IF(R431="","",IF(AND(LEFT(R431,4)&lt;&gt;"http",set_RMSBase=""),"",HYPERLINK(IF(LEFT(R431,4)="http",R431,set_RMSBase&amp;R431),"Open opportunity")))</f>
        <v/>
      </c>
      <c r="T431" s="24" t="n"/>
      <c r="U431" s="25">
        <f>IF(T431="","",HYPERLINK(IF(LEFT(T431,4)="http",T431,set_QwilrBase&amp;T431),"Open quote"))</f>
        <v/>
      </c>
      <c r="V431" s="25">
        <f>IF(C431="","",C431)</f>
        <v/>
      </c>
      <c r="W431" s="24" t="n"/>
      <c r="X431" s="26" t="n"/>
      <c r="Y431" s="27">
        <f>IF(C431="","",H431+N(X431))</f>
        <v/>
      </c>
      <c r="Z431" s="29">
        <f>IFERROR(X431/Y431,"")</f>
        <v/>
      </c>
      <c r="AA431" s="26" t="n"/>
      <c r="AB431" s="26" t="n"/>
      <c r="AC431" s="26" t="n"/>
      <c r="AD431" s="26" t="n"/>
      <c r="AE431" s="27">
        <f>IF(C431="","",SUMIFS(tbl_Finance[Ex GST],tbl_Finance[Job Number],C431&amp;"",tbl_Finance[Cost Centre],"VIDEO"))</f>
        <v/>
      </c>
      <c r="AF431" s="29">
        <f>IFERROR(AE431/H431,"")</f>
        <v/>
      </c>
      <c r="AG431" s="27">
        <f>IF(C431="","",N(AA431)+N(AB431)+N(AC431)+N(AD431))</f>
        <v/>
      </c>
      <c r="AH431" s="27">
        <f>IF(C431="","",H431-AG431)</f>
        <v/>
      </c>
      <c r="AI431" s="29">
        <f>IFERROR(AH431/H431,"")</f>
        <v/>
      </c>
      <c r="AJ431" s="64" t="n"/>
      <c r="AK431" s="64" t="n"/>
      <c r="AL431" s="64" t="n"/>
      <c r="AM431" s="64" t="n"/>
      <c r="AN431" s="64" t="n"/>
      <c r="AO431" s="24" t="n"/>
    </row>
    <row r="432" ht="15" customHeight="1">
      <c r="A432" s="63">
        <f>IF(C432="","",IFERROR(IF(SUMPRODUCT(MAX((tbl_Finance[Job Number]=C432&amp;"")*(tbl_Finance[Xero Invoice No]&lt;&gt;"")*tbl_Finance[Date]))=0,"",SUMPRODUCT(MAX((tbl_Finance[Job Number]=C432&amp;"")*(tbl_Finance[Xero Invoice No]&lt;&gt;"")*tbl_Finance[Date]))),""))</f>
        <v/>
      </c>
      <c r="B432" s="25">
        <f>IF(C432="","",IF(COUNTIFS(tbl_Finance[Job Number],C432&amp;"",tbl_Finance[Xero Invoice No],"&lt;&gt;")=0,"",IFERROR(IF(COUNTIFS(tbl_Finance[Job Number],C432&amp;"",tbl_Finance[Xero Invoice No],LOOKUP(2,1/((tbl_Finance[Job Number]=C432&amp;"")*(tbl_Finance[Xero Invoice No]&lt;&gt;"")),tbl_Finance[Xero Invoice No]))=COUNTIFS(tbl_Finance[Job Number],C432&amp;"",tbl_Finance[Xero Invoice No],"&lt;&gt;"),LOOKUP(2,1/((tbl_Finance[Job Number]=C432&amp;"")*(tbl_Finance[Xero Invoice No]&lt;&gt;"")),tbl_Finance[Xero Invoice No]),LOOKUP(2,1/((tbl_Finance[Job Number]=C432&amp;"")*(tbl_Finance[Xero Invoice No]&lt;&gt;"")),tbl_Finance[Xero Invoice No])&amp;" +more"),"")))</f>
        <v/>
      </c>
      <c r="C432" s="24" t="n"/>
      <c r="D432" s="25">
        <f>IF(C432="","",IF(COUNTIF(lst_Jobs,C432&amp;"")&gt;0,"OK","CHECK"))</f>
        <v/>
      </c>
      <c r="E432" s="25">
        <f>IF(C432="","",IFERROR(INDEX(lst_JobName,MATCH(C432&amp;"",lst_Jobs,0)),""))</f>
        <v/>
      </c>
      <c r="F432" s="25">
        <f>IF(C432="","",IFERROR(INDEX(tbl_Finance[Client],MATCH(C432&amp;"",tbl_Finance[Job Number],0)),""))</f>
        <v/>
      </c>
      <c r="G432" s="28">
        <f>IF(C432="","",COUNTIFS(tbl_Finance[Job Number],C432&amp;"",tbl_Finance[Ex GST],"&lt;&gt;"))</f>
        <v/>
      </c>
      <c r="H432" s="27">
        <f>IF(C432="","",SUMIFS(tbl_Finance[Ex GST],tbl_Finance[Job Number],C432&amp;""))</f>
        <v/>
      </c>
      <c r="I432" s="27">
        <f>IF(C432="","",SUMIFS(tbl_Finance[Ex GST],tbl_Finance[Job Number],C432&amp;"",tbl_Finance[Xero Invoice No],"&lt;&gt;"))</f>
        <v/>
      </c>
      <c r="J432" s="27">
        <f>IF(C432="","",H432-I432)</f>
        <v/>
      </c>
      <c r="K432" s="25">
        <f>IF(C432="","",IF(G432=0,"not invoiced yet",SUBSTITUTE(TRIM(IF(COUNTIFS(tbl_Finance[Job Number],C432&amp;"",tbl_Finance[Cost Centre],"ONSITE")&gt;0,"ONSITE ","")&amp;IF(COUNTIFS(tbl_Finance[Job Number],C432&amp;"",tbl_Finance[Cost Centre],"PRODUCTION")&gt;0,"PRODUCTION ","")&amp;IF(COUNTIFS(tbl_Finance[Job Number],C432&amp;"",tbl_Finance[Cost Centre],"VIDEO")&gt;0,"VIDEO ","")&amp;IF(COUNTIFS(tbl_Finance[Job Number],C432&amp;"",tbl_Finance[Cost Centre],"INTEGRATION")&gt;0,"INTEGRATION ","")&amp;IF(COUNTIFS(tbl_Finance[Job Number],C432&amp;"",tbl_Finance[Cost Centre],"CONSULTING")&gt;0,"CONSULTING ","")&amp;IF(COUNTIFS(tbl_Finance[Job Number],C432&amp;"",tbl_Finance[Cost Centre],"CTS")&gt;0,"CTS ",""))," ",", ")))</f>
        <v/>
      </c>
      <c r="L432" s="27">
        <f>IF(C432="","",SUMIFS(tbl_Finance[Inc GST],tbl_Finance[Job Number],C432&amp;""))</f>
        <v/>
      </c>
      <c r="M432" s="24" t="n"/>
      <c r="N432" s="25">
        <f>IF(C432="","",IFERROR(INDEX(tbl_Finance[Description],MATCH(C432&amp;"",tbl_Finance[Job Number],0)),""))</f>
        <v/>
      </c>
      <c r="O432" s="24" t="n"/>
      <c r="P432" s="24" t="n"/>
      <c r="Q432" s="22" t="n"/>
      <c r="R432" s="24" t="n"/>
      <c r="S432" s="25">
        <f>IF(R432="","",IF(AND(LEFT(R432,4)&lt;&gt;"http",set_RMSBase=""),"",HYPERLINK(IF(LEFT(R432,4)="http",R432,set_RMSBase&amp;R432),"Open opportunity")))</f>
        <v/>
      </c>
      <c r="T432" s="24" t="n"/>
      <c r="U432" s="25">
        <f>IF(T432="","",HYPERLINK(IF(LEFT(T432,4)="http",T432,set_QwilrBase&amp;T432),"Open quote"))</f>
        <v/>
      </c>
      <c r="V432" s="25">
        <f>IF(C432="","",C432)</f>
        <v/>
      </c>
      <c r="W432" s="24" t="n"/>
      <c r="X432" s="26" t="n"/>
      <c r="Y432" s="27">
        <f>IF(C432="","",H432+N(X432))</f>
        <v/>
      </c>
      <c r="Z432" s="29">
        <f>IFERROR(X432/Y432,"")</f>
        <v/>
      </c>
      <c r="AA432" s="26" t="n"/>
      <c r="AB432" s="26" t="n"/>
      <c r="AC432" s="26" t="n"/>
      <c r="AD432" s="26" t="n"/>
      <c r="AE432" s="27">
        <f>IF(C432="","",SUMIFS(tbl_Finance[Ex GST],tbl_Finance[Job Number],C432&amp;"",tbl_Finance[Cost Centre],"VIDEO"))</f>
        <v/>
      </c>
      <c r="AF432" s="29">
        <f>IFERROR(AE432/H432,"")</f>
        <v/>
      </c>
      <c r="AG432" s="27">
        <f>IF(C432="","",N(AA432)+N(AB432)+N(AC432)+N(AD432))</f>
        <v/>
      </c>
      <c r="AH432" s="27">
        <f>IF(C432="","",H432-AG432)</f>
        <v/>
      </c>
      <c r="AI432" s="29">
        <f>IFERROR(AH432/H432,"")</f>
        <v/>
      </c>
      <c r="AJ432" s="64" t="n"/>
      <c r="AK432" s="64" t="n"/>
      <c r="AL432" s="64" t="n"/>
      <c r="AM432" s="64" t="n"/>
      <c r="AN432" s="64" t="n"/>
      <c r="AO432" s="24" t="n"/>
    </row>
    <row r="433" ht="15" customHeight="1">
      <c r="A433" s="63">
        <f>IF(C433="","",IFERROR(IF(SUMPRODUCT(MAX((tbl_Finance[Job Number]=C433&amp;"")*(tbl_Finance[Xero Invoice No]&lt;&gt;"")*tbl_Finance[Date]))=0,"",SUMPRODUCT(MAX((tbl_Finance[Job Number]=C433&amp;"")*(tbl_Finance[Xero Invoice No]&lt;&gt;"")*tbl_Finance[Date]))),""))</f>
        <v/>
      </c>
      <c r="B433" s="25">
        <f>IF(C433="","",IF(COUNTIFS(tbl_Finance[Job Number],C433&amp;"",tbl_Finance[Xero Invoice No],"&lt;&gt;")=0,"",IFERROR(IF(COUNTIFS(tbl_Finance[Job Number],C433&amp;"",tbl_Finance[Xero Invoice No],LOOKUP(2,1/((tbl_Finance[Job Number]=C433&amp;"")*(tbl_Finance[Xero Invoice No]&lt;&gt;"")),tbl_Finance[Xero Invoice No]))=COUNTIFS(tbl_Finance[Job Number],C433&amp;"",tbl_Finance[Xero Invoice No],"&lt;&gt;"),LOOKUP(2,1/((tbl_Finance[Job Number]=C433&amp;"")*(tbl_Finance[Xero Invoice No]&lt;&gt;"")),tbl_Finance[Xero Invoice No]),LOOKUP(2,1/((tbl_Finance[Job Number]=C433&amp;"")*(tbl_Finance[Xero Invoice No]&lt;&gt;"")),tbl_Finance[Xero Invoice No])&amp;" +more"),"")))</f>
        <v/>
      </c>
      <c r="C433" s="24" t="n"/>
      <c r="D433" s="25">
        <f>IF(C433="","",IF(COUNTIF(lst_Jobs,C433&amp;"")&gt;0,"OK","CHECK"))</f>
        <v/>
      </c>
      <c r="E433" s="25">
        <f>IF(C433="","",IFERROR(INDEX(lst_JobName,MATCH(C433&amp;"",lst_Jobs,0)),""))</f>
        <v/>
      </c>
      <c r="F433" s="25">
        <f>IF(C433="","",IFERROR(INDEX(tbl_Finance[Client],MATCH(C433&amp;"",tbl_Finance[Job Number],0)),""))</f>
        <v/>
      </c>
      <c r="G433" s="28">
        <f>IF(C433="","",COUNTIFS(tbl_Finance[Job Number],C433&amp;"",tbl_Finance[Ex GST],"&lt;&gt;"))</f>
        <v/>
      </c>
      <c r="H433" s="27">
        <f>IF(C433="","",SUMIFS(tbl_Finance[Ex GST],tbl_Finance[Job Number],C433&amp;""))</f>
        <v/>
      </c>
      <c r="I433" s="27">
        <f>IF(C433="","",SUMIFS(tbl_Finance[Ex GST],tbl_Finance[Job Number],C433&amp;"",tbl_Finance[Xero Invoice No],"&lt;&gt;"))</f>
        <v/>
      </c>
      <c r="J433" s="27">
        <f>IF(C433="","",H433-I433)</f>
        <v/>
      </c>
      <c r="K433" s="25">
        <f>IF(C433="","",IF(G433=0,"not invoiced yet",SUBSTITUTE(TRIM(IF(COUNTIFS(tbl_Finance[Job Number],C433&amp;"",tbl_Finance[Cost Centre],"ONSITE")&gt;0,"ONSITE ","")&amp;IF(COUNTIFS(tbl_Finance[Job Number],C433&amp;"",tbl_Finance[Cost Centre],"PRODUCTION")&gt;0,"PRODUCTION ","")&amp;IF(COUNTIFS(tbl_Finance[Job Number],C433&amp;"",tbl_Finance[Cost Centre],"VIDEO")&gt;0,"VIDEO ","")&amp;IF(COUNTIFS(tbl_Finance[Job Number],C433&amp;"",tbl_Finance[Cost Centre],"INTEGRATION")&gt;0,"INTEGRATION ","")&amp;IF(COUNTIFS(tbl_Finance[Job Number],C433&amp;"",tbl_Finance[Cost Centre],"CONSULTING")&gt;0,"CONSULTING ","")&amp;IF(COUNTIFS(tbl_Finance[Job Number],C433&amp;"",tbl_Finance[Cost Centre],"CTS")&gt;0,"CTS ",""))," ",", ")))</f>
        <v/>
      </c>
      <c r="L433" s="27">
        <f>IF(C433="","",SUMIFS(tbl_Finance[Inc GST],tbl_Finance[Job Number],C433&amp;""))</f>
        <v/>
      </c>
      <c r="M433" s="24" t="n"/>
      <c r="N433" s="25">
        <f>IF(C433="","",IFERROR(INDEX(tbl_Finance[Description],MATCH(C433&amp;"",tbl_Finance[Job Number],0)),""))</f>
        <v/>
      </c>
      <c r="O433" s="24" t="n"/>
      <c r="P433" s="24" t="n"/>
      <c r="Q433" s="22" t="n"/>
      <c r="R433" s="24" t="n"/>
      <c r="S433" s="25">
        <f>IF(R433="","",IF(AND(LEFT(R433,4)&lt;&gt;"http",set_RMSBase=""),"",HYPERLINK(IF(LEFT(R433,4)="http",R433,set_RMSBase&amp;R433),"Open opportunity")))</f>
        <v/>
      </c>
      <c r="T433" s="24" t="n"/>
      <c r="U433" s="25">
        <f>IF(T433="","",HYPERLINK(IF(LEFT(T433,4)="http",T433,set_QwilrBase&amp;T433),"Open quote"))</f>
        <v/>
      </c>
      <c r="V433" s="25">
        <f>IF(C433="","",C433)</f>
        <v/>
      </c>
      <c r="W433" s="24" t="n"/>
      <c r="X433" s="26" t="n"/>
      <c r="Y433" s="27">
        <f>IF(C433="","",H433+N(X433))</f>
        <v/>
      </c>
      <c r="Z433" s="29">
        <f>IFERROR(X433/Y433,"")</f>
        <v/>
      </c>
      <c r="AA433" s="26" t="n"/>
      <c r="AB433" s="26" t="n"/>
      <c r="AC433" s="26" t="n"/>
      <c r="AD433" s="26" t="n"/>
      <c r="AE433" s="27">
        <f>IF(C433="","",SUMIFS(tbl_Finance[Ex GST],tbl_Finance[Job Number],C433&amp;"",tbl_Finance[Cost Centre],"VIDEO"))</f>
        <v/>
      </c>
      <c r="AF433" s="29">
        <f>IFERROR(AE433/H433,"")</f>
        <v/>
      </c>
      <c r="AG433" s="27">
        <f>IF(C433="","",N(AA433)+N(AB433)+N(AC433)+N(AD433))</f>
        <v/>
      </c>
      <c r="AH433" s="27">
        <f>IF(C433="","",H433-AG433)</f>
        <v/>
      </c>
      <c r="AI433" s="29">
        <f>IFERROR(AH433/H433,"")</f>
        <v/>
      </c>
      <c r="AJ433" s="64" t="n"/>
      <c r="AK433" s="64" t="n"/>
      <c r="AL433" s="64" t="n"/>
      <c r="AM433" s="64" t="n"/>
      <c r="AN433" s="64" t="n"/>
      <c r="AO433" s="24" t="n"/>
    </row>
    <row r="434" ht="15" customHeight="1">
      <c r="A434" s="63">
        <f>IF(C434="","",IFERROR(IF(SUMPRODUCT(MAX((tbl_Finance[Job Number]=C434&amp;"")*(tbl_Finance[Xero Invoice No]&lt;&gt;"")*tbl_Finance[Date]))=0,"",SUMPRODUCT(MAX((tbl_Finance[Job Number]=C434&amp;"")*(tbl_Finance[Xero Invoice No]&lt;&gt;"")*tbl_Finance[Date]))),""))</f>
        <v/>
      </c>
      <c r="B434" s="25">
        <f>IF(C434="","",IF(COUNTIFS(tbl_Finance[Job Number],C434&amp;"",tbl_Finance[Xero Invoice No],"&lt;&gt;")=0,"",IFERROR(IF(COUNTIFS(tbl_Finance[Job Number],C434&amp;"",tbl_Finance[Xero Invoice No],LOOKUP(2,1/((tbl_Finance[Job Number]=C434&amp;"")*(tbl_Finance[Xero Invoice No]&lt;&gt;"")),tbl_Finance[Xero Invoice No]))=COUNTIFS(tbl_Finance[Job Number],C434&amp;"",tbl_Finance[Xero Invoice No],"&lt;&gt;"),LOOKUP(2,1/((tbl_Finance[Job Number]=C434&amp;"")*(tbl_Finance[Xero Invoice No]&lt;&gt;"")),tbl_Finance[Xero Invoice No]),LOOKUP(2,1/((tbl_Finance[Job Number]=C434&amp;"")*(tbl_Finance[Xero Invoice No]&lt;&gt;"")),tbl_Finance[Xero Invoice No])&amp;" +more"),"")))</f>
        <v/>
      </c>
      <c r="C434" s="24" t="n"/>
      <c r="D434" s="25">
        <f>IF(C434="","",IF(COUNTIF(lst_Jobs,C434&amp;"")&gt;0,"OK","CHECK"))</f>
        <v/>
      </c>
      <c r="E434" s="25">
        <f>IF(C434="","",IFERROR(INDEX(lst_JobName,MATCH(C434&amp;"",lst_Jobs,0)),""))</f>
        <v/>
      </c>
      <c r="F434" s="25">
        <f>IF(C434="","",IFERROR(INDEX(tbl_Finance[Client],MATCH(C434&amp;"",tbl_Finance[Job Number],0)),""))</f>
        <v/>
      </c>
      <c r="G434" s="28">
        <f>IF(C434="","",COUNTIFS(tbl_Finance[Job Number],C434&amp;"",tbl_Finance[Ex GST],"&lt;&gt;"))</f>
        <v/>
      </c>
      <c r="H434" s="27">
        <f>IF(C434="","",SUMIFS(tbl_Finance[Ex GST],tbl_Finance[Job Number],C434&amp;""))</f>
        <v/>
      </c>
      <c r="I434" s="27">
        <f>IF(C434="","",SUMIFS(tbl_Finance[Ex GST],tbl_Finance[Job Number],C434&amp;"",tbl_Finance[Xero Invoice No],"&lt;&gt;"))</f>
        <v/>
      </c>
      <c r="J434" s="27">
        <f>IF(C434="","",H434-I434)</f>
        <v/>
      </c>
      <c r="K434" s="25">
        <f>IF(C434="","",IF(G434=0,"not invoiced yet",SUBSTITUTE(TRIM(IF(COUNTIFS(tbl_Finance[Job Number],C434&amp;"",tbl_Finance[Cost Centre],"ONSITE")&gt;0,"ONSITE ","")&amp;IF(COUNTIFS(tbl_Finance[Job Number],C434&amp;"",tbl_Finance[Cost Centre],"PRODUCTION")&gt;0,"PRODUCTION ","")&amp;IF(COUNTIFS(tbl_Finance[Job Number],C434&amp;"",tbl_Finance[Cost Centre],"VIDEO")&gt;0,"VIDEO ","")&amp;IF(COUNTIFS(tbl_Finance[Job Number],C434&amp;"",tbl_Finance[Cost Centre],"INTEGRATION")&gt;0,"INTEGRATION ","")&amp;IF(COUNTIFS(tbl_Finance[Job Number],C434&amp;"",tbl_Finance[Cost Centre],"CONSULTING")&gt;0,"CONSULTING ","")&amp;IF(COUNTIFS(tbl_Finance[Job Number],C434&amp;"",tbl_Finance[Cost Centre],"CTS")&gt;0,"CTS ",""))," ",", ")))</f>
        <v/>
      </c>
      <c r="L434" s="27">
        <f>IF(C434="","",SUMIFS(tbl_Finance[Inc GST],tbl_Finance[Job Number],C434&amp;""))</f>
        <v/>
      </c>
      <c r="M434" s="24" t="n"/>
      <c r="N434" s="25">
        <f>IF(C434="","",IFERROR(INDEX(tbl_Finance[Description],MATCH(C434&amp;"",tbl_Finance[Job Number],0)),""))</f>
        <v/>
      </c>
      <c r="O434" s="24" t="n"/>
      <c r="P434" s="24" t="n"/>
      <c r="Q434" s="22" t="n"/>
      <c r="R434" s="24" t="n"/>
      <c r="S434" s="25">
        <f>IF(R434="","",IF(AND(LEFT(R434,4)&lt;&gt;"http",set_RMSBase=""),"",HYPERLINK(IF(LEFT(R434,4)="http",R434,set_RMSBase&amp;R434),"Open opportunity")))</f>
        <v/>
      </c>
      <c r="T434" s="24" t="n"/>
      <c r="U434" s="25">
        <f>IF(T434="","",HYPERLINK(IF(LEFT(T434,4)="http",T434,set_QwilrBase&amp;T434),"Open quote"))</f>
        <v/>
      </c>
      <c r="V434" s="25">
        <f>IF(C434="","",C434)</f>
        <v/>
      </c>
      <c r="W434" s="24" t="n"/>
      <c r="X434" s="26" t="n"/>
      <c r="Y434" s="27">
        <f>IF(C434="","",H434+N(X434))</f>
        <v/>
      </c>
      <c r="Z434" s="29">
        <f>IFERROR(X434/Y434,"")</f>
        <v/>
      </c>
      <c r="AA434" s="26" t="n"/>
      <c r="AB434" s="26" t="n"/>
      <c r="AC434" s="26" t="n"/>
      <c r="AD434" s="26" t="n"/>
      <c r="AE434" s="27">
        <f>IF(C434="","",SUMIFS(tbl_Finance[Ex GST],tbl_Finance[Job Number],C434&amp;"",tbl_Finance[Cost Centre],"VIDEO"))</f>
        <v/>
      </c>
      <c r="AF434" s="29">
        <f>IFERROR(AE434/H434,"")</f>
        <v/>
      </c>
      <c r="AG434" s="27">
        <f>IF(C434="","",N(AA434)+N(AB434)+N(AC434)+N(AD434))</f>
        <v/>
      </c>
      <c r="AH434" s="27">
        <f>IF(C434="","",H434-AG434)</f>
        <v/>
      </c>
      <c r="AI434" s="29">
        <f>IFERROR(AH434/H434,"")</f>
        <v/>
      </c>
      <c r="AJ434" s="64" t="n"/>
      <c r="AK434" s="64" t="n"/>
      <c r="AL434" s="64" t="n"/>
      <c r="AM434" s="64" t="n"/>
      <c r="AN434" s="64" t="n"/>
      <c r="AO434" s="24" t="n"/>
    </row>
    <row r="435" ht="15" customHeight="1">
      <c r="A435" s="63">
        <f>IF(C435="","",IFERROR(IF(SUMPRODUCT(MAX((tbl_Finance[Job Number]=C435&amp;"")*(tbl_Finance[Xero Invoice No]&lt;&gt;"")*tbl_Finance[Date]))=0,"",SUMPRODUCT(MAX((tbl_Finance[Job Number]=C435&amp;"")*(tbl_Finance[Xero Invoice No]&lt;&gt;"")*tbl_Finance[Date]))),""))</f>
        <v/>
      </c>
      <c r="B435" s="25">
        <f>IF(C435="","",IF(COUNTIFS(tbl_Finance[Job Number],C435&amp;"",tbl_Finance[Xero Invoice No],"&lt;&gt;")=0,"",IFERROR(IF(COUNTIFS(tbl_Finance[Job Number],C435&amp;"",tbl_Finance[Xero Invoice No],LOOKUP(2,1/((tbl_Finance[Job Number]=C435&amp;"")*(tbl_Finance[Xero Invoice No]&lt;&gt;"")),tbl_Finance[Xero Invoice No]))=COUNTIFS(tbl_Finance[Job Number],C435&amp;"",tbl_Finance[Xero Invoice No],"&lt;&gt;"),LOOKUP(2,1/((tbl_Finance[Job Number]=C435&amp;"")*(tbl_Finance[Xero Invoice No]&lt;&gt;"")),tbl_Finance[Xero Invoice No]),LOOKUP(2,1/((tbl_Finance[Job Number]=C435&amp;"")*(tbl_Finance[Xero Invoice No]&lt;&gt;"")),tbl_Finance[Xero Invoice No])&amp;" +more"),"")))</f>
        <v/>
      </c>
      <c r="C435" s="24" t="n"/>
      <c r="D435" s="25">
        <f>IF(C435="","",IF(COUNTIF(lst_Jobs,C435&amp;"")&gt;0,"OK","CHECK"))</f>
        <v/>
      </c>
      <c r="E435" s="25">
        <f>IF(C435="","",IFERROR(INDEX(lst_JobName,MATCH(C435&amp;"",lst_Jobs,0)),""))</f>
        <v/>
      </c>
      <c r="F435" s="25">
        <f>IF(C435="","",IFERROR(INDEX(tbl_Finance[Client],MATCH(C435&amp;"",tbl_Finance[Job Number],0)),""))</f>
        <v/>
      </c>
      <c r="G435" s="28">
        <f>IF(C435="","",COUNTIFS(tbl_Finance[Job Number],C435&amp;"",tbl_Finance[Ex GST],"&lt;&gt;"))</f>
        <v/>
      </c>
      <c r="H435" s="27">
        <f>IF(C435="","",SUMIFS(tbl_Finance[Ex GST],tbl_Finance[Job Number],C435&amp;""))</f>
        <v/>
      </c>
      <c r="I435" s="27">
        <f>IF(C435="","",SUMIFS(tbl_Finance[Ex GST],tbl_Finance[Job Number],C435&amp;"",tbl_Finance[Xero Invoice No],"&lt;&gt;"))</f>
        <v/>
      </c>
      <c r="J435" s="27">
        <f>IF(C435="","",H435-I435)</f>
        <v/>
      </c>
      <c r="K435" s="25">
        <f>IF(C435="","",IF(G435=0,"not invoiced yet",SUBSTITUTE(TRIM(IF(COUNTIFS(tbl_Finance[Job Number],C435&amp;"",tbl_Finance[Cost Centre],"ONSITE")&gt;0,"ONSITE ","")&amp;IF(COUNTIFS(tbl_Finance[Job Number],C435&amp;"",tbl_Finance[Cost Centre],"PRODUCTION")&gt;0,"PRODUCTION ","")&amp;IF(COUNTIFS(tbl_Finance[Job Number],C435&amp;"",tbl_Finance[Cost Centre],"VIDEO")&gt;0,"VIDEO ","")&amp;IF(COUNTIFS(tbl_Finance[Job Number],C435&amp;"",tbl_Finance[Cost Centre],"INTEGRATION")&gt;0,"INTEGRATION ","")&amp;IF(COUNTIFS(tbl_Finance[Job Number],C435&amp;"",tbl_Finance[Cost Centre],"CONSULTING")&gt;0,"CONSULTING ","")&amp;IF(COUNTIFS(tbl_Finance[Job Number],C435&amp;"",tbl_Finance[Cost Centre],"CTS")&gt;0,"CTS ",""))," ",", ")))</f>
        <v/>
      </c>
      <c r="L435" s="27">
        <f>IF(C435="","",SUMIFS(tbl_Finance[Inc GST],tbl_Finance[Job Number],C435&amp;""))</f>
        <v/>
      </c>
      <c r="M435" s="24" t="n"/>
      <c r="N435" s="25">
        <f>IF(C435="","",IFERROR(INDEX(tbl_Finance[Description],MATCH(C435&amp;"",tbl_Finance[Job Number],0)),""))</f>
        <v/>
      </c>
      <c r="O435" s="24" t="n"/>
      <c r="P435" s="24" t="n"/>
      <c r="Q435" s="22" t="n"/>
      <c r="R435" s="24" t="n"/>
      <c r="S435" s="25">
        <f>IF(R435="","",IF(AND(LEFT(R435,4)&lt;&gt;"http",set_RMSBase=""),"",HYPERLINK(IF(LEFT(R435,4)="http",R435,set_RMSBase&amp;R435),"Open opportunity")))</f>
        <v/>
      </c>
      <c r="T435" s="24" t="n"/>
      <c r="U435" s="25">
        <f>IF(T435="","",HYPERLINK(IF(LEFT(T435,4)="http",T435,set_QwilrBase&amp;T435),"Open quote"))</f>
        <v/>
      </c>
      <c r="V435" s="25">
        <f>IF(C435="","",C435)</f>
        <v/>
      </c>
      <c r="W435" s="24" t="n"/>
      <c r="X435" s="26" t="n"/>
      <c r="Y435" s="27">
        <f>IF(C435="","",H435+N(X435))</f>
        <v/>
      </c>
      <c r="Z435" s="29">
        <f>IFERROR(X435/Y435,"")</f>
        <v/>
      </c>
      <c r="AA435" s="26" t="n"/>
      <c r="AB435" s="26" t="n"/>
      <c r="AC435" s="26" t="n"/>
      <c r="AD435" s="26" t="n"/>
      <c r="AE435" s="27">
        <f>IF(C435="","",SUMIFS(tbl_Finance[Ex GST],tbl_Finance[Job Number],C435&amp;"",tbl_Finance[Cost Centre],"VIDEO"))</f>
        <v/>
      </c>
      <c r="AF435" s="29">
        <f>IFERROR(AE435/H435,"")</f>
        <v/>
      </c>
      <c r="AG435" s="27">
        <f>IF(C435="","",N(AA435)+N(AB435)+N(AC435)+N(AD435))</f>
        <v/>
      </c>
      <c r="AH435" s="27">
        <f>IF(C435="","",H435-AG435)</f>
        <v/>
      </c>
      <c r="AI435" s="29">
        <f>IFERROR(AH435/H435,"")</f>
        <v/>
      </c>
      <c r="AJ435" s="64" t="n"/>
      <c r="AK435" s="64" t="n"/>
      <c r="AL435" s="64" t="n"/>
      <c r="AM435" s="64" t="n"/>
      <c r="AN435" s="64" t="n"/>
      <c r="AO435" s="24" t="n"/>
    </row>
    <row r="436" ht="15" customHeight="1">
      <c r="A436" s="63">
        <f>IF(C436="","",IFERROR(IF(SUMPRODUCT(MAX((tbl_Finance[Job Number]=C436&amp;"")*(tbl_Finance[Xero Invoice No]&lt;&gt;"")*tbl_Finance[Date]))=0,"",SUMPRODUCT(MAX((tbl_Finance[Job Number]=C436&amp;"")*(tbl_Finance[Xero Invoice No]&lt;&gt;"")*tbl_Finance[Date]))),""))</f>
        <v/>
      </c>
      <c r="B436" s="25">
        <f>IF(C436="","",IF(COUNTIFS(tbl_Finance[Job Number],C436&amp;"",tbl_Finance[Xero Invoice No],"&lt;&gt;")=0,"",IFERROR(IF(COUNTIFS(tbl_Finance[Job Number],C436&amp;"",tbl_Finance[Xero Invoice No],LOOKUP(2,1/((tbl_Finance[Job Number]=C436&amp;"")*(tbl_Finance[Xero Invoice No]&lt;&gt;"")),tbl_Finance[Xero Invoice No]))=COUNTIFS(tbl_Finance[Job Number],C436&amp;"",tbl_Finance[Xero Invoice No],"&lt;&gt;"),LOOKUP(2,1/((tbl_Finance[Job Number]=C436&amp;"")*(tbl_Finance[Xero Invoice No]&lt;&gt;"")),tbl_Finance[Xero Invoice No]),LOOKUP(2,1/((tbl_Finance[Job Number]=C436&amp;"")*(tbl_Finance[Xero Invoice No]&lt;&gt;"")),tbl_Finance[Xero Invoice No])&amp;" +more"),"")))</f>
        <v/>
      </c>
      <c r="C436" s="24" t="n"/>
      <c r="D436" s="25">
        <f>IF(C436="","",IF(COUNTIF(lst_Jobs,C436&amp;"")&gt;0,"OK","CHECK"))</f>
        <v/>
      </c>
      <c r="E436" s="25">
        <f>IF(C436="","",IFERROR(INDEX(lst_JobName,MATCH(C436&amp;"",lst_Jobs,0)),""))</f>
        <v/>
      </c>
      <c r="F436" s="25">
        <f>IF(C436="","",IFERROR(INDEX(tbl_Finance[Client],MATCH(C436&amp;"",tbl_Finance[Job Number],0)),""))</f>
        <v/>
      </c>
      <c r="G436" s="28">
        <f>IF(C436="","",COUNTIFS(tbl_Finance[Job Number],C436&amp;"",tbl_Finance[Ex GST],"&lt;&gt;"))</f>
        <v/>
      </c>
      <c r="H436" s="27">
        <f>IF(C436="","",SUMIFS(tbl_Finance[Ex GST],tbl_Finance[Job Number],C436&amp;""))</f>
        <v/>
      </c>
      <c r="I436" s="27">
        <f>IF(C436="","",SUMIFS(tbl_Finance[Ex GST],tbl_Finance[Job Number],C436&amp;"",tbl_Finance[Xero Invoice No],"&lt;&gt;"))</f>
        <v/>
      </c>
      <c r="J436" s="27">
        <f>IF(C436="","",H436-I436)</f>
        <v/>
      </c>
      <c r="K436" s="25">
        <f>IF(C436="","",IF(G436=0,"not invoiced yet",SUBSTITUTE(TRIM(IF(COUNTIFS(tbl_Finance[Job Number],C436&amp;"",tbl_Finance[Cost Centre],"ONSITE")&gt;0,"ONSITE ","")&amp;IF(COUNTIFS(tbl_Finance[Job Number],C436&amp;"",tbl_Finance[Cost Centre],"PRODUCTION")&gt;0,"PRODUCTION ","")&amp;IF(COUNTIFS(tbl_Finance[Job Number],C436&amp;"",tbl_Finance[Cost Centre],"VIDEO")&gt;0,"VIDEO ","")&amp;IF(COUNTIFS(tbl_Finance[Job Number],C436&amp;"",tbl_Finance[Cost Centre],"INTEGRATION")&gt;0,"INTEGRATION ","")&amp;IF(COUNTIFS(tbl_Finance[Job Number],C436&amp;"",tbl_Finance[Cost Centre],"CONSULTING")&gt;0,"CONSULTING ","")&amp;IF(COUNTIFS(tbl_Finance[Job Number],C436&amp;"",tbl_Finance[Cost Centre],"CTS")&gt;0,"CTS ",""))," ",", ")))</f>
        <v/>
      </c>
      <c r="L436" s="27">
        <f>IF(C436="","",SUMIFS(tbl_Finance[Inc GST],tbl_Finance[Job Number],C436&amp;""))</f>
        <v/>
      </c>
      <c r="M436" s="24" t="n"/>
      <c r="N436" s="25">
        <f>IF(C436="","",IFERROR(INDEX(tbl_Finance[Description],MATCH(C436&amp;"",tbl_Finance[Job Number],0)),""))</f>
        <v/>
      </c>
      <c r="O436" s="24" t="n"/>
      <c r="P436" s="24" t="n"/>
      <c r="Q436" s="22" t="n"/>
      <c r="R436" s="24" t="n"/>
      <c r="S436" s="25">
        <f>IF(R436="","",IF(AND(LEFT(R436,4)&lt;&gt;"http",set_RMSBase=""),"",HYPERLINK(IF(LEFT(R436,4)="http",R436,set_RMSBase&amp;R436),"Open opportunity")))</f>
        <v/>
      </c>
      <c r="T436" s="24" t="n"/>
      <c r="U436" s="25">
        <f>IF(T436="","",HYPERLINK(IF(LEFT(T436,4)="http",T436,set_QwilrBase&amp;T436),"Open quote"))</f>
        <v/>
      </c>
      <c r="V436" s="25">
        <f>IF(C436="","",C436)</f>
        <v/>
      </c>
      <c r="W436" s="24" t="n"/>
      <c r="X436" s="26" t="n"/>
      <c r="Y436" s="27">
        <f>IF(C436="","",H436+N(X436))</f>
        <v/>
      </c>
      <c r="Z436" s="29">
        <f>IFERROR(X436/Y436,"")</f>
        <v/>
      </c>
      <c r="AA436" s="26" t="n"/>
      <c r="AB436" s="26" t="n"/>
      <c r="AC436" s="26" t="n"/>
      <c r="AD436" s="26" t="n"/>
      <c r="AE436" s="27">
        <f>IF(C436="","",SUMIFS(tbl_Finance[Ex GST],tbl_Finance[Job Number],C436&amp;"",tbl_Finance[Cost Centre],"VIDEO"))</f>
        <v/>
      </c>
      <c r="AF436" s="29">
        <f>IFERROR(AE436/H436,"")</f>
        <v/>
      </c>
      <c r="AG436" s="27">
        <f>IF(C436="","",N(AA436)+N(AB436)+N(AC436)+N(AD436))</f>
        <v/>
      </c>
      <c r="AH436" s="27">
        <f>IF(C436="","",H436-AG436)</f>
        <v/>
      </c>
      <c r="AI436" s="29">
        <f>IFERROR(AH436/H436,"")</f>
        <v/>
      </c>
      <c r="AJ436" s="64" t="n"/>
      <c r="AK436" s="64" t="n"/>
      <c r="AL436" s="64" t="n"/>
      <c r="AM436" s="64" t="n"/>
      <c r="AN436" s="64" t="n"/>
      <c r="AO436" s="24" t="n"/>
    </row>
    <row r="437" ht="15" customHeight="1">
      <c r="A437" s="63">
        <f>IF(C437="","",IFERROR(IF(SUMPRODUCT(MAX((tbl_Finance[Job Number]=C437&amp;"")*(tbl_Finance[Xero Invoice No]&lt;&gt;"")*tbl_Finance[Date]))=0,"",SUMPRODUCT(MAX((tbl_Finance[Job Number]=C437&amp;"")*(tbl_Finance[Xero Invoice No]&lt;&gt;"")*tbl_Finance[Date]))),""))</f>
        <v/>
      </c>
      <c r="B437" s="25">
        <f>IF(C437="","",IF(COUNTIFS(tbl_Finance[Job Number],C437&amp;"",tbl_Finance[Xero Invoice No],"&lt;&gt;")=0,"",IFERROR(IF(COUNTIFS(tbl_Finance[Job Number],C437&amp;"",tbl_Finance[Xero Invoice No],LOOKUP(2,1/((tbl_Finance[Job Number]=C437&amp;"")*(tbl_Finance[Xero Invoice No]&lt;&gt;"")),tbl_Finance[Xero Invoice No]))=COUNTIFS(tbl_Finance[Job Number],C437&amp;"",tbl_Finance[Xero Invoice No],"&lt;&gt;"),LOOKUP(2,1/((tbl_Finance[Job Number]=C437&amp;"")*(tbl_Finance[Xero Invoice No]&lt;&gt;"")),tbl_Finance[Xero Invoice No]),LOOKUP(2,1/((tbl_Finance[Job Number]=C437&amp;"")*(tbl_Finance[Xero Invoice No]&lt;&gt;"")),tbl_Finance[Xero Invoice No])&amp;" +more"),"")))</f>
        <v/>
      </c>
      <c r="C437" s="24" t="n"/>
      <c r="D437" s="25">
        <f>IF(C437="","",IF(COUNTIF(lst_Jobs,C437&amp;"")&gt;0,"OK","CHECK"))</f>
        <v/>
      </c>
      <c r="E437" s="25">
        <f>IF(C437="","",IFERROR(INDEX(lst_JobName,MATCH(C437&amp;"",lst_Jobs,0)),""))</f>
        <v/>
      </c>
      <c r="F437" s="25">
        <f>IF(C437="","",IFERROR(INDEX(tbl_Finance[Client],MATCH(C437&amp;"",tbl_Finance[Job Number],0)),""))</f>
        <v/>
      </c>
      <c r="G437" s="28">
        <f>IF(C437="","",COUNTIFS(tbl_Finance[Job Number],C437&amp;"",tbl_Finance[Ex GST],"&lt;&gt;"))</f>
        <v/>
      </c>
      <c r="H437" s="27">
        <f>IF(C437="","",SUMIFS(tbl_Finance[Ex GST],tbl_Finance[Job Number],C437&amp;""))</f>
        <v/>
      </c>
      <c r="I437" s="27">
        <f>IF(C437="","",SUMIFS(tbl_Finance[Ex GST],tbl_Finance[Job Number],C437&amp;"",tbl_Finance[Xero Invoice No],"&lt;&gt;"))</f>
        <v/>
      </c>
      <c r="J437" s="27">
        <f>IF(C437="","",H437-I437)</f>
        <v/>
      </c>
      <c r="K437" s="25">
        <f>IF(C437="","",IF(G437=0,"not invoiced yet",SUBSTITUTE(TRIM(IF(COUNTIFS(tbl_Finance[Job Number],C437&amp;"",tbl_Finance[Cost Centre],"ONSITE")&gt;0,"ONSITE ","")&amp;IF(COUNTIFS(tbl_Finance[Job Number],C437&amp;"",tbl_Finance[Cost Centre],"PRODUCTION")&gt;0,"PRODUCTION ","")&amp;IF(COUNTIFS(tbl_Finance[Job Number],C437&amp;"",tbl_Finance[Cost Centre],"VIDEO")&gt;0,"VIDEO ","")&amp;IF(COUNTIFS(tbl_Finance[Job Number],C437&amp;"",tbl_Finance[Cost Centre],"INTEGRATION")&gt;0,"INTEGRATION ","")&amp;IF(COUNTIFS(tbl_Finance[Job Number],C437&amp;"",tbl_Finance[Cost Centre],"CONSULTING")&gt;0,"CONSULTING ","")&amp;IF(COUNTIFS(tbl_Finance[Job Number],C437&amp;"",tbl_Finance[Cost Centre],"CTS")&gt;0,"CTS ",""))," ",", ")))</f>
        <v/>
      </c>
      <c r="L437" s="27">
        <f>IF(C437="","",SUMIFS(tbl_Finance[Inc GST],tbl_Finance[Job Number],C437&amp;""))</f>
        <v/>
      </c>
      <c r="M437" s="24" t="n"/>
      <c r="N437" s="25">
        <f>IF(C437="","",IFERROR(INDEX(tbl_Finance[Description],MATCH(C437&amp;"",tbl_Finance[Job Number],0)),""))</f>
        <v/>
      </c>
      <c r="O437" s="24" t="n"/>
      <c r="P437" s="24" t="n"/>
      <c r="Q437" s="22" t="n"/>
      <c r="R437" s="24" t="n"/>
      <c r="S437" s="25">
        <f>IF(R437="","",IF(AND(LEFT(R437,4)&lt;&gt;"http",set_RMSBase=""),"",HYPERLINK(IF(LEFT(R437,4)="http",R437,set_RMSBase&amp;R437),"Open opportunity")))</f>
        <v/>
      </c>
      <c r="T437" s="24" t="n"/>
      <c r="U437" s="25">
        <f>IF(T437="","",HYPERLINK(IF(LEFT(T437,4)="http",T437,set_QwilrBase&amp;T437),"Open quote"))</f>
        <v/>
      </c>
      <c r="V437" s="25">
        <f>IF(C437="","",C437)</f>
        <v/>
      </c>
      <c r="W437" s="24" t="n"/>
      <c r="X437" s="26" t="n"/>
      <c r="Y437" s="27">
        <f>IF(C437="","",H437+N(X437))</f>
        <v/>
      </c>
      <c r="Z437" s="29">
        <f>IFERROR(X437/Y437,"")</f>
        <v/>
      </c>
      <c r="AA437" s="26" t="n"/>
      <c r="AB437" s="26" t="n"/>
      <c r="AC437" s="26" t="n"/>
      <c r="AD437" s="26" t="n"/>
      <c r="AE437" s="27">
        <f>IF(C437="","",SUMIFS(tbl_Finance[Ex GST],tbl_Finance[Job Number],C437&amp;"",tbl_Finance[Cost Centre],"VIDEO"))</f>
        <v/>
      </c>
      <c r="AF437" s="29">
        <f>IFERROR(AE437/H437,"")</f>
        <v/>
      </c>
      <c r="AG437" s="27">
        <f>IF(C437="","",N(AA437)+N(AB437)+N(AC437)+N(AD437))</f>
        <v/>
      </c>
      <c r="AH437" s="27">
        <f>IF(C437="","",H437-AG437)</f>
        <v/>
      </c>
      <c r="AI437" s="29">
        <f>IFERROR(AH437/H437,"")</f>
        <v/>
      </c>
      <c r="AJ437" s="64" t="n"/>
      <c r="AK437" s="64" t="n"/>
      <c r="AL437" s="64" t="n"/>
      <c r="AM437" s="64" t="n"/>
      <c r="AN437" s="64" t="n"/>
      <c r="AO437" s="24" t="n"/>
    </row>
    <row r="438" ht="15" customHeight="1">
      <c r="A438" s="63">
        <f>IF(C438="","",IFERROR(IF(SUMPRODUCT(MAX((tbl_Finance[Job Number]=C438&amp;"")*(tbl_Finance[Xero Invoice No]&lt;&gt;"")*tbl_Finance[Date]))=0,"",SUMPRODUCT(MAX((tbl_Finance[Job Number]=C438&amp;"")*(tbl_Finance[Xero Invoice No]&lt;&gt;"")*tbl_Finance[Date]))),""))</f>
        <v/>
      </c>
      <c r="B438" s="25">
        <f>IF(C438="","",IF(COUNTIFS(tbl_Finance[Job Number],C438&amp;"",tbl_Finance[Xero Invoice No],"&lt;&gt;")=0,"",IFERROR(IF(COUNTIFS(tbl_Finance[Job Number],C438&amp;"",tbl_Finance[Xero Invoice No],LOOKUP(2,1/((tbl_Finance[Job Number]=C438&amp;"")*(tbl_Finance[Xero Invoice No]&lt;&gt;"")),tbl_Finance[Xero Invoice No]))=COUNTIFS(tbl_Finance[Job Number],C438&amp;"",tbl_Finance[Xero Invoice No],"&lt;&gt;"),LOOKUP(2,1/((tbl_Finance[Job Number]=C438&amp;"")*(tbl_Finance[Xero Invoice No]&lt;&gt;"")),tbl_Finance[Xero Invoice No]),LOOKUP(2,1/((tbl_Finance[Job Number]=C438&amp;"")*(tbl_Finance[Xero Invoice No]&lt;&gt;"")),tbl_Finance[Xero Invoice No])&amp;" +more"),"")))</f>
        <v/>
      </c>
      <c r="C438" s="24" t="n"/>
      <c r="D438" s="25">
        <f>IF(C438="","",IF(COUNTIF(lst_Jobs,C438&amp;"")&gt;0,"OK","CHECK"))</f>
        <v/>
      </c>
      <c r="E438" s="25">
        <f>IF(C438="","",IFERROR(INDEX(lst_JobName,MATCH(C438&amp;"",lst_Jobs,0)),""))</f>
        <v/>
      </c>
      <c r="F438" s="25">
        <f>IF(C438="","",IFERROR(INDEX(tbl_Finance[Client],MATCH(C438&amp;"",tbl_Finance[Job Number],0)),""))</f>
        <v/>
      </c>
      <c r="G438" s="28">
        <f>IF(C438="","",COUNTIFS(tbl_Finance[Job Number],C438&amp;"",tbl_Finance[Ex GST],"&lt;&gt;"))</f>
        <v/>
      </c>
      <c r="H438" s="27">
        <f>IF(C438="","",SUMIFS(tbl_Finance[Ex GST],tbl_Finance[Job Number],C438&amp;""))</f>
        <v/>
      </c>
      <c r="I438" s="27">
        <f>IF(C438="","",SUMIFS(tbl_Finance[Ex GST],tbl_Finance[Job Number],C438&amp;"",tbl_Finance[Xero Invoice No],"&lt;&gt;"))</f>
        <v/>
      </c>
      <c r="J438" s="27">
        <f>IF(C438="","",H438-I438)</f>
        <v/>
      </c>
      <c r="K438" s="25">
        <f>IF(C438="","",IF(G438=0,"not invoiced yet",SUBSTITUTE(TRIM(IF(COUNTIFS(tbl_Finance[Job Number],C438&amp;"",tbl_Finance[Cost Centre],"ONSITE")&gt;0,"ONSITE ","")&amp;IF(COUNTIFS(tbl_Finance[Job Number],C438&amp;"",tbl_Finance[Cost Centre],"PRODUCTION")&gt;0,"PRODUCTION ","")&amp;IF(COUNTIFS(tbl_Finance[Job Number],C438&amp;"",tbl_Finance[Cost Centre],"VIDEO")&gt;0,"VIDEO ","")&amp;IF(COUNTIFS(tbl_Finance[Job Number],C438&amp;"",tbl_Finance[Cost Centre],"INTEGRATION")&gt;0,"INTEGRATION ","")&amp;IF(COUNTIFS(tbl_Finance[Job Number],C438&amp;"",tbl_Finance[Cost Centre],"CONSULTING")&gt;0,"CONSULTING ","")&amp;IF(COUNTIFS(tbl_Finance[Job Number],C438&amp;"",tbl_Finance[Cost Centre],"CTS")&gt;0,"CTS ",""))," ",", ")))</f>
        <v/>
      </c>
      <c r="L438" s="27">
        <f>IF(C438="","",SUMIFS(tbl_Finance[Inc GST],tbl_Finance[Job Number],C438&amp;""))</f>
        <v/>
      </c>
      <c r="M438" s="24" t="n"/>
      <c r="N438" s="25">
        <f>IF(C438="","",IFERROR(INDEX(tbl_Finance[Description],MATCH(C438&amp;"",tbl_Finance[Job Number],0)),""))</f>
        <v/>
      </c>
      <c r="O438" s="24" t="n"/>
      <c r="P438" s="24" t="n"/>
      <c r="Q438" s="22" t="n"/>
      <c r="R438" s="24" t="n"/>
      <c r="S438" s="25">
        <f>IF(R438="","",IF(AND(LEFT(R438,4)&lt;&gt;"http",set_RMSBase=""),"",HYPERLINK(IF(LEFT(R438,4)="http",R438,set_RMSBase&amp;R438),"Open opportunity")))</f>
        <v/>
      </c>
      <c r="T438" s="24" t="n"/>
      <c r="U438" s="25">
        <f>IF(T438="","",HYPERLINK(IF(LEFT(T438,4)="http",T438,set_QwilrBase&amp;T438),"Open quote"))</f>
        <v/>
      </c>
      <c r="V438" s="25">
        <f>IF(C438="","",C438)</f>
        <v/>
      </c>
      <c r="W438" s="24" t="n"/>
      <c r="X438" s="26" t="n"/>
      <c r="Y438" s="27">
        <f>IF(C438="","",H438+N(X438))</f>
        <v/>
      </c>
      <c r="Z438" s="29">
        <f>IFERROR(X438/Y438,"")</f>
        <v/>
      </c>
      <c r="AA438" s="26" t="n"/>
      <c r="AB438" s="26" t="n"/>
      <c r="AC438" s="26" t="n"/>
      <c r="AD438" s="26" t="n"/>
      <c r="AE438" s="27">
        <f>IF(C438="","",SUMIFS(tbl_Finance[Ex GST],tbl_Finance[Job Number],C438&amp;"",tbl_Finance[Cost Centre],"VIDEO"))</f>
        <v/>
      </c>
      <c r="AF438" s="29">
        <f>IFERROR(AE438/H438,"")</f>
        <v/>
      </c>
      <c r="AG438" s="27">
        <f>IF(C438="","",N(AA438)+N(AB438)+N(AC438)+N(AD438))</f>
        <v/>
      </c>
      <c r="AH438" s="27">
        <f>IF(C438="","",H438-AG438)</f>
        <v/>
      </c>
      <c r="AI438" s="29">
        <f>IFERROR(AH438/H438,"")</f>
        <v/>
      </c>
      <c r="AJ438" s="64" t="n"/>
      <c r="AK438" s="64" t="n"/>
      <c r="AL438" s="64" t="n"/>
      <c r="AM438" s="64" t="n"/>
      <c r="AN438" s="64" t="n"/>
      <c r="AO438" s="24" t="n"/>
    </row>
    <row r="439" ht="15" customHeight="1">
      <c r="A439" s="63">
        <f>IF(C439="","",IFERROR(IF(SUMPRODUCT(MAX((tbl_Finance[Job Number]=C439&amp;"")*(tbl_Finance[Xero Invoice No]&lt;&gt;"")*tbl_Finance[Date]))=0,"",SUMPRODUCT(MAX((tbl_Finance[Job Number]=C439&amp;"")*(tbl_Finance[Xero Invoice No]&lt;&gt;"")*tbl_Finance[Date]))),""))</f>
        <v/>
      </c>
      <c r="B439" s="25">
        <f>IF(C439="","",IF(COUNTIFS(tbl_Finance[Job Number],C439&amp;"",tbl_Finance[Xero Invoice No],"&lt;&gt;")=0,"",IFERROR(IF(COUNTIFS(tbl_Finance[Job Number],C439&amp;"",tbl_Finance[Xero Invoice No],LOOKUP(2,1/((tbl_Finance[Job Number]=C439&amp;"")*(tbl_Finance[Xero Invoice No]&lt;&gt;"")),tbl_Finance[Xero Invoice No]))=COUNTIFS(tbl_Finance[Job Number],C439&amp;"",tbl_Finance[Xero Invoice No],"&lt;&gt;"),LOOKUP(2,1/((tbl_Finance[Job Number]=C439&amp;"")*(tbl_Finance[Xero Invoice No]&lt;&gt;"")),tbl_Finance[Xero Invoice No]),LOOKUP(2,1/((tbl_Finance[Job Number]=C439&amp;"")*(tbl_Finance[Xero Invoice No]&lt;&gt;"")),tbl_Finance[Xero Invoice No])&amp;" +more"),"")))</f>
        <v/>
      </c>
      <c r="C439" s="24" t="n"/>
      <c r="D439" s="25">
        <f>IF(C439="","",IF(COUNTIF(lst_Jobs,C439&amp;"")&gt;0,"OK","CHECK"))</f>
        <v/>
      </c>
      <c r="E439" s="25">
        <f>IF(C439="","",IFERROR(INDEX(lst_JobName,MATCH(C439&amp;"",lst_Jobs,0)),""))</f>
        <v/>
      </c>
      <c r="F439" s="25">
        <f>IF(C439="","",IFERROR(INDEX(tbl_Finance[Client],MATCH(C439&amp;"",tbl_Finance[Job Number],0)),""))</f>
        <v/>
      </c>
      <c r="G439" s="28">
        <f>IF(C439="","",COUNTIFS(tbl_Finance[Job Number],C439&amp;"",tbl_Finance[Ex GST],"&lt;&gt;"))</f>
        <v/>
      </c>
      <c r="H439" s="27">
        <f>IF(C439="","",SUMIFS(tbl_Finance[Ex GST],tbl_Finance[Job Number],C439&amp;""))</f>
        <v/>
      </c>
      <c r="I439" s="27">
        <f>IF(C439="","",SUMIFS(tbl_Finance[Ex GST],tbl_Finance[Job Number],C439&amp;"",tbl_Finance[Xero Invoice No],"&lt;&gt;"))</f>
        <v/>
      </c>
      <c r="J439" s="27">
        <f>IF(C439="","",H439-I439)</f>
        <v/>
      </c>
      <c r="K439" s="25">
        <f>IF(C439="","",IF(G439=0,"not invoiced yet",SUBSTITUTE(TRIM(IF(COUNTIFS(tbl_Finance[Job Number],C439&amp;"",tbl_Finance[Cost Centre],"ONSITE")&gt;0,"ONSITE ","")&amp;IF(COUNTIFS(tbl_Finance[Job Number],C439&amp;"",tbl_Finance[Cost Centre],"PRODUCTION")&gt;0,"PRODUCTION ","")&amp;IF(COUNTIFS(tbl_Finance[Job Number],C439&amp;"",tbl_Finance[Cost Centre],"VIDEO")&gt;0,"VIDEO ","")&amp;IF(COUNTIFS(tbl_Finance[Job Number],C439&amp;"",tbl_Finance[Cost Centre],"INTEGRATION")&gt;0,"INTEGRATION ","")&amp;IF(COUNTIFS(tbl_Finance[Job Number],C439&amp;"",tbl_Finance[Cost Centre],"CONSULTING")&gt;0,"CONSULTING ","")&amp;IF(COUNTIFS(tbl_Finance[Job Number],C439&amp;"",tbl_Finance[Cost Centre],"CTS")&gt;0,"CTS ",""))," ",", ")))</f>
        <v/>
      </c>
      <c r="L439" s="27">
        <f>IF(C439="","",SUMIFS(tbl_Finance[Inc GST],tbl_Finance[Job Number],C439&amp;""))</f>
        <v/>
      </c>
      <c r="M439" s="24" t="n"/>
      <c r="N439" s="25">
        <f>IF(C439="","",IFERROR(INDEX(tbl_Finance[Description],MATCH(C439&amp;"",tbl_Finance[Job Number],0)),""))</f>
        <v/>
      </c>
      <c r="O439" s="24" t="n"/>
      <c r="P439" s="24" t="n"/>
      <c r="Q439" s="22" t="n"/>
      <c r="R439" s="24" t="n"/>
      <c r="S439" s="25">
        <f>IF(R439="","",IF(AND(LEFT(R439,4)&lt;&gt;"http",set_RMSBase=""),"",HYPERLINK(IF(LEFT(R439,4)="http",R439,set_RMSBase&amp;R439),"Open opportunity")))</f>
        <v/>
      </c>
      <c r="T439" s="24" t="n"/>
      <c r="U439" s="25">
        <f>IF(T439="","",HYPERLINK(IF(LEFT(T439,4)="http",T439,set_QwilrBase&amp;T439),"Open quote"))</f>
        <v/>
      </c>
      <c r="V439" s="25">
        <f>IF(C439="","",C439)</f>
        <v/>
      </c>
      <c r="W439" s="24" t="n"/>
      <c r="X439" s="26" t="n"/>
      <c r="Y439" s="27">
        <f>IF(C439="","",H439+N(X439))</f>
        <v/>
      </c>
      <c r="Z439" s="29">
        <f>IFERROR(X439/Y439,"")</f>
        <v/>
      </c>
      <c r="AA439" s="26" t="n"/>
      <c r="AB439" s="26" t="n"/>
      <c r="AC439" s="26" t="n"/>
      <c r="AD439" s="26" t="n"/>
      <c r="AE439" s="27">
        <f>IF(C439="","",SUMIFS(tbl_Finance[Ex GST],tbl_Finance[Job Number],C439&amp;"",tbl_Finance[Cost Centre],"VIDEO"))</f>
        <v/>
      </c>
      <c r="AF439" s="29">
        <f>IFERROR(AE439/H439,"")</f>
        <v/>
      </c>
      <c r="AG439" s="27">
        <f>IF(C439="","",N(AA439)+N(AB439)+N(AC439)+N(AD439))</f>
        <v/>
      </c>
      <c r="AH439" s="27">
        <f>IF(C439="","",H439-AG439)</f>
        <v/>
      </c>
      <c r="AI439" s="29">
        <f>IFERROR(AH439/H439,"")</f>
        <v/>
      </c>
      <c r="AJ439" s="64" t="n"/>
      <c r="AK439" s="64" t="n"/>
      <c r="AL439" s="64" t="n"/>
      <c r="AM439" s="64" t="n"/>
      <c r="AN439" s="64" t="n"/>
      <c r="AO439" s="24" t="n"/>
    </row>
    <row r="440" ht="15" customHeight="1">
      <c r="A440" s="63">
        <f>IF(C440="","",IFERROR(IF(SUMPRODUCT(MAX((tbl_Finance[Job Number]=C440&amp;"")*(tbl_Finance[Xero Invoice No]&lt;&gt;"")*tbl_Finance[Date]))=0,"",SUMPRODUCT(MAX((tbl_Finance[Job Number]=C440&amp;"")*(tbl_Finance[Xero Invoice No]&lt;&gt;"")*tbl_Finance[Date]))),""))</f>
        <v/>
      </c>
      <c r="B440" s="25">
        <f>IF(C440="","",IF(COUNTIFS(tbl_Finance[Job Number],C440&amp;"",tbl_Finance[Xero Invoice No],"&lt;&gt;")=0,"",IFERROR(IF(COUNTIFS(tbl_Finance[Job Number],C440&amp;"",tbl_Finance[Xero Invoice No],LOOKUP(2,1/((tbl_Finance[Job Number]=C440&amp;"")*(tbl_Finance[Xero Invoice No]&lt;&gt;"")),tbl_Finance[Xero Invoice No]))=COUNTIFS(tbl_Finance[Job Number],C440&amp;"",tbl_Finance[Xero Invoice No],"&lt;&gt;"),LOOKUP(2,1/((tbl_Finance[Job Number]=C440&amp;"")*(tbl_Finance[Xero Invoice No]&lt;&gt;"")),tbl_Finance[Xero Invoice No]),LOOKUP(2,1/((tbl_Finance[Job Number]=C440&amp;"")*(tbl_Finance[Xero Invoice No]&lt;&gt;"")),tbl_Finance[Xero Invoice No])&amp;" +more"),"")))</f>
        <v/>
      </c>
      <c r="C440" s="24" t="n"/>
      <c r="D440" s="25">
        <f>IF(C440="","",IF(COUNTIF(lst_Jobs,C440&amp;"")&gt;0,"OK","CHECK"))</f>
        <v/>
      </c>
      <c r="E440" s="25">
        <f>IF(C440="","",IFERROR(INDEX(lst_JobName,MATCH(C440&amp;"",lst_Jobs,0)),""))</f>
        <v/>
      </c>
      <c r="F440" s="25">
        <f>IF(C440="","",IFERROR(INDEX(tbl_Finance[Client],MATCH(C440&amp;"",tbl_Finance[Job Number],0)),""))</f>
        <v/>
      </c>
      <c r="G440" s="28">
        <f>IF(C440="","",COUNTIFS(tbl_Finance[Job Number],C440&amp;"",tbl_Finance[Ex GST],"&lt;&gt;"))</f>
        <v/>
      </c>
      <c r="H440" s="27">
        <f>IF(C440="","",SUMIFS(tbl_Finance[Ex GST],tbl_Finance[Job Number],C440&amp;""))</f>
        <v/>
      </c>
      <c r="I440" s="27">
        <f>IF(C440="","",SUMIFS(tbl_Finance[Ex GST],tbl_Finance[Job Number],C440&amp;"",tbl_Finance[Xero Invoice No],"&lt;&gt;"))</f>
        <v/>
      </c>
      <c r="J440" s="27">
        <f>IF(C440="","",H440-I440)</f>
        <v/>
      </c>
      <c r="K440" s="25">
        <f>IF(C440="","",IF(G440=0,"not invoiced yet",SUBSTITUTE(TRIM(IF(COUNTIFS(tbl_Finance[Job Number],C440&amp;"",tbl_Finance[Cost Centre],"ONSITE")&gt;0,"ONSITE ","")&amp;IF(COUNTIFS(tbl_Finance[Job Number],C440&amp;"",tbl_Finance[Cost Centre],"PRODUCTION")&gt;0,"PRODUCTION ","")&amp;IF(COUNTIFS(tbl_Finance[Job Number],C440&amp;"",tbl_Finance[Cost Centre],"VIDEO")&gt;0,"VIDEO ","")&amp;IF(COUNTIFS(tbl_Finance[Job Number],C440&amp;"",tbl_Finance[Cost Centre],"INTEGRATION")&gt;0,"INTEGRATION ","")&amp;IF(COUNTIFS(tbl_Finance[Job Number],C440&amp;"",tbl_Finance[Cost Centre],"CONSULTING")&gt;0,"CONSULTING ","")&amp;IF(COUNTIFS(tbl_Finance[Job Number],C440&amp;"",tbl_Finance[Cost Centre],"CTS")&gt;0,"CTS ",""))," ",", ")))</f>
        <v/>
      </c>
      <c r="L440" s="27">
        <f>IF(C440="","",SUMIFS(tbl_Finance[Inc GST],tbl_Finance[Job Number],C440&amp;""))</f>
        <v/>
      </c>
      <c r="M440" s="24" t="n"/>
      <c r="N440" s="25">
        <f>IF(C440="","",IFERROR(INDEX(tbl_Finance[Description],MATCH(C440&amp;"",tbl_Finance[Job Number],0)),""))</f>
        <v/>
      </c>
      <c r="O440" s="24" t="n"/>
      <c r="P440" s="24" t="n"/>
      <c r="Q440" s="22" t="n"/>
      <c r="R440" s="24" t="n"/>
      <c r="S440" s="25">
        <f>IF(R440="","",IF(AND(LEFT(R440,4)&lt;&gt;"http",set_RMSBase=""),"",HYPERLINK(IF(LEFT(R440,4)="http",R440,set_RMSBase&amp;R440),"Open opportunity")))</f>
        <v/>
      </c>
      <c r="T440" s="24" t="n"/>
      <c r="U440" s="25">
        <f>IF(T440="","",HYPERLINK(IF(LEFT(T440,4)="http",T440,set_QwilrBase&amp;T440),"Open quote"))</f>
        <v/>
      </c>
      <c r="V440" s="25">
        <f>IF(C440="","",C440)</f>
        <v/>
      </c>
      <c r="W440" s="24" t="n"/>
      <c r="X440" s="26" t="n"/>
      <c r="Y440" s="27">
        <f>IF(C440="","",H440+N(X440))</f>
        <v/>
      </c>
      <c r="Z440" s="29">
        <f>IFERROR(X440/Y440,"")</f>
        <v/>
      </c>
      <c r="AA440" s="26" t="n"/>
      <c r="AB440" s="26" t="n"/>
      <c r="AC440" s="26" t="n"/>
      <c r="AD440" s="26" t="n"/>
      <c r="AE440" s="27">
        <f>IF(C440="","",SUMIFS(tbl_Finance[Ex GST],tbl_Finance[Job Number],C440&amp;"",tbl_Finance[Cost Centre],"VIDEO"))</f>
        <v/>
      </c>
      <c r="AF440" s="29">
        <f>IFERROR(AE440/H440,"")</f>
        <v/>
      </c>
      <c r="AG440" s="27">
        <f>IF(C440="","",N(AA440)+N(AB440)+N(AC440)+N(AD440))</f>
        <v/>
      </c>
      <c r="AH440" s="27">
        <f>IF(C440="","",H440-AG440)</f>
        <v/>
      </c>
      <c r="AI440" s="29">
        <f>IFERROR(AH440/H440,"")</f>
        <v/>
      </c>
      <c r="AJ440" s="64" t="n"/>
      <c r="AK440" s="64" t="n"/>
      <c r="AL440" s="64" t="n"/>
      <c r="AM440" s="64" t="n"/>
      <c r="AN440" s="64" t="n"/>
      <c r="AO440" s="24" t="n"/>
    </row>
    <row r="441" ht="15" customHeight="1">
      <c r="A441" s="63">
        <f>IF(C441="","",IFERROR(IF(SUMPRODUCT(MAX((tbl_Finance[Job Number]=C441&amp;"")*(tbl_Finance[Xero Invoice No]&lt;&gt;"")*tbl_Finance[Date]))=0,"",SUMPRODUCT(MAX((tbl_Finance[Job Number]=C441&amp;"")*(tbl_Finance[Xero Invoice No]&lt;&gt;"")*tbl_Finance[Date]))),""))</f>
        <v/>
      </c>
      <c r="B441" s="25">
        <f>IF(C441="","",IF(COUNTIFS(tbl_Finance[Job Number],C441&amp;"",tbl_Finance[Xero Invoice No],"&lt;&gt;")=0,"",IFERROR(IF(COUNTIFS(tbl_Finance[Job Number],C441&amp;"",tbl_Finance[Xero Invoice No],LOOKUP(2,1/((tbl_Finance[Job Number]=C441&amp;"")*(tbl_Finance[Xero Invoice No]&lt;&gt;"")),tbl_Finance[Xero Invoice No]))=COUNTIFS(tbl_Finance[Job Number],C441&amp;"",tbl_Finance[Xero Invoice No],"&lt;&gt;"),LOOKUP(2,1/((tbl_Finance[Job Number]=C441&amp;"")*(tbl_Finance[Xero Invoice No]&lt;&gt;"")),tbl_Finance[Xero Invoice No]),LOOKUP(2,1/((tbl_Finance[Job Number]=C441&amp;"")*(tbl_Finance[Xero Invoice No]&lt;&gt;"")),tbl_Finance[Xero Invoice No])&amp;" +more"),"")))</f>
        <v/>
      </c>
      <c r="C441" s="24" t="n"/>
      <c r="D441" s="25">
        <f>IF(C441="","",IF(COUNTIF(lst_Jobs,C441&amp;"")&gt;0,"OK","CHECK"))</f>
        <v/>
      </c>
      <c r="E441" s="25">
        <f>IF(C441="","",IFERROR(INDEX(lst_JobName,MATCH(C441&amp;"",lst_Jobs,0)),""))</f>
        <v/>
      </c>
      <c r="F441" s="25">
        <f>IF(C441="","",IFERROR(INDEX(tbl_Finance[Client],MATCH(C441&amp;"",tbl_Finance[Job Number],0)),""))</f>
        <v/>
      </c>
      <c r="G441" s="28">
        <f>IF(C441="","",COUNTIFS(tbl_Finance[Job Number],C441&amp;"",tbl_Finance[Ex GST],"&lt;&gt;"))</f>
        <v/>
      </c>
      <c r="H441" s="27">
        <f>IF(C441="","",SUMIFS(tbl_Finance[Ex GST],tbl_Finance[Job Number],C441&amp;""))</f>
        <v/>
      </c>
      <c r="I441" s="27">
        <f>IF(C441="","",SUMIFS(tbl_Finance[Ex GST],tbl_Finance[Job Number],C441&amp;"",tbl_Finance[Xero Invoice No],"&lt;&gt;"))</f>
        <v/>
      </c>
      <c r="J441" s="27">
        <f>IF(C441="","",H441-I441)</f>
        <v/>
      </c>
      <c r="K441" s="25">
        <f>IF(C441="","",IF(G441=0,"not invoiced yet",SUBSTITUTE(TRIM(IF(COUNTIFS(tbl_Finance[Job Number],C441&amp;"",tbl_Finance[Cost Centre],"ONSITE")&gt;0,"ONSITE ","")&amp;IF(COUNTIFS(tbl_Finance[Job Number],C441&amp;"",tbl_Finance[Cost Centre],"PRODUCTION")&gt;0,"PRODUCTION ","")&amp;IF(COUNTIFS(tbl_Finance[Job Number],C441&amp;"",tbl_Finance[Cost Centre],"VIDEO")&gt;0,"VIDEO ","")&amp;IF(COUNTIFS(tbl_Finance[Job Number],C441&amp;"",tbl_Finance[Cost Centre],"INTEGRATION")&gt;0,"INTEGRATION ","")&amp;IF(COUNTIFS(tbl_Finance[Job Number],C441&amp;"",tbl_Finance[Cost Centre],"CONSULTING")&gt;0,"CONSULTING ","")&amp;IF(COUNTIFS(tbl_Finance[Job Number],C441&amp;"",tbl_Finance[Cost Centre],"CTS")&gt;0,"CTS ",""))," ",", ")))</f>
        <v/>
      </c>
      <c r="L441" s="27">
        <f>IF(C441="","",SUMIFS(tbl_Finance[Inc GST],tbl_Finance[Job Number],C441&amp;""))</f>
        <v/>
      </c>
      <c r="M441" s="24" t="n"/>
      <c r="N441" s="25">
        <f>IF(C441="","",IFERROR(INDEX(tbl_Finance[Description],MATCH(C441&amp;"",tbl_Finance[Job Number],0)),""))</f>
        <v/>
      </c>
      <c r="O441" s="24" t="n"/>
      <c r="P441" s="24" t="n"/>
      <c r="Q441" s="22" t="n"/>
      <c r="R441" s="24" t="n"/>
      <c r="S441" s="25">
        <f>IF(R441="","",IF(AND(LEFT(R441,4)&lt;&gt;"http",set_RMSBase=""),"",HYPERLINK(IF(LEFT(R441,4)="http",R441,set_RMSBase&amp;R441),"Open opportunity")))</f>
        <v/>
      </c>
      <c r="T441" s="24" t="n"/>
      <c r="U441" s="25">
        <f>IF(T441="","",HYPERLINK(IF(LEFT(T441,4)="http",T441,set_QwilrBase&amp;T441),"Open quote"))</f>
        <v/>
      </c>
      <c r="V441" s="25">
        <f>IF(C441="","",C441)</f>
        <v/>
      </c>
      <c r="W441" s="24" t="n"/>
      <c r="X441" s="26" t="n"/>
      <c r="Y441" s="27">
        <f>IF(C441="","",H441+N(X441))</f>
        <v/>
      </c>
      <c r="Z441" s="29">
        <f>IFERROR(X441/Y441,"")</f>
        <v/>
      </c>
      <c r="AA441" s="26" t="n"/>
      <c r="AB441" s="26" t="n"/>
      <c r="AC441" s="26" t="n"/>
      <c r="AD441" s="26" t="n"/>
      <c r="AE441" s="27">
        <f>IF(C441="","",SUMIFS(tbl_Finance[Ex GST],tbl_Finance[Job Number],C441&amp;"",tbl_Finance[Cost Centre],"VIDEO"))</f>
        <v/>
      </c>
      <c r="AF441" s="29">
        <f>IFERROR(AE441/H441,"")</f>
        <v/>
      </c>
      <c r="AG441" s="27">
        <f>IF(C441="","",N(AA441)+N(AB441)+N(AC441)+N(AD441))</f>
        <v/>
      </c>
      <c r="AH441" s="27">
        <f>IF(C441="","",H441-AG441)</f>
        <v/>
      </c>
      <c r="AI441" s="29">
        <f>IFERROR(AH441/H441,"")</f>
        <v/>
      </c>
      <c r="AJ441" s="64" t="n"/>
      <c r="AK441" s="64" t="n"/>
      <c r="AL441" s="64" t="n"/>
      <c r="AM441" s="64" t="n"/>
      <c r="AN441" s="64" t="n"/>
      <c r="AO441" s="24" t="n"/>
    </row>
    <row r="442" ht="15" customHeight="1">
      <c r="A442" s="63">
        <f>IF(C442="","",IFERROR(IF(SUMPRODUCT(MAX((tbl_Finance[Job Number]=C442&amp;"")*(tbl_Finance[Xero Invoice No]&lt;&gt;"")*tbl_Finance[Date]))=0,"",SUMPRODUCT(MAX((tbl_Finance[Job Number]=C442&amp;"")*(tbl_Finance[Xero Invoice No]&lt;&gt;"")*tbl_Finance[Date]))),""))</f>
        <v/>
      </c>
      <c r="B442" s="25">
        <f>IF(C442="","",IF(COUNTIFS(tbl_Finance[Job Number],C442&amp;"",tbl_Finance[Xero Invoice No],"&lt;&gt;")=0,"",IFERROR(IF(COUNTIFS(tbl_Finance[Job Number],C442&amp;"",tbl_Finance[Xero Invoice No],LOOKUP(2,1/((tbl_Finance[Job Number]=C442&amp;"")*(tbl_Finance[Xero Invoice No]&lt;&gt;"")),tbl_Finance[Xero Invoice No]))=COUNTIFS(tbl_Finance[Job Number],C442&amp;"",tbl_Finance[Xero Invoice No],"&lt;&gt;"),LOOKUP(2,1/((tbl_Finance[Job Number]=C442&amp;"")*(tbl_Finance[Xero Invoice No]&lt;&gt;"")),tbl_Finance[Xero Invoice No]),LOOKUP(2,1/((tbl_Finance[Job Number]=C442&amp;"")*(tbl_Finance[Xero Invoice No]&lt;&gt;"")),tbl_Finance[Xero Invoice No])&amp;" +more"),"")))</f>
        <v/>
      </c>
      <c r="C442" s="24" t="n"/>
      <c r="D442" s="25">
        <f>IF(C442="","",IF(COUNTIF(lst_Jobs,C442&amp;"")&gt;0,"OK","CHECK"))</f>
        <v/>
      </c>
      <c r="E442" s="25">
        <f>IF(C442="","",IFERROR(INDEX(lst_JobName,MATCH(C442&amp;"",lst_Jobs,0)),""))</f>
        <v/>
      </c>
      <c r="F442" s="25">
        <f>IF(C442="","",IFERROR(INDEX(tbl_Finance[Client],MATCH(C442&amp;"",tbl_Finance[Job Number],0)),""))</f>
        <v/>
      </c>
      <c r="G442" s="28">
        <f>IF(C442="","",COUNTIFS(tbl_Finance[Job Number],C442&amp;"",tbl_Finance[Ex GST],"&lt;&gt;"))</f>
        <v/>
      </c>
      <c r="H442" s="27">
        <f>IF(C442="","",SUMIFS(tbl_Finance[Ex GST],tbl_Finance[Job Number],C442&amp;""))</f>
        <v/>
      </c>
      <c r="I442" s="27">
        <f>IF(C442="","",SUMIFS(tbl_Finance[Ex GST],tbl_Finance[Job Number],C442&amp;"",tbl_Finance[Xero Invoice No],"&lt;&gt;"))</f>
        <v/>
      </c>
      <c r="J442" s="27">
        <f>IF(C442="","",H442-I442)</f>
        <v/>
      </c>
      <c r="K442" s="25">
        <f>IF(C442="","",IF(G442=0,"not invoiced yet",SUBSTITUTE(TRIM(IF(COUNTIFS(tbl_Finance[Job Number],C442&amp;"",tbl_Finance[Cost Centre],"ONSITE")&gt;0,"ONSITE ","")&amp;IF(COUNTIFS(tbl_Finance[Job Number],C442&amp;"",tbl_Finance[Cost Centre],"PRODUCTION")&gt;0,"PRODUCTION ","")&amp;IF(COUNTIFS(tbl_Finance[Job Number],C442&amp;"",tbl_Finance[Cost Centre],"VIDEO")&gt;0,"VIDEO ","")&amp;IF(COUNTIFS(tbl_Finance[Job Number],C442&amp;"",tbl_Finance[Cost Centre],"INTEGRATION")&gt;0,"INTEGRATION ","")&amp;IF(COUNTIFS(tbl_Finance[Job Number],C442&amp;"",tbl_Finance[Cost Centre],"CONSULTING")&gt;0,"CONSULTING ","")&amp;IF(COUNTIFS(tbl_Finance[Job Number],C442&amp;"",tbl_Finance[Cost Centre],"CTS")&gt;0,"CTS ",""))," ",", ")))</f>
        <v/>
      </c>
      <c r="L442" s="27">
        <f>IF(C442="","",SUMIFS(tbl_Finance[Inc GST],tbl_Finance[Job Number],C442&amp;""))</f>
        <v/>
      </c>
      <c r="M442" s="24" t="n"/>
      <c r="N442" s="25">
        <f>IF(C442="","",IFERROR(INDEX(tbl_Finance[Description],MATCH(C442&amp;"",tbl_Finance[Job Number],0)),""))</f>
        <v/>
      </c>
      <c r="O442" s="24" t="n"/>
      <c r="P442" s="24" t="n"/>
      <c r="Q442" s="22" t="n"/>
      <c r="R442" s="24" t="n"/>
      <c r="S442" s="25">
        <f>IF(R442="","",IF(AND(LEFT(R442,4)&lt;&gt;"http",set_RMSBase=""),"",HYPERLINK(IF(LEFT(R442,4)="http",R442,set_RMSBase&amp;R442),"Open opportunity")))</f>
        <v/>
      </c>
      <c r="T442" s="24" t="n"/>
      <c r="U442" s="25">
        <f>IF(T442="","",HYPERLINK(IF(LEFT(T442,4)="http",T442,set_QwilrBase&amp;T442),"Open quote"))</f>
        <v/>
      </c>
      <c r="V442" s="25">
        <f>IF(C442="","",C442)</f>
        <v/>
      </c>
      <c r="W442" s="24" t="n"/>
      <c r="X442" s="26" t="n"/>
      <c r="Y442" s="27">
        <f>IF(C442="","",H442+N(X442))</f>
        <v/>
      </c>
      <c r="Z442" s="29">
        <f>IFERROR(X442/Y442,"")</f>
        <v/>
      </c>
      <c r="AA442" s="26" t="n"/>
      <c r="AB442" s="26" t="n"/>
      <c r="AC442" s="26" t="n"/>
      <c r="AD442" s="26" t="n"/>
      <c r="AE442" s="27">
        <f>IF(C442="","",SUMIFS(tbl_Finance[Ex GST],tbl_Finance[Job Number],C442&amp;"",tbl_Finance[Cost Centre],"VIDEO"))</f>
        <v/>
      </c>
      <c r="AF442" s="29">
        <f>IFERROR(AE442/H442,"")</f>
        <v/>
      </c>
      <c r="AG442" s="27">
        <f>IF(C442="","",N(AA442)+N(AB442)+N(AC442)+N(AD442))</f>
        <v/>
      </c>
      <c r="AH442" s="27">
        <f>IF(C442="","",H442-AG442)</f>
        <v/>
      </c>
      <c r="AI442" s="29">
        <f>IFERROR(AH442/H442,"")</f>
        <v/>
      </c>
      <c r="AJ442" s="64" t="n"/>
      <c r="AK442" s="64" t="n"/>
      <c r="AL442" s="64" t="n"/>
      <c r="AM442" s="64" t="n"/>
      <c r="AN442" s="64" t="n"/>
      <c r="AO442" s="24" t="n"/>
    </row>
    <row r="443" ht="15" customHeight="1">
      <c r="A443" s="63">
        <f>IF(C443="","",IFERROR(IF(SUMPRODUCT(MAX((tbl_Finance[Job Number]=C443&amp;"")*(tbl_Finance[Xero Invoice No]&lt;&gt;"")*tbl_Finance[Date]))=0,"",SUMPRODUCT(MAX((tbl_Finance[Job Number]=C443&amp;"")*(tbl_Finance[Xero Invoice No]&lt;&gt;"")*tbl_Finance[Date]))),""))</f>
        <v/>
      </c>
      <c r="B443" s="25">
        <f>IF(C443="","",IF(COUNTIFS(tbl_Finance[Job Number],C443&amp;"",tbl_Finance[Xero Invoice No],"&lt;&gt;")=0,"",IFERROR(IF(COUNTIFS(tbl_Finance[Job Number],C443&amp;"",tbl_Finance[Xero Invoice No],LOOKUP(2,1/((tbl_Finance[Job Number]=C443&amp;"")*(tbl_Finance[Xero Invoice No]&lt;&gt;"")),tbl_Finance[Xero Invoice No]))=COUNTIFS(tbl_Finance[Job Number],C443&amp;"",tbl_Finance[Xero Invoice No],"&lt;&gt;"),LOOKUP(2,1/((tbl_Finance[Job Number]=C443&amp;"")*(tbl_Finance[Xero Invoice No]&lt;&gt;"")),tbl_Finance[Xero Invoice No]),LOOKUP(2,1/((tbl_Finance[Job Number]=C443&amp;"")*(tbl_Finance[Xero Invoice No]&lt;&gt;"")),tbl_Finance[Xero Invoice No])&amp;" +more"),"")))</f>
        <v/>
      </c>
      <c r="C443" s="24" t="n"/>
      <c r="D443" s="25">
        <f>IF(C443="","",IF(COUNTIF(lst_Jobs,C443&amp;"")&gt;0,"OK","CHECK"))</f>
        <v/>
      </c>
      <c r="E443" s="25">
        <f>IF(C443="","",IFERROR(INDEX(lst_JobName,MATCH(C443&amp;"",lst_Jobs,0)),""))</f>
        <v/>
      </c>
      <c r="F443" s="25">
        <f>IF(C443="","",IFERROR(INDEX(tbl_Finance[Client],MATCH(C443&amp;"",tbl_Finance[Job Number],0)),""))</f>
        <v/>
      </c>
      <c r="G443" s="28">
        <f>IF(C443="","",COUNTIFS(tbl_Finance[Job Number],C443&amp;"",tbl_Finance[Ex GST],"&lt;&gt;"))</f>
        <v/>
      </c>
      <c r="H443" s="27">
        <f>IF(C443="","",SUMIFS(tbl_Finance[Ex GST],tbl_Finance[Job Number],C443&amp;""))</f>
        <v/>
      </c>
      <c r="I443" s="27">
        <f>IF(C443="","",SUMIFS(tbl_Finance[Ex GST],tbl_Finance[Job Number],C443&amp;"",tbl_Finance[Xero Invoice No],"&lt;&gt;"))</f>
        <v/>
      </c>
      <c r="J443" s="27">
        <f>IF(C443="","",H443-I443)</f>
        <v/>
      </c>
      <c r="K443" s="25">
        <f>IF(C443="","",IF(G443=0,"not invoiced yet",SUBSTITUTE(TRIM(IF(COUNTIFS(tbl_Finance[Job Number],C443&amp;"",tbl_Finance[Cost Centre],"ONSITE")&gt;0,"ONSITE ","")&amp;IF(COUNTIFS(tbl_Finance[Job Number],C443&amp;"",tbl_Finance[Cost Centre],"PRODUCTION")&gt;0,"PRODUCTION ","")&amp;IF(COUNTIFS(tbl_Finance[Job Number],C443&amp;"",tbl_Finance[Cost Centre],"VIDEO")&gt;0,"VIDEO ","")&amp;IF(COUNTIFS(tbl_Finance[Job Number],C443&amp;"",tbl_Finance[Cost Centre],"INTEGRATION")&gt;0,"INTEGRATION ","")&amp;IF(COUNTIFS(tbl_Finance[Job Number],C443&amp;"",tbl_Finance[Cost Centre],"CONSULTING")&gt;0,"CONSULTING ","")&amp;IF(COUNTIFS(tbl_Finance[Job Number],C443&amp;"",tbl_Finance[Cost Centre],"CTS")&gt;0,"CTS ",""))," ",", ")))</f>
        <v/>
      </c>
      <c r="L443" s="27">
        <f>IF(C443="","",SUMIFS(tbl_Finance[Inc GST],tbl_Finance[Job Number],C443&amp;""))</f>
        <v/>
      </c>
      <c r="M443" s="24" t="n"/>
      <c r="N443" s="25">
        <f>IF(C443="","",IFERROR(INDEX(tbl_Finance[Description],MATCH(C443&amp;"",tbl_Finance[Job Number],0)),""))</f>
        <v/>
      </c>
      <c r="O443" s="24" t="n"/>
      <c r="P443" s="24" t="n"/>
      <c r="Q443" s="22" t="n"/>
      <c r="R443" s="24" t="n"/>
      <c r="S443" s="25">
        <f>IF(R443="","",IF(AND(LEFT(R443,4)&lt;&gt;"http",set_RMSBase=""),"",HYPERLINK(IF(LEFT(R443,4)="http",R443,set_RMSBase&amp;R443),"Open opportunity")))</f>
        <v/>
      </c>
      <c r="T443" s="24" t="n"/>
      <c r="U443" s="25">
        <f>IF(T443="","",HYPERLINK(IF(LEFT(T443,4)="http",T443,set_QwilrBase&amp;T443),"Open quote"))</f>
        <v/>
      </c>
      <c r="V443" s="25">
        <f>IF(C443="","",C443)</f>
        <v/>
      </c>
      <c r="W443" s="24" t="n"/>
      <c r="X443" s="26" t="n"/>
      <c r="Y443" s="27">
        <f>IF(C443="","",H443+N(X443))</f>
        <v/>
      </c>
      <c r="Z443" s="29">
        <f>IFERROR(X443/Y443,"")</f>
        <v/>
      </c>
      <c r="AA443" s="26" t="n"/>
      <c r="AB443" s="26" t="n"/>
      <c r="AC443" s="26" t="n"/>
      <c r="AD443" s="26" t="n"/>
      <c r="AE443" s="27">
        <f>IF(C443="","",SUMIFS(tbl_Finance[Ex GST],tbl_Finance[Job Number],C443&amp;"",tbl_Finance[Cost Centre],"VIDEO"))</f>
        <v/>
      </c>
      <c r="AF443" s="29">
        <f>IFERROR(AE443/H443,"")</f>
        <v/>
      </c>
      <c r="AG443" s="27">
        <f>IF(C443="","",N(AA443)+N(AB443)+N(AC443)+N(AD443))</f>
        <v/>
      </c>
      <c r="AH443" s="27">
        <f>IF(C443="","",H443-AG443)</f>
        <v/>
      </c>
      <c r="AI443" s="29">
        <f>IFERROR(AH443/H443,"")</f>
        <v/>
      </c>
      <c r="AJ443" s="64" t="n"/>
      <c r="AK443" s="64" t="n"/>
      <c r="AL443" s="64" t="n"/>
      <c r="AM443" s="64" t="n"/>
      <c r="AN443" s="64" t="n"/>
      <c r="AO443" s="24" t="n"/>
    </row>
    <row r="444" ht="15" customHeight="1">
      <c r="A444" s="63">
        <f>IF(C444="","",IFERROR(IF(SUMPRODUCT(MAX((tbl_Finance[Job Number]=C444&amp;"")*(tbl_Finance[Xero Invoice No]&lt;&gt;"")*tbl_Finance[Date]))=0,"",SUMPRODUCT(MAX((tbl_Finance[Job Number]=C444&amp;"")*(tbl_Finance[Xero Invoice No]&lt;&gt;"")*tbl_Finance[Date]))),""))</f>
        <v/>
      </c>
      <c r="B444" s="25">
        <f>IF(C444="","",IF(COUNTIFS(tbl_Finance[Job Number],C444&amp;"",tbl_Finance[Xero Invoice No],"&lt;&gt;")=0,"",IFERROR(IF(COUNTIFS(tbl_Finance[Job Number],C444&amp;"",tbl_Finance[Xero Invoice No],LOOKUP(2,1/((tbl_Finance[Job Number]=C444&amp;"")*(tbl_Finance[Xero Invoice No]&lt;&gt;"")),tbl_Finance[Xero Invoice No]))=COUNTIFS(tbl_Finance[Job Number],C444&amp;"",tbl_Finance[Xero Invoice No],"&lt;&gt;"),LOOKUP(2,1/((tbl_Finance[Job Number]=C444&amp;"")*(tbl_Finance[Xero Invoice No]&lt;&gt;"")),tbl_Finance[Xero Invoice No]),LOOKUP(2,1/((tbl_Finance[Job Number]=C444&amp;"")*(tbl_Finance[Xero Invoice No]&lt;&gt;"")),tbl_Finance[Xero Invoice No])&amp;" +more"),"")))</f>
        <v/>
      </c>
      <c r="C444" s="24" t="n"/>
      <c r="D444" s="25">
        <f>IF(C444="","",IF(COUNTIF(lst_Jobs,C444&amp;"")&gt;0,"OK","CHECK"))</f>
        <v/>
      </c>
      <c r="E444" s="25">
        <f>IF(C444="","",IFERROR(INDEX(lst_JobName,MATCH(C444&amp;"",lst_Jobs,0)),""))</f>
        <v/>
      </c>
      <c r="F444" s="25">
        <f>IF(C444="","",IFERROR(INDEX(tbl_Finance[Client],MATCH(C444&amp;"",tbl_Finance[Job Number],0)),""))</f>
        <v/>
      </c>
      <c r="G444" s="28">
        <f>IF(C444="","",COUNTIFS(tbl_Finance[Job Number],C444&amp;"",tbl_Finance[Ex GST],"&lt;&gt;"))</f>
        <v/>
      </c>
      <c r="H444" s="27">
        <f>IF(C444="","",SUMIFS(tbl_Finance[Ex GST],tbl_Finance[Job Number],C444&amp;""))</f>
        <v/>
      </c>
      <c r="I444" s="27">
        <f>IF(C444="","",SUMIFS(tbl_Finance[Ex GST],tbl_Finance[Job Number],C444&amp;"",tbl_Finance[Xero Invoice No],"&lt;&gt;"))</f>
        <v/>
      </c>
      <c r="J444" s="27">
        <f>IF(C444="","",H444-I444)</f>
        <v/>
      </c>
      <c r="K444" s="25">
        <f>IF(C444="","",IF(G444=0,"not invoiced yet",SUBSTITUTE(TRIM(IF(COUNTIFS(tbl_Finance[Job Number],C444&amp;"",tbl_Finance[Cost Centre],"ONSITE")&gt;0,"ONSITE ","")&amp;IF(COUNTIFS(tbl_Finance[Job Number],C444&amp;"",tbl_Finance[Cost Centre],"PRODUCTION")&gt;0,"PRODUCTION ","")&amp;IF(COUNTIFS(tbl_Finance[Job Number],C444&amp;"",tbl_Finance[Cost Centre],"VIDEO")&gt;0,"VIDEO ","")&amp;IF(COUNTIFS(tbl_Finance[Job Number],C444&amp;"",tbl_Finance[Cost Centre],"INTEGRATION")&gt;0,"INTEGRATION ","")&amp;IF(COUNTIFS(tbl_Finance[Job Number],C444&amp;"",tbl_Finance[Cost Centre],"CONSULTING")&gt;0,"CONSULTING ","")&amp;IF(COUNTIFS(tbl_Finance[Job Number],C444&amp;"",tbl_Finance[Cost Centre],"CTS")&gt;0,"CTS ",""))," ",", ")))</f>
        <v/>
      </c>
      <c r="L444" s="27">
        <f>IF(C444="","",SUMIFS(tbl_Finance[Inc GST],tbl_Finance[Job Number],C444&amp;""))</f>
        <v/>
      </c>
      <c r="M444" s="24" t="n"/>
      <c r="N444" s="25">
        <f>IF(C444="","",IFERROR(INDEX(tbl_Finance[Description],MATCH(C444&amp;"",tbl_Finance[Job Number],0)),""))</f>
        <v/>
      </c>
      <c r="O444" s="24" t="n"/>
      <c r="P444" s="24" t="n"/>
      <c r="Q444" s="22" t="n"/>
      <c r="R444" s="24" t="n"/>
      <c r="S444" s="25">
        <f>IF(R444="","",IF(AND(LEFT(R444,4)&lt;&gt;"http",set_RMSBase=""),"",HYPERLINK(IF(LEFT(R444,4)="http",R444,set_RMSBase&amp;R444),"Open opportunity")))</f>
        <v/>
      </c>
      <c r="T444" s="24" t="n"/>
      <c r="U444" s="25">
        <f>IF(T444="","",HYPERLINK(IF(LEFT(T444,4)="http",T444,set_QwilrBase&amp;T444),"Open quote"))</f>
        <v/>
      </c>
      <c r="V444" s="25">
        <f>IF(C444="","",C444)</f>
        <v/>
      </c>
      <c r="W444" s="24" t="n"/>
      <c r="X444" s="26" t="n"/>
      <c r="Y444" s="27">
        <f>IF(C444="","",H444+N(X444))</f>
        <v/>
      </c>
      <c r="Z444" s="29">
        <f>IFERROR(X444/Y444,"")</f>
        <v/>
      </c>
      <c r="AA444" s="26" t="n"/>
      <c r="AB444" s="26" t="n"/>
      <c r="AC444" s="26" t="n"/>
      <c r="AD444" s="26" t="n"/>
      <c r="AE444" s="27">
        <f>IF(C444="","",SUMIFS(tbl_Finance[Ex GST],tbl_Finance[Job Number],C444&amp;"",tbl_Finance[Cost Centre],"VIDEO"))</f>
        <v/>
      </c>
      <c r="AF444" s="29">
        <f>IFERROR(AE444/H444,"")</f>
        <v/>
      </c>
      <c r="AG444" s="27">
        <f>IF(C444="","",N(AA444)+N(AB444)+N(AC444)+N(AD444))</f>
        <v/>
      </c>
      <c r="AH444" s="27">
        <f>IF(C444="","",H444-AG444)</f>
        <v/>
      </c>
      <c r="AI444" s="29">
        <f>IFERROR(AH444/H444,"")</f>
        <v/>
      </c>
      <c r="AJ444" s="64" t="n"/>
      <c r="AK444" s="64" t="n"/>
      <c r="AL444" s="64" t="n"/>
      <c r="AM444" s="64" t="n"/>
      <c r="AN444" s="64" t="n"/>
      <c r="AO444" s="24" t="n"/>
    </row>
    <row r="445" ht="15" customHeight="1">
      <c r="A445" s="63">
        <f>IF(C445="","",IFERROR(IF(SUMPRODUCT(MAX((tbl_Finance[Job Number]=C445&amp;"")*(tbl_Finance[Xero Invoice No]&lt;&gt;"")*tbl_Finance[Date]))=0,"",SUMPRODUCT(MAX((tbl_Finance[Job Number]=C445&amp;"")*(tbl_Finance[Xero Invoice No]&lt;&gt;"")*tbl_Finance[Date]))),""))</f>
        <v/>
      </c>
      <c r="B445" s="25">
        <f>IF(C445="","",IF(COUNTIFS(tbl_Finance[Job Number],C445&amp;"",tbl_Finance[Xero Invoice No],"&lt;&gt;")=0,"",IFERROR(IF(COUNTIFS(tbl_Finance[Job Number],C445&amp;"",tbl_Finance[Xero Invoice No],LOOKUP(2,1/((tbl_Finance[Job Number]=C445&amp;"")*(tbl_Finance[Xero Invoice No]&lt;&gt;"")),tbl_Finance[Xero Invoice No]))=COUNTIFS(tbl_Finance[Job Number],C445&amp;"",tbl_Finance[Xero Invoice No],"&lt;&gt;"),LOOKUP(2,1/((tbl_Finance[Job Number]=C445&amp;"")*(tbl_Finance[Xero Invoice No]&lt;&gt;"")),tbl_Finance[Xero Invoice No]),LOOKUP(2,1/((tbl_Finance[Job Number]=C445&amp;"")*(tbl_Finance[Xero Invoice No]&lt;&gt;"")),tbl_Finance[Xero Invoice No])&amp;" +more"),"")))</f>
        <v/>
      </c>
      <c r="C445" s="24" t="n"/>
      <c r="D445" s="25">
        <f>IF(C445="","",IF(COUNTIF(lst_Jobs,C445&amp;"")&gt;0,"OK","CHECK"))</f>
        <v/>
      </c>
      <c r="E445" s="25">
        <f>IF(C445="","",IFERROR(INDEX(lst_JobName,MATCH(C445&amp;"",lst_Jobs,0)),""))</f>
        <v/>
      </c>
      <c r="F445" s="25">
        <f>IF(C445="","",IFERROR(INDEX(tbl_Finance[Client],MATCH(C445&amp;"",tbl_Finance[Job Number],0)),""))</f>
        <v/>
      </c>
      <c r="G445" s="28">
        <f>IF(C445="","",COUNTIFS(tbl_Finance[Job Number],C445&amp;"",tbl_Finance[Ex GST],"&lt;&gt;"))</f>
        <v/>
      </c>
      <c r="H445" s="27">
        <f>IF(C445="","",SUMIFS(tbl_Finance[Ex GST],tbl_Finance[Job Number],C445&amp;""))</f>
        <v/>
      </c>
      <c r="I445" s="27">
        <f>IF(C445="","",SUMIFS(tbl_Finance[Ex GST],tbl_Finance[Job Number],C445&amp;"",tbl_Finance[Xero Invoice No],"&lt;&gt;"))</f>
        <v/>
      </c>
      <c r="J445" s="27">
        <f>IF(C445="","",H445-I445)</f>
        <v/>
      </c>
      <c r="K445" s="25">
        <f>IF(C445="","",IF(G445=0,"not invoiced yet",SUBSTITUTE(TRIM(IF(COUNTIFS(tbl_Finance[Job Number],C445&amp;"",tbl_Finance[Cost Centre],"ONSITE")&gt;0,"ONSITE ","")&amp;IF(COUNTIFS(tbl_Finance[Job Number],C445&amp;"",tbl_Finance[Cost Centre],"PRODUCTION")&gt;0,"PRODUCTION ","")&amp;IF(COUNTIFS(tbl_Finance[Job Number],C445&amp;"",tbl_Finance[Cost Centre],"VIDEO")&gt;0,"VIDEO ","")&amp;IF(COUNTIFS(tbl_Finance[Job Number],C445&amp;"",tbl_Finance[Cost Centre],"INTEGRATION")&gt;0,"INTEGRATION ","")&amp;IF(COUNTIFS(tbl_Finance[Job Number],C445&amp;"",tbl_Finance[Cost Centre],"CONSULTING")&gt;0,"CONSULTING ","")&amp;IF(COUNTIFS(tbl_Finance[Job Number],C445&amp;"",tbl_Finance[Cost Centre],"CTS")&gt;0,"CTS ",""))," ",", ")))</f>
        <v/>
      </c>
      <c r="L445" s="27">
        <f>IF(C445="","",SUMIFS(tbl_Finance[Inc GST],tbl_Finance[Job Number],C445&amp;""))</f>
        <v/>
      </c>
      <c r="M445" s="24" t="n"/>
      <c r="N445" s="25">
        <f>IF(C445="","",IFERROR(INDEX(tbl_Finance[Description],MATCH(C445&amp;"",tbl_Finance[Job Number],0)),""))</f>
        <v/>
      </c>
      <c r="O445" s="24" t="n"/>
      <c r="P445" s="24" t="n"/>
      <c r="Q445" s="22" t="n"/>
      <c r="R445" s="24" t="n"/>
      <c r="S445" s="25">
        <f>IF(R445="","",IF(AND(LEFT(R445,4)&lt;&gt;"http",set_RMSBase=""),"",HYPERLINK(IF(LEFT(R445,4)="http",R445,set_RMSBase&amp;R445),"Open opportunity")))</f>
        <v/>
      </c>
      <c r="T445" s="24" t="n"/>
      <c r="U445" s="25">
        <f>IF(T445="","",HYPERLINK(IF(LEFT(T445,4)="http",T445,set_QwilrBase&amp;T445),"Open quote"))</f>
        <v/>
      </c>
      <c r="V445" s="25">
        <f>IF(C445="","",C445)</f>
        <v/>
      </c>
      <c r="W445" s="24" t="n"/>
      <c r="X445" s="26" t="n"/>
      <c r="Y445" s="27">
        <f>IF(C445="","",H445+N(X445))</f>
        <v/>
      </c>
      <c r="Z445" s="29">
        <f>IFERROR(X445/Y445,"")</f>
        <v/>
      </c>
      <c r="AA445" s="26" t="n"/>
      <c r="AB445" s="26" t="n"/>
      <c r="AC445" s="26" t="n"/>
      <c r="AD445" s="26" t="n"/>
      <c r="AE445" s="27">
        <f>IF(C445="","",SUMIFS(tbl_Finance[Ex GST],tbl_Finance[Job Number],C445&amp;"",tbl_Finance[Cost Centre],"VIDEO"))</f>
        <v/>
      </c>
      <c r="AF445" s="29">
        <f>IFERROR(AE445/H445,"")</f>
        <v/>
      </c>
      <c r="AG445" s="27">
        <f>IF(C445="","",N(AA445)+N(AB445)+N(AC445)+N(AD445))</f>
        <v/>
      </c>
      <c r="AH445" s="27">
        <f>IF(C445="","",H445-AG445)</f>
        <v/>
      </c>
      <c r="AI445" s="29">
        <f>IFERROR(AH445/H445,"")</f>
        <v/>
      </c>
      <c r="AJ445" s="64" t="n"/>
      <c r="AK445" s="64" t="n"/>
      <c r="AL445" s="64" t="n"/>
      <c r="AM445" s="64" t="n"/>
      <c r="AN445" s="64" t="n"/>
      <c r="AO445" s="24" t="n"/>
    </row>
    <row r="446" ht="15" customHeight="1">
      <c r="A446" s="63">
        <f>IF(C446="","",IFERROR(IF(SUMPRODUCT(MAX((tbl_Finance[Job Number]=C446&amp;"")*(tbl_Finance[Xero Invoice No]&lt;&gt;"")*tbl_Finance[Date]))=0,"",SUMPRODUCT(MAX((tbl_Finance[Job Number]=C446&amp;"")*(tbl_Finance[Xero Invoice No]&lt;&gt;"")*tbl_Finance[Date]))),""))</f>
        <v/>
      </c>
      <c r="B446" s="25">
        <f>IF(C446="","",IF(COUNTIFS(tbl_Finance[Job Number],C446&amp;"",tbl_Finance[Xero Invoice No],"&lt;&gt;")=0,"",IFERROR(IF(COUNTIFS(tbl_Finance[Job Number],C446&amp;"",tbl_Finance[Xero Invoice No],LOOKUP(2,1/((tbl_Finance[Job Number]=C446&amp;"")*(tbl_Finance[Xero Invoice No]&lt;&gt;"")),tbl_Finance[Xero Invoice No]))=COUNTIFS(tbl_Finance[Job Number],C446&amp;"",tbl_Finance[Xero Invoice No],"&lt;&gt;"),LOOKUP(2,1/((tbl_Finance[Job Number]=C446&amp;"")*(tbl_Finance[Xero Invoice No]&lt;&gt;"")),tbl_Finance[Xero Invoice No]),LOOKUP(2,1/((tbl_Finance[Job Number]=C446&amp;"")*(tbl_Finance[Xero Invoice No]&lt;&gt;"")),tbl_Finance[Xero Invoice No])&amp;" +more"),"")))</f>
        <v/>
      </c>
      <c r="C446" s="24" t="n"/>
      <c r="D446" s="25">
        <f>IF(C446="","",IF(COUNTIF(lst_Jobs,C446&amp;"")&gt;0,"OK","CHECK"))</f>
        <v/>
      </c>
      <c r="E446" s="25">
        <f>IF(C446="","",IFERROR(INDEX(lst_JobName,MATCH(C446&amp;"",lst_Jobs,0)),""))</f>
        <v/>
      </c>
      <c r="F446" s="25">
        <f>IF(C446="","",IFERROR(INDEX(tbl_Finance[Client],MATCH(C446&amp;"",tbl_Finance[Job Number],0)),""))</f>
        <v/>
      </c>
      <c r="G446" s="28">
        <f>IF(C446="","",COUNTIFS(tbl_Finance[Job Number],C446&amp;"",tbl_Finance[Ex GST],"&lt;&gt;"))</f>
        <v/>
      </c>
      <c r="H446" s="27">
        <f>IF(C446="","",SUMIFS(tbl_Finance[Ex GST],tbl_Finance[Job Number],C446&amp;""))</f>
        <v/>
      </c>
      <c r="I446" s="27">
        <f>IF(C446="","",SUMIFS(tbl_Finance[Ex GST],tbl_Finance[Job Number],C446&amp;"",tbl_Finance[Xero Invoice No],"&lt;&gt;"))</f>
        <v/>
      </c>
      <c r="J446" s="27">
        <f>IF(C446="","",H446-I446)</f>
        <v/>
      </c>
      <c r="K446" s="25">
        <f>IF(C446="","",IF(G446=0,"not invoiced yet",SUBSTITUTE(TRIM(IF(COUNTIFS(tbl_Finance[Job Number],C446&amp;"",tbl_Finance[Cost Centre],"ONSITE")&gt;0,"ONSITE ","")&amp;IF(COUNTIFS(tbl_Finance[Job Number],C446&amp;"",tbl_Finance[Cost Centre],"PRODUCTION")&gt;0,"PRODUCTION ","")&amp;IF(COUNTIFS(tbl_Finance[Job Number],C446&amp;"",tbl_Finance[Cost Centre],"VIDEO")&gt;0,"VIDEO ","")&amp;IF(COUNTIFS(tbl_Finance[Job Number],C446&amp;"",tbl_Finance[Cost Centre],"INTEGRATION")&gt;0,"INTEGRATION ","")&amp;IF(COUNTIFS(tbl_Finance[Job Number],C446&amp;"",tbl_Finance[Cost Centre],"CONSULTING")&gt;0,"CONSULTING ","")&amp;IF(COUNTIFS(tbl_Finance[Job Number],C446&amp;"",tbl_Finance[Cost Centre],"CTS")&gt;0,"CTS ",""))," ",", ")))</f>
        <v/>
      </c>
      <c r="L446" s="27">
        <f>IF(C446="","",SUMIFS(tbl_Finance[Inc GST],tbl_Finance[Job Number],C446&amp;""))</f>
        <v/>
      </c>
      <c r="M446" s="24" t="n"/>
      <c r="N446" s="25">
        <f>IF(C446="","",IFERROR(INDEX(tbl_Finance[Description],MATCH(C446&amp;"",tbl_Finance[Job Number],0)),""))</f>
        <v/>
      </c>
      <c r="O446" s="24" t="n"/>
      <c r="P446" s="24" t="n"/>
      <c r="Q446" s="22" t="n"/>
      <c r="R446" s="24" t="n"/>
      <c r="S446" s="25">
        <f>IF(R446="","",IF(AND(LEFT(R446,4)&lt;&gt;"http",set_RMSBase=""),"",HYPERLINK(IF(LEFT(R446,4)="http",R446,set_RMSBase&amp;R446),"Open opportunity")))</f>
        <v/>
      </c>
      <c r="T446" s="24" t="n"/>
      <c r="U446" s="25">
        <f>IF(T446="","",HYPERLINK(IF(LEFT(T446,4)="http",T446,set_QwilrBase&amp;T446),"Open quote"))</f>
        <v/>
      </c>
      <c r="V446" s="25">
        <f>IF(C446="","",C446)</f>
        <v/>
      </c>
      <c r="W446" s="24" t="n"/>
      <c r="X446" s="26" t="n"/>
      <c r="Y446" s="27">
        <f>IF(C446="","",H446+N(X446))</f>
        <v/>
      </c>
      <c r="Z446" s="29">
        <f>IFERROR(X446/Y446,"")</f>
        <v/>
      </c>
      <c r="AA446" s="26" t="n"/>
      <c r="AB446" s="26" t="n"/>
      <c r="AC446" s="26" t="n"/>
      <c r="AD446" s="26" t="n"/>
      <c r="AE446" s="27">
        <f>IF(C446="","",SUMIFS(tbl_Finance[Ex GST],tbl_Finance[Job Number],C446&amp;"",tbl_Finance[Cost Centre],"VIDEO"))</f>
        <v/>
      </c>
      <c r="AF446" s="29">
        <f>IFERROR(AE446/H446,"")</f>
        <v/>
      </c>
      <c r="AG446" s="27">
        <f>IF(C446="","",N(AA446)+N(AB446)+N(AC446)+N(AD446))</f>
        <v/>
      </c>
      <c r="AH446" s="27">
        <f>IF(C446="","",H446-AG446)</f>
        <v/>
      </c>
      <c r="AI446" s="29">
        <f>IFERROR(AH446/H446,"")</f>
        <v/>
      </c>
      <c r="AJ446" s="64" t="n"/>
      <c r="AK446" s="64" t="n"/>
      <c r="AL446" s="64" t="n"/>
      <c r="AM446" s="64" t="n"/>
      <c r="AN446" s="64" t="n"/>
      <c r="AO446" s="24" t="n"/>
    </row>
    <row r="447" ht="15" customHeight="1">
      <c r="A447" s="63">
        <f>IF(C447="","",IFERROR(IF(SUMPRODUCT(MAX((tbl_Finance[Job Number]=C447&amp;"")*(tbl_Finance[Xero Invoice No]&lt;&gt;"")*tbl_Finance[Date]))=0,"",SUMPRODUCT(MAX((tbl_Finance[Job Number]=C447&amp;"")*(tbl_Finance[Xero Invoice No]&lt;&gt;"")*tbl_Finance[Date]))),""))</f>
        <v/>
      </c>
      <c r="B447" s="25">
        <f>IF(C447="","",IF(COUNTIFS(tbl_Finance[Job Number],C447&amp;"",tbl_Finance[Xero Invoice No],"&lt;&gt;")=0,"",IFERROR(IF(COUNTIFS(tbl_Finance[Job Number],C447&amp;"",tbl_Finance[Xero Invoice No],LOOKUP(2,1/((tbl_Finance[Job Number]=C447&amp;"")*(tbl_Finance[Xero Invoice No]&lt;&gt;"")),tbl_Finance[Xero Invoice No]))=COUNTIFS(tbl_Finance[Job Number],C447&amp;"",tbl_Finance[Xero Invoice No],"&lt;&gt;"),LOOKUP(2,1/((tbl_Finance[Job Number]=C447&amp;"")*(tbl_Finance[Xero Invoice No]&lt;&gt;"")),tbl_Finance[Xero Invoice No]),LOOKUP(2,1/((tbl_Finance[Job Number]=C447&amp;"")*(tbl_Finance[Xero Invoice No]&lt;&gt;"")),tbl_Finance[Xero Invoice No])&amp;" +more"),"")))</f>
        <v/>
      </c>
      <c r="C447" s="24" t="n"/>
      <c r="D447" s="25">
        <f>IF(C447="","",IF(COUNTIF(lst_Jobs,C447&amp;"")&gt;0,"OK","CHECK"))</f>
        <v/>
      </c>
      <c r="E447" s="25">
        <f>IF(C447="","",IFERROR(INDEX(lst_JobName,MATCH(C447&amp;"",lst_Jobs,0)),""))</f>
        <v/>
      </c>
      <c r="F447" s="25">
        <f>IF(C447="","",IFERROR(INDEX(tbl_Finance[Client],MATCH(C447&amp;"",tbl_Finance[Job Number],0)),""))</f>
        <v/>
      </c>
      <c r="G447" s="28">
        <f>IF(C447="","",COUNTIFS(tbl_Finance[Job Number],C447&amp;"",tbl_Finance[Ex GST],"&lt;&gt;"))</f>
        <v/>
      </c>
      <c r="H447" s="27">
        <f>IF(C447="","",SUMIFS(tbl_Finance[Ex GST],tbl_Finance[Job Number],C447&amp;""))</f>
        <v/>
      </c>
      <c r="I447" s="27">
        <f>IF(C447="","",SUMIFS(tbl_Finance[Ex GST],tbl_Finance[Job Number],C447&amp;"",tbl_Finance[Xero Invoice No],"&lt;&gt;"))</f>
        <v/>
      </c>
      <c r="J447" s="27">
        <f>IF(C447="","",H447-I447)</f>
        <v/>
      </c>
      <c r="K447" s="25">
        <f>IF(C447="","",IF(G447=0,"not invoiced yet",SUBSTITUTE(TRIM(IF(COUNTIFS(tbl_Finance[Job Number],C447&amp;"",tbl_Finance[Cost Centre],"ONSITE")&gt;0,"ONSITE ","")&amp;IF(COUNTIFS(tbl_Finance[Job Number],C447&amp;"",tbl_Finance[Cost Centre],"PRODUCTION")&gt;0,"PRODUCTION ","")&amp;IF(COUNTIFS(tbl_Finance[Job Number],C447&amp;"",tbl_Finance[Cost Centre],"VIDEO")&gt;0,"VIDEO ","")&amp;IF(COUNTIFS(tbl_Finance[Job Number],C447&amp;"",tbl_Finance[Cost Centre],"INTEGRATION")&gt;0,"INTEGRATION ","")&amp;IF(COUNTIFS(tbl_Finance[Job Number],C447&amp;"",tbl_Finance[Cost Centre],"CONSULTING")&gt;0,"CONSULTING ","")&amp;IF(COUNTIFS(tbl_Finance[Job Number],C447&amp;"",tbl_Finance[Cost Centre],"CTS")&gt;0,"CTS ",""))," ",", ")))</f>
        <v/>
      </c>
      <c r="L447" s="27">
        <f>IF(C447="","",SUMIFS(tbl_Finance[Inc GST],tbl_Finance[Job Number],C447&amp;""))</f>
        <v/>
      </c>
      <c r="M447" s="24" t="n"/>
      <c r="N447" s="25">
        <f>IF(C447="","",IFERROR(INDEX(tbl_Finance[Description],MATCH(C447&amp;"",tbl_Finance[Job Number],0)),""))</f>
        <v/>
      </c>
      <c r="O447" s="24" t="n"/>
      <c r="P447" s="24" t="n"/>
      <c r="Q447" s="22" t="n"/>
      <c r="R447" s="24" t="n"/>
      <c r="S447" s="25">
        <f>IF(R447="","",IF(AND(LEFT(R447,4)&lt;&gt;"http",set_RMSBase=""),"",HYPERLINK(IF(LEFT(R447,4)="http",R447,set_RMSBase&amp;R447),"Open opportunity")))</f>
        <v/>
      </c>
      <c r="T447" s="24" t="n"/>
      <c r="U447" s="25">
        <f>IF(T447="","",HYPERLINK(IF(LEFT(T447,4)="http",T447,set_QwilrBase&amp;T447),"Open quote"))</f>
        <v/>
      </c>
      <c r="V447" s="25">
        <f>IF(C447="","",C447)</f>
        <v/>
      </c>
      <c r="W447" s="24" t="n"/>
      <c r="X447" s="26" t="n"/>
      <c r="Y447" s="27">
        <f>IF(C447="","",H447+N(X447))</f>
        <v/>
      </c>
      <c r="Z447" s="29">
        <f>IFERROR(X447/Y447,"")</f>
        <v/>
      </c>
      <c r="AA447" s="26" t="n"/>
      <c r="AB447" s="26" t="n"/>
      <c r="AC447" s="26" t="n"/>
      <c r="AD447" s="26" t="n"/>
      <c r="AE447" s="27">
        <f>IF(C447="","",SUMIFS(tbl_Finance[Ex GST],tbl_Finance[Job Number],C447&amp;"",tbl_Finance[Cost Centre],"VIDEO"))</f>
        <v/>
      </c>
      <c r="AF447" s="29">
        <f>IFERROR(AE447/H447,"")</f>
        <v/>
      </c>
      <c r="AG447" s="27">
        <f>IF(C447="","",N(AA447)+N(AB447)+N(AC447)+N(AD447))</f>
        <v/>
      </c>
      <c r="AH447" s="27">
        <f>IF(C447="","",H447-AG447)</f>
        <v/>
      </c>
      <c r="AI447" s="29">
        <f>IFERROR(AH447/H447,"")</f>
        <v/>
      </c>
      <c r="AJ447" s="64" t="n"/>
      <c r="AK447" s="64" t="n"/>
      <c r="AL447" s="64" t="n"/>
      <c r="AM447" s="64" t="n"/>
      <c r="AN447" s="64" t="n"/>
      <c r="AO447" s="24" t="n"/>
    </row>
    <row r="448" ht="15" customHeight="1">
      <c r="A448" s="63">
        <f>IF(C448="","",IFERROR(IF(SUMPRODUCT(MAX((tbl_Finance[Job Number]=C448&amp;"")*(tbl_Finance[Xero Invoice No]&lt;&gt;"")*tbl_Finance[Date]))=0,"",SUMPRODUCT(MAX((tbl_Finance[Job Number]=C448&amp;"")*(tbl_Finance[Xero Invoice No]&lt;&gt;"")*tbl_Finance[Date]))),""))</f>
        <v/>
      </c>
      <c r="B448" s="25">
        <f>IF(C448="","",IF(COUNTIFS(tbl_Finance[Job Number],C448&amp;"",tbl_Finance[Xero Invoice No],"&lt;&gt;")=0,"",IFERROR(IF(COUNTIFS(tbl_Finance[Job Number],C448&amp;"",tbl_Finance[Xero Invoice No],LOOKUP(2,1/((tbl_Finance[Job Number]=C448&amp;"")*(tbl_Finance[Xero Invoice No]&lt;&gt;"")),tbl_Finance[Xero Invoice No]))=COUNTIFS(tbl_Finance[Job Number],C448&amp;"",tbl_Finance[Xero Invoice No],"&lt;&gt;"),LOOKUP(2,1/((tbl_Finance[Job Number]=C448&amp;"")*(tbl_Finance[Xero Invoice No]&lt;&gt;"")),tbl_Finance[Xero Invoice No]),LOOKUP(2,1/((tbl_Finance[Job Number]=C448&amp;"")*(tbl_Finance[Xero Invoice No]&lt;&gt;"")),tbl_Finance[Xero Invoice No])&amp;" +more"),"")))</f>
        <v/>
      </c>
      <c r="C448" s="24" t="n"/>
      <c r="D448" s="25">
        <f>IF(C448="","",IF(COUNTIF(lst_Jobs,C448&amp;"")&gt;0,"OK","CHECK"))</f>
        <v/>
      </c>
      <c r="E448" s="25">
        <f>IF(C448="","",IFERROR(INDEX(lst_JobName,MATCH(C448&amp;"",lst_Jobs,0)),""))</f>
        <v/>
      </c>
      <c r="F448" s="25">
        <f>IF(C448="","",IFERROR(INDEX(tbl_Finance[Client],MATCH(C448&amp;"",tbl_Finance[Job Number],0)),""))</f>
        <v/>
      </c>
      <c r="G448" s="28">
        <f>IF(C448="","",COUNTIFS(tbl_Finance[Job Number],C448&amp;"",tbl_Finance[Ex GST],"&lt;&gt;"))</f>
        <v/>
      </c>
      <c r="H448" s="27">
        <f>IF(C448="","",SUMIFS(tbl_Finance[Ex GST],tbl_Finance[Job Number],C448&amp;""))</f>
        <v/>
      </c>
      <c r="I448" s="27">
        <f>IF(C448="","",SUMIFS(tbl_Finance[Ex GST],tbl_Finance[Job Number],C448&amp;"",tbl_Finance[Xero Invoice No],"&lt;&gt;"))</f>
        <v/>
      </c>
      <c r="J448" s="27">
        <f>IF(C448="","",H448-I448)</f>
        <v/>
      </c>
      <c r="K448" s="25">
        <f>IF(C448="","",IF(G448=0,"not invoiced yet",SUBSTITUTE(TRIM(IF(COUNTIFS(tbl_Finance[Job Number],C448&amp;"",tbl_Finance[Cost Centre],"ONSITE")&gt;0,"ONSITE ","")&amp;IF(COUNTIFS(tbl_Finance[Job Number],C448&amp;"",tbl_Finance[Cost Centre],"PRODUCTION")&gt;0,"PRODUCTION ","")&amp;IF(COUNTIFS(tbl_Finance[Job Number],C448&amp;"",tbl_Finance[Cost Centre],"VIDEO")&gt;0,"VIDEO ","")&amp;IF(COUNTIFS(tbl_Finance[Job Number],C448&amp;"",tbl_Finance[Cost Centre],"INTEGRATION")&gt;0,"INTEGRATION ","")&amp;IF(COUNTIFS(tbl_Finance[Job Number],C448&amp;"",tbl_Finance[Cost Centre],"CONSULTING")&gt;0,"CONSULTING ","")&amp;IF(COUNTIFS(tbl_Finance[Job Number],C448&amp;"",tbl_Finance[Cost Centre],"CTS")&gt;0,"CTS ",""))," ",", ")))</f>
        <v/>
      </c>
      <c r="L448" s="27">
        <f>IF(C448="","",SUMIFS(tbl_Finance[Inc GST],tbl_Finance[Job Number],C448&amp;""))</f>
        <v/>
      </c>
      <c r="M448" s="24" t="n"/>
      <c r="N448" s="25">
        <f>IF(C448="","",IFERROR(INDEX(tbl_Finance[Description],MATCH(C448&amp;"",tbl_Finance[Job Number],0)),""))</f>
        <v/>
      </c>
      <c r="O448" s="24" t="n"/>
      <c r="P448" s="24" t="n"/>
      <c r="Q448" s="22" t="n"/>
      <c r="R448" s="24" t="n"/>
      <c r="S448" s="25">
        <f>IF(R448="","",IF(AND(LEFT(R448,4)&lt;&gt;"http",set_RMSBase=""),"",HYPERLINK(IF(LEFT(R448,4)="http",R448,set_RMSBase&amp;R448),"Open opportunity")))</f>
        <v/>
      </c>
      <c r="T448" s="24" t="n"/>
      <c r="U448" s="25">
        <f>IF(T448="","",HYPERLINK(IF(LEFT(T448,4)="http",T448,set_QwilrBase&amp;T448),"Open quote"))</f>
        <v/>
      </c>
      <c r="V448" s="25">
        <f>IF(C448="","",C448)</f>
        <v/>
      </c>
      <c r="W448" s="24" t="n"/>
      <c r="X448" s="26" t="n"/>
      <c r="Y448" s="27">
        <f>IF(C448="","",H448+N(X448))</f>
        <v/>
      </c>
      <c r="Z448" s="29">
        <f>IFERROR(X448/Y448,"")</f>
        <v/>
      </c>
      <c r="AA448" s="26" t="n"/>
      <c r="AB448" s="26" t="n"/>
      <c r="AC448" s="26" t="n"/>
      <c r="AD448" s="26" t="n"/>
      <c r="AE448" s="27">
        <f>IF(C448="","",SUMIFS(tbl_Finance[Ex GST],tbl_Finance[Job Number],C448&amp;"",tbl_Finance[Cost Centre],"VIDEO"))</f>
        <v/>
      </c>
      <c r="AF448" s="29">
        <f>IFERROR(AE448/H448,"")</f>
        <v/>
      </c>
      <c r="AG448" s="27">
        <f>IF(C448="","",N(AA448)+N(AB448)+N(AC448)+N(AD448))</f>
        <v/>
      </c>
      <c r="AH448" s="27">
        <f>IF(C448="","",H448-AG448)</f>
        <v/>
      </c>
      <c r="AI448" s="29">
        <f>IFERROR(AH448/H448,"")</f>
        <v/>
      </c>
      <c r="AJ448" s="64" t="n"/>
      <c r="AK448" s="64" t="n"/>
      <c r="AL448" s="64" t="n"/>
      <c r="AM448" s="64" t="n"/>
      <c r="AN448" s="64" t="n"/>
      <c r="AO448" s="24" t="n"/>
    </row>
    <row r="449" ht="15" customHeight="1">
      <c r="A449" s="63">
        <f>IF(C449="","",IFERROR(IF(SUMPRODUCT(MAX((tbl_Finance[Job Number]=C449&amp;"")*(tbl_Finance[Xero Invoice No]&lt;&gt;"")*tbl_Finance[Date]))=0,"",SUMPRODUCT(MAX((tbl_Finance[Job Number]=C449&amp;"")*(tbl_Finance[Xero Invoice No]&lt;&gt;"")*tbl_Finance[Date]))),""))</f>
        <v/>
      </c>
      <c r="B449" s="25">
        <f>IF(C449="","",IF(COUNTIFS(tbl_Finance[Job Number],C449&amp;"",tbl_Finance[Xero Invoice No],"&lt;&gt;")=0,"",IFERROR(IF(COUNTIFS(tbl_Finance[Job Number],C449&amp;"",tbl_Finance[Xero Invoice No],LOOKUP(2,1/((tbl_Finance[Job Number]=C449&amp;"")*(tbl_Finance[Xero Invoice No]&lt;&gt;"")),tbl_Finance[Xero Invoice No]))=COUNTIFS(tbl_Finance[Job Number],C449&amp;"",tbl_Finance[Xero Invoice No],"&lt;&gt;"),LOOKUP(2,1/((tbl_Finance[Job Number]=C449&amp;"")*(tbl_Finance[Xero Invoice No]&lt;&gt;"")),tbl_Finance[Xero Invoice No]),LOOKUP(2,1/((tbl_Finance[Job Number]=C449&amp;"")*(tbl_Finance[Xero Invoice No]&lt;&gt;"")),tbl_Finance[Xero Invoice No])&amp;" +more"),"")))</f>
        <v/>
      </c>
      <c r="C449" s="24" t="n"/>
      <c r="D449" s="25">
        <f>IF(C449="","",IF(COUNTIF(lst_Jobs,C449&amp;"")&gt;0,"OK","CHECK"))</f>
        <v/>
      </c>
      <c r="E449" s="25">
        <f>IF(C449="","",IFERROR(INDEX(lst_JobName,MATCH(C449&amp;"",lst_Jobs,0)),""))</f>
        <v/>
      </c>
      <c r="F449" s="25">
        <f>IF(C449="","",IFERROR(INDEX(tbl_Finance[Client],MATCH(C449&amp;"",tbl_Finance[Job Number],0)),""))</f>
        <v/>
      </c>
      <c r="G449" s="28">
        <f>IF(C449="","",COUNTIFS(tbl_Finance[Job Number],C449&amp;"",tbl_Finance[Ex GST],"&lt;&gt;"))</f>
        <v/>
      </c>
      <c r="H449" s="27">
        <f>IF(C449="","",SUMIFS(tbl_Finance[Ex GST],tbl_Finance[Job Number],C449&amp;""))</f>
        <v/>
      </c>
      <c r="I449" s="27">
        <f>IF(C449="","",SUMIFS(tbl_Finance[Ex GST],tbl_Finance[Job Number],C449&amp;"",tbl_Finance[Xero Invoice No],"&lt;&gt;"))</f>
        <v/>
      </c>
      <c r="J449" s="27">
        <f>IF(C449="","",H449-I449)</f>
        <v/>
      </c>
      <c r="K449" s="25">
        <f>IF(C449="","",IF(G449=0,"not invoiced yet",SUBSTITUTE(TRIM(IF(COUNTIFS(tbl_Finance[Job Number],C449&amp;"",tbl_Finance[Cost Centre],"ONSITE")&gt;0,"ONSITE ","")&amp;IF(COUNTIFS(tbl_Finance[Job Number],C449&amp;"",tbl_Finance[Cost Centre],"PRODUCTION")&gt;0,"PRODUCTION ","")&amp;IF(COUNTIFS(tbl_Finance[Job Number],C449&amp;"",tbl_Finance[Cost Centre],"VIDEO")&gt;0,"VIDEO ","")&amp;IF(COUNTIFS(tbl_Finance[Job Number],C449&amp;"",tbl_Finance[Cost Centre],"INTEGRATION")&gt;0,"INTEGRATION ","")&amp;IF(COUNTIFS(tbl_Finance[Job Number],C449&amp;"",tbl_Finance[Cost Centre],"CONSULTING")&gt;0,"CONSULTING ","")&amp;IF(COUNTIFS(tbl_Finance[Job Number],C449&amp;"",tbl_Finance[Cost Centre],"CTS")&gt;0,"CTS ",""))," ",", ")))</f>
        <v/>
      </c>
      <c r="L449" s="27">
        <f>IF(C449="","",SUMIFS(tbl_Finance[Inc GST],tbl_Finance[Job Number],C449&amp;""))</f>
        <v/>
      </c>
      <c r="M449" s="24" t="n"/>
      <c r="N449" s="25">
        <f>IF(C449="","",IFERROR(INDEX(tbl_Finance[Description],MATCH(C449&amp;"",tbl_Finance[Job Number],0)),""))</f>
        <v/>
      </c>
      <c r="O449" s="24" t="n"/>
      <c r="P449" s="24" t="n"/>
      <c r="Q449" s="22" t="n"/>
      <c r="R449" s="24" t="n"/>
      <c r="S449" s="25">
        <f>IF(R449="","",IF(AND(LEFT(R449,4)&lt;&gt;"http",set_RMSBase=""),"",HYPERLINK(IF(LEFT(R449,4)="http",R449,set_RMSBase&amp;R449),"Open opportunity")))</f>
        <v/>
      </c>
      <c r="T449" s="24" t="n"/>
      <c r="U449" s="25">
        <f>IF(T449="","",HYPERLINK(IF(LEFT(T449,4)="http",T449,set_QwilrBase&amp;T449),"Open quote"))</f>
        <v/>
      </c>
      <c r="V449" s="25">
        <f>IF(C449="","",C449)</f>
        <v/>
      </c>
      <c r="W449" s="24" t="n"/>
      <c r="X449" s="26" t="n"/>
      <c r="Y449" s="27">
        <f>IF(C449="","",H449+N(X449))</f>
        <v/>
      </c>
      <c r="Z449" s="29">
        <f>IFERROR(X449/Y449,"")</f>
        <v/>
      </c>
      <c r="AA449" s="26" t="n"/>
      <c r="AB449" s="26" t="n"/>
      <c r="AC449" s="26" t="n"/>
      <c r="AD449" s="26" t="n"/>
      <c r="AE449" s="27">
        <f>IF(C449="","",SUMIFS(tbl_Finance[Ex GST],tbl_Finance[Job Number],C449&amp;"",tbl_Finance[Cost Centre],"VIDEO"))</f>
        <v/>
      </c>
      <c r="AF449" s="29">
        <f>IFERROR(AE449/H449,"")</f>
        <v/>
      </c>
      <c r="AG449" s="27">
        <f>IF(C449="","",N(AA449)+N(AB449)+N(AC449)+N(AD449))</f>
        <v/>
      </c>
      <c r="AH449" s="27">
        <f>IF(C449="","",H449-AG449)</f>
        <v/>
      </c>
      <c r="AI449" s="29">
        <f>IFERROR(AH449/H449,"")</f>
        <v/>
      </c>
      <c r="AJ449" s="64" t="n"/>
      <c r="AK449" s="64" t="n"/>
      <c r="AL449" s="64" t="n"/>
      <c r="AM449" s="64" t="n"/>
      <c r="AN449" s="64" t="n"/>
      <c r="AO449" s="24" t="n"/>
    </row>
    <row r="450" ht="15" customHeight="1">
      <c r="A450" s="63">
        <f>IF(C450="","",IFERROR(IF(SUMPRODUCT(MAX((tbl_Finance[Job Number]=C450&amp;"")*(tbl_Finance[Xero Invoice No]&lt;&gt;"")*tbl_Finance[Date]))=0,"",SUMPRODUCT(MAX((tbl_Finance[Job Number]=C450&amp;"")*(tbl_Finance[Xero Invoice No]&lt;&gt;"")*tbl_Finance[Date]))),""))</f>
        <v/>
      </c>
      <c r="B450" s="25">
        <f>IF(C450="","",IF(COUNTIFS(tbl_Finance[Job Number],C450&amp;"",tbl_Finance[Xero Invoice No],"&lt;&gt;")=0,"",IFERROR(IF(COUNTIFS(tbl_Finance[Job Number],C450&amp;"",tbl_Finance[Xero Invoice No],LOOKUP(2,1/((tbl_Finance[Job Number]=C450&amp;"")*(tbl_Finance[Xero Invoice No]&lt;&gt;"")),tbl_Finance[Xero Invoice No]))=COUNTIFS(tbl_Finance[Job Number],C450&amp;"",tbl_Finance[Xero Invoice No],"&lt;&gt;"),LOOKUP(2,1/((tbl_Finance[Job Number]=C450&amp;"")*(tbl_Finance[Xero Invoice No]&lt;&gt;"")),tbl_Finance[Xero Invoice No]),LOOKUP(2,1/((tbl_Finance[Job Number]=C450&amp;"")*(tbl_Finance[Xero Invoice No]&lt;&gt;"")),tbl_Finance[Xero Invoice No])&amp;" +more"),"")))</f>
        <v/>
      </c>
      <c r="C450" s="24" t="n"/>
      <c r="D450" s="25">
        <f>IF(C450="","",IF(COUNTIF(lst_Jobs,C450&amp;"")&gt;0,"OK","CHECK"))</f>
        <v/>
      </c>
      <c r="E450" s="25">
        <f>IF(C450="","",IFERROR(INDEX(lst_JobName,MATCH(C450&amp;"",lst_Jobs,0)),""))</f>
        <v/>
      </c>
      <c r="F450" s="25">
        <f>IF(C450="","",IFERROR(INDEX(tbl_Finance[Client],MATCH(C450&amp;"",tbl_Finance[Job Number],0)),""))</f>
        <v/>
      </c>
      <c r="G450" s="28">
        <f>IF(C450="","",COUNTIFS(tbl_Finance[Job Number],C450&amp;"",tbl_Finance[Ex GST],"&lt;&gt;"))</f>
        <v/>
      </c>
      <c r="H450" s="27">
        <f>IF(C450="","",SUMIFS(tbl_Finance[Ex GST],tbl_Finance[Job Number],C450&amp;""))</f>
        <v/>
      </c>
      <c r="I450" s="27">
        <f>IF(C450="","",SUMIFS(tbl_Finance[Ex GST],tbl_Finance[Job Number],C450&amp;"",tbl_Finance[Xero Invoice No],"&lt;&gt;"))</f>
        <v/>
      </c>
      <c r="J450" s="27">
        <f>IF(C450="","",H450-I450)</f>
        <v/>
      </c>
      <c r="K450" s="25">
        <f>IF(C450="","",IF(G450=0,"not invoiced yet",SUBSTITUTE(TRIM(IF(COUNTIFS(tbl_Finance[Job Number],C450&amp;"",tbl_Finance[Cost Centre],"ONSITE")&gt;0,"ONSITE ","")&amp;IF(COUNTIFS(tbl_Finance[Job Number],C450&amp;"",tbl_Finance[Cost Centre],"PRODUCTION")&gt;0,"PRODUCTION ","")&amp;IF(COUNTIFS(tbl_Finance[Job Number],C450&amp;"",tbl_Finance[Cost Centre],"VIDEO")&gt;0,"VIDEO ","")&amp;IF(COUNTIFS(tbl_Finance[Job Number],C450&amp;"",tbl_Finance[Cost Centre],"INTEGRATION")&gt;0,"INTEGRATION ","")&amp;IF(COUNTIFS(tbl_Finance[Job Number],C450&amp;"",tbl_Finance[Cost Centre],"CONSULTING")&gt;0,"CONSULTING ","")&amp;IF(COUNTIFS(tbl_Finance[Job Number],C450&amp;"",tbl_Finance[Cost Centre],"CTS")&gt;0,"CTS ",""))," ",", ")))</f>
        <v/>
      </c>
      <c r="L450" s="27">
        <f>IF(C450="","",SUMIFS(tbl_Finance[Inc GST],tbl_Finance[Job Number],C450&amp;""))</f>
        <v/>
      </c>
      <c r="M450" s="24" t="n"/>
      <c r="N450" s="25">
        <f>IF(C450="","",IFERROR(INDEX(tbl_Finance[Description],MATCH(C450&amp;"",tbl_Finance[Job Number],0)),""))</f>
        <v/>
      </c>
      <c r="O450" s="24" t="n"/>
      <c r="P450" s="24" t="n"/>
      <c r="Q450" s="22" t="n"/>
      <c r="R450" s="24" t="n"/>
      <c r="S450" s="25">
        <f>IF(R450="","",IF(AND(LEFT(R450,4)&lt;&gt;"http",set_RMSBase=""),"",HYPERLINK(IF(LEFT(R450,4)="http",R450,set_RMSBase&amp;R450),"Open opportunity")))</f>
        <v/>
      </c>
      <c r="T450" s="24" t="n"/>
      <c r="U450" s="25">
        <f>IF(T450="","",HYPERLINK(IF(LEFT(T450,4)="http",T450,set_QwilrBase&amp;T450),"Open quote"))</f>
        <v/>
      </c>
      <c r="V450" s="25">
        <f>IF(C450="","",C450)</f>
        <v/>
      </c>
      <c r="W450" s="24" t="n"/>
      <c r="X450" s="26" t="n"/>
      <c r="Y450" s="27">
        <f>IF(C450="","",H450+N(X450))</f>
        <v/>
      </c>
      <c r="Z450" s="29">
        <f>IFERROR(X450/Y450,"")</f>
        <v/>
      </c>
      <c r="AA450" s="26" t="n"/>
      <c r="AB450" s="26" t="n"/>
      <c r="AC450" s="26" t="n"/>
      <c r="AD450" s="26" t="n"/>
      <c r="AE450" s="27">
        <f>IF(C450="","",SUMIFS(tbl_Finance[Ex GST],tbl_Finance[Job Number],C450&amp;"",tbl_Finance[Cost Centre],"VIDEO"))</f>
        <v/>
      </c>
      <c r="AF450" s="29">
        <f>IFERROR(AE450/H450,"")</f>
        <v/>
      </c>
      <c r="AG450" s="27">
        <f>IF(C450="","",N(AA450)+N(AB450)+N(AC450)+N(AD450))</f>
        <v/>
      </c>
      <c r="AH450" s="27">
        <f>IF(C450="","",H450-AG450)</f>
        <v/>
      </c>
      <c r="AI450" s="29">
        <f>IFERROR(AH450/H450,"")</f>
        <v/>
      </c>
      <c r="AJ450" s="64" t="n"/>
      <c r="AK450" s="64" t="n"/>
      <c r="AL450" s="64" t="n"/>
      <c r="AM450" s="64" t="n"/>
      <c r="AN450" s="64" t="n"/>
      <c r="AO450" s="24" t="n"/>
    </row>
    <row r="451" ht="15" customHeight="1">
      <c r="A451" s="63">
        <f>IF(C451="","",IFERROR(IF(SUMPRODUCT(MAX((tbl_Finance[Job Number]=C451&amp;"")*(tbl_Finance[Xero Invoice No]&lt;&gt;"")*tbl_Finance[Date]))=0,"",SUMPRODUCT(MAX((tbl_Finance[Job Number]=C451&amp;"")*(tbl_Finance[Xero Invoice No]&lt;&gt;"")*tbl_Finance[Date]))),""))</f>
        <v/>
      </c>
      <c r="B451" s="25">
        <f>IF(C451="","",IF(COUNTIFS(tbl_Finance[Job Number],C451&amp;"",tbl_Finance[Xero Invoice No],"&lt;&gt;")=0,"",IFERROR(IF(COUNTIFS(tbl_Finance[Job Number],C451&amp;"",tbl_Finance[Xero Invoice No],LOOKUP(2,1/((tbl_Finance[Job Number]=C451&amp;"")*(tbl_Finance[Xero Invoice No]&lt;&gt;"")),tbl_Finance[Xero Invoice No]))=COUNTIFS(tbl_Finance[Job Number],C451&amp;"",tbl_Finance[Xero Invoice No],"&lt;&gt;"),LOOKUP(2,1/((tbl_Finance[Job Number]=C451&amp;"")*(tbl_Finance[Xero Invoice No]&lt;&gt;"")),tbl_Finance[Xero Invoice No]),LOOKUP(2,1/((tbl_Finance[Job Number]=C451&amp;"")*(tbl_Finance[Xero Invoice No]&lt;&gt;"")),tbl_Finance[Xero Invoice No])&amp;" +more"),"")))</f>
        <v/>
      </c>
      <c r="C451" s="24" t="n"/>
      <c r="D451" s="25">
        <f>IF(C451="","",IF(COUNTIF(lst_Jobs,C451&amp;"")&gt;0,"OK","CHECK"))</f>
        <v/>
      </c>
      <c r="E451" s="25">
        <f>IF(C451="","",IFERROR(INDEX(lst_JobName,MATCH(C451&amp;"",lst_Jobs,0)),""))</f>
        <v/>
      </c>
      <c r="F451" s="25">
        <f>IF(C451="","",IFERROR(INDEX(tbl_Finance[Client],MATCH(C451&amp;"",tbl_Finance[Job Number],0)),""))</f>
        <v/>
      </c>
      <c r="G451" s="28">
        <f>IF(C451="","",COUNTIFS(tbl_Finance[Job Number],C451&amp;"",tbl_Finance[Ex GST],"&lt;&gt;"))</f>
        <v/>
      </c>
      <c r="H451" s="27">
        <f>IF(C451="","",SUMIFS(tbl_Finance[Ex GST],tbl_Finance[Job Number],C451&amp;""))</f>
        <v/>
      </c>
      <c r="I451" s="27">
        <f>IF(C451="","",SUMIFS(tbl_Finance[Ex GST],tbl_Finance[Job Number],C451&amp;"",tbl_Finance[Xero Invoice No],"&lt;&gt;"))</f>
        <v/>
      </c>
      <c r="J451" s="27">
        <f>IF(C451="","",H451-I451)</f>
        <v/>
      </c>
      <c r="K451" s="25">
        <f>IF(C451="","",IF(G451=0,"not invoiced yet",SUBSTITUTE(TRIM(IF(COUNTIFS(tbl_Finance[Job Number],C451&amp;"",tbl_Finance[Cost Centre],"ONSITE")&gt;0,"ONSITE ","")&amp;IF(COUNTIFS(tbl_Finance[Job Number],C451&amp;"",tbl_Finance[Cost Centre],"PRODUCTION")&gt;0,"PRODUCTION ","")&amp;IF(COUNTIFS(tbl_Finance[Job Number],C451&amp;"",tbl_Finance[Cost Centre],"VIDEO")&gt;0,"VIDEO ","")&amp;IF(COUNTIFS(tbl_Finance[Job Number],C451&amp;"",tbl_Finance[Cost Centre],"INTEGRATION")&gt;0,"INTEGRATION ","")&amp;IF(COUNTIFS(tbl_Finance[Job Number],C451&amp;"",tbl_Finance[Cost Centre],"CONSULTING")&gt;0,"CONSULTING ","")&amp;IF(COUNTIFS(tbl_Finance[Job Number],C451&amp;"",tbl_Finance[Cost Centre],"CTS")&gt;0,"CTS ",""))," ",", ")))</f>
        <v/>
      </c>
      <c r="L451" s="27">
        <f>IF(C451="","",SUMIFS(tbl_Finance[Inc GST],tbl_Finance[Job Number],C451&amp;""))</f>
        <v/>
      </c>
      <c r="M451" s="24" t="n"/>
      <c r="N451" s="25">
        <f>IF(C451="","",IFERROR(INDEX(tbl_Finance[Description],MATCH(C451&amp;"",tbl_Finance[Job Number],0)),""))</f>
        <v/>
      </c>
      <c r="O451" s="24" t="n"/>
      <c r="P451" s="24" t="n"/>
      <c r="Q451" s="22" t="n"/>
      <c r="R451" s="24" t="n"/>
      <c r="S451" s="25">
        <f>IF(R451="","",IF(AND(LEFT(R451,4)&lt;&gt;"http",set_RMSBase=""),"",HYPERLINK(IF(LEFT(R451,4)="http",R451,set_RMSBase&amp;R451),"Open opportunity")))</f>
        <v/>
      </c>
      <c r="T451" s="24" t="n"/>
      <c r="U451" s="25">
        <f>IF(T451="","",HYPERLINK(IF(LEFT(T451,4)="http",T451,set_QwilrBase&amp;T451),"Open quote"))</f>
        <v/>
      </c>
      <c r="V451" s="25">
        <f>IF(C451="","",C451)</f>
        <v/>
      </c>
      <c r="W451" s="24" t="n"/>
      <c r="X451" s="26" t="n"/>
      <c r="Y451" s="27">
        <f>IF(C451="","",H451+N(X451))</f>
        <v/>
      </c>
      <c r="Z451" s="29">
        <f>IFERROR(X451/Y451,"")</f>
        <v/>
      </c>
      <c r="AA451" s="26" t="n"/>
      <c r="AB451" s="26" t="n"/>
      <c r="AC451" s="26" t="n"/>
      <c r="AD451" s="26" t="n"/>
      <c r="AE451" s="27">
        <f>IF(C451="","",SUMIFS(tbl_Finance[Ex GST],tbl_Finance[Job Number],C451&amp;"",tbl_Finance[Cost Centre],"VIDEO"))</f>
        <v/>
      </c>
      <c r="AF451" s="29">
        <f>IFERROR(AE451/H451,"")</f>
        <v/>
      </c>
      <c r="AG451" s="27">
        <f>IF(C451="","",N(AA451)+N(AB451)+N(AC451)+N(AD451))</f>
        <v/>
      </c>
      <c r="AH451" s="27">
        <f>IF(C451="","",H451-AG451)</f>
        <v/>
      </c>
      <c r="AI451" s="29">
        <f>IFERROR(AH451/H451,"")</f>
        <v/>
      </c>
      <c r="AJ451" s="64" t="n"/>
      <c r="AK451" s="64" t="n"/>
      <c r="AL451" s="64" t="n"/>
      <c r="AM451" s="64" t="n"/>
      <c r="AN451" s="64" t="n"/>
      <c r="AO451" s="24" t="n"/>
    </row>
    <row r="452" ht="15" customHeight="1">
      <c r="A452" s="63">
        <f>IF(C452="","",IFERROR(IF(SUMPRODUCT(MAX((tbl_Finance[Job Number]=C452&amp;"")*(tbl_Finance[Xero Invoice No]&lt;&gt;"")*tbl_Finance[Date]))=0,"",SUMPRODUCT(MAX((tbl_Finance[Job Number]=C452&amp;"")*(tbl_Finance[Xero Invoice No]&lt;&gt;"")*tbl_Finance[Date]))),""))</f>
        <v/>
      </c>
      <c r="B452" s="25">
        <f>IF(C452="","",IF(COUNTIFS(tbl_Finance[Job Number],C452&amp;"",tbl_Finance[Xero Invoice No],"&lt;&gt;")=0,"",IFERROR(IF(COUNTIFS(tbl_Finance[Job Number],C452&amp;"",tbl_Finance[Xero Invoice No],LOOKUP(2,1/((tbl_Finance[Job Number]=C452&amp;"")*(tbl_Finance[Xero Invoice No]&lt;&gt;"")),tbl_Finance[Xero Invoice No]))=COUNTIFS(tbl_Finance[Job Number],C452&amp;"",tbl_Finance[Xero Invoice No],"&lt;&gt;"),LOOKUP(2,1/((tbl_Finance[Job Number]=C452&amp;"")*(tbl_Finance[Xero Invoice No]&lt;&gt;"")),tbl_Finance[Xero Invoice No]),LOOKUP(2,1/((tbl_Finance[Job Number]=C452&amp;"")*(tbl_Finance[Xero Invoice No]&lt;&gt;"")),tbl_Finance[Xero Invoice No])&amp;" +more"),"")))</f>
        <v/>
      </c>
      <c r="C452" s="24" t="n"/>
      <c r="D452" s="25">
        <f>IF(C452="","",IF(COUNTIF(lst_Jobs,C452&amp;"")&gt;0,"OK","CHECK"))</f>
        <v/>
      </c>
      <c r="E452" s="25">
        <f>IF(C452="","",IFERROR(INDEX(lst_JobName,MATCH(C452&amp;"",lst_Jobs,0)),""))</f>
        <v/>
      </c>
      <c r="F452" s="25">
        <f>IF(C452="","",IFERROR(INDEX(tbl_Finance[Client],MATCH(C452&amp;"",tbl_Finance[Job Number],0)),""))</f>
        <v/>
      </c>
      <c r="G452" s="28">
        <f>IF(C452="","",COUNTIFS(tbl_Finance[Job Number],C452&amp;"",tbl_Finance[Ex GST],"&lt;&gt;"))</f>
        <v/>
      </c>
      <c r="H452" s="27">
        <f>IF(C452="","",SUMIFS(tbl_Finance[Ex GST],tbl_Finance[Job Number],C452&amp;""))</f>
        <v/>
      </c>
      <c r="I452" s="27">
        <f>IF(C452="","",SUMIFS(tbl_Finance[Ex GST],tbl_Finance[Job Number],C452&amp;"",tbl_Finance[Xero Invoice No],"&lt;&gt;"))</f>
        <v/>
      </c>
      <c r="J452" s="27">
        <f>IF(C452="","",H452-I452)</f>
        <v/>
      </c>
      <c r="K452" s="25">
        <f>IF(C452="","",IF(G452=0,"not invoiced yet",SUBSTITUTE(TRIM(IF(COUNTIFS(tbl_Finance[Job Number],C452&amp;"",tbl_Finance[Cost Centre],"ONSITE")&gt;0,"ONSITE ","")&amp;IF(COUNTIFS(tbl_Finance[Job Number],C452&amp;"",tbl_Finance[Cost Centre],"PRODUCTION")&gt;0,"PRODUCTION ","")&amp;IF(COUNTIFS(tbl_Finance[Job Number],C452&amp;"",tbl_Finance[Cost Centre],"VIDEO")&gt;0,"VIDEO ","")&amp;IF(COUNTIFS(tbl_Finance[Job Number],C452&amp;"",tbl_Finance[Cost Centre],"INTEGRATION")&gt;0,"INTEGRATION ","")&amp;IF(COUNTIFS(tbl_Finance[Job Number],C452&amp;"",tbl_Finance[Cost Centre],"CONSULTING")&gt;0,"CONSULTING ","")&amp;IF(COUNTIFS(tbl_Finance[Job Number],C452&amp;"",tbl_Finance[Cost Centre],"CTS")&gt;0,"CTS ",""))," ",", ")))</f>
        <v/>
      </c>
      <c r="L452" s="27">
        <f>IF(C452="","",SUMIFS(tbl_Finance[Inc GST],tbl_Finance[Job Number],C452&amp;""))</f>
        <v/>
      </c>
      <c r="M452" s="24" t="n"/>
      <c r="N452" s="25">
        <f>IF(C452="","",IFERROR(INDEX(tbl_Finance[Description],MATCH(C452&amp;"",tbl_Finance[Job Number],0)),""))</f>
        <v/>
      </c>
      <c r="O452" s="24" t="n"/>
      <c r="P452" s="24" t="n"/>
      <c r="Q452" s="22" t="n"/>
      <c r="R452" s="24" t="n"/>
      <c r="S452" s="25">
        <f>IF(R452="","",IF(AND(LEFT(R452,4)&lt;&gt;"http",set_RMSBase=""),"",HYPERLINK(IF(LEFT(R452,4)="http",R452,set_RMSBase&amp;R452),"Open opportunity")))</f>
        <v/>
      </c>
      <c r="T452" s="24" t="n"/>
      <c r="U452" s="25">
        <f>IF(T452="","",HYPERLINK(IF(LEFT(T452,4)="http",T452,set_QwilrBase&amp;T452),"Open quote"))</f>
        <v/>
      </c>
      <c r="V452" s="25">
        <f>IF(C452="","",C452)</f>
        <v/>
      </c>
      <c r="W452" s="24" t="n"/>
      <c r="X452" s="26" t="n"/>
      <c r="Y452" s="27">
        <f>IF(C452="","",H452+N(X452))</f>
        <v/>
      </c>
      <c r="Z452" s="29">
        <f>IFERROR(X452/Y452,"")</f>
        <v/>
      </c>
      <c r="AA452" s="26" t="n"/>
      <c r="AB452" s="26" t="n"/>
      <c r="AC452" s="26" t="n"/>
      <c r="AD452" s="26" t="n"/>
      <c r="AE452" s="27">
        <f>IF(C452="","",SUMIFS(tbl_Finance[Ex GST],tbl_Finance[Job Number],C452&amp;"",tbl_Finance[Cost Centre],"VIDEO"))</f>
        <v/>
      </c>
      <c r="AF452" s="29">
        <f>IFERROR(AE452/H452,"")</f>
        <v/>
      </c>
      <c r="AG452" s="27">
        <f>IF(C452="","",N(AA452)+N(AB452)+N(AC452)+N(AD452))</f>
        <v/>
      </c>
      <c r="AH452" s="27">
        <f>IF(C452="","",H452-AG452)</f>
        <v/>
      </c>
      <c r="AI452" s="29">
        <f>IFERROR(AH452/H452,"")</f>
        <v/>
      </c>
      <c r="AJ452" s="64" t="n"/>
      <c r="AK452" s="64" t="n"/>
      <c r="AL452" s="64" t="n"/>
      <c r="AM452" s="64" t="n"/>
      <c r="AN452" s="64" t="n"/>
      <c r="AO452" s="24" t="n"/>
    </row>
    <row r="453" ht="15" customHeight="1">
      <c r="A453" s="63">
        <f>IF(C453="","",IFERROR(IF(SUMPRODUCT(MAX((tbl_Finance[Job Number]=C453&amp;"")*(tbl_Finance[Xero Invoice No]&lt;&gt;"")*tbl_Finance[Date]))=0,"",SUMPRODUCT(MAX((tbl_Finance[Job Number]=C453&amp;"")*(tbl_Finance[Xero Invoice No]&lt;&gt;"")*tbl_Finance[Date]))),""))</f>
        <v/>
      </c>
      <c r="B453" s="25">
        <f>IF(C453="","",IF(COUNTIFS(tbl_Finance[Job Number],C453&amp;"",tbl_Finance[Xero Invoice No],"&lt;&gt;")=0,"",IFERROR(IF(COUNTIFS(tbl_Finance[Job Number],C453&amp;"",tbl_Finance[Xero Invoice No],LOOKUP(2,1/((tbl_Finance[Job Number]=C453&amp;"")*(tbl_Finance[Xero Invoice No]&lt;&gt;"")),tbl_Finance[Xero Invoice No]))=COUNTIFS(tbl_Finance[Job Number],C453&amp;"",tbl_Finance[Xero Invoice No],"&lt;&gt;"),LOOKUP(2,1/((tbl_Finance[Job Number]=C453&amp;"")*(tbl_Finance[Xero Invoice No]&lt;&gt;"")),tbl_Finance[Xero Invoice No]),LOOKUP(2,1/((tbl_Finance[Job Number]=C453&amp;"")*(tbl_Finance[Xero Invoice No]&lt;&gt;"")),tbl_Finance[Xero Invoice No])&amp;" +more"),"")))</f>
        <v/>
      </c>
      <c r="C453" s="24" t="n"/>
      <c r="D453" s="25">
        <f>IF(C453="","",IF(COUNTIF(lst_Jobs,C453&amp;"")&gt;0,"OK","CHECK"))</f>
        <v/>
      </c>
      <c r="E453" s="25">
        <f>IF(C453="","",IFERROR(INDEX(lst_JobName,MATCH(C453&amp;"",lst_Jobs,0)),""))</f>
        <v/>
      </c>
      <c r="F453" s="25">
        <f>IF(C453="","",IFERROR(INDEX(tbl_Finance[Client],MATCH(C453&amp;"",tbl_Finance[Job Number],0)),""))</f>
        <v/>
      </c>
      <c r="G453" s="28">
        <f>IF(C453="","",COUNTIFS(tbl_Finance[Job Number],C453&amp;"",tbl_Finance[Ex GST],"&lt;&gt;"))</f>
        <v/>
      </c>
      <c r="H453" s="27">
        <f>IF(C453="","",SUMIFS(tbl_Finance[Ex GST],tbl_Finance[Job Number],C453&amp;""))</f>
        <v/>
      </c>
      <c r="I453" s="27">
        <f>IF(C453="","",SUMIFS(tbl_Finance[Ex GST],tbl_Finance[Job Number],C453&amp;"",tbl_Finance[Xero Invoice No],"&lt;&gt;"))</f>
        <v/>
      </c>
      <c r="J453" s="27">
        <f>IF(C453="","",H453-I453)</f>
        <v/>
      </c>
      <c r="K453" s="25">
        <f>IF(C453="","",IF(G453=0,"not invoiced yet",SUBSTITUTE(TRIM(IF(COUNTIFS(tbl_Finance[Job Number],C453&amp;"",tbl_Finance[Cost Centre],"ONSITE")&gt;0,"ONSITE ","")&amp;IF(COUNTIFS(tbl_Finance[Job Number],C453&amp;"",tbl_Finance[Cost Centre],"PRODUCTION")&gt;0,"PRODUCTION ","")&amp;IF(COUNTIFS(tbl_Finance[Job Number],C453&amp;"",tbl_Finance[Cost Centre],"VIDEO")&gt;0,"VIDEO ","")&amp;IF(COUNTIFS(tbl_Finance[Job Number],C453&amp;"",tbl_Finance[Cost Centre],"INTEGRATION")&gt;0,"INTEGRATION ","")&amp;IF(COUNTIFS(tbl_Finance[Job Number],C453&amp;"",tbl_Finance[Cost Centre],"CONSULTING")&gt;0,"CONSULTING ","")&amp;IF(COUNTIFS(tbl_Finance[Job Number],C453&amp;"",tbl_Finance[Cost Centre],"CTS")&gt;0,"CTS ",""))," ",", ")))</f>
        <v/>
      </c>
      <c r="L453" s="27">
        <f>IF(C453="","",SUMIFS(tbl_Finance[Inc GST],tbl_Finance[Job Number],C453&amp;""))</f>
        <v/>
      </c>
      <c r="M453" s="24" t="n"/>
      <c r="N453" s="25">
        <f>IF(C453="","",IFERROR(INDEX(tbl_Finance[Description],MATCH(C453&amp;"",tbl_Finance[Job Number],0)),""))</f>
        <v/>
      </c>
      <c r="O453" s="24" t="n"/>
      <c r="P453" s="24" t="n"/>
      <c r="Q453" s="22" t="n"/>
      <c r="R453" s="24" t="n"/>
      <c r="S453" s="25">
        <f>IF(R453="","",IF(AND(LEFT(R453,4)&lt;&gt;"http",set_RMSBase=""),"",HYPERLINK(IF(LEFT(R453,4)="http",R453,set_RMSBase&amp;R453),"Open opportunity")))</f>
        <v/>
      </c>
      <c r="T453" s="24" t="n"/>
      <c r="U453" s="25">
        <f>IF(T453="","",HYPERLINK(IF(LEFT(T453,4)="http",T453,set_QwilrBase&amp;T453),"Open quote"))</f>
        <v/>
      </c>
      <c r="V453" s="25">
        <f>IF(C453="","",C453)</f>
        <v/>
      </c>
      <c r="W453" s="24" t="n"/>
      <c r="X453" s="26" t="n"/>
      <c r="Y453" s="27">
        <f>IF(C453="","",H453+N(X453))</f>
        <v/>
      </c>
      <c r="Z453" s="29">
        <f>IFERROR(X453/Y453,"")</f>
        <v/>
      </c>
      <c r="AA453" s="26" t="n"/>
      <c r="AB453" s="26" t="n"/>
      <c r="AC453" s="26" t="n"/>
      <c r="AD453" s="26" t="n"/>
      <c r="AE453" s="27">
        <f>IF(C453="","",SUMIFS(tbl_Finance[Ex GST],tbl_Finance[Job Number],C453&amp;"",tbl_Finance[Cost Centre],"VIDEO"))</f>
        <v/>
      </c>
      <c r="AF453" s="29">
        <f>IFERROR(AE453/H453,"")</f>
        <v/>
      </c>
      <c r="AG453" s="27">
        <f>IF(C453="","",N(AA453)+N(AB453)+N(AC453)+N(AD453))</f>
        <v/>
      </c>
      <c r="AH453" s="27">
        <f>IF(C453="","",H453-AG453)</f>
        <v/>
      </c>
      <c r="AI453" s="29">
        <f>IFERROR(AH453/H453,"")</f>
        <v/>
      </c>
      <c r="AJ453" s="64" t="n"/>
      <c r="AK453" s="64" t="n"/>
      <c r="AL453" s="64" t="n"/>
      <c r="AM453" s="64" t="n"/>
      <c r="AN453" s="64" t="n"/>
      <c r="AO453" s="24" t="n"/>
    </row>
    <row r="454" ht="15" customHeight="1">
      <c r="A454" s="63">
        <f>IF(C454="","",IFERROR(IF(SUMPRODUCT(MAX((tbl_Finance[Job Number]=C454&amp;"")*(tbl_Finance[Xero Invoice No]&lt;&gt;"")*tbl_Finance[Date]))=0,"",SUMPRODUCT(MAX((tbl_Finance[Job Number]=C454&amp;"")*(tbl_Finance[Xero Invoice No]&lt;&gt;"")*tbl_Finance[Date]))),""))</f>
        <v/>
      </c>
      <c r="B454" s="25">
        <f>IF(C454="","",IF(COUNTIFS(tbl_Finance[Job Number],C454&amp;"",tbl_Finance[Xero Invoice No],"&lt;&gt;")=0,"",IFERROR(IF(COUNTIFS(tbl_Finance[Job Number],C454&amp;"",tbl_Finance[Xero Invoice No],LOOKUP(2,1/((tbl_Finance[Job Number]=C454&amp;"")*(tbl_Finance[Xero Invoice No]&lt;&gt;"")),tbl_Finance[Xero Invoice No]))=COUNTIFS(tbl_Finance[Job Number],C454&amp;"",tbl_Finance[Xero Invoice No],"&lt;&gt;"),LOOKUP(2,1/((tbl_Finance[Job Number]=C454&amp;"")*(tbl_Finance[Xero Invoice No]&lt;&gt;"")),tbl_Finance[Xero Invoice No]),LOOKUP(2,1/((tbl_Finance[Job Number]=C454&amp;"")*(tbl_Finance[Xero Invoice No]&lt;&gt;"")),tbl_Finance[Xero Invoice No])&amp;" +more"),"")))</f>
        <v/>
      </c>
      <c r="C454" s="24" t="n"/>
      <c r="D454" s="25">
        <f>IF(C454="","",IF(COUNTIF(lst_Jobs,C454&amp;"")&gt;0,"OK","CHECK"))</f>
        <v/>
      </c>
      <c r="E454" s="25">
        <f>IF(C454="","",IFERROR(INDEX(lst_JobName,MATCH(C454&amp;"",lst_Jobs,0)),""))</f>
        <v/>
      </c>
      <c r="F454" s="25">
        <f>IF(C454="","",IFERROR(INDEX(tbl_Finance[Client],MATCH(C454&amp;"",tbl_Finance[Job Number],0)),""))</f>
        <v/>
      </c>
      <c r="G454" s="28">
        <f>IF(C454="","",COUNTIFS(tbl_Finance[Job Number],C454&amp;"",tbl_Finance[Ex GST],"&lt;&gt;"))</f>
        <v/>
      </c>
      <c r="H454" s="27">
        <f>IF(C454="","",SUMIFS(tbl_Finance[Ex GST],tbl_Finance[Job Number],C454&amp;""))</f>
        <v/>
      </c>
      <c r="I454" s="27">
        <f>IF(C454="","",SUMIFS(tbl_Finance[Ex GST],tbl_Finance[Job Number],C454&amp;"",tbl_Finance[Xero Invoice No],"&lt;&gt;"))</f>
        <v/>
      </c>
      <c r="J454" s="27">
        <f>IF(C454="","",H454-I454)</f>
        <v/>
      </c>
      <c r="K454" s="25">
        <f>IF(C454="","",IF(G454=0,"not invoiced yet",SUBSTITUTE(TRIM(IF(COUNTIFS(tbl_Finance[Job Number],C454&amp;"",tbl_Finance[Cost Centre],"ONSITE")&gt;0,"ONSITE ","")&amp;IF(COUNTIFS(tbl_Finance[Job Number],C454&amp;"",tbl_Finance[Cost Centre],"PRODUCTION")&gt;0,"PRODUCTION ","")&amp;IF(COUNTIFS(tbl_Finance[Job Number],C454&amp;"",tbl_Finance[Cost Centre],"VIDEO")&gt;0,"VIDEO ","")&amp;IF(COUNTIFS(tbl_Finance[Job Number],C454&amp;"",tbl_Finance[Cost Centre],"INTEGRATION")&gt;0,"INTEGRATION ","")&amp;IF(COUNTIFS(tbl_Finance[Job Number],C454&amp;"",tbl_Finance[Cost Centre],"CONSULTING")&gt;0,"CONSULTING ","")&amp;IF(COUNTIFS(tbl_Finance[Job Number],C454&amp;"",tbl_Finance[Cost Centre],"CTS")&gt;0,"CTS ",""))," ",", ")))</f>
        <v/>
      </c>
      <c r="L454" s="27">
        <f>IF(C454="","",SUMIFS(tbl_Finance[Inc GST],tbl_Finance[Job Number],C454&amp;""))</f>
        <v/>
      </c>
      <c r="M454" s="24" t="n"/>
      <c r="N454" s="25">
        <f>IF(C454="","",IFERROR(INDEX(tbl_Finance[Description],MATCH(C454&amp;"",tbl_Finance[Job Number],0)),""))</f>
        <v/>
      </c>
      <c r="O454" s="24" t="n"/>
      <c r="P454" s="24" t="n"/>
      <c r="Q454" s="22" t="n"/>
      <c r="R454" s="24" t="n"/>
      <c r="S454" s="25">
        <f>IF(R454="","",IF(AND(LEFT(R454,4)&lt;&gt;"http",set_RMSBase=""),"",HYPERLINK(IF(LEFT(R454,4)="http",R454,set_RMSBase&amp;R454),"Open opportunity")))</f>
        <v/>
      </c>
      <c r="T454" s="24" t="n"/>
      <c r="U454" s="25">
        <f>IF(T454="","",HYPERLINK(IF(LEFT(T454,4)="http",T454,set_QwilrBase&amp;T454),"Open quote"))</f>
        <v/>
      </c>
      <c r="V454" s="25">
        <f>IF(C454="","",C454)</f>
        <v/>
      </c>
      <c r="W454" s="24" t="n"/>
      <c r="X454" s="26" t="n"/>
      <c r="Y454" s="27">
        <f>IF(C454="","",H454+N(X454))</f>
        <v/>
      </c>
      <c r="Z454" s="29">
        <f>IFERROR(X454/Y454,"")</f>
        <v/>
      </c>
      <c r="AA454" s="26" t="n"/>
      <c r="AB454" s="26" t="n"/>
      <c r="AC454" s="26" t="n"/>
      <c r="AD454" s="26" t="n"/>
      <c r="AE454" s="27">
        <f>IF(C454="","",SUMIFS(tbl_Finance[Ex GST],tbl_Finance[Job Number],C454&amp;"",tbl_Finance[Cost Centre],"VIDEO"))</f>
        <v/>
      </c>
      <c r="AF454" s="29">
        <f>IFERROR(AE454/H454,"")</f>
        <v/>
      </c>
      <c r="AG454" s="27">
        <f>IF(C454="","",N(AA454)+N(AB454)+N(AC454)+N(AD454))</f>
        <v/>
      </c>
      <c r="AH454" s="27">
        <f>IF(C454="","",H454-AG454)</f>
        <v/>
      </c>
      <c r="AI454" s="29">
        <f>IFERROR(AH454/H454,"")</f>
        <v/>
      </c>
      <c r="AJ454" s="64" t="n"/>
      <c r="AK454" s="64" t="n"/>
      <c r="AL454" s="64" t="n"/>
      <c r="AM454" s="64" t="n"/>
      <c r="AN454" s="64" t="n"/>
      <c r="AO454" s="24" t="n"/>
    </row>
    <row r="455" ht="15" customHeight="1">
      <c r="A455" s="63">
        <f>IF(C455="","",IFERROR(IF(SUMPRODUCT(MAX((tbl_Finance[Job Number]=C455&amp;"")*(tbl_Finance[Xero Invoice No]&lt;&gt;"")*tbl_Finance[Date]))=0,"",SUMPRODUCT(MAX((tbl_Finance[Job Number]=C455&amp;"")*(tbl_Finance[Xero Invoice No]&lt;&gt;"")*tbl_Finance[Date]))),""))</f>
        <v/>
      </c>
      <c r="B455" s="25">
        <f>IF(C455="","",IF(COUNTIFS(tbl_Finance[Job Number],C455&amp;"",tbl_Finance[Xero Invoice No],"&lt;&gt;")=0,"",IFERROR(IF(COUNTIFS(tbl_Finance[Job Number],C455&amp;"",tbl_Finance[Xero Invoice No],LOOKUP(2,1/((tbl_Finance[Job Number]=C455&amp;"")*(tbl_Finance[Xero Invoice No]&lt;&gt;"")),tbl_Finance[Xero Invoice No]))=COUNTIFS(tbl_Finance[Job Number],C455&amp;"",tbl_Finance[Xero Invoice No],"&lt;&gt;"),LOOKUP(2,1/((tbl_Finance[Job Number]=C455&amp;"")*(tbl_Finance[Xero Invoice No]&lt;&gt;"")),tbl_Finance[Xero Invoice No]),LOOKUP(2,1/((tbl_Finance[Job Number]=C455&amp;"")*(tbl_Finance[Xero Invoice No]&lt;&gt;"")),tbl_Finance[Xero Invoice No])&amp;" +more"),"")))</f>
        <v/>
      </c>
      <c r="C455" s="24" t="n"/>
      <c r="D455" s="25">
        <f>IF(C455="","",IF(COUNTIF(lst_Jobs,C455&amp;"")&gt;0,"OK","CHECK"))</f>
        <v/>
      </c>
      <c r="E455" s="25">
        <f>IF(C455="","",IFERROR(INDEX(lst_JobName,MATCH(C455&amp;"",lst_Jobs,0)),""))</f>
        <v/>
      </c>
      <c r="F455" s="25">
        <f>IF(C455="","",IFERROR(INDEX(tbl_Finance[Client],MATCH(C455&amp;"",tbl_Finance[Job Number],0)),""))</f>
        <v/>
      </c>
      <c r="G455" s="28">
        <f>IF(C455="","",COUNTIFS(tbl_Finance[Job Number],C455&amp;"",tbl_Finance[Ex GST],"&lt;&gt;"))</f>
        <v/>
      </c>
      <c r="H455" s="27">
        <f>IF(C455="","",SUMIFS(tbl_Finance[Ex GST],tbl_Finance[Job Number],C455&amp;""))</f>
        <v/>
      </c>
      <c r="I455" s="27">
        <f>IF(C455="","",SUMIFS(tbl_Finance[Ex GST],tbl_Finance[Job Number],C455&amp;"",tbl_Finance[Xero Invoice No],"&lt;&gt;"))</f>
        <v/>
      </c>
      <c r="J455" s="27">
        <f>IF(C455="","",H455-I455)</f>
        <v/>
      </c>
      <c r="K455" s="25">
        <f>IF(C455="","",IF(G455=0,"not invoiced yet",SUBSTITUTE(TRIM(IF(COUNTIFS(tbl_Finance[Job Number],C455&amp;"",tbl_Finance[Cost Centre],"ONSITE")&gt;0,"ONSITE ","")&amp;IF(COUNTIFS(tbl_Finance[Job Number],C455&amp;"",tbl_Finance[Cost Centre],"PRODUCTION")&gt;0,"PRODUCTION ","")&amp;IF(COUNTIFS(tbl_Finance[Job Number],C455&amp;"",tbl_Finance[Cost Centre],"VIDEO")&gt;0,"VIDEO ","")&amp;IF(COUNTIFS(tbl_Finance[Job Number],C455&amp;"",tbl_Finance[Cost Centre],"INTEGRATION")&gt;0,"INTEGRATION ","")&amp;IF(COUNTIFS(tbl_Finance[Job Number],C455&amp;"",tbl_Finance[Cost Centre],"CONSULTING")&gt;0,"CONSULTING ","")&amp;IF(COUNTIFS(tbl_Finance[Job Number],C455&amp;"",tbl_Finance[Cost Centre],"CTS")&gt;0,"CTS ",""))," ",", ")))</f>
        <v/>
      </c>
      <c r="L455" s="27">
        <f>IF(C455="","",SUMIFS(tbl_Finance[Inc GST],tbl_Finance[Job Number],C455&amp;""))</f>
        <v/>
      </c>
      <c r="M455" s="24" t="n"/>
      <c r="N455" s="25">
        <f>IF(C455="","",IFERROR(INDEX(tbl_Finance[Description],MATCH(C455&amp;"",tbl_Finance[Job Number],0)),""))</f>
        <v/>
      </c>
      <c r="O455" s="24" t="n"/>
      <c r="P455" s="24" t="n"/>
      <c r="Q455" s="22" t="n"/>
      <c r="R455" s="24" t="n"/>
      <c r="S455" s="25">
        <f>IF(R455="","",IF(AND(LEFT(R455,4)&lt;&gt;"http",set_RMSBase=""),"",HYPERLINK(IF(LEFT(R455,4)="http",R455,set_RMSBase&amp;R455),"Open opportunity")))</f>
        <v/>
      </c>
      <c r="T455" s="24" t="n"/>
      <c r="U455" s="25">
        <f>IF(T455="","",HYPERLINK(IF(LEFT(T455,4)="http",T455,set_QwilrBase&amp;T455),"Open quote"))</f>
        <v/>
      </c>
      <c r="V455" s="25">
        <f>IF(C455="","",C455)</f>
        <v/>
      </c>
      <c r="W455" s="24" t="n"/>
      <c r="X455" s="26" t="n"/>
      <c r="Y455" s="27">
        <f>IF(C455="","",H455+N(X455))</f>
        <v/>
      </c>
      <c r="Z455" s="29">
        <f>IFERROR(X455/Y455,"")</f>
        <v/>
      </c>
      <c r="AA455" s="26" t="n"/>
      <c r="AB455" s="26" t="n"/>
      <c r="AC455" s="26" t="n"/>
      <c r="AD455" s="26" t="n"/>
      <c r="AE455" s="27">
        <f>IF(C455="","",SUMIFS(tbl_Finance[Ex GST],tbl_Finance[Job Number],C455&amp;"",tbl_Finance[Cost Centre],"VIDEO"))</f>
        <v/>
      </c>
      <c r="AF455" s="29">
        <f>IFERROR(AE455/H455,"")</f>
        <v/>
      </c>
      <c r="AG455" s="27">
        <f>IF(C455="","",N(AA455)+N(AB455)+N(AC455)+N(AD455))</f>
        <v/>
      </c>
      <c r="AH455" s="27">
        <f>IF(C455="","",H455-AG455)</f>
        <v/>
      </c>
      <c r="AI455" s="29">
        <f>IFERROR(AH455/H455,"")</f>
        <v/>
      </c>
      <c r="AJ455" s="64" t="n"/>
      <c r="AK455" s="64" t="n"/>
      <c r="AL455" s="64" t="n"/>
      <c r="AM455" s="64" t="n"/>
      <c r="AN455" s="64" t="n"/>
      <c r="AO455" s="24" t="n"/>
    </row>
    <row r="456" ht="15" customHeight="1">
      <c r="A456" s="63">
        <f>IF(C456="","",IFERROR(IF(SUMPRODUCT(MAX((tbl_Finance[Job Number]=C456&amp;"")*(tbl_Finance[Xero Invoice No]&lt;&gt;"")*tbl_Finance[Date]))=0,"",SUMPRODUCT(MAX((tbl_Finance[Job Number]=C456&amp;"")*(tbl_Finance[Xero Invoice No]&lt;&gt;"")*tbl_Finance[Date]))),""))</f>
        <v/>
      </c>
      <c r="B456" s="25">
        <f>IF(C456="","",IF(COUNTIFS(tbl_Finance[Job Number],C456&amp;"",tbl_Finance[Xero Invoice No],"&lt;&gt;")=0,"",IFERROR(IF(COUNTIFS(tbl_Finance[Job Number],C456&amp;"",tbl_Finance[Xero Invoice No],LOOKUP(2,1/((tbl_Finance[Job Number]=C456&amp;"")*(tbl_Finance[Xero Invoice No]&lt;&gt;"")),tbl_Finance[Xero Invoice No]))=COUNTIFS(tbl_Finance[Job Number],C456&amp;"",tbl_Finance[Xero Invoice No],"&lt;&gt;"),LOOKUP(2,1/((tbl_Finance[Job Number]=C456&amp;"")*(tbl_Finance[Xero Invoice No]&lt;&gt;"")),tbl_Finance[Xero Invoice No]),LOOKUP(2,1/((tbl_Finance[Job Number]=C456&amp;"")*(tbl_Finance[Xero Invoice No]&lt;&gt;"")),tbl_Finance[Xero Invoice No])&amp;" +more"),"")))</f>
        <v/>
      </c>
      <c r="C456" s="24" t="n"/>
      <c r="D456" s="25">
        <f>IF(C456="","",IF(COUNTIF(lst_Jobs,C456&amp;"")&gt;0,"OK","CHECK"))</f>
        <v/>
      </c>
      <c r="E456" s="25">
        <f>IF(C456="","",IFERROR(INDEX(lst_JobName,MATCH(C456&amp;"",lst_Jobs,0)),""))</f>
        <v/>
      </c>
      <c r="F456" s="25">
        <f>IF(C456="","",IFERROR(INDEX(tbl_Finance[Client],MATCH(C456&amp;"",tbl_Finance[Job Number],0)),""))</f>
        <v/>
      </c>
      <c r="G456" s="28">
        <f>IF(C456="","",COUNTIFS(tbl_Finance[Job Number],C456&amp;"",tbl_Finance[Ex GST],"&lt;&gt;"))</f>
        <v/>
      </c>
      <c r="H456" s="27">
        <f>IF(C456="","",SUMIFS(tbl_Finance[Ex GST],tbl_Finance[Job Number],C456&amp;""))</f>
        <v/>
      </c>
      <c r="I456" s="27">
        <f>IF(C456="","",SUMIFS(tbl_Finance[Ex GST],tbl_Finance[Job Number],C456&amp;"",tbl_Finance[Xero Invoice No],"&lt;&gt;"))</f>
        <v/>
      </c>
      <c r="J456" s="27">
        <f>IF(C456="","",H456-I456)</f>
        <v/>
      </c>
      <c r="K456" s="25">
        <f>IF(C456="","",IF(G456=0,"not invoiced yet",SUBSTITUTE(TRIM(IF(COUNTIFS(tbl_Finance[Job Number],C456&amp;"",tbl_Finance[Cost Centre],"ONSITE")&gt;0,"ONSITE ","")&amp;IF(COUNTIFS(tbl_Finance[Job Number],C456&amp;"",tbl_Finance[Cost Centre],"PRODUCTION")&gt;0,"PRODUCTION ","")&amp;IF(COUNTIFS(tbl_Finance[Job Number],C456&amp;"",tbl_Finance[Cost Centre],"VIDEO")&gt;0,"VIDEO ","")&amp;IF(COUNTIFS(tbl_Finance[Job Number],C456&amp;"",tbl_Finance[Cost Centre],"INTEGRATION")&gt;0,"INTEGRATION ","")&amp;IF(COUNTIFS(tbl_Finance[Job Number],C456&amp;"",tbl_Finance[Cost Centre],"CONSULTING")&gt;0,"CONSULTING ","")&amp;IF(COUNTIFS(tbl_Finance[Job Number],C456&amp;"",tbl_Finance[Cost Centre],"CTS")&gt;0,"CTS ",""))," ",", ")))</f>
        <v/>
      </c>
      <c r="L456" s="27">
        <f>IF(C456="","",SUMIFS(tbl_Finance[Inc GST],tbl_Finance[Job Number],C456&amp;""))</f>
        <v/>
      </c>
      <c r="M456" s="24" t="n"/>
      <c r="N456" s="25">
        <f>IF(C456="","",IFERROR(INDEX(tbl_Finance[Description],MATCH(C456&amp;"",tbl_Finance[Job Number],0)),""))</f>
        <v/>
      </c>
      <c r="O456" s="24" t="n"/>
      <c r="P456" s="24" t="n"/>
      <c r="Q456" s="22" t="n"/>
      <c r="R456" s="24" t="n"/>
      <c r="S456" s="25">
        <f>IF(R456="","",IF(AND(LEFT(R456,4)&lt;&gt;"http",set_RMSBase=""),"",HYPERLINK(IF(LEFT(R456,4)="http",R456,set_RMSBase&amp;R456),"Open opportunity")))</f>
        <v/>
      </c>
      <c r="T456" s="24" t="n"/>
      <c r="U456" s="25">
        <f>IF(T456="","",HYPERLINK(IF(LEFT(T456,4)="http",T456,set_QwilrBase&amp;T456),"Open quote"))</f>
        <v/>
      </c>
      <c r="V456" s="25">
        <f>IF(C456="","",C456)</f>
        <v/>
      </c>
      <c r="W456" s="24" t="n"/>
      <c r="X456" s="26" t="n"/>
      <c r="Y456" s="27">
        <f>IF(C456="","",H456+N(X456))</f>
        <v/>
      </c>
      <c r="Z456" s="29">
        <f>IFERROR(X456/Y456,"")</f>
        <v/>
      </c>
      <c r="AA456" s="26" t="n"/>
      <c r="AB456" s="26" t="n"/>
      <c r="AC456" s="26" t="n"/>
      <c r="AD456" s="26" t="n"/>
      <c r="AE456" s="27">
        <f>IF(C456="","",SUMIFS(tbl_Finance[Ex GST],tbl_Finance[Job Number],C456&amp;"",tbl_Finance[Cost Centre],"VIDEO"))</f>
        <v/>
      </c>
      <c r="AF456" s="29">
        <f>IFERROR(AE456/H456,"")</f>
        <v/>
      </c>
      <c r="AG456" s="27">
        <f>IF(C456="","",N(AA456)+N(AB456)+N(AC456)+N(AD456))</f>
        <v/>
      </c>
      <c r="AH456" s="27">
        <f>IF(C456="","",H456-AG456)</f>
        <v/>
      </c>
      <c r="AI456" s="29">
        <f>IFERROR(AH456/H456,"")</f>
        <v/>
      </c>
      <c r="AJ456" s="64" t="n"/>
      <c r="AK456" s="64" t="n"/>
      <c r="AL456" s="64" t="n"/>
      <c r="AM456" s="64" t="n"/>
      <c r="AN456" s="64" t="n"/>
      <c r="AO456" s="24" t="n"/>
    </row>
    <row r="457" ht="15" customHeight="1">
      <c r="A457" s="63">
        <f>IF(C457="","",IFERROR(IF(SUMPRODUCT(MAX((tbl_Finance[Job Number]=C457&amp;"")*(tbl_Finance[Xero Invoice No]&lt;&gt;"")*tbl_Finance[Date]))=0,"",SUMPRODUCT(MAX((tbl_Finance[Job Number]=C457&amp;"")*(tbl_Finance[Xero Invoice No]&lt;&gt;"")*tbl_Finance[Date]))),""))</f>
        <v/>
      </c>
      <c r="B457" s="25">
        <f>IF(C457="","",IF(COUNTIFS(tbl_Finance[Job Number],C457&amp;"",tbl_Finance[Xero Invoice No],"&lt;&gt;")=0,"",IFERROR(IF(COUNTIFS(tbl_Finance[Job Number],C457&amp;"",tbl_Finance[Xero Invoice No],LOOKUP(2,1/((tbl_Finance[Job Number]=C457&amp;"")*(tbl_Finance[Xero Invoice No]&lt;&gt;"")),tbl_Finance[Xero Invoice No]))=COUNTIFS(tbl_Finance[Job Number],C457&amp;"",tbl_Finance[Xero Invoice No],"&lt;&gt;"),LOOKUP(2,1/((tbl_Finance[Job Number]=C457&amp;"")*(tbl_Finance[Xero Invoice No]&lt;&gt;"")),tbl_Finance[Xero Invoice No]),LOOKUP(2,1/((tbl_Finance[Job Number]=C457&amp;"")*(tbl_Finance[Xero Invoice No]&lt;&gt;"")),tbl_Finance[Xero Invoice No])&amp;" +more"),"")))</f>
        <v/>
      </c>
      <c r="C457" s="24" t="n"/>
      <c r="D457" s="25">
        <f>IF(C457="","",IF(COUNTIF(lst_Jobs,C457&amp;"")&gt;0,"OK","CHECK"))</f>
        <v/>
      </c>
      <c r="E457" s="25">
        <f>IF(C457="","",IFERROR(INDEX(lst_JobName,MATCH(C457&amp;"",lst_Jobs,0)),""))</f>
        <v/>
      </c>
      <c r="F457" s="25">
        <f>IF(C457="","",IFERROR(INDEX(tbl_Finance[Client],MATCH(C457&amp;"",tbl_Finance[Job Number],0)),""))</f>
        <v/>
      </c>
      <c r="G457" s="28">
        <f>IF(C457="","",COUNTIFS(tbl_Finance[Job Number],C457&amp;"",tbl_Finance[Ex GST],"&lt;&gt;"))</f>
        <v/>
      </c>
      <c r="H457" s="27">
        <f>IF(C457="","",SUMIFS(tbl_Finance[Ex GST],tbl_Finance[Job Number],C457&amp;""))</f>
        <v/>
      </c>
      <c r="I457" s="27">
        <f>IF(C457="","",SUMIFS(tbl_Finance[Ex GST],tbl_Finance[Job Number],C457&amp;"",tbl_Finance[Xero Invoice No],"&lt;&gt;"))</f>
        <v/>
      </c>
      <c r="J457" s="27">
        <f>IF(C457="","",H457-I457)</f>
        <v/>
      </c>
      <c r="K457" s="25">
        <f>IF(C457="","",IF(G457=0,"not invoiced yet",SUBSTITUTE(TRIM(IF(COUNTIFS(tbl_Finance[Job Number],C457&amp;"",tbl_Finance[Cost Centre],"ONSITE")&gt;0,"ONSITE ","")&amp;IF(COUNTIFS(tbl_Finance[Job Number],C457&amp;"",tbl_Finance[Cost Centre],"PRODUCTION")&gt;0,"PRODUCTION ","")&amp;IF(COUNTIFS(tbl_Finance[Job Number],C457&amp;"",tbl_Finance[Cost Centre],"VIDEO")&gt;0,"VIDEO ","")&amp;IF(COUNTIFS(tbl_Finance[Job Number],C457&amp;"",tbl_Finance[Cost Centre],"INTEGRATION")&gt;0,"INTEGRATION ","")&amp;IF(COUNTIFS(tbl_Finance[Job Number],C457&amp;"",tbl_Finance[Cost Centre],"CONSULTING")&gt;0,"CONSULTING ","")&amp;IF(COUNTIFS(tbl_Finance[Job Number],C457&amp;"",tbl_Finance[Cost Centre],"CTS")&gt;0,"CTS ",""))," ",", ")))</f>
        <v/>
      </c>
      <c r="L457" s="27">
        <f>IF(C457="","",SUMIFS(tbl_Finance[Inc GST],tbl_Finance[Job Number],C457&amp;""))</f>
        <v/>
      </c>
      <c r="M457" s="24" t="n"/>
      <c r="N457" s="25">
        <f>IF(C457="","",IFERROR(INDEX(tbl_Finance[Description],MATCH(C457&amp;"",tbl_Finance[Job Number],0)),""))</f>
        <v/>
      </c>
      <c r="O457" s="24" t="n"/>
      <c r="P457" s="24" t="n"/>
      <c r="Q457" s="22" t="n"/>
      <c r="R457" s="24" t="n"/>
      <c r="S457" s="25">
        <f>IF(R457="","",IF(AND(LEFT(R457,4)&lt;&gt;"http",set_RMSBase=""),"",HYPERLINK(IF(LEFT(R457,4)="http",R457,set_RMSBase&amp;R457),"Open opportunity")))</f>
        <v/>
      </c>
      <c r="T457" s="24" t="n"/>
      <c r="U457" s="25">
        <f>IF(T457="","",HYPERLINK(IF(LEFT(T457,4)="http",T457,set_QwilrBase&amp;T457),"Open quote"))</f>
        <v/>
      </c>
      <c r="V457" s="25">
        <f>IF(C457="","",C457)</f>
        <v/>
      </c>
      <c r="W457" s="24" t="n"/>
      <c r="X457" s="26" t="n"/>
      <c r="Y457" s="27">
        <f>IF(C457="","",H457+N(X457))</f>
        <v/>
      </c>
      <c r="Z457" s="29">
        <f>IFERROR(X457/Y457,"")</f>
        <v/>
      </c>
      <c r="AA457" s="26" t="n"/>
      <c r="AB457" s="26" t="n"/>
      <c r="AC457" s="26" t="n"/>
      <c r="AD457" s="26" t="n"/>
      <c r="AE457" s="27">
        <f>IF(C457="","",SUMIFS(tbl_Finance[Ex GST],tbl_Finance[Job Number],C457&amp;"",tbl_Finance[Cost Centre],"VIDEO"))</f>
        <v/>
      </c>
      <c r="AF457" s="29">
        <f>IFERROR(AE457/H457,"")</f>
        <v/>
      </c>
      <c r="AG457" s="27">
        <f>IF(C457="","",N(AA457)+N(AB457)+N(AC457)+N(AD457))</f>
        <v/>
      </c>
      <c r="AH457" s="27">
        <f>IF(C457="","",H457-AG457)</f>
        <v/>
      </c>
      <c r="AI457" s="29">
        <f>IFERROR(AH457/H457,"")</f>
        <v/>
      </c>
      <c r="AJ457" s="64" t="n"/>
      <c r="AK457" s="64" t="n"/>
      <c r="AL457" s="64" t="n"/>
      <c r="AM457" s="64" t="n"/>
      <c r="AN457" s="64" t="n"/>
      <c r="AO457" s="24" t="n"/>
    </row>
    <row r="458" ht="15" customHeight="1">
      <c r="A458" s="63">
        <f>IF(C458="","",IFERROR(IF(SUMPRODUCT(MAX((tbl_Finance[Job Number]=C458&amp;"")*(tbl_Finance[Xero Invoice No]&lt;&gt;"")*tbl_Finance[Date]))=0,"",SUMPRODUCT(MAX((tbl_Finance[Job Number]=C458&amp;"")*(tbl_Finance[Xero Invoice No]&lt;&gt;"")*tbl_Finance[Date]))),""))</f>
        <v/>
      </c>
      <c r="B458" s="25">
        <f>IF(C458="","",IF(COUNTIFS(tbl_Finance[Job Number],C458&amp;"",tbl_Finance[Xero Invoice No],"&lt;&gt;")=0,"",IFERROR(IF(COUNTIFS(tbl_Finance[Job Number],C458&amp;"",tbl_Finance[Xero Invoice No],LOOKUP(2,1/((tbl_Finance[Job Number]=C458&amp;"")*(tbl_Finance[Xero Invoice No]&lt;&gt;"")),tbl_Finance[Xero Invoice No]))=COUNTIFS(tbl_Finance[Job Number],C458&amp;"",tbl_Finance[Xero Invoice No],"&lt;&gt;"),LOOKUP(2,1/((tbl_Finance[Job Number]=C458&amp;"")*(tbl_Finance[Xero Invoice No]&lt;&gt;"")),tbl_Finance[Xero Invoice No]),LOOKUP(2,1/((tbl_Finance[Job Number]=C458&amp;"")*(tbl_Finance[Xero Invoice No]&lt;&gt;"")),tbl_Finance[Xero Invoice No])&amp;" +more"),"")))</f>
        <v/>
      </c>
      <c r="C458" s="24" t="n"/>
      <c r="D458" s="25">
        <f>IF(C458="","",IF(COUNTIF(lst_Jobs,C458&amp;"")&gt;0,"OK","CHECK"))</f>
        <v/>
      </c>
      <c r="E458" s="25">
        <f>IF(C458="","",IFERROR(INDEX(lst_JobName,MATCH(C458&amp;"",lst_Jobs,0)),""))</f>
        <v/>
      </c>
      <c r="F458" s="25">
        <f>IF(C458="","",IFERROR(INDEX(tbl_Finance[Client],MATCH(C458&amp;"",tbl_Finance[Job Number],0)),""))</f>
        <v/>
      </c>
      <c r="G458" s="28">
        <f>IF(C458="","",COUNTIFS(tbl_Finance[Job Number],C458&amp;"",tbl_Finance[Ex GST],"&lt;&gt;"))</f>
        <v/>
      </c>
      <c r="H458" s="27">
        <f>IF(C458="","",SUMIFS(tbl_Finance[Ex GST],tbl_Finance[Job Number],C458&amp;""))</f>
        <v/>
      </c>
      <c r="I458" s="27">
        <f>IF(C458="","",SUMIFS(tbl_Finance[Ex GST],tbl_Finance[Job Number],C458&amp;"",tbl_Finance[Xero Invoice No],"&lt;&gt;"))</f>
        <v/>
      </c>
      <c r="J458" s="27">
        <f>IF(C458="","",H458-I458)</f>
        <v/>
      </c>
      <c r="K458" s="25">
        <f>IF(C458="","",IF(G458=0,"not invoiced yet",SUBSTITUTE(TRIM(IF(COUNTIFS(tbl_Finance[Job Number],C458&amp;"",tbl_Finance[Cost Centre],"ONSITE")&gt;0,"ONSITE ","")&amp;IF(COUNTIFS(tbl_Finance[Job Number],C458&amp;"",tbl_Finance[Cost Centre],"PRODUCTION")&gt;0,"PRODUCTION ","")&amp;IF(COUNTIFS(tbl_Finance[Job Number],C458&amp;"",tbl_Finance[Cost Centre],"VIDEO")&gt;0,"VIDEO ","")&amp;IF(COUNTIFS(tbl_Finance[Job Number],C458&amp;"",tbl_Finance[Cost Centre],"INTEGRATION")&gt;0,"INTEGRATION ","")&amp;IF(COUNTIFS(tbl_Finance[Job Number],C458&amp;"",tbl_Finance[Cost Centre],"CONSULTING")&gt;0,"CONSULTING ","")&amp;IF(COUNTIFS(tbl_Finance[Job Number],C458&amp;"",tbl_Finance[Cost Centre],"CTS")&gt;0,"CTS ",""))," ",", ")))</f>
        <v/>
      </c>
      <c r="L458" s="27">
        <f>IF(C458="","",SUMIFS(tbl_Finance[Inc GST],tbl_Finance[Job Number],C458&amp;""))</f>
        <v/>
      </c>
      <c r="M458" s="24" t="n"/>
      <c r="N458" s="25">
        <f>IF(C458="","",IFERROR(INDEX(tbl_Finance[Description],MATCH(C458&amp;"",tbl_Finance[Job Number],0)),""))</f>
        <v/>
      </c>
      <c r="O458" s="24" t="n"/>
      <c r="P458" s="24" t="n"/>
      <c r="Q458" s="22" t="n"/>
      <c r="R458" s="24" t="n"/>
      <c r="S458" s="25">
        <f>IF(R458="","",IF(AND(LEFT(R458,4)&lt;&gt;"http",set_RMSBase=""),"",HYPERLINK(IF(LEFT(R458,4)="http",R458,set_RMSBase&amp;R458),"Open opportunity")))</f>
        <v/>
      </c>
      <c r="T458" s="24" t="n"/>
      <c r="U458" s="25">
        <f>IF(T458="","",HYPERLINK(IF(LEFT(T458,4)="http",T458,set_QwilrBase&amp;T458),"Open quote"))</f>
        <v/>
      </c>
      <c r="V458" s="25">
        <f>IF(C458="","",C458)</f>
        <v/>
      </c>
      <c r="W458" s="24" t="n"/>
      <c r="X458" s="26" t="n"/>
      <c r="Y458" s="27">
        <f>IF(C458="","",H458+N(X458))</f>
        <v/>
      </c>
      <c r="Z458" s="29">
        <f>IFERROR(X458/Y458,"")</f>
        <v/>
      </c>
      <c r="AA458" s="26" t="n"/>
      <c r="AB458" s="26" t="n"/>
      <c r="AC458" s="26" t="n"/>
      <c r="AD458" s="26" t="n"/>
      <c r="AE458" s="27">
        <f>IF(C458="","",SUMIFS(tbl_Finance[Ex GST],tbl_Finance[Job Number],C458&amp;"",tbl_Finance[Cost Centre],"VIDEO"))</f>
        <v/>
      </c>
      <c r="AF458" s="29">
        <f>IFERROR(AE458/H458,"")</f>
        <v/>
      </c>
      <c r="AG458" s="27">
        <f>IF(C458="","",N(AA458)+N(AB458)+N(AC458)+N(AD458))</f>
        <v/>
      </c>
      <c r="AH458" s="27">
        <f>IF(C458="","",H458-AG458)</f>
        <v/>
      </c>
      <c r="AI458" s="29">
        <f>IFERROR(AH458/H458,"")</f>
        <v/>
      </c>
      <c r="AJ458" s="64" t="n"/>
      <c r="AK458" s="64" t="n"/>
      <c r="AL458" s="64" t="n"/>
      <c r="AM458" s="64" t="n"/>
      <c r="AN458" s="64" t="n"/>
      <c r="AO458" s="24" t="n"/>
    </row>
    <row r="459" ht="15" customHeight="1">
      <c r="A459" s="63">
        <f>IF(C459="","",IFERROR(IF(SUMPRODUCT(MAX((tbl_Finance[Job Number]=C459&amp;"")*(tbl_Finance[Xero Invoice No]&lt;&gt;"")*tbl_Finance[Date]))=0,"",SUMPRODUCT(MAX((tbl_Finance[Job Number]=C459&amp;"")*(tbl_Finance[Xero Invoice No]&lt;&gt;"")*tbl_Finance[Date]))),""))</f>
        <v/>
      </c>
      <c r="B459" s="25">
        <f>IF(C459="","",IF(COUNTIFS(tbl_Finance[Job Number],C459&amp;"",tbl_Finance[Xero Invoice No],"&lt;&gt;")=0,"",IFERROR(IF(COUNTIFS(tbl_Finance[Job Number],C459&amp;"",tbl_Finance[Xero Invoice No],LOOKUP(2,1/((tbl_Finance[Job Number]=C459&amp;"")*(tbl_Finance[Xero Invoice No]&lt;&gt;"")),tbl_Finance[Xero Invoice No]))=COUNTIFS(tbl_Finance[Job Number],C459&amp;"",tbl_Finance[Xero Invoice No],"&lt;&gt;"),LOOKUP(2,1/((tbl_Finance[Job Number]=C459&amp;"")*(tbl_Finance[Xero Invoice No]&lt;&gt;"")),tbl_Finance[Xero Invoice No]),LOOKUP(2,1/((tbl_Finance[Job Number]=C459&amp;"")*(tbl_Finance[Xero Invoice No]&lt;&gt;"")),tbl_Finance[Xero Invoice No])&amp;" +more"),"")))</f>
        <v/>
      </c>
      <c r="C459" s="24" t="n"/>
      <c r="D459" s="25">
        <f>IF(C459="","",IF(COUNTIF(lst_Jobs,C459&amp;"")&gt;0,"OK","CHECK"))</f>
        <v/>
      </c>
      <c r="E459" s="25">
        <f>IF(C459="","",IFERROR(INDEX(lst_JobName,MATCH(C459&amp;"",lst_Jobs,0)),""))</f>
        <v/>
      </c>
      <c r="F459" s="25">
        <f>IF(C459="","",IFERROR(INDEX(tbl_Finance[Client],MATCH(C459&amp;"",tbl_Finance[Job Number],0)),""))</f>
        <v/>
      </c>
      <c r="G459" s="28">
        <f>IF(C459="","",COUNTIFS(tbl_Finance[Job Number],C459&amp;"",tbl_Finance[Ex GST],"&lt;&gt;"))</f>
        <v/>
      </c>
      <c r="H459" s="27">
        <f>IF(C459="","",SUMIFS(tbl_Finance[Ex GST],tbl_Finance[Job Number],C459&amp;""))</f>
        <v/>
      </c>
      <c r="I459" s="27">
        <f>IF(C459="","",SUMIFS(tbl_Finance[Ex GST],tbl_Finance[Job Number],C459&amp;"",tbl_Finance[Xero Invoice No],"&lt;&gt;"))</f>
        <v/>
      </c>
      <c r="J459" s="27">
        <f>IF(C459="","",H459-I459)</f>
        <v/>
      </c>
      <c r="K459" s="25">
        <f>IF(C459="","",IF(G459=0,"not invoiced yet",SUBSTITUTE(TRIM(IF(COUNTIFS(tbl_Finance[Job Number],C459&amp;"",tbl_Finance[Cost Centre],"ONSITE")&gt;0,"ONSITE ","")&amp;IF(COUNTIFS(tbl_Finance[Job Number],C459&amp;"",tbl_Finance[Cost Centre],"PRODUCTION")&gt;0,"PRODUCTION ","")&amp;IF(COUNTIFS(tbl_Finance[Job Number],C459&amp;"",tbl_Finance[Cost Centre],"VIDEO")&gt;0,"VIDEO ","")&amp;IF(COUNTIFS(tbl_Finance[Job Number],C459&amp;"",tbl_Finance[Cost Centre],"INTEGRATION")&gt;0,"INTEGRATION ","")&amp;IF(COUNTIFS(tbl_Finance[Job Number],C459&amp;"",tbl_Finance[Cost Centre],"CONSULTING")&gt;0,"CONSULTING ","")&amp;IF(COUNTIFS(tbl_Finance[Job Number],C459&amp;"",tbl_Finance[Cost Centre],"CTS")&gt;0,"CTS ",""))," ",", ")))</f>
        <v/>
      </c>
      <c r="L459" s="27">
        <f>IF(C459="","",SUMIFS(tbl_Finance[Inc GST],tbl_Finance[Job Number],C459&amp;""))</f>
        <v/>
      </c>
      <c r="M459" s="24" t="n"/>
      <c r="N459" s="25">
        <f>IF(C459="","",IFERROR(INDEX(tbl_Finance[Description],MATCH(C459&amp;"",tbl_Finance[Job Number],0)),""))</f>
        <v/>
      </c>
      <c r="O459" s="24" t="n"/>
      <c r="P459" s="24" t="n"/>
      <c r="Q459" s="22" t="n"/>
      <c r="R459" s="24" t="n"/>
      <c r="S459" s="25">
        <f>IF(R459="","",IF(AND(LEFT(R459,4)&lt;&gt;"http",set_RMSBase=""),"",HYPERLINK(IF(LEFT(R459,4)="http",R459,set_RMSBase&amp;R459),"Open opportunity")))</f>
        <v/>
      </c>
      <c r="T459" s="24" t="n"/>
      <c r="U459" s="25">
        <f>IF(T459="","",HYPERLINK(IF(LEFT(T459,4)="http",T459,set_QwilrBase&amp;T459),"Open quote"))</f>
        <v/>
      </c>
      <c r="V459" s="25">
        <f>IF(C459="","",C459)</f>
        <v/>
      </c>
      <c r="W459" s="24" t="n"/>
      <c r="X459" s="26" t="n"/>
      <c r="Y459" s="27">
        <f>IF(C459="","",H459+N(X459))</f>
        <v/>
      </c>
      <c r="Z459" s="29">
        <f>IFERROR(X459/Y459,"")</f>
        <v/>
      </c>
      <c r="AA459" s="26" t="n"/>
      <c r="AB459" s="26" t="n"/>
      <c r="AC459" s="26" t="n"/>
      <c r="AD459" s="26" t="n"/>
      <c r="AE459" s="27">
        <f>IF(C459="","",SUMIFS(tbl_Finance[Ex GST],tbl_Finance[Job Number],C459&amp;"",tbl_Finance[Cost Centre],"VIDEO"))</f>
        <v/>
      </c>
      <c r="AF459" s="29">
        <f>IFERROR(AE459/H459,"")</f>
        <v/>
      </c>
      <c r="AG459" s="27">
        <f>IF(C459="","",N(AA459)+N(AB459)+N(AC459)+N(AD459))</f>
        <v/>
      </c>
      <c r="AH459" s="27">
        <f>IF(C459="","",H459-AG459)</f>
        <v/>
      </c>
      <c r="AI459" s="29">
        <f>IFERROR(AH459/H459,"")</f>
        <v/>
      </c>
      <c r="AJ459" s="64" t="n"/>
      <c r="AK459" s="64" t="n"/>
      <c r="AL459" s="64" t="n"/>
      <c r="AM459" s="64" t="n"/>
      <c r="AN459" s="64" t="n"/>
      <c r="AO459" s="24" t="n"/>
    </row>
    <row r="460" ht="15" customHeight="1">
      <c r="A460" s="63">
        <f>IF(C460="","",IFERROR(IF(SUMPRODUCT(MAX((tbl_Finance[Job Number]=C460&amp;"")*(tbl_Finance[Xero Invoice No]&lt;&gt;"")*tbl_Finance[Date]))=0,"",SUMPRODUCT(MAX((tbl_Finance[Job Number]=C460&amp;"")*(tbl_Finance[Xero Invoice No]&lt;&gt;"")*tbl_Finance[Date]))),""))</f>
        <v/>
      </c>
      <c r="B460" s="25">
        <f>IF(C460="","",IF(COUNTIFS(tbl_Finance[Job Number],C460&amp;"",tbl_Finance[Xero Invoice No],"&lt;&gt;")=0,"",IFERROR(IF(COUNTIFS(tbl_Finance[Job Number],C460&amp;"",tbl_Finance[Xero Invoice No],LOOKUP(2,1/((tbl_Finance[Job Number]=C460&amp;"")*(tbl_Finance[Xero Invoice No]&lt;&gt;"")),tbl_Finance[Xero Invoice No]))=COUNTIFS(tbl_Finance[Job Number],C460&amp;"",tbl_Finance[Xero Invoice No],"&lt;&gt;"),LOOKUP(2,1/((tbl_Finance[Job Number]=C460&amp;"")*(tbl_Finance[Xero Invoice No]&lt;&gt;"")),tbl_Finance[Xero Invoice No]),LOOKUP(2,1/((tbl_Finance[Job Number]=C460&amp;"")*(tbl_Finance[Xero Invoice No]&lt;&gt;"")),tbl_Finance[Xero Invoice No])&amp;" +more"),"")))</f>
        <v/>
      </c>
      <c r="C460" s="24" t="n"/>
      <c r="D460" s="25">
        <f>IF(C460="","",IF(COUNTIF(lst_Jobs,C460&amp;"")&gt;0,"OK","CHECK"))</f>
        <v/>
      </c>
      <c r="E460" s="25">
        <f>IF(C460="","",IFERROR(INDEX(lst_JobName,MATCH(C460&amp;"",lst_Jobs,0)),""))</f>
        <v/>
      </c>
      <c r="F460" s="25">
        <f>IF(C460="","",IFERROR(INDEX(tbl_Finance[Client],MATCH(C460&amp;"",tbl_Finance[Job Number],0)),""))</f>
        <v/>
      </c>
      <c r="G460" s="28">
        <f>IF(C460="","",COUNTIFS(tbl_Finance[Job Number],C460&amp;"",tbl_Finance[Ex GST],"&lt;&gt;"))</f>
        <v/>
      </c>
      <c r="H460" s="27">
        <f>IF(C460="","",SUMIFS(tbl_Finance[Ex GST],tbl_Finance[Job Number],C460&amp;""))</f>
        <v/>
      </c>
      <c r="I460" s="27">
        <f>IF(C460="","",SUMIFS(tbl_Finance[Ex GST],tbl_Finance[Job Number],C460&amp;"",tbl_Finance[Xero Invoice No],"&lt;&gt;"))</f>
        <v/>
      </c>
      <c r="J460" s="27">
        <f>IF(C460="","",H460-I460)</f>
        <v/>
      </c>
      <c r="K460" s="25">
        <f>IF(C460="","",IF(G460=0,"not invoiced yet",SUBSTITUTE(TRIM(IF(COUNTIFS(tbl_Finance[Job Number],C460&amp;"",tbl_Finance[Cost Centre],"ONSITE")&gt;0,"ONSITE ","")&amp;IF(COUNTIFS(tbl_Finance[Job Number],C460&amp;"",tbl_Finance[Cost Centre],"PRODUCTION")&gt;0,"PRODUCTION ","")&amp;IF(COUNTIFS(tbl_Finance[Job Number],C460&amp;"",tbl_Finance[Cost Centre],"VIDEO")&gt;0,"VIDEO ","")&amp;IF(COUNTIFS(tbl_Finance[Job Number],C460&amp;"",tbl_Finance[Cost Centre],"INTEGRATION")&gt;0,"INTEGRATION ","")&amp;IF(COUNTIFS(tbl_Finance[Job Number],C460&amp;"",tbl_Finance[Cost Centre],"CONSULTING")&gt;0,"CONSULTING ","")&amp;IF(COUNTIFS(tbl_Finance[Job Number],C460&amp;"",tbl_Finance[Cost Centre],"CTS")&gt;0,"CTS ",""))," ",", ")))</f>
        <v/>
      </c>
      <c r="L460" s="27">
        <f>IF(C460="","",SUMIFS(tbl_Finance[Inc GST],tbl_Finance[Job Number],C460&amp;""))</f>
        <v/>
      </c>
      <c r="M460" s="24" t="n"/>
      <c r="N460" s="25">
        <f>IF(C460="","",IFERROR(INDEX(tbl_Finance[Description],MATCH(C460&amp;"",tbl_Finance[Job Number],0)),""))</f>
        <v/>
      </c>
      <c r="O460" s="24" t="n"/>
      <c r="P460" s="24" t="n"/>
      <c r="Q460" s="22" t="n"/>
      <c r="R460" s="24" t="n"/>
      <c r="S460" s="25">
        <f>IF(R460="","",IF(AND(LEFT(R460,4)&lt;&gt;"http",set_RMSBase=""),"",HYPERLINK(IF(LEFT(R460,4)="http",R460,set_RMSBase&amp;R460),"Open opportunity")))</f>
        <v/>
      </c>
      <c r="T460" s="24" t="n"/>
      <c r="U460" s="25">
        <f>IF(T460="","",HYPERLINK(IF(LEFT(T460,4)="http",T460,set_QwilrBase&amp;T460),"Open quote"))</f>
        <v/>
      </c>
      <c r="V460" s="25">
        <f>IF(C460="","",C460)</f>
        <v/>
      </c>
      <c r="W460" s="24" t="n"/>
      <c r="X460" s="26" t="n"/>
      <c r="Y460" s="27">
        <f>IF(C460="","",H460+N(X460))</f>
        <v/>
      </c>
      <c r="Z460" s="29">
        <f>IFERROR(X460/Y460,"")</f>
        <v/>
      </c>
      <c r="AA460" s="26" t="n"/>
      <c r="AB460" s="26" t="n"/>
      <c r="AC460" s="26" t="n"/>
      <c r="AD460" s="26" t="n"/>
      <c r="AE460" s="27">
        <f>IF(C460="","",SUMIFS(tbl_Finance[Ex GST],tbl_Finance[Job Number],C460&amp;"",tbl_Finance[Cost Centre],"VIDEO"))</f>
        <v/>
      </c>
      <c r="AF460" s="29">
        <f>IFERROR(AE460/H460,"")</f>
        <v/>
      </c>
      <c r="AG460" s="27">
        <f>IF(C460="","",N(AA460)+N(AB460)+N(AC460)+N(AD460))</f>
        <v/>
      </c>
      <c r="AH460" s="27">
        <f>IF(C460="","",H460-AG460)</f>
        <v/>
      </c>
      <c r="AI460" s="29">
        <f>IFERROR(AH460/H460,"")</f>
        <v/>
      </c>
      <c r="AJ460" s="64" t="n"/>
      <c r="AK460" s="64" t="n"/>
      <c r="AL460" s="64" t="n"/>
      <c r="AM460" s="64" t="n"/>
      <c r="AN460" s="64" t="n"/>
      <c r="AO460" s="24" t="n"/>
    </row>
    <row r="461" ht="15" customHeight="1">
      <c r="A461" s="63">
        <f>IF(C461="","",IFERROR(IF(SUMPRODUCT(MAX((tbl_Finance[Job Number]=C461&amp;"")*(tbl_Finance[Xero Invoice No]&lt;&gt;"")*tbl_Finance[Date]))=0,"",SUMPRODUCT(MAX((tbl_Finance[Job Number]=C461&amp;"")*(tbl_Finance[Xero Invoice No]&lt;&gt;"")*tbl_Finance[Date]))),""))</f>
        <v/>
      </c>
      <c r="B461" s="25">
        <f>IF(C461="","",IF(COUNTIFS(tbl_Finance[Job Number],C461&amp;"",tbl_Finance[Xero Invoice No],"&lt;&gt;")=0,"",IFERROR(IF(COUNTIFS(tbl_Finance[Job Number],C461&amp;"",tbl_Finance[Xero Invoice No],LOOKUP(2,1/((tbl_Finance[Job Number]=C461&amp;"")*(tbl_Finance[Xero Invoice No]&lt;&gt;"")),tbl_Finance[Xero Invoice No]))=COUNTIFS(tbl_Finance[Job Number],C461&amp;"",tbl_Finance[Xero Invoice No],"&lt;&gt;"),LOOKUP(2,1/((tbl_Finance[Job Number]=C461&amp;"")*(tbl_Finance[Xero Invoice No]&lt;&gt;"")),tbl_Finance[Xero Invoice No]),LOOKUP(2,1/((tbl_Finance[Job Number]=C461&amp;"")*(tbl_Finance[Xero Invoice No]&lt;&gt;"")),tbl_Finance[Xero Invoice No])&amp;" +more"),"")))</f>
        <v/>
      </c>
      <c r="C461" s="24" t="n"/>
      <c r="D461" s="25">
        <f>IF(C461="","",IF(COUNTIF(lst_Jobs,C461&amp;"")&gt;0,"OK","CHECK"))</f>
        <v/>
      </c>
      <c r="E461" s="25">
        <f>IF(C461="","",IFERROR(INDEX(lst_JobName,MATCH(C461&amp;"",lst_Jobs,0)),""))</f>
        <v/>
      </c>
      <c r="F461" s="25">
        <f>IF(C461="","",IFERROR(INDEX(tbl_Finance[Client],MATCH(C461&amp;"",tbl_Finance[Job Number],0)),""))</f>
        <v/>
      </c>
      <c r="G461" s="28">
        <f>IF(C461="","",COUNTIFS(tbl_Finance[Job Number],C461&amp;"",tbl_Finance[Ex GST],"&lt;&gt;"))</f>
        <v/>
      </c>
      <c r="H461" s="27">
        <f>IF(C461="","",SUMIFS(tbl_Finance[Ex GST],tbl_Finance[Job Number],C461&amp;""))</f>
        <v/>
      </c>
      <c r="I461" s="27">
        <f>IF(C461="","",SUMIFS(tbl_Finance[Ex GST],tbl_Finance[Job Number],C461&amp;"",tbl_Finance[Xero Invoice No],"&lt;&gt;"))</f>
        <v/>
      </c>
      <c r="J461" s="27">
        <f>IF(C461="","",H461-I461)</f>
        <v/>
      </c>
      <c r="K461" s="25">
        <f>IF(C461="","",IF(G461=0,"not invoiced yet",SUBSTITUTE(TRIM(IF(COUNTIFS(tbl_Finance[Job Number],C461&amp;"",tbl_Finance[Cost Centre],"ONSITE")&gt;0,"ONSITE ","")&amp;IF(COUNTIFS(tbl_Finance[Job Number],C461&amp;"",tbl_Finance[Cost Centre],"PRODUCTION")&gt;0,"PRODUCTION ","")&amp;IF(COUNTIFS(tbl_Finance[Job Number],C461&amp;"",tbl_Finance[Cost Centre],"VIDEO")&gt;0,"VIDEO ","")&amp;IF(COUNTIFS(tbl_Finance[Job Number],C461&amp;"",tbl_Finance[Cost Centre],"INTEGRATION")&gt;0,"INTEGRATION ","")&amp;IF(COUNTIFS(tbl_Finance[Job Number],C461&amp;"",tbl_Finance[Cost Centre],"CONSULTING")&gt;0,"CONSULTING ","")&amp;IF(COUNTIFS(tbl_Finance[Job Number],C461&amp;"",tbl_Finance[Cost Centre],"CTS")&gt;0,"CTS ",""))," ",", ")))</f>
        <v/>
      </c>
      <c r="L461" s="27">
        <f>IF(C461="","",SUMIFS(tbl_Finance[Inc GST],tbl_Finance[Job Number],C461&amp;""))</f>
        <v/>
      </c>
      <c r="M461" s="24" t="n"/>
      <c r="N461" s="25">
        <f>IF(C461="","",IFERROR(INDEX(tbl_Finance[Description],MATCH(C461&amp;"",tbl_Finance[Job Number],0)),""))</f>
        <v/>
      </c>
      <c r="O461" s="24" t="n"/>
      <c r="P461" s="24" t="n"/>
      <c r="Q461" s="22" t="n"/>
      <c r="R461" s="24" t="n"/>
      <c r="S461" s="25">
        <f>IF(R461="","",IF(AND(LEFT(R461,4)&lt;&gt;"http",set_RMSBase=""),"",HYPERLINK(IF(LEFT(R461,4)="http",R461,set_RMSBase&amp;R461),"Open opportunity")))</f>
        <v/>
      </c>
      <c r="T461" s="24" t="n"/>
      <c r="U461" s="25">
        <f>IF(T461="","",HYPERLINK(IF(LEFT(T461,4)="http",T461,set_QwilrBase&amp;T461),"Open quote"))</f>
        <v/>
      </c>
      <c r="V461" s="25">
        <f>IF(C461="","",C461)</f>
        <v/>
      </c>
      <c r="W461" s="24" t="n"/>
      <c r="X461" s="26" t="n"/>
      <c r="Y461" s="27">
        <f>IF(C461="","",H461+N(X461))</f>
        <v/>
      </c>
      <c r="Z461" s="29">
        <f>IFERROR(X461/Y461,"")</f>
        <v/>
      </c>
      <c r="AA461" s="26" t="n"/>
      <c r="AB461" s="26" t="n"/>
      <c r="AC461" s="26" t="n"/>
      <c r="AD461" s="26" t="n"/>
      <c r="AE461" s="27">
        <f>IF(C461="","",SUMIFS(tbl_Finance[Ex GST],tbl_Finance[Job Number],C461&amp;"",tbl_Finance[Cost Centre],"VIDEO"))</f>
        <v/>
      </c>
      <c r="AF461" s="29">
        <f>IFERROR(AE461/H461,"")</f>
        <v/>
      </c>
      <c r="AG461" s="27">
        <f>IF(C461="","",N(AA461)+N(AB461)+N(AC461)+N(AD461))</f>
        <v/>
      </c>
      <c r="AH461" s="27">
        <f>IF(C461="","",H461-AG461)</f>
        <v/>
      </c>
      <c r="AI461" s="29">
        <f>IFERROR(AH461/H461,"")</f>
        <v/>
      </c>
      <c r="AJ461" s="64" t="n"/>
      <c r="AK461" s="64" t="n"/>
      <c r="AL461" s="64" t="n"/>
      <c r="AM461" s="64" t="n"/>
      <c r="AN461" s="64" t="n"/>
      <c r="AO461" s="24" t="n"/>
    </row>
    <row r="462" ht="15" customHeight="1">
      <c r="A462" s="63">
        <f>IF(C462="","",IFERROR(IF(SUMPRODUCT(MAX((tbl_Finance[Job Number]=C462&amp;"")*(tbl_Finance[Xero Invoice No]&lt;&gt;"")*tbl_Finance[Date]))=0,"",SUMPRODUCT(MAX((tbl_Finance[Job Number]=C462&amp;"")*(tbl_Finance[Xero Invoice No]&lt;&gt;"")*tbl_Finance[Date]))),""))</f>
        <v/>
      </c>
      <c r="B462" s="25">
        <f>IF(C462="","",IF(COUNTIFS(tbl_Finance[Job Number],C462&amp;"",tbl_Finance[Xero Invoice No],"&lt;&gt;")=0,"",IFERROR(IF(COUNTIFS(tbl_Finance[Job Number],C462&amp;"",tbl_Finance[Xero Invoice No],LOOKUP(2,1/((tbl_Finance[Job Number]=C462&amp;"")*(tbl_Finance[Xero Invoice No]&lt;&gt;"")),tbl_Finance[Xero Invoice No]))=COUNTIFS(tbl_Finance[Job Number],C462&amp;"",tbl_Finance[Xero Invoice No],"&lt;&gt;"),LOOKUP(2,1/((tbl_Finance[Job Number]=C462&amp;"")*(tbl_Finance[Xero Invoice No]&lt;&gt;"")),tbl_Finance[Xero Invoice No]),LOOKUP(2,1/((tbl_Finance[Job Number]=C462&amp;"")*(tbl_Finance[Xero Invoice No]&lt;&gt;"")),tbl_Finance[Xero Invoice No])&amp;" +more"),"")))</f>
        <v/>
      </c>
      <c r="C462" s="24" t="n"/>
      <c r="D462" s="25">
        <f>IF(C462="","",IF(COUNTIF(lst_Jobs,C462&amp;"")&gt;0,"OK","CHECK"))</f>
        <v/>
      </c>
      <c r="E462" s="25">
        <f>IF(C462="","",IFERROR(INDEX(lst_JobName,MATCH(C462&amp;"",lst_Jobs,0)),""))</f>
        <v/>
      </c>
      <c r="F462" s="25">
        <f>IF(C462="","",IFERROR(INDEX(tbl_Finance[Client],MATCH(C462&amp;"",tbl_Finance[Job Number],0)),""))</f>
        <v/>
      </c>
      <c r="G462" s="28">
        <f>IF(C462="","",COUNTIFS(tbl_Finance[Job Number],C462&amp;"",tbl_Finance[Ex GST],"&lt;&gt;"))</f>
        <v/>
      </c>
      <c r="H462" s="27">
        <f>IF(C462="","",SUMIFS(tbl_Finance[Ex GST],tbl_Finance[Job Number],C462&amp;""))</f>
        <v/>
      </c>
      <c r="I462" s="27">
        <f>IF(C462="","",SUMIFS(tbl_Finance[Ex GST],tbl_Finance[Job Number],C462&amp;"",tbl_Finance[Xero Invoice No],"&lt;&gt;"))</f>
        <v/>
      </c>
      <c r="J462" s="27">
        <f>IF(C462="","",H462-I462)</f>
        <v/>
      </c>
      <c r="K462" s="25">
        <f>IF(C462="","",IF(G462=0,"not invoiced yet",SUBSTITUTE(TRIM(IF(COUNTIFS(tbl_Finance[Job Number],C462&amp;"",tbl_Finance[Cost Centre],"ONSITE")&gt;0,"ONSITE ","")&amp;IF(COUNTIFS(tbl_Finance[Job Number],C462&amp;"",tbl_Finance[Cost Centre],"PRODUCTION")&gt;0,"PRODUCTION ","")&amp;IF(COUNTIFS(tbl_Finance[Job Number],C462&amp;"",tbl_Finance[Cost Centre],"VIDEO")&gt;0,"VIDEO ","")&amp;IF(COUNTIFS(tbl_Finance[Job Number],C462&amp;"",tbl_Finance[Cost Centre],"INTEGRATION")&gt;0,"INTEGRATION ","")&amp;IF(COUNTIFS(tbl_Finance[Job Number],C462&amp;"",tbl_Finance[Cost Centre],"CONSULTING")&gt;0,"CONSULTING ","")&amp;IF(COUNTIFS(tbl_Finance[Job Number],C462&amp;"",tbl_Finance[Cost Centre],"CTS")&gt;0,"CTS ",""))," ",", ")))</f>
        <v/>
      </c>
      <c r="L462" s="27">
        <f>IF(C462="","",SUMIFS(tbl_Finance[Inc GST],tbl_Finance[Job Number],C462&amp;""))</f>
        <v/>
      </c>
      <c r="M462" s="24" t="n"/>
      <c r="N462" s="25">
        <f>IF(C462="","",IFERROR(INDEX(tbl_Finance[Description],MATCH(C462&amp;"",tbl_Finance[Job Number],0)),""))</f>
        <v/>
      </c>
      <c r="O462" s="24" t="n"/>
      <c r="P462" s="24" t="n"/>
      <c r="Q462" s="22" t="n"/>
      <c r="R462" s="24" t="n"/>
      <c r="S462" s="25">
        <f>IF(R462="","",IF(AND(LEFT(R462,4)&lt;&gt;"http",set_RMSBase=""),"",HYPERLINK(IF(LEFT(R462,4)="http",R462,set_RMSBase&amp;R462),"Open opportunity")))</f>
        <v/>
      </c>
      <c r="T462" s="24" t="n"/>
      <c r="U462" s="25">
        <f>IF(T462="","",HYPERLINK(IF(LEFT(T462,4)="http",T462,set_QwilrBase&amp;T462),"Open quote"))</f>
        <v/>
      </c>
      <c r="V462" s="25">
        <f>IF(C462="","",C462)</f>
        <v/>
      </c>
      <c r="W462" s="24" t="n"/>
      <c r="X462" s="26" t="n"/>
      <c r="Y462" s="27">
        <f>IF(C462="","",H462+N(X462))</f>
        <v/>
      </c>
      <c r="Z462" s="29">
        <f>IFERROR(X462/Y462,"")</f>
        <v/>
      </c>
      <c r="AA462" s="26" t="n"/>
      <c r="AB462" s="26" t="n"/>
      <c r="AC462" s="26" t="n"/>
      <c r="AD462" s="26" t="n"/>
      <c r="AE462" s="27">
        <f>IF(C462="","",SUMIFS(tbl_Finance[Ex GST],tbl_Finance[Job Number],C462&amp;"",tbl_Finance[Cost Centre],"VIDEO"))</f>
        <v/>
      </c>
      <c r="AF462" s="29">
        <f>IFERROR(AE462/H462,"")</f>
        <v/>
      </c>
      <c r="AG462" s="27">
        <f>IF(C462="","",N(AA462)+N(AB462)+N(AC462)+N(AD462))</f>
        <v/>
      </c>
      <c r="AH462" s="27">
        <f>IF(C462="","",H462-AG462)</f>
        <v/>
      </c>
      <c r="AI462" s="29">
        <f>IFERROR(AH462/H462,"")</f>
        <v/>
      </c>
      <c r="AJ462" s="64" t="n"/>
      <c r="AK462" s="64" t="n"/>
      <c r="AL462" s="64" t="n"/>
      <c r="AM462" s="64" t="n"/>
      <c r="AN462" s="64" t="n"/>
      <c r="AO462" s="24" t="n"/>
    </row>
  </sheetData>
  <sheetProtection selectLockedCells="0" selectUnlockedCells="0" sheet="1" objects="0" insertRows="0" insertHyperlinks="1" autoFilter="0" scenarios="0" formatColumns="0" deleteColumns="1" insertColumns="1" pivotTables="1" deleteRows="1" formatCells="0" formatRows="0" sort="0"/>
  <mergeCells count="1">
    <mergeCell ref="A3:K3"/>
  </mergeCells>
  <conditionalFormatting sqref="D5:D5000">
    <cfRule type="expression" priority="1" dxfId="0" stopIfTrue="0">
      <formula>D5="CHECK"</formula>
    </cfRule>
  </conditionalFormatting>
  <dataValidations count="1">
    <dataValidation sqref="W5:W20000" showDropDown="0" showInputMessage="0" showErrorMessage="1" allowBlank="1" errorTitle="Not on the list" error="&quot;Job Closed&quot; is not on the list in the Lists sheet. Add it there if it is genuinely new." type="list" errorStyle="warning">
      <formula1>lst_YN</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5B708A"/>
    <outlinePr summaryBelow="1" summaryRight="1"/>
    <pageSetUpPr/>
  </sheetPr>
  <dimension ref="A1:X432"/>
  <sheetViews>
    <sheetView showGridLines="0"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5" customWidth="1" min="3" max="3"/>
    <col width="12" customWidth="1" min="4" max="4"/>
    <col width="38" customWidth="1" min="5" max="5"/>
    <col width="24" customWidth="1" min="6" max="6"/>
    <col width="11" customWidth="1" min="7" max="7"/>
    <col width="16" customWidth="1" min="8" max="8"/>
    <col width="14" customWidth="1" min="9" max="9"/>
    <col width="14" customWidth="1" min="10" max="10"/>
    <col width="16" customWidth="1" min="11" max="11"/>
    <col width="40" customWidth="1" min="12" max="12"/>
    <col width="14" customWidth="1" min="13" max="13"/>
    <col width="15" customWidth="1" min="14" max="14"/>
    <col width="17" customWidth="1" min="15" max="15"/>
    <col width="19" customWidth="1" min="16" max="16"/>
    <col width="18" customWidth="1" min="17" max="17"/>
    <col width="22" customWidth="1" min="18" max="18"/>
    <col width="26" customWidth="1" min="19" max="19"/>
    <col width="28" customWidth="1" min="20" max="20"/>
    <col width="14" customWidth="1" min="21" max="21"/>
    <col width="14" customWidth="1" min="22" max="22"/>
    <col width="10" customWidth="1" min="23" max="23"/>
    <col width="38" customWidth="1" min="24" max="24"/>
  </cols>
  <sheetData>
    <row r="1" ht="24" customHeight="1">
      <c r="A1" s="18" t="inlineStr">
        <is>
          <t>Consulting - Job Detail</t>
        </is>
      </c>
    </row>
    <row r="2" ht="16" customHeight="1">
      <c r="A2" s="2" t="inlineStr">
        <is>
          <t>Consulting and Integration jobs. One row per job number. Revenue comes from the Finance sheet; split it across Labour / Equipment / Subscription and the check column flags any mismatch.</t>
        </is>
      </c>
    </row>
    <row r="3" ht="22" customHeight="1">
      <c r="A3" s="19">
        <f>"Revenue Ex GST  "&amp;TEXT(SUBTOTAL(109,tbl_Consulting[Revenue Ex GST]),"$#,##0.00")</f>
        <v/>
      </c>
    </row>
    <row r="4" ht="34" customHeight="1">
      <c r="A4" s="21" t="inlineStr">
        <is>
          <t>Invoice Date</t>
        </is>
      </c>
      <c r="B4" s="21" t="inlineStr">
        <is>
          <t>Invoice No</t>
        </is>
      </c>
      <c r="C4" s="20" t="inlineStr">
        <is>
          <t>Job Number</t>
        </is>
      </c>
      <c r="D4" s="21" t="inlineStr">
        <is>
          <t>Job in Xero?</t>
        </is>
      </c>
      <c r="E4" s="21" t="inlineStr">
        <is>
          <t>Job Name (Xero)</t>
        </is>
      </c>
      <c r="F4" s="21" t="inlineStr">
        <is>
          <t>Client</t>
        </is>
      </c>
      <c r="G4" s="21" t="inlineStr">
        <is>
          <t>Lines on Job</t>
        </is>
      </c>
      <c r="H4" s="21" t="inlineStr">
        <is>
          <t>Revenue Ex GST</t>
        </is>
      </c>
      <c r="I4" s="21" t="inlineStr">
        <is>
          <t>Invoiced</t>
        </is>
      </c>
      <c r="J4" s="21" t="inlineStr">
        <is>
          <t>To Invoice</t>
        </is>
      </c>
      <c r="K4" s="21" t="inlineStr">
        <is>
          <t>Cost Centres</t>
        </is>
      </c>
      <c r="L4" s="20" t="inlineStr">
        <is>
          <t>Qwilr Quote</t>
        </is>
      </c>
      <c r="M4" s="21" t="inlineStr">
        <is>
          <t>Open Qwilr</t>
        </is>
      </c>
      <c r="N4" s="20" t="inlineStr">
        <is>
          <t>Labour Revenue</t>
        </is>
      </c>
      <c r="O4" s="20" t="inlineStr">
        <is>
          <t>Equipment Revenue</t>
        </is>
      </c>
      <c r="P4" s="20" t="inlineStr">
        <is>
          <t>Subscription Revenue</t>
        </is>
      </c>
      <c r="Q4" s="21" t="inlineStr">
        <is>
          <t>Revenue Split Check</t>
        </is>
      </c>
      <c r="R4" s="20" t="inlineStr">
        <is>
          <t>Labour Expense (External)</t>
        </is>
      </c>
      <c r="S4" s="20" t="inlineStr">
        <is>
          <t>Equipment Expense (Internal)</t>
        </is>
      </c>
      <c r="T4" s="20" t="inlineStr">
        <is>
          <t>Subscription &amp; Licences Expense</t>
        </is>
      </c>
      <c r="U4" s="21" t="inlineStr">
        <is>
          <t>Total Expense</t>
        </is>
      </c>
      <c r="V4" s="21" t="inlineStr">
        <is>
          <t>Margin</t>
        </is>
      </c>
      <c r="W4" s="21" t="inlineStr">
        <is>
          <t>Margin %</t>
        </is>
      </c>
      <c r="X4" s="20" t="inlineStr">
        <is>
          <t>Notes</t>
        </is>
      </c>
    </row>
    <row r="5" ht="15" customHeight="1">
      <c r="A5" s="63">
        <f>IF(C5="","",IFERROR(IF(SUMPRODUCT(MAX((tbl_Finance[Job Number]=C5&amp;"")*(tbl_Finance[Xero Invoice No]&lt;&gt;"")*tbl_Finance[Date]))=0,"",SUMPRODUCT(MAX((tbl_Finance[Job Number]=C5&amp;"")*(tbl_Finance[Xero Invoice No]&lt;&gt;"")*tbl_Finance[Date]))),""))</f>
        <v/>
      </c>
      <c r="B5" s="25">
        <f>IF(C5="","",IF(COUNTIFS(tbl_Finance[Job Number],C5&amp;"",tbl_Finance[Xero Invoice No],"&lt;&gt;")=0,"",IFERROR(IF(COUNTIFS(tbl_Finance[Job Number],C5&amp;"",tbl_Finance[Xero Invoice No],LOOKUP(2,1/((tbl_Finance[Job Number]=C5&amp;"")*(tbl_Finance[Xero Invoice No]&lt;&gt;"")),tbl_Finance[Xero Invoice No]))=COUNTIFS(tbl_Finance[Job Number],C5&amp;"",tbl_Finance[Xero Invoice No],"&lt;&gt;"),LOOKUP(2,1/((tbl_Finance[Job Number]=C5&amp;"")*(tbl_Finance[Xero Invoice No]&lt;&gt;"")),tbl_Finance[Xero Invoice No]),LOOKUP(2,1/((tbl_Finance[Job Number]=C5&amp;"")*(tbl_Finance[Xero Invoice No]&lt;&gt;"")),tbl_Finance[Xero Invoice No])&amp;" +more"),"")))</f>
        <v/>
      </c>
      <c r="C5" s="24" t="inlineStr">
        <is>
          <t>25021901</t>
        </is>
      </c>
      <c r="D5" s="25">
        <f>IF(C5="","",IF(COUNTIF(lst_Jobs,C5&amp;"")&gt;0,"OK","CHECK"))</f>
        <v/>
      </c>
      <c r="E5" s="25">
        <f>IF(C5="","",IFERROR(INDEX(lst_JobName,MATCH(C5&amp;"",lst_Jobs,0)),""))</f>
        <v/>
      </c>
      <c r="F5" s="25">
        <f>IF(C5="","",IFERROR(INDEX(tbl_Finance[Client],MATCH(C5&amp;"",tbl_Finance[Job Number],0)),""))</f>
        <v/>
      </c>
      <c r="G5" s="28">
        <f>IF(C5="","",COUNTIFS(tbl_Finance[Job Number],C5&amp;"",tbl_Finance[Ex GST],"&lt;&gt;"))</f>
        <v/>
      </c>
      <c r="H5" s="27">
        <f>IF(C5="","",SUMIFS(tbl_Finance[Ex GST],tbl_Finance[Job Number],C5&amp;""))</f>
        <v/>
      </c>
      <c r="I5" s="27">
        <f>IF(C5="","",SUMIFS(tbl_Finance[Ex GST],tbl_Finance[Job Number],C5&amp;"",tbl_Finance[Xero Invoice No],"&lt;&gt;"))</f>
        <v/>
      </c>
      <c r="J5" s="27">
        <f>IF(C5="","",H5-I5)</f>
        <v/>
      </c>
      <c r="K5" s="25">
        <f>IF(C5="","",IF(G5=0,"not invoiced yet",SUBSTITUTE(TRIM(IF(COUNTIFS(tbl_Finance[Job Number],C5&amp;"",tbl_Finance[Cost Centre],"ONSITE")&gt;0,"ONSITE ","")&amp;IF(COUNTIFS(tbl_Finance[Job Number],C5&amp;"",tbl_Finance[Cost Centre],"PRODUCTION")&gt;0,"PRODUCTION ","")&amp;IF(COUNTIFS(tbl_Finance[Job Number],C5&amp;"",tbl_Finance[Cost Centre],"VIDEO")&gt;0,"VIDEO ","")&amp;IF(COUNTIFS(tbl_Finance[Job Number],C5&amp;"",tbl_Finance[Cost Centre],"INTEGRATION")&gt;0,"INTEGRATION ","")&amp;IF(COUNTIFS(tbl_Finance[Job Number],C5&amp;"",tbl_Finance[Cost Centre],"CONSULTING")&gt;0,"CONSULTING ","")&amp;IF(COUNTIFS(tbl_Finance[Job Number],C5&amp;"",tbl_Finance[Cost Centre],"CTS")&gt;0,"CTS ",""))," ",", ")))</f>
        <v/>
      </c>
      <c r="L5" s="24" t="inlineStr">
        <is>
          <t>https://cts.qwilr.com/25021901-DAFF-Technology-Standards-Evaluation-A7PRmNNwQ5Wn</t>
        </is>
      </c>
      <c r="M5" s="25">
        <f>IF(L5="","",HYPERLINK(IF(LEFT(L5,4)="http",L5,set_QwilrBase&amp;L5),"Open quote"))</f>
        <v/>
      </c>
      <c r="N5" s="26" t="n">
        <v>9875</v>
      </c>
      <c r="O5" s="26" t="n"/>
      <c r="P5" s="26" t="n"/>
      <c r="Q5" s="25">
        <f>IF(C5="","",IF(N(N5)+N(O5)+N(P5)=0,"Not split",IF(ROUND(N(N5)+N(O5)+N(P5),2)=ROUND(H5,2),"OK","MISMATCH")))</f>
        <v/>
      </c>
      <c r="R5" s="26" t="n"/>
      <c r="S5" s="26" t="n"/>
      <c r="T5" s="26" t="n"/>
      <c r="U5" s="27">
        <f>IF(C5="","",N(R5)+N(S5)+N(T5))</f>
        <v/>
      </c>
      <c r="V5" s="27">
        <f>IF(C5="","",H5-U5)</f>
        <v/>
      </c>
      <c r="W5" s="29">
        <f>IFERROR(V5/H5,"")</f>
        <v/>
      </c>
      <c r="X5" s="24" t="inlineStr">
        <is>
          <t>Revenue still in WIP</t>
        </is>
      </c>
    </row>
    <row r="6" ht="15" customHeight="1">
      <c r="A6" s="63">
        <f>IF(C6="","",IFERROR(IF(SUMPRODUCT(MAX((tbl_Finance[Job Number]=C6&amp;"")*(tbl_Finance[Xero Invoice No]&lt;&gt;"")*tbl_Finance[Date]))=0,"",SUMPRODUCT(MAX((tbl_Finance[Job Number]=C6&amp;"")*(tbl_Finance[Xero Invoice No]&lt;&gt;"")*tbl_Finance[Date]))),""))</f>
        <v/>
      </c>
      <c r="B6" s="25">
        <f>IF(C6="","",IF(COUNTIFS(tbl_Finance[Job Number],C6&amp;"",tbl_Finance[Xero Invoice No],"&lt;&gt;")=0,"",IFERROR(IF(COUNTIFS(tbl_Finance[Job Number],C6&amp;"",tbl_Finance[Xero Invoice No],LOOKUP(2,1/((tbl_Finance[Job Number]=C6&amp;"")*(tbl_Finance[Xero Invoice No]&lt;&gt;"")),tbl_Finance[Xero Invoice No]))=COUNTIFS(tbl_Finance[Job Number],C6&amp;"",tbl_Finance[Xero Invoice No],"&lt;&gt;"),LOOKUP(2,1/((tbl_Finance[Job Number]=C6&amp;"")*(tbl_Finance[Xero Invoice No]&lt;&gt;"")),tbl_Finance[Xero Invoice No]),LOOKUP(2,1/((tbl_Finance[Job Number]=C6&amp;"")*(tbl_Finance[Xero Invoice No]&lt;&gt;"")),tbl_Finance[Xero Invoice No])&amp;" +more"),"")))</f>
        <v/>
      </c>
      <c r="C6" s="24" t="inlineStr">
        <is>
          <t>25102701</t>
        </is>
      </c>
      <c r="D6" s="25">
        <f>IF(C6="","",IF(COUNTIF(lst_Jobs,C6&amp;"")&gt;0,"OK","CHECK"))</f>
        <v/>
      </c>
      <c r="E6" s="25">
        <f>IF(C6="","",IFERROR(INDEX(lst_JobName,MATCH(C6&amp;"",lst_Jobs,0)),""))</f>
        <v/>
      </c>
      <c r="F6" s="25">
        <f>IF(C6="","",IFERROR(INDEX(tbl_Finance[Client],MATCH(C6&amp;"",tbl_Finance[Job Number],0)),""))</f>
        <v/>
      </c>
      <c r="G6" s="28">
        <f>IF(C6="","",COUNTIFS(tbl_Finance[Job Number],C6&amp;"",tbl_Finance[Ex GST],"&lt;&gt;"))</f>
        <v/>
      </c>
      <c r="H6" s="27">
        <f>IF(C6="","",SUMIFS(tbl_Finance[Ex GST],tbl_Finance[Job Number],C6&amp;""))</f>
        <v/>
      </c>
      <c r="I6" s="27">
        <f>IF(C6="","",SUMIFS(tbl_Finance[Ex GST],tbl_Finance[Job Number],C6&amp;"",tbl_Finance[Xero Invoice No],"&lt;&gt;"))</f>
        <v/>
      </c>
      <c r="J6" s="27">
        <f>IF(C6="","",H6-I6)</f>
        <v/>
      </c>
      <c r="K6" s="25">
        <f>IF(C6="","",IF(G6=0,"not invoiced yet",SUBSTITUTE(TRIM(IF(COUNTIFS(tbl_Finance[Job Number],C6&amp;"",tbl_Finance[Cost Centre],"ONSITE")&gt;0,"ONSITE ","")&amp;IF(COUNTIFS(tbl_Finance[Job Number],C6&amp;"",tbl_Finance[Cost Centre],"PRODUCTION")&gt;0,"PRODUCTION ","")&amp;IF(COUNTIFS(tbl_Finance[Job Number],C6&amp;"",tbl_Finance[Cost Centre],"VIDEO")&gt;0,"VIDEO ","")&amp;IF(COUNTIFS(tbl_Finance[Job Number],C6&amp;"",tbl_Finance[Cost Centre],"INTEGRATION")&gt;0,"INTEGRATION ","")&amp;IF(COUNTIFS(tbl_Finance[Job Number],C6&amp;"",tbl_Finance[Cost Centre],"CONSULTING")&gt;0,"CONSULTING ","")&amp;IF(COUNTIFS(tbl_Finance[Job Number],C6&amp;"",tbl_Finance[Cost Centre],"CTS")&gt;0,"CTS ",""))," ",", ")))</f>
        <v/>
      </c>
      <c r="L6" s="24" t="inlineStr">
        <is>
          <t>https://cts.qwilr.com/25102701-DEWR-Studio-Upgrade-ESE25-143997-Rev-4-KTqWXx2QQz6f</t>
        </is>
      </c>
      <c r="M6" s="25">
        <f>IF(L6="","",HYPERLINK(IF(LEFT(L6,4)="http",L6,set_QwilrBase&amp;L6),"Open quote"))</f>
        <v/>
      </c>
      <c r="N6" s="26" t="n">
        <v>68273</v>
      </c>
      <c r="O6" s="26" t="n"/>
      <c r="P6" s="26" t="n"/>
      <c r="Q6" s="25">
        <f>IF(C6="","",IF(N(N6)+N(O6)+N(P6)=0,"Not split",IF(ROUND(N(N6)+N(O6)+N(P6),2)=ROUND(H6,2),"OK","MISMATCH")))</f>
        <v/>
      </c>
      <c r="R6" s="26" t="n"/>
      <c r="S6" s="26" t="n">
        <v>149604.26</v>
      </c>
      <c r="T6" s="26" t="n"/>
      <c r="U6" s="27">
        <f>IF(C6="","",N(R6)+N(S6)+N(T6))</f>
        <v/>
      </c>
      <c r="V6" s="27">
        <f>IF(C6="","",H6-U6)</f>
        <v/>
      </c>
      <c r="W6" s="29">
        <f>IFERROR(V6/H6,"")</f>
        <v/>
      </c>
      <c r="X6" s="24" t="inlineStr">
        <is>
          <t>Progress Claim 01</t>
        </is>
      </c>
    </row>
    <row r="7" ht="15" customHeight="1">
      <c r="A7" s="63">
        <f>IF(C7="","",IFERROR(IF(SUMPRODUCT(MAX((tbl_Finance[Job Number]=C7&amp;"")*(tbl_Finance[Xero Invoice No]&lt;&gt;"")*tbl_Finance[Date]))=0,"",SUMPRODUCT(MAX((tbl_Finance[Job Number]=C7&amp;"")*(tbl_Finance[Xero Invoice No]&lt;&gt;"")*tbl_Finance[Date]))),""))</f>
        <v/>
      </c>
      <c r="B7" s="25">
        <f>IF(C7="","",IF(COUNTIFS(tbl_Finance[Job Number],C7&amp;"",tbl_Finance[Xero Invoice No],"&lt;&gt;")=0,"",IFERROR(IF(COUNTIFS(tbl_Finance[Job Number],C7&amp;"",tbl_Finance[Xero Invoice No],LOOKUP(2,1/((tbl_Finance[Job Number]=C7&amp;"")*(tbl_Finance[Xero Invoice No]&lt;&gt;"")),tbl_Finance[Xero Invoice No]))=COUNTIFS(tbl_Finance[Job Number],C7&amp;"",tbl_Finance[Xero Invoice No],"&lt;&gt;"),LOOKUP(2,1/((tbl_Finance[Job Number]=C7&amp;"")*(tbl_Finance[Xero Invoice No]&lt;&gt;"")),tbl_Finance[Xero Invoice No]),LOOKUP(2,1/((tbl_Finance[Job Number]=C7&amp;"")*(tbl_Finance[Xero Invoice No]&lt;&gt;"")),tbl_Finance[Xero Invoice No])&amp;" +more"),"")))</f>
        <v/>
      </c>
      <c r="C7" s="24" t="inlineStr">
        <is>
          <t>26052002</t>
        </is>
      </c>
      <c r="D7" s="25">
        <f>IF(C7="","",IF(COUNTIF(lst_Jobs,C7&amp;"")&gt;0,"OK","CHECK"))</f>
        <v/>
      </c>
      <c r="E7" s="25">
        <f>IF(C7="","",IFERROR(INDEX(lst_JobName,MATCH(C7&amp;"",lst_Jobs,0)),""))</f>
        <v/>
      </c>
      <c r="F7" s="25">
        <f>IF(C7="","",IFERROR(INDEX(tbl_Finance[Client],MATCH(C7&amp;"",tbl_Finance[Job Number],0)),""))</f>
        <v/>
      </c>
      <c r="G7" s="28">
        <f>IF(C7="","",COUNTIFS(tbl_Finance[Job Number],C7&amp;"",tbl_Finance[Ex GST],"&lt;&gt;"))</f>
        <v/>
      </c>
      <c r="H7" s="27">
        <f>IF(C7="","",SUMIFS(tbl_Finance[Ex GST],tbl_Finance[Job Number],C7&amp;""))</f>
        <v/>
      </c>
      <c r="I7" s="27">
        <f>IF(C7="","",SUMIFS(tbl_Finance[Ex GST],tbl_Finance[Job Number],C7&amp;"",tbl_Finance[Xero Invoice No],"&lt;&gt;"))</f>
        <v/>
      </c>
      <c r="J7" s="27">
        <f>IF(C7="","",H7-I7)</f>
        <v/>
      </c>
      <c r="K7" s="25">
        <f>IF(C7="","",IF(G7=0,"not invoiced yet",SUBSTITUTE(TRIM(IF(COUNTIFS(tbl_Finance[Job Number],C7&amp;"",tbl_Finance[Cost Centre],"ONSITE")&gt;0,"ONSITE ","")&amp;IF(COUNTIFS(tbl_Finance[Job Number],C7&amp;"",tbl_Finance[Cost Centre],"PRODUCTION")&gt;0,"PRODUCTION ","")&amp;IF(COUNTIFS(tbl_Finance[Job Number],C7&amp;"",tbl_Finance[Cost Centre],"VIDEO")&gt;0,"VIDEO ","")&amp;IF(COUNTIFS(tbl_Finance[Job Number],C7&amp;"",tbl_Finance[Cost Centre],"INTEGRATION")&gt;0,"INTEGRATION ","")&amp;IF(COUNTIFS(tbl_Finance[Job Number],C7&amp;"",tbl_Finance[Cost Centre],"CONSULTING")&gt;0,"CONSULTING ","")&amp;IF(COUNTIFS(tbl_Finance[Job Number],C7&amp;"",tbl_Finance[Cost Centre],"CTS")&gt;0,"CTS ",""))," ",", ")))</f>
        <v/>
      </c>
      <c r="L7" s="24" t="inlineStr">
        <is>
          <t>https://cts.qwilr.com/26052002-DeloitteBNE-Proposal-v1-0-Agx8wV5qTcax</t>
        </is>
      </c>
      <c r="M7" s="25">
        <f>IF(L7="","",HYPERLINK(IF(LEFT(L7,4)="http",L7,set_QwilrBase&amp;L7),"Open quote"))</f>
        <v/>
      </c>
      <c r="N7" s="26" t="n">
        <v>18262</v>
      </c>
      <c r="O7" s="26" t="n">
        <v>39444</v>
      </c>
      <c r="P7" s="26" t="n"/>
      <c r="Q7" s="25">
        <f>IF(C7="","",IF(N(N7)+N(O7)+N(P7)=0,"Not split",IF(ROUND(N(N7)+N(O7)+N(P7),2)=ROUND(H7,2),"OK","MISMATCH")))</f>
        <v/>
      </c>
      <c r="R7" s="26" t="n">
        <v>15600</v>
      </c>
      <c r="S7" s="26" t="n">
        <v>36400</v>
      </c>
      <c r="T7" s="26" t="n"/>
      <c r="U7" s="27">
        <f>IF(C7="","",N(R7)+N(S7)+N(T7))</f>
        <v/>
      </c>
      <c r="V7" s="27">
        <f>IF(C7="","",H7-U7)</f>
        <v/>
      </c>
      <c r="W7" s="29">
        <f>IFERROR(V7/H7,"")</f>
        <v/>
      </c>
      <c r="X7" s="24" t="n"/>
    </row>
    <row r="8" ht="15" customHeight="1">
      <c r="A8" s="63">
        <f>IF(C8="","",IFERROR(IF(SUMPRODUCT(MAX((tbl_Finance[Job Number]=C8&amp;"")*(tbl_Finance[Xero Invoice No]&lt;&gt;"")*tbl_Finance[Date]))=0,"",SUMPRODUCT(MAX((tbl_Finance[Job Number]=C8&amp;"")*(tbl_Finance[Xero Invoice No]&lt;&gt;"")*tbl_Finance[Date]))),""))</f>
        <v/>
      </c>
      <c r="B8" s="25">
        <f>IF(C8="","",IF(COUNTIFS(tbl_Finance[Job Number],C8&amp;"",tbl_Finance[Xero Invoice No],"&lt;&gt;")=0,"",IFERROR(IF(COUNTIFS(tbl_Finance[Job Number],C8&amp;"",tbl_Finance[Xero Invoice No],LOOKUP(2,1/((tbl_Finance[Job Number]=C8&amp;"")*(tbl_Finance[Xero Invoice No]&lt;&gt;"")),tbl_Finance[Xero Invoice No]))=COUNTIFS(tbl_Finance[Job Number],C8&amp;"",tbl_Finance[Xero Invoice No],"&lt;&gt;"),LOOKUP(2,1/((tbl_Finance[Job Number]=C8&amp;"")*(tbl_Finance[Xero Invoice No]&lt;&gt;"")),tbl_Finance[Xero Invoice No]),LOOKUP(2,1/((tbl_Finance[Job Number]=C8&amp;"")*(tbl_Finance[Xero Invoice No]&lt;&gt;"")),tbl_Finance[Xero Invoice No])&amp;" +more"),"")))</f>
        <v/>
      </c>
      <c r="C8" s="24" t="inlineStr">
        <is>
          <t>26052003</t>
        </is>
      </c>
      <c r="D8" s="25">
        <f>IF(C8="","",IF(COUNTIF(lst_Jobs,C8&amp;"")&gt;0,"OK","CHECK"))</f>
        <v/>
      </c>
      <c r="E8" s="25">
        <f>IF(C8="","",IFERROR(INDEX(lst_JobName,MATCH(C8&amp;"",lst_Jobs,0)),""))</f>
        <v/>
      </c>
      <c r="F8" s="25">
        <f>IF(C8="","",IFERROR(INDEX(tbl_Finance[Client],MATCH(C8&amp;"",tbl_Finance[Job Number],0)),""))</f>
        <v/>
      </c>
      <c r="G8" s="28">
        <f>IF(C8="","",COUNTIFS(tbl_Finance[Job Number],C8&amp;"",tbl_Finance[Ex GST],"&lt;&gt;"))</f>
        <v/>
      </c>
      <c r="H8" s="27">
        <f>IF(C8="","",SUMIFS(tbl_Finance[Ex GST],tbl_Finance[Job Number],C8&amp;""))</f>
        <v/>
      </c>
      <c r="I8" s="27">
        <f>IF(C8="","",SUMIFS(tbl_Finance[Ex GST],tbl_Finance[Job Number],C8&amp;"",tbl_Finance[Xero Invoice No],"&lt;&gt;"))</f>
        <v/>
      </c>
      <c r="J8" s="27">
        <f>IF(C8="","",H8-I8)</f>
        <v/>
      </c>
      <c r="K8" s="25">
        <f>IF(C8="","",IF(G8=0,"not invoiced yet",SUBSTITUTE(TRIM(IF(COUNTIFS(tbl_Finance[Job Number],C8&amp;"",tbl_Finance[Cost Centre],"ONSITE")&gt;0,"ONSITE ","")&amp;IF(COUNTIFS(tbl_Finance[Job Number],C8&amp;"",tbl_Finance[Cost Centre],"PRODUCTION")&gt;0,"PRODUCTION ","")&amp;IF(COUNTIFS(tbl_Finance[Job Number],C8&amp;"",tbl_Finance[Cost Centre],"VIDEO")&gt;0,"VIDEO ","")&amp;IF(COUNTIFS(tbl_Finance[Job Number],C8&amp;"",tbl_Finance[Cost Centre],"INTEGRATION")&gt;0,"INTEGRATION ","")&amp;IF(COUNTIFS(tbl_Finance[Job Number],C8&amp;"",tbl_Finance[Cost Centre],"CONSULTING")&gt;0,"CONSULTING ","")&amp;IF(COUNTIFS(tbl_Finance[Job Number],C8&amp;"",tbl_Finance[Cost Centre],"CTS")&gt;0,"CTS ",""))," ",", ")))</f>
        <v/>
      </c>
      <c r="L8" s="24" t="inlineStr">
        <is>
          <t>https://cts.qwilr.com/26052003-DTTL-Costing-v1-0-0mJlWQroQJWo</t>
        </is>
      </c>
      <c r="M8" s="25">
        <f>IF(L8="","",HYPERLINK(IF(LEFT(L8,4)="http",L8,set_QwilrBase&amp;L8),"Open quote"))</f>
        <v/>
      </c>
      <c r="N8" s="26" t="n">
        <v>3054</v>
      </c>
      <c r="O8" s="26" t="n">
        <v>30885</v>
      </c>
      <c r="P8" s="26" t="n"/>
      <c r="Q8" s="25">
        <f>IF(C8="","",IF(N(N8)+N(O8)+N(P8)=0,"Not split",IF(ROUND(N(N8)+N(O8)+N(P8),2)=ROUND(H8,2),"OK","MISMATCH")))</f>
        <v/>
      </c>
      <c r="R8" s="26" t="n">
        <v>659.27</v>
      </c>
      <c r="S8" s="26" t="n">
        <v>24821.31</v>
      </c>
      <c r="T8" s="26" t="n"/>
      <c r="U8" s="27">
        <f>IF(C8="","",N(R8)+N(S8)+N(T8))</f>
        <v/>
      </c>
      <c r="V8" s="27">
        <f>IF(C8="","",H8-U8)</f>
        <v/>
      </c>
      <c r="W8" s="29">
        <f>IFERROR(V8/H8,"")</f>
        <v/>
      </c>
      <c r="X8" s="24" t="inlineStr">
        <is>
          <t>Variation for slot in PC's</t>
        </is>
      </c>
    </row>
    <row r="9" ht="15" customHeight="1">
      <c r="A9" s="63">
        <f>IF(C9="","",IFERROR(IF(SUMPRODUCT(MAX((tbl_Finance[Job Number]=C9&amp;"")*(tbl_Finance[Xero Invoice No]&lt;&gt;"")*tbl_Finance[Date]))=0,"",SUMPRODUCT(MAX((tbl_Finance[Job Number]=C9&amp;"")*(tbl_Finance[Xero Invoice No]&lt;&gt;"")*tbl_Finance[Date]))),""))</f>
        <v/>
      </c>
      <c r="B9" s="25">
        <f>IF(C9="","",IF(COUNTIFS(tbl_Finance[Job Number],C9&amp;"",tbl_Finance[Xero Invoice No],"&lt;&gt;")=0,"",IFERROR(IF(COUNTIFS(tbl_Finance[Job Number],C9&amp;"",tbl_Finance[Xero Invoice No],LOOKUP(2,1/((tbl_Finance[Job Number]=C9&amp;"")*(tbl_Finance[Xero Invoice No]&lt;&gt;"")),tbl_Finance[Xero Invoice No]))=COUNTIFS(tbl_Finance[Job Number],C9&amp;"",tbl_Finance[Xero Invoice No],"&lt;&gt;"),LOOKUP(2,1/((tbl_Finance[Job Number]=C9&amp;"")*(tbl_Finance[Xero Invoice No]&lt;&gt;"")),tbl_Finance[Xero Invoice No]),LOOKUP(2,1/((tbl_Finance[Job Number]=C9&amp;"")*(tbl_Finance[Xero Invoice No]&lt;&gt;"")),tbl_Finance[Xero Invoice No])&amp;" +more"),"")))</f>
        <v/>
      </c>
      <c r="C9" s="24" t="inlineStr">
        <is>
          <t>26051801</t>
        </is>
      </c>
      <c r="D9" s="25">
        <f>IF(C9="","",IF(COUNTIF(lst_Jobs,C9&amp;"")&gt;0,"OK","CHECK"))</f>
        <v/>
      </c>
      <c r="E9" s="25">
        <f>IF(C9="","",IFERROR(INDEX(lst_JobName,MATCH(C9&amp;"",lst_Jobs,0)),""))</f>
        <v/>
      </c>
      <c r="F9" s="25">
        <f>IF(C9="","",IFERROR(INDEX(tbl_Finance[Client],MATCH(C9&amp;"",tbl_Finance[Job Number],0)),""))</f>
        <v/>
      </c>
      <c r="G9" s="28">
        <f>IF(C9="","",COUNTIFS(tbl_Finance[Job Number],C9&amp;"",tbl_Finance[Ex GST],"&lt;&gt;"))</f>
        <v/>
      </c>
      <c r="H9" s="27">
        <f>IF(C9="","",SUMIFS(tbl_Finance[Ex GST],tbl_Finance[Job Number],C9&amp;""))</f>
        <v/>
      </c>
      <c r="I9" s="27">
        <f>IF(C9="","",SUMIFS(tbl_Finance[Ex GST],tbl_Finance[Job Number],C9&amp;"",tbl_Finance[Xero Invoice No],"&lt;&gt;"))</f>
        <v/>
      </c>
      <c r="J9" s="27">
        <f>IF(C9="","",H9-I9)</f>
        <v/>
      </c>
      <c r="K9" s="25">
        <f>IF(C9="","",IF(G9=0,"not invoiced yet",SUBSTITUTE(TRIM(IF(COUNTIFS(tbl_Finance[Job Number],C9&amp;"",tbl_Finance[Cost Centre],"ONSITE")&gt;0,"ONSITE ","")&amp;IF(COUNTIFS(tbl_Finance[Job Number],C9&amp;"",tbl_Finance[Cost Centre],"PRODUCTION")&gt;0,"PRODUCTION ","")&amp;IF(COUNTIFS(tbl_Finance[Job Number],C9&amp;"",tbl_Finance[Cost Centre],"VIDEO")&gt;0,"VIDEO ","")&amp;IF(COUNTIFS(tbl_Finance[Job Number],C9&amp;"",tbl_Finance[Cost Centre],"INTEGRATION")&gt;0,"INTEGRATION ","")&amp;IF(COUNTIFS(tbl_Finance[Job Number],C9&amp;"",tbl_Finance[Cost Centre],"CONSULTING")&gt;0,"CONSULTING ","")&amp;IF(COUNTIFS(tbl_Finance[Job Number],C9&amp;"",tbl_Finance[Cost Centre],"CTS")&gt;0,"CTS ",""))," ",", ")))</f>
        <v/>
      </c>
      <c r="L9" s="24" t="inlineStr">
        <is>
          <t>https://cts.qwilr.com/26051801-PwC-Costing-v3-0-HUL2JaYQCO39</t>
        </is>
      </c>
      <c r="M9" s="25">
        <f>IF(L9="","",HYPERLINK(IF(LEFT(L9,4)="http",L9,set_QwilrBase&amp;L9),"Open quote"))</f>
        <v/>
      </c>
      <c r="N9" s="26" t="n">
        <v>289</v>
      </c>
      <c r="O9" s="26" t="n">
        <v>11750</v>
      </c>
      <c r="P9" s="26" t="n"/>
      <c r="Q9" s="25">
        <f>IF(C9="","",IF(N(N9)+N(O9)+N(P9)=0,"Not split",IF(ROUND(N(N9)+N(O9)+N(P9),2)=ROUND(H9,2),"OK","MISMATCH")))</f>
        <v/>
      </c>
      <c r="R9" s="26" t="n">
        <v>237</v>
      </c>
      <c r="S9" s="26" t="n">
        <v>8810</v>
      </c>
      <c r="T9" s="26" t="n"/>
      <c r="U9" s="27">
        <f>IF(C9="","",N(R9)+N(S9)+N(T9))</f>
        <v/>
      </c>
      <c r="V9" s="27">
        <f>IF(C9="","",H9-U9)</f>
        <v/>
      </c>
      <c r="W9" s="29">
        <f>IFERROR(V9/H9,"")</f>
        <v/>
      </c>
      <c r="X9" s="24" t="n"/>
    </row>
    <row r="10" ht="15" customHeight="1">
      <c r="A10" s="63">
        <f>IF(C10="","",IFERROR(IF(SUMPRODUCT(MAX((tbl_Finance[Job Number]=C10&amp;"")*(tbl_Finance[Xero Invoice No]&lt;&gt;"")*tbl_Finance[Date]))=0,"",SUMPRODUCT(MAX((tbl_Finance[Job Number]=C10&amp;"")*(tbl_Finance[Xero Invoice No]&lt;&gt;"")*tbl_Finance[Date]))),""))</f>
        <v/>
      </c>
      <c r="B10" s="25">
        <f>IF(C10="","",IF(COUNTIFS(tbl_Finance[Job Number],C10&amp;"",tbl_Finance[Xero Invoice No],"&lt;&gt;")=0,"",IFERROR(IF(COUNTIFS(tbl_Finance[Job Number],C10&amp;"",tbl_Finance[Xero Invoice No],LOOKUP(2,1/((tbl_Finance[Job Number]=C10&amp;"")*(tbl_Finance[Xero Invoice No]&lt;&gt;"")),tbl_Finance[Xero Invoice No]))=COUNTIFS(tbl_Finance[Job Number],C10&amp;"",tbl_Finance[Xero Invoice No],"&lt;&gt;"),LOOKUP(2,1/((tbl_Finance[Job Number]=C10&amp;"")*(tbl_Finance[Xero Invoice No]&lt;&gt;"")),tbl_Finance[Xero Invoice No]),LOOKUP(2,1/((tbl_Finance[Job Number]=C10&amp;"")*(tbl_Finance[Xero Invoice No]&lt;&gt;"")),tbl_Finance[Xero Invoice No])&amp;" +more"),"")))</f>
        <v/>
      </c>
      <c r="C10" s="24" t="inlineStr">
        <is>
          <t>26043003</t>
        </is>
      </c>
      <c r="D10" s="25">
        <f>IF(C10="","",IF(COUNTIF(lst_Jobs,C10&amp;"")&gt;0,"OK","CHECK"))</f>
        <v/>
      </c>
      <c r="E10" s="25">
        <f>IF(C10="","",IFERROR(INDEX(lst_JobName,MATCH(C10&amp;"",lst_Jobs,0)),""))</f>
        <v/>
      </c>
      <c r="F10" s="25">
        <f>IF(C10="","",IFERROR(INDEX(tbl_Finance[Client],MATCH(C10&amp;"",tbl_Finance[Job Number],0)),""))</f>
        <v/>
      </c>
      <c r="G10" s="28">
        <f>IF(C10="","",COUNTIFS(tbl_Finance[Job Number],C10&amp;"",tbl_Finance[Ex GST],"&lt;&gt;"))</f>
        <v/>
      </c>
      <c r="H10" s="27">
        <f>IF(C10="","",SUMIFS(tbl_Finance[Ex GST],tbl_Finance[Job Number],C10&amp;""))</f>
        <v/>
      </c>
      <c r="I10" s="27">
        <f>IF(C10="","",SUMIFS(tbl_Finance[Ex GST],tbl_Finance[Job Number],C10&amp;"",tbl_Finance[Xero Invoice No],"&lt;&gt;"))</f>
        <v/>
      </c>
      <c r="J10" s="27">
        <f>IF(C10="","",H10-I10)</f>
        <v/>
      </c>
      <c r="K10" s="25">
        <f>IF(C10="","",IF(G10=0,"not invoiced yet",SUBSTITUTE(TRIM(IF(COUNTIFS(tbl_Finance[Job Number],C10&amp;"",tbl_Finance[Cost Centre],"ONSITE")&gt;0,"ONSITE ","")&amp;IF(COUNTIFS(tbl_Finance[Job Number],C10&amp;"",tbl_Finance[Cost Centre],"PRODUCTION")&gt;0,"PRODUCTION ","")&amp;IF(COUNTIFS(tbl_Finance[Job Number],C10&amp;"",tbl_Finance[Cost Centre],"VIDEO")&gt;0,"VIDEO ","")&amp;IF(COUNTIFS(tbl_Finance[Job Number],C10&amp;"",tbl_Finance[Cost Centre],"INTEGRATION")&gt;0,"INTEGRATION ","")&amp;IF(COUNTIFS(tbl_Finance[Job Number],C10&amp;"",tbl_Finance[Cost Centre],"CONSULTING")&gt;0,"CONSULTING ","")&amp;IF(COUNTIFS(tbl_Finance[Job Number],C10&amp;"",tbl_Finance[Cost Centre],"CTS")&gt;0,"CTS ",""))," ",", ")))</f>
        <v/>
      </c>
      <c r="L10" s="24" t="inlineStr">
        <is>
          <t>https://cts.qwilr.com/26043003-PwC-Costing-v1-0-LoPgcYilSIWh</t>
        </is>
      </c>
      <c r="M10" s="25">
        <f>IF(L10="","",HYPERLINK(IF(LEFT(L10,4)="http",L10,set_QwilrBase&amp;L10),"Open quote"))</f>
        <v/>
      </c>
      <c r="N10" s="26" t="n">
        <v>17766</v>
      </c>
      <c r="O10" s="26" t="n">
        <v>78301</v>
      </c>
      <c r="P10" s="26" t="n"/>
      <c r="Q10" s="25">
        <f>IF(C10="","",IF(N(N10)+N(O10)+N(P10)=0,"Not split",IF(ROUND(N(N10)+N(O10)+N(P10),2)=ROUND(H10,2),"OK","MISMATCH")))</f>
        <v/>
      </c>
      <c r="R10" s="26" t="n">
        <v>13439</v>
      </c>
      <c r="S10" s="26" t="n">
        <v>74537</v>
      </c>
      <c r="T10" s="26" t="n"/>
      <c r="U10" s="27">
        <f>IF(C10="","",N(R10)+N(S10)+N(T10))</f>
        <v/>
      </c>
      <c r="V10" s="27">
        <f>IF(C10="","",H10-U10)</f>
        <v/>
      </c>
      <c r="W10" s="29">
        <f>IFERROR(V10/H10,"")</f>
        <v/>
      </c>
      <c r="X10" s="24" t="n"/>
    </row>
    <row r="11" ht="15" customHeight="1">
      <c r="A11" s="63">
        <f>IF(C11="","",IFERROR(IF(SUMPRODUCT(MAX((tbl_Finance[Job Number]=C11&amp;"")*(tbl_Finance[Xero Invoice No]&lt;&gt;"")*tbl_Finance[Date]))=0,"",SUMPRODUCT(MAX((tbl_Finance[Job Number]=C11&amp;"")*(tbl_Finance[Xero Invoice No]&lt;&gt;"")*tbl_Finance[Date]))),""))</f>
        <v/>
      </c>
      <c r="B11" s="25">
        <f>IF(C11="","",IF(COUNTIFS(tbl_Finance[Job Number],C11&amp;"",tbl_Finance[Xero Invoice No],"&lt;&gt;")=0,"",IFERROR(IF(COUNTIFS(tbl_Finance[Job Number],C11&amp;"",tbl_Finance[Xero Invoice No],LOOKUP(2,1/((tbl_Finance[Job Number]=C11&amp;"")*(tbl_Finance[Xero Invoice No]&lt;&gt;"")),tbl_Finance[Xero Invoice No]))=COUNTIFS(tbl_Finance[Job Number],C11&amp;"",tbl_Finance[Xero Invoice No],"&lt;&gt;"),LOOKUP(2,1/((tbl_Finance[Job Number]=C11&amp;"")*(tbl_Finance[Xero Invoice No]&lt;&gt;"")),tbl_Finance[Xero Invoice No]),LOOKUP(2,1/((tbl_Finance[Job Number]=C11&amp;"")*(tbl_Finance[Xero Invoice No]&lt;&gt;"")),tbl_Finance[Xero Invoice No])&amp;" +more"),"")))</f>
        <v/>
      </c>
      <c r="C11" s="24" t="inlineStr">
        <is>
          <t>2606901</t>
        </is>
      </c>
      <c r="D11" s="25">
        <f>IF(C11="","",IF(COUNTIF(lst_Jobs,C11&amp;"")&gt;0,"OK","CHECK"))</f>
        <v/>
      </c>
      <c r="E11" s="25">
        <f>IF(C11="","",IFERROR(INDEX(lst_JobName,MATCH(C11&amp;"",lst_Jobs,0)),""))</f>
        <v/>
      </c>
      <c r="F11" s="25">
        <f>IF(C11="","",IFERROR(INDEX(tbl_Finance[Client],MATCH(C11&amp;"",tbl_Finance[Job Number],0)),""))</f>
        <v/>
      </c>
      <c r="G11" s="28">
        <f>IF(C11="","",COUNTIFS(tbl_Finance[Job Number],C11&amp;"",tbl_Finance[Ex GST],"&lt;&gt;"))</f>
        <v/>
      </c>
      <c r="H11" s="27">
        <f>IF(C11="","",SUMIFS(tbl_Finance[Ex GST],tbl_Finance[Job Number],C11&amp;""))</f>
        <v/>
      </c>
      <c r="I11" s="27">
        <f>IF(C11="","",SUMIFS(tbl_Finance[Ex GST],tbl_Finance[Job Number],C11&amp;"",tbl_Finance[Xero Invoice No],"&lt;&gt;"))</f>
        <v/>
      </c>
      <c r="J11" s="27">
        <f>IF(C11="","",H11-I11)</f>
        <v/>
      </c>
      <c r="K11" s="25">
        <f>IF(C11="","",IF(G11=0,"not invoiced yet",SUBSTITUTE(TRIM(IF(COUNTIFS(tbl_Finance[Job Number],C11&amp;"",tbl_Finance[Cost Centre],"ONSITE")&gt;0,"ONSITE ","")&amp;IF(COUNTIFS(tbl_Finance[Job Number],C11&amp;"",tbl_Finance[Cost Centre],"PRODUCTION")&gt;0,"PRODUCTION ","")&amp;IF(COUNTIFS(tbl_Finance[Job Number],C11&amp;"",tbl_Finance[Cost Centre],"VIDEO")&gt;0,"VIDEO ","")&amp;IF(COUNTIFS(tbl_Finance[Job Number],C11&amp;"",tbl_Finance[Cost Centre],"INTEGRATION")&gt;0,"INTEGRATION ","")&amp;IF(COUNTIFS(tbl_Finance[Job Number],C11&amp;"",tbl_Finance[Cost Centre],"CONSULTING")&gt;0,"CONSULTING ","")&amp;IF(COUNTIFS(tbl_Finance[Job Number],C11&amp;"",tbl_Finance[Cost Centre],"CTS")&gt;0,"CTS ",""))," ",", ")))</f>
        <v/>
      </c>
      <c r="L11" s="24" t="inlineStr">
        <is>
          <t>https://app.qwilr.com/#/page-view/6a336995d5bfec1e1c7a08ed</t>
        </is>
      </c>
      <c r="M11" s="25">
        <f>IF(L11="","",HYPERLINK(IF(LEFT(L11,4)="http",L11,set_QwilrBase&amp;L11),"Open quote"))</f>
        <v/>
      </c>
      <c r="N11" s="26" t="n">
        <v>41</v>
      </c>
      <c r="O11" s="26" t="n">
        <v>520</v>
      </c>
      <c r="P11" s="26" t="n"/>
      <c r="Q11" s="25">
        <f>IF(C11="","",IF(N(N11)+N(O11)+N(P11)=0,"Not split",IF(ROUND(N(N11)+N(O11)+N(P11),2)=ROUND(H11,2),"OK","MISMATCH")))</f>
        <v/>
      </c>
      <c r="R11" s="26" t="n">
        <v>30.98</v>
      </c>
      <c r="S11" s="26" t="n">
        <v>389</v>
      </c>
      <c r="T11" s="26" t="n"/>
      <c r="U11" s="27">
        <f>IF(C11="","",N(R11)+N(S11)+N(T11))</f>
        <v/>
      </c>
      <c r="V11" s="27">
        <f>IF(C11="","",H11-U11)</f>
        <v/>
      </c>
      <c r="W11" s="29">
        <f>IFERROR(V11/H11,"")</f>
        <v/>
      </c>
      <c r="X11" s="24" t="n"/>
    </row>
    <row r="12" ht="15" customHeight="1">
      <c r="A12" s="63">
        <f>IF(C12="","",IFERROR(IF(SUMPRODUCT(MAX((tbl_Finance[Job Number]=C12&amp;"")*(tbl_Finance[Xero Invoice No]&lt;&gt;"")*tbl_Finance[Date]))=0,"",SUMPRODUCT(MAX((tbl_Finance[Job Number]=C12&amp;"")*(tbl_Finance[Xero Invoice No]&lt;&gt;"")*tbl_Finance[Date]))),""))</f>
        <v/>
      </c>
      <c r="B12" s="25">
        <f>IF(C12="","",IF(COUNTIFS(tbl_Finance[Job Number],C12&amp;"",tbl_Finance[Xero Invoice No],"&lt;&gt;")=0,"",IFERROR(IF(COUNTIFS(tbl_Finance[Job Number],C12&amp;"",tbl_Finance[Xero Invoice No],LOOKUP(2,1/((tbl_Finance[Job Number]=C12&amp;"")*(tbl_Finance[Xero Invoice No]&lt;&gt;"")),tbl_Finance[Xero Invoice No]))=COUNTIFS(tbl_Finance[Job Number],C12&amp;"",tbl_Finance[Xero Invoice No],"&lt;&gt;"),LOOKUP(2,1/((tbl_Finance[Job Number]=C12&amp;"")*(tbl_Finance[Xero Invoice No]&lt;&gt;"")),tbl_Finance[Xero Invoice No]),LOOKUP(2,1/((tbl_Finance[Job Number]=C12&amp;"")*(tbl_Finance[Xero Invoice No]&lt;&gt;"")),tbl_Finance[Xero Invoice No])&amp;" +more"),"")))</f>
        <v/>
      </c>
      <c r="C12" s="24" t="inlineStr">
        <is>
          <t>2602203</t>
        </is>
      </c>
      <c r="D12" s="25">
        <f>IF(C12="","",IF(COUNTIF(lst_Jobs,C12&amp;"")&gt;0,"OK","CHECK"))</f>
        <v/>
      </c>
      <c r="E12" s="25">
        <f>IF(C12="","",IFERROR(INDEX(lst_JobName,MATCH(C12&amp;"",lst_Jobs,0)),""))</f>
        <v/>
      </c>
      <c r="F12" s="25">
        <f>IF(C12="","",IFERROR(INDEX(tbl_Finance[Client],MATCH(C12&amp;"",tbl_Finance[Job Number],0)),""))</f>
        <v/>
      </c>
      <c r="G12" s="28">
        <f>IF(C12="","",COUNTIFS(tbl_Finance[Job Number],C12&amp;"",tbl_Finance[Ex GST],"&lt;&gt;"))</f>
        <v/>
      </c>
      <c r="H12" s="27">
        <f>IF(C12="","",SUMIFS(tbl_Finance[Ex GST],tbl_Finance[Job Number],C12&amp;""))</f>
        <v/>
      </c>
      <c r="I12" s="27">
        <f>IF(C12="","",SUMIFS(tbl_Finance[Ex GST],tbl_Finance[Job Number],C12&amp;"",tbl_Finance[Xero Invoice No],"&lt;&gt;"))</f>
        <v/>
      </c>
      <c r="J12" s="27">
        <f>IF(C12="","",H12-I12)</f>
        <v/>
      </c>
      <c r="K12" s="25">
        <f>IF(C12="","",IF(G12=0,"not invoiced yet",SUBSTITUTE(TRIM(IF(COUNTIFS(tbl_Finance[Job Number],C12&amp;"",tbl_Finance[Cost Centre],"ONSITE")&gt;0,"ONSITE ","")&amp;IF(COUNTIFS(tbl_Finance[Job Number],C12&amp;"",tbl_Finance[Cost Centre],"PRODUCTION")&gt;0,"PRODUCTION ","")&amp;IF(COUNTIFS(tbl_Finance[Job Number],C12&amp;"",tbl_Finance[Cost Centre],"VIDEO")&gt;0,"VIDEO ","")&amp;IF(COUNTIFS(tbl_Finance[Job Number],C12&amp;"",tbl_Finance[Cost Centre],"INTEGRATION")&gt;0,"INTEGRATION ","")&amp;IF(COUNTIFS(tbl_Finance[Job Number],C12&amp;"",tbl_Finance[Cost Centre],"CONSULTING")&gt;0,"CONSULTING ","")&amp;IF(COUNTIFS(tbl_Finance[Job Number],C12&amp;"",tbl_Finance[Cost Centre],"CTS")&gt;0,"CTS ",""))," ",", ")))</f>
        <v/>
      </c>
      <c r="L12" s="24" t="inlineStr">
        <is>
          <t>https://cts.qwilr.com/2602203-YSGStudio-Proposal-A-Yw8447MlTUK7</t>
        </is>
      </c>
      <c r="M12" s="25">
        <f>IF(L12="","",HYPERLINK(IF(LEFT(L12,4)="http",L12,set_QwilrBase&amp;L12),"Open quote"))</f>
        <v/>
      </c>
      <c r="N12" s="26" t="n">
        <v>2247.5</v>
      </c>
      <c r="O12" s="26" t="n"/>
      <c r="P12" s="26" t="n"/>
      <c r="Q12" s="25">
        <f>IF(C12="","",IF(N(N12)+N(O12)+N(P12)=0,"Not split",IF(ROUND(N(N12)+N(O12)+N(P12),2)=ROUND(H12,2),"OK","MISMATCH")))</f>
        <v/>
      </c>
      <c r="R12" s="26" t="n">
        <v>4840.96</v>
      </c>
      <c r="S12" s="26" t="n">
        <v>17621.33</v>
      </c>
      <c r="T12" s="26" t="n"/>
      <c r="U12" s="27">
        <f>IF(C12="","",N(R12)+N(S12)+N(T12))</f>
        <v/>
      </c>
      <c r="V12" s="27">
        <f>IF(C12="","",H12-U12)</f>
        <v/>
      </c>
      <c r="W12" s="29">
        <f>IFERROR(V12/H12,"")</f>
        <v/>
      </c>
      <c r="X12" s="24" t="inlineStr">
        <is>
          <t>Progress Claim 03</t>
        </is>
      </c>
    </row>
    <row r="13" ht="15" customHeight="1">
      <c r="A13" s="63">
        <f>IF(C13="","",IFERROR(IF(SUMPRODUCT(MAX((tbl_Finance[Job Number]=C13&amp;"")*(tbl_Finance[Xero Invoice No]&lt;&gt;"")*tbl_Finance[Date]))=0,"",SUMPRODUCT(MAX((tbl_Finance[Job Number]=C13&amp;"")*(tbl_Finance[Xero Invoice No]&lt;&gt;"")*tbl_Finance[Date]))),""))</f>
        <v/>
      </c>
      <c r="B13" s="25">
        <f>IF(C13="","",IF(COUNTIFS(tbl_Finance[Job Number],C13&amp;"",tbl_Finance[Xero Invoice No],"&lt;&gt;")=0,"",IFERROR(IF(COUNTIFS(tbl_Finance[Job Number],C13&amp;"",tbl_Finance[Xero Invoice No],LOOKUP(2,1/((tbl_Finance[Job Number]=C13&amp;"")*(tbl_Finance[Xero Invoice No]&lt;&gt;"")),tbl_Finance[Xero Invoice No]))=COUNTIFS(tbl_Finance[Job Number],C13&amp;"",tbl_Finance[Xero Invoice No],"&lt;&gt;"),LOOKUP(2,1/((tbl_Finance[Job Number]=C13&amp;"")*(tbl_Finance[Xero Invoice No]&lt;&gt;"")),tbl_Finance[Xero Invoice No]),LOOKUP(2,1/((tbl_Finance[Job Number]=C13&amp;"")*(tbl_Finance[Xero Invoice No]&lt;&gt;"")),tbl_Finance[Xero Invoice No])&amp;" +more"),"")))</f>
        <v/>
      </c>
      <c r="C13" s="24" t="inlineStr">
        <is>
          <t>25111203</t>
        </is>
      </c>
      <c r="D13" s="25">
        <f>IF(C13="","",IF(COUNTIF(lst_Jobs,C13&amp;"")&gt;0,"OK","CHECK"))</f>
        <v/>
      </c>
      <c r="E13" s="25">
        <f>IF(C13="","",IFERROR(INDEX(lst_JobName,MATCH(C13&amp;"",lst_Jobs,0)),""))</f>
        <v/>
      </c>
      <c r="F13" s="25">
        <f>IF(C13="","",IFERROR(INDEX(tbl_Finance[Client],MATCH(C13&amp;"",tbl_Finance[Job Number],0)),""))</f>
        <v/>
      </c>
      <c r="G13" s="28">
        <f>IF(C13="","",COUNTIFS(tbl_Finance[Job Number],C13&amp;"",tbl_Finance[Ex GST],"&lt;&gt;"))</f>
        <v/>
      </c>
      <c r="H13" s="27">
        <f>IF(C13="","",SUMIFS(tbl_Finance[Ex GST],tbl_Finance[Job Number],C13&amp;""))</f>
        <v/>
      </c>
      <c r="I13" s="27">
        <f>IF(C13="","",SUMIFS(tbl_Finance[Ex GST],tbl_Finance[Job Number],C13&amp;"",tbl_Finance[Xero Invoice No],"&lt;&gt;"))</f>
        <v/>
      </c>
      <c r="J13" s="27">
        <f>IF(C13="","",H13-I13)</f>
        <v/>
      </c>
      <c r="K13" s="25">
        <f>IF(C13="","",IF(G13=0,"not invoiced yet",SUBSTITUTE(TRIM(IF(COUNTIFS(tbl_Finance[Job Number],C13&amp;"",tbl_Finance[Cost Centre],"ONSITE")&gt;0,"ONSITE ","")&amp;IF(COUNTIFS(tbl_Finance[Job Number],C13&amp;"",tbl_Finance[Cost Centre],"PRODUCTION")&gt;0,"PRODUCTION ","")&amp;IF(COUNTIFS(tbl_Finance[Job Number],C13&amp;"",tbl_Finance[Cost Centre],"VIDEO")&gt;0,"VIDEO ","")&amp;IF(COUNTIFS(tbl_Finance[Job Number],C13&amp;"",tbl_Finance[Cost Centre],"INTEGRATION")&gt;0,"INTEGRATION ","")&amp;IF(COUNTIFS(tbl_Finance[Job Number],C13&amp;"",tbl_Finance[Cost Centre],"CONSULTING")&gt;0,"CONSULTING ","")&amp;IF(COUNTIFS(tbl_Finance[Job Number],C13&amp;"",tbl_Finance[Cost Centre],"CTS")&gt;0,"CTS ",""))," ",", ")))</f>
        <v/>
      </c>
      <c r="L13" s="24" t="inlineStr">
        <is>
          <t>https://cts.qwilr.com/25111203-CoS-Proposal-v3-0-SyP1MwQ2TcKi</t>
        </is>
      </c>
      <c r="M13" s="25">
        <f>IF(L13="","",HYPERLINK(IF(LEFT(L13,4)="http",L13,set_QwilrBase&amp;L13),"Open quote"))</f>
        <v/>
      </c>
      <c r="N13" s="26" t="n"/>
      <c r="O13" s="26" t="n">
        <v>159150</v>
      </c>
      <c r="P13" s="26" t="n"/>
      <c r="Q13" s="25">
        <f>IF(C13="","",IF(N(N13)+N(O13)+N(P13)=0,"Not split",IF(ROUND(N(N13)+N(O13)+N(P13),2)=ROUND(H13,2),"OK","MISMATCH")))</f>
        <v/>
      </c>
      <c r="R13" s="26" t="n"/>
      <c r="S13" s="26" t="n">
        <v>149604.26</v>
      </c>
      <c r="T13" s="26" t="n"/>
      <c r="U13" s="27">
        <f>IF(C13="","",N(R13)+N(S13)+N(T13))</f>
        <v/>
      </c>
      <c r="V13" s="27">
        <f>IF(C13="","",H13-U13)</f>
        <v/>
      </c>
      <c r="W13" s="29">
        <f>IFERROR(V13/H13,"")</f>
        <v/>
      </c>
      <c r="X13" s="24" t="n"/>
    </row>
    <row r="14" ht="15" customHeight="1">
      <c r="A14" s="63">
        <f>IF(C14="","",IFERROR(IF(SUMPRODUCT(MAX((tbl_Finance[Job Number]=C14&amp;"")*(tbl_Finance[Xero Invoice No]&lt;&gt;"")*tbl_Finance[Date]))=0,"",SUMPRODUCT(MAX((tbl_Finance[Job Number]=C14&amp;"")*(tbl_Finance[Xero Invoice No]&lt;&gt;"")*tbl_Finance[Date]))),""))</f>
        <v/>
      </c>
      <c r="B14" s="25">
        <f>IF(C14="","",IF(COUNTIFS(tbl_Finance[Job Number],C14&amp;"",tbl_Finance[Xero Invoice No],"&lt;&gt;")=0,"",IFERROR(IF(COUNTIFS(tbl_Finance[Job Number],C14&amp;"",tbl_Finance[Xero Invoice No],LOOKUP(2,1/((tbl_Finance[Job Number]=C14&amp;"")*(tbl_Finance[Xero Invoice No]&lt;&gt;"")),tbl_Finance[Xero Invoice No]))=COUNTIFS(tbl_Finance[Job Number],C14&amp;"",tbl_Finance[Xero Invoice No],"&lt;&gt;"),LOOKUP(2,1/((tbl_Finance[Job Number]=C14&amp;"")*(tbl_Finance[Xero Invoice No]&lt;&gt;"")),tbl_Finance[Xero Invoice No]),LOOKUP(2,1/((tbl_Finance[Job Number]=C14&amp;"")*(tbl_Finance[Xero Invoice No]&lt;&gt;"")),tbl_Finance[Xero Invoice No])&amp;" +more"),"")))</f>
        <v/>
      </c>
      <c r="C14" s="24" t="inlineStr">
        <is>
          <t>26033003</t>
        </is>
      </c>
      <c r="D14" s="25">
        <f>IF(C14="","",IF(COUNTIF(lst_Jobs,C14&amp;"")&gt;0,"OK","CHECK"))</f>
        <v/>
      </c>
      <c r="E14" s="25">
        <f>IF(C14="","",IFERROR(INDEX(lst_JobName,MATCH(C14&amp;"",lst_Jobs,0)),""))</f>
        <v/>
      </c>
      <c r="F14" s="25">
        <f>IF(C14="","",IFERROR(INDEX(tbl_Finance[Client],MATCH(C14&amp;"",tbl_Finance[Job Number],0)),""))</f>
        <v/>
      </c>
      <c r="G14" s="28">
        <f>IF(C14="","",COUNTIFS(tbl_Finance[Job Number],C14&amp;"",tbl_Finance[Ex GST],"&lt;&gt;"))</f>
        <v/>
      </c>
      <c r="H14" s="27">
        <f>IF(C14="","",SUMIFS(tbl_Finance[Ex GST],tbl_Finance[Job Number],C14&amp;""))</f>
        <v/>
      </c>
      <c r="I14" s="27">
        <f>IF(C14="","",SUMIFS(tbl_Finance[Ex GST],tbl_Finance[Job Number],C14&amp;"",tbl_Finance[Xero Invoice No],"&lt;&gt;"))</f>
        <v/>
      </c>
      <c r="J14" s="27">
        <f>IF(C14="","",H14-I14)</f>
        <v/>
      </c>
      <c r="K14" s="25">
        <f>IF(C14="","",IF(G14=0,"not invoiced yet",SUBSTITUTE(TRIM(IF(COUNTIFS(tbl_Finance[Job Number],C14&amp;"",tbl_Finance[Cost Centre],"ONSITE")&gt;0,"ONSITE ","")&amp;IF(COUNTIFS(tbl_Finance[Job Number],C14&amp;"",tbl_Finance[Cost Centre],"PRODUCTION")&gt;0,"PRODUCTION ","")&amp;IF(COUNTIFS(tbl_Finance[Job Number],C14&amp;"",tbl_Finance[Cost Centre],"VIDEO")&gt;0,"VIDEO ","")&amp;IF(COUNTIFS(tbl_Finance[Job Number],C14&amp;"",tbl_Finance[Cost Centre],"INTEGRATION")&gt;0,"INTEGRATION ","")&amp;IF(COUNTIFS(tbl_Finance[Job Number],C14&amp;"",tbl_Finance[Cost Centre],"CONSULTING")&gt;0,"CONSULTING ","")&amp;IF(COUNTIFS(tbl_Finance[Job Number],C14&amp;"",tbl_Finance[Cost Centre],"CTS")&gt;0,"CTS ",""))," ",", ")))</f>
        <v/>
      </c>
      <c r="L14" s="24" t="inlineStr">
        <is>
          <t>26033003-Deloitte-8PSQ-Dream-Big-Microphones-v1-0-E9jd4w9T62Y1</t>
        </is>
      </c>
      <c r="M14" s="25">
        <f>IF(L14="","",HYPERLINK(IF(LEFT(L14,4)="http",L14,set_QwilrBase&amp;L14),"Open quote"))</f>
        <v/>
      </c>
      <c r="N14" s="26" t="n">
        <v>5904</v>
      </c>
      <c r="O14" s="26" t="n">
        <v>21504</v>
      </c>
      <c r="P14" s="26" t="n"/>
      <c r="Q14" s="25">
        <f>IF(C14="","",IF(N(N14)+N(O14)+N(P14)=0,"Not split",IF(ROUND(N(N14)+N(O14)+N(P14),2)=ROUND(H14,2),"OK","MISMATCH")))</f>
        <v/>
      </c>
      <c r="R14" s="26" t="n">
        <v>4840.8</v>
      </c>
      <c r="S14" s="26" t="n">
        <v>17621.2</v>
      </c>
      <c r="T14" s="26" t="n"/>
      <c r="U14" s="27">
        <f>IF(C14="","",N(R14)+N(S14)+N(T14))</f>
        <v/>
      </c>
      <c r="V14" s="27">
        <f>IF(C14="","",H14-U14)</f>
        <v/>
      </c>
      <c r="W14" s="29">
        <f>IFERROR(V14/H14,"")</f>
        <v/>
      </c>
      <c r="X14" s="24" t="inlineStr">
        <is>
          <t>Invoiced in DTTL Additionals</t>
        </is>
      </c>
    </row>
    <row r="15" ht="15" customHeight="1">
      <c r="A15" s="63">
        <f>IF(C15="","",IFERROR(IF(SUMPRODUCT(MAX((tbl_Finance[Job Number]=C15&amp;"")*(tbl_Finance[Xero Invoice No]&lt;&gt;"")*tbl_Finance[Date]))=0,"",SUMPRODUCT(MAX((tbl_Finance[Job Number]=C15&amp;"")*(tbl_Finance[Xero Invoice No]&lt;&gt;"")*tbl_Finance[Date]))),""))</f>
        <v/>
      </c>
      <c r="B15" s="25">
        <f>IF(C15="","",IF(COUNTIFS(tbl_Finance[Job Number],C15&amp;"",tbl_Finance[Xero Invoice No],"&lt;&gt;")=0,"",IFERROR(IF(COUNTIFS(tbl_Finance[Job Number],C15&amp;"",tbl_Finance[Xero Invoice No],LOOKUP(2,1/((tbl_Finance[Job Number]=C15&amp;"")*(tbl_Finance[Xero Invoice No]&lt;&gt;"")),tbl_Finance[Xero Invoice No]))=COUNTIFS(tbl_Finance[Job Number],C15&amp;"",tbl_Finance[Xero Invoice No],"&lt;&gt;"),LOOKUP(2,1/((tbl_Finance[Job Number]=C15&amp;"")*(tbl_Finance[Xero Invoice No]&lt;&gt;"")),tbl_Finance[Xero Invoice No]),LOOKUP(2,1/((tbl_Finance[Job Number]=C15&amp;"")*(tbl_Finance[Xero Invoice No]&lt;&gt;"")),tbl_Finance[Xero Invoice No])&amp;" +more"),"")))</f>
        <v/>
      </c>
      <c r="C15" s="24" t="inlineStr">
        <is>
          <t>26033005</t>
        </is>
      </c>
      <c r="D15" s="25">
        <f>IF(C15="","",IF(COUNTIF(lst_Jobs,C15&amp;"")&gt;0,"OK","CHECK"))</f>
        <v/>
      </c>
      <c r="E15" s="25">
        <f>IF(C15="","",IFERROR(INDEX(lst_JobName,MATCH(C15&amp;"",lst_Jobs,0)),""))</f>
        <v/>
      </c>
      <c r="F15" s="25">
        <f>IF(C15="","",IFERROR(INDEX(tbl_Finance[Client],MATCH(C15&amp;"",tbl_Finance[Job Number],0)),""))</f>
        <v/>
      </c>
      <c r="G15" s="28">
        <f>IF(C15="","",COUNTIFS(tbl_Finance[Job Number],C15&amp;"",tbl_Finance[Ex GST],"&lt;&gt;"))</f>
        <v/>
      </c>
      <c r="H15" s="27">
        <f>IF(C15="","",SUMIFS(tbl_Finance[Ex GST],tbl_Finance[Job Number],C15&amp;""))</f>
        <v/>
      </c>
      <c r="I15" s="27">
        <f>IF(C15="","",SUMIFS(tbl_Finance[Ex GST],tbl_Finance[Job Number],C15&amp;"",tbl_Finance[Xero Invoice No],"&lt;&gt;"))</f>
        <v/>
      </c>
      <c r="J15" s="27">
        <f>IF(C15="","",H15-I15)</f>
        <v/>
      </c>
      <c r="K15" s="25">
        <f>IF(C15="","",IF(G15=0,"not invoiced yet",SUBSTITUTE(TRIM(IF(COUNTIFS(tbl_Finance[Job Number],C15&amp;"",tbl_Finance[Cost Centre],"ONSITE")&gt;0,"ONSITE ","")&amp;IF(COUNTIFS(tbl_Finance[Job Number],C15&amp;"",tbl_Finance[Cost Centre],"PRODUCTION")&gt;0,"PRODUCTION ","")&amp;IF(COUNTIFS(tbl_Finance[Job Number],C15&amp;"",tbl_Finance[Cost Centre],"VIDEO")&gt;0,"VIDEO ","")&amp;IF(COUNTIFS(tbl_Finance[Job Number],C15&amp;"",tbl_Finance[Cost Centre],"INTEGRATION")&gt;0,"INTEGRATION ","")&amp;IF(COUNTIFS(tbl_Finance[Job Number],C15&amp;"",tbl_Finance[Cost Centre],"CONSULTING")&gt;0,"CONSULTING ","")&amp;IF(COUNTIFS(tbl_Finance[Job Number],C15&amp;"",tbl_Finance[Cost Centre],"CTS")&gt;0,"CTS ",""))," ",", ")))</f>
        <v/>
      </c>
      <c r="L15" s="24" t="inlineStr">
        <is>
          <t>26033005_Deloitte QQT &amp; 8PSQ_Crestron Connect Adaptor_v1.0</t>
        </is>
      </c>
      <c r="M15" s="25">
        <f>IF(L15="","",HYPERLINK(IF(LEFT(L15,4)="http",L15,set_QwilrBase&amp;L15),"Open quote"))</f>
        <v/>
      </c>
      <c r="N15" s="26" t="n">
        <v>4105</v>
      </c>
      <c r="O15" s="26" t="n">
        <v>16023</v>
      </c>
      <c r="P15" s="26" t="n"/>
      <c r="Q15" s="25">
        <f>IF(C15="","",IF(N(N15)+N(O15)+N(P15)=0,"Not split",IF(ROUND(N(N15)+N(O15)+N(P15),2)=ROUND(H15,2),"OK","MISMATCH")))</f>
        <v/>
      </c>
      <c r="R15" s="26" t="n">
        <v>3013.72</v>
      </c>
      <c r="S15" s="26" t="n">
        <v>13493.15</v>
      </c>
      <c r="T15" s="26" t="n"/>
      <c r="U15" s="27">
        <f>IF(C15="","",N(R15)+N(S15)+N(T15))</f>
        <v/>
      </c>
      <c r="V15" s="27">
        <f>IF(C15="","",H15-U15)</f>
        <v/>
      </c>
      <c r="W15" s="29">
        <f>IFERROR(V15/H15,"")</f>
        <v/>
      </c>
      <c r="X15" s="24" t="n"/>
    </row>
    <row r="16" ht="15" customHeight="1">
      <c r="A16" s="63">
        <f>IF(C16="","",IFERROR(IF(SUMPRODUCT(MAX((tbl_Finance[Job Number]=C16&amp;"")*(tbl_Finance[Xero Invoice No]&lt;&gt;"")*tbl_Finance[Date]))=0,"",SUMPRODUCT(MAX((tbl_Finance[Job Number]=C16&amp;"")*(tbl_Finance[Xero Invoice No]&lt;&gt;"")*tbl_Finance[Date]))),""))</f>
        <v/>
      </c>
      <c r="B16" s="25">
        <f>IF(C16="","",IF(COUNTIFS(tbl_Finance[Job Number],C16&amp;"",tbl_Finance[Xero Invoice No],"&lt;&gt;")=0,"",IFERROR(IF(COUNTIFS(tbl_Finance[Job Number],C16&amp;"",tbl_Finance[Xero Invoice No],LOOKUP(2,1/((tbl_Finance[Job Number]=C16&amp;"")*(tbl_Finance[Xero Invoice No]&lt;&gt;"")),tbl_Finance[Xero Invoice No]))=COUNTIFS(tbl_Finance[Job Number],C16&amp;"",tbl_Finance[Xero Invoice No],"&lt;&gt;"),LOOKUP(2,1/((tbl_Finance[Job Number]=C16&amp;"")*(tbl_Finance[Xero Invoice No]&lt;&gt;"")),tbl_Finance[Xero Invoice No]),LOOKUP(2,1/((tbl_Finance[Job Number]=C16&amp;"")*(tbl_Finance[Xero Invoice No]&lt;&gt;"")),tbl_Finance[Xero Invoice No])&amp;" +more"),"")))</f>
        <v/>
      </c>
      <c r="C16" s="24" t="inlineStr">
        <is>
          <t>26033006</t>
        </is>
      </c>
      <c r="D16" s="25">
        <f>IF(C16="","",IF(COUNTIF(lst_Jobs,C16&amp;"")&gt;0,"OK","CHECK"))</f>
        <v/>
      </c>
      <c r="E16" s="25">
        <f>IF(C16="","",IFERROR(INDEX(lst_JobName,MATCH(C16&amp;"",lst_Jobs,0)),""))</f>
        <v/>
      </c>
      <c r="F16" s="25">
        <f>IF(C16="","",IFERROR(INDEX(tbl_Finance[Client],MATCH(C16&amp;"",tbl_Finance[Job Number],0)),""))</f>
        <v/>
      </c>
      <c r="G16" s="28">
        <f>IF(C16="","",COUNTIFS(tbl_Finance[Job Number],C16&amp;"",tbl_Finance[Ex GST],"&lt;&gt;"))</f>
        <v/>
      </c>
      <c r="H16" s="27">
        <f>IF(C16="","",SUMIFS(tbl_Finance[Ex GST],tbl_Finance[Job Number],C16&amp;""))</f>
        <v/>
      </c>
      <c r="I16" s="27">
        <f>IF(C16="","",SUMIFS(tbl_Finance[Ex GST],tbl_Finance[Job Number],C16&amp;"",tbl_Finance[Xero Invoice No],"&lt;&gt;"))</f>
        <v/>
      </c>
      <c r="J16" s="27">
        <f>IF(C16="","",H16-I16)</f>
        <v/>
      </c>
      <c r="K16" s="25">
        <f>IF(C16="","",IF(G16=0,"not invoiced yet",SUBSTITUTE(TRIM(IF(COUNTIFS(tbl_Finance[Job Number],C16&amp;"",tbl_Finance[Cost Centre],"ONSITE")&gt;0,"ONSITE ","")&amp;IF(COUNTIFS(tbl_Finance[Job Number],C16&amp;"",tbl_Finance[Cost Centre],"PRODUCTION")&gt;0,"PRODUCTION ","")&amp;IF(COUNTIFS(tbl_Finance[Job Number],C16&amp;"",tbl_Finance[Cost Centre],"VIDEO")&gt;0,"VIDEO ","")&amp;IF(COUNTIFS(tbl_Finance[Job Number],C16&amp;"",tbl_Finance[Cost Centre],"INTEGRATION")&gt;0,"INTEGRATION ","")&amp;IF(COUNTIFS(tbl_Finance[Job Number],C16&amp;"",tbl_Finance[Cost Centre],"CONSULTING")&gt;0,"CONSULTING ","")&amp;IF(COUNTIFS(tbl_Finance[Job Number],C16&amp;"",tbl_Finance[Cost Centre],"CTS")&gt;0,"CTS ",""))," ",", ")))</f>
        <v/>
      </c>
      <c r="L16" s="24" t="inlineStr">
        <is>
          <t>26033006_Deloitte 8PSQ_Bluetooth Audio_v1.0</t>
        </is>
      </c>
      <c r="M16" s="25">
        <f>IF(L16="","",HYPERLINK(IF(LEFT(L16,4)="http",L16,set_QwilrBase&amp;L16),"Open quote"))</f>
        <v/>
      </c>
      <c r="N16" s="26" t="n">
        <v>2578</v>
      </c>
      <c r="O16" s="26" t="n">
        <v>2487</v>
      </c>
      <c r="P16" s="26" t="n"/>
      <c r="Q16" s="25">
        <f>IF(C16="","",IF(N(N16)+N(O16)+N(P16)=0,"Not split",IF(ROUND(N(N16)+N(O16)+N(P16),2)=ROUND(H16,2),"OK","MISMATCH")))</f>
        <v/>
      </c>
      <c r="R16" s="26" t="n">
        <v>2114</v>
      </c>
      <c r="S16" s="26" t="n">
        <v>2110</v>
      </c>
      <c r="T16" s="26" t="n"/>
      <c r="U16" s="27">
        <f>IF(C16="","",N(R16)+N(S16)+N(T16))</f>
        <v/>
      </c>
      <c r="V16" s="27">
        <f>IF(C16="","",H16-U16)</f>
        <v/>
      </c>
      <c r="W16" s="29">
        <f>IFERROR(V16/H16,"")</f>
        <v/>
      </c>
      <c r="X16" s="24" t="n"/>
    </row>
    <row r="17" ht="15" customHeight="1">
      <c r="A17" s="63">
        <f>IF(C17="","",IFERROR(IF(SUMPRODUCT(MAX((tbl_Finance[Job Number]=C17&amp;"")*(tbl_Finance[Xero Invoice No]&lt;&gt;"")*tbl_Finance[Date]))=0,"",SUMPRODUCT(MAX((tbl_Finance[Job Number]=C17&amp;"")*(tbl_Finance[Xero Invoice No]&lt;&gt;"")*tbl_Finance[Date]))),""))</f>
        <v/>
      </c>
      <c r="B17" s="25">
        <f>IF(C17="","",IF(COUNTIFS(tbl_Finance[Job Number],C17&amp;"",tbl_Finance[Xero Invoice No],"&lt;&gt;")=0,"",IFERROR(IF(COUNTIFS(tbl_Finance[Job Number],C17&amp;"",tbl_Finance[Xero Invoice No],LOOKUP(2,1/((tbl_Finance[Job Number]=C17&amp;"")*(tbl_Finance[Xero Invoice No]&lt;&gt;"")),tbl_Finance[Xero Invoice No]))=COUNTIFS(tbl_Finance[Job Number],C17&amp;"",tbl_Finance[Xero Invoice No],"&lt;&gt;"),LOOKUP(2,1/((tbl_Finance[Job Number]=C17&amp;"")*(tbl_Finance[Xero Invoice No]&lt;&gt;"")),tbl_Finance[Xero Invoice No]),LOOKUP(2,1/((tbl_Finance[Job Number]=C17&amp;"")*(tbl_Finance[Xero Invoice No]&lt;&gt;"")),tbl_Finance[Xero Invoice No])&amp;" +more"),"")))</f>
        <v/>
      </c>
      <c r="C17" s="24" t="inlineStr">
        <is>
          <t>26033007</t>
        </is>
      </c>
      <c r="D17" s="25">
        <f>IF(C17="","",IF(COUNTIF(lst_Jobs,C17&amp;"")&gt;0,"OK","CHECK"))</f>
        <v/>
      </c>
      <c r="E17" s="25">
        <f>IF(C17="","",IFERROR(INDEX(lst_JobName,MATCH(C17&amp;"",lst_Jobs,0)),""))</f>
        <v/>
      </c>
      <c r="F17" s="25">
        <f>IF(C17="","",IFERROR(INDEX(tbl_Finance[Client],MATCH(C17&amp;"",tbl_Finance[Job Number],0)),""))</f>
        <v/>
      </c>
      <c r="G17" s="28">
        <f>IF(C17="","",COUNTIFS(tbl_Finance[Job Number],C17&amp;"",tbl_Finance[Ex GST],"&lt;&gt;"))</f>
        <v/>
      </c>
      <c r="H17" s="27">
        <f>IF(C17="","",SUMIFS(tbl_Finance[Ex GST],tbl_Finance[Job Number],C17&amp;""))</f>
        <v/>
      </c>
      <c r="I17" s="27">
        <f>IF(C17="","",SUMIFS(tbl_Finance[Ex GST],tbl_Finance[Job Number],C17&amp;"",tbl_Finance[Xero Invoice No],"&lt;&gt;"))</f>
        <v/>
      </c>
      <c r="J17" s="27">
        <f>IF(C17="","",H17-I17)</f>
        <v/>
      </c>
      <c r="K17" s="25">
        <f>IF(C17="","",IF(G17=0,"not invoiced yet",SUBSTITUTE(TRIM(IF(COUNTIFS(tbl_Finance[Job Number],C17&amp;"",tbl_Finance[Cost Centre],"ONSITE")&gt;0,"ONSITE ","")&amp;IF(COUNTIFS(tbl_Finance[Job Number],C17&amp;"",tbl_Finance[Cost Centre],"PRODUCTION")&gt;0,"PRODUCTION ","")&amp;IF(COUNTIFS(tbl_Finance[Job Number],C17&amp;"",tbl_Finance[Cost Centre],"VIDEO")&gt;0,"VIDEO ","")&amp;IF(COUNTIFS(tbl_Finance[Job Number],C17&amp;"",tbl_Finance[Cost Centre],"INTEGRATION")&gt;0,"INTEGRATION ","")&amp;IF(COUNTIFS(tbl_Finance[Job Number],C17&amp;"",tbl_Finance[Cost Centre],"CONSULTING")&gt;0,"CONSULTING ","")&amp;IF(COUNTIFS(tbl_Finance[Job Number],C17&amp;"",tbl_Finance[Cost Centre],"CTS")&gt;0,"CTS ",""))," ",", ")))</f>
        <v/>
      </c>
      <c r="L17" s="24" t="inlineStr">
        <is>
          <t>26033007_Deloitte QQT_Lv45 Seminar-Wheels repair_v1.0</t>
        </is>
      </c>
      <c r="M17" s="25">
        <f>IF(L17="","",HYPERLINK(IF(LEFT(L17,4)="http",L17,set_QwilrBase&amp;L17),"Open quote"))</f>
        <v/>
      </c>
      <c r="N17" s="26" t="n"/>
      <c r="O17" s="26" t="n">
        <v>354</v>
      </c>
      <c r="P17" s="26" t="n"/>
      <c r="Q17" s="25">
        <f>IF(C17="","",IF(N(N17)+N(O17)+N(P17)=0,"Not split",IF(ROUND(N(N17)+N(O17)+N(P17),2)=ROUND(H17,2),"OK","MISMATCH")))</f>
        <v/>
      </c>
      <c r="R17" s="26" t="n"/>
      <c r="S17" s="26" t="n">
        <v>289.42</v>
      </c>
      <c r="T17" s="26" t="n"/>
      <c r="U17" s="27">
        <f>IF(C17="","",N(R17)+N(S17)+N(T17))</f>
        <v/>
      </c>
      <c r="V17" s="27">
        <f>IF(C17="","",H17-U17)</f>
        <v/>
      </c>
      <c r="W17" s="29">
        <f>IFERROR(V17/H17,"")</f>
        <v/>
      </c>
      <c r="X17" s="24" t="n"/>
    </row>
    <row r="18" ht="15" customHeight="1">
      <c r="A18" s="63">
        <f>IF(C18="","",IFERROR(IF(SUMPRODUCT(MAX((tbl_Finance[Job Number]=C18&amp;"")*(tbl_Finance[Xero Invoice No]&lt;&gt;"")*tbl_Finance[Date]))=0,"",SUMPRODUCT(MAX((tbl_Finance[Job Number]=C18&amp;"")*(tbl_Finance[Xero Invoice No]&lt;&gt;"")*tbl_Finance[Date]))),""))</f>
        <v/>
      </c>
      <c r="B18" s="25">
        <f>IF(C18="","",IF(COUNTIFS(tbl_Finance[Job Number],C18&amp;"",tbl_Finance[Xero Invoice No],"&lt;&gt;")=0,"",IFERROR(IF(COUNTIFS(tbl_Finance[Job Number],C18&amp;"",tbl_Finance[Xero Invoice No],LOOKUP(2,1/((tbl_Finance[Job Number]=C18&amp;"")*(tbl_Finance[Xero Invoice No]&lt;&gt;"")),tbl_Finance[Xero Invoice No]))=COUNTIFS(tbl_Finance[Job Number],C18&amp;"",tbl_Finance[Xero Invoice No],"&lt;&gt;"),LOOKUP(2,1/((tbl_Finance[Job Number]=C18&amp;"")*(tbl_Finance[Xero Invoice No]&lt;&gt;"")),tbl_Finance[Xero Invoice No]),LOOKUP(2,1/((tbl_Finance[Job Number]=C18&amp;"")*(tbl_Finance[Xero Invoice No]&lt;&gt;"")),tbl_Finance[Xero Invoice No])&amp;" +more"),"")))</f>
        <v/>
      </c>
      <c r="C18" s="24" t="inlineStr">
        <is>
          <t>26051301</t>
        </is>
      </c>
      <c r="D18" s="25">
        <f>IF(C18="","",IF(COUNTIF(lst_Jobs,C18&amp;"")&gt;0,"OK","CHECK"))</f>
        <v/>
      </c>
      <c r="E18" s="25">
        <f>IF(C18="","",IFERROR(INDEX(lst_JobName,MATCH(C18&amp;"",lst_Jobs,0)),""))</f>
        <v/>
      </c>
      <c r="F18" s="25">
        <f>IF(C18="","",IFERROR(INDEX(tbl_Finance[Client],MATCH(C18&amp;"",tbl_Finance[Job Number],0)),""))</f>
        <v/>
      </c>
      <c r="G18" s="28">
        <f>IF(C18="","",COUNTIFS(tbl_Finance[Job Number],C18&amp;"",tbl_Finance[Ex GST],"&lt;&gt;"))</f>
        <v/>
      </c>
      <c r="H18" s="27">
        <f>IF(C18="","",SUMIFS(tbl_Finance[Ex GST],tbl_Finance[Job Number],C18&amp;""))</f>
        <v/>
      </c>
      <c r="I18" s="27">
        <f>IF(C18="","",SUMIFS(tbl_Finance[Ex GST],tbl_Finance[Job Number],C18&amp;"",tbl_Finance[Xero Invoice No],"&lt;&gt;"))</f>
        <v/>
      </c>
      <c r="J18" s="27">
        <f>IF(C18="","",H18-I18)</f>
        <v/>
      </c>
      <c r="K18" s="25">
        <f>IF(C18="","",IF(G18=0,"not invoiced yet",SUBSTITUTE(TRIM(IF(COUNTIFS(tbl_Finance[Job Number],C18&amp;"",tbl_Finance[Cost Centre],"ONSITE")&gt;0,"ONSITE ","")&amp;IF(COUNTIFS(tbl_Finance[Job Number],C18&amp;"",tbl_Finance[Cost Centre],"PRODUCTION")&gt;0,"PRODUCTION ","")&amp;IF(COUNTIFS(tbl_Finance[Job Number],C18&amp;"",tbl_Finance[Cost Centre],"VIDEO")&gt;0,"VIDEO ","")&amp;IF(COUNTIFS(tbl_Finance[Job Number],C18&amp;"",tbl_Finance[Cost Centre],"INTEGRATION")&gt;0,"INTEGRATION ","")&amp;IF(COUNTIFS(tbl_Finance[Job Number],C18&amp;"",tbl_Finance[Cost Centre],"CONSULTING")&gt;0,"CONSULTING ","")&amp;IF(COUNTIFS(tbl_Finance[Job Number],C18&amp;"",tbl_Finance[Cost Centre],"CTS")&gt;0,"CTS ",""))," ",", ")))</f>
        <v/>
      </c>
      <c r="L18" s="24" t="inlineStr">
        <is>
          <t>https://cts.qwilr.com/26051301-HP-BAE-PhoneMod-v1-0-nL48O1eQt25h</t>
        </is>
      </c>
      <c r="M18" s="25">
        <f>IF(L18="","",HYPERLINK(IF(LEFT(L18,4)="http",L18,set_QwilrBase&amp;L18),"Open quote"))</f>
        <v/>
      </c>
      <c r="N18" s="26" t="n">
        <v>552</v>
      </c>
      <c r="O18" s="26" t="n">
        <v>609</v>
      </c>
      <c r="P18" s="26" t="n"/>
      <c r="Q18" s="25">
        <f>IF(C18="","",IF(N(N18)+N(O18)+N(P18)=0,"Not split",IF(ROUND(N(N18)+N(O18)+N(P18),2)=ROUND(H18,2),"OK","MISMATCH")))</f>
        <v/>
      </c>
      <c r="R18" s="26" t="n">
        <v>486</v>
      </c>
      <c r="S18" s="26" t="n">
        <v>402</v>
      </c>
      <c r="T18" s="26" t="n"/>
      <c r="U18" s="27">
        <f>IF(C18="","",N(R18)+N(S18)+N(T18))</f>
        <v/>
      </c>
      <c r="V18" s="27">
        <f>IF(C18="","",H18-U18)</f>
        <v/>
      </c>
      <c r="W18" s="29">
        <f>IFERROR(V18/H18,"")</f>
        <v/>
      </c>
      <c r="X18" s="24" t="n"/>
    </row>
    <row r="19" ht="15" customHeight="1">
      <c r="A19" s="63">
        <f>IF(C19="","",IFERROR(IF(SUMPRODUCT(MAX((tbl_Finance[Job Number]=C19&amp;"")*(tbl_Finance[Xero Invoice No]&lt;&gt;"")*tbl_Finance[Date]))=0,"",SUMPRODUCT(MAX((tbl_Finance[Job Number]=C19&amp;"")*(tbl_Finance[Xero Invoice No]&lt;&gt;"")*tbl_Finance[Date]))),""))</f>
        <v/>
      </c>
      <c r="B19" s="25">
        <f>IF(C19="","",IF(COUNTIFS(tbl_Finance[Job Number],C19&amp;"",tbl_Finance[Xero Invoice No],"&lt;&gt;")=0,"",IFERROR(IF(COUNTIFS(tbl_Finance[Job Number],C19&amp;"",tbl_Finance[Xero Invoice No],LOOKUP(2,1/((tbl_Finance[Job Number]=C19&amp;"")*(tbl_Finance[Xero Invoice No]&lt;&gt;"")),tbl_Finance[Xero Invoice No]))=COUNTIFS(tbl_Finance[Job Number],C19&amp;"",tbl_Finance[Xero Invoice No],"&lt;&gt;"),LOOKUP(2,1/((tbl_Finance[Job Number]=C19&amp;"")*(tbl_Finance[Xero Invoice No]&lt;&gt;"")),tbl_Finance[Xero Invoice No]),LOOKUP(2,1/((tbl_Finance[Job Number]=C19&amp;"")*(tbl_Finance[Xero Invoice No]&lt;&gt;"")),tbl_Finance[Xero Invoice No])&amp;" +more"),"")))</f>
        <v/>
      </c>
      <c r="C19" s="24" t="inlineStr">
        <is>
          <t>26061501</t>
        </is>
      </c>
      <c r="D19" s="25">
        <f>IF(C19="","",IF(COUNTIF(lst_Jobs,C19&amp;"")&gt;0,"OK","CHECK"))</f>
        <v/>
      </c>
      <c r="E19" s="25">
        <f>IF(C19="","",IFERROR(INDEX(lst_JobName,MATCH(C19&amp;"",lst_Jobs,0)),""))</f>
        <v/>
      </c>
      <c r="F19" s="25">
        <f>IF(C19="","",IFERROR(INDEX(tbl_Finance[Client],MATCH(C19&amp;"",tbl_Finance[Job Number],0)),""))</f>
        <v/>
      </c>
      <c r="G19" s="28">
        <f>IF(C19="","",COUNTIFS(tbl_Finance[Job Number],C19&amp;"",tbl_Finance[Ex GST],"&lt;&gt;"))</f>
        <v/>
      </c>
      <c r="H19" s="27">
        <f>IF(C19="","",SUMIFS(tbl_Finance[Ex GST],tbl_Finance[Job Number],C19&amp;""))</f>
        <v/>
      </c>
      <c r="I19" s="27">
        <f>IF(C19="","",SUMIFS(tbl_Finance[Ex GST],tbl_Finance[Job Number],C19&amp;"",tbl_Finance[Xero Invoice No],"&lt;&gt;"))</f>
        <v/>
      </c>
      <c r="J19" s="27">
        <f>IF(C19="","",H19-I19)</f>
        <v/>
      </c>
      <c r="K19" s="25">
        <f>IF(C19="","",IF(G19=0,"not invoiced yet",SUBSTITUTE(TRIM(IF(COUNTIFS(tbl_Finance[Job Number],C19&amp;"",tbl_Finance[Cost Centre],"ONSITE")&gt;0,"ONSITE ","")&amp;IF(COUNTIFS(tbl_Finance[Job Number],C19&amp;"",tbl_Finance[Cost Centre],"PRODUCTION")&gt;0,"PRODUCTION ","")&amp;IF(COUNTIFS(tbl_Finance[Job Number],C19&amp;"",tbl_Finance[Cost Centre],"VIDEO")&gt;0,"VIDEO ","")&amp;IF(COUNTIFS(tbl_Finance[Job Number],C19&amp;"",tbl_Finance[Cost Centre],"INTEGRATION")&gt;0,"INTEGRATION ","")&amp;IF(COUNTIFS(tbl_Finance[Job Number],C19&amp;"",tbl_Finance[Cost Centre],"CONSULTING")&gt;0,"CONSULTING ","")&amp;IF(COUNTIFS(tbl_Finance[Job Number],C19&amp;"",tbl_Finance[Cost Centre],"CTS")&gt;0,"CTS ",""))," ",", ")))</f>
        <v/>
      </c>
      <c r="L19" s="24" t="inlineStr">
        <is>
          <t>https://cts.qwilr.com/26061501-DTTL-Costing-v1-0-3HdQMOES9eDo</t>
        </is>
      </c>
      <c r="M19" s="25">
        <f>IF(L19="","",HYPERLINK(IF(LEFT(L19,4)="http",L19,set_QwilrBase&amp;L19),"Open quote"))</f>
        <v/>
      </c>
      <c r="N19" s="26" t="n">
        <v>1639</v>
      </c>
      <c r="O19" s="26" t="n">
        <v>2251</v>
      </c>
      <c r="P19" s="26" t="n"/>
      <c r="Q19" s="25">
        <f>IF(C19="","",IF(N(N19)+N(O19)+N(P19)=0,"Not split",IF(ROUND(N(N19)+N(O19)+N(P19),2)=ROUND(H19,2),"OK","MISMATCH")))</f>
        <v/>
      </c>
      <c r="R19" s="26" t="n">
        <v>1344.2</v>
      </c>
      <c r="S19" s="26" t="n">
        <v>1688.07</v>
      </c>
      <c r="T19" s="26" t="n"/>
      <c r="U19" s="27">
        <f>IF(C19="","",N(R19)+N(S19)+N(T19))</f>
        <v/>
      </c>
      <c r="V19" s="27">
        <f>IF(C19="","",H19-U19)</f>
        <v/>
      </c>
      <c r="W19" s="29">
        <f>IFERROR(V19/H19,"")</f>
        <v/>
      </c>
      <c r="X19" s="24" t="n"/>
    </row>
    <row r="20" ht="15" customHeight="1">
      <c r="A20" s="63">
        <f>IF(C20="","",IFERROR(IF(SUMPRODUCT(MAX((tbl_Finance[Job Number]=C20&amp;"")*(tbl_Finance[Xero Invoice No]&lt;&gt;"")*tbl_Finance[Date]))=0,"",SUMPRODUCT(MAX((tbl_Finance[Job Number]=C20&amp;"")*(tbl_Finance[Xero Invoice No]&lt;&gt;"")*tbl_Finance[Date]))),""))</f>
        <v/>
      </c>
      <c r="B20" s="25">
        <f>IF(C20="","",IF(COUNTIFS(tbl_Finance[Job Number],C20&amp;"",tbl_Finance[Xero Invoice No],"&lt;&gt;")=0,"",IFERROR(IF(COUNTIFS(tbl_Finance[Job Number],C20&amp;"",tbl_Finance[Xero Invoice No],LOOKUP(2,1/((tbl_Finance[Job Number]=C20&amp;"")*(tbl_Finance[Xero Invoice No]&lt;&gt;"")),tbl_Finance[Xero Invoice No]))=COUNTIFS(tbl_Finance[Job Number],C20&amp;"",tbl_Finance[Xero Invoice No],"&lt;&gt;"),LOOKUP(2,1/((tbl_Finance[Job Number]=C20&amp;"")*(tbl_Finance[Xero Invoice No]&lt;&gt;"")),tbl_Finance[Xero Invoice No]),LOOKUP(2,1/((tbl_Finance[Job Number]=C20&amp;"")*(tbl_Finance[Xero Invoice No]&lt;&gt;"")),tbl_Finance[Xero Invoice No])&amp;" +more"),"")))</f>
        <v/>
      </c>
      <c r="C20" s="24" t="inlineStr">
        <is>
          <t>2605605</t>
        </is>
      </c>
      <c r="D20" s="25">
        <f>IF(C20="","",IF(COUNTIF(lst_Jobs,C20&amp;"")&gt;0,"OK","CHECK"))</f>
        <v/>
      </c>
      <c r="E20" s="25">
        <f>IF(C20="","",IFERROR(INDEX(lst_JobName,MATCH(C20&amp;"",lst_Jobs,0)),""))</f>
        <v/>
      </c>
      <c r="F20" s="25">
        <f>IF(C20="","",IFERROR(INDEX(tbl_Finance[Client],MATCH(C20&amp;"",tbl_Finance[Job Number],0)),""))</f>
        <v/>
      </c>
      <c r="G20" s="28">
        <f>IF(C20="","",COUNTIFS(tbl_Finance[Job Number],C20&amp;"",tbl_Finance[Ex GST],"&lt;&gt;"))</f>
        <v/>
      </c>
      <c r="H20" s="27">
        <f>IF(C20="","",SUMIFS(tbl_Finance[Ex GST],tbl_Finance[Job Number],C20&amp;""))</f>
        <v/>
      </c>
      <c r="I20" s="27">
        <f>IF(C20="","",SUMIFS(tbl_Finance[Ex GST],tbl_Finance[Job Number],C20&amp;"",tbl_Finance[Xero Invoice No],"&lt;&gt;"))</f>
        <v/>
      </c>
      <c r="J20" s="27">
        <f>IF(C20="","",H20-I20)</f>
        <v/>
      </c>
      <c r="K20" s="25">
        <f>IF(C20="","",IF(G20=0,"not invoiced yet",SUBSTITUTE(TRIM(IF(COUNTIFS(tbl_Finance[Job Number],C20&amp;"",tbl_Finance[Cost Centre],"ONSITE")&gt;0,"ONSITE ","")&amp;IF(COUNTIFS(tbl_Finance[Job Number],C20&amp;"",tbl_Finance[Cost Centre],"PRODUCTION")&gt;0,"PRODUCTION ","")&amp;IF(COUNTIFS(tbl_Finance[Job Number],C20&amp;"",tbl_Finance[Cost Centre],"VIDEO")&gt;0,"VIDEO ","")&amp;IF(COUNTIFS(tbl_Finance[Job Number],C20&amp;"",tbl_Finance[Cost Centre],"INTEGRATION")&gt;0,"INTEGRATION ","")&amp;IF(COUNTIFS(tbl_Finance[Job Number],C20&amp;"",tbl_Finance[Cost Centre],"CONSULTING")&gt;0,"CONSULTING ","")&amp;IF(COUNTIFS(tbl_Finance[Job Number],C20&amp;"",tbl_Finance[Cost Centre],"CTS")&gt;0,"CTS ",""))," ",", ")))</f>
        <v/>
      </c>
      <c r="L20" s="24" t="inlineStr">
        <is>
          <t>https://cts.qwilr.com/2605605-DTTL-Hobart-v3-2-6eP2dgISRMec</t>
        </is>
      </c>
      <c r="M20" s="25">
        <f>IF(L20="","",HYPERLINK(IF(LEFT(L20,4)="http",L20,set_QwilrBase&amp;L20),"Open quote"))</f>
        <v/>
      </c>
      <c r="N20" s="26" t="n">
        <v>12985</v>
      </c>
      <c r="O20" s="26" t="n">
        <v>47362</v>
      </c>
      <c r="P20" s="26" t="n"/>
      <c r="Q20" s="25">
        <f>IF(C20="","",IF(N(N20)+N(O20)+N(P20)=0,"Not split",IF(ROUND(N(N20)+N(O20)+N(P20),2)=ROUND(H20,2),"OK","MISMATCH")))</f>
        <v/>
      </c>
      <c r="R20" s="26" t="n">
        <v>10485</v>
      </c>
      <c r="S20" s="26" t="n">
        <v>25392</v>
      </c>
      <c r="T20" s="26" t="n"/>
      <c r="U20" s="27">
        <f>IF(C20="","",N(R20)+N(S20)+N(T20))</f>
        <v/>
      </c>
      <c r="V20" s="27">
        <f>IF(C20="","",H20-U20)</f>
        <v/>
      </c>
      <c r="W20" s="29">
        <f>IFERROR(V20/H20,"")</f>
        <v/>
      </c>
      <c r="X20" s="24" t="n"/>
    </row>
    <row r="21" ht="15" customHeight="1">
      <c r="A21" s="63">
        <f>IF(C21="","",IFERROR(IF(SUMPRODUCT(MAX((tbl_Finance[Job Number]=C21&amp;"")*(tbl_Finance[Xero Invoice No]&lt;&gt;"")*tbl_Finance[Date]))=0,"",SUMPRODUCT(MAX((tbl_Finance[Job Number]=C21&amp;"")*(tbl_Finance[Xero Invoice No]&lt;&gt;"")*tbl_Finance[Date]))),""))</f>
        <v/>
      </c>
      <c r="B21" s="25">
        <f>IF(C21="","",IF(COUNTIFS(tbl_Finance[Job Number],C21&amp;"",tbl_Finance[Xero Invoice No],"&lt;&gt;")=0,"",IFERROR(IF(COUNTIFS(tbl_Finance[Job Number],C21&amp;"",tbl_Finance[Xero Invoice No],LOOKUP(2,1/((tbl_Finance[Job Number]=C21&amp;"")*(tbl_Finance[Xero Invoice No]&lt;&gt;"")),tbl_Finance[Xero Invoice No]))=COUNTIFS(tbl_Finance[Job Number],C21&amp;"",tbl_Finance[Xero Invoice No],"&lt;&gt;"),LOOKUP(2,1/((tbl_Finance[Job Number]=C21&amp;"")*(tbl_Finance[Xero Invoice No]&lt;&gt;"")),tbl_Finance[Xero Invoice No]),LOOKUP(2,1/((tbl_Finance[Job Number]=C21&amp;"")*(tbl_Finance[Xero Invoice No]&lt;&gt;"")),tbl_Finance[Xero Invoice No])&amp;" +more"),"")))</f>
        <v/>
      </c>
      <c r="C21" s="24" t="inlineStr">
        <is>
          <t>26072101</t>
        </is>
      </c>
      <c r="D21" s="25">
        <f>IF(C21="","",IF(COUNTIF(lst_Jobs,C21&amp;"")&gt;0,"OK","CHECK"))</f>
        <v/>
      </c>
      <c r="E21" s="25">
        <f>IF(C21="","",IFERROR(INDEX(lst_JobName,MATCH(C21&amp;"",lst_Jobs,0)),""))</f>
        <v/>
      </c>
      <c r="F21" s="25">
        <f>IF(C21="","",IFERROR(INDEX(tbl_Finance[Client],MATCH(C21&amp;"",tbl_Finance[Job Number],0)),""))</f>
        <v/>
      </c>
      <c r="G21" s="28">
        <f>IF(C21="","",COUNTIFS(tbl_Finance[Job Number],C21&amp;"",tbl_Finance[Ex GST],"&lt;&gt;"))</f>
        <v/>
      </c>
      <c r="H21" s="27">
        <f>IF(C21="","",SUMIFS(tbl_Finance[Ex GST],tbl_Finance[Job Number],C21&amp;""))</f>
        <v/>
      </c>
      <c r="I21" s="27">
        <f>IF(C21="","",SUMIFS(tbl_Finance[Ex GST],tbl_Finance[Job Number],C21&amp;"",tbl_Finance[Xero Invoice No],"&lt;&gt;"))</f>
        <v/>
      </c>
      <c r="J21" s="27">
        <f>IF(C21="","",H21-I21)</f>
        <v/>
      </c>
      <c r="K21" s="25">
        <f>IF(C21="","",IF(G21=0,"not invoiced yet",SUBSTITUTE(TRIM(IF(COUNTIFS(tbl_Finance[Job Number],C21&amp;"",tbl_Finance[Cost Centre],"ONSITE")&gt;0,"ONSITE ","")&amp;IF(COUNTIFS(tbl_Finance[Job Number],C21&amp;"",tbl_Finance[Cost Centre],"PRODUCTION")&gt;0,"PRODUCTION ","")&amp;IF(COUNTIFS(tbl_Finance[Job Number],C21&amp;"",tbl_Finance[Cost Centre],"VIDEO")&gt;0,"VIDEO ","")&amp;IF(COUNTIFS(tbl_Finance[Job Number],C21&amp;"",tbl_Finance[Cost Centre],"INTEGRATION")&gt;0,"INTEGRATION ","")&amp;IF(COUNTIFS(tbl_Finance[Job Number],C21&amp;"",tbl_Finance[Cost Centre],"CONSULTING")&gt;0,"CONSULTING ","")&amp;IF(COUNTIFS(tbl_Finance[Job Number],C21&amp;"",tbl_Finance[Cost Centre],"CTS")&gt;0,"CTS ",""))," ",", ")))</f>
        <v/>
      </c>
      <c r="L21" s="24" t="inlineStr">
        <is>
          <t>https://corptechservices.sharepoint.com/:b:/s/TeamIntegration/IQBagqp7IMy9QaQ1UUIv4eRPASus3A84m0lYjrSHFwHEyt0?e=9PLTPA</t>
        </is>
      </c>
      <c r="M21" s="25">
        <f>IF(L21="","",HYPERLINK(IF(LEFT(L21,4)="http",L21,set_QwilrBase&amp;L21),"Open quote"))</f>
        <v/>
      </c>
      <c r="N21" s="26" t="n">
        <v>920</v>
      </c>
      <c r="O21" s="26" t="n">
        <v>5217</v>
      </c>
      <c r="P21" s="26" t="n"/>
      <c r="Q21" s="25">
        <f>IF(C21="","",IF(N(N21)+N(O21)+N(P21)=0,"Not split",IF(ROUND(N(N21)+N(O21)+N(P21),2)=ROUND(H21,2),"OK","MISMATCH")))</f>
        <v/>
      </c>
      <c r="R21" s="26" t="n">
        <v>549</v>
      </c>
      <c r="S21" s="26" t="n">
        <v>3913</v>
      </c>
      <c r="T21" s="26" t="n"/>
      <c r="U21" s="27">
        <f>IF(C21="","",N(R21)+N(S21)+N(T21))</f>
        <v/>
      </c>
      <c r="V21" s="27">
        <f>IF(C21="","",H21-U21)</f>
        <v/>
      </c>
      <c r="W21" s="29">
        <f>IFERROR(V21/H21,"")</f>
        <v/>
      </c>
      <c r="X21" s="24" t="n"/>
    </row>
    <row r="22" ht="15" customHeight="1">
      <c r="A22" s="63">
        <f>IF(C22="","",IFERROR(IF(SUMPRODUCT(MAX((tbl_Finance[Job Number]=C22&amp;"")*(tbl_Finance[Xero Invoice No]&lt;&gt;"")*tbl_Finance[Date]))=0,"",SUMPRODUCT(MAX((tbl_Finance[Job Number]=C22&amp;"")*(tbl_Finance[Xero Invoice No]&lt;&gt;"")*tbl_Finance[Date]))),""))</f>
        <v/>
      </c>
      <c r="B22" s="25">
        <f>IF(C22="","",IF(COUNTIFS(tbl_Finance[Job Number],C22&amp;"",tbl_Finance[Xero Invoice No],"&lt;&gt;")=0,"",IFERROR(IF(COUNTIFS(tbl_Finance[Job Number],C22&amp;"",tbl_Finance[Xero Invoice No],LOOKUP(2,1/((tbl_Finance[Job Number]=C22&amp;"")*(tbl_Finance[Xero Invoice No]&lt;&gt;"")),tbl_Finance[Xero Invoice No]))=COUNTIFS(tbl_Finance[Job Number],C22&amp;"",tbl_Finance[Xero Invoice No],"&lt;&gt;"),LOOKUP(2,1/((tbl_Finance[Job Number]=C22&amp;"")*(tbl_Finance[Xero Invoice No]&lt;&gt;"")),tbl_Finance[Xero Invoice No]),LOOKUP(2,1/((tbl_Finance[Job Number]=C22&amp;"")*(tbl_Finance[Xero Invoice No]&lt;&gt;"")),tbl_Finance[Xero Invoice No])&amp;" +more"),"")))</f>
        <v/>
      </c>
      <c r="C22" s="24" t="inlineStr">
        <is>
          <t>2606101</t>
        </is>
      </c>
      <c r="D22" s="25">
        <f>IF(C22="","",IF(COUNTIF(lst_Jobs,C22&amp;"")&gt;0,"OK","CHECK"))</f>
        <v/>
      </c>
      <c r="E22" s="25">
        <f>IF(C22="","",IFERROR(INDEX(lst_JobName,MATCH(C22&amp;"",lst_Jobs,0)),""))</f>
        <v/>
      </c>
      <c r="F22" s="25">
        <f>IF(C22="","",IFERROR(INDEX(tbl_Finance[Client],MATCH(C22&amp;"",tbl_Finance[Job Number],0)),""))</f>
        <v/>
      </c>
      <c r="G22" s="28">
        <f>IF(C22="","",COUNTIFS(tbl_Finance[Job Number],C22&amp;"",tbl_Finance[Ex GST],"&lt;&gt;"))</f>
        <v/>
      </c>
      <c r="H22" s="27">
        <f>IF(C22="","",SUMIFS(tbl_Finance[Ex GST],tbl_Finance[Job Number],C22&amp;""))</f>
        <v/>
      </c>
      <c r="I22" s="27">
        <f>IF(C22="","",SUMIFS(tbl_Finance[Ex GST],tbl_Finance[Job Number],C22&amp;"",tbl_Finance[Xero Invoice No],"&lt;&gt;"))</f>
        <v/>
      </c>
      <c r="J22" s="27">
        <f>IF(C22="","",H22-I22)</f>
        <v/>
      </c>
      <c r="K22" s="25">
        <f>IF(C22="","",IF(G22=0,"not invoiced yet",SUBSTITUTE(TRIM(IF(COUNTIFS(tbl_Finance[Job Number],C22&amp;"",tbl_Finance[Cost Centre],"ONSITE")&gt;0,"ONSITE ","")&amp;IF(COUNTIFS(tbl_Finance[Job Number],C22&amp;"",tbl_Finance[Cost Centre],"PRODUCTION")&gt;0,"PRODUCTION ","")&amp;IF(COUNTIFS(tbl_Finance[Job Number],C22&amp;"",tbl_Finance[Cost Centre],"VIDEO")&gt;0,"VIDEO ","")&amp;IF(COUNTIFS(tbl_Finance[Job Number],C22&amp;"",tbl_Finance[Cost Centre],"INTEGRATION")&gt;0,"INTEGRATION ","")&amp;IF(COUNTIFS(tbl_Finance[Job Number],C22&amp;"",tbl_Finance[Cost Centre],"CONSULTING")&gt;0,"CONSULTING ","")&amp;IF(COUNTIFS(tbl_Finance[Job Number],C22&amp;"",tbl_Finance[Cost Centre],"CTS")&gt;0,"CTS ",""))," ",", ")))</f>
        <v/>
      </c>
      <c r="L22" s="24" t="inlineStr">
        <is>
          <t>https://cts.qwilr.com/2606101-APA-Quotation-v1-0-QyyRipuR5uzy</t>
        </is>
      </c>
      <c r="M22" s="25">
        <f>IF(L22="","",HYPERLINK(IF(LEFT(L22,4)="http",L22,set_QwilrBase&amp;L22),"Open quote"))</f>
        <v/>
      </c>
      <c r="N22" s="26" t="n"/>
      <c r="O22" s="26" t="n"/>
      <c r="P22" s="26" t="n">
        <v>4205</v>
      </c>
      <c r="Q22" s="25">
        <f>IF(C22="","",IF(N(N22)+N(O22)+N(P22)=0,"Not split",IF(ROUND(N(N22)+N(O22)+N(P22),2)=ROUND(H22,2),"OK","MISMATCH")))</f>
        <v/>
      </c>
      <c r="R22" s="26" t="n"/>
      <c r="S22" s="26" t="n"/>
      <c r="T22" s="26" t="n">
        <v>3364</v>
      </c>
      <c r="U22" s="27">
        <f>IF(C22="","",N(R22)+N(S22)+N(T22))</f>
        <v/>
      </c>
      <c r="V22" s="27">
        <f>IF(C22="","",H22-U22)</f>
        <v/>
      </c>
      <c r="W22" s="29">
        <f>IFERROR(V22/H22,"")</f>
        <v/>
      </c>
      <c r="X22" s="24" t="inlineStr">
        <is>
          <t>01/03/2027 to 29/02/2028</t>
        </is>
      </c>
    </row>
    <row r="23" ht="15" customHeight="1">
      <c r="A23" s="63">
        <f>IF(C23="","",IFERROR(IF(SUMPRODUCT(MAX((tbl_Finance[Job Number]=C23&amp;"")*(tbl_Finance[Xero Invoice No]&lt;&gt;"")*tbl_Finance[Date]))=0,"",SUMPRODUCT(MAX((tbl_Finance[Job Number]=C23&amp;"")*(tbl_Finance[Xero Invoice No]&lt;&gt;"")*tbl_Finance[Date]))),""))</f>
        <v/>
      </c>
      <c r="B23" s="25">
        <f>IF(C23="","",IF(COUNTIFS(tbl_Finance[Job Number],C23&amp;"",tbl_Finance[Xero Invoice No],"&lt;&gt;")=0,"",IFERROR(IF(COUNTIFS(tbl_Finance[Job Number],C23&amp;"",tbl_Finance[Xero Invoice No],LOOKUP(2,1/((tbl_Finance[Job Number]=C23&amp;"")*(tbl_Finance[Xero Invoice No]&lt;&gt;"")),tbl_Finance[Xero Invoice No]))=COUNTIFS(tbl_Finance[Job Number],C23&amp;"",tbl_Finance[Xero Invoice No],"&lt;&gt;"),LOOKUP(2,1/((tbl_Finance[Job Number]=C23&amp;"")*(tbl_Finance[Xero Invoice No]&lt;&gt;"")),tbl_Finance[Xero Invoice No]),LOOKUP(2,1/((tbl_Finance[Job Number]=C23&amp;"")*(tbl_Finance[Xero Invoice No]&lt;&gt;"")),tbl_Finance[Xero Invoice No])&amp;" +more"),"")))</f>
        <v/>
      </c>
      <c r="C23" s="24" t="inlineStr">
        <is>
          <t>26071304</t>
        </is>
      </c>
      <c r="D23" s="25">
        <f>IF(C23="","",IF(COUNTIF(lst_Jobs,C23&amp;"")&gt;0,"OK","CHECK"))</f>
        <v/>
      </c>
      <c r="E23" s="25">
        <f>IF(C23="","",IFERROR(INDEX(lst_JobName,MATCH(C23&amp;"",lst_Jobs,0)),""))</f>
        <v/>
      </c>
      <c r="F23" s="25">
        <f>IF(C23="","",IFERROR(INDEX(tbl_Finance[Client],MATCH(C23&amp;"",tbl_Finance[Job Number],0)),""))</f>
        <v/>
      </c>
      <c r="G23" s="28">
        <f>IF(C23="","",COUNTIFS(tbl_Finance[Job Number],C23&amp;"",tbl_Finance[Ex GST],"&lt;&gt;"))</f>
        <v/>
      </c>
      <c r="H23" s="27">
        <f>IF(C23="","",SUMIFS(tbl_Finance[Ex GST],tbl_Finance[Job Number],C23&amp;""))</f>
        <v/>
      </c>
      <c r="I23" s="27">
        <f>IF(C23="","",SUMIFS(tbl_Finance[Ex GST],tbl_Finance[Job Number],C23&amp;"",tbl_Finance[Xero Invoice No],"&lt;&gt;"))</f>
        <v/>
      </c>
      <c r="J23" s="27">
        <f>IF(C23="","",H23-I23)</f>
        <v/>
      </c>
      <c r="K23" s="25">
        <f>IF(C23="","",IF(G23=0,"not invoiced yet",SUBSTITUTE(TRIM(IF(COUNTIFS(tbl_Finance[Job Number],C23&amp;"",tbl_Finance[Cost Centre],"ONSITE")&gt;0,"ONSITE ","")&amp;IF(COUNTIFS(tbl_Finance[Job Number],C23&amp;"",tbl_Finance[Cost Centre],"PRODUCTION")&gt;0,"PRODUCTION ","")&amp;IF(COUNTIFS(tbl_Finance[Job Number],C23&amp;"",tbl_Finance[Cost Centre],"VIDEO")&gt;0,"VIDEO ","")&amp;IF(COUNTIFS(tbl_Finance[Job Number],C23&amp;"",tbl_Finance[Cost Centre],"INTEGRATION")&gt;0,"INTEGRATION ","")&amp;IF(COUNTIFS(tbl_Finance[Job Number],C23&amp;"",tbl_Finance[Cost Centre],"CONSULTING")&gt;0,"CONSULTING ","")&amp;IF(COUNTIFS(tbl_Finance[Job Number],C23&amp;"",tbl_Finance[Cost Centre],"CTS")&gt;0,"CTS ",""))," ",", ")))</f>
        <v/>
      </c>
      <c r="L23" s="24" t="inlineStr">
        <is>
          <t>https://cts.qwilr.com/26071304-YSG-Costing-v1-0-FTAgpF5RoWQK</t>
        </is>
      </c>
      <c r="M23" s="25">
        <f>IF(L23="","",HYPERLINK(IF(LEFT(L23,4)="http",L23,set_QwilrBase&amp;L23),"Open quote"))</f>
        <v/>
      </c>
      <c r="N23" s="26" t="n">
        <v>4462</v>
      </c>
      <c r="O23" s="26" t="n">
        <v>4702</v>
      </c>
      <c r="P23" s="26" t="n"/>
      <c r="Q23" s="25">
        <f>IF(C23="","",IF(N(N23)+N(O23)+N(P23)=0,"Not split",IF(ROUND(N(N23)+N(O23)+N(P23),2)=ROUND(H23,2),"OK","MISMATCH")))</f>
        <v/>
      </c>
      <c r="R23" s="26" t="n">
        <v>3659</v>
      </c>
      <c r="S23" s="26" t="n">
        <v>3327.49</v>
      </c>
      <c r="T23" s="26" t="n"/>
      <c r="U23" s="27">
        <f>IF(C23="","",N(R23)+N(S23)+N(T23))</f>
        <v/>
      </c>
      <c r="V23" s="27">
        <f>IF(C23="","",H23-U23)</f>
        <v/>
      </c>
      <c r="W23" s="29">
        <f>IFERROR(V23/H23,"")</f>
        <v/>
      </c>
      <c r="X23" s="24" t="inlineStr">
        <is>
          <t>Invoice 1/2 Equipment only</t>
        </is>
      </c>
    </row>
    <row r="24" ht="15" customHeight="1">
      <c r="A24" s="63">
        <f>IF(C24="","",IFERROR(IF(SUMPRODUCT(MAX((tbl_Finance[Job Number]=C24&amp;"")*(tbl_Finance[Xero Invoice No]&lt;&gt;"")*tbl_Finance[Date]))=0,"",SUMPRODUCT(MAX((tbl_Finance[Job Number]=C24&amp;"")*(tbl_Finance[Xero Invoice No]&lt;&gt;"")*tbl_Finance[Date]))),""))</f>
        <v/>
      </c>
      <c r="B24" s="25">
        <f>IF(C24="","",IF(COUNTIFS(tbl_Finance[Job Number],C24&amp;"",tbl_Finance[Xero Invoice No],"&lt;&gt;")=0,"",IFERROR(IF(COUNTIFS(tbl_Finance[Job Number],C24&amp;"",tbl_Finance[Xero Invoice No],LOOKUP(2,1/((tbl_Finance[Job Number]=C24&amp;"")*(tbl_Finance[Xero Invoice No]&lt;&gt;"")),tbl_Finance[Xero Invoice No]))=COUNTIFS(tbl_Finance[Job Number],C24&amp;"",tbl_Finance[Xero Invoice No],"&lt;&gt;"),LOOKUP(2,1/((tbl_Finance[Job Number]=C24&amp;"")*(tbl_Finance[Xero Invoice No]&lt;&gt;"")),tbl_Finance[Xero Invoice No]),LOOKUP(2,1/((tbl_Finance[Job Number]=C24&amp;"")*(tbl_Finance[Xero Invoice No]&lt;&gt;"")),tbl_Finance[Xero Invoice No])&amp;" +more"),"")))</f>
        <v/>
      </c>
      <c r="C24" s="24" t="inlineStr">
        <is>
          <t>2604704</t>
        </is>
      </c>
      <c r="D24" s="25">
        <f>IF(C24="","",IF(COUNTIF(lst_Jobs,C24&amp;"")&gt;0,"OK","CHECK"))</f>
        <v/>
      </c>
      <c r="E24" s="25">
        <f>IF(C24="","",IFERROR(INDEX(lst_JobName,MATCH(C24&amp;"",lst_Jobs,0)),""))</f>
        <v/>
      </c>
      <c r="F24" s="25">
        <f>IF(C24="","",IFERROR(INDEX(tbl_Finance[Client],MATCH(C24&amp;"",tbl_Finance[Job Number],0)),""))</f>
        <v/>
      </c>
      <c r="G24" s="28">
        <f>IF(C24="","",COUNTIFS(tbl_Finance[Job Number],C24&amp;"",tbl_Finance[Ex GST],"&lt;&gt;"))</f>
        <v/>
      </c>
      <c r="H24" s="27">
        <f>IF(C24="","",SUMIFS(tbl_Finance[Ex GST],tbl_Finance[Job Number],C24&amp;""))</f>
        <v/>
      </c>
      <c r="I24" s="27">
        <f>IF(C24="","",SUMIFS(tbl_Finance[Ex GST],tbl_Finance[Job Number],C24&amp;"",tbl_Finance[Xero Invoice No],"&lt;&gt;"))</f>
        <v/>
      </c>
      <c r="J24" s="27">
        <f>IF(C24="","",H24-I24)</f>
        <v/>
      </c>
      <c r="K24" s="25">
        <f>IF(C24="","",IF(G24=0,"not invoiced yet",SUBSTITUTE(TRIM(IF(COUNTIFS(tbl_Finance[Job Number],C24&amp;"",tbl_Finance[Cost Centre],"ONSITE")&gt;0,"ONSITE ","")&amp;IF(COUNTIFS(tbl_Finance[Job Number],C24&amp;"",tbl_Finance[Cost Centre],"PRODUCTION")&gt;0,"PRODUCTION ","")&amp;IF(COUNTIFS(tbl_Finance[Job Number],C24&amp;"",tbl_Finance[Cost Centre],"VIDEO")&gt;0,"VIDEO ","")&amp;IF(COUNTIFS(tbl_Finance[Job Number],C24&amp;"",tbl_Finance[Cost Centre],"INTEGRATION")&gt;0,"INTEGRATION ","")&amp;IF(COUNTIFS(tbl_Finance[Job Number],C24&amp;"",tbl_Finance[Cost Centre],"CONSULTING")&gt;0,"CONSULTING ","")&amp;IF(COUNTIFS(tbl_Finance[Job Number],C24&amp;"",tbl_Finance[Cost Centre],"CTS")&gt;0,"CTS ",""))," ",", ")))</f>
        <v/>
      </c>
      <c r="L24" s="24" t="inlineStr">
        <is>
          <t>https://cts.qwilr.com/2604704-AwareSuper-Proposal-v4-0-ilNUnNxKQIui</t>
        </is>
      </c>
      <c r="M24" s="25">
        <f>IF(L24="","",HYPERLINK(IF(LEFT(L24,4)="http",L24,set_QwilrBase&amp;L24),"Open quote"))</f>
        <v/>
      </c>
      <c r="N24" s="26" t="n"/>
      <c r="O24" s="26" t="n"/>
      <c r="P24" s="26" t="n"/>
      <c r="Q24" s="25">
        <f>IF(C24="","",IF(N(N24)+N(O24)+N(P24)=0,"Not split",IF(ROUND(N(N24)+N(O24)+N(P24),2)=ROUND(H24,2),"OK","MISMATCH")))</f>
        <v/>
      </c>
      <c r="R24" s="26" t="n"/>
      <c r="S24" s="26" t="n">
        <v>177457.98</v>
      </c>
      <c r="T24" s="26" t="n"/>
      <c r="U24" s="27">
        <f>IF(C24="","",N(R24)+N(S24)+N(T24))</f>
        <v/>
      </c>
      <c r="V24" s="27">
        <f>IF(C24="","",H24-U24)</f>
        <v/>
      </c>
      <c r="W24" s="29">
        <f>IFERROR(V24/H24,"")</f>
        <v/>
      </c>
      <c r="X24" s="24" t="n"/>
    </row>
    <row r="25" ht="15" customHeight="1">
      <c r="A25" s="63">
        <f>IF(C25="","",IFERROR(IF(SUMPRODUCT(MAX((tbl_Finance[Job Number]=C25&amp;"")*(tbl_Finance[Xero Invoice No]&lt;&gt;"")*tbl_Finance[Date]))=0,"",SUMPRODUCT(MAX((tbl_Finance[Job Number]=C25&amp;"")*(tbl_Finance[Xero Invoice No]&lt;&gt;"")*tbl_Finance[Date]))),""))</f>
        <v/>
      </c>
      <c r="B25" s="25">
        <f>IF(C25="","",IF(COUNTIFS(tbl_Finance[Job Number],C25&amp;"",tbl_Finance[Xero Invoice No],"&lt;&gt;")=0,"",IFERROR(IF(COUNTIFS(tbl_Finance[Job Number],C25&amp;"",tbl_Finance[Xero Invoice No],LOOKUP(2,1/((tbl_Finance[Job Number]=C25&amp;"")*(tbl_Finance[Xero Invoice No]&lt;&gt;"")),tbl_Finance[Xero Invoice No]))=COUNTIFS(tbl_Finance[Job Number],C25&amp;"",tbl_Finance[Xero Invoice No],"&lt;&gt;"),LOOKUP(2,1/((tbl_Finance[Job Number]=C25&amp;"")*(tbl_Finance[Xero Invoice No]&lt;&gt;"")),tbl_Finance[Xero Invoice No]),LOOKUP(2,1/((tbl_Finance[Job Number]=C25&amp;"")*(tbl_Finance[Xero Invoice No]&lt;&gt;"")),tbl_Finance[Xero Invoice No])&amp;" +more"),"")))</f>
        <v/>
      </c>
      <c r="C25" s="24" t="inlineStr">
        <is>
          <t>26052102</t>
        </is>
      </c>
      <c r="D25" s="25">
        <f>IF(C25="","",IF(COUNTIF(lst_Jobs,C25&amp;"")&gt;0,"OK","CHECK"))</f>
        <v/>
      </c>
      <c r="E25" s="25">
        <f>IF(C25="","",IFERROR(INDEX(lst_JobName,MATCH(C25&amp;"",lst_Jobs,0)),""))</f>
        <v/>
      </c>
      <c r="F25" s="25">
        <f>IF(C25="","",IFERROR(INDEX(tbl_Finance[Client],MATCH(C25&amp;"",tbl_Finance[Job Number],0)),""))</f>
        <v/>
      </c>
      <c r="G25" s="28">
        <f>IF(C25="","",COUNTIFS(tbl_Finance[Job Number],C25&amp;"",tbl_Finance[Ex GST],"&lt;&gt;"))</f>
        <v/>
      </c>
      <c r="H25" s="27">
        <f>IF(C25="","",SUMIFS(tbl_Finance[Ex GST],tbl_Finance[Job Number],C25&amp;""))</f>
        <v/>
      </c>
      <c r="I25" s="27">
        <f>IF(C25="","",SUMIFS(tbl_Finance[Ex GST],tbl_Finance[Job Number],C25&amp;"",tbl_Finance[Xero Invoice No],"&lt;&gt;"))</f>
        <v/>
      </c>
      <c r="J25" s="27">
        <f>IF(C25="","",H25-I25)</f>
        <v/>
      </c>
      <c r="K25" s="25">
        <f>IF(C25="","",IF(G25=0,"not invoiced yet",SUBSTITUTE(TRIM(IF(COUNTIFS(tbl_Finance[Job Number],C25&amp;"",tbl_Finance[Cost Centre],"ONSITE")&gt;0,"ONSITE ","")&amp;IF(COUNTIFS(tbl_Finance[Job Number],C25&amp;"",tbl_Finance[Cost Centre],"PRODUCTION")&gt;0,"PRODUCTION ","")&amp;IF(COUNTIFS(tbl_Finance[Job Number],C25&amp;"",tbl_Finance[Cost Centre],"VIDEO")&gt;0,"VIDEO ","")&amp;IF(COUNTIFS(tbl_Finance[Job Number],C25&amp;"",tbl_Finance[Cost Centre],"INTEGRATION")&gt;0,"INTEGRATION ","")&amp;IF(COUNTIFS(tbl_Finance[Job Number],C25&amp;"",tbl_Finance[Cost Centre],"CONSULTING")&gt;0,"CONSULTING ","")&amp;IF(COUNTIFS(tbl_Finance[Job Number],C25&amp;"",tbl_Finance[Cost Centre],"CTS")&gt;0,"CTS ",""))," ",", ")))</f>
        <v/>
      </c>
      <c r="L25" s="24" t="inlineStr">
        <is>
          <t>https://cts.qwilr.com/26052102-HP-D3-AustracPhoneMod-v3-0-PO-Received-4b9uvVwXSiqQ</t>
        </is>
      </c>
      <c r="M25" s="25">
        <f>IF(L25="","",HYPERLINK(IF(LEFT(L25,4)="http",L25,set_QwilrBase&amp;L25),"Open quote"))</f>
        <v/>
      </c>
      <c r="N25" s="26" t="n">
        <v>8009</v>
      </c>
      <c r="O25" s="26" t="n">
        <v>37900</v>
      </c>
      <c r="P25" s="26" t="n"/>
      <c r="Q25" s="25">
        <f>IF(C25="","",IF(N(N25)+N(O25)+N(P25)=0,"Not split",IF(ROUND(N(N25)+N(O25)+N(P25),2)=ROUND(H25,2),"OK","MISMATCH")))</f>
        <v/>
      </c>
      <c r="R25" s="26" t="n">
        <v>6567</v>
      </c>
      <c r="S25" s="26" t="n">
        <v>28409</v>
      </c>
      <c r="T25" s="26" t="n"/>
      <c r="U25" s="27">
        <f>IF(C25="","",N(R25)+N(S25)+N(T25))</f>
        <v/>
      </c>
      <c r="V25" s="27">
        <f>IF(C25="","",H25-U25)</f>
        <v/>
      </c>
      <c r="W25" s="29">
        <f>IFERROR(V25/H25,"")</f>
        <v/>
      </c>
      <c r="X25" s="24" t="n"/>
    </row>
    <row r="26" ht="15" customHeight="1">
      <c r="A26" s="63">
        <f>IF(C26="","",IFERROR(IF(SUMPRODUCT(MAX((tbl_Finance[Job Number]=C26&amp;"")*(tbl_Finance[Xero Invoice No]&lt;&gt;"")*tbl_Finance[Date]))=0,"",SUMPRODUCT(MAX((tbl_Finance[Job Number]=C26&amp;"")*(tbl_Finance[Xero Invoice No]&lt;&gt;"")*tbl_Finance[Date]))),""))</f>
        <v/>
      </c>
      <c r="B26" s="25">
        <f>IF(C26="","",IF(COUNTIFS(tbl_Finance[Job Number],C26&amp;"",tbl_Finance[Xero Invoice No],"&lt;&gt;")=0,"",IFERROR(IF(COUNTIFS(tbl_Finance[Job Number],C26&amp;"",tbl_Finance[Xero Invoice No],LOOKUP(2,1/((tbl_Finance[Job Number]=C26&amp;"")*(tbl_Finance[Xero Invoice No]&lt;&gt;"")),tbl_Finance[Xero Invoice No]))=COUNTIFS(tbl_Finance[Job Number],C26&amp;"",tbl_Finance[Xero Invoice No],"&lt;&gt;"),LOOKUP(2,1/((tbl_Finance[Job Number]=C26&amp;"")*(tbl_Finance[Xero Invoice No]&lt;&gt;"")),tbl_Finance[Xero Invoice No]),LOOKUP(2,1/((tbl_Finance[Job Number]=C26&amp;"")*(tbl_Finance[Xero Invoice No]&lt;&gt;"")),tbl_Finance[Xero Invoice No])&amp;" +more"),"")))</f>
        <v/>
      </c>
      <c r="C26" s="24" t="inlineStr">
        <is>
          <t>26052701</t>
        </is>
      </c>
      <c r="D26" s="25">
        <f>IF(C26="","",IF(COUNTIF(lst_Jobs,C26&amp;"")&gt;0,"OK","CHECK"))</f>
        <v/>
      </c>
      <c r="E26" s="25">
        <f>IF(C26="","",IFERROR(INDEX(lst_JobName,MATCH(C26&amp;"",lst_Jobs,0)),""))</f>
        <v/>
      </c>
      <c r="F26" s="25">
        <f>IF(C26="","",IFERROR(INDEX(tbl_Finance[Client],MATCH(C26&amp;"",tbl_Finance[Job Number],0)),""))</f>
        <v/>
      </c>
      <c r="G26" s="28">
        <f>IF(C26="","",COUNTIFS(tbl_Finance[Job Number],C26&amp;"",tbl_Finance[Ex GST],"&lt;&gt;"))</f>
        <v/>
      </c>
      <c r="H26" s="27">
        <f>IF(C26="","",SUMIFS(tbl_Finance[Ex GST],tbl_Finance[Job Number],C26&amp;""))</f>
        <v/>
      </c>
      <c r="I26" s="27">
        <f>IF(C26="","",SUMIFS(tbl_Finance[Ex GST],tbl_Finance[Job Number],C26&amp;"",tbl_Finance[Xero Invoice No],"&lt;&gt;"))</f>
        <v/>
      </c>
      <c r="J26" s="27">
        <f>IF(C26="","",H26-I26)</f>
        <v/>
      </c>
      <c r="K26" s="25">
        <f>IF(C26="","",IF(G26=0,"not invoiced yet",SUBSTITUTE(TRIM(IF(COUNTIFS(tbl_Finance[Job Number],C26&amp;"",tbl_Finance[Cost Centre],"ONSITE")&gt;0,"ONSITE ","")&amp;IF(COUNTIFS(tbl_Finance[Job Number],C26&amp;"",tbl_Finance[Cost Centre],"PRODUCTION")&gt;0,"PRODUCTION ","")&amp;IF(COUNTIFS(tbl_Finance[Job Number],C26&amp;"",tbl_Finance[Cost Centre],"VIDEO")&gt;0,"VIDEO ","")&amp;IF(COUNTIFS(tbl_Finance[Job Number],C26&amp;"",tbl_Finance[Cost Centre],"INTEGRATION")&gt;0,"INTEGRATION ","")&amp;IF(COUNTIFS(tbl_Finance[Job Number],C26&amp;"",tbl_Finance[Cost Centre],"CONSULTING")&gt;0,"CONSULTING ","")&amp;IF(COUNTIFS(tbl_Finance[Job Number],C26&amp;"",tbl_Finance[Cost Centre],"CTS")&gt;0,"CTS ",""))," ",", ")))</f>
        <v/>
      </c>
      <c r="L26" s="24" t="inlineStr">
        <is>
          <t>https://cts.qwilr.com/26052701-Aware-Costing-v5-0-CGHaKT8iSxmf</t>
        </is>
      </c>
      <c r="M26" s="25">
        <f>IF(L26="","",HYPERLINK(IF(LEFT(L26,4)="http",L26,set_QwilrBase&amp;L26),"Open quote"))</f>
        <v/>
      </c>
      <c r="N26" s="26" t="n"/>
      <c r="O26" s="26" t="n"/>
      <c r="P26" s="26" t="n"/>
      <c r="Q26" s="25">
        <f>IF(C26="","",IF(N(N26)+N(O26)+N(P26)=0,"Not split",IF(ROUND(N(N26)+N(O26)+N(P26),2)=ROUND(H26,2),"OK","MISMATCH")))</f>
        <v/>
      </c>
      <c r="R26" s="26" t="n"/>
      <c r="S26" s="26" t="n">
        <v>8184.26</v>
      </c>
      <c r="T26" s="26" t="n"/>
      <c r="U26" s="27">
        <f>IF(C26="","",N(R26)+N(S26)+N(T26))</f>
        <v/>
      </c>
      <c r="V26" s="27">
        <f>IF(C26="","",H26-U26)</f>
        <v/>
      </c>
      <c r="W26" s="29">
        <f>IFERROR(V26/H26,"")</f>
        <v/>
      </c>
      <c r="X26" s="24" t="n"/>
    </row>
    <row r="27" ht="15" customHeight="1">
      <c r="A27" s="63">
        <f>IF(C27="","",IFERROR(IF(SUMPRODUCT(MAX((tbl_Finance[Job Number]=C27&amp;"")*(tbl_Finance[Xero Invoice No]&lt;&gt;"")*tbl_Finance[Date]))=0,"",SUMPRODUCT(MAX((tbl_Finance[Job Number]=C27&amp;"")*(tbl_Finance[Xero Invoice No]&lt;&gt;"")*tbl_Finance[Date]))),""))</f>
        <v/>
      </c>
      <c r="B27" s="25">
        <f>IF(C27="","",IF(COUNTIFS(tbl_Finance[Job Number],C27&amp;"",tbl_Finance[Xero Invoice No],"&lt;&gt;")=0,"",IFERROR(IF(COUNTIFS(tbl_Finance[Job Number],C27&amp;"",tbl_Finance[Xero Invoice No],LOOKUP(2,1/((tbl_Finance[Job Number]=C27&amp;"")*(tbl_Finance[Xero Invoice No]&lt;&gt;"")),tbl_Finance[Xero Invoice No]))=COUNTIFS(tbl_Finance[Job Number],C27&amp;"",tbl_Finance[Xero Invoice No],"&lt;&gt;"),LOOKUP(2,1/((tbl_Finance[Job Number]=C27&amp;"")*(tbl_Finance[Xero Invoice No]&lt;&gt;"")),tbl_Finance[Xero Invoice No]),LOOKUP(2,1/((tbl_Finance[Job Number]=C27&amp;"")*(tbl_Finance[Xero Invoice No]&lt;&gt;"")),tbl_Finance[Xero Invoice No])&amp;" +more"),"")))</f>
        <v/>
      </c>
      <c r="C27" s="24" t="inlineStr">
        <is>
          <t>26062902</t>
        </is>
      </c>
      <c r="D27" s="25">
        <f>IF(C27="","",IF(COUNTIF(lst_Jobs,C27&amp;"")&gt;0,"OK","CHECK"))</f>
        <v/>
      </c>
      <c r="E27" s="25">
        <f>IF(C27="","",IFERROR(INDEX(lst_JobName,MATCH(C27&amp;"",lst_Jobs,0)),""))</f>
        <v/>
      </c>
      <c r="F27" s="25">
        <f>IF(C27="","",IFERROR(INDEX(tbl_Finance[Client],MATCH(C27&amp;"",tbl_Finance[Job Number],0)),""))</f>
        <v/>
      </c>
      <c r="G27" s="28">
        <f>IF(C27="","",COUNTIFS(tbl_Finance[Job Number],C27&amp;"",tbl_Finance[Ex GST],"&lt;&gt;"))</f>
        <v/>
      </c>
      <c r="H27" s="27">
        <f>IF(C27="","",SUMIFS(tbl_Finance[Ex GST],tbl_Finance[Job Number],C27&amp;""))</f>
        <v/>
      </c>
      <c r="I27" s="27">
        <f>IF(C27="","",SUMIFS(tbl_Finance[Ex GST],tbl_Finance[Job Number],C27&amp;"",tbl_Finance[Xero Invoice No],"&lt;&gt;"))</f>
        <v/>
      </c>
      <c r="J27" s="27">
        <f>IF(C27="","",H27-I27)</f>
        <v/>
      </c>
      <c r="K27" s="25">
        <f>IF(C27="","",IF(G27=0,"not invoiced yet",SUBSTITUTE(TRIM(IF(COUNTIFS(tbl_Finance[Job Number],C27&amp;"",tbl_Finance[Cost Centre],"ONSITE")&gt;0,"ONSITE ","")&amp;IF(COUNTIFS(tbl_Finance[Job Number],C27&amp;"",tbl_Finance[Cost Centre],"PRODUCTION")&gt;0,"PRODUCTION ","")&amp;IF(COUNTIFS(tbl_Finance[Job Number],C27&amp;"",tbl_Finance[Cost Centre],"VIDEO")&gt;0,"VIDEO ","")&amp;IF(COUNTIFS(tbl_Finance[Job Number],C27&amp;"",tbl_Finance[Cost Centre],"INTEGRATION")&gt;0,"INTEGRATION ","")&amp;IF(COUNTIFS(tbl_Finance[Job Number],C27&amp;"",tbl_Finance[Cost Centre],"CONSULTING")&gt;0,"CONSULTING ","")&amp;IF(COUNTIFS(tbl_Finance[Job Number],C27&amp;"",tbl_Finance[Cost Centre],"CTS")&gt;0,"CTS ",""))," ",", ")))</f>
        <v/>
      </c>
      <c r="L27" s="24" t="inlineStr">
        <is>
          <t>https://cts.qwilr.com/26062902-Aware-Costing-v2-0-Accepted-PDF-wrF7KzoUT8OK</t>
        </is>
      </c>
      <c r="M27" s="25">
        <f>IF(L27="","",HYPERLINK(IF(LEFT(L27,4)="http",L27,set_QwilrBase&amp;L27),"Open quote"))</f>
        <v/>
      </c>
      <c r="N27" s="26" t="n">
        <v>2707</v>
      </c>
      <c r="O27" s="26" t="n">
        <v>3489</v>
      </c>
      <c r="P27" s="26" t="n"/>
      <c r="Q27" s="25">
        <f>IF(C27="","",IF(N(N27)+N(O27)+N(P27)=0,"Not split",IF(ROUND(N(N27)+N(O27)+N(P27),2)=ROUND(H27,2),"OK","MISMATCH")))</f>
        <v/>
      </c>
      <c r="R27" s="26" t="n">
        <v>2140</v>
      </c>
      <c r="S27" s="26" t="n">
        <v>2604.9</v>
      </c>
      <c r="T27" s="26" t="n"/>
      <c r="U27" s="27">
        <f>IF(C27="","",N(R27)+N(S27)+N(T27))</f>
        <v/>
      </c>
      <c r="V27" s="27">
        <f>IF(C27="","",H27-U27)</f>
        <v/>
      </c>
      <c r="W27" s="29">
        <f>IFERROR(V27/H27,"")</f>
        <v/>
      </c>
      <c r="X27" s="24" t="inlineStr">
        <is>
          <t>Invoice 1/2 Equipment only</t>
        </is>
      </c>
    </row>
    <row r="28" ht="15" customHeight="1">
      <c r="A28" s="63">
        <f>IF(C28="","",IFERROR(IF(SUMPRODUCT(MAX((tbl_Finance[Job Number]=C28&amp;"")*(tbl_Finance[Xero Invoice No]&lt;&gt;"")*tbl_Finance[Date]))=0,"",SUMPRODUCT(MAX((tbl_Finance[Job Number]=C28&amp;"")*(tbl_Finance[Xero Invoice No]&lt;&gt;"")*tbl_Finance[Date]))),""))</f>
        <v/>
      </c>
      <c r="B28" s="25">
        <f>IF(C28="","",IF(COUNTIFS(tbl_Finance[Job Number],C28&amp;"",tbl_Finance[Xero Invoice No],"&lt;&gt;")=0,"",IFERROR(IF(COUNTIFS(tbl_Finance[Job Number],C28&amp;"",tbl_Finance[Xero Invoice No],LOOKUP(2,1/((tbl_Finance[Job Number]=C28&amp;"")*(tbl_Finance[Xero Invoice No]&lt;&gt;"")),tbl_Finance[Xero Invoice No]))=COUNTIFS(tbl_Finance[Job Number],C28&amp;"",tbl_Finance[Xero Invoice No],"&lt;&gt;"),LOOKUP(2,1/((tbl_Finance[Job Number]=C28&amp;"")*(tbl_Finance[Xero Invoice No]&lt;&gt;"")),tbl_Finance[Xero Invoice No]),LOOKUP(2,1/((tbl_Finance[Job Number]=C28&amp;"")*(tbl_Finance[Xero Invoice No]&lt;&gt;"")),tbl_Finance[Xero Invoice No])&amp;" +more"),"")))</f>
        <v/>
      </c>
      <c r="C28" s="24" t="inlineStr">
        <is>
          <t>26062901</t>
        </is>
      </c>
      <c r="D28" s="25">
        <f>IF(C28="","",IF(COUNTIF(lst_Jobs,C28&amp;"")&gt;0,"OK","CHECK"))</f>
        <v/>
      </c>
      <c r="E28" s="25">
        <f>IF(C28="","",IFERROR(INDEX(lst_JobName,MATCH(C28&amp;"",lst_Jobs,0)),""))</f>
        <v/>
      </c>
      <c r="F28" s="25">
        <f>IF(C28="","",IFERROR(INDEX(tbl_Finance[Client],MATCH(C28&amp;"",tbl_Finance[Job Number],0)),""))</f>
        <v/>
      </c>
      <c r="G28" s="28">
        <f>IF(C28="","",COUNTIFS(tbl_Finance[Job Number],C28&amp;"",tbl_Finance[Ex GST],"&lt;&gt;"))</f>
        <v/>
      </c>
      <c r="H28" s="27">
        <f>IF(C28="","",SUMIFS(tbl_Finance[Ex GST],tbl_Finance[Job Number],C28&amp;""))</f>
        <v/>
      </c>
      <c r="I28" s="27">
        <f>IF(C28="","",SUMIFS(tbl_Finance[Ex GST],tbl_Finance[Job Number],C28&amp;"",tbl_Finance[Xero Invoice No],"&lt;&gt;"))</f>
        <v/>
      </c>
      <c r="J28" s="27">
        <f>IF(C28="","",H28-I28)</f>
        <v/>
      </c>
      <c r="K28" s="25">
        <f>IF(C28="","",IF(G28=0,"not invoiced yet",SUBSTITUTE(TRIM(IF(COUNTIFS(tbl_Finance[Job Number],C28&amp;"",tbl_Finance[Cost Centre],"ONSITE")&gt;0,"ONSITE ","")&amp;IF(COUNTIFS(tbl_Finance[Job Number],C28&amp;"",tbl_Finance[Cost Centre],"PRODUCTION")&gt;0,"PRODUCTION ","")&amp;IF(COUNTIFS(tbl_Finance[Job Number],C28&amp;"",tbl_Finance[Cost Centre],"VIDEO")&gt;0,"VIDEO ","")&amp;IF(COUNTIFS(tbl_Finance[Job Number],C28&amp;"",tbl_Finance[Cost Centre],"INTEGRATION")&gt;0,"INTEGRATION ","")&amp;IF(COUNTIFS(tbl_Finance[Job Number],C28&amp;"",tbl_Finance[Cost Centre],"CONSULTING")&gt;0,"CONSULTING ","")&amp;IF(COUNTIFS(tbl_Finance[Job Number],C28&amp;"",tbl_Finance[Cost Centre],"CTS")&gt;0,"CTS ",""))," ",", ")))</f>
        <v/>
      </c>
      <c r="L28" s="24" t="inlineStr">
        <is>
          <t>https://corptechservices.sharepoint.com/:b:/s/TeamIntegration/IQAz4MvaxJkBRIexJJi1p2LTAVDk9PznGqnT-q1tS0i5o00?e=BH3DeT</t>
        </is>
      </c>
      <c r="M28" s="25">
        <f>IF(L28="","",HYPERLINK(IF(LEFT(L28,4)="http",L28,set_QwilrBase&amp;L28),"Open quote"))</f>
        <v/>
      </c>
      <c r="N28" s="26" t="n">
        <v>4631</v>
      </c>
      <c r="O28" s="26" t="n"/>
      <c r="P28" s="26" t="n"/>
      <c r="Q28" s="25">
        <f>IF(C28="","",IF(N(N28)+N(O28)+N(P28)=0,"Not split",IF(ROUND(N(N28)+N(O28)+N(P28),2)=ROUND(H28,2),"OK","MISMATCH")))</f>
        <v/>
      </c>
      <c r="R28" s="26" t="n">
        <v>3775.2</v>
      </c>
      <c r="S28" s="26" t="n"/>
      <c r="T28" s="26" t="n"/>
      <c r="U28" s="27">
        <f>IF(C28="","",N(R28)+N(S28)+N(T28))</f>
        <v/>
      </c>
      <c r="V28" s="27">
        <f>IF(C28="","",H28-U28)</f>
        <v/>
      </c>
      <c r="W28" s="29">
        <f>IFERROR(V28/H28,"")</f>
        <v/>
      </c>
      <c r="X28" s="24" t="n"/>
    </row>
    <row r="29" ht="15" customHeight="1">
      <c r="A29" s="63">
        <f>IF(C29="","",IFERROR(IF(SUMPRODUCT(MAX((tbl_Finance[Job Number]=C29&amp;"")*(tbl_Finance[Xero Invoice No]&lt;&gt;"")*tbl_Finance[Date]))=0,"",SUMPRODUCT(MAX((tbl_Finance[Job Number]=C29&amp;"")*(tbl_Finance[Xero Invoice No]&lt;&gt;"")*tbl_Finance[Date]))),""))</f>
        <v/>
      </c>
      <c r="B29" s="25">
        <f>IF(C29="","",IF(COUNTIFS(tbl_Finance[Job Number],C29&amp;"",tbl_Finance[Xero Invoice No],"&lt;&gt;")=0,"",IFERROR(IF(COUNTIFS(tbl_Finance[Job Number],C29&amp;"",tbl_Finance[Xero Invoice No],LOOKUP(2,1/((tbl_Finance[Job Number]=C29&amp;"")*(tbl_Finance[Xero Invoice No]&lt;&gt;"")),tbl_Finance[Xero Invoice No]))=COUNTIFS(tbl_Finance[Job Number],C29&amp;"",tbl_Finance[Xero Invoice No],"&lt;&gt;"),LOOKUP(2,1/((tbl_Finance[Job Number]=C29&amp;"")*(tbl_Finance[Xero Invoice No]&lt;&gt;"")),tbl_Finance[Xero Invoice No]),LOOKUP(2,1/((tbl_Finance[Job Number]=C29&amp;"")*(tbl_Finance[Xero Invoice No]&lt;&gt;"")),tbl_Finance[Xero Invoice No])&amp;" +more"),"")))</f>
        <v/>
      </c>
      <c r="C29" s="24" t="inlineStr">
        <is>
          <t>26081901</t>
        </is>
      </c>
      <c r="D29" s="25">
        <f>IF(C29="","",IF(COUNTIF(lst_Jobs,C29&amp;"")&gt;0,"OK","CHECK"))</f>
        <v/>
      </c>
      <c r="E29" s="25">
        <f>IF(C29="","",IFERROR(INDEX(lst_JobName,MATCH(C29&amp;"",lst_Jobs,0)),""))</f>
        <v/>
      </c>
      <c r="F29" s="25">
        <f>IF(C29="","",IFERROR(INDEX(tbl_Finance[Client],MATCH(C29&amp;"",tbl_Finance[Job Number],0)),""))</f>
        <v/>
      </c>
      <c r="G29" s="28">
        <f>IF(C29="","",COUNTIFS(tbl_Finance[Job Number],C29&amp;"",tbl_Finance[Ex GST],"&lt;&gt;"))</f>
        <v/>
      </c>
      <c r="H29" s="27">
        <f>IF(C29="","",SUMIFS(tbl_Finance[Ex GST],tbl_Finance[Job Number],C29&amp;""))</f>
        <v/>
      </c>
      <c r="I29" s="27">
        <f>IF(C29="","",SUMIFS(tbl_Finance[Ex GST],tbl_Finance[Job Number],C29&amp;"",tbl_Finance[Xero Invoice No],"&lt;&gt;"))</f>
        <v/>
      </c>
      <c r="J29" s="27">
        <f>IF(C29="","",H29-I29)</f>
        <v/>
      </c>
      <c r="K29" s="25">
        <f>IF(C29="","",IF(G29=0,"not invoiced yet",SUBSTITUTE(TRIM(IF(COUNTIFS(tbl_Finance[Job Number],C29&amp;"",tbl_Finance[Cost Centre],"ONSITE")&gt;0,"ONSITE ","")&amp;IF(COUNTIFS(tbl_Finance[Job Number],C29&amp;"",tbl_Finance[Cost Centre],"PRODUCTION")&gt;0,"PRODUCTION ","")&amp;IF(COUNTIFS(tbl_Finance[Job Number],C29&amp;"",tbl_Finance[Cost Centre],"VIDEO")&gt;0,"VIDEO ","")&amp;IF(COUNTIFS(tbl_Finance[Job Number],C29&amp;"",tbl_Finance[Cost Centre],"INTEGRATION")&gt;0,"INTEGRATION ","")&amp;IF(COUNTIFS(tbl_Finance[Job Number],C29&amp;"",tbl_Finance[Cost Centre],"CONSULTING")&gt;0,"CONSULTING ","")&amp;IF(COUNTIFS(tbl_Finance[Job Number],C29&amp;"",tbl_Finance[Cost Centre],"CTS")&gt;0,"CTS ",""))," ",", ")))</f>
        <v/>
      </c>
      <c r="L29" s="24" t="inlineStr">
        <is>
          <t>https://cts.qwilr.com/26081901-AusPayNet-Quotation-v1-0-3RSgmysoSnit</t>
        </is>
      </c>
      <c r="M29" s="25">
        <f>IF(L29="","",HYPERLINK(IF(LEFT(L29,4)="http",L29,set_QwilrBase&amp;L29),"Open quote"))</f>
        <v/>
      </c>
      <c r="N29" s="26" t="n"/>
      <c r="O29" s="26" t="n"/>
      <c r="P29" s="26" t="n">
        <v>993</v>
      </c>
      <c r="Q29" s="25">
        <f>IF(C29="","",IF(N(N29)+N(O29)+N(P29)=0,"Not split",IF(ROUND(N(N29)+N(O29)+N(P29),2)=ROUND(H29,2),"OK","MISMATCH")))</f>
        <v/>
      </c>
      <c r="R29" s="26" t="n"/>
      <c r="S29" s="26" t="n">
        <v>745</v>
      </c>
      <c r="T29" s="26" t="n"/>
      <c r="U29" s="27">
        <f>IF(C29="","",N(R29)+N(S29)+N(T29))</f>
        <v/>
      </c>
      <c r="V29" s="27">
        <f>IF(C29="","",H29-U29)</f>
        <v/>
      </c>
      <c r="W29" s="29">
        <f>IFERROR(V29/H29,"")</f>
        <v/>
      </c>
      <c r="X29" s="24" t="n"/>
    </row>
    <row r="30" ht="15" customHeight="1">
      <c r="A30" s="63">
        <f>IF(C30="","",IFERROR(IF(SUMPRODUCT(MAX((tbl_Finance[Job Number]=C30&amp;"")*(tbl_Finance[Xero Invoice No]&lt;&gt;"")*tbl_Finance[Date]))=0,"",SUMPRODUCT(MAX((tbl_Finance[Job Number]=C30&amp;"")*(tbl_Finance[Xero Invoice No]&lt;&gt;"")*tbl_Finance[Date]))),""))</f>
        <v/>
      </c>
      <c r="B30" s="25">
        <f>IF(C30="","",IF(COUNTIFS(tbl_Finance[Job Number],C30&amp;"",tbl_Finance[Xero Invoice No],"&lt;&gt;")=0,"",IFERROR(IF(COUNTIFS(tbl_Finance[Job Number],C30&amp;"",tbl_Finance[Xero Invoice No],LOOKUP(2,1/((tbl_Finance[Job Number]=C30&amp;"")*(tbl_Finance[Xero Invoice No]&lt;&gt;"")),tbl_Finance[Xero Invoice No]))=COUNTIFS(tbl_Finance[Job Number],C30&amp;"",tbl_Finance[Xero Invoice No],"&lt;&gt;"),LOOKUP(2,1/((tbl_Finance[Job Number]=C30&amp;"")*(tbl_Finance[Xero Invoice No]&lt;&gt;"")),tbl_Finance[Xero Invoice No]),LOOKUP(2,1/((tbl_Finance[Job Number]=C30&amp;"")*(tbl_Finance[Xero Invoice No]&lt;&gt;"")),tbl_Finance[Xero Invoice No])&amp;" +more"),"")))</f>
        <v/>
      </c>
      <c r="C30" s="24" t="inlineStr">
        <is>
          <t>26071601</t>
        </is>
      </c>
      <c r="D30" s="25">
        <f>IF(C30="","",IF(COUNTIF(lst_Jobs,C30&amp;"")&gt;0,"OK","CHECK"))</f>
        <v/>
      </c>
      <c r="E30" s="25">
        <f>IF(C30="","",IFERROR(INDEX(lst_JobName,MATCH(C30&amp;"",lst_Jobs,0)),""))</f>
        <v/>
      </c>
      <c r="F30" s="25">
        <f>IF(C30="","",IFERROR(INDEX(tbl_Finance[Client],MATCH(C30&amp;"",tbl_Finance[Job Number],0)),""))</f>
        <v/>
      </c>
      <c r="G30" s="28">
        <f>IF(C30="","",COUNTIFS(tbl_Finance[Job Number],C30&amp;"",tbl_Finance[Ex GST],"&lt;&gt;"))</f>
        <v/>
      </c>
      <c r="H30" s="27">
        <f>IF(C30="","",SUMIFS(tbl_Finance[Ex GST],tbl_Finance[Job Number],C30&amp;""))</f>
        <v/>
      </c>
      <c r="I30" s="27">
        <f>IF(C30="","",SUMIFS(tbl_Finance[Ex GST],tbl_Finance[Job Number],C30&amp;"",tbl_Finance[Xero Invoice No],"&lt;&gt;"))</f>
        <v/>
      </c>
      <c r="J30" s="27">
        <f>IF(C30="","",H30-I30)</f>
        <v/>
      </c>
      <c r="K30" s="25">
        <f>IF(C30="","",IF(G30=0,"not invoiced yet",SUBSTITUTE(TRIM(IF(COUNTIFS(tbl_Finance[Job Number],C30&amp;"",tbl_Finance[Cost Centre],"ONSITE")&gt;0,"ONSITE ","")&amp;IF(COUNTIFS(tbl_Finance[Job Number],C30&amp;"",tbl_Finance[Cost Centre],"PRODUCTION")&gt;0,"PRODUCTION ","")&amp;IF(COUNTIFS(tbl_Finance[Job Number],C30&amp;"",tbl_Finance[Cost Centre],"VIDEO")&gt;0,"VIDEO ","")&amp;IF(COUNTIFS(tbl_Finance[Job Number],C30&amp;"",tbl_Finance[Cost Centre],"INTEGRATION")&gt;0,"INTEGRATION ","")&amp;IF(COUNTIFS(tbl_Finance[Job Number],C30&amp;"",tbl_Finance[Cost Centre],"CONSULTING")&gt;0,"CONSULTING ","")&amp;IF(COUNTIFS(tbl_Finance[Job Number],C30&amp;"",tbl_Finance[Cost Centre],"CTS")&gt;0,"CTS ",""))," ",", ")))</f>
        <v/>
      </c>
      <c r="L30" s="24" t="inlineStr">
        <is>
          <t>https://cts.qwilr.com/26071601-Aware-Costing-v1-0-bOvhpPx4TTut</t>
        </is>
      </c>
      <c r="M30" s="25">
        <f>IF(L30="","",HYPERLINK(IF(LEFT(L30,4)="http",L30,set_QwilrBase&amp;L30),"Open quote"))</f>
        <v/>
      </c>
      <c r="N30" s="26" t="n">
        <v>903</v>
      </c>
      <c r="O30" s="26" t="n">
        <v>2054</v>
      </c>
      <c r="P30" s="26" t="n"/>
      <c r="Q30" s="25">
        <f>IF(C30="","",IF(N(N30)+N(O30)+N(P30)=0,"Not split",IF(ROUND(N(N30)+N(O30)+N(P30),2)=ROUND(H30,2),"OK","MISMATCH")))</f>
        <v/>
      </c>
      <c r="R30" s="26" t="n">
        <v>740</v>
      </c>
      <c r="S30" s="26" t="n">
        <v>1540</v>
      </c>
      <c r="T30" s="26" t="n"/>
      <c r="U30" s="27">
        <f>IF(C30="","",N(R30)+N(S30)+N(T30))</f>
        <v/>
      </c>
      <c r="V30" s="27">
        <f>IF(C30="","",H30-U30)</f>
        <v/>
      </c>
      <c r="W30" s="29">
        <f>IFERROR(V30/H30,"")</f>
        <v/>
      </c>
      <c r="X30" s="24" t="n"/>
    </row>
    <row r="31" ht="15" customHeight="1">
      <c r="A31" s="63">
        <f>IF(C31="","",IFERROR(IF(SUMPRODUCT(MAX((tbl_Finance[Job Number]=C31&amp;"")*(tbl_Finance[Xero Invoice No]&lt;&gt;"")*tbl_Finance[Date]))=0,"",SUMPRODUCT(MAX((tbl_Finance[Job Number]=C31&amp;"")*(tbl_Finance[Xero Invoice No]&lt;&gt;"")*tbl_Finance[Date]))),""))</f>
        <v/>
      </c>
      <c r="B31" s="25">
        <f>IF(C31="","",IF(COUNTIFS(tbl_Finance[Job Number],C31&amp;"",tbl_Finance[Xero Invoice No],"&lt;&gt;")=0,"",IFERROR(IF(COUNTIFS(tbl_Finance[Job Number],C31&amp;"",tbl_Finance[Xero Invoice No],LOOKUP(2,1/((tbl_Finance[Job Number]=C31&amp;"")*(tbl_Finance[Xero Invoice No]&lt;&gt;"")),tbl_Finance[Xero Invoice No]))=COUNTIFS(tbl_Finance[Job Number],C31&amp;"",tbl_Finance[Xero Invoice No],"&lt;&gt;"),LOOKUP(2,1/((tbl_Finance[Job Number]=C31&amp;"")*(tbl_Finance[Xero Invoice No]&lt;&gt;"")),tbl_Finance[Xero Invoice No]),LOOKUP(2,1/((tbl_Finance[Job Number]=C31&amp;"")*(tbl_Finance[Xero Invoice No]&lt;&gt;"")),tbl_Finance[Xero Invoice No])&amp;" +more"),"")))</f>
        <v/>
      </c>
      <c r="C31" s="24" t="inlineStr">
        <is>
          <t>26062503</t>
        </is>
      </c>
      <c r="D31" s="25">
        <f>IF(C31="","",IF(COUNTIF(lst_Jobs,C31&amp;"")&gt;0,"OK","CHECK"))</f>
        <v/>
      </c>
      <c r="E31" s="25">
        <f>IF(C31="","",IFERROR(INDEX(lst_JobName,MATCH(C31&amp;"",lst_Jobs,0)),""))</f>
        <v/>
      </c>
      <c r="F31" s="25">
        <f>IF(C31="","",IFERROR(INDEX(tbl_Finance[Client],MATCH(C31&amp;"",tbl_Finance[Job Number],0)),""))</f>
        <v/>
      </c>
      <c r="G31" s="28">
        <f>IF(C31="","",COUNTIFS(tbl_Finance[Job Number],C31&amp;"",tbl_Finance[Ex GST],"&lt;&gt;"))</f>
        <v/>
      </c>
      <c r="H31" s="27">
        <f>IF(C31="","",SUMIFS(tbl_Finance[Ex GST],tbl_Finance[Job Number],C31&amp;""))</f>
        <v/>
      </c>
      <c r="I31" s="27">
        <f>IF(C31="","",SUMIFS(tbl_Finance[Ex GST],tbl_Finance[Job Number],C31&amp;"",tbl_Finance[Xero Invoice No],"&lt;&gt;"))</f>
        <v/>
      </c>
      <c r="J31" s="27">
        <f>IF(C31="","",H31-I31)</f>
        <v/>
      </c>
      <c r="K31" s="25">
        <f>IF(C31="","",IF(G31=0,"not invoiced yet",SUBSTITUTE(TRIM(IF(COUNTIFS(tbl_Finance[Job Number],C31&amp;"",tbl_Finance[Cost Centre],"ONSITE")&gt;0,"ONSITE ","")&amp;IF(COUNTIFS(tbl_Finance[Job Number],C31&amp;"",tbl_Finance[Cost Centre],"PRODUCTION")&gt;0,"PRODUCTION ","")&amp;IF(COUNTIFS(tbl_Finance[Job Number],C31&amp;"",tbl_Finance[Cost Centre],"VIDEO")&gt;0,"VIDEO ","")&amp;IF(COUNTIFS(tbl_Finance[Job Number],C31&amp;"",tbl_Finance[Cost Centre],"INTEGRATION")&gt;0,"INTEGRATION ","")&amp;IF(COUNTIFS(tbl_Finance[Job Number],C31&amp;"",tbl_Finance[Cost Centre],"CONSULTING")&gt;0,"CONSULTING ","")&amp;IF(COUNTIFS(tbl_Finance[Job Number],C31&amp;"",tbl_Finance[Cost Centre],"CTS")&gt;0,"CTS ",""))," ",", ")))</f>
        <v/>
      </c>
      <c r="L31" s="24" t="inlineStr">
        <is>
          <t>CTS order form - 24.16 UC Engine Reimaging</t>
        </is>
      </c>
      <c r="M31" s="25">
        <f>IF(L31="","",HYPERLINK(IF(LEFT(L31,4)="http",L31,set_QwilrBase&amp;L31),"Open quote"))</f>
        <v/>
      </c>
      <c r="N31" s="26" t="n">
        <v>500</v>
      </c>
      <c r="O31" s="26" t="n"/>
      <c r="P31" s="26" t="n"/>
      <c r="Q31" s="25">
        <f>IF(C31="","",IF(N(N31)+N(O31)+N(P31)=0,"Not split",IF(ROUND(N(N31)+N(O31)+N(P31),2)=ROUND(H31,2),"OK","MISMATCH")))</f>
        <v/>
      </c>
      <c r="R31" s="26" t="n"/>
      <c r="S31" s="26" t="n"/>
      <c r="T31" s="26" t="n"/>
      <c r="U31" s="27">
        <f>IF(C31="","",N(R31)+N(S31)+N(T31))</f>
        <v/>
      </c>
      <c r="V31" s="27">
        <f>IF(C31="","",H31-U31)</f>
        <v/>
      </c>
      <c r="W31" s="29">
        <f>IFERROR(V31/H31,"")</f>
        <v/>
      </c>
      <c r="X31" s="24" t="n"/>
    </row>
    <row r="32" ht="15" customHeight="1">
      <c r="A32" s="63">
        <f>IF(C32="","",IFERROR(IF(SUMPRODUCT(MAX((tbl_Finance[Job Number]=C32&amp;"")*(tbl_Finance[Xero Invoice No]&lt;&gt;"")*tbl_Finance[Date]))=0,"",SUMPRODUCT(MAX((tbl_Finance[Job Number]=C32&amp;"")*(tbl_Finance[Xero Invoice No]&lt;&gt;"")*tbl_Finance[Date]))),""))</f>
        <v/>
      </c>
      <c r="B32" s="25">
        <f>IF(C32="","",IF(COUNTIFS(tbl_Finance[Job Number],C32&amp;"",tbl_Finance[Xero Invoice No],"&lt;&gt;")=0,"",IFERROR(IF(COUNTIFS(tbl_Finance[Job Number],C32&amp;"",tbl_Finance[Xero Invoice No],LOOKUP(2,1/((tbl_Finance[Job Number]=C32&amp;"")*(tbl_Finance[Xero Invoice No]&lt;&gt;"")),tbl_Finance[Xero Invoice No]))=COUNTIFS(tbl_Finance[Job Number],C32&amp;"",tbl_Finance[Xero Invoice No],"&lt;&gt;"),LOOKUP(2,1/((tbl_Finance[Job Number]=C32&amp;"")*(tbl_Finance[Xero Invoice No]&lt;&gt;"")),tbl_Finance[Xero Invoice No]),LOOKUP(2,1/((tbl_Finance[Job Number]=C32&amp;"")*(tbl_Finance[Xero Invoice No]&lt;&gt;"")),tbl_Finance[Xero Invoice No])&amp;" +more"),"")))</f>
        <v/>
      </c>
      <c r="C32" s="24" t="inlineStr">
        <is>
          <t>25070702</t>
        </is>
      </c>
      <c r="D32" s="25">
        <f>IF(C32="","",IF(COUNTIF(lst_Jobs,C32&amp;"")&gt;0,"OK","CHECK"))</f>
        <v/>
      </c>
      <c r="E32" s="25">
        <f>IF(C32="","",IFERROR(INDEX(lst_JobName,MATCH(C32&amp;"",lst_Jobs,0)),""))</f>
        <v/>
      </c>
      <c r="F32" s="25">
        <f>IF(C32="","",IFERROR(INDEX(tbl_Finance[Client],MATCH(C32&amp;"",tbl_Finance[Job Number],0)),""))</f>
        <v/>
      </c>
      <c r="G32" s="28">
        <f>IF(C32="","",COUNTIFS(tbl_Finance[Job Number],C32&amp;"",tbl_Finance[Ex GST],"&lt;&gt;"))</f>
        <v/>
      </c>
      <c r="H32" s="27">
        <f>IF(C32="","",SUMIFS(tbl_Finance[Ex GST],tbl_Finance[Job Number],C32&amp;""))</f>
        <v/>
      </c>
      <c r="I32" s="27">
        <f>IF(C32="","",SUMIFS(tbl_Finance[Ex GST],tbl_Finance[Job Number],C32&amp;"",tbl_Finance[Xero Invoice No],"&lt;&gt;"))</f>
        <v/>
      </c>
      <c r="J32" s="27">
        <f>IF(C32="","",H32-I32)</f>
        <v/>
      </c>
      <c r="K32" s="25">
        <f>IF(C32="","",IF(G32=0,"not invoiced yet",SUBSTITUTE(TRIM(IF(COUNTIFS(tbl_Finance[Job Number],C32&amp;"",tbl_Finance[Cost Centre],"ONSITE")&gt;0,"ONSITE ","")&amp;IF(COUNTIFS(tbl_Finance[Job Number],C32&amp;"",tbl_Finance[Cost Centre],"PRODUCTION")&gt;0,"PRODUCTION ","")&amp;IF(COUNTIFS(tbl_Finance[Job Number],C32&amp;"",tbl_Finance[Cost Centre],"VIDEO")&gt;0,"VIDEO ","")&amp;IF(COUNTIFS(tbl_Finance[Job Number],C32&amp;"",tbl_Finance[Cost Centre],"INTEGRATION")&gt;0,"INTEGRATION ","")&amp;IF(COUNTIFS(tbl_Finance[Job Number],C32&amp;"",tbl_Finance[Cost Centre],"CONSULTING")&gt;0,"CONSULTING ","")&amp;IF(COUNTIFS(tbl_Finance[Job Number],C32&amp;"",tbl_Finance[Cost Centre],"CTS")&gt;0,"CTS ",""))," ",", ")))</f>
        <v/>
      </c>
      <c r="L32" s="24" t="inlineStr">
        <is>
          <t>https://corptechservices.sharepoint.com/sites/TeamIntegration/Shared%20Documents/Forms/AllItems.aspx?id=%2Fsites%2FTeamIntegration%2FShared%20Documents%2FBox%20Migration%2F%23Projects%2F%232025%20Projects%2F25070702%20APA%20Proxyclick%20VMS%20Renewal%20%2D%20Brisbane%20and%20Darwin%2FIN%2FQwilrAcceptedQuote%2F25070702%2DAPA%2DProxyclick%2DVMS%2DRenewal%2D%2D%2DBrisbane%2Dand%2DDarwin%2Epdf&amp;parent=%2Fsites%2FTeamIntegration%2FShared%20Documents%2FBox%20Migration%2F%23Projects%2F%232025%20Projects%2F25070702%20APA%20Proxyclick%20VMS%20Renewal%20%2D%20Brisbane%20and%20Darwin%2FIN%2FQwilrAcceptedQuote&amp;p=true&amp;ct=1789522581237&amp;or=Teams%2DHL&amp;ga=1&amp;LOF=1</t>
        </is>
      </c>
      <c r="M32" s="25">
        <f>IF(L32="","",HYPERLINK(IF(LEFT(L32,4)="http",L32,set_QwilrBase&amp;L32),"Open quote"))</f>
        <v/>
      </c>
      <c r="N32" s="26" t="n"/>
      <c r="O32" s="26" t="n"/>
      <c r="P32" s="26" t="n"/>
      <c r="Q32" s="25">
        <f>IF(C32="","",IF(N(N32)+N(O32)+N(P32)=0,"Not split",IF(ROUND(N(N32)+N(O32)+N(P32),2)=ROUND(H32,2),"OK","MISMATCH")))</f>
        <v/>
      </c>
      <c r="R32" s="26" t="n"/>
      <c r="S32" s="26" t="n">
        <v>3297.31</v>
      </c>
      <c r="T32" s="26" t="n"/>
      <c r="U32" s="27">
        <f>IF(C32="","",N(R32)+N(S32)+N(T32))</f>
        <v/>
      </c>
      <c r="V32" s="27">
        <f>IF(C32="","",H32-U32)</f>
        <v/>
      </c>
      <c r="W32" s="29">
        <f>IFERROR(V32/H32,"")</f>
        <v/>
      </c>
      <c r="X32" s="24" t="n"/>
    </row>
    <row r="33" ht="15" customHeight="1">
      <c r="A33" s="63">
        <f>IF(C33="","",IFERROR(IF(SUMPRODUCT(MAX((tbl_Finance[Job Number]=C33&amp;"")*(tbl_Finance[Xero Invoice No]&lt;&gt;"")*tbl_Finance[Date]))=0,"",SUMPRODUCT(MAX((tbl_Finance[Job Number]=C33&amp;"")*(tbl_Finance[Xero Invoice No]&lt;&gt;"")*tbl_Finance[Date]))),""))</f>
        <v/>
      </c>
      <c r="B33" s="25">
        <f>IF(C33="","",IF(COUNTIFS(tbl_Finance[Job Number],C33&amp;"",tbl_Finance[Xero Invoice No],"&lt;&gt;")=0,"",IFERROR(IF(COUNTIFS(tbl_Finance[Job Number],C33&amp;"",tbl_Finance[Xero Invoice No],LOOKUP(2,1/((tbl_Finance[Job Number]=C33&amp;"")*(tbl_Finance[Xero Invoice No]&lt;&gt;"")),tbl_Finance[Xero Invoice No]))=COUNTIFS(tbl_Finance[Job Number],C33&amp;"",tbl_Finance[Xero Invoice No],"&lt;&gt;"),LOOKUP(2,1/((tbl_Finance[Job Number]=C33&amp;"")*(tbl_Finance[Xero Invoice No]&lt;&gt;"")),tbl_Finance[Xero Invoice No]),LOOKUP(2,1/((tbl_Finance[Job Number]=C33&amp;"")*(tbl_Finance[Xero Invoice No]&lt;&gt;"")),tbl_Finance[Xero Invoice No])&amp;" +more"),"")))</f>
        <v/>
      </c>
      <c r="C33" s="24" t="n"/>
      <c r="D33" s="25">
        <f>IF(C33="","",IF(COUNTIF(lst_Jobs,C33&amp;"")&gt;0,"OK","CHECK"))</f>
        <v/>
      </c>
      <c r="E33" s="25">
        <f>IF(C33="","",IFERROR(INDEX(lst_JobName,MATCH(C33&amp;"",lst_Jobs,0)),""))</f>
        <v/>
      </c>
      <c r="F33" s="25">
        <f>IF(C33="","",IFERROR(INDEX(tbl_Finance[Client],MATCH(C33&amp;"",tbl_Finance[Job Number],0)),""))</f>
        <v/>
      </c>
      <c r="G33" s="28">
        <f>IF(C33="","",COUNTIFS(tbl_Finance[Job Number],C33&amp;"",tbl_Finance[Ex GST],"&lt;&gt;"))</f>
        <v/>
      </c>
      <c r="H33" s="27">
        <f>IF(C33="","",SUMIFS(tbl_Finance[Ex GST],tbl_Finance[Job Number],C33&amp;""))</f>
        <v/>
      </c>
      <c r="I33" s="27">
        <f>IF(C33="","",SUMIFS(tbl_Finance[Ex GST],tbl_Finance[Job Number],C33&amp;"",tbl_Finance[Xero Invoice No],"&lt;&gt;"))</f>
        <v/>
      </c>
      <c r="J33" s="27">
        <f>IF(C33="","",H33-I33)</f>
        <v/>
      </c>
      <c r="K33" s="25">
        <f>IF(C33="","",IF(G33=0,"not invoiced yet",SUBSTITUTE(TRIM(IF(COUNTIFS(tbl_Finance[Job Number],C33&amp;"",tbl_Finance[Cost Centre],"ONSITE")&gt;0,"ONSITE ","")&amp;IF(COUNTIFS(tbl_Finance[Job Number],C33&amp;"",tbl_Finance[Cost Centre],"PRODUCTION")&gt;0,"PRODUCTION ","")&amp;IF(COUNTIFS(tbl_Finance[Job Number],C33&amp;"",tbl_Finance[Cost Centre],"VIDEO")&gt;0,"VIDEO ","")&amp;IF(COUNTIFS(tbl_Finance[Job Number],C33&amp;"",tbl_Finance[Cost Centre],"INTEGRATION")&gt;0,"INTEGRATION ","")&amp;IF(COUNTIFS(tbl_Finance[Job Number],C33&amp;"",tbl_Finance[Cost Centre],"CONSULTING")&gt;0,"CONSULTING ","")&amp;IF(COUNTIFS(tbl_Finance[Job Number],C33&amp;"",tbl_Finance[Cost Centre],"CTS")&gt;0,"CTS ",""))," ",", ")))</f>
        <v/>
      </c>
      <c r="L33" s="24" t="n"/>
      <c r="M33" s="25">
        <f>IF(L33="","",HYPERLINK(IF(LEFT(L33,4)="http",L33,set_QwilrBase&amp;L33),"Open quote"))</f>
        <v/>
      </c>
      <c r="N33" s="26" t="n"/>
      <c r="O33" s="26" t="n"/>
      <c r="P33" s="26" t="n"/>
      <c r="Q33" s="25">
        <f>IF(C33="","",IF(N(N33)+N(O33)+N(P33)=0,"Not split",IF(ROUND(N(N33)+N(O33)+N(P33),2)=ROUND(H33,2),"OK","MISMATCH")))</f>
        <v/>
      </c>
      <c r="R33" s="26" t="n"/>
      <c r="S33" s="26" t="n"/>
      <c r="T33" s="26" t="n"/>
      <c r="U33" s="27">
        <f>IF(C33="","",N(R33)+N(S33)+N(T33))</f>
        <v/>
      </c>
      <c r="V33" s="27">
        <f>IF(C33="","",H33-U33)</f>
        <v/>
      </c>
      <c r="W33" s="29">
        <f>IFERROR(V33/H33,"")</f>
        <v/>
      </c>
      <c r="X33" s="24" t="n"/>
    </row>
    <row r="34" ht="15" customHeight="1">
      <c r="A34" s="63">
        <f>IF(C34="","",IFERROR(IF(SUMPRODUCT(MAX((tbl_Finance[Job Number]=C34&amp;"")*(tbl_Finance[Xero Invoice No]&lt;&gt;"")*tbl_Finance[Date]))=0,"",SUMPRODUCT(MAX((tbl_Finance[Job Number]=C34&amp;"")*(tbl_Finance[Xero Invoice No]&lt;&gt;"")*tbl_Finance[Date]))),""))</f>
        <v/>
      </c>
      <c r="B34" s="25">
        <f>IF(C34="","",IF(COUNTIFS(tbl_Finance[Job Number],C34&amp;"",tbl_Finance[Xero Invoice No],"&lt;&gt;")=0,"",IFERROR(IF(COUNTIFS(tbl_Finance[Job Number],C34&amp;"",tbl_Finance[Xero Invoice No],LOOKUP(2,1/((tbl_Finance[Job Number]=C34&amp;"")*(tbl_Finance[Xero Invoice No]&lt;&gt;"")),tbl_Finance[Xero Invoice No]))=COUNTIFS(tbl_Finance[Job Number],C34&amp;"",tbl_Finance[Xero Invoice No],"&lt;&gt;"),LOOKUP(2,1/((tbl_Finance[Job Number]=C34&amp;"")*(tbl_Finance[Xero Invoice No]&lt;&gt;"")),tbl_Finance[Xero Invoice No]),LOOKUP(2,1/((tbl_Finance[Job Number]=C34&amp;"")*(tbl_Finance[Xero Invoice No]&lt;&gt;"")),tbl_Finance[Xero Invoice No])&amp;" +more"),"")))</f>
        <v/>
      </c>
      <c r="C34" s="24" t="n"/>
      <c r="D34" s="25">
        <f>IF(C34="","",IF(COUNTIF(lst_Jobs,C34&amp;"")&gt;0,"OK","CHECK"))</f>
        <v/>
      </c>
      <c r="E34" s="25">
        <f>IF(C34="","",IFERROR(INDEX(lst_JobName,MATCH(C34&amp;"",lst_Jobs,0)),""))</f>
        <v/>
      </c>
      <c r="F34" s="25">
        <f>IF(C34="","",IFERROR(INDEX(tbl_Finance[Client],MATCH(C34&amp;"",tbl_Finance[Job Number],0)),""))</f>
        <v/>
      </c>
      <c r="G34" s="28">
        <f>IF(C34="","",COUNTIFS(tbl_Finance[Job Number],C34&amp;"",tbl_Finance[Ex GST],"&lt;&gt;"))</f>
        <v/>
      </c>
      <c r="H34" s="27">
        <f>IF(C34="","",SUMIFS(tbl_Finance[Ex GST],tbl_Finance[Job Number],C34&amp;""))</f>
        <v/>
      </c>
      <c r="I34" s="27">
        <f>IF(C34="","",SUMIFS(tbl_Finance[Ex GST],tbl_Finance[Job Number],C34&amp;"",tbl_Finance[Xero Invoice No],"&lt;&gt;"))</f>
        <v/>
      </c>
      <c r="J34" s="27">
        <f>IF(C34="","",H34-I34)</f>
        <v/>
      </c>
      <c r="K34" s="25">
        <f>IF(C34="","",IF(G34=0,"not invoiced yet",SUBSTITUTE(TRIM(IF(COUNTIFS(tbl_Finance[Job Number],C34&amp;"",tbl_Finance[Cost Centre],"ONSITE")&gt;0,"ONSITE ","")&amp;IF(COUNTIFS(tbl_Finance[Job Number],C34&amp;"",tbl_Finance[Cost Centre],"PRODUCTION")&gt;0,"PRODUCTION ","")&amp;IF(COUNTIFS(tbl_Finance[Job Number],C34&amp;"",tbl_Finance[Cost Centre],"VIDEO")&gt;0,"VIDEO ","")&amp;IF(COUNTIFS(tbl_Finance[Job Number],C34&amp;"",tbl_Finance[Cost Centre],"INTEGRATION")&gt;0,"INTEGRATION ","")&amp;IF(COUNTIFS(tbl_Finance[Job Number],C34&amp;"",tbl_Finance[Cost Centre],"CONSULTING")&gt;0,"CONSULTING ","")&amp;IF(COUNTIFS(tbl_Finance[Job Number],C34&amp;"",tbl_Finance[Cost Centre],"CTS")&gt;0,"CTS ",""))," ",", ")))</f>
        <v/>
      </c>
      <c r="L34" s="24" t="n"/>
      <c r="M34" s="25">
        <f>IF(L34="","",HYPERLINK(IF(LEFT(L34,4)="http",L34,set_QwilrBase&amp;L34),"Open quote"))</f>
        <v/>
      </c>
      <c r="N34" s="26" t="n"/>
      <c r="O34" s="26" t="n"/>
      <c r="P34" s="26" t="n"/>
      <c r="Q34" s="25">
        <f>IF(C34="","",IF(N(N34)+N(O34)+N(P34)=0,"Not split",IF(ROUND(N(N34)+N(O34)+N(P34),2)=ROUND(H34,2),"OK","MISMATCH")))</f>
        <v/>
      </c>
      <c r="R34" s="26" t="n"/>
      <c r="S34" s="26" t="n"/>
      <c r="T34" s="26" t="n"/>
      <c r="U34" s="27">
        <f>IF(C34="","",N(R34)+N(S34)+N(T34))</f>
        <v/>
      </c>
      <c r="V34" s="27">
        <f>IF(C34="","",H34-U34)</f>
        <v/>
      </c>
      <c r="W34" s="29">
        <f>IFERROR(V34/H34,"")</f>
        <v/>
      </c>
      <c r="X34" s="24" t="n"/>
    </row>
    <row r="35" ht="15" customHeight="1">
      <c r="A35" s="63">
        <f>IF(C35="","",IFERROR(IF(SUMPRODUCT(MAX((tbl_Finance[Job Number]=C35&amp;"")*(tbl_Finance[Xero Invoice No]&lt;&gt;"")*tbl_Finance[Date]))=0,"",SUMPRODUCT(MAX((tbl_Finance[Job Number]=C35&amp;"")*(tbl_Finance[Xero Invoice No]&lt;&gt;"")*tbl_Finance[Date]))),""))</f>
        <v/>
      </c>
      <c r="B35" s="25">
        <f>IF(C35="","",IF(COUNTIFS(tbl_Finance[Job Number],C35&amp;"",tbl_Finance[Xero Invoice No],"&lt;&gt;")=0,"",IFERROR(IF(COUNTIFS(tbl_Finance[Job Number],C35&amp;"",tbl_Finance[Xero Invoice No],LOOKUP(2,1/((tbl_Finance[Job Number]=C35&amp;"")*(tbl_Finance[Xero Invoice No]&lt;&gt;"")),tbl_Finance[Xero Invoice No]))=COUNTIFS(tbl_Finance[Job Number],C35&amp;"",tbl_Finance[Xero Invoice No],"&lt;&gt;"),LOOKUP(2,1/((tbl_Finance[Job Number]=C35&amp;"")*(tbl_Finance[Xero Invoice No]&lt;&gt;"")),tbl_Finance[Xero Invoice No]),LOOKUP(2,1/((tbl_Finance[Job Number]=C35&amp;"")*(tbl_Finance[Xero Invoice No]&lt;&gt;"")),tbl_Finance[Xero Invoice No])&amp;" +more"),"")))</f>
        <v/>
      </c>
      <c r="C35" s="24" t="n"/>
      <c r="D35" s="25">
        <f>IF(C35="","",IF(COUNTIF(lst_Jobs,C35&amp;"")&gt;0,"OK","CHECK"))</f>
        <v/>
      </c>
      <c r="E35" s="25">
        <f>IF(C35="","",IFERROR(INDEX(lst_JobName,MATCH(C35&amp;"",lst_Jobs,0)),""))</f>
        <v/>
      </c>
      <c r="F35" s="25">
        <f>IF(C35="","",IFERROR(INDEX(tbl_Finance[Client],MATCH(C35&amp;"",tbl_Finance[Job Number],0)),""))</f>
        <v/>
      </c>
      <c r="G35" s="28">
        <f>IF(C35="","",COUNTIFS(tbl_Finance[Job Number],C35&amp;"",tbl_Finance[Ex GST],"&lt;&gt;"))</f>
        <v/>
      </c>
      <c r="H35" s="27">
        <f>IF(C35="","",SUMIFS(tbl_Finance[Ex GST],tbl_Finance[Job Number],C35&amp;""))</f>
        <v/>
      </c>
      <c r="I35" s="27">
        <f>IF(C35="","",SUMIFS(tbl_Finance[Ex GST],tbl_Finance[Job Number],C35&amp;"",tbl_Finance[Xero Invoice No],"&lt;&gt;"))</f>
        <v/>
      </c>
      <c r="J35" s="27">
        <f>IF(C35="","",H35-I35)</f>
        <v/>
      </c>
      <c r="K35" s="25">
        <f>IF(C35="","",IF(G35=0,"not invoiced yet",SUBSTITUTE(TRIM(IF(COUNTIFS(tbl_Finance[Job Number],C35&amp;"",tbl_Finance[Cost Centre],"ONSITE")&gt;0,"ONSITE ","")&amp;IF(COUNTIFS(tbl_Finance[Job Number],C35&amp;"",tbl_Finance[Cost Centre],"PRODUCTION")&gt;0,"PRODUCTION ","")&amp;IF(COUNTIFS(tbl_Finance[Job Number],C35&amp;"",tbl_Finance[Cost Centre],"VIDEO")&gt;0,"VIDEO ","")&amp;IF(COUNTIFS(tbl_Finance[Job Number],C35&amp;"",tbl_Finance[Cost Centre],"INTEGRATION")&gt;0,"INTEGRATION ","")&amp;IF(COUNTIFS(tbl_Finance[Job Number],C35&amp;"",tbl_Finance[Cost Centre],"CONSULTING")&gt;0,"CONSULTING ","")&amp;IF(COUNTIFS(tbl_Finance[Job Number],C35&amp;"",tbl_Finance[Cost Centre],"CTS")&gt;0,"CTS ",""))," ",", ")))</f>
        <v/>
      </c>
      <c r="L35" s="24" t="n"/>
      <c r="M35" s="25">
        <f>IF(L35="","",HYPERLINK(IF(LEFT(L35,4)="http",L35,set_QwilrBase&amp;L35),"Open quote"))</f>
        <v/>
      </c>
      <c r="N35" s="26" t="n"/>
      <c r="O35" s="26" t="n"/>
      <c r="P35" s="26" t="n"/>
      <c r="Q35" s="25">
        <f>IF(C35="","",IF(N(N35)+N(O35)+N(P35)=0,"Not split",IF(ROUND(N(N35)+N(O35)+N(P35),2)=ROUND(H35,2),"OK","MISMATCH")))</f>
        <v/>
      </c>
      <c r="R35" s="26" t="n"/>
      <c r="S35" s="26" t="n"/>
      <c r="T35" s="26" t="n"/>
      <c r="U35" s="27">
        <f>IF(C35="","",N(R35)+N(S35)+N(T35))</f>
        <v/>
      </c>
      <c r="V35" s="27">
        <f>IF(C35="","",H35-U35)</f>
        <v/>
      </c>
      <c r="W35" s="29">
        <f>IFERROR(V35/H35,"")</f>
        <v/>
      </c>
      <c r="X35" s="24" t="n"/>
    </row>
    <row r="36" ht="15" customHeight="1">
      <c r="A36" s="63">
        <f>IF(C36="","",IFERROR(IF(SUMPRODUCT(MAX((tbl_Finance[Job Number]=C36&amp;"")*(tbl_Finance[Xero Invoice No]&lt;&gt;"")*tbl_Finance[Date]))=0,"",SUMPRODUCT(MAX((tbl_Finance[Job Number]=C36&amp;"")*(tbl_Finance[Xero Invoice No]&lt;&gt;"")*tbl_Finance[Date]))),""))</f>
        <v/>
      </c>
      <c r="B36" s="25">
        <f>IF(C36="","",IF(COUNTIFS(tbl_Finance[Job Number],C36&amp;"",tbl_Finance[Xero Invoice No],"&lt;&gt;")=0,"",IFERROR(IF(COUNTIFS(tbl_Finance[Job Number],C36&amp;"",tbl_Finance[Xero Invoice No],LOOKUP(2,1/((tbl_Finance[Job Number]=C36&amp;"")*(tbl_Finance[Xero Invoice No]&lt;&gt;"")),tbl_Finance[Xero Invoice No]))=COUNTIFS(tbl_Finance[Job Number],C36&amp;"",tbl_Finance[Xero Invoice No],"&lt;&gt;"),LOOKUP(2,1/((tbl_Finance[Job Number]=C36&amp;"")*(tbl_Finance[Xero Invoice No]&lt;&gt;"")),tbl_Finance[Xero Invoice No]),LOOKUP(2,1/((tbl_Finance[Job Number]=C36&amp;"")*(tbl_Finance[Xero Invoice No]&lt;&gt;"")),tbl_Finance[Xero Invoice No])&amp;" +more"),"")))</f>
        <v/>
      </c>
      <c r="C36" s="24" t="n"/>
      <c r="D36" s="25">
        <f>IF(C36="","",IF(COUNTIF(lst_Jobs,C36&amp;"")&gt;0,"OK","CHECK"))</f>
        <v/>
      </c>
      <c r="E36" s="25">
        <f>IF(C36="","",IFERROR(INDEX(lst_JobName,MATCH(C36&amp;"",lst_Jobs,0)),""))</f>
        <v/>
      </c>
      <c r="F36" s="25">
        <f>IF(C36="","",IFERROR(INDEX(tbl_Finance[Client],MATCH(C36&amp;"",tbl_Finance[Job Number],0)),""))</f>
        <v/>
      </c>
      <c r="G36" s="28">
        <f>IF(C36="","",COUNTIFS(tbl_Finance[Job Number],C36&amp;"",tbl_Finance[Ex GST],"&lt;&gt;"))</f>
        <v/>
      </c>
      <c r="H36" s="27">
        <f>IF(C36="","",SUMIFS(tbl_Finance[Ex GST],tbl_Finance[Job Number],C36&amp;""))</f>
        <v/>
      </c>
      <c r="I36" s="27">
        <f>IF(C36="","",SUMIFS(tbl_Finance[Ex GST],tbl_Finance[Job Number],C36&amp;"",tbl_Finance[Xero Invoice No],"&lt;&gt;"))</f>
        <v/>
      </c>
      <c r="J36" s="27">
        <f>IF(C36="","",H36-I36)</f>
        <v/>
      </c>
      <c r="K36" s="25">
        <f>IF(C36="","",IF(G36=0,"not invoiced yet",SUBSTITUTE(TRIM(IF(COUNTIFS(tbl_Finance[Job Number],C36&amp;"",tbl_Finance[Cost Centre],"ONSITE")&gt;0,"ONSITE ","")&amp;IF(COUNTIFS(tbl_Finance[Job Number],C36&amp;"",tbl_Finance[Cost Centre],"PRODUCTION")&gt;0,"PRODUCTION ","")&amp;IF(COUNTIFS(tbl_Finance[Job Number],C36&amp;"",tbl_Finance[Cost Centre],"VIDEO")&gt;0,"VIDEO ","")&amp;IF(COUNTIFS(tbl_Finance[Job Number],C36&amp;"",tbl_Finance[Cost Centre],"INTEGRATION")&gt;0,"INTEGRATION ","")&amp;IF(COUNTIFS(tbl_Finance[Job Number],C36&amp;"",tbl_Finance[Cost Centre],"CONSULTING")&gt;0,"CONSULTING ","")&amp;IF(COUNTIFS(tbl_Finance[Job Number],C36&amp;"",tbl_Finance[Cost Centre],"CTS")&gt;0,"CTS ",""))," ",", ")))</f>
        <v/>
      </c>
      <c r="L36" s="24" t="n"/>
      <c r="M36" s="25">
        <f>IF(L36="","",HYPERLINK(IF(LEFT(L36,4)="http",L36,set_QwilrBase&amp;L36),"Open quote"))</f>
        <v/>
      </c>
      <c r="N36" s="26" t="n"/>
      <c r="O36" s="26" t="n"/>
      <c r="P36" s="26" t="n"/>
      <c r="Q36" s="25">
        <f>IF(C36="","",IF(N(N36)+N(O36)+N(P36)=0,"Not split",IF(ROUND(N(N36)+N(O36)+N(P36),2)=ROUND(H36,2),"OK","MISMATCH")))</f>
        <v/>
      </c>
      <c r="R36" s="26" t="n"/>
      <c r="S36" s="26" t="n"/>
      <c r="T36" s="26" t="n"/>
      <c r="U36" s="27">
        <f>IF(C36="","",N(R36)+N(S36)+N(T36))</f>
        <v/>
      </c>
      <c r="V36" s="27">
        <f>IF(C36="","",H36-U36)</f>
        <v/>
      </c>
      <c r="W36" s="29">
        <f>IFERROR(V36/H36,"")</f>
        <v/>
      </c>
      <c r="X36" s="24" t="n"/>
    </row>
    <row r="37" ht="15" customHeight="1">
      <c r="A37" s="63">
        <f>IF(C37="","",IFERROR(IF(SUMPRODUCT(MAX((tbl_Finance[Job Number]=C37&amp;"")*(tbl_Finance[Xero Invoice No]&lt;&gt;"")*tbl_Finance[Date]))=0,"",SUMPRODUCT(MAX((tbl_Finance[Job Number]=C37&amp;"")*(tbl_Finance[Xero Invoice No]&lt;&gt;"")*tbl_Finance[Date]))),""))</f>
        <v/>
      </c>
      <c r="B37" s="25">
        <f>IF(C37="","",IF(COUNTIFS(tbl_Finance[Job Number],C37&amp;"",tbl_Finance[Xero Invoice No],"&lt;&gt;")=0,"",IFERROR(IF(COUNTIFS(tbl_Finance[Job Number],C37&amp;"",tbl_Finance[Xero Invoice No],LOOKUP(2,1/((tbl_Finance[Job Number]=C37&amp;"")*(tbl_Finance[Xero Invoice No]&lt;&gt;"")),tbl_Finance[Xero Invoice No]))=COUNTIFS(tbl_Finance[Job Number],C37&amp;"",tbl_Finance[Xero Invoice No],"&lt;&gt;"),LOOKUP(2,1/((tbl_Finance[Job Number]=C37&amp;"")*(tbl_Finance[Xero Invoice No]&lt;&gt;"")),tbl_Finance[Xero Invoice No]),LOOKUP(2,1/((tbl_Finance[Job Number]=C37&amp;"")*(tbl_Finance[Xero Invoice No]&lt;&gt;"")),tbl_Finance[Xero Invoice No])&amp;" +more"),"")))</f>
        <v/>
      </c>
      <c r="C37" s="24" t="n"/>
      <c r="D37" s="25">
        <f>IF(C37="","",IF(COUNTIF(lst_Jobs,C37&amp;"")&gt;0,"OK","CHECK"))</f>
        <v/>
      </c>
      <c r="E37" s="25">
        <f>IF(C37="","",IFERROR(INDEX(lst_JobName,MATCH(C37&amp;"",lst_Jobs,0)),""))</f>
        <v/>
      </c>
      <c r="F37" s="25">
        <f>IF(C37="","",IFERROR(INDEX(tbl_Finance[Client],MATCH(C37&amp;"",tbl_Finance[Job Number],0)),""))</f>
        <v/>
      </c>
      <c r="G37" s="28">
        <f>IF(C37="","",COUNTIFS(tbl_Finance[Job Number],C37&amp;"",tbl_Finance[Ex GST],"&lt;&gt;"))</f>
        <v/>
      </c>
      <c r="H37" s="27">
        <f>IF(C37="","",SUMIFS(tbl_Finance[Ex GST],tbl_Finance[Job Number],C37&amp;""))</f>
        <v/>
      </c>
      <c r="I37" s="27">
        <f>IF(C37="","",SUMIFS(tbl_Finance[Ex GST],tbl_Finance[Job Number],C37&amp;"",tbl_Finance[Xero Invoice No],"&lt;&gt;"))</f>
        <v/>
      </c>
      <c r="J37" s="27">
        <f>IF(C37="","",H37-I37)</f>
        <v/>
      </c>
      <c r="K37" s="25">
        <f>IF(C37="","",IF(G37=0,"not invoiced yet",SUBSTITUTE(TRIM(IF(COUNTIFS(tbl_Finance[Job Number],C37&amp;"",tbl_Finance[Cost Centre],"ONSITE")&gt;0,"ONSITE ","")&amp;IF(COUNTIFS(tbl_Finance[Job Number],C37&amp;"",tbl_Finance[Cost Centre],"PRODUCTION")&gt;0,"PRODUCTION ","")&amp;IF(COUNTIFS(tbl_Finance[Job Number],C37&amp;"",tbl_Finance[Cost Centre],"VIDEO")&gt;0,"VIDEO ","")&amp;IF(COUNTIFS(tbl_Finance[Job Number],C37&amp;"",tbl_Finance[Cost Centre],"INTEGRATION")&gt;0,"INTEGRATION ","")&amp;IF(COUNTIFS(tbl_Finance[Job Number],C37&amp;"",tbl_Finance[Cost Centre],"CONSULTING")&gt;0,"CONSULTING ","")&amp;IF(COUNTIFS(tbl_Finance[Job Number],C37&amp;"",tbl_Finance[Cost Centre],"CTS")&gt;0,"CTS ",""))," ",", ")))</f>
        <v/>
      </c>
      <c r="L37" s="24" t="n"/>
      <c r="M37" s="25">
        <f>IF(L37="","",HYPERLINK(IF(LEFT(L37,4)="http",L37,set_QwilrBase&amp;L37),"Open quote"))</f>
        <v/>
      </c>
      <c r="N37" s="26" t="n"/>
      <c r="O37" s="26" t="n"/>
      <c r="P37" s="26" t="n"/>
      <c r="Q37" s="25">
        <f>IF(C37="","",IF(N(N37)+N(O37)+N(P37)=0,"Not split",IF(ROUND(N(N37)+N(O37)+N(P37),2)=ROUND(H37,2),"OK","MISMATCH")))</f>
        <v/>
      </c>
      <c r="R37" s="26" t="n"/>
      <c r="S37" s="26" t="n"/>
      <c r="T37" s="26" t="n"/>
      <c r="U37" s="27">
        <f>IF(C37="","",N(R37)+N(S37)+N(T37))</f>
        <v/>
      </c>
      <c r="V37" s="27">
        <f>IF(C37="","",H37-U37)</f>
        <v/>
      </c>
      <c r="W37" s="29">
        <f>IFERROR(V37/H37,"")</f>
        <v/>
      </c>
      <c r="X37" s="24" t="n"/>
    </row>
    <row r="38" ht="15" customHeight="1">
      <c r="A38" s="63">
        <f>IF(C38="","",IFERROR(IF(SUMPRODUCT(MAX((tbl_Finance[Job Number]=C38&amp;"")*(tbl_Finance[Xero Invoice No]&lt;&gt;"")*tbl_Finance[Date]))=0,"",SUMPRODUCT(MAX((tbl_Finance[Job Number]=C38&amp;"")*(tbl_Finance[Xero Invoice No]&lt;&gt;"")*tbl_Finance[Date]))),""))</f>
        <v/>
      </c>
      <c r="B38" s="25">
        <f>IF(C38="","",IF(COUNTIFS(tbl_Finance[Job Number],C38&amp;"",tbl_Finance[Xero Invoice No],"&lt;&gt;")=0,"",IFERROR(IF(COUNTIFS(tbl_Finance[Job Number],C38&amp;"",tbl_Finance[Xero Invoice No],LOOKUP(2,1/((tbl_Finance[Job Number]=C38&amp;"")*(tbl_Finance[Xero Invoice No]&lt;&gt;"")),tbl_Finance[Xero Invoice No]))=COUNTIFS(tbl_Finance[Job Number],C38&amp;"",tbl_Finance[Xero Invoice No],"&lt;&gt;"),LOOKUP(2,1/((tbl_Finance[Job Number]=C38&amp;"")*(tbl_Finance[Xero Invoice No]&lt;&gt;"")),tbl_Finance[Xero Invoice No]),LOOKUP(2,1/((tbl_Finance[Job Number]=C38&amp;"")*(tbl_Finance[Xero Invoice No]&lt;&gt;"")),tbl_Finance[Xero Invoice No])&amp;" +more"),"")))</f>
        <v/>
      </c>
      <c r="C38" s="24" t="n"/>
      <c r="D38" s="25">
        <f>IF(C38="","",IF(COUNTIF(lst_Jobs,C38&amp;"")&gt;0,"OK","CHECK"))</f>
        <v/>
      </c>
      <c r="E38" s="25">
        <f>IF(C38="","",IFERROR(INDEX(lst_JobName,MATCH(C38&amp;"",lst_Jobs,0)),""))</f>
        <v/>
      </c>
      <c r="F38" s="25">
        <f>IF(C38="","",IFERROR(INDEX(tbl_Finance[Client],MATCH(C38&amp;"",tbl_Finance[Job Number],0)),""))</f>
        <v/>
      </c>
      <c r="G38" s="28">
        <f>IF(C38="","",COUNTIFS(tbl_Finance[Job Number],C38&amp;"",tbl_Finance[Ex GST],"&lt;&gt;"))</f>
        <v/>
      </c>
      <c r="H38" s="27">
        <f>IF(C38="","",SUMIFS(tbl_Finance[Ex GST],tbl_Finance[Job Number],C38&amp;""))</f>
        <v/>
      </c>
      <c r="I38" s="27">
        <f>IF(C38="","",SUMIFS(tbl_Finance[Ex GST],tbl_Finance[Job Number],C38&amp;"",tbl_Finance[Xero Invoice No],"&lt;&gt;"))</f>
        <v/>
      </c>
      <c r="J38" s="27">
        <f>IF(C38="","",H38-I38)</f>
        <v/>
      </c>
      <c r="K38" s="25">
        <f>IF(C38="","",IF(G38=0,"not invoiced yet",SUBSTITUTE(TRIM(IF(COUNTIFS(tbl_Finance[Job Number],C38&amp;"",tbl_Finance[Cost Centre],"ONSITE")&gt;0,"ONSITE ","")&amp;IF(COUNTIFS(tbl_Finance[Job Number],C38&amp;"",tbl_Finance[Cost Centre],"PRODUCTION")&gt;0,"PRODUCTION ","")&amp;IF(COUNTIFS(tbl_Finance[Job Number],C38&amp;"",tbl_Finance[Cost Centre],"VIDEO")&gt;0,"VIDEO ","")&amp;IF(COUNTIFS(tbl_Finance[Job Number],C38&amp;"",tbl_Finance[Cost Centre],"INTEGRATION")&gt;0,"INTEGRATION ","")&amp;IF(COUNTIFS(tbl_Finance[Job Number],C38&amp;"",tbl_Finance[Cost Centre],"CONSULTING")&gt;0,"CONSULTING ","")&amp;IF(COUNTIFS(tbl_Finance[Job Number],C38&amp;"",tbl_Finance[Cost Centre],"CTS")&gt;0,"CTS ",""))," ",", ")))</f>
        <v/>
      </c>
      <c r="L38" s="24" t="n"/>
      <c r="M38" s="25">
        <f>IF(L38="","",HYPERLINK(IF(LEFT(L38,4)="http",L38,set_QwilrBase&amp;L38),"Open quote"))</f>
        <v/>
      </c>
      <c r="N38" s="26" t="n"/>
      <c r="O38" s="26" t="n"/>
      <c r="P38" s="26" t="n"/>
      <c r="Q38" s="25">
        <f>IF(C38="","",IF(N(N38)+N(O38)+N(P38)=0,"Not split",IF(ROUND(N(N38)+N(O38)+N(P38),2)=ROUND(H38,2),"OK","MISMATCH")))</f>
        <v/>
      </c>
      <c r="R38" s="26" t="n"/>
      <c r="S38" s="26" t="n"/>
      <c r="T38" s="26" t="n"/>
      <c r="U38" s="27">
        <f>IF(C38="","",N(R38)+N(S38)+N(T38))</f>
        <v/>
      </c>
      <c r="V38" s="27">
        <f>IF(C38="","",H38-U38)</f>
        <v/>
      </c>
      <c r="W38" s="29">
        <f>IFERROR(V38/H38,"")</f>
        <v/>
      </c>
      <c r="X38" s="24" t="n"/>
    </row>
    <row r="39" ht="15" customHeight="1">
      <c r="A39" s="63">
        <f>IF(C39="","",IFERROR(IF(SUMPRODUCT(MAX((tbl_Finance[Job Number]=C39&amp;"")*(tbl_Finance[Xero Invoice No]&lt;&gt;"")*tbl_Finance[Date]))=0,"",SUMPRODUCT(MAX((tbl_Finance[Job Number]=C39&amp;"")*(tbl_Finance[Xero Invoice No]&lt;&gt;"")*tbl_Finance[Date]))),""))</f>
        <v/>
      </c>
      <c r="B39" s="25">
        <f>IF(C39="","",IF(COUNTIFS(tbl_Finance[Job Number],C39&amp;"",tbl_Finance[Xero Invoice No],"&lt;&gt;")=0,"",IFERROR(IF(COUNTIFS(tbl_Finance[Job Number],C39&amp;"",tbl_Finance[Xero Invoice No],LOOKUP(2,1/((tbl_Finance[Job Number]=C39&amp;"")*(tbl_Finance[Xero Invoice No]&lt;&gt;"")),tbl_Finance[Xero Invoice No]))=COUNTIFS(tbl_Finance[Job Number],C39&amp;"",tbl_Finance[Xero Invoice No],"&lt;&gt;"),LOOKUP(2,1/((tbl_Finance[Job Number]=C39&amp;"")*(tbl_Finance[Xero Invoice No]&lt;&gt;"")),tbl_Finance[Xero Invoice No]),LOOKUP(2,1/((tbl_Finance[Job Number]=C39&amp;"")*(tbl_Finance[Xero Invoice No]&lt;&gt;"")),tbl_Finance[Xero Invoice No])&amp;" +more"),"")))</f>
        <v/>
      </c>
      <c r="C39" s="24" t="n"/>
      <c r="D39" s="25">
        <f>IF(C39="","",IF(COUNTIF(lst_Jobs,C39&amp;"")&gt;0,"OK","CHECK"))</f>
        <v/>
      </c>
      <c r="E39" s="25">
        <f>IF(C39="","",IFERROR(INDEX(lst_JobName,MATCH(C39&amp;"",lst_Jobs,0)),""))</f>
        <v/>
      </c>
      <c r="F39" s="25">
        <f>IF(C39="","",IFERROR(INDEX(tbl_Finance[Client],MATCH(C39&amp;"",tbl_Finance[Job Number],0)),""))</f>
        <v/>
      </c>
      <c r="G39" s="28">
        <f>IF(C39="","",COUNTIFS(tbl_Finance[Job Number],C39&amp;"",tbl_Finance[Ex GST],"&lt;&gt;"))</f>
        <v/>
      </c>
      <c r="H39" s="27">
        <f>IF(C39="","",SUMIFS(tbl_Finance[Ex GST],tbl_Finance[Job Number],C39&amp;""))</f>
        <v/>
      </c>
      <c r="I39" s="27">
        <f>IF(C39="","",SUMIFS(tbl_Finance[Ex GST],tbl_Finance[Job Number],C39&amp;"",tbl_Finance[Xero Invoice No],"&lt;&gt;"))</f>
        <v/>
      </c>
      <c r="J39" s="27">
        <f>IF(C39="","",H39-I39)</f>
        <v/>
      </c>
      <c r="K39" s="25">
        <f>IF(C39="","",IF(G39=0,"not invoiced yet",SUBSTITUTE(TRIM(IF(COUNTIFS(tbl_Finance[Job Number],C39&amp;"",tbl_Finance[Cost Centre],"ONSITE")&gt;0,"ONSITE ","")&amp;IF(COUNTIFS(tbl_Finance[Job Number],C39&amp;"",tbl_Finance[Cost Centre],"PRODUCTION")&gt;0,"PRODUCTION ","")&amp;IF(COUNTIFS(tbl_Finance[Job Number],C39&amp;"",tbl_Finance[Cost Centre],"VIDEO")&gt;0,"VIDEO ","")&amp;IF(COUNTIFS(tbl_Finance[Job Number],C39&amp;"",tbl_Finance[Cost Centre],"INTEGRATION")&gt;0,"INTEGRATION ","")&amp;IF(COUNTIFS(tbl_Finance[Job Number],C39&amp;"",tbl_Finance[Cost Centre],"CONSULTING")&gt;0,"CONSULTING ","")&amp;IF(COUNTIFS(tbl_Finance[Job Number],C39&amp;"",tbl_Finance[Cost Centre],"CTS")&gt;0,"CTS ",""))," ",", ")))</f>
        <v/>
      </c>
      <c r="L39" s="24" t="n"/>
      <c r="M39" s="25">
        <f>IF(L39="","",HYPERLINK(IF(LEFT(L39,4)="http",L39,set_QwilrBase&amp;L39),"Open quote"))</f>
        <v/>
      </c>
      <c r="N39" s="26" t="n"/>
      <c r="O39" s="26" t="n"/>
      <c r="P39" s="26" t="n"/>
      <c r="Q39" s="25">
        <f>IF(C39="","",IF(N(N39)+N(O39)+N(P39)=0,"Not split",IF(ROUND(N(N39)+N(O39)+N(P39),2)=ROUND(H39,2),"OK","MISMATCH")))</f>
        <v/>
      </c>
      <c r="R39" s="26" t="n"/>
      <c r="S39" s="26" t="n"/>
      <c r="T39" s="26" t="n"/>
      <c r="U39" s="27">
        <f>IF(C39="","",N(R39)+N(S39)+N(T39))</f>
        <v/>
      </c>
      <c r="V39" s="27">
        <f>IF(C39="","",H39-U39)</f>
        <v/>
      </c>
      <c r="W39" s="29">
        <f>IFERROR(V39/H39,"")</f>
        <v/>
      </c>
      <c r="X39" s="24" t="n"/>
    </row>
    <row r="40" ht="15" customHeight="1">
      <c r="A40" s="63">
        <f>IF(C40="","",IFERROR(IF(SUMPRODUCT(MAX((tbl_Finance[Job Number]=C40&amp;"")*(tbl_Finance[Xero Invoice No]&lt;&gt;"")*tbl_Finance[Date]))=0,"",SUMPRODUCT(MAX((tbl_Finance[Job Number]=C40&amp;"")*(tbl_Finance[Xero Invoice No]&lt;&gt;"")*tbl_Finance[Date]))),""))</f>
        <v/>
      </c>
      <c r="B40" s="25">
        <f>IF(C40="","",IF(COUNTIFS(tbl_Finance[Job Number],C40&amp;"",tbl_Finance[Xero Invoice No],"&lt;&gt;")=0,"",IFERROR(IF(COUNTIFS(tbl_Finance[Job Number],C40&amp;"",tbl_Finance[Xero Invoice No],LOOKUP(2,1/((tbl_Finance[Job Number]=C40&amp;"")*(tbl_Finance[Xero Invoice No]&lt;&gt;"")),tbl_Finance[Xero Invoice No]))=COUNTIFS(tbl_Finance[Job Number],C40&amp;"",tbl_Finance[Xero Invoice No],"&lt;&gt;"),LOOKUP(2,1/((tbl_Finance[Job Number]=C40&amp;"")*(tbl_Finance[Xero Invoice No]&lt;&gt;"")),tbl_Finance[Xero Invoice No]),LOOKUP(2,1/((tbl_Finance[Job Number]=C40&amp;"")*(tbl_Finance[Xero Invoice No]&lt;&gt;"")),tbl_Finance[Xero Invoice No])&amp;" +more"),"")))</f>
        <v/>
      </c>
      <c r="C40" s="24" t="n"/>
      <c r="D40" s="25">
        <f>IF(C40="","",IF(COUNTIF(lst_Jobs,C40&amp;"")&gt;0,"OK","CHECK"))</f>
        <v/>
      </c>
      <c r="E40" s="25">
        <f>IF(C40="","",IFERROR(INDEX(lst_JobName,MATCH(C40&amp;"",lst_Jobs,0)),""))</f>
        <v/>
      </c>
      <c r="F40" s="25">
        <f>IF(C40="","",IFERROR(INDEX(tbl_Finance[Client],MATCH(C40&amp;"",tbl_Finance[Job Number],0)),""))</f>
        <v/>
      </c>
      <c r="G40" s="28">
        <f>IF(C40="","",COUNTIFS(tbl_Finance[Job Number],C40&amp;"",tbl_Finance[Ex GST],"&lt;&gt;"))</f>
        <v/>
      </c>
      <c r="H40" s="27">
        <f>IF(C40="","",SUMIFS(tbl_Finance[Ex GST],tbl_Finance[Job Number],C40&amp;""))</f>
        <v/>
      </c>
      <c r="I40" s="27">
        <f>IF(C40="","",SUMIFS(tbl_Finance[Ex GST],tbl_Finance[Job Number],C40&amp;"",tbl_Finance[Xero Invoice No],"&lt;&gt;"))</f>
        <v/>
      </c>
      <c r="J40" s="27">
        <f>IF(C40="","",H40-I40)</f>
        <v/>
      </c>
      <c r="K40" s="25">
        <f>IF(C40="","",IF(G40=0,"not invoiced yet",SUBSTITUTE(TRIM(IF(COUNTIFS(tbl_Finance[Job Number],C40&amp;"",tbl_Finance[Cost Centre],"ONSITE")&gt;0,"ONSITE ","")&amp;IF(COUNTIFS(tbl_Finance[Job Number],C40&amp;"",tbl_Finance[Cost Centre],"PRODUCTION")&gt;0,"PRODUCTION ","")&amp;IF(COUNTIFS(tbl_Finance[Job Number],C40&amp;"",tbl_Finance[Cost Centre],"VIDEO")&gt;0,"VIDEO ","")&amp;IF(COUNTIFS(tbl_Finance[Job Number],C40&amp;"",tbl_Finance[Cost Centre],"INTEGRATION")&gt;0,"INTEGRATION ","")&amp;IF(COUNTIFS(tbl_Finance[Job Number],C40&amp;"",tbl_Finance[Cost Centre],"CONSULTING")&gt;0,"CONSULTING ","")&amp;IF(COUNTIFS(tbl_Finance[Job Number],C40&amp;"",tbl_Finance[Cost Centre],"CTS")&gt;0,"CTS ",""))," ",", ")))</f>
        <v/>
      </c>
      <c r="L40" s="24" t="n"/>
      <c r="M40" s="25">
        <f>IF(L40="","",HYPERLINK(IF(LEFT(L40,4)="http",L40,set_QwilrBase&amp;L40),"Open quote"))</f>
        <v/>
      </c>
      <c r="N40" s="26" t="n"/>
      <c r="O40" s="26" t="n"/>
      <c r="P40" s="26" t="n"/>
      <c r="Q40" s="25">
        <f>IF(C40="","",IF(N(N40)+N(O40)+N(P40)=0,"Not split",IF(ROUND(N(N40)+N(O40)+N(P40),2)=ROUND(H40,2),"OK","MISMATCH")))</f>
        <v/>
      </c>
      <c r="R40" s="26" t="n"/>
      <c r="S40" s="26" t="n"/>
      <c r="T40" s="26" t="n"/>
      <c r="U40" s="27">
        <f>IF(C40="","",N(R40)+N(S40)+N(T40))</f>
        <v/>
      </c>
      <c r="V40" s="27">
        <f>IF(C40="","",H40-U40)</f>
        <v/>
      </c>
      <c r="W40" s="29">
        <f>IFERROR(V40/H40,"")</f>
        <v/>
      </c>
      <c r="X40" s="24" t="n"/>
    </row>
    <row r="41" ht="15" customHeight="1">
      <c r="A41" s="63">
        <f>IF(C41="","",IFERROR(IF(SUMPRODUCT(MAX((tbl_Finance[Job Number]=C41&amp;"")*(tbl_Finance[Xero Invoice No]&lt;&gt;"")*tbl_Finance[Date]))=0,"",SUMPRODUCT(MAX((tbl_Finance[Job Number]=C41&amp;"")*(tbl_Finance[Xero Invoice No]&lt;&gt;"")*tbl_Finance[Date]))),""))</f>
        <v/>
      </c>
      <c r="B41" s="25">
        <f>IF(C41="","",IF(COUNTIFS(tbl_Finance[Job Number],C41&amp;"",tbl_Finance[Xero Invoice No],"&lt;&gt;")=0,"",IFERROR(IF(COUNTIFS(tbl_Finance[Job Number],C41&amp;"",tbl_Finance[Xero Invoice No],LOOKUP(2,1/((tbl_Finance[Job Number]=C41&amp;"")*(tbl_Finance[Xero Invoice No]&lt;&gt;"")),tbl_Finance[Xero Invoice No]))=COUNTIFS(tbl_Finance[Job Number],C41&amp;"",tbl_Finance[Xero Invoice No],"&lt;&gt;"),LOOKUP(2,1/((tbl_Finance[Job Number]=C41&amp;"")*(tbl_Finance[Xero Invoice No]&lt;&gt;"")),tbl_Finance[Xero Invoice No]),LOOKUP(2,1/((tbl_Finance[Job Number]=C41&amp;"")*(tbl_Finance[Xero Invoice No]&lt;&gt;"")),tbl_Finance[Xero Invoice No])&amp;" +more"),"")))</f>
        <v/>
      </c>
      <c r="C41" s="24" t="n"/>
      <c r="D41" s="25">
        <f>IF(C41="","",IF(COUNTIF(lst_Jobs,C41&amp;"")&gt;0,"OK","CHECK"))</f>
        <v/>
      </c>
      <c r="E41" s="25">
        <f>IF(C41="","",IFERROR(INDEX(lst_JobName,MATCH(C41&amp;"",lst_Jobs,0)),""))</f>
        <v/>
      </c>
      <c r="F41" s="25">
        <f>IF(C41="","",IFERROR(INDEX(tbl_Finance[Client],MATCH(C41&amp;"",tbl_Finance[Job Number],0)),""))</f>
        <v/>
      </c>
      <c r="G41" s="28">
        <f>IF(C41="","",COUNTIFS(tbl_Finance[Job Number],C41&amp;"",tbl_Finance[Ex GST],"&lt;&gt;"))</f>
        <v/>
      </c>
      <c r="H41" s="27">
        <f>IF(C41="","",SUMIFS(tbl_Finance[Ex GST],tbl_Finance[Job Number],C41&amp;""))</f>
        <v/>
      </c>
      <c r="I41" s="27">
        <f>IF(C41="","",SUMIFS(tbl_Finance[Ex GST],tbl_Finance[Job Number],C41&amp;"",tbl_Finance[Xero Invoice No],"&lt;&gt;"))</f>
        <v/>
      </c>
      <c r="J41" s="27">
        <f>IF(C41="","",H41-I41)</f>
        <v/>
      </c>
      <c r="K41" s="25">
        <f>IF(C41="","",IF(G41=0,"not invoiced yet",SUBSTITUTE(TRIM(IF(COUNTIFS(tbl_Finance[Job Number],C41&amp;"",tbl_Finance[Cost Centre],"ONSITE")&gt;0,"ONSITE ","")&amp;IF(COUNTIFS(tbl_Finance[Job Number],C41&amp;"",tbl_Finance[Cost Centre],"PRODUCTION")&gt;0,"PRODUCTION ","")&amp;IF(COUNTIFS(tbl_Finance[Job Number],C41&amp;"",tbl_Finance[Cost Centre],"VIDEO")&gt;0,"VIDEO ","")&amp;IF(COUNTIFS(tbl_Finance[Job Number],C41&amp;"",tbl_Finance[Cost Centre],"INTEGRATION")&gt;0,"INTEGRATION ","")&amp;IF(COUNTIFS(tbl_Finance[Job Number],C41&amp;"",tbl_Finance[Cost Centre],"CONSULTING")&gt;0,"CONSULTING ","")&amp;IF(COUNTIFS(tbl_Finance[Job Number],C41&amp;"",tbl_Finance[Cost Centre],"CTS")&gt;0,"CTS ",""))," ",", ")))</f>
        <v/>
      </c>
      <c r="L41" s="24" t="n"/>
      <c r="M41" s="25">
        <f>IF(L41="","",HYPERLINK(IF(LEFT(L41,4)="http",L41,set_QwilrBase&amp;L41),"Open quote"))</f>
        <v/>
      </c>
      <c r="N41" s="26" t="n"/>
      <c r="O41" s="26" t="n"/>
      <c r="P41" s="26" t="n"/>
      <c r="Q41" s="25">
        <f>IF(C41="","",IF(N(N41)+N(O41)+N(P41)=0,"Not split",IF(ROUND(N(N41)+N(O41)+N(P41),2)=ROUND(H41,2),"OK","MISMATCH")))</f>
        <v/>
      </c>
      <c r="R41" s="26" t="n"/>
      <c r="S41" s="26" t="n"/>
      <c r="T41" s="26" t="n"/>
      <c r="U41" s="27">
        <f>IF(C41="","",N(R41)+N(S41)+N(T41))</f>
        <v/>
      </c>
      <c r="V41" s="27">
        <f>IF(C41="","",H41-U41)</f>
        <v/>
      </c>
      <c r="W41" s="29">
        <f>IFERROR(V41/H41,"")</f>
        <v/>
      </c>
      <c r="X41" s="24" t="n"/>
    </row>
    <row r="42" ht="15" customHeight="1">
      <c r="A42" s="63">
        <f>IF(C42="","",IFERROR(IF(SUMPRODUCT(MAX((tbl_Finance[Job Number]=C42&amp;"")*(tbl_Finance[Xero Invoice No]&lt;&gt;"")*tbl_Finance[Date]))=0,"",SUMPRODUCT(MAX((tbl_Finance[Job Number]=C42&amp;"")*(tbl_Finance[Xero Invoice No]&lt;&gt;"")*tbl_Finance[Date]))),""))</f>
        <v/>
      </c>
      <c r="B42" s="25">
        <f>IF(C42="","",IF(COUNTIFS(tbl_Finance[Job Number],C42&amp;"",tbl_Finance[Xero Invoice No],"&lt;&gt;")=0,"",IFERROR(IF(COUNTIFS(tbl_Finance[Job Number],C42&amp;"",tbl_Finance[Xero Invoice No],LOOKUP(2,1/((tbl_Finance[Job Number]=C42&amp;"")*(tbl_Finance[Xero Invoice No]&lt;&gt;"")),tbl_Finance[Xero Invoice No]))=COUNTIFS(tbl_Finance[Job Number],C42&amp;"",tbl_Finance[Xero Invoice No],"&lt;&gt;"),LOOKUP(2,1/((tbl_Finance[Job Number]=C42&amp;"")*(tbl_Finance[Xero Invoice No]&lt;&gt;"")),tbl_Finance[Xero Invoice No]),LOOKUP(2,1/((tbl_Finance[Job Number]=C42&amp;"")*(tbl_Finance[Xero Invoice No]&lt;&gt;"")),tbl_Finance[Xero Invoice No])&amp;" +more"),"")))</f>
        <v/>
      </c>
      <c r="C42" s="24" t="n"/>
      <c r="D42" s="25">
        <f>IF(C42="","",IF(COUNTIF(lst_Jobs,C42&amp;"")&gt;0,"OK","CHECK"))</f>
        <v/>
      </c>
      <c r="E42" s="25">
        <f>IF(C42="","",IFERROR(INDEX(lst_JobName,MATCH(C42&amp;"",lst_Jobs,0)),""))</f>
        <v/>
      </c>
      <c r="F42" s="25">
        <f>IF(C42="","",IFERROR(INDEX(tbl_Finance[Client],MATCH(C42&amp;"",tbl_Finance[Job Number],0)),""))</f>
        <v/>
      </c>
      <c r="G42" s="28">
        <f>IF(C42="","",COUNTIFS(tbl_Finance[Job Number],C42&amp;"",tbl_Finance[Ex GST],"&lt;&gt;"))</f>
        <v/>
      </c>
      <c r="H42" s="27">
        <f>IF(C42="","",SUMIFS(tbl_Finance[Ex GST],tbl_Finance[Job Number],C42&amp;""))</f>
        <v/>
      </c>
      <c r="I42" s="27">
        <f>IF(C42="","",SUMIFS(tbl_Finance[Ex GST],tbl_Finance[Job Number],C42&amp;"",tbl_Finance[Xero Invoice No],"&lt;&gt;"))</f>
        <v/>
      </c>
      <c r="J42" s="27">
        <f>IF(C42="","",H42-I42)</f>
        <v/>
      </c>
      <c r="K42" s="25">
        <f>IF(C42="","",IF(G42=0,"not invoiced yet",SUBSTITUTE(TRIM(IF(COUNTIFS(tbl_Finance[Job Number],C42&amp;"",tbl_Finance[Cost Centre],"ONSITE")&gt;0,"ONSITE ","")&amp;IF(COUNTIFS(tbl_Finance[Job Number],C42&amp;"",tbl_Finance[Cost Centre],"PRODUCTION")&gt;0,"PRODUCTION ","")&amp;IF(COUNTIFS(tbl_Finance[Job Number],C42&amp;"",tbl_Finance[Cost Centre],"VIDEO")&gt;0,"VIDEO ","")&amp;IF(COUNTIFS(tbl_Finance[Job Number],C42&amp;"",tbl_Finance[Cost Centre],"INTEGRATION")&gt;0,"INTEGRATION ","")&amp;IF(COUNTIFS(tbl_Finance[Job Number],C42&amp;"",tbl_Finance[Cost Centre],"CONSULTING")&gt;0,"CONSULTING ","")&amp;IF(COUNTIFS(tbl_Finance[Job Number],C42&amp;"",tbl_Finance[Cost Centre],"CTS")&gt;0,"CTS ",""))," ",", ")))</f>
        <v/>
      </c>
      <c r="L42" s="24" t="n"/>
      <c r="M42" s="25">
        <f>IF(L42="","",HYPERLINK(IF(LEFT(L42,4)="http",L42,set_QwilrBase&amp;L42),"Open quote"))</f>
        <v/>
      </c>
      <c r="N42" s="26" t="n"/>
      <c r="O42" s="26" t="n"/>
      <c r="P42" s="26" t="n"/>
      <c r="Q42" s="25">
        <f>IF(C42="","",IF(N(N42)+N(O42)+N(P42)=0,"Not split",IF(ROUND(N(N42)+N(O42)+N(P42),2)=ROUND(H42,2),"OK","MISMATCH")))</f>
        <v/>
      </c>
      <c r="R42" s="26" t="n"/>
      <c r="S42" s="26" t="n"/>
      <c r="T42" s="26" t="n"/>
      <c r="U42" s="27">
        <f>IF(C42="","",N(R42)+N(S42)+N(T42))</f>
        <v/>
      </c>
      <c r="V42" s="27">
        <f>IF(C42="","",H42-U42)</f>
        <v/>
      </c>
      <c r="W42" s="29">
        <f>IFERROR(V42/H42,"")</f>
        <v/>
      </c>
      <c r="X42" s="24" t="n"/>
    </row>
    <row r="43" ht="15" customHeight="1">
      <c r="A43" s="63">
        <f>IF(C43="","",IFERROR(IF(SUMPRODUCT(MAX((tbl_Finance[Job Number]=C43&amp;"")*(tbl_Finance[Xero Invoice No]&lt;&gt;"")*tbl_Finance[Date]))=0,"",SUMPRODUCT(MAX((tbl_Finance[Job Number]=C43&amp;"")*(tbl_Finance[Xero Invoice No]&lt;&gt;"")*tbl_Finance[Date]))),""))</f>
        <v/>
      </c>
      <c r="B43" s="25">
        <f>IF(C43="","",IF(COUNTIFS(tbl_Finance[Job Number],C43&amp;"",tbl_Finance[Xero Invoice No],"&lt;&gt;")=0,"",IFERROR(IF(COUNTIFS(tbl_Finance[Job Number],C43&amp;"",tbl_Finance[Xero Invoice No],LOOKUP(2,1/((tbl_Finance[Job Number]=C43&amp;"")*(tbl_Finance[Xero Invoice No]&lt;&gt;"")),tbl_Finance[Xero Invoice No]))=COUNTIFS(tbl_Finance[Job Number],C43&amp;"",tbl_Finance[Xero Invoice No],"&lt;&gt;"),LOOKUP(2,1/((tbl_Finance[Job Number]=C43&amp;"")*(tbl_Finance[Xero Invoice No]&lt;&gt;"")),tbl_Finance[Xero Invoice No]),LOOKUP(2,1/((tbl_Finance[Job Number]=C43&amp;"")*(tbl_Finance[Xero Invoice No]&lt;&gt;"")),tbl_Finance[Xero Invoice No])&amp;" +more"),"")))</f>
        <v/>
      </c>
      <c r="C43" s="24" t="n"/>
      <c r="D43" s="25">
        <f>IF(C43="","",IF(COUNTIF(lst_Jobs,C43&amp;"")&gt;0,"OK","CHECK"))</f>
        <v/>
      </c>
      <c r="E43" s="25">
        <f>IF(C43="","",IFERROR(INDEX(lst_JobName,MATCH(C43&amp;"",lst_Jobs,0)),""))</f>
        <v/>
      </c>
      <c r="F43" s="25">
        <f>IF(C43="","",IFERROR(INDEX(tbl_Finance[Client],MATCH(C43&amp;"",tbl_Finance[Job Number],0)),""))</f>
        <v/>
      </c>
      <c r="G43" s="28">
        <f>IF(C43="","",COUNTIFS(tbl_Finance[Job Number],C43&amp;"",tbl_Finance[Ex GST],"&lt;&gt;"))</f>
        <v/>
      </c>
      <c r="H43" s="27">
        <f>IF(C43="","",SUMIFS(tbl_Finance[Ex GST],tbl_Finance[Job Number],C43&amp;""))</f>
        <v/>
      </c>
      <c r="I43" s="27">
        <f>IF(C43="","",SUMIFS(tbl_Finance[Ex GST],tbl_Finance[Job Number],C43&amp;"",tbl_Finance[Xero Invoice No],"&lt;&gt;"))</f>
        <v/>
      </c>
      <c r="J43" s="27">
        <f>IF(C43="","",H43-I43)</f>
        <v/>
      </c>
      <c r="K43" s="25">
        <f>IF(C43="","",IF(G43=0,"not invoiced yet",SUBSTITUTE(TRIM(IF(COUNTIFS(tbl_Finance[Job Number],C43&amp;"",tbl_Finance[Cost Centre],"ONSITE")&gt;0,"ONSITE ","")&amp;IF(COUNTIFS(tbl_Finance[Job Number],C43&amp;"",tbl_Finance[Cost Centre],"PRODUCTION")&gt;0,"PRODUCTION ","")&amp;IF(COUNTIFS(tbl_Finance[Job Number],C43&amp;"",tbl_Finance[Cost Centre],"VIDEO")&gt;0,"VIDEO ","")&amp;IF(COUNTIFS(tbl_Finance[Job Number],C43&amp;"",tbl_Finance[Cost Centre],"INTEGRATION")&gt;0,"INTEGRATION ","")&amp;IF(COUNTIFS(tbl_Finance[Job Number],C43&amp;"",tbl_Finance[Cost Centre],"CONSULTING")&gt;0,"CONSULTING ","")&amp;IF(COUNTIFS(tbl_Finance[Job Number],C43&amp;"",tbl_Finance[Cost Centre],"CTS")&gt;0,"CTS ",""))," ",", ")))</f>
        <v/>
      </c>
      <c r="L43" s="24" t="n"/>
      <c r="M43" s="25">
        <f>IF(L43="","",HYPERLINK(IF(LEFT(L43,4)="http",L43,set_QwilrBase&amp;L43),"Open quote"))</f>
        <v/>
      </c>
      <c r="N43" s="26" t="n"/>
      <c r="O43" s="26" t="n"/>
      <c r="P43" s="26" t="n"/>
      <c r="Q43" s="25">
        <f>IF(C43="","",IF(N(N43)+N(O43)+N(P43)=0,"Not split",IF(ROUND(N(N43)+N(O43)+N(P43),2)=ROUND(H43,2),"OK","MISMATCH")))</f>
        <v/>
      </c>
      <c r="R43" s="26" t="n"/>
      <c r="S43" s="26" t="n"/>
      <c r="T43" s="26" t="n"/>
      <c r="U43" s="27">
        <f>IF(C43="","",N(R43)+N(S43)+N(T43))</f>
        <v/>
      </c>
      <c r="V43" s="27">
        <f>IF(C43="","",H43-U43)</f>
        <v/>
      </c>
      <c r="W43" s="29">
        <f>IFERROR(V43/H43,"")</f>
        <v/>
      </c>
      <c r="X43" s="24" t="n"/>
    </row>
    <row r="44" ht="15" customHeight="1">
      <c r="A44" s="63">
        <f>IF(C44="","",IFERROR(IF(SUMPRODUCT(MAX((tbl_Finance[Job Number]=C44&amp;"")*(tbl_Finance[Xero Invoice No]&lt;&gt;"")*tbl_Finance[Date]))=0,"",SUMPRODUCT(MAX((tbl_Finance[Job Number]=C44&amp;"")*(tbl_Finance[Xero Invoice No]&lt;&gt;"")*tbl_Finance[Date]))),""))</f>
        <v/>
      </c>
      <c r="B44" s="25">
        <f>IF(C44="","",IF(COUNTIFS(tbl_Finance[Job Number],C44&amp;"",tbl_Finance[Xero Invoice No],"&lt;&gt;")=0,"",IFERROR(IF(COUNTIFS(tbl_Finance[Job Number],C44&amp;"",tbl_Finance[Xero Invoice No],LOOKUP(2,1/((tbl_Finance[Job Number]=C44&amp;"")*(tbl_Finance[Xero Invoice No]&lt;&gt;"")),tbl_Finance[Xero Invoice No]))=COUNTIFS(tbl_Finance[Job Number],C44&amp;"",tbl_Finance[Xero Invoice No],"&lt;&gt;"),LOOKUP(2,1/((tbl_Finance[Job Number]=C44&amp;"")*(tbl_Finance[Xero Invoice No]&lt;&gt;"")),tbl_Finance[Xero Invoice No]),LOOKUP(2,1/((tbl_Finance[Job Number]=C44&amp;"")*(tbl_Finance[Xero Invoice No]&lt;&gt;"")),tbl_Finance[Xero Invoice No])&amp;" +more"),"")))</f>
        <v/>
      </c>
      <c r="C44" s="24" t="n"/>
      <c r="D44" s="25">
        <f>IF(C44="","",IF(COUNTIF(lst_Jobs,C44&amp;"")&gt;0,"OK","CHECK"))</f>
        <v/>
      </c>
      <c r="E44" s="25">
        <f>IF(C44="","",IFERROR(INDEX(lst_JobName,MATCH(C44&amp;"",lst_Jobs,0)),""))</f>
        <v/>
      </c>
      <c r="F44" s="25">
        <f>IF(C44="","",IFERROR(INDEX(tbl_Finance[Client],MATCH(C44&amp;"",tbl_Finance[Job Number],0)),""))</f>
        <v/>
      </c>
      <c r="G44" s="28">
        <f>IF(C44="","",COUNTIFS(tbl_Finance[Job Number],C44&amp;"",tbl_Finance[Ex GST],"&lt;&gt;"))</f>
        <v/>
      </c>
      <c r="H44" s="27">
        <f>IF(C44="","",SUMIFS(tbl_Finance[Ex GST],tbl_Finance[Job Number],C44&amp;""))</f>
        <v/>
      </c>
      <c r="I44" s="27">
        <f>IF(C44="","",SUMIFS(tbl_Finance[Ex GST],tbl_Finance[Job Number],C44&amp;"",tbl_Finance[Xero Invoice No],"&lt;&gt;"))</f>
        <v/>
      </c>
      <c r="J44" s="27">
        <f>IF(C44="","",H44-I44)</f>
        <v/>
      </c>
      <c r="K44" s="25">
        <f>IF(C44="","",IF(G44=0,"not invoiced yet",SUBSTITUTE(TRIM(IF(COUNTIFS(tbl_Finance[Job Number],C44&amp;"",tbl_Finance[Cost Centre],"ONSITE")&gt;0,"ONSITE ","")&amp;IF(COUNTIFS(tbl_Finance[Job Number],C44&amp;"",tbl_Finance[Cost Centre],"PRODUCTION")&gt;0,"PRODUCTION ","")&amp;IF(COUNTIFS(tbl_Finance[Job Number],C44&amp;"",tbl_Finance[Cost Centre],"VIDEO")&gt;0,"VIDEO ","")&amp;IF(COUNTIFS(tbl_Finance[Job Number],C44&amp;"",tbl_Finance[Cost Centre],"INTEGRATION")&gt;0,"INTEGRATION ","")&amp;IF(COUNTIFS(tbl_Finance[Job Number],C44&amp;"",tbl_Finance[Cost Centre],"CONSULTING")&gt;0,"CONSULTING ","")&amp;IF(COUNTIFS(tbl_Finance[Job Number],C44&amp;"",tbl_Finance[Cost Centre],"CTS")&gt;0,"CTS ",""))," ",", ")))</f>
        <v/>
      </c>
      <c r="L44" s="24" t="n"/>
      <c r="M44" s="25">
        <f>IF(L44="","",HYPERLINK(IF(LEFT(L44,4)="http",L44,set_QwilrBase&amp;L44),"Open quote"))</f>
        <v/>
      </c>
      <c r="N44" s="26" t="n"/>
      <c r="O44" s="26" t="n"/>
      <c r="P44" s="26" t="n"/>
      <c r="Q44" s="25">
        <f>IF(C44="","",IF(N(N44)+N(O44)+N(P44)=0,"Not split",IF(ROUND(N(N44)+N(O44)+N(P44),2)=ROUND(H44,2),"OK","MISMATCH")))</f>
        <v/>
      </c>
      <c r="R44" s="26" t="n"/>
      <c r="S44" s="26" t="n"/>
      <c r="T44" s="26" t="n"/>
      <c r="U44" s="27">
        <f>IF(C44="","",N(R44)+N(S44)+N(T44))</f>
        <v/>
      </c>
      <c r="V44" s="27">
        <f>IF(C44="","",H44-U44)</f>
        <v/>
      </c>
      <c r="W44" s="29">
        <f>IFERROR(V44/H44,"")</f>
        <v/>
      </c>
      <c r="X44" s="24" t="n"/>
    </row>
    <row r="45" ht="15" customHeight="1">
      <c r="A45" s="63">
        <f>IF(C45="","",IFERROR(IF(SUMPRODUCT(MAX((tbl_Finance[Job Number]=C45&amp;"")*(tbl_Finance[Xero Invoice No]&lt;&gt;"")*tbl_Finance[Date]))=0,"",SUMPRODUCT(MAX((tbl_Finance[Job Number]=C45&amp;"")*(tbl_Finance[Xero Invoice No]&lt;&gt;"")*tbl_Finance[Date]))),""))</f>
        <v/>
      </c>
      <c r="B45" s="25">
        <f>IF(C45="","",IF(COUNTIFS(tbl_Finance[Job Number],C45&amp;"",tbl_Finance[Xero Invoice No],"&lt;&gt;")=0,"",IFERROR(IF(COUNTIFS(tbl_Finance[Job Number],C45&amp;"",tbl_Finance[Xero Invoice No],LOOKUP(2,1/((tbl_Finance[Job Number]=C45&amp;"")*(tbl_Finance[Xero Invoice No]&lt;&gt;"")),tbl_Finance[Xero Invoice No]))=COUNTIFS(tbl_Finance[Job Number],C45&amp;"",tbl_Finance[Xero Invoice No],"&lt;&gt;"),LOOKUP(2,1/((tbl_Finance[Job Number]=C45&amp;"")*(tbl_Finance[Xero Invoice No]&lt;&gt;"")),tbl_Finance[Xero Invoice No]),LOOKUP(2,1/((tbl_Finance[Job Number]=C45&amp;"")*(tbl_Finance[Xero Invoice No]&lt;&gt;"")),tbl_Finance[Xero Invoice No])&amp;" +more"),"")))</f>
        <v/>
      </c>
      <c r="C45" s="24" t="n"/>
      <c r="D45" s="25">
        <f>IF(C45="","",IF(COUNTIF(lst_Jobs,C45&amp;"")&gt;0,"OK","CHECK"))</f>
        <v/>
      </c>
      <c r="E45" s="25">
        <f>IF(C45="","",IFERROR(INDEX(lst_JobName,MATCH(C45&amp;"",lst_Jobs,0)),""))</f>
        <v/>
      </c>
      <c r="F45" s="25">
        <f>IF(C45="","",IFERROR(INDEX(tbl_Finance[Client],MATCH(C45&amp;"",tbl_Finance[Job Number],0)),""))</f>
        <v/>
      </c>
      <c r="G45" s="28">
        <f>IF(C45="","",COUNTIFS(tbl_Finance[Job Number],C45&amp;"",tbl_Finance[Ex GST],"&lt;&gt;"))</f>
        <v/>
      </c>
      <c r="H45" s="27">
        <f>IF(C45="","",SUMIFS(tbl_Finance[Ex GST],tbl_Finance[Job Number],C45&amp;""))</f>
        <v/>
      </c>
      <c r="I45" s="27">
        <f>IF(C45="","",SUMIFS(tbl_Finance[Ex GST],tbl_Finance[Job Number],C45&amp;"",tbl_Finance[Xero Invoice No],"&lt;&gt;"))</f>
        <v/>
      </c>
      <c r="J45" s="27">
        <f>IF(C45="","",H45-I45)</f>
        <v/>
      </c>
      <c r="K45" s="25">
        <f>IF(C45="","",IF(G45=0,"not invoiced yet",SUBSTITUTE(TRIM(IF(COUNTIFS(tbl_Finance[Job Number],C45&amp;"",tbl_Finance[Cost Centre],"ONSITE")&gt;0,"ONSITE ","")&amp;IF(COUNTIFS(tbl_Finance[Job Number],C45&amp;"",tbl_Finance[Cost Centre],"PRODUCTION")&gt;0,"PRODUCTION ","")&amp;IF(COUNTIFS(tbl_Finance[Job Number],C45&amp;"",tbl_Finance[Cost Centre],"VIDEO")&gt;0,"VIDEO ","")&amp;IF(COUNTIFS(tbl_Finance[Job Number],C45&amp;"",tbl_Finance[Cost Centre],"INTEGRATION")&gt;0,"INTEGRATION ","")&amp;IF(COUNTIFS(tbl_Finance[Job Number],C45&amp;"",tbl_Finance[Cost Centre],"CONSULTING")&gt;0,"CONSULTING ","")&amp;IF(COUNTIFS(tbl_Finance[Job Number],C45&amp;"",tbl_Finance[Cost Centre],"CTS")&gt;0,"CTS ",""))," ",", ")))</f>
        <v/>
      </c>
      <c r="L45" s="24" t="n"/>
      <c r="M45" s="25">
        <f>IF(L45="","",HYPERLINK(IF(LEFT(L45,4)="http",L45,set_QwilrBase&amp;L45),"Open quote"))</f>
        <v/>
      </c>
      <c r="N45" s="26" t="n"/>
      <c r="O45" s="26" t="n"/>
      <c r="P45" s="26" t="n"/>
      <c r="Q45" s="25">
        <f>IF(C45="","",IF(N(N45)+N(O45)+N(P45)=0,"Not split",IF(ROUND(N(N45)+N(O45)+N(P45),2)=ROUND(H45,2),"OK","MISMATCH")))</f>
        <v/>
      </c>
      <c r="R45" s="26" t="n"/>
      <c r="S45" s="26" t="n"/>
      <c r="T45" s="26" t="n"/>
      <c r="U45" s="27">
        <f>IF(C45="","",N(R45)+N(S45)+N(T45))</f>
        <v/>
      </c>
      <c r="V45" s="27">
        <f>IF(C45="","",H45-U45)</f>
        <v/>
      </c>
      <c r="W45" s="29">
        <f>IFERROR(V45/H45,"")</f>
        <v/>
      </c>
      <c r="X45" s="24" t="n"/>
    </row>
    <row r="46" ht="15" customHeight="1">
      <c r="A46" s="63">
        <f>IF(C46="","",IFERROR(IF(SUMPRODUCT(MAX((tbl_Finance[Job Number]=C46&amp;"")*(tbl_Finance[Xero Invoice No]&lt;&gt;"")*tbl_Finance[Date]))=0,"",SUMPRODUCT(MAX((tbl_Finance[Job Number]=C46&amp;"")*(tbl_Finance[Xero Invoice No]&lt;&gt;"")*tbl_Finance[Date]))),""))</f>
        <v/>
      </c>
      <c r="B46" s="25">
        <f>IF(C46="","",IF(COUNTIFS(tbl_Finance[Job Number],C46&amp;"",tbl_Finance[Xero Invoice No],"&lt;&gt;")=0,"",IFERROR(IF(COUNTIFS(tbl_Finance[Job Number],C46&amp;"",tbl_Finance[Xero Invoice No],LOOKUP(2,1/((tbl_Finance[Job Number]=C46&amp;"")*(tbl_Finance[Xero Invoice No]&lt;&gt;"")),tbl_Finance[Xero Invoice No]))=COUNTIFS(tbl_Finance[Job Number],C46&amp;"",tbl_Finance[Xero Invoice No],"&lt;&gt;"),LOOKUP(2,1/((tbl_Finance[Job Number]=C46&amp;"")*(tbl_Finance[Xero Invoice No]&lt;&gt;"")),tbl_Finance[Xero Invoice No]),LOOKUP(2,1/((tbl_Finance[Job Number]=C46&amp;"")*(tbl_Finance[Xero Invoice No]&lt;&gt;"")),tbl_Finance[Xero Invoice No])&amp;" +more"),"")))</f>
        <v/>
      </c>
      <c r="C46" s="24" t="n"/>
      <c r="D46" s="25">
        <f>IF(C46="","",IF(COUNTIF(lst_Jobs,C46&amp;"")&gt;0,"OK","CHECK"))</f>
        <v/>
      </c>
      <c r="E46" s="25">
        <f>IF(C46="","",IFERROR(INDEX(lst_JobName,MATCH(C46&amp;"",lst_Jobs,0)),""))</f>
        <v/>
      </c>
      <c r="F46" s="25">
        <f>IF(C46="","",IFERROR(INDEX(tbl_Finance[Client],MATCH(C46&amp;"",tbl_Finance[Job Number],0)),""))</f>
        <v/>
      </c>
      <c r="G46" s="28">
        <f>IF(C46="","",COUNTIFS(tbl_Finance[Job Number],C46&amp;"",tbl_Finance[Ex GST],"&lt;&gt;"))</f>
        <v/>
      </c>
      <c r="H46" s="27">
        <f>IF(C46="","",SUMIFS(tbl_Finance[Ex GST],tbl_Finance[Job Number],C46&amp;""))</f>
        <v/>
      </c>
      <c r="I46" s="27">
        <f>IF(C46="","",SUMIFS(tbl_Finance[Ex GST],tbl_Finance[Job Number],C46&amp;"",tbl_Finance[Xero Invoice No],"&lt;&gt;"))</f>
        <v/>
      </c>
      <c r="J46" s="27">
        <f>IF(C46="","",H46-I46)</f>
        <v/>
      </c>
      <c r="K46" s="25">
        <f>IF(C46="","",IF(G46=0,"not invoiced yet",SUBSTITUTE(TRIM(IF(COUNTIFS(tbl_Finance[Job Number],C46&amp;"",tbl_Finance[Cost Centre],"ONSITE")&gt;0,"ONSITE ","")&amp;IF(COUNTIFS(tbl_Finance[Job Number],C46&amp;"",tbl_Finance[Cost Centre],"PRODUCTION")&gt;0,"PRODUCTION ","")&amp;IF(COUNTIFS(tbl_Finance[Job Number],C46&amp;"",tbl_Finance[Cost Centre],"VIDEO")&gt;0,"VIDEO ","")&amp;IF(COUNTIFS(tbl_Finance[Job Number],C46&amp;"",tbl_Finance[Cost Centre],"INTEGRATION")&gt;0,"INTEGRATION ","")&amp;IF(COUNTIFS(tbl_Finance[Job Number],C46&amp;"",tbl_Finance[Cost Centre],"CONSULTING")&gt;0,"CONSULTING ","")&amp;IF(COUNTIFS(tbl_Finance[Job Number],C46&amp;"",tbl_Finance[Cost Centre],"CTS")&gt;0,"CTS ",""))," ",", ")))</f>
        <v/>
      </c>
      <c r="L46" s="24" t="n"/>
      <c r="M46" s="25">
        <f>IF(L46="","",HYPERLINK(IF(LEFT(L46,4)="http",L46,set_QwilrBase&amp;L46),"Open quote"))</f>
        <v/>
      </c>
      <c r="N46" s="26" t="n"/>
      <c r="O46" s="26" t="n"/>
      <c r="P46" s="26" t="n"/>
      <c r="Q46" s="25">
        <f>IF(C46="","",IF(N(N46)+N(O46)+N(P46)=0,"Not split",IF(ROUND(N(N46)+N(O46)+N(P46),2)=ROUND(H46,2),"OK","MISMATCH")))</f>
        <v/>
      </c>
      <c r="R46" s="26" t="n"/>
      <c r="S46" s="26" t="n"/>
      <c r="T46" s="26" t="n"/>
      <c r="U46" s="27">
        <f>IF(C46="","",N(R46)+N(S46)+N(T46))</f>
        <v/>
      </c>
      <c r="V46" s="27">
        <f>IF(C46="","",H46-U46)</f>
        <v/>
      </c>
      <c r="W46" s="29">
        <f>IFERROR(V46/H46,"")</f>
        <v/>
      </c>
      <c r="X46" s="24" t="n"/>
    </row>
    <row r="47" ht="15" customHeight="1">
      <c r="A47" s="63">
        <f>IF(C47="","",IFERROR(IF(SUMPRODUCT(MAX((tbl_Finance[Job Number]=C47&amp;"")*(tbl_Finance[Xero Invoice No]&lt;&gt;"")*tbl_Finance[Date]))=0,"",SUMPRODUCT(MAX((tbl_Finance[Job Number]=C47&amp;"")*(tbl_Finance[Xero Invoice No]&lt;&gt;"")*tbl_Finance[Date]))),""))</f>
        <v/>
      </c>
      <c r="B47" s="25">
        <f>IF(C47="","",IF(COUNTIFS(tbl_Finance[Job Number],C47&amp;"",tbl_Finance[Xero Invoice No],"&lt;&gt;")=0,"",IFERROR(IF(COUNTIFS(tbl_Finance[Job Number],C47&amp;"",tbl_Finance[Xero Invoice No],LOOKUP(2,1/((tbl_Finance[Job Number]=C47&amp;"")*(tbl_Finance[Xero Invoice No]&lt;&gt;"")),tbl_Finance[Xero Invoice No]))=COUNTIFS(tbl_Finance[Job Number],C47&amp;"",tbl_Finance[Xero Invoice No],"&lt;&gt;"),LOOKUP(2,1/((tbl_Finance[Job Number]=C47&amp;"")*(tbl_Finance[Xero Invoice No]&lt;&gt;"")),tbl_Finance[Xero Invoice No]),LOOKUP(2,1/((tbl_Finance[Job Number]=C47&amp;"")*(tbl_Finance[Xero Invoice No]&lt;&gt;"")),tbl_Finance[Xero Invoice No])&amp;" +more"),"")))</f>
        <v/>
      </c>
      <c r="C47" s="24" t="n"/>
      <c r="D47" s="25">
        <f>IF(C47="","",IF(COUNTIF(lst_Jobs,C47&amp;"")&gt;0,"OK","CHECK"))</f>
        <v/>
      </c>
      <c r="E47" s="25">
        <f>IF(C47="","",IFERROR(INDEX(lst_JobName,MATCH(C47&amp;"",lst_Jobs,0)),""))</f>
        <v/>
      </c>
      <c r="F47" s="25">
        <f>IF(C47="","",IFERROR(INDEX(tbl_Finance[Client],MATCH(C47&amp;"",tbl_Finance[Job Number],0)),""))</f>
        <v/>
      </c>
      <c r="G47" s="28">
        <f>IF(C47="","",COUNTIFS(tbl_Finance[Job Number],C47&amp;"",tbl_Finance[Ex GST],"&lt;&gt;"))</f>
        <v/>
      </c>
      <c r="H47" s="27">
        <f>IF(C47="","",SUMIFS(tbl_Finance[Ex GST],tbl_Finance[Job Number],C47&amp;""))</f>
        <v/>
      </c>
      <c r="I47" s="27">
        <f>IF(C47="","",SUMIFS(tbl_Finance[Ex GST],tbl_Finance[Job Number],C47&amp;"",tbl_Finance[Xero Invoice No],"&lt;&gt;"))</f>
        <v/>
      </c>
      <c r="J47" s="27">
        <f>IF(C47="","",H47-I47)</f>
        <v/>
      </c>
      <c r="K47" s="25">
        <f>IF(C47="","",IF(G47=0,"not invoiced yet",SUBSTITUTE(TRIM(IF(COUNTIFS(tbl_Finance[Job Number],C47&amp;"",tbl_Finance[Cost Centre],"ONSITE")&gt;0,"ONSITE ","")&amp;IF(COUNTIFS(tbl_Finance[Job Number],C47&amp;"",tbl_Finance[Cost Centre],"PRODUCTION")&gt;0,"PRODUCTION ","")&amp;IF(COUNTIFS(tbl_Finance[Job Number],C47&amp;"",tbl_Finance[Cost Centre],"VIDEO")&gt;0,"VIDEO ","")&amp;IF(COUNTIFS(tbl_Finance[Job Number],C47&amp;"",tbl_Finance[Cost Centre],"INTEGRATION")&gt;0,"INTEGRATION ","")&amp;IF(COUNTIFS(tbl_Finance[Job Number],C47&amp;"",tbl_Finance[Cost Centre],"CONSULTING")&gt;0,"CONSULTING ","")&amp;IF(COUNTIFS(tbl_Finance[Job Number],C47&amp;"",tbl_Finance[Cost Centre],"CTS")&gt;0,"CTS ",""))," ",", ")))</f>
        <v/>
      </c>
      <c r="L47" s="24" t="n"/>
      <c r="M47" s="25">
        <f>IF(L47="","",HYPERLINK(IF(LEFT(L47,4)="http",L47,set_QwilrBase&amp;L47),"Open quote"))</f>
        <v/>
      </c>
      <c r="N47" s="26" t="n"/>
      <c r="O47" s="26" t="n"/>
      <c r="P47" s="26" t="n"/>
      <c r="Q47" s="25">
        <f>IF(C47="","",IF(N(N47)+N(O47)+N(P47)=0,"Not split",IF(ROUND(N(N47)+N(O47)+N(P47),2)=ROUND(H47,2),"OK","MISMATCH")))</f>
        <v/>
      </c>
      <c r="R47" s="26" t="n"/>
      <c r="S47" s="26" t="n"/>
      <c r="T47" s="26" t="n"/>
      <c r="U47" s="27">
        <f>IF(C47="","",N(R47)+N(S47)+N(T47))</f>
        <v/>
      </c>
      <c r="V47" s="27">
        <f>IF(C47="","",H47-U47)</f>
        <v/>
      </c>
      <c r="W47" s="29">
        <f>IFERROR(V47/H47,"")</f>
        <v/>
      </c>
      <c r="X47" s="24" t="n"/>
    </row>
    <row r="48" ht="15" customHeight="1">
      <c r="A48" s="63">
        <f>IF(C48="","",IFERROR(IF(SUMPRODUCT(MAX((tbl_Finance[Job Number]=C48&amp;"")*(tbl_Finance[Xero Invoice No]&lt;&gt;"")*tbl_Finance[Date]))=0,"",SUMPRODUCT(MAX((tbl_Finance[Job Number]=C48&amp;"")*(tbl_Finance[Xero Invoice No]&lt;&gt;"")*tbl_Finance[Date]))),""))</f>
        <v/>
      </c>
      <c r="B48" s="25">
        <f>IF(C48="","",IF(COUNTIFS(tbl_Finance[Job Number],C48&amp;"",tbl_Finance[Xero Invoice No],"&lt;&gt;")=0,"",IFERROR(IF(COUNTIFS(tbl_Finance[Job Number],C48&amp;"",tbl_Finance[Xero Invoice No],LOOKUP(2,1/((tbl_Finance[Job Number]=C48&amp;"")*(tbl_Finance[Xero Invoice No]&lt;&gt;"")),tbl_Finance[Xero Invoice No]))=COUNTIFS(tbl_Finance[Job Number],C48&amp;"",tbl_Finance[Xero Invoice No],"&lt;&gt;"),LOOKUP(2,1/((tbl_Finance[Job Number]=C48&amp;"")*(tbl_Finance[Xero Invoice No]&lt;&gt;"")),tbl_Finance[Xero Invoice No]),LOOKUP(2,1/((tbl_Finance[Job Number]=C48&amp;"")*(tbl_Finance[Xero Invoice No]&lt;&gt;"")),tbl_Finance[Xero Invoice No])&amp;" +more"),"")))</f>
        <v/>
      </c>
      <c r="C48" s="24" t="n"/>
      <c r="D48" s="25">
        <f>IF(C48="","",IF(COUNTIF(lst_Jobs,C48&amp;"")&gt;0,"OK","CHECK"))</f>
        <v/>
      </c>
      <c r="E48" s="25">
        <f>IF(C48="","",IFERROR(INDEX(lst_JobName,MATCH(C48&amp;"",lst_Jobs,0)),""))</f>
        <v/>
      </c>
      <c r="F48" s="25">
        <f>IF(C48="","",IFERROR(INDEX(tbl_Finance[Client],MATCH(C48&amp;"",tbl_Finance[Job Number],0)),""))</f>
        <v/>
      </c>
      <c r="G48" s="28">
        <f>IF(C48="","",COUNTIFS(tbl_Finance[Job Number],C48&amp;"",tbl_Finance[Ex GST],"&lt;&gt;"))</f>
        <v/>
      </c>
      <c r="H48" s="27">
        <f>IF(C48="","",SUMIFS(tbl_Finance[Ex GST],tbl_Finance[Job Number],C48&amp;""))</f>
        <v/>
      </c>
      <c r="I48" s="27">
        <f>IF(C48="","",SUMIFS(tbl_Finance[Ex GST],tbl_Finance[Job Number],C48&amp;"",tbl_Finance[Xero Invoice No],"&lt;&gt;"))</f>
        <v/>
      </c>
      <c r="J48" s="27">
        <f>IF(C48="","",H48-I48)</f>
        <v/>
      </c>
      <c r="K48" s="25">
        <f>IF(C48="","",IF(G48=0,"not invoiced yet",SUBSTITUTE(TRIM(IF(COUNTIFS(tbl_Finance[Job Number],C48&amp;"",tbl_Finance[Cost Centre],"ONSITE")&gt;0,"ONSITE ","")&amp;IF(COUNTIFS(tbl_Finance[Job Number],C48&amp;"",tbl_Finance[Cost Centre],"PRODUCTION")&gt;0,"PRODUCTION ","")&amp;IF(COUNTIFS(tbl_Finance[Job Number],C48&amp;"",tbl_Finance[Cost Centre],"VIDEO")&gt;0,"VIDEO ","")&amp;IF(COUNTIFS(tbl_Finance[Job Number],C48&amp;"",tbl_Finance[Cost Centre],"INTEGRATION")&gt;0,"INTEGRATION ","")&amp;IF(COUNTIFS(tbl_Finance[Job Number],C48&amp;"",tbl_Finance[Cost Centre],"CONSULTING")&gt;0,"CONSULTING ","")&amp;IF(COUNTIFS(tbl_Finance[Job Number],C48&amp;"",tbl_Finance[Cost Centre],"CTS")&gt;0,"CTS ",""))," ",", ")))</f>
        <v/>
      </c>
      <c r="L48" s="24" t="n"/>
      <c r="M48" s="25">
        <f>IF(L48="","",HYPERLINK(IF(LEFT(L48,4)="http",L48,set_QwilrBase&amp;L48),"Open quote"))</f>
        <v/>
      </c>
      <c r="N48" s="26" t="n"/>
      <c r="O48" s="26" t="n"/>
      <c r="P48" s="26" t="n"/>
      <c r="Q48" s="25">
        <f>IF(C48="","",IF(N(N48)+N(O48)+N(P48)=0,"Not split",IF(ROUND(N(N48)+N(O48)+N(P48),2)=ROUND(H48,2),"OK","MISMATCH")))</f>
        <v/>
      </c>
      <c r="R48" s="26" t="n"/>
      <c r="S48" s="26" t="n"/>
      <c r="T48" s="26" t="n"/>
      <c r="U48" s="27">
        <f>IF(C48="","",N(R48)+N(S48)+N(T48))</f>
        <v/>
      </c>
      <c r="V48" s="27">
        <f>IF(C48="","",H48-U48)</f>
        <v/>
      </c>
      <c r="W48" s="29">
        <f>IFERROR(V48/H48,"")</f>
        <v/>
      </c>
      <c r="X48" s="24" t="n"/>
    </row>
    <row r="49" ht="15" customHeight="1">
      <c r="A49" s="63">
        <f>IF(C49="","",IFERROR(IF(SUMPRODUCT(MAX((tbl_Finance[Job Number]=C49&amp;"")*(tbl_Finance[Xero Invoice No]&lt;&gt;"")*tbl_Finance[Date]))=0,"",SUMPRODUCT(MAX((tbl_Finance[Job Number]=C49&amp;"")*(tbl_Finance[Xero Invoice No]&lt;&gt;"")*tbl_Finance[Date]))),""))</f>
        <v/>
      </c>
      <c r="B49" s="25">
        <f>IF(C49="","",IF(COUNTIFS(tbl_Finance[Job Number],C49&amp;"",tbl_Finance[Xero Invoice No],"&lt;&gt;")=0,"",IFERROR(IF(COUNTIFS(tbl_Finance[Job Number],C49&amp;"",tbl_Finance[Xero Invoice No],LOOKUP(2,1/((tbl_Finance[Job Number]=C49&amp;"")*(tbl_Finance[Xero Invoice No]&lt;&gt;"")),tbl_Finance[Xero Invoice No]))=COUNTIFS(tbl_Finance[Job Number],C49&amp;"",tbl_Finance[Xero Invoice No],"&lt;&gt;"),LOOKUP(2,1/((tbl_Finance[Job Number]=C49&amp;"")*(tbl_Finance[Xero Invoice No]&lt;&gt;"")),tbl_Finance[Xero Invoice No]),LOOKUP(2,1/((tbl_Finance[Job Number]=C49&amp;"")*(tbl_Finance[Xero Invoice No]&lt;&gt;"")),tbl_Finance[Xero Invoice No])&amp;" +more"),"")))</f>
        <v/>
      </c>
      <c r="C49" s="24" t="n"/>
      <c r="D49" s="25">
        <f>IF(C49="","",IF(COUNTIF(lst_Jobs,C49&amp;"")&gt;0,"OK","CHECK"))</f>
        <v/>
      </c>
      <c r="E49" s="25">
        <f>IF(C49="","",IFERROR(INDEX(lst_JobName,MATCH(C49&amp;"",lst_Jobs,0)),""))</f>
        <v/>
      </c>
      <c r="F49" s="25">
        <f>IF(C49="","",IFERROR(INDEX(tbl_Finance[Client],MATCH(C49&amp;"",tbl_Finance[Job Number],0)),""))</f>
        <v/>
      </c>
      <c r="G49" s="28">
        <f>IF(C49="","",COUNTIFS(tbl_Finance[Job Number],C49&amp;"",tbl_Finance[Ex GST],"&lt;&gt;"))</f>
        <v/>
      </c>
      <c r="H49" s="27">
        <f>IF(C49="","",SUMIFS(tbl_Finance[Ex GST],tbl_Finance[Job Number],C49&amp;""))</f>
        <v/>
      </c>
      <c r="I49" s="27">
        <f>IF(C49="","",SUMIFS(tbl_Finance[Ex GST],tbl_Finance[Job Number],C49&amp;"",tbl_Finance[Xero Invoice No],"&lt;&gt;"))</f>
        <v/>
      </c>
      <c r="J49" s="27">
        <f>IF(C49="","",H49-I49)</f>
        <v/>
      </c>
      <c r="K49" s="25">
        <f>IF(C49="","",IF(G49=0,"not invoiced yet",SUBSTITUTE(TRIM(IF(COUNTIFS(tbl_Finance[Job Number],C49&amp;"",tbl_Finance[Cost Centre],"ONSITE")&gt;0,"ONSITE ","")&amp;IF(COUNTIFS(tbl_Finance[Job Number],C49&amp;"",tbl_Finance[Cost Centre],"PRODUCTION")&gt;0,"PRODUCTION ","")&amp;IF(COUNTIFS(tbl_Finance[Job Number],C49&amp;"",tbl_Finance[Cost Centre],"VIDEO")&gt;0,"VIDEO ","")&amp;IF(COUNTIFS(tbl_Finance[Job Number],C49&amp;"",tbl_Finance[Cost Centre],"INTEGRATION")&gt;0,"INTEGRATION ","")&amp;IF(COUNTIFS(tbl_Finance[Job Number],C49&amp;"",tbl_Finance[Cost Centre],"CONSULTING")&gt;0,"CONSULTING ","")&amp;IF(COUNTIFS(tbl_Finance[Job Number],C49&amp;"",tbl_Finance[Cost Centre],"CTS")&gt;0,"CTS ",""))," ",", ")))</f>
        <v/>
      </c>
      <c r="L49" s="24" t="n"/>
      <c r="M49" s="25">
        <f>IF(L49="","",HYPERLINK(IF(LEFT(L49,4)="http",L49,set_QwilrBase&amp;L49),"Open quote"))</f>
        <v/>
      </c>
      <c r="N49" s="26" t="n"/>
      <c r="O49" s="26" t="n"/>
      <c r="P49" s="26" t="n"/>
      <c r="Q49" s="25">
        <f>IF(C49="","",IF(N(N49)+N(O49)+N(P49)=0,"Not split",IF(ROUND(N(N49)+N(O49)+N(P49),2)=ROUND(H49,2),"OK","MISMATCH")))</f>
        <v/>
      </c>
      <c r="R49" s="26" t="n"/>
      <c r="S49" s="26" t="n"/>
      <c r="T49" s="26" t="n"/>
      <c r="U49" s="27">
        <f>IF(C49="","",N(R49)+N(S49)+N(T49))</f>
        <v/>
      </c>
      <c r="V49" s="27">
        <f>IF(C49="","",H49-U49)</f>
        <v/>
      </c>
      <c r="W49" s="29">
        <f>IFERROR(V49/H49,"")</f>
        <v/>
      </c>
      <c r="X49" s="24" t="n"/>
    </row>
    <row r="50" ht="15" customHeight="1">
      <c r="A50" s="63">
        <f>IF(C50="","",IFERROR(IF(SUMPRODUCT(MAX((tbl_Finance[Job Number]=C50&amp;"")*(tbl_Finance[Xero Invoice No]&lt;&gt;"")*tbl_Finance[Date]))=0,"",SUMPRODUCT(MAX((tbl_Finance[Job Number]=C50&amp;"")*(tbl_Finance[Xero Invoice No]&lt;&gt;"")*tbl_Finance[Date]))),""))</f>
        <v/>
      </c>
      <c r="B50" s="25">
        <f>IF(C50="","",IF(COUNTIFS(tbl_Finance[Job Number],C50&amp;"",tbl_Finance[Xero Invoice No],"&lt;&gt;")=0,"",IFERROR(IF(COUNTIFS(tbl_Finance[Job Number],C50&amp;"",tbl_Finance[Xero Invoice No],LOOKUP(2,1/((tbl_Finance[Job Number]=C50&amp;"")*(tbl_Finance[Xero Invoice No]&lt;&gt;"")),tbl_Finance[Xero Invoice No]))=COUNTIFS(tbl_Finance[Job Number],C50&amp;"",tbl_Finance[Xero Invoice No],"&lt;&gt;"),LOOKUP(2,1/((tbl_Finance[Job Number]=C50&amp;"")*(tbl_Finance[Xero Invoice No]&lt;&gt;"")),tbl_Finance[Xero Invoice No]),LOOKUP(2,1/((tbl_Finance[Job Number]=C50&amp;"")*(tbl_Finance[Xero Invoice No]&lt;&gt;"")),tbl_Finance[Xero Invoice No])&amp;" +more"),"")))</f>
        <v/>
      </c>
      <c r="C50" s="24" t="n"/>
      <c r="D50" s="25">
        <f>IF(C50="","",IF(COUNTIF(lst_Jobs,C50&amp;"")&gt;0,"OK","CHECK"))</f>
        <v/>
      </c>
      <c r="E50" s="25">
        <f>IF(C50="","",IFERROR(INDEX(lst_JobName,MATCH(C50&amp;"",lst_Jobs,0)),""))</f>
        <v/>
      </c>
      <c r="F50" s="25">
        <f>IF(C50="","",IFERROR(INDEX(tbl_Finance[Client],MATCH(C50&amp;"",tbl_Finance[Job Number],0)),""))</f>
        <v/>
      </c>
      <c r="G50" s="28">
        <f>IF(C50="","",COUNTIFS(tbl_Finance[Job Number],C50&amp;"",tbl_Finance[Ex GST],"&lt;&gt;"))</f>
        <v/>
      </c>
      <c r="H50" s="27">
        <f>IF(C50="","",SUMIFS(tbl_Finance[Ex GST],tbl_Finance[Job Number],C50&amp;""))</f>
        <v/>
      </c>
      <c r="I50" s="27">
        <f>IF(C50="","",SUMIFS(tbl_Finance[Ex GST],tbl_Finance[Job Number],C50&amp;"",tbl_Finance[Xero Invoice No],"&lt;&gt;"))</f>
        <v/>
      </c>
      <c r="J50" s="27">
        <f>IF(C50="","",H50-I50)</f>
        <v/>
      </c>
      <c r="K50" s="25">
        <f>IF(C50="","",IF(G50=0,"not invoiced yet",SUBSTITUTE(TRIM(IF(COUNTIFS(tbl_Finance[Job Number],C50&amp;"",tbl_Finance[Cost Centre],"ONSITE")&gt;0,"ONSITE ","")&amp;IF(COUNTIFS(tbl_Finance[Job Number],C50&amp;"",tbl_Finance[Cost Centre],"PRODUCTION")&gt;0,"PRODUCTION ","")&amp;IF(COUNTIFS(tbl_Finance[Job Number],C50&amp;"",tbl_Finance[Cost Centre],"VIDEO")&gt;0,"VIDEO ","")&amp;IF(COUNTIFS(tbl_Finance[Job Number],C50&amp;"",tbl_Finance[Cost Centre],"INTEGRATION")&gt;0,"INTEGRATION ","")&amp;IF(COUNTIFS(tbl_Finance[Job Number],C50&amp;"",tbl_Finance[Cost Centre],"CONSULTING")&gt;0,"CONSULTING ","")&amp;IF(COUNTIFS(tbl_Finance[Job Number],C50&amp;"",tbl_Finance[Cost Centre],"CTS")&gt;0,"CTS ",""))," ",", ")))</f>
        <v/>
      </c>
      <c r="L50" s="24" t="n"/>
      <c r="M50" s="25">
        <f>IF(L50="","",HYPERLINK(IF(LEFT(L50,4)="http",L50,set_QwilrBase&amp;L50),"Open quote"))</f>
        <v/>
      </c>
      <c r="N50" s="26" t="n"/>
      <c r="O50" s="26" t="n"/>
      <c r="P50" s="26" t="n"/>
      <c r="Q50" s="25">
        <f>IF(C50="","",IF(N(N50)+N(O50)+N(P50)=0,"Not split",IF(ROUND(N(N50)+N(O50)+N(P50),2)=ROUND(H50,2),"OK","MISMATCH")))</f>
        <v/>
      </c>
      <c r="R50" s="26" t="n"/>
      <c r="S50" s="26" t="n"/>
      <c r="T50" s="26" t="n"/>
      <c r="U50" s="27">
        <f>IF(C50="","",N(R50)+N(S50)+N(T50))</f>
        <v/>
      </c>
      <c r="V50" s="27">
        <f>IF(C50="","",H50-U50)</f>
        <v/>
      </c>
      <c r="W50" s="29">
        <f>IFERROR(V50/H50,"")</f>
        <v/>
      </c>
      <c r="X50" s="24" t="n"/>
    </row>
    <row r="51" ht="15" customHeight="1">
      <c r="A51" s="63">
        <f>IF(C51="","",IFERROR(IF(SUMPRODUCT(MAX((tbl_Finance[Job Number]=C51&amp;"")*(tbl_Finance[Xero Invoice No]&lt;&gt;"")*tbl_Finance[Date]))=0,"",SUMPRODUCT(MAX((tbl_Finance[Job Number]=C51&amp;"")*(tbl_Finance[Xero Invoice No]&lt;&gt;"")*tbl_Finance[Date]))),""))</f>
        <v/>
      </c>
      <c r="B51" s="25">
        <f>IF(C51="","",IF(COUNTIFS(tbl_Finance[Job Number],C51&amp;"",tbl_Finance[Xero Invoice No],"&lt;&gt;")=0,"",IFERROR(IF(COUNTIFS(tbl_Finance[Job Number],C51&amp;"",tbl_Finance[Xero Invoice No],LOOKUP(2,1/((tbl_Finance[Job Number]=C51&amp;"")*(tbl_Finance[Xero Invoice No]&lt;&gt;"")),tbl_Finance[Xero Invoice No]))=COUNTIFS(tbl_Finance[Job Number],C51&amp;"",tbl_Finance[Xero Invoice No],"&lt;&gt;"),LOOKUP(2,1/((tbl_Finance[Job Number]=C51&amp;"")*(tbl_Finance[Xero Invoice No]&lt;&gt;"")),tbl_Finance[Xero Invoice No]),LOOKUP(2,1/((tbl_Finance[Job Number]=C51&amp;"")*(tbl_Finance[Xero Invoice No]&lt;&gt;"")),tbl_Finance[Xero Invoice No])&amp;" +more"),"")))</f>
        <v/>
      </c>
      <c r="C51" s="24" t="n"/>
      <c r="D51" s="25">
        <f>IF(C51="","",IF(COUNTIF(lst_Jobs,C51&amp;"")&gt;0,"OK","CHECK"))</f>
        <v/>
      </c>
      <c r="E51" s="25">
        <f>IF(C51="","",IFERROR(INDEX(lst_JobName,MATCH(C51&amp;"",lst_Jobs,0)),""))</f>
        <v/>
      </c>
      <c r="F51" s="25">
        <f>IF(C51="","",IFERROR(INDEX(tbl_Finance[Client],MATCH(C51&amp;"",tbl_Finance[Job Number],0)),""))</f>
        <v/>
      </c>
      <c r="G51" s="28">
        <f>IF(C51="","",COUNTIFS(tbl_Finance[Job Number],C51&amp;"",tbl_Finance[Ex GST],"&lt;&gt;"))</f>
        <v/>
      </c>
      <c r="H51" s="27">
        <f>IF(C51="","",SUMIFS(tbl_Finance[Ex GST],tbl_Finance[Job Number],C51&amp;""))</f>
        <v/>
      </c>
      <c r="I51" s="27">
        <f>IF(C51="","",SUMIFS(tbl_Finance[Ex GST],tbl_Finance[Job Number],C51&amp;"",tbl_Finance[Xero Invoice No],"&lt;&gt;"))</f>
        <v/>
      </c>
      <c r="J51" s="27">
        <f>IF(C51="","",H51-I51)</f>
        <v/>
      </c>
      <c r="K51" s="25">
        <f>IF(C51="","",IF(G51=0,"not invoiced yet",SUBSTITUTE(TRIM(IF(COUNTIFS(tbl_Finance[Job Number],C51&amp;"",tbl_Finance[Cost Centre],"ONSITE")&gt;0,"ONSITE ","")&amp;IF(COUNTIFS(tbl_Finance[Job Number],C51&amp;"",tbl_Finance[Cost Centre],"PRODUCTION")&gt;0,"PRODUCTION ","")&amp;IF(COUNTIFS(tbl_Finance[Job Number],C51&amp;"",tbl_Finance[Cost Centre],"VIDEO")&gt;0,"VIDEO ","")&amp;IF(COUNTIFS(tbl_Finance[Job Number],C51&amp;"",tbl_Finance[Cost Centre],"INTEGRATION")&gt;0,"INTEGRATION ","")&amp;IF(COUNTIFS(tbl_Finance[Job Number],C51&amp;"",tbl_Finance[Cost Centre],"CONSULTING")&gt;0,"CONSULTING ","")&amp;IF(COUNTIFS(tbl_Finance[Job Number],C51&amp;"",tbl_Finance[Cost Centre],"CTS")&gt;0,"CTS ",""))," ",", ")))</f>
        <v/>
      </c>
      <c r="L51" s="24" t="n"/>
      <c r="M51" s="25">
        <f>IF(L51="","",HYPERLINK(IF(LEFT(L51,4)="http",L51,set_QwilrBase&amp;L51),"Open quote"))</f>
        <v/>
      </c>
      <c r="N51" s="26" t="n"/>
      <c r="O51" s="26" t="n"/>
      <c r="P51" s="26" t="n"/>
      <c r="Q51" s="25">
        <f>IF(C51="","",IF(N(N51)+N(O51)+N(P51)=0,"Not split",IF(ROUND(N(N51)+N(O51)+N(P51),2)=ROUND(H51,2),"OK","MISMATCH")))</f>
        <v/>
      </c>
      <c r="R51" s="26" t="n"/>
      <c r="S51" s="26" t="n"/>
      <c r="T51" s="26" t="n"/>
      <c r="U51" s="27">
        <f>IF(C51="","",N(R51)+N(S51)+N(T51))</f>
        <v/>
      </c>
      <c r="V51" s="27">
        <f>IF(C51="","",H51-U51)</f>
        <v/>
      </c>
      <c r="W51" s="29">
        <f>IFERROR(V51/H51,"")</f>
        <v/>
      </c>
      <c r="X51" s="24" t="n"/>
    </row>
    <row r="52" ht="15" customHeight="1">
      <c r="A52" s="63">
        <f>IF(C52="","",IFERROR(IF(SUMPRODUCT(MAX((tbl_Finance[Job Number]=C52&amp;"")*(tbl_Finance[Xero Invoice No]&lt;&gt;"")*tbl_Finance[Date]))=0,"",SUMPRODUCT(MAX((tbl_Finance[Job Number]=C52&amp;"")*(tbl_Finance[Xero Invoice No]&lt;&gt;"")*tbl_Finance[Date]))),""))</f>
        <v/>
      </c>
      <c r="B52" s="25">
        <f>IF(C52="","",IF(COUNTIFS(tbl_Finance[Job Number],C52&amp;"",tbl_Finance[Xero Invoice No],"&lt;&gt;")=0,"",IFERROR(IF(COUNTIFS(tbl_Finance[Job Number],C52&amp;"",tbl_Finance[Xero Invoice No],LOOKUP(2,1/((tbl_Finance[Job Number]=C52&amp;"")*(tbl_Finance[Xero Invoice No]&lt;&gt;"")),tbl_Finance[Xero Invoice No]))=COUNTIFS(tbl_Finance[Job Number],C52&amp;"",tbl_Finance[Xero Invoice No],"&lt;&gt;"),LOOKUP(2,1/((tbl_Finance[Job Number]=C52&amp;"")*(tbl_Finance[Xero Invoice No]&lt;&gt;"")),tbl_Finance[Xero Invoice No]),LOOKUP(2,1/((tbl_Finance[Job Number]=C52&amp;"")*(tbl_Finance[Xero Invoice No]&lt;&gt;"")),tbl_Finance[Xero Invoice No])&amp;" +more"),"")))</f>
        <v/>
      </c>
      <c r="C52" s="24" t="n"/>
      <c r="D52" s="25">
        <f>IF(C52="","",IF(COUNTIF(lst_Jobs,C52&amp;"")&gt;0,"OK","CHECK"))</f>
        <v/>
      </c>
      <c r="E52" s="25">
        <f>IF(C52="","",IFERROR(INDEX(lst_JobName,MATCH(C52&amp;"",lst_Jobs,0)),""))</f>
        <v/>
      </c>
      <c r="F52" s="25">
        <f>IF(C52="","",IFERROR(INDEX(tbl_Finance[Client],MATCH(C52&amp;"",tbl_Finance[Job Number],0)),""))</f>
        <v/>
      </c>
      <c r="G52" s="28">
        <f>IF(C52="","",COUNTIFS(tbl_Finance[Job Number],C52&amp;"",tbl_Finance[Ex GST],"&lt;&gt;"))</f>
        <v/>
      </c>
      <c r="H52" s="27">
        <f>IF(C52="","",SUMIFS(tbl_Finance[Ex GST],tbl_Finance[Job Number],C52&amp;""))</f>
        <v/>
      </c>
      <c r="I52" s="27">
        <f>IF(C52="","",SUMIFS(tbl_Finance[Ex GST],tbl_Finance[Job Number],C52&amp;"",tbl_Finance[Xero Invoice No],"&lt;&gt;"))</f>
        <v/>
      </c>
      <c r="J52" s="27">
        <f>IF(C52="","",H52-I52)</f>
        <v/>
      </c>
      <c r="K52" s="25">
        <f>IF(C52="","",IF(G52=0,"not invoiced yet",SUBSTITUTE(TRIM(IF(COUNTIFS(tbl_Finance[Job Number],C52&amp;"",tbl_Finance[Cost Centre],"ONSITE")&gt;0,"ONSITE ","")&amp;IF(COUNTIFS(tbl_Finance[Job Number],C52&amp;"",tbl_Finance[Cost Centre],"PRODUCTION")&gt;0,"PRODUCTION ","")&amp;IF(COUNTIFS(tbl_Finance[Job Number],C52&amp;"",tbl_Finance[Cost Centre],"VIDEO")&gt;0,"VIDEO ","")&amp;IF(COUNTIFS(tbl_Finance[Job Number],C52&amp;"",tbl_Finance[Cost Centre],"INTEGRATION")&gt;0,"INTEGRATION ","")&amp;IF(COUNTIFS(tbl_Finance[Job Number],C52&amp;"",tbl_Finance[Cost Centre],"CONSULTING")&gt;0,"CONSULTING ","")&amp;IF(COUNTIFS(tbl_Finance[Job Number],C52&amp;"",tbl_Finance[Cost Centre],"CTS")&gt;0,"CTS ",""))," ",", ")))</f>
        <v/>
      </c>
      <c r="L52" s="24" t="n"/>
      <c r="M52" s="25">
        <f>IF(L52="","",HYPERLINK(IF(LEFT(L52,4)="http",L52,set_QwilrBase&amp;L52),"Open quote"))</f>
        <v/>
      </c>
      <c r="N52" s="26" t="n"/>
      <c r="O52" s="26" t="n"/>
      <c r="P52" s="26" t="n"/>
      <c r="Q52" s="25">
        <f>IF(C52="","",IF(N(N52)+N(O52)+N(P52)=0,"Not split",IF(ROUND(N(N52)+N(O52)+N(P52),2)=ROUND(H52,2),"OK","MISMATCH")))</f>
        <v/>
      </c>
      <c r="R52" s="26" t="n"/>
      <c r="S52" s="26" t="n"/>
      <c r="T52" s="26" t="n"/>
      <c r="U52" s="27">
        <f>IF(C52="","",N(R52)+N(S52)+N(T52))</f>
        <v/>
      </c>
      <c r="V52" s="27">
        <f>IF(C52="","",H52-U52)</f>
        <v/>
      </c>
      <c r="W52" s="29">
        <f>IFERROR(V52/H52,"")</f>
        <v/>
      </c>
      <c r="X52" s="24" t="n"/>
    </row>
    <row r="53" ht="15" customHeight="1">
      <c r="A53" s="63">
        <f>IF(C53="","",IFERROR(IF(SUMPRODUCT(MAX((tbl_Finance[Job Number]=C53&amp;"")*(tbl_Finance[Xero Invoice No]&lt;&gt;"")*tbl_Finance[Date]))=0,"",SUMPRODUCT(MAX((tbl_Finance[Job Number]=C53&amp;"")*(tbl_Finance[Xero Invoice No]&lt;&gt;"")*tbl_Finance[Date]))),""))</f>
        <v/>
      </c>
      <c r="B53" s="25">
        <f>IF(C53="","",IF(COUNTIFS(tbl_Finance[Job Number],C53&amp;"",tbl_Finance[Xero Invoice No],"&lt;&gt;")=0,"",IFERROR(IF(COUNTIFS(tbl_Finance[Job Number],C53&amp;"",tbl_Finance[Xero Invoice No],LOOKUP(2,1/((tbl_Finance[Job Number]=C53&amp;"")*(tbl_Finance[Xero Invoice No]&lt;&gt;"")),tbl_Finance[Xero Invoice No]))=COUNTIFS(tbl_Finance[Job Number],C53&amp;"",tbl_Finance[Xero Invoice No],"&lt;&gt;"),LOOKUP(2,1/((tbl_Finance[Job Number]=C53&amp;"")*(tbl_Finance[Xero Invoice No]&lt;&gt;"")),tbl_Finance[Xero Invoice No]),LOOKUP(2,1/((tbl_Finance[Job Number]=C53&amp;"")*(tbl_Finance[Xero Invoice No]&lt;&gt;"")),tbl_Finance[Xero Invoice No])&amp;" +more"),"")))</f>
        <v/>
      </c>
      <c r="C53" s="24" t="n"/>
      <c r="D53" s="25">
        <f>IF(C53="","",IF(COUNTIF(lst_Jobs,C53&amp;"")&gt;0,"OK","CHECK"))</f>
        <v/>
      </c>
      <c r="E53" s="25">
        <f>IF(C53="","",IFERROR(INDEX(lst_JobName,MATCH(C53&amp;"",lst_Jobs,0)),""))</f>
        <v/>
      </c>
      <c r="F53" s="25">
        <f>IF(C53="","",IFERROR(INDEX(tbl_Finance[Client],MATCH(C53&amp;"",tbl_Finance[Job Number],0)),""))</f>
        <v/>
      </c>
      <c r="G53" s="28">
        <f>IF(C53="","",COUNTIFS(tbl_Finance[Job Number],C53&amp;"",tbl_Finance[Ex GST],"&lt;&gt;"))</f>
        <v/>
      </c>
      <c r="H53" s="27">
        <f>IF(C53="","",SUMIFS(tbl_Finance[Ex GST],tbl_Finance[Job Number],C53&amp;""))</f>
        <v/>
      </c>
      <c r="I53" s="27">
        <f>IF(C53="","",SUMIFS(tbl_Finance[Ex GST],tbl_Finance[Job Number],C53&amp;"",tbl_Finance[Xero Invoice No],"&lt;&gt;"))</f>
        <v/>
      </c>
      <c r="J53" s="27">
        <f>IF(C53="","",H53-I53)</f>
        <v/>
      </c>
      <c r="K53" s="25">
        <f>IF(C53="","",IF(G53=0,"not invoiced yet",SUBSTITUTE(TRIM(IF(COUNTIFS(tbl_Finance[Job Number],C53&amp;"",tbl_Finance[Cost Centre],"ONSITE")&gt;0,"ONSITE ","")&amp;IF(COUNTIFS(tbl_Finance[Job Number],C53&amp;"",tbl_Finance[Cost Centre],"PRODUCTION")&gt;0,"PRODUCTION ","")&amp;IF(COUNTIFS(tbl_Finance[Job Number],C53&amp;"",tbl_Finance[Cost Centre],"VIDEO")&gt;0,"VIDEO ","")&amp;IF(COUNTIFS(tbl_Finance[Job Number],C53&amp;"",tbl_Finance[Cost Centre],"INTEGRATION")&gt;0,"INTEGRATION ","")&amp;IF(COUNTIFS(tbl_Finance[Job Number],C53&amp;"",tbl_Finance[Cost Centre],"CONSULTING")&gt;0,"CONSULTING ","")&amp;IF(COUNTIFS(tbl_Finance[Job Number],C53&amp;"",tbl_Finance[Cost Centre],"CTS")&gt;0,"CTS ",""))," ",", ")))</f>
        <v/>
      </c>
      <c r="L53" s="24" t="n"/>
      <c r="M53" s="25">
        <f>IF(L53="","",HYPERLINK(IF(LEFT(L53,4)="http",L53,set_QwilrBase&amp;L53),"Open quote"))</f>
        <v/>
      </c>
      <c r="N53" s="26" t="n"/>
      <c r="O53" s="26" t="n"/>
      <c r="P53" s="26" t="n"/>
      <c r="Q53" s="25">
        <f>IF(C53="","",IF(N(N53)+N(O53)+N(P53)=0,"Not split",IF(ROUND(N(N53)+N(O53)+N(P53),2)=ROUND(H53,2),"OK","MISMATCH")))</f>
        <v/>
      </c>
      <c r="R53" s="26" t="n"/>
      <c r="S53" s="26" t="n"/>
      <c r="T53" s="26" t="n"/>
      <c r="U53" s="27">
        <f>IF(C53="","",N(R53)+N(S53)+N(T53))</f>
        <v/>
      </c>
      <c r="V53" s="27">
        <f>IF(C53="","",H53-U53)</f>
        <v/>
      </c>
      <c r="W53" s="29">
        <f>IFERROR(V53/H53,"")</f>
        <v/>
      </c>
      <c r="X53" s="24" t="n"/>
    </row>
    <row r="54" ht="15" customHeight="1">
      <c r="A54" s="63">
        <f>IF(C54="","",IFERROR(IF(SUMPRODUCT(MAX((tbl_Finance[Job Number]=C54&amp;"")*(tbl_Finance[Xero Invoice No]&lt;&gt;"")*tbl_Finance[Date]))=0,"",SUMPRODUCT(MAX((tbl_Finance[Job Number]=C54&amp;"")*(tbl_Finance[Xero Invoice No]&lt;&gt;"")*tbl_Finance[Date]))),""))</f>
        <v/>
      </c>
      <c r="B54" s="25">
        <f>IF(C54="","",IF(COUNTIFS(tbl_Finance[Job Number],C54&amp;"",tbl_Finance[Xero Invoice No],"&lt;&gt;")=0,"",IFERROR(IF(COUNTIFS(tbl_Finance[Job Number],C54&amp;"",tbl_Finance[Xero Invoice No],LOOKUP(2,1/((tbl_Finance[Job Number]=C54&amp;"")*(tbl_Finance[Xero Invoice No]&lt;&gt;"")),tbl_Finance[Xero Invoice No]))=COUNTIFS(tbl_Finance[Job Number],C54&amp;"",tbl_Finance[Xero Invoice No],"&lt;&gt;"),LOOKUP(2,1/((tbl_Finance[Job Number]=C54&amp;"")*(tbl_Finance[Xero Invoice No]&lt;&gt;"")),tbl_Finance[Xero Invoice No]),LOOKUP(2,1/((tbl_Finance[Job Number]=C54&amp;"")*(tbl_Finance[Xero Invoice No]&lt;&gt;"")),tbl_Finance[Xero Invoice No])&amp;" +more"),"")))</f>
        <v/>
      </c>
      <c r="C54" s="24" t="n"/>
      <c r="D54" s="25">
        <f>IF(C54="","",IF(COUNTIF(lst_Jobs,C54&amp;"")&gt;0,"OK","CHECK"))</f>
        <v/>
      </c>
      <c r="E54" s="25">
        <f>IF(C54="","",IFERROR(INDEX(lst_JobName,MATCH(C54&amp;"",lst_Jobs,0)),""))</f>
        <v/>
      </c>
      <c r="F54" s="25">
        <f>IF(C54="","",IFERROR(INDEX(tbl_Finance[Client],MATCH(C54&amp;"",tbl_Finance[Job Number],0)),""))</f>
        <v/>
      </c>
      <c r="G54" s="28">
        <f>IF(C54="","",COUNTIFS(tbl_Finance[Job Number],C54&amp;"",tbl_Finance[Ex GST],"&lt;&gt;"))</f>
        <v/>
      </c>
      <c r="H54" s="27">
        <f>IF(C54="","",SUMIFS(tbl_Finance[Ex GST],tbl_Finance[Job Number],C54&amp;""))</f>
        <v/>
      </c>
      <c r="I54" s="27">
        <f>IF(C54="","",SUMIFS(tbl_Finance[Ex GST],tbl_Finance[Job Number],C54&amp;"",tbl_Finance[Xero Invoice No],"&lt;&gt;"))</f>
        <v/>
      </c>
      <c r="J54" s="27">
        <f>IF(C54="","",H54-I54)</f>
        <v/>
      </c>
      <c r="K54" s="25">
        <f>IF(C54="","",IF(G54=0,"not invoiced yet",SUBSTITUTE(TRIM(IF(COUNTIFS(tbl_Finance[Job Number],C54&amp;"",tbl_Finance[Cost Centre],"ONSITE")&gt;0,"ONSITE ","")&amp;IF(COUNTIFS(tbl_Finance[Job Number],C54&amp;"",tbl_Finance[Cost Centre],"PRODUCTION")&gt;0,"PRODUCTION ","")&amp;IF(COUNTIFS(tbl_Finance[Job Number],C54&amp;"",tbl_Finance[Cost Centre],"VIDEO")&gt;0,"VIDEO ","")&amp;IF(COUNTIFS(tbl_Finance[Job Number],C54&amp;"",tbl_Finance[Cost Centre],"INTEGRATION")&gt;0,"INTEGRATION ","")&amp;IF(COUNTIFS(tbl_Finance[Job Number],C54&amp;"",tbl_Finance[Cost Centre],"CONSULTING")&gt;0,"CONSULTING ","")&amp;IF(COUNTIFS(tbl_Finance[Job Number],C54&amp;"",tbl_Finance[Cost Centre],"CTS")&gt;0,"CTS ",""))," ",", ")))</f>
        <v/>
      </c>
      <c r="L54" s="24" t="n"/>
      <c r="M54" s="25">
        <f>IF(L54="","",HYPERLINK(IF(LEFT(L54,4)="http",L54,set_QwilrBase&amp;L54),"Open quote"))</f>
        <v/>
      </c>
      <c r="N54" s="26" t="n"/>
      <c r="O54" s="26" t="n"/>
      <c r="P54" s="26" t="n"/>
      <c r="Q54" s="25">
        <f>IF(C54="","",IF(N(N54)+N(O54)+N(P54)=0,"Not split",IF(ROUND(N(N54)+N(O54)+N(P54),2)=ROUND(H54,2),"OK","MISMATCH")))</f>
        <v/>
      </c>
      <c r="R54" s="26" t="n"/>
      <c r="S54" s="26" t="n"/>
      <c r="T54" s="26" t="n"/>
      <c r="U54" s="27">
        <f>IF(C54="","",N(R54)+N(S54)+N(T54))</f>
        <v/>
      </c>
      <c r="V54" s="27">
        <f>IF(C54="","",H54-U54)</f>
        <v/>
      </c>
      <c r="W54" s="29">
        <f>IFERROR(V54/H54,"")</f>
        <v/>
      </c>
      <c r="X54" s="24" t="n"/>
    </row>
    <row r="55" ht="15" customHeight="1">
      <c r="A55" s="63">
        <f>IF(C55="","",IFERROR(IF(SUMPRODUCT(MAX((tbl_Finance[Job Number]=C55&amp;"")*(tbl_Finance[Xero Invoice No]&lt;&gt;"")*tbl_Finance[Date]))=0,"",SUMPRODUCT(MAX((tbl_Finance[Job Number]=C55&amp;"")*(tbl_Finance[Xero Invoice No]&lt;&gt;"")*tbl_Finance[Date]))),""))</f>
        <v/>
      </c>
      <c r="B55" s="25">
        <f>IF(C55="","",IF(COUNTIFS(tbl_Finance[Job Number],C55&amp;"",tbl_Finance[Xero Invoice No],"&lt;&gt;")=0,"",IFERROR(IF(COUNTIFS(tbl_Finance[Job Number],C55&amp;"",tbl_Finance[Xero Invoice No],LOOKUP(2,1/((tbl_Finance[Job Number]=C55&amp;"")*(tbl_Finance[Xero Invoice No]&lt;&gt;"")),tbl_Finance[Xero Invoice No]))=COUNTIFS(tbl_Finance[Job Number],C55&amp;"",tbl_Finance[Xero Invoice No],"&lt;&gt;"),LOOKUP(2,1/((tbl_Finance[Job Number]=C55&amp;"")*(tbl_Finance[Xero Invoice No]&lt;&gt;"")),tbl_Finance[Xero Invoice No]),LOOKUP(2,1/((tbl_Finance[Job Number]=C55&amp;"")*(tbl_Finance[Xero Invoice No]&lt;&gt;"")),tbl_Finance[Xero Invoice No])&amp;" +more"),"")))</f>
        <v/>
      </c>
      <c r="C55" s="24" t="n"/>
      <c r="D55" s="25">
        <f>IF(C55="","",IF(COUNTIF(lst_Jobs,C55&amp;"")&gt;0,"OK","CHECK"))</f>
        <v/>
      </c>
      <c r="E55" s="25">
        <f>IF(C55="","",IFERROR(INDEX(lst_JobName,MATCH(C55&amp;"",lst_Jobs,0)),""))</f>
        <v/>
      </c>
      <c r="F55" s="25">
        <f>IF(C55="","",IFERROR(INDEX(tbl_Finance[Client],MATCH(C55&amp;"",tbl_Finance[Job Number],0)),""))</f>
        <v/>
      </c>
      <c r="G55" s="28">
        <f>IF(C55="","",COUNTIFS(tbl_Finance[Job Number],C55&amp;"",tbl_Finance[Ex GST],"&lt;&gt;"))</f>
        <v/>
      </c>
      <c r="H55" s="27">
        <f>IF(C55="","",SUMIFS(tbl_Finance[Ex GST],tbl_Finance[Job Number],C55&amp;""))</f>
        <v/>
      </c>
      <c r="I55" s="27">
        <f>IF(C55="","",SUMIFS(tbl_Finance[Ex GST],tbl_Finance[Job Number],C55&amp;"",tbl_Finance[Xero Invoice No],"&lt;&gt;"))</f>
        <v/>
      </c>
      <c r="J55" s="27">
        <f>IF(C55="","",H55-I55)</f>
        <v/>
      </c>
      <c r="K55" s="25">
        <f>IF(C55="","",IF(G55=0,"not invoiced yet",SUBSTITUTE(TRIM(IF(COUNTIFS(tbl_Finance[Job Number],C55&amp;"",tbl_Finance[Cost Centre],"ONSITE")&gt;0,"ONSITE ","")&amp;IF(COUNTIFS(tbl_Finance[Job Number],C55&amp;"",tbl_Finance[Cost Centre],"PRODUCTION")&gt;0,"PRODUCTION ","")&amp;IF(COUNTIFS(tbl_Finance[Job Number],C55&amp;"",tbl_Finance[Cost Centre],"VIDEO")&gt;0,"VIDEO ","")&amp;IF(COUNTIFS(tbl_Finance[Job Number],C55&amp;"",tbl_Finance[Cost Centre],"INTEGRATION")&gt;0,"INTEGRATION ","")&amp;IF(COUNTIFS(tbl_Finance[Job Number],C55&amp;"",tbl_Finance[Cost Centre],"CONSULTING")&gt;0,"CONSULTING ","")&amp;IF(COUNTIFS(tbl_Finance[Job Number],C55&amp;"",tbl_Finance[Cost Centre],"CTS")&gt;0,"CTS ",""))," ",", ")))</f>
        <v/>
      </c>
      <c r="L55" s="24" t="n"/>
      <c r="M55" s="25">
        <f>IF(L55="","",HYPERLINK(IF(LEFT(L55,4)="http",L55,set_QwilrBase&amp;L55),"Open quote"))</f>
        <v/>
      </c>
      <c r="N55" s="26" t="n"/>
      <c r="O55" s="26" t="n"/>
      <c r="P55" s="26" t="n"/>
      <c r="Q55" s="25">
        <f>IF(C55="","",IF(N(N55)+N(O55)+N(P55)=0,"Not split",IF(ROUND(N(N55)+N(O55)+N(P55),2)=ROUND(H55,2),"OK","MISMATCH")))</f>
        <v/>
      </c>
      <c r="R55" s="26" t="n"/>
      <c r="S55" s="26" t="n"/>
      <c r="T55" s="26" t="n"/>
      <c r="U55" s="27">
        <f>IF(C55="","",N(R55)+N(S55)+N(T55))</f>
        <v/>
      </c>
      <c r="V55" s="27">
        <f>IF(C55="","",H55-U55)</f>
        <v/>
      </c>
      <c r="W55" s="29">
        <f>IFERROR(V55/H55,"")</f>
        <v/>
      </c>
      <c r="X55" s="24" t="n"/>
    </row>
    <row r="56" ht="15" customHeight="1">
      <c r="A56" s="63">
        <f>IF(C56="","",IFERROR(IF(SUMPRODUCT(MAX((tbl_Finance[Job Number]=C56&amp;"")*(tbl_Finance[Xero Invoice No]&lt;&gt;"")*tbl_Finance[Date]))=0,"",SUMPRODUCT(MAX((tbl_Finance[Job Number]=C56&amp;"")*(tbl_Finance[Xero Invoice No]&lt;&gt;"")*tbl_Finance[Date]))),""))</f>
        <v/>
      </c>
      <c r="B56" s="25">
        <f>IF(C56="","",IF(COUNTIFS(tbl_Finance[Job Number],C56&amp;"",tbl_Finance[Xero Invoice No],"&lt;&gt;")=0,"",IFERROR(IF(COUNTIFS(tbl_Finance[Job Number],C56&amp;"",tbl_Finance[Xero Invoice No],LOOKUP(2,1/((tbl_Finance[Job Number]=C56&amp;"")*(tbl_Finance[Xero Invoice No]&lt;&gt;"")),tbl_Finance[Xero Invoice No]))=COUNTIFS(tbl_Finance[Job Number],C56&amp;"",tbl_Finance[Xero Invoice No],"&lt;&gt;"),LOOKUP(2,1/((tbl_Finance[Job Number]=C56&amp;"")*(tbl_Finance[Xero Invoice No]&lt;&gt;"")),tbl_Finance[Xero Invoice No]),LOOKUP(2,1/((tbl_Finance[Job Number]=C56&amp;"")*(tbl_Finance[Xero Invoice No]&lt;&gt;"")),tbl_Finance[Xero Invoice No])&amp;" +more"),"")))</f>
        <v/>
      </c>
      <c r="C56" s="24" t="n"/>
      <c r="D56" s="25">
        <f>IF(C56="","",IF(COUNTIF(lst_Jobs,C56&amp;"")&gt;0,"OK","CHECK"))</f>
        <v/>
      </c>
      <c r="E56" s="25">
        <f>IF(C56="","",IFERROR(INDEX(lst_JobName,MATCH(C56&amp;"",lst_Jobs,0)),""))</f>
        <v/>
      </c>
      <c r="F56" s="25">
        <f>IF(C56="","",IFERROR(INDEX(tbl_Finance[Client],MATCH(C56&amp;"",tbl_Finance[Job Number],0)),""))</f>
        <v/>
      </c>
      <c r="G56" s="28">
        <f>IF(C56="","",COUNTIFS(tbl_Finance[Job Number],C56&amp;"",tbl_Finance[Ex GST],"&lt;&gt;"))</f>
        <v/>
      </c>
      <c r="H56" s="27">
        <f>IF(C56="","",SUMIFS(tbl_Finance[Ex GST],tbl_Finance[Job Number],C56&amp;""))</f>
        <v/>
      </c>
      <c r="I56" s="27">
        <f>IF(C56="","",SUMIFS(tbl_Finance[Ex GST],tbl_Finance[Job Number],C56&amp;"",tbl_Finance[Xero Invoice No],"&lt;&gt;"))</f>
        <v/>
      </c>
      <c r="J56" s="27">
        <f>IF(C56="","",H56-I56)</f>
        <v/>
      </c>
      <c r="K56" s="25">
        <f>IF(C56="","",IF(G56=0,"not invoiced yet",SUBSTITUTE(TRIM(IF(COUNTIFS(tbl_Finance[Job Number],C56&amp;"",tbl_Finance[Cost Centre],"ONSITE")&gt;0,"ONSITE ","")&amp;IF(COUNTIFS(tbl_Finance[Job Number],C56&amp;"",tbl_Finance[Cost Centre],"PRODUCTION")&gt;0,"PRODUCTION ","")&amp;IF(COUNTIFS(tbl_Finance[Job Number],C56&amp;"",tbl_Finance[Cost Centre],"VIDEO")&gt;0,"VIDEO ","")&amp;IF(COUNTIFS(tbl_Finance[Job Number],C56&amp;"",tbl_Finance[Cost Centre],"INTEGRATION")&gt;0,"INTEGRATION ","")&amp;IF(COUNTIFS(tbl_Finance[Job Number],C56&amp;"",tbl_Finance[Cost Centre],"CONSULTING")&gt;0,"CONSULTING ","")&amp;IF(COUNTIFS(tbl_Finance[Job Number],C56&amp;"",tbl_Finance[Cost Centre],"CTS")&gt;0,"CTS ",""))," ",", ")))</f>
        <v/>
      </c>
      <c r="L56" s="24" t="n"/>
      <c r="M56" s="25">
        <f>IF(L56="","",HYPERLINK(IF(LEFT(L56,4)="http",L56,set_QwilrBase&amp;L56),"Open quote"))</f>
        <v/>
      </c>
      <c r="N56" s="26" t="n"/>
      <c r="O56" s="26" t="n"/>
      <c r="P56" s="26" t="n"/>
      <c r="Q56" s="25">
        <f>IF(C56="","",IF(N(N56)+N(O56)+N(P56)=0,"Not split",IF(ROUND(N(N56)+N(O56)+N(P56),2)=ROUND(H56,2),"OK","MISMATCH")))</f>
        <v/>
      </c>
      <c r="R56" s="26" t="n"/>
      <c r="S56" s="26" t="n"/>
      <c r="T56" s="26" t="n"/>
      <c r="U56" s="27">
        <f>IF(C56="","",N(R56)+N(S56)+N(T56))</f>
        <v/>
      </c>
      <c r="V56" s="27">
        <f>IF(C56="","",H56-U56)</f>
        <v/>
      </c>
      <c r="W56" s="29">
        <f>IFERROR(V56/H56,"")</f>
        <v/>
      </c>
      <c r="X56" s="24" t="n"/>
    </row>
    <row r="57" ht="15" customHeight="1">
      <c r="A57" s="63">
        <f>IF(C57="","",IFERROR(IF(SUMPRODUCT(MAX((tbl_Finance[Job Number]=C57&amp;"")*(tbl_Finance[Xero Invoice No]&lt;&gt;"")*tbl_Finance[Date]))=0,"",SUMPRODUCT(MAX((tbl_Finance[Job Number]=C57&amp;"")*(tbl_Finance[Xero Invoice No]&lt;&gt;"")*tbl_Finance[Date]))),""))</f>
        <v/>
      </c>
      <c r="B57" s="25">
        <f>IF(C57="","",IF(COUNTIFS(tbl_Finance[Job Number],C57&amp;"",tbl_Finance[Xero Invoice No],"&lt;&gt;")=0,"",IFERROR(IF(COUNTIFS(tbl_Finance[Job Number],C57&amp;"",tbl_Finance[Xero Invoice No],LOOKUP(2,1/((tbl_Finance[Job Number]=C57&amp;"")*(tbl_Finance[Xero Invoice No]&lt;&gt;"")),tbl_Finance[Xero Invoice No]))=COUNTIFS(tbl_Finance[Job Number],C57&amp;"",tbl_Finance[Xero Invoice No],"&lt;&gt;"),LOOKUP(2,1/((tbl_Finance[Job Number]=C57&amp;"")*(tbl_Finance[Xero Invoice No]&lt;&gt;"")),tbl_Finance[Xero Invoice No]),LOOKUP(2,1/((tbl_Finance[Job Number]=C57&amp;"")*(tbl_Finance[Xero Invoice No]&lt;&gt;"")),tbl_Finance[Xero Invoice No])&amp;" +more"),"")))</f>
        <v/>
      </c>
      <c r="C57" s="24" t="n"/>
      <c r="D57" s="25">
        <f>IF(C57="","",IF(COUNTIF(lst_Jobs,C57&amp;"")&gt;0,"OK","CHECK"))</f>
        <v/>
      </c>
      <c r="E57" s="25">
        <f>IF(C57="","",IFERROR(INDEX(lst_JobName,MATCH(C57&amp;"",lst_Jobs,0)),""))</f>
        <v/>
      </c>
      <c r="F57" s="25">
        <f>IF(C57="","",IFERROR(INDEX(tbl_Finance[Client],MATCH(C57&amp;"",tbl_Finance[Job Number],0)),""))</f>
        <v/>
      </c>
      <c r="G57" s="28">
        <f>IF(C57="","",COUNTIFS(tbl_Finance[Job Number],C57&amp;"",tbl_Finance[Ex GST],"&lt;&gt;"))</f>
        <v/>
      </c>
      <c r="H57" s="27">
        <f>IF(C57="","",SUMIFS(tbl_Finance[Ex GST],tbl_Finance[Job Number],C57&amp;""))</f>
        <v/>
      </c>
      <c r="I57" s="27">
        <f>IF(C57="","",SUMIFS(tbl_Finance[Ex GST],tbl_Finance[Job Number],C57&amp;"",tbl_Finance[Xero Invoice No],"&lt;&gt;"))</f>
        <v/>
      </c>
      <c r="J57" s="27">
        <f>IF(C57="","",H57-I57)</f>
        <v/>
      </c>
      <c r="K57" s="25">
        <f>IF(C57="","",IF(G57=0,"not invoiced yet",SUBSTITUTE(TRIM(IF(COUNTIFS(tbl_Finance[Job Number],C57&amp;"",tbl_Finance[Cost Centre],"ONSITE")&gt;0,"ONSITE ","")&amp;IF(COUNTIFS(tbl_Finance[Job Number],C57&amp;"",tbl_Finance[Cost Centre],"PRODUCTION")&gt;0,"PRODUCTION ","")&amp;IF(COUNTIFS(tbl_Finance[Job Number],C57&amp;"",tbl_Finance[Cost Centre],"VIDEO")&gt;0,"VIDEO ","")&amp;IF(COUNTIFS(tbl_Finance[Job Number],C57&amp;"",tbl_Finance[Cost Centre],"INTEGRATION")&gt;0,"INTEGRATION ","")&amp;IF(COUNTIFS(tbl_Finance[Job Number],C57&amp;"",tbl_Finance[Cost Centre],"CONSULTING")&gt;0,"CONSULTING ","")&amp;IF(COUNTIFS(tbl_Finance[Job Number],C57&amp;"",tbl_Finance[Cost Centre],"CTS")&gt;0,"CTS ",""))," ",", ")))</f>
        <v/>
      </c>
      <c r="L57" s="24" t="n"/>
      <c r="M57" s="25">
        <f>IF(L57="","",HYPERLINK(IF(LEFT(L57,4)="http",L57,set_QwilrBase&amp;L57),"Open quote"))</f>
        <v/>
      </c>
      <c r="N57" s="26" t="n"/>
      <c r="O57" s="26" t="n"/>
      <c r="P57" s="26" t="n"/>
      <c r="Q57" s="25">
        <f>IF(C57="","",IF(N(N57)+N(O57)+N(P57)=0,"Not split",IF(ROUND(N(N57)+N(O57)+N(P57),2)=ROUND(H57,2),"OK","MISMATCH")))</f>
        <v/>
      </c>
      <c r="R57" s="26" t="n"/>
      <c r="S57" s="26" t="n"/>
      <c r="T57" s="26" t="n"/>
      <c r="U57" s="27">
        <f>IF(C57="","",N(R57)+N(S57)+N(T57))</f>
        <v/>
      </c>
      <c r="V57" s="27">
        <f>IF(C57="","",H57-U57)</f>
        <v/>
      </c>
      <c r="W57" s="29">
        <f>IFERROR(V57/H57,"")</f>
        <v/>
      </c>
      <c r="X57" s="24" t="n"/>
    </row>
    <row r="58" ht="15" customHeight="1">
      <c r="A58" s="63">
        <f>IF(C58="","",IFERROR(IF(SUMPRODUCT(MAX((tbl_Finance[Job Number]=C58&amp;"")*(tbl_Finance[Xero Invoice No]&lt;&gt;"")*tbl_Finance[Date]))=0,"",SUMPRODUCT(MAX((tbl_Finance[Job Number]=C58&amp;"")*(tbl_Finance[Xero Invoice No]&lt;&gt;"")*tbl_Finance[Date]))),""))</f>
        <v/>
      </c>
      <c r="B58" s="25">
        <f>IF(C58="","",IF(COUNTIFS(tbl_Finance[Job Number],C58&amp;"",tbl_Finance[Xero Invoice No],"&lt;&gt;")=0,"",IFERROR(IF(COUNTIFS(tbl_Finance[Job Number],C58&amp;"",tbl_Finance[Xero Invoice No],LOOKUP(2,1/((tbl_Finance[Job Number]=C58&amp;"")*(tbl_Finance[Xero Invoice No]&lt;&gt;"")),tbl_Finance[Xero Invoice No]))=COUNTIFS(tbl_Finance[Job Number],C58&amp;"",tbl_Finance[Xero Invoice No],"&lt;&gt;"),LOOKUP(2,1/((tbl_Finance[Job Number]=C58&amp;"")*(tbl_Finance[Xero Invoice No]&lt;&gt;"")),tbl_Finance[Xero Invoice No]),LOOKUP(2,1/((tbl_Finance[Job Number]=C58&amp;"")*(tbl_Finance[Xero Invoice No]&lt;&gt;"")),tbl_Finance[Xero Invoice No])&amp;" +more"),"")))</f>
        <v/>
      </c>
      <c r="C58" s="24" t="n"/>
      <c r="D58" s="25">
        <f>IF(C58="","",IF(COUNTIF(lst_Jobs,C58&amp;"")&gt;0,"OK","CHECK"))</f>
        <v/>
      </c>
      <c r="E58" s="25">
        <f>IF(C58="","",IFERROR(INDEX(lst_JobName,MATCH(C58&amp;"",lst_Jobs,0)),""))</f>
        <v/>
      </c>
      <c r="F58" s="25">
        <f>IF(C58="","",IFERROR(INDEX(tbl_Finance[Client],MATCH(C58&amp;"",tbl_Finance[Job Number],0)),""))</f>
        <v/>
      </c>
      <c r="G58" s="28">
        <f>IF(C58="","",COUNTIFS(tbl_Finance[Job Number],C58&amp;"",tbl_Finance[Ex GST],"&lt;&gt;"))</f>
        <v/>
      </c>
      <c r="H58" s="27">
        <f>IF(C58="","",SUMIFS(tbl_Finance[Ex GST],tbl_Finance[Job Number],C58&amp;""))</f>
        <v/>
      </c>
      <c r="I58" s="27">
        <f>IF(C58="","",SUMIFS(tbl_Finance[Ex GST],tbl_Finance[Job Number],C58&amp;"",tbl_Finance[Xero Invoice No],"&lt;&gt;"))</f>
        <v/>
      </c>
      <c r="J58" s="27">
        <f>IF(C58="","",H58-I58)</f>
        <v/>
      </c>
      <c r="K58" s="25">
        <f>IF(C58="","",IF(G58=0,"not invoiced yet",SUBSTITUTE(TRIM(IF(COUNTIFS(tbl_Finance[Job Number],C58&amp;"",tbl_Finance[Cost Centre],"ONSITE")&gt;0,"ONSITE ","")&amp;IF(COUNTIFS(tbl_Finance[Job Number],C58&amp;"",tbl_Finance[Cost Centre],"PRODUCTION")&gt;0,"PRODUCTION ","")&amp;IF(COUNTIFS(tbl_Finance[Job Number],C58&amp;"",tbl_Finance[Cost Centre],"VIDEO")&gt;0,"VIDEO ","")&amp;IF(COUNTIFS(tbl_Finance[Job Number],C58&amp;"",tbl_Finance[Cost Centre],"INTEGRATION")&gt;0,"INTEGRATION ","")&amp;IF(COUNTIFS(tbl_Finance[Job Number],C58&amp;"",tbl_Finance[Cost Centre],"CONSULTING")&gt;0,"CONSULTING ","")&amp;IF(COUNTIFS(tbl_Finance[Job Number],C58&amp;"",tbl_Finance[Cost Centre],"CTS")&gt;0,"CTS ",""))," ",", ")))</f>
        <v/>
      </c>
      <c r="L58" s="24" t="n"/>
      <c r="M58" s="25">
        <f>IF(L58="","",HYPERLINK(IF(LEFT(L58,4)="http",L58,set_QwilrBase&amp;L58),"Open quote"))</f>
        <v/>
      </c>
      <c r="N58" s="26" t="n"/>
      <c r="O58" s="26" t="n"/>
      <c r="P58" s="26" t="n"/>
      <c r="Q58" s="25">
        <f>IF(C58="","",IF(N(N58)+N(O58)+N(P58)=0,"Not split",IF(ROUND(N(N58)+N(O58)+N(P58),2)=ROUND(H58,2),"OK","MISMATCH")))</f>
        <v/>
      </c>
      <c r="R58" s="26" t="n"/>
      <c r="S58" s="26" t="n"/>
      <c r="T58" s="26" t="n"/>
      <c r="U58" s="27">
        <f>IF(C58="","",N(R58)+N(S58)+N(T58))</f>
        <v/>
      </c>
      <c r="V58" s="27">
        <f>IF(C58="","",H58-U58)</f>
        <v/>
      </c>
      <c r="W58" s="29">
        <f>IFERROR(V58/H58,"")</f>
        <v/>
      </c>
      <c r="X58" s="24" t="n"/>
    </row>
    <row r="59" ht="15" customHeight="1">
      <c r="A59" s="63">
        <f>IF(C59="","",IFERROR(IF(SUMPRODUCT(MAX((tbl_Finance[Job Number]=C59&amp;"")*(tbl_Finance[Xero Invoice No]&lt;&gt;"")*tbl_Finance[Date]))=0,"",SUMPRODUCT(MAX((tbl_Finance[Job Number]=C59&amp;"")*(tbl_Finance[Xero Invoice No]&lt;&gt;"")*tbl_Finance[Date]))),""))</f>
        <v/>
      </c>
      <c r="B59" s="25">
        <f>IF(C59="","",IF(COUNTIFS(tbl_Finance[Job Number],C59&amp;"",tbl_Finance[Xero Invoice No],"&lt;&gt;")=0,"",IFERROR(IF(COUNTIFS(tbl_Finance[Job Number],C59&amp;"",tbl_Finance[Xero Invoice No],LOOKUP(2,1/((tbl_Finance[Job Number]=C59&amp;"")*(tbl_Finance[Xero Invoice No]&lt;&gt;"")),tbl_Finance[Xero Invoice No]))=COUNTIFS(tbl_Finance[Job Number],C59&amp;"",tbl_Finance[Xero Invoice No],"&lt;&gt;"),LOOKUP(2,1/((tbl_Finance[Job Number]=C59&amp;"")*(tbl_Finance[Xero Invoice No]&lt;&gt;"")),tbl_Finance[Xero Invoice No]),LOOKUP(2,1/((tbl_Finance[Job Number]=C59&amp;"")*(tbl_Finance[Xero Invoice No]&lt;&gt;"")),tbl_Finance[Xero Invoice No])&amp;" +more"),"")))</f>
        <v/>
      </c>
      <c r="C59" s="24" t="n"/>
      <c r="D59" s="25">
        <f>IF(C59="","",IF(COUNTIF(lst_Jobs,C59&amp;"")&gt;0,"OK","CHECK"))</f>
        <v/>
      </c>
      <c r="E59" s="25">
        <f>IF(C59="","",IFERROR(INDEX(lst_JobName,MATCH(C59&amp;"",lst_Jobs,0)),""))</f>
        <v/>
      </c>
      <c r="F59" s="25">
        <f>IF(C59="","",IFERROR(INDEX(tbl_Finance[Client],MATCH(C59&amp;"",tbl_Finance[Job Number],0)),""))</f>
        <v/>
      </c>
      <c r="G59" s="28">
        <f>IF(C59="","",COUNTIFS(tbl_Finance[Job Number],C59&amp;"",tbl_Finance[Ex GST],"&lt;&gt;"))</f>
        <v/>
      </c>
      <c r="H59" s="27">
        <f>IF(C59="","",SUMIFS(tbl_Finance[Ex GST],tbl_Finance[Job Number],C59&amp;""))</f>
        <v/>
      </c>
      <c r="I59" s="27">
        <f>IF(C59="","",SUMIFS(tbl_Finance[Ex GST],tbl_Finance[Job Number],C59&amp;"",tbl_Finance[Xero Invoice No],"&lt;&gt;"))</f>
        <v/>
      </c>
      <c r="J59" s="27">
        <f>IF(C59="","",H59-I59)</f>
        <v/>
      </c>
      <c r="K59" s="25">
        <f>IF(C59="","",IF(G59=0,"not invoiced yet",SUBSTITUTE(TRIM(IF(COUNTIFS(tbl_Finance[Job Number],C59&amp;"",tbl_Finance[Cost Centre],"ONSITE")&gt;0,"ONSITE ","")&amp;IF(COUNTIFS(tbl_Finance[Job Number],C59&amp;"",tbl_Finance[Cost Centre],"PRODUCTION")&gt;0,"PRODUCTION ","")&amp;IF(COUNTIFS(tbl_Finance[Job Number],C59&amp;"",tbl_Finance[Cost Centre],"VIDEO")&gt;0,"VIDEO ","")&amp;IF(COUNTIFS(tbl_Finance[Job Number],C59&amp;"",tbl_Finance[Cost Centre],"INTEGRATION")&gt;0,"INTEGRATION ","")&amp;IF(COUNTIFS(tbl_Finance[Job Number],C59&amp;"",tbl_Finance[Cost Centre],"CONSULTING")&gt;0,"CONSULTING ","")&amp;IF(COUNTIFS(tbl_Finance[Job Number],C59&amp;"",tbl_Finance[Cost Centre],"CTS")&gt;0,"CTS ",""))," ",", ")))</f>
        <v/>
      </c>
      <c r="L59" s="24" t="n"/>
      <c r="M59" s="25">
        <f>IF(L59="","",HYPERLINK(IF(LEFT(L59,4)="http",L59,set_QwilrBase&amp;L59),"Open quote"))</f>
        <v/>
      </c>
      <c r="N59" s="26" t="n"/>
      <c r="O59" s="26" t="n"/>
      <c r="P59" s="26" t="n"/>
      <c r="Q59" s="25">
        <f>IF(C59="","",IF(N(N59)+N(O59)+N(P59)=0,"Not split",IF(ROUND(N(N59)+N(O59)+N(P59),2)=ROUND(H59,2),"OK","MISMATCH")))</f>
        <v/>
      </c>
      <c r="R59" s="26" t="n"/>
      <c r="S59" s="26" t="n"/>
      <c r="T59" s="26" t="n"/>
      <c r="U59" s="27">
        <f>IF(C59="","",N(R59)+N(S59)+N(T59))</f>
        <v/>
      </c>
      <c r="V59" s="27">
        <f>IF(C59="","",H59-U59)</f>
        <v/>
      </c>
      <c r="W59" s="29">
        <f>IFERROR(V59/H59,"")</f>
        <v/>
      </c>
      <c r="X59" s="24" t="n"/>
    </row>
    <row r="60" ht="15" customHeight="1">
      <c r="A60" s="63">
        <f>IF(C60="","",IFERROR(IF(SUMPRODUCT(MAX((tbl_Finance[Job Number]=C60&amp;"")*(tbl_Finance[Xero Invoice No]&lt;&gt;"")*tbl_Finance[Date]))=0,"",SUMPRODUCT(MAX((tbl_Finance[Job Number]=C60&amp;"")*(tbl_Finance[Xero Invoice No]&lt;&gt;"")*tbl_Finance[Date]))),""))</f>
        <v/>
      </c>
      <c r="B60" s="25">
        <f>IF(C60="","",IF(COUNTIFS(tbl_Finance[Job Number],C60&amp;"",tbl_Finance[Xero Invoice No],"&lt;&gt;")=0,"",IFERROR(IF(COUNTIFS(tbl_Finance[Job Number],C60&amp;"",tbl_Finance[Xero Invoice No],LOOKUP(2,1/((tbl_Finance[Job Number]=C60&amp;"")*(tbl_Finance[Xero Invoice No]&lt;&gt;"")),tbl_Finance[Xero Invoice No]))=COUNTIFS(tbl_Finance[Job Number],C60&amp;"",tbl_Finance[Xero Invoice No],"&lt;&gt;"),LOOKUP(2,1/((tbl_Finance[Job Number]=C60&amp;"")*(tbl_Finance[Xero Invoice No]&lt;&gt;"")),tbl_Finance[Xero Invoice No]),LOOKUP(2,1/((tbl_Finance[Job Number]=C60&amp;"")*(tbl_Finance[Xero Invoice No]&lt;&gt;"")),tbl_Finance[Xero Invoice No])&amp;" +more"),"")))</f>
        <v/>
      </c>
      <c r="C60" s="24" t="n"/>
      <c r="D60" s="25">
        <f>IF(C60="","",IF(COUNTIF(lst_Jobs,C60&amp;"")&gt;0,"OK","CHECK"))</f>
        <v/>
      </c>
      <c r="E60" s="25">
        <f>IF(C60="","",IFERROR(INDEX(lst_JobName,MATCH(C60&amp;"",lst_Jobs,0)),""))</f>
        <v/>
      </c>
      <c r="F60" s="25">
        <f>IF(C60="","",IFERROR(INDEX(tbl_Finance[Client],MATCH(C60&amp;"",tbl_Finance[Job Number],0)),""))</f>
        <v/>
      </c>
      <c r="G60" s="28">
        <f>IF(C60="","",COUNTIFS(tbl_Finance[Job Number],C60&amp;"",tbl_Finance[Ex GST],"&lt;&gt;"))</f>
        <v/>
      </c>
      <c r="H60" s="27">
        <f>IF(C60="","",SUMIFS(tbl_Finance[Ex GST],tbl_Finance[Job Number],C60&amp;""))</f>
        <v/>
      </c>
      <c r="I60" s="27">
        <f>IF(C60="","",SUMIFS(tbl_Finance[Ex GST],tbl_Finance[Job Number],C60&amp;"",tbl_Finance[Xero Invoice No],"&lt;&gt;"))</f>
        <v/>
      </c>
      <c r="J60" s="27">
        <f>IF(C60="","",H60-I60)</f>
        <v/>
      </c>
      <c r="K60" s="25">
        <f>IF(C60="","",IF(G60=0,"not invoiced yet",SUBSTITUTE(TRIM(IF(COUNTIFS(tbl_Finance[Job Number],C60&amp;"",tbl_Finance[Cost Centre],"ONSITE")&gt;0,"ONSITE ","")&amp;IF(COUNTIFS(tbl_Finance[Job Number],C60&amp;"",tbl_Finance[Cost Centre],"PRODUCTION")&gt;0,"PRODUCTION ","")&amp;IF(COUNTIFS(tbl_Finance[Job Number],C60&amp;"",tbl_Finance[Cost Centre],"VIDEO")&gt;0,"VIDEO ","")&amp;IF(COUNTIFS(tbl_Finance[Job Number],C60&amp;"",tbl_Finance[Cost Centre],"INTEGRATION")&gt;0,"INTEGRATION ","")&amp;IF(COUNTIFS(tbl_Finance[Job Number],C60&amp;"",tbl_Finance[Cost Centre],"CONSULTING")&gt;0,"CONSULTING ","")&amp;IF(COUNTIFS(tbl_Finance[Job Number],C60&amp;"",tbl_Finance[Cost Centre],"CTS")&gt;0,"CTS ",""))," ",", ")))</f>
        <v/>
      </c>
      <c r="L60" s="24" t="n"/>
      <c r="M60" s="25">
        <f>IF(L60="","",HYPERLINK(IF(LEFT(L60,4)="http",L60,set_QwilrBase&amp;L60),"Open quote"))</f>
        <v/>
      </c>
      <c r="N60" s="26" t="n"/>
      <c r="O60" s="26" t="n"/>
      <c r="P60" s="26" t="n"/>
      <c r="Q60" s="25">
        <f>IF(C60="","",IF(N(N60)+N(O60)+N(P60)=0,"Not split",IF(ROUND(N(N60)+N(O60)+N(P60),2)=ROUND(H60,2),"OK","MISMATCH")))</f>
        <v/>
      </c>
      <c r="R60" s="26" t="n"/>
      <c r="S60" s="26" t="n"/>
      <c r="T60" s="26" t="n"/>
      <c r="U60" s="27">
        <f>IF(C60="","",N(R60)+N(S60)+N(T60))</f>
        <v/>
      </c>
      <c r="V60" s="27">
        <f>IF(C60="","",H60-U60)</f>
        <v/>
      </c>
      <c r="W60" s="29">
        <f>IFERROR(V60/H60,"")</f>
        <v/>
      </c>
      <c r="X60" s="24" t="n"/>
    </row>
    <row r="61" ht="15" customHeight="1">
      <c r="A61" s="63">
        <f>IF(C61="","",IFERROR(IF(SUMPRODUCT(MAX((tbl_Finance[Job Number]=C61&amp;"")*(tbl_Finance[Xero Invoice No]&lt;&gt;"")*tbl_Finance[Date]))=0,"",SUMPRODUCT(MAX((tbl_Finance[Job Number]=C61&amp;"")*(tbl_Finance[Xero Invoice No]&lt;&gt;"")*tbl_Finance[Date]))),""))</f>
        <v/>
      </c>
      <c r="B61" s="25">
        <f>IF(C61="","",IF(COUNTIFS(tbl_Finance[Job Number],C61&amp;"",tbl_Finance[Xero Invoice No],"&lt;&gt;")=0,"",IFERROR(IF(COUNTIFS(tbl_Finance[Job Number],C61&amp;"",tbl_Finance[Xero Invoice No],LOOKUP(2,1/((tbl_Finance[Job Number]=C61&amp;"")*(tbl_Finance[Xero Invoice No]&lt;&gt;"")),tbl_Finance[Xero Invoice No]))=COUNTIFS(tbl_Finance[Job Number],C61&amp;"",tbl_Finance[Xero Invoice No],"&lt;&gt;"),LOOKUP(2,1/((tbl_Finance[Job Number]=C61&amp;"")*(tbl_Finance[Xero Invoice No]&lt;&gt;"")),tbl_Finance[Xero Invoice No]),LOOKUP(2,1/((tbl_Finance[Job Number]=C61&amp;"")*(tbl_Finance[Xero Invoice No]&lt;&gt;"")),tbl_Finance[Xero Invoice No])&amp;" +more"),"")))</f>
        <v/>
      </c>
      <c r="C61" s="24" t="n"/>
      <c r="D61" s="25">
        <f>IF(C61="","",IF(COUNTIF(lst_Jobs,C61&amp;"")&gt;0,"OK","CHECK"))</f>
        <v/>
      </c>
      <c r="E61" s="25">
        <f>IF(C61="","",IFERROR(INDEX(lst_JobName,MATCH(C61&amp;"",lst_Jobs,0)),""))</f>
        <v/>
      </c>
      <c r="F61" s="25">
        <f>IF(C61="","",IFERROR(INDEX(tbl_Finance[Client],MATCH(C61&amp;"",tbl_Finance[Job Number],0)),""))</f>
        <v/>
      </c>
      <c r="G61" s="28">
        <f>IF(C61="","",COUNTIFS(tbl_Finance[Job Number],C61&amp;"",tbl_Finance[Ex GST],"&lt;&gt;"))</f>
        <v/>
      </c>
      <c r="H61" s="27">
        <f>IF(C61="","",SUMIFS(tbl_Finance[Ex GST],tbl_Finance[Job Number],C61&amp;""))</f>
        <v/>
      </c>
      <c r="I61" s="27">
        <f>IF(C61="","",SUMIFS(tbl_Finance[Ex GST],tbl_Finance[Job Number],C61&amp;"",tbl_Finance[Xero Invoice No],"&lt;&gt;"))</f>
        <v/>
      </c>
      <c r="J61" s="27">
        <f>IF(C61="","",H61-I61)</f>
        <v/>
      </c>
      <c r="K61" s="25">
        <f>IF(C61="","",IF(G61=0,"not invoiced yet",SUBSTITUTE(TRIM(IF(COUNTIFS(tbl_Finance[Job Number],C61&amp;"",tbl_Finance[Cost Centre],"ONSITE")&gt;0,"ONSITE ","")&amp;IF(COUNTIFS(tbl_Finance[Job Number],C61&amp;"",tbl_Finance[Cost Centre],"PRODUCTION")&gt;0,"PRODUCTION ","")&amp;IF(COUNTIFS(tbl_Finance[Job Number],C61&amp;"",tbl_Finance[Cost Centre],"VIDEO")&gt;0,"VIDEO ","")&amp;IF(COUNTIFS(tbl_Finance[Job Number],C61&amp;"",tbl_Finance[Cost Centre],"INTEGRATION")&gt;0,"INTEGRATION ","")&amp;IF(COUNTIFS(tbl_Finance[Job Number],C61&amp;"",tbl_Finance[Cost Centre],"CONSULTING")&gt;0,"CONSULTING ","")&amp;IF(COUNTIFS(tbl_Finance[Job Number],C61&amp;"",tbl_Finance[Cost Centre],"CTS")&gt;0,"CTS ",""))," ",", ")))</f>
        <v/>
      </c>
      <c r="L61" s="24" t="n"/>
      <c r="M61" s="25">
        <f>IF(L61="","",HYPERLINK(IF(LEFT(L61,4)="http",L61,set_QwilrBase&amp;L61),"Open quote"))</f>
        <v/>
      </c>
      <c r="N61" s="26" t="n"/>
      <c r="O61" s="26" t="n"/>
      <c r="P61" s="26" t="n"/>
      <c r="Q61" s="25">
        <f>IF(C61="","",IF(N(N61)+N(O61)+N(P61)=0,"Not split",IF(ROUND(N(N61)+N(O61)+N(P61),2)=ROUND(H61,2),"OK","MISMATCH")))</f>
        <v/>
      </c>
      <c r="R61" s="26" t="n"/>
      <c r="S61" s="26" t="n"/>
      <c r="T61" s="26" t="n"/>
      <c r="U61" s="27">
        <f>IF(C61="","",N(R61)+N(S61)+N(T61))</f>
        <v/>
      </c>
      <c r="V61" s="27">
        <f>IF(C61="","",H61-U61)</f>
        <v/>
      </c>
      <c r="W61" s="29">
        <f>IFERROR(V61/H61,"")</f>
        <v/>
      </c>
      <c r="X61" s="24" t="n"/>
    </row>
    <row r="62" ht="15" customHeight="1">
      <c r="A62" s="63">
        <f>IF(C62="","",IFERROR(IF(SUMPRODUCT(MAX((tbl_Finance[Job Number]=C62&amp;"")*(tbl_Finance[Xero Invoice No]&lt;&gt;"")*tbl_Finance[Date]))=0,"",SUMPRODUCT(MAX((tbl_Finance[Job Number]=C62&amp;"")*(tbl_Finance[Xero Invoice No]&lt;&gt;"")*tbl_Finance[Date]))),""))</f>
        <v/>
      </c>
      <c r="B62" s="25">
        <f>IF(C62="","",IF(COUNTIFS(tbl_Finance[Job Number],C62&amp;"",tbl_Finance[Xero Invoice No],"&lt;&gt;")=0,"",IFERROR(IF(COUNTIFS(tbl_Finance[Job Number],C62&amp;"",tbl_Finance[Xero Invoice No],LOOKUP(2,1/((tbl_Finance[Job Number]=C62&amp;"")*(tbl_Finance[Xero Invoice No]&lt;&gt;"")),tbl_Finance[Xero Invoice No]))=COUNTIFS(tbl_Finance[Job Number],C62&amp;"",tbl_Finance[Xero Invoice No],"&lt;&gt;"),LOOKUP(2,1/((tbl_Finance[Job Number]=C62&amp;"")*(tbl_Finance[Xero Invoice No]&lt;&gt;"")),tbl_Finance[Xero Invoice No]),LOOKUP(2,1/((tbl_Finance[Job Number]=C62&amp;"")*(tbl_Finance[Xero Invoice No]&lt;&gt;"")),tbl_Finance[Xero Invoice No])&amp;" +more"),"")))</f>
        <v/>
      </c>
      <c r="C62" s="24" t="n"/>
      <c r="D62" s="25">
        <f>IF(C62="","",IF(COUNTIF(lst_Jobs,C62&amp;"")&gt;0,"OK","CHECK"))</f>
        <v/>
      </c>
      <c r="E62" s="25">
        <f>IF(C62="","",IFERROR(INDEX(lst_JobName,MATCH(C62&amp;"",lst_Jobs,0)),""))</f>
        <v/>
      </c>
      <c r="F62" s="25">
        <f>IF(C62="","",IFERROR(INDEX(tbl_Finance[Client],MATCH(C62&amp;"",tbl_Finance[Job Number],0)),""))</f>
        <v/>
      </c>
      <c r="G62" s="28">
        <f>IF(C62="","",COUNTIFS(tbl_Finance[Job Number],C62&amp;"",tbl_Finance[Ex GST],"&lt;&gt;"))</f>
        <v/>
      </c>
      <c r="H62" s="27">
        <f>IF(C62="","",SUMIFS(tbl_Finance[Ex GST],tbl_Finance[Job Number],C62&amp;""))</f>
        <v/>
      </c>
      <c r="I62" s="27">
        <f>IF(C62="","",SUMIFS(tbl_Finance[Ex GST],tbl_Finance[Job Number],C62&amp;"",tbl_Finance[Xero Invoice No],"&lt;&gt;"))</f>
        <v/>
      </c>
      <c r="J62" s="27">
        <f>IF(C62="","",H62-I62)</f>
        <v/>
      </c>
      <c r="K62" s="25">
        <f>IF(C62="","",IF(G62=0,"not invoiced yet",SUBSTITUTE(TRIM(IF(COUNTIFS(tbl_Finance[Job Number],C62&amp;"",tbl_Finance[Cost Centre],"ONSITE")&gt;0,"ONSITE ","")&amp;IF(COUNTIFS(tbl_Finance[Job Number],C62&amp;"",tbl_Finance[Cost Centre],"PRODUCTION")&gt;0,"PRODUCTION ","")&amp;IF(COUNTIFS(tbl_Finance[Job Number],C62&amp;"",tbl_Finance[Cost Centre],"VIDEO")&gt;0,"VIDEO ","")&amp;IF(COUNTIFS(tbl_Finance[Job Number],C62&amp;"",tbl_Finance[Cost Centre],"INTEGRATION")&gt;0,"INTEGRATION ","")&amp;IF(COUNTIFS(tbl_Finance[Job Number],C62&amp;"",tbl_Finance[Cost Centre],"CONSULTING")&gt;0,"CONSULTING ","")&amp;IF(COUNTIFS(tbl_Finance[Job Number],C62&amp;"",tbl_Finance[Cost Centre],"CTS")&gt;0,"CTS ",""))," ",", ")))</f>
        <v/>
      </c>
      <c r="L62" s="24" t="n"/>
      <c r="M62" s="25">
        <f>IF(L62="","",HYPERLINK(IF(LEFT(L62,4)="http",L62,set_QwilrBase&amp;L62),"Open quote"))</f>
        <v/>
      </c>
      <c r="N62" s="26" t="n"/>
      <c r="O62" s="26" t="n"/>
      <c r="P62" s="26" t="n"/>
      <c r="Q62" s="25">
        <f>IF(C62="","",IF(N(N62)+N(O62)+N(P62)=0,"Not split",IF(ROUND(N(N62)+N(O62)+N(P62),2)=ROUND(H62,2),"OK","MISMATCH")))</f>
        <v/>
      </c>
      <c r="R62" s="26" t="n"/>
      <c r="S62" s="26" t="n"/>
      <c r="T62" s="26" t="n"/>
      <c r="U62" s="27">
        <f>IF(C62="","",N(R62)+N(S62)+N(T62))</f>
        <v/>
      </c>
      <c r="V62" s="27">
        <f>IF(C62="","",H62-U62)</f>
        <v/>
      </c>
      <c r="W62" s="29">
        <f>IFERROR(V62/H62,"")</f>
        <v/>
      </c>
      <c r="X62" s="24" t="n"/>
    </row>
    <row r="63" ht="15" customHeight="1">
      <c r="A63" s="63">
        <f>IF(C63="","",IFERROR(IF(SUMPRODUCT(MAX((tbl_Finance[Job Number]=C63&amp;"")*(tbl_Finance[Xero Invoice No]&lt;&gt;"")*tbl_Finance[Date]))=0,"",SUMPRODUCT(MAX((tbl_Finance[Job Number]=C63&amp;"")*(tbl_Finance[Xero Invoice No]&lt;&gt;"")*tbl_Finance[Date]))),""))</f>
        <v/>
      </c>
      <c r="B63" s="25">
        <f>IF(C63="","",IF(COUNTIFS(tbl_Finance[Job Number],C63&amp;"",tbl_Finance[Xero Invoice No],"&lt;&gt;")=0,"",IFERROR(IF(COUNTIFS(tbl_Finance[Job Number],C63&amp;"",tbl_Finance[Xero Invoice No],LOOKUP(2,1/((tbl_Finance[Job Number]=C63&amp;"")*(tbl_Finance[Xero Invoice No]&lt;&gt;"")),tbl_Finance[Xero Invoice No]))=COUNTIFS(tbl_Finance[Job Number],C63&amp;"",tbl_Finance[Xero Invoice No],"&lt;&gt;"),LOOKUP(2,1/((tbl_Finance[Job Number]=C63&amp;"")*(tbl_Finance[Xero Invoice No]&lt;&gt;"")),tbl_Finance[Xero Invoice No]),LOOKUP(2,1/((tbl_Finance[Job Number]=C63&amp;"")*(tbl_Finance[Xero Invoice No]&lt;&gt;"")),tbl_Finance[Xero Invoice No])&amp;" +more"),"")))</f>
        <v/>
      </c>
      <c r="C63" s="24" t="n"/>
      <c r="D63" s="25">
        <f>IF(C63="","",IF(COUNTIF(lst_Jobs,C63&amp;"")&gt;0,"OK","CHECK"))</f>
        <v/>
      </c>
      <c r="E63" s="25">
        <f>IF(C63="","",IFERROR(INDEX(lst_JobName,MATCH(C63&amp;"",lst_Jobs,0)),""))</f>
        <v/>
      </c>
      <c r="F63" s="25">
        <f>IF(C63="","",IFERROR(INDEX(tbl_Finance[Client],MATCH(C63&amp;"",tbl_Finance[Job Number],0)),""))</f>
        <v/>
      </c>
      <c r="G63" s="28">
        <f>IF(C63="","",COUNTIFS(tbl_Finance[Job Number],C63&amp;"",tbl_Finance[Ex GST],"&lt;&gt;"))</f>
        <v/>
      </c>
      <c r="H63" s="27">
        <f>IF(C63="","",SUMIFS(tbl_Finance[Ex GST],tbl_Finance[Job Number],C63&amp;""))</f>
        <v/>
      </c>
      <c r="I63" s="27">
        <f>IF(C63="","",SUMIFS(tbl_Finance[Ex GST],tbl_Finance[Job Number],C63&amp;"",tbl_Finance[Xero Invoice No],"&lt;&gt;"))</f>
        <v/>
      </c>
      <c r="J63" s="27">
        <f>IF(C63="","",H63-I63)</f>
        <v/>
      </c>
      <c r="K63" s="25">
        <f>IF(C63="","",IF(G63=0,"not invoiced yet",SUBSTITUTE(TRIM(IF(COUNTIFS(tbl_Finance[Job Number],C63&amp;"",tbl_Finance[Cost Centre],"ONSITE")&gt;0,"ONSITE ","")&amp;IF(COUNTIFS(tbl_Finance[Job Number],C63&amp;"",tbl_Finance[Cost Centre],"PRODUCTION")&gt;0,"PRODUCTION ","")&amp;IF(COUNTIFS(tbl_Finance[Job Number],C63&amp;"",tbl_Finance[Cost Centre],"VIDEO")&gt;0,"VIDEO ","")&amp;IF(COUNTIFS(tbl_Finance[Job Number],C63&amp;"",tbl_Finance[Cost Centre],"INTEGRATION")&gt;0,"INTEGRATION ","")&amp;IF(COUNTIFS(tbl_Finance[Job Number],C63&amp;"",tbl_Finance[Cost Centre],"CONSULTING")&gt;0,"CONSULTING ","")&amp;IF(COUNTIFS(tbl_Finance[Job Number],C63&amp;"",tbl_Finance[Cost Centre],"CTS")&gt;0,"CTS ",""))," ",", ")))</f>
        <v/>
      </c>
      <c r="L63" s="24" t="n"/>
      <c r="M63" s="25">
        <f>IF(L63="","",HYPERLINK(IF(LEFT(L63,4)="http",L63,set_QwilrBase&amp;L63),"Open quote"))</f>
        <v/>
      </c>
      <c r="N63" s="26" t="n"/>
      <c r="O63" s="26" t="n"/>
      <c r="P63" s="26" t="n"/>
      <c r="Q63" s="25">
        <f>IF(C63="","",IF(N(N63)+N(O63)+N(P63)=0,"Not split",IF(ROUND(N(N63)+N(O63)+N(P63),2)=ROUND(H63,2),"OK","MISMATCH")))</f>
        <v/>
      </c>
      <c r="R63" s="26" t="n"/>
      <c r="S63" s="26" t="n"/>
      <c r="T63" s="26" t="n"/>
      <c r="U63" s="27">
        <f>IF(C63="","",N(R63)+N(S63)+N(T63))</f>
        <v/>
      </c>
      <c r="V63" s="27">
        <f>IF(C63="","",H63-U63)</f>
        <v/>
      </c>
      <c r="W63" s="29">
        <f>IFERROR(V63/H63,"")</f>
        <v/>
      </c>
      <c r="X63" s="24" t="n"/>
    </row>
    <row r="64" ht="15" customHeight="1">
      <c r="A64" s="63">
        <f>IF(C64="","",IFERROR(IF(SUMPRODUCT(MAX((tbl_Finance[Job Number]=C64&amp;"")*(tbl_Finance[Xero Invoice No]&lt;&gt;"")*tbl_Finance[Date]))=0,"",SUMPRODUCT(MAX((tbl_Finance[Job Number]=C64&amp;"")*(tbl_Finance[Xero Invoice No]&lt;&gt;"")*tbl_Finance[Date]))),""))</f>
        <v/>
      </c>
      <c r="B64" s="25">
        <f>IF(C64="","",IF(COUNTIFS(tbl_Finance[Job Number],C64&amp;"",tbl_Finance[Xero Invoice No],"&lt;&gt;")=0,"",IFERROR(IF(COUNTIFS(tbl_Finance[Job Number],C64&amp;"",tbl_Finance[Xero Invoice No],LOOKUP(2,1/((tbl_Finance[Job Number]=C64&amp;"")*(tbl_Finance[Xero Invoice No]&lt;&gt;"")),tbl_Finance[Xero Invoice No]))=COUNTIFS(tbl_Finance[Job Number],C64&amp;"",tbl_Finance[Xero Invoice No],"&lt;&gt;"),LOOKUP(2,1/((tbl_Finance[Job Number]=C64&amp;"")*(tbl_Finance[Xero Invoice No]&lt;&gt;"")),tbl_Finance[Xero Invoice No]),LOOKUP(2,1/((tbl_Finance[Job Number]=C64&amp;"")*(tbl_Finance[Xero Invoice No]&lt;&gt;"")),tbl_Finance[Xero Invoice No])&amp;" +more"),"")))</f>
        <v/>
      </c>
      <c r="C64" s="24" t="n"/>
      <c r="D64" s="25">
        <f>IF(C64="","",IF(COUNTIF(lst_Jobs,C64&amp;"")&gt;0,"OK","CHECK"))</f>
        <v/>
      </c>
      <c r="E64" s="25">
        <f>IF(C64="","",IFERROR(INDEX(lst_JobName,MATCH(C64&amp;"",lst_Jobs,0)),""))</f>
        <v/>
      </c>
      <c r="F64" s="25">
        <f>IF(C64="","",IFERROR(INDEX(tbl_Finance[Client],MATCH(C64&amp;"",tbl_Finance[Job Number],0)),""))</f>
        <v/>
      </c>
      <c r="G64" s="28">
        <f>IF(C64="","",COUNTIFS(tbl_Finance[Job Number],C64&amp;"",tbl_Finance[Ex GST],"&lt;&gt;"))</f>
        <v/>
      </c>
      <c r="H64" s="27">
        <f>IF(C64="","",SUMIFS(tbl_Finance[Ex GST],tbl_Finance[Job Number],C64&amp;""))</f>
        <v/>
      </c>
      <c r="I64" s="27">
        <f>IF(C64="","",SUMIFS(tbl_Finance[Ex GST],tbl_Finance[Job Number],C64&amp;"",tbl_Finance[Xero Invoice No],"&lt;&gt;"))</f>
        <v/>
      </c>
      <c r="J64" s="27">
        <f>IF(C64="","",H64-I64)</f>
        <v/>
      </c>
      <c r="K64" s="25">
        <f>IF(C64="","",IF(G64=0,"not invoiced yet",SUBSTITUTE(TRIM(IF(COUNTIFS(tbl_Finance[Job Number],C64&amp;"",tbl_Finance[Cost Centre],"ONSITE")&gt;0,"ONSITE ","")&amp;IF(COUNTIFS(tbl_Finance[Job Number],C64&amp;"",tbl_Finance[Cost Centre],"PRODUCTION")&gt;0,"PRODUCTION ","")&amp;IF(COUNTIFS(tbl_Finance[Job Number],C64&amp;"",tbl_Finance[Cost Centre],"VIDEO")&gt;0,"VIDEO ","")&amp;IF(COUNTIFS(tbl_Finance[Job Number],C64&amp;"",tbl_Finance[Cost Centre],"INTEGRATION")&gt;0,"INTEGRATION ","")&amp;IF(COUNTIFS(tbl_Finance[Job Number],C64&amp;"",tbl_Finance[Cost Centre],"CONSULTING")&gt;0,"CONSULTING ","")&amp;IF(COUNTIFS(tbl_Finance[Job Number],C64&amp;"",tbl_Finance[Cost Centre],"CTS")&gt;0,"CTS ",""))," ",", ")))</f>
        <v/>
      </c>
      <c r="L64" s="24" t="n"/>
      <c r="M64" s="25">
        <f>IF(L64="","",HYPERLINK(IF(LEFT(L64,4)="http",L64,set_QwilrBase&amp;L64),"Open quote"))</f>
        <v/>
      </c>
      <c r="N64" s="26" t="n"/>
      <c r="O64" s="26" t="n"/>
      <c r="P64" s="26" t="n"/>
      <c r="Q64" s="25">
        <f>IF(C64="","",IF(N(N64)+N(O64)+N(P64)=0,"Not split",IF(ROUND(N(N64)+N(O64)+N(P64),2)=ROUND(H64,2),"OK","MISMATCH")))</f>
        <v/>
      </c>
      <c r="R64" s="26" t="n"/>
      <c r="S64" s="26" t="n"/>
      <c r="T64" s="26" t="n"/>
      <c r="U64" s="27">
        <f>IF(C64="","",N(R64)+N(S64)+N(T64))</f>
        <v/>
      </c>
      <c r="V64" s="27">
        <f>IF(C64="","",H64-U64)</f>
        <v/>
      </c>
      <c r="W64" s="29">
        <f>IFERROR(V64/H64,"")</f>
        <v/>
      </c>
      <c r="X64" s="24" t="n"/>
    </row>
    <row r="65" ht="15" customHeight="1">
      <c r="A65" s="63">
        <f>IF(C65="","",IFERROR(IF(SUMPRODUCT(MAX((tbl_Finance[Job Number]=C65&amp;"")*(tbl_Finance[Xero Invoice No]&lt;&gt;"")*tbl_Finance[Date]))=0,"",SUMPRODUCT(MAX((tbl_Finance[Job Number]=C65&amp;"")*(tbl_Finance[Xero Invoice No]&lt;&gt;"")*tbl_Finance[Date]))),""))</f>
        <v/>
      </c>
      <c r="B65" s="25">
        <f>IF(C65="","",IF(COUNTIFS(tbl_Finance[Job Number],C65&amp;"",tbl_Finance[Xero Invoice No],"&lt;&gt;")=0,"",IFERROR(IF(COUNTIFS(tbl_Finance[Job Number],C65&amp;"",tbl_Finance[Xero Invoice No],LOOKUP(2,1/((tbl_Finance[Job Number]=C65&amp;"")*(tbl_Finance[Xero Invoice No]&lt;&gt;"")),tbl_Finance[Xero Invoice No]))=COUNTIFS(tbl_Finance[Job Number],C65&amp;"",tbl_Finance[Xero Invoice No],"&lt;&gt;"),LOOKUP(2,1/((tbl_Finance[Job Number]=C65&amp;"")*(tbl_Finance[Xero Invoice No]&lt;&gt;"")),tbl_Finance[Xero Invoice No]),LOOKUP(2,1/((tbl_Finance[Job Number]=C65&amp;"")*(tbl_Finance[Xero Invoice No]&lt;&gt;"")),tbl_Finance[Xero Invoice No])&amp;" +more"),"")))</f>
        <v/>
      </c>
      <c r="C65" s="24" t="n"/>
      <c r="D65" s="25">
        <f>IF(C65="","",IF(COUNTIF(lst_Jobs,C65&amp;"")&gt;0,"OK","CHECK"))</f>
        <v/>
      </c>
      <c r="E65" s="25">
        <f>IF(C65="","",IFERROR(INDEX(lst_JobName,MATCH(C65&amp;"",lst_Jobs,0)),""))</f>
        <v/>
      </c>
      <c r="F65" s="25">
        <f>IF(C65="","",IFERROR(INDEX(tbl_Finance[Client],MATCH(C65&amp;"",tbl_Finance[Job Number],0)),""))</f>
        <v/>
      </c>
      <c r="G65" s="28">
        <f>IF(C65="","",COUNTIFS(tbl_Finance[Job Number],C65&amp;"",tbl_Finance[Ex GST],"&lt;&gt;"))</f>
        <v/>
      </c>
      <c r="H65" s="27">
        <f>IF(C65="","",SUMIFS(tbl_Finance[Ex GST],tbl_Finance[Job Number],C65&amp;""))</f>
        <v/>
      </c>
      <c r="I65" s="27">
        <f>IF(C65="","",SUMIFS(tbl_Finance[Ex GST],tbl_Finance[Job Number],C65&amp;"",tbl_Finance[Xero Invoice No],"&lt;&gt;"))</f>
        <v/>
      </c>
      <c r="J65" s="27">
        <f>IF(C65="","",H65-I65)</f>
        <v/>
      </c>
      <c r="K65" s="25">
        <f>IF(C65="","",IF(G65=0,"not invoiced yet",SUBSTITUTE(TRIM(IF(COUNTIFS(tbl_Finance[Job Number],C65&amp;"",tbl_Finance[Cost Centre],"ONSITE")&gt;0,"ONSITE ","")&amp;IF(COUNTIFS(tbl_Finance[Job Number],C65&amp;"",tbl_Finance[Cost Centre],"PRODUCTION")&gt;0,"PRODUCTION ","")&amp;IF(COUNTIFS(tbl_Finance[Job Number],C65&amp;"",tbl_Finance[Cost Centre],"VIDEO")&gt;0,"VIDEO ","")&amp;IF(COUNTIFS(tbl_Finance[Job Number],C65&amp;"",tbl_Finance[Cost Centre],"INTEGRATION")&gt;0,"INTEGRATION ","")&amp;IF(COUNTIFS(tbl_Finance[Job Number],C65&amp;"",tbl_Finance[Cost Centre],"CONSULTING")&gt;0,"CONSULTING ","")&amp;IF(COUNTIFS(tbl_Finance[Job Number],C65&amp;"",tbl_Finance[Cost Centre],"CTS")&gt;0,"CTS ",""))," ",", ")))</f>
        <v/>
      </c>
      <c r="L65" s="24" t="n"/>
      <c r="M65" s="25">
        <f>IF(L65="","",HYPERLINK(IF(LEFT(L65,4)="http",L65,set_QwilrBase&amp;L65),"Open quote"))</f>
        <v/>
      </c>
      <c r="N65" s="26" t="n"/>
      <c r="O65" s="26" t="n"/>
      <c r="P65" s="26" t="n"/>
      <c r="Q65" s="25">
        <f>IF(C65="","",IF(N(N65)+N(O65)+N(P65)=0,"Not split",IF(ROUND(N(N65)+N(O65)+N(P65),2)=ROUND(H65,2),"OK","MISMATCH")))</f>
        <v/>
      </c>
      <c r="R65" s="26" t="n"/>
      <c r="S65" s="26" t="n"/>
      <c r="T65" s="26" t="n"/>
      <c r="U65" s="27">
        <f>IF(C65="","",N(R65)+N(S65)+N(T65))</f>
        <v/>
      </c>
      <c r="V65" s="27">
        <f>IF(C65="","",H65-U65)</f>
        <v/>
      </c>
      <c r="W65" s="29">
        <f>IFERROR(V65/H65,"")</f>
        <v/>
      </c>
      <c r="X65" s="24" t="n"/>
    </row>
    <row r="66" ht="15" customHeight="1">
      <c r="A66" s="63">
        <f>IF(C66="","",IFERROR(IF(SUMPRODUCT(MAX((tbl_Finance[Job Number]=C66&amp;"")*(tbl_Finance[Xero Invoice No]&lt;&gt;"")*tbl_Finance[Date]))=0,"",SUMPRODUCT(MAX((tbl_Finance[Job Number]=C66&amp;"")*(tbl_Finance[Xero Invoice No]&lt;&gt;"")*tbl_Finance[Date]))),""))</f>
        <v/>
      </c>
      <c r="B66" s="25">
        <f>IF(C66="","",IF(COUNTIFS(tbl_Finance[Job Number],C66&amp;"",tbl_Finance[Xero Invoice No],"&lt;&gt;")=0,"",IFERROR(IF(COUNTIFS(tbl_Finance[Job Number],C66&amp;"",tbl_Finance[Xero Invoice No],LOOKUP(2,1/((tbl_Finance[Job Number]=C66&amp;"")*(tbl_Finance[Xero Invoice No]&lt;&gt;"")),tbl_Finance[Xero Invoice No]))=COUNTIFS(tbl_Finance[Job Number],C66&amp;"",tbl_Finance[Xero Invoice No],"&lt;&gt;"),LOOKUP(2,1/((tbl_Finance[Job Number]=C66&amp;"")*(tbl_Finance[Xero Invoice No]&lt;&gt;"")),tbl_Finance[Xero Invoice No]),LOOKUP(2,1/((tbl_Finance[Job Number]=C66&amp;"")*(tbl_Finance[Xero Invoice No]&lt;&gt;"")),tbl_Finance[Xero Invoice No])&amp;" +more"),"")))</f>
        <v/>
      </c>
      <c r="C66" s="24" t="n"/>
      <c r="D66" s="25">
        <f>IF(C66="","",IF(COUNTIF(lst_Jobs,C66&amp;"")&gt;0,"OK","CHECK"))</f>
        <v/>
      </c>
      <c r="E66" s="25">
        <f>IF(C66="","",IFERROR(INDEX(lst_JobName,MATCH(C66&amp;"",lst_Jobs,0)),""))</f>
        <v/>
      </c>
      <c r="F66" s="25">
        <f>IF(C66="","",IFERROR(INDEX(tbl_Finance[Client],MATCH(C66&amp;"",tbl_Finance[Job Number],0)),""))</f>
        <v/>
      </c>
      <c r="G66" s="28">
        <f>IF(C66="","",COUNTIFS(tbl_Finance[Job Number],C66&amp;"",tbl_Finance[Ex GST],"&lt;&gt;"))</f>
        <v/>
      </c>
      <c r="H66" s="27">
        <f>IF(C66="","",SUMIFS(tbl_Finance[Ex GST],tbl_Finance[Job Number],C66&amp;""))</f>
        <v/>
      </c>
      <c r="I66" s="27">
        <f>IF(C66="","",SUMIFS(tbl_Finance[Ex GST],tbl_Finance[Job Number],C66&amp;"",tbl_Finance[Xero Invoice No],"&lt;&gt;"))</f>
        <v/>
      </c>
      <c r="J66" s="27">
        <f>IF(C66="","",H66-I66)</f>
        <v/>
      </c>
      <c r="K66" s="25">
        <f>IF(C66="","",IF(G66=0,"not invoiced yet",SUBSTITUTE(TRIM(IF(COUNTIFS(tbl_Finance[Job Number],C66&amp;"",tbl_Finance[Cost Centre],"ONSITE")&gt;0,"ONSITE ","")&amp;IF(COUNTIFS(tbl_Finance[Job Number],C66&amp;"",tbl_Finance[Cost Centre],"PRODUCTION")&gt;0,"PRODUCTION ","")&amp;IF(COUNTIFS(tbl_Finance[Job Number],C66&amp;"",tbl_Finance[Cost Centre],"VIDEO")&gt;0,"VIDEO ","")&amp;IF(COUNTIFS(tbl_Finance[Job Number],C66&amp;"",tbl_Finance[Cost Centre],"INTEGRATION")&gt;0,"INTEGRATION ","")&amp;IF(COUNTIFS(tbl_Finance[Job Number],C66&amp;"",tbl_Finance[Cost Centre],"CONSULTING")&gt;0,"CONSULTING ","")&amp;IF(COUNTIFS(tbl_Finance[Job Number],C66&amp;"",tbl_Finance[Cost Centre],"CTS")&gt;0,"CTS ",""))," ",", ")))</f>
        <v/>
      </c>
      <c r="L66" s="24" t="n"/>
      <c r="M66" s="25">
        <f>IF(L66="","",HYPERLINK(IF(LEFT(L66,4)="http",L66,set_QwilrBase&amp;L66),"Open quote"))</f>
        <v/>
      </c>
      <c r="N66" s="26" t="n"/>
      <c r="O66" s="26" t="n"/>
      <c r="P66" s="26" t="n"/>
      <c r="Q66" s="25">
        <f>IF(C66="","",IF(N(N66)+N(O66)+N(P66)=0,"Not split",IF(ROUND(N(N66)+N(O66)+N(P66),2)=ROUND(H66,2),"OK","MISMATCH")))</f>
        <v/>
      </c>
      <c r="R66" s="26" t="n"/>
      <c r="S66" s="26" t="n"/>
      <c r="T66" s="26" t="n"/>
      <c r="U66" s="27">
        <f>IF(C66="","",N(R66)+N(S66)+N(T66))</f>
        <v/>
      </c>
      <c r="V66" s="27">
        <f>IF(C66="","",H66-U66)</f>
        <v/>
      </c>
      <c r="W66" s="29">
        <f>IFERROR(V66/H66,"")</f>
        <v/>
      </c>
      <c r="X66" s="24" t="n"/>
    </row>
    <row r="67" ht="15" customHeight="1">
      <c r="A67" s="63">
        <f>IF(C67="","",IFERROR(IF(SUMPRODUCT(MAX((tbl_Finance[Job Number]=C67&amp;"")*(tbl_Finance[Xero Invoice No]&lt;&gt;"")*tbl_Finance[Date]))=0,"",SUMPRODUCT(MAX((tbl_Finance[Job Number]=C67&amp;"")*(tbl_Finance[Xero Invoice No]&lt;&gt;"")*tbl_Finance[Date]))),""))</f>
        <v/>
      </c>
      <c r="B67" s="25">
        <f>IF(C67="","",IF(COUNTIFS(tbl_Finance[Job Number],C67&amp;"",tbl_Finance[Xero Invoice No],"&lt;&gt;")=0,"",IFERROR(IF(COUNTIFS(tbl_Finance[Job Number],C67&amp;"",tbl_Finance[Xero Invoice No],LOOKUP(2,1/((tbl_Finance[Job Number]=C67&amp;"")*(tbl_Finance[Xero Invoice No]&lt;&gt;"")),tbl_Finance[Xero Invoice No]))=COUNTIFS(tbl_Finance[Job Number],C67&amp;"",tbl_Finance[Xero Invoice No],"&lt;&gt;"),LOOKUP(2,1/((tbl_Finance[Job Number]=C67&amp;"")*(tbl_Finance[Xero Invoice No]&lt;&gt;"")),tbl_Finance[Xero Invoice No]),LOOKUP(2,1/((tbl_Finance[Job Number]=C67&amp;"")*(tbl_Finance[Xero Invoice No]&lt;&gt;"")),tbl_Finance[Xero Invoice No])&amp;" +more"),"")))</f>
        <v/>
      </c>
      <c r="C67" s="24" t="n"/>
      <c r="D67" s="25">
        <f>IF(C67="","",IF(COUNTIF(lst_Jobs,C67&amp;"")&gt;0,"OK","CHECK"))</f>
        <v/>
      </c>
      <c r="E67" s="25">
        <f>IF(C67="","",IFERROR(INDEX(lst_JobName,MATCH(C67&amp;"",lst_Jobs,0)),""))</f>
        <v/>
      </c>
      <c r="F67" s="25">
        <f>IF(C67="","",IFERROR(INDEX(tbl_Finance[Client],MATCH(C67&amp;"",tbl_Finance[Job Number],0)),""))</f>
        <v/>
      </c>
      <c r="G67" s="28">
        <f>IF(C67="","",COUNTIFS(tbl_Finance[Job Number],C67&amp;"",tbl_Finance[Ex GST],"&lt;&gt;"))</f>
        <v/>
      </c>
      <c r="H67" s="27">
        <f>IF(C67="","",SUMIFS(tbl_Finance[Ex GST],tbl_Finance[Job Number],C67&amp;""))</f>
        <v/>
      </c>
      <c r="I67" s="27">
        <f>IF(C67="","",SUMIFS(tbl_Finance[Ex GST],tbl_Finance[Job Number],C67&amp;"",tbl_Finance[Xero Invoice No],"&lt;&gt;"))</f>
        <v/>
      </c>
      <c r="J67" s="27">
        <f>IF(C67="","",H67-I67)</f>
        <v/>
      </c>
      <c r="K67" s="25">
        <f>IF(C67="","",IF(G67=0,"not invoiced yet",SUBSTITUTE(TRIM(IF(COUNTIFS(tbl_Finance[Job Number],C67&amp;"",tbl_Finance[Cost Centre],"ONSITE")&gt;0,"ONSITE ","")&amp;IF(COUNTIFS(tbl_Finance[Job Number],C67&amp;"",tbl_Finance[Cost Centre],"PRODUCTION")&gt;0,"PRODUCTION ","")&amp;IF(COUNTIFS(tbl_Finance[Job Number],C67&amp;"",tbl_Finance[Cost Centre],"VIDEO")&gt;0,"VIDEO ","")&amp;IF(COUNTIFS(tbl_Finance[Job Number],C67&amp;"",tbl_Finance[Cost Centre],"INTEGRATION")&gt;0,"INTEGRATION ","")&amp;IF(COUNTIFS(tbl_Finance[Job Number],C67&amp;"",tbl_Finance[Cost Centre],"CONSULTING")&gt;0,"CONSULTING ","")&amp;IF(COUNTIFS(tbl_Finance[Job Number],C67&amp;"",tbl_Finance[Cost Centre],"CTS")&gt;0,"CTS ",""))," ",", ")))</f>
        <v/>
      </c>
      <c r="L67" s="24" t="n"/>
      <c r="M67" s="25">
        <f>IF(L67="","",HYPERLINK(IF(LEFT(L67,4)="http",L67,set_QwilrBase&amp;L67),"Open quote"))</f>
        <v/>
      </c>
      <c r="N67" s="26" t="n"/>
      <c r="O67" s="26" t="n"/>
      <c r="P67" s="26" t="n"/>
      <c r="Q67" s="25">
        <f>IF(C67="","",IF(N(N67)+N(O67)+N(P67)=0,"Not split",IF(ROUND(N(N67)+N(O67)+N(P67),2)=ROUND(H67,2),"OK","MISMATCH")))</f>
        <v/>
      </c>
      <c r="R67" s="26" t="n"/>
      <c r="S67" s="26" t="n"/>
      <c r="T67" s="26" t="n"/>
      <c r="U67" s="27">
        <f>IF(C67="","",N(R67)+N(S67)+N(T67))</f>
        <v/>
      </c>
      <c r="V67" s="27">
        <f>IF(C67="","",H67-U67)</f>
        <v/>
      </c>
      <c r="W67" s="29">
        <f>IFERROR(V67/H67,"")</f>
        <v/>
      </c>
      <c r="X67" s="24" t="n"/>
    </row>
    <row r="68" ht="15" customHeight="1">
      <c r="A68" s="63">
        <f>IF(C68="","",IFERROR(IF(SUMPRODUCT(MAX((tbl_Finance[Job Number]=C68&amp;"")*(tbl_Finance[Xero Invoice No]&lt;&gt;"")*tbl_Finance[Date]))=0,"",SUMPRODUCT(MAX((tbl_Finance[Job Number]=C68&amp;"")*(tbl_Finance[Xero Invoice No]&lt;&gt;"")*tbl_Finance[Date]))),""))</f>
        <v/>
      </c>
      <c r="B68" s="25">
        <f>IF(C68="","",IF(COUNTIFS(tbl_Finance[Job Number],C68&amp;"",tbl_Finance[Xero Invoice No],"&lt;&gt;")=0,"",IFERROR(IF(COUNTIFS(tbl_Finance[Job Number],C68&amp;"",tbl_Finance[Xero Invoice No],LOOKUP(2,1/((tbl_Finance[Job Number]=C68&amp;"")*(tbl_Finance[Xero Invoice No]&lt;&gt;"")),tbl_Finance[Xero Invoice No]))=COUNTIFS(tbl_Finance[Job Number],C68&amp;"",tbl_Finance[Xero Invoice No],"&lt;&gt;"),LOOKUP(2,1/((tbl_Finance[Job Number]=C68&amp;"")*(tbl_Finance[Xero Invoice No]&lt;&gt;"")),tbl_Finance[Xero Invoice No]),LOOKUP(2,1/((tbl_Finance[Job Number]=C68&amp;"")*(tbl_Finance[Xero Invoice No]&lt;&gt;"")),tbl_Finance[Xero Invoice No])&amp;" +more"),"")))</f>
        <v/>
      </c>
      <c r="C68" s="24" t="n"/>
      <c r="D68" s="25">
        <f>IF(C68="","",IF(COUNTIF(lst_Jobs,C68&amp;"")&gt;0,"OK","CHECK"))</f>
        <v/>
      </c>
      <c r="E68" s="25">
        <f>IF(C68="","",IFERROR(INDEX(lst_JobName,MATCH(C68&amp;"",lst_Jobs,0)),""))</f>
        <v/>
      </c>
      <c r="F68" s="25">
        <f>IF(C68="","",IFERROR(INDEX(tbl_Finance[Client],MATCH(C68&amp;"",tbl_Finance[Job Number],0)),""))</f>
        <v/>
      </c>
      <c r="G68" s="28">
        <f>IF(C68="","",COUNTIFS(tbl_Finance[Job Number],C68&amp;"",tbl_Finance[Ex GST],"&lt;&gt;"))</f>
        <v/>
      </c>
      <c r="H68" s="27">
        <f>IF(C68="","",SUMIFS(tbl_Finance[Ex GST],tbl_Finance[Job Number],C68&amp;""))</f>
        <v/>
      </c>
      <c r="I68" s="27">
        <f>IF(C68="","",SUMIFS(tbl_Finance[Ex GST],tbl_Finance[Job Number],C68&amp;"",tbl_Finance[Xero Invoice No],"&lt;&gt;"))</f>
        <v/>
      </c>
      <c r="J68" s="27">
        <f>IF(C68="","",H68-I68)</f>
        <v/>
      </c>
      <c r="K68" s="25">
        <f>IF(C68="","",IF(G68=0,"not invoiced yet",SUBSTITUTE(TRIM(IF(COUNTIFS(tbl_Finance[Job Number],C68&amp;"",tbl_Finance[Cost Centre],"ONSITE")&gt;0,"ONSITE ","")&amp;IF(COUNTIFS(tbl_Finance[Job Number],C68&amp;"",tbl_Finance[Cost Centre],"PRODUCTION")&gt;0,"PRODUCTION ","")&amp;IF(COUNTIFS(tbl_Finance[Job Number],C68&amp;"",tbl_Finance[Cost Centre],"VIDEO")&gt;0,"VIDEO ","")&amp;IF(COUNTIFS(tbl_Finance[Job Number],C68&amp;"",tbl_Finance[Cost Centre],"INTEGRATION")&gt;0,"INTEGRATION ","")&amp;IF(COUNTIFS(tbl_Finance[Job Number],C68&amp;"",tbl_Finance[Cost Centre],"CONSULTING")&gt;0,"CONSULTING ","")&amp;IF(COUNTIFS(tbl_Finance[Job Number],C68&amp;"",tbl_Finance[Cost Centre],"CTS")&gt;0,"CTS ",""))," ",", ")))</f>
        <v/>
      </c>
      <c r="L68" s="24" t="n"/>
      <c r="M68" s="25">
        <f>IF(L68="","",HYPERLINK(IF(LEFT(L68,4)="http",L68,set_QwilrBase&amp;L68),"Open quote"))</f>
        <v/>
      </c>
      <c r="N68" s="26" t="n"/>
      <c r="O68" s="26" t="n"/>
      <c r="P68" s="26" t="n"/>
      <c r="Q68" s="25">
        <f>IF(C68="","",IF(N(N68)+N(O68)+N(P68)=0,"Not split",IF(ROUND(N(N68)+N(O68)+N(P68),2)=ROUND(H68,2),"OK","MISMATCH")))</f>
        <v/>
      </c>
      <c r="R68" s="26" t="n"/>
      <c r="S68" s="26" t="n"/>
      <c r="T68" s="26" t="n"/>
      <c r="U68" s="27">
        <f>IF(C68="","",N(R68)+N(S68)+N(T68))</f>
        <v/>
      </c>
      <c r="V68" s="27">
        <f>IF(C68="","",H68-U68)</f>
        <v/>
      </c>
      <c r="W68" s="29">
        <f>IFERROR(V68/H68,"")</f>
        <v/>
      </c>
      <c r="X68" s="24" t="n"/>
    </row>
    <row r="69" ht="15" customHeight="1">
      <c r="A69" s="63">
        <f>IF(C69="","",IFERROR(IF(SUMPRODUCT(MAX((tbl_Finance[Job Number]=C69&amp;"")*(tbl_Finance[Xero Invoice No]&lt;&gt;"")*tbl_Finance[Date]))=0,"",SUMPRODUCT(MAX((tbl_Finance[Job Number]=C69&amp;"")*(tbl_Finance[Xero Invoice No]&lt;&gt;"")*tbl_Finance[Date]))),""))</f>
        <v/>
      </c>
      <c r="B69" s="25">
        <f>IF(C69="","",IF(COUNTIFS(tbl_Finance[Job Number],C69&amp;"",tbl_Finance[Xero Invoice No],"&lt;&gt;")=0,"",IFERROR(IF(COUNTIFS(tbl_Finance[Job Number],C69&amp;"",tbl_Finance[Xero Invoice No],LOOKUP(2,1/((tbl_Finance[Job Number]=C69&amp;"")*(tbl_Finance[Xero Invoice No]&lt;&gt;"")),tbl_Finance[Xero Invoice No]))=COUNTIFS(tbl_Finance[Job Number],C69&amp;"",tbl_Finance[Xero Invoice No],"&lt;&gt;"),LOOKUP(2,1/((tbl_Finance[Job Number]=C69&amp;"")*(tbl_Finance[Xero Invoice No]&lt;&gt;"")),tbl_Finance[Xero Invoice No]),LOOKUP(2,1/((tbl_Finance[Job Number]=C69&amp;"")*(tbl_Finance[Xero Invoice No]&lt;&gt;"")),tbl_Finance[Xero Invoice No])&amp;" +more"),"")))</f>
        <v/>
      </c>
      <c r="C69" s="24" t="n"/>
      <c r="D69" s="25">
        <f>IF(C69="","",IF(COUNTIF(lst_Jobs,C69&amp;"")&gt;0,"OK","CHECK"))</f>
        <v/>
      </c>
      <c r="E69" s="25">
        <f>IF(C69="","",IFERROR(INDEX(lst_JobName,MATCH(C69&amp;"",lst_Jobs,0)),""))</f>
        <v/>
      </c>
      <c r="F69" s="25">
        <f>IF(C69="","",IFERROR(INDEX(tbl_Finance[Client],MATCH(C69&amp;"",tbl_Finance[Job Number],0)),""))</f>
        <v/>
      </c>
      <c r="G69" s="28">
        <f>IF(C69="","",COUNTIFS(tbl_Finance[Job Number],C69&amp;"",tbl_Finance[Ex GST],"&lt;&gt;"))</f>
        <v/>
      </c>
      <c r="H69" s="27">
        <f>IF(C69="","",SUMIFS(tbl_Finance[Ex GST],tbl_Finance[Job Number],C69&amp;""))</f>
        <v/>
      </c>
      <c r="I69" s="27">
        <f>IF(C69="","",SUMIFS(tbl_Finance[Ex GST],tbl_Finance[Job Number],C69&amp;"",tbl_Finance[Xero Invoice No],"&lt;&gt;"))</f>
        <v/>
      </c>
      <c r="J69" s="27">
        <f>IF(C69="","",H69-I69)</f>
        <v/>
      </c>
      <c r="K69" s="25">
        <f>IF(C69="","",IF(G69=0,"not invoiced yet",SUBSTITUTE(TRIM(IF(COUNTIFS(tbl_Finance[Job Number],C69&amp;"",tbl_Finance[Cost Centre],"ONSITE")&gt;0,"ONSITE ","")&amp;IF(COUNTIFS(tbl_Finance[Job Number],C69&amp;"",tbl_Finance[Cost Centre],"PRODUCTION")&gt;0,"PRODUCTION ","")&amp;IF(COUNTIFS(tbl_Finance[Job Number],C69&amp;"",tbl_Finance[Cost Centre],"VIDEO")&gt;0,"VIDEO ","")&amp;IF(COUNTIFS(tbl_Finance[Job Number],C69&amp;"",tbl_Finance[Cost Centre],"INTEGRATION")&gt;0,"INTEGRATION ","")&amp;IF(COUNTIFS(tbl_Finance[Job Number],C69&amp;"",tbl_Finance[Cost Centre],"CONSULTING")&gt;0,"CONSULTING ","")&amp;IF(COUNTIFS(tbl_Finance[Job Number],C69&amp;"",tbl_Finance[Cost Centre],"CTS")&gt;0,"CTS ",""))," ",", ")))</f>
        <v/>
      </c>
      <c r="L69" s="24" t="n"/>
      <c r="M69" s="25">
        <f>IF(L69="","",HYPERLINK(IF(LEFT(L69,4)="http",L69,set_QwilrBase&amp;L69),"Open quote"))</f>
        <v/>
      </c>
      <c r="N69" s="26" t="n"/>
      <c r="O69" s="26" t="n"/>
      <c r="P69" s="26" t="n"/>
      <c r="Q69" s="25">
        <f>IF(C69="","",IF(N(N69)+N(O69)+N(P69)=0,"Not split",IF(ROUND(N(N69)+N(O69)+N(P69),2)=ROUND(H69,2),"OK","MISMATCH")))</f>
        <v/>
      </c>
      <c r="R69" s="26" t="n"/>
      <c r="S69" s="26" t="n"/>
      <c r="T69" s="26" t="n"/>
      <c r="U69" s="27">
        <f>IF(C69="","",N(R69)+N(S69)+N(T69))</f>
        <v/>
      </c>
      <c r="V69" s="27">
        <f>IF(C69="","",H69-U69)</f>
        <v/>
      </c>
      <c r="W69" s="29">
        <f>IFERROR(V69/H69,"")</f>
        <v/>
      </c>
      <c r="X69" s="24" t="n"/>
    </row>
    <row r="70" ht="15" customHeight="1">
      <c r="A70" s="63">
        <f>IF(C70="","",IFERROR(IF(SUMPRODUCT(MAX((tbl_Finance[Job Number]=C70&amp;"")*(tbl_Finance[Xero Invoice No]&lt;&gt;"")*tbl_Finance[Date]))=0,"",SUMPRODUCT(MAX((tbl_Finance[Job Number]=C70&amp;"")*(tbl_Finance[Xero Invoice No]&lt;&gt;"")*tbl_Finance[Date]))),""))</f>
        <v/>
      </c>
      <c r="B70" s="25">
        <f>IF(C70="","",IF(COUNTIFS(tbl_Finance[Job Number],C70&amp;"",tbl_Finance[Xero Invoice No],"&lt;&gt;")=0,"",IFERROR(IF(COUNTIFS(tbl_Finance[Job Number],C70&amp;"",tbl_Finance[Xero Invoice No],LOOKUP(2,1/((tbl_Finance[Job Number]=C70&amp;"")*(tbl_Finance[Xero Invoice No]&lt;&gt;"")),tbl_Finance[Xero Invoice No]))=COUNTIFS(tbl_Finance[Job Number],C70&amp;"",tbl_Finance[Xero Invoice No],"&lt;&gt;"),LOOKUP(2,1/((tbl_Finance[Job Number]=C70&amp;"")*(tbl_Finance[Xero Invoice No]&lt;&gt;"")),tbl_Finance[Xero Invoice No]),LOOKUP(2,1/((tbl_Finance[Job Number]=C70&amp;"")*(tbl_Finance[Xero Invoice No]&lt;&gt;"")),tbl_Finance[Xero Invoice No])&amp;" +more"),"")))</f>
        <v/>
      </c>
      <c r="C70" s="24" t="n"/>
      <c r="D70" s="25">
        <f>IF(C70="","",IF(COUNTIF(lst_Jobs,C70&amp;"")&gt;0,"OK","CHECK"))</f>
        <v/>
      </c>
      <c r="E70" s="25">
        <f>IF(C70="","",IFERROR(INDEX(lst_JobName,MATCH(C70&amp;"",lst_Jobs,0)),""))</f>
        <v/>
      </c>
      <c r="F70" s="25">
        <f>IF(C70="","",IFERROR(INDEX(tbl_Finance[Client],MATCH(C70&amp;"",tbl_Finance[Job Number],0)),""))</f>
        <v/>
      </c>
      <c r="G70" s="28">
        <f>IF(C70="","",COUNTIFS(tbl_Finance[Job Number],C70&amp;"",tbl_Finance[Ex GST],"&lt;&gt;"))</f>
        <v/>
      </c>
      <c r="H70" s="27">
        <f>IF(C70="","",SUMIFS(tbl_Finance[Ex GST],tbl_Finance[Job Number],C70&amp;""))</f>
        <v/>
      </c>
      <c r="I70" s="27">
        <f>IF(C70="","",SUMIFS(tbl_Finance[Ex GST],tbl_Finance[Job Number],C70&amp;"",tbl_Finance[Xero Invoice No],"&lt;&gt;"))</f>
        <v/>
      </c>
      <c r="J70" s="27">
        <f>IF(C70="","",H70-I70)</f>
        <v/>
      </c>
      <c r="K70" s="25">
        <f>IF(C70="","",IF(G70=0,"not invoiced yet",SUBSTITUTE(TRIM(IF(COUNTIFS(tbl_Finance[Job Number],C70&amp;"",tbl_Finance[Cost Centre],"ONSITE")&gt;0,"ONSITE ","")&amp;IF(COUNTIFS(tbl_Finance[Job Number],C70&amp;"",tbl_Finance[Cost Centre],"PRODUCTION")&gt;0,"PRODUCTION ","")&amp;IF(COUNTIFS(tbl_Finance[Job Number],C70&amp;"",tbl_Finance[Cost Centre],"VIDEO")&gt;0,"VIDEO ","")&amp;IF(COUNTIFS(tbl_Finance[Job Number],C70&amp;"",tbl_Finance[Cost Centre],"INTEGRATION")&gt;0,"INTEGRATION ","")&amp;IF(COUNTIFS(tbl_Finance[Job Number],C70&amp;"",tbl_Finance[Cost Centre],"CONSULTING")&gt;0,"CONSULTING ","")&amp;IF(COUNTIFS(tbl_Finance[Job Number],C70&amp;"",tbl_Finance[Cost Centre],"CTS")&gt;0,"CTS ",""))," ",", ")))</f>
        <v/>
      </c>
      <c r="L70" s="24" t="n"/>
      <c r="M70" s="25">
        <f>IF(L70="","",HYPERLINK(IF(LEFT(L70,4)="http",L70,set_QwilrBase&amp;L70),"Open quote"))</f>
        <v/>
      </c>
      <c r="N70" s="26" t="n"/>
      <c r="O70" s="26" t="n"/>
      <c r="P70" s="26" t="n"/>
      <c r="Q70" s="25">
        <f>IF(C70="","",IF(N(N70)+N(O70)+N(P70)=0,"Not split",IF(ROUND(N(N70)+N(O70)+N(P70),2)=ROUND(H70,2),"OK","MISMATCH")))</f>
        <v/>
      </c>
      <c r="R70" s="26" t="n"/>
      <c r="S70" s="26" t="n"/>
      <c r="T70" s="26" t="n"/>
      <c r="U70" s="27">
        <f>IF(C70="","",N(R70)+N(S70)+N(T70))</f>
        <v/>
      </c>
      <c r="V70" s="27">
        <f>IF(C70="","",H70-U70)</f>
        <v/>
      </c>
      <c r="W70" s="29">
        <f>IFERROR(V70/H70,"")</f>
        <v/>
      </c>
      <c r="X70" s="24" t="n"/>
    </row>
    <row r="71" ht="15" customHeight="1">
      <c r="A71" s="63">
        <f>IF(C71="","",IFERROR(IF(SUMPRODUCT(MAX((tbl_Finance[Job Number]=C71&amp;"")*(tbl_Finance[Xero Invoice No]&lt;&gt;"")*tbl_Finance[Date]))=0,"",SUMPRODUCT(MAX((tbl_Finance[Job Number]=C71&amp;"")*(tbl_Finance[Xero Invoice No]&lt;&gt;"")*tbl_Finance[Date]))),""))</f>
        <v/>
      </c>
      <c r="B71" s="25">
        <f>IF(C71="","",IF(COUNTIFS(tbl_Finance[Job Number],C71&amp;"",tbl_Finance[Xero Invoice No],"&lt;&gt;")=0,"",IFERROR(IF(COUNTIFS(tbl_Finance[Job Number],C71&amp;"",tbl_Finance[Xero Invoice No],LOOKUP(2,1/((tbl_Finance[Job Number]=C71&amp;"")*(tbl_Finance[Xero Invoice No]&lt;&gt;"")),tbl_Finance[Xero Invoice No]))=COUNTIFS(tbl_Finance[Job Number],C71&amp;"",tbl_Finance[Xero Invoice No],"&lt;&gt;"),LOOKUP(2,1/((tbl_Finance[Job Number]=C71&amp;"")*(tbl_Finance[Xero Invoice No]&lt;&gt;"")),tbl_Finance[Xero Invoice No]),LOOKUP(2,1/((tbl_Finance[Job Number]=C71&amp;"")*(tbl_Finance[Xero Invoice No]&lt;&gt;"")),tbl_Finance[Xero Invoice No])&amp;" +more"),"")))</f>
        <v/>
      </c>
      <c r="C71" s="24" t="n"/>
      <c r="D71" s="25">
        <f>IF(C71="","",IF(COUNTIF(lst_Jobs,C71&amp;"")&gt;0,"OK","CHECK"))</f>
        <v/>
      </c>
      <c r="E71" s="25">
        <f>IF(C71="","",IFERROR(INDEX(lst_JobName,MATCH(C71&amp;"",lst_Jobs,0)),""))</f>
        <v/>
      </c>
      <c r="F71" s="25">
        <f>IF(C71="","",IFERROR(INDEX(tbl_Finance[Client],MATCH(C71&amp;"",tbl_Finance[Job Number],0)),""))</f>
        <v/>
      </c>
      <c r="G71" s="28">
        <f>IF(C71="","",COUNTIFS(tbl_Finance[Job Number],C71&amp;"",tbl_Finance[Ex GST],"&lt;&gt;"))</f>
        <v/>
      </c>
      <c r="H71" s="27">
        <f>IF(C71="","",SUMIFS(tbl_Finance[Ex GST],tbl_Finance[Job Number],C71&amp;""))</f>
        <v/>
      </c>
      <c r="I71" s="27">
        <f>IF(C71="","",SUMIFS(tbl_Finance[Ex GST],tbl_Finance[Job Number],C71&amp;"",tbl_Finance[Xero Invoice No],"&lt;&gt;"))</f>
        <v/>
      </c>
      <c r="J71" s="27">
        <f>IF(C71="","",H71-I71)</f>
        <v/>
      </c>
      <c r="K71" s="25">
        <f>IF(C71="","",IF(G71=0,"not invoiced yet",SUBSTITUTE(TRIM(IF(COUNTIFS(tbl_Finance[Job Number],C71&amp;"",tbl_Finance[Cost Centre],"ONSITE")&gt;0,"ONSITE ","")&amp;IF(COUNTIFS(tbl_Finance[Job Number],C71&amp;"",tbl_Finance[Cost Centre],"PRODUCTION")&gt;0,"PRODUCTION ","")&amp;IF(COUNTIFS(tbl_Finance[Job Number],C71&amp;"",tbl_Finance[Cost Centre],"VIDEO")&gt;0,"VIDEO ","")&amp;IF(COUNTIFS(tbl_Finance[Job Number],C71&amp;"",tbl_Finance[Cost Centre],"INTEGRATION")&gt;0,"INTEGRATION ","")&amp;IF(COUNTIFS(tbl_Finance[Job Number],C71&amp;"",tbl_Finance[Cost Centre],"CONSULTING")&gt;0,"CONSULTING ","")&amp;IF(COUNTIFS(tbl_Finance[Job Number],C71&amp;"",tbl_Finance[Cost Centre],"CTS")&gt;0,"CTS ",""))," ",", ")))</f>
        <v/>
      </c>
      <c r="L71" s="24" t="n"/>
      <c r="M71" s="25">
        <f>IF(L71="","",HYPERLINK(IF(LEFT(L71,4)="http",L71,set_QwilrBase&amp;L71),"Open quote"))</f>
        <v/>
      </c>
      <c r="N71" s="26" t="n"/>
      <c r="O71" s="26" t="n"/>
      <c r="P71" s="26" t="n"/>
      <c r="Q71" s="25">
        <f>IF(C71="","",IF(N(N71)+N(O71)+N(P71)=0,"Not split",IF(ROUND(N(N71)+N(O71)+N(P71),2)=ROUND(H71,2),"OK","MISMATCH")))</f>
        <v/>
      </c>
      <c r="R71" s="26" t="n"/>
      <c r="S71" s="26" t="n"/>
      <c r="T71" s="26" t="n"/>
      <c r="U71" s="27">
        <f>IF(C71="","",N(R71)+N(S71)+N(T71))</f>
        <v/>
      </c>
      <c r="V71" s="27">
        <f>IF(C71="","",H71-U71)</f>
        <v/>
      </c>
      <c r="W71" s="29">
        <f>IFERROR(V71/H71,"")</f>
        <v/>
      </c>
      <c r="X71" s="24" t="n"/>
    </row>
    <row r="72" ht="15" customHeight="1">
      <c r="A72" s="63">
        <f>IF(C72="","",IFERROR(IF(SUMPRODUCT(MAX((tbl_Finance[Job Number]=C72&amp;"")*(tbl_Finance[Xero Invoice No]&lt;&gt;"")*tbl_Finance[Date]))=0,"",SUMPRODUCT(MAX((tbl_Finance[Job Number]=C72&amp;"")*(tbl_Finance[Xero Invoice No]&lt;&gt;"")*tbl_Finance[Date]))),""))</f>
        <v/>
      </c>
      <c r="B72" s="25">
        <f>IF(C72="","",IF(COUNTIFS(tbl_Finance[Job Number],C72&amp;"",tbl_Finance[Xero Invoice No],"&lt;&gt;")=0,"",IFERROR(IF(COUNTIFS(tbl_Finance[Job Number],C72&amp;"",tbl_Finance[Xero Invoice No],LOOKUP(2,1/((tbl_Finance[Job Number]=C72&amp;"")*(tbl_Finance[Xero Invoice No]&lt;&gt;"")),tbl_Finance[Xero Invoice No]))=COUNTIFS(tbl_Finance[Job Number],C72&amp;"",tbl_Finance[Xero Invoice No],"&lt;&gt;"),LOOKUP(2,1/((tbl_Finance[Job Number]=C72&amp;"")*(tbl_Finance[Xero Invoice No]&lt;&gt;"")),tbl_Finance[Xero Invoice No]),LOOKUP(2,1/((tbl_Finance[Job Number]=C72&amp;"")*(tbl_Finance[Xero Invoice No]&lt;&gt;"")),tbl_Finance[Xero Invoice No])&amp;" +more"),"")))</f>
        <v/>
      </c>
      <c r="C72" s="24" t="n"/>
      <c r="D72" s="25">
        <f>IF(C72="","",IF(COUNTIF(lst_Jobs,C72&amp;"")&gt;0,"OK","CHECK"))</f>
        <v/>
      </c>
      <c r="E72" s="25">
        <f>IF(C72="","",IFERROR(INDEX(lst_JobName,MATCH(C72&amp;"",lst_Jobs,0)),""))</f>
        <v/>
      </c>
      <c r="F72" s="25">
        <f>IF(C72="","",IFERROR(INDEX(tbl_Finance[Client],MATCH(C72&amp;"",tbl_Finance[Job Number],0)),""))</f>
        <v/>
      </c>
      <c r="G72" s="28">
        <f>IF(C72="","",COUNTIFS(tbl_Finance[Job Number],C72&amp;"",tbl_Finance[Ex GST],"&lt;&gt;"))</f>
        <v/>
      </c>
      <c r="H72" s="27">
        <f>IF(C72="","",SUMIFS(tbl_Finance[Ex GST],tbl_Finance[Job Number],C72&amp;""))</f>
        <v/>
      </c>
      <c r="I72" s="27">
        <f>IF(C72="","",SUMIFS(tbl_Finance[Ex GST],tbl_Finance[Job Number],C72&amp;"",tbl_Finance[Xero Invoice No],"&lt;&gt;"))</f>
        <v/>
      </c>
      <c r="J72" s="27">
        <f>IF(C72="","",H72-I72)</f>
        <v/>
      </c>
      <c r="K72" s="25">
        <f>IF(C72="","",IF(G72=0,"not invoiced yet",SUBSTITUTE(TRIM(IF(COUNTIFS(tbl_Finance[Job Number],C72&amp;"",tbl_Finance[Cost Centre],"ONSITE")&gt;0,"ONSITE ","")&amp;IF(COUNTIFS(tbl_Finance[Job Number],C72&amp;"",tbl_Finance[Cost Centre],"PRODUCTION")&gt;0,"PRODUCTION ","")&amp;IF(COUNTIFS(tbl_Finance[Job Number],C72&amp;"",tbl_Finance[Cost Centre],"VIDEO")&gt;0,"VIDEO ","")&amp;IF(COUNTIFS(tbl_Finance[Job Number],C72&amp;"",tbl_Finance[Cost Centre],"INTEGRATION")&gt;0,"INTEGRATION ","")&amp;IF(COUNTIFS(tbl_Finance[Job Number],C72&amp;"",tbl_Finance[Cost Centre],"CONSULTING")&gt;0,"CONSULTING ","")&amp;IF(COUNTIFS(tbl_Finance[Job Number],C72&amp;"",tbl_Finance[Cost Centre],"CTS")&gt;0,"CTS ",""))," ",", ")))</f>
        <v/>
      </c>
      <c r="L72" s="24" t="n"/>
      <c r="M72" s="25">
        <f>IF(L72="","",HYPERLINK(IF(LEFT(L72,4)="http",L72,set_QwilrBase&amp;L72),"Open quote"))</f>
        <v/>
      </c>
      <c r="N72" s="26" t="n"/>
      <c r="O72" s="26" t="n"/>
      <c r="P72" s="26" t="n"/>
      <c r="Q72" s="25">
        <f>IF(C72="","",IF(N(N72)+N(O72)+N(P72)=0,"Not split",IF(ROUND(N(N72)+N(O72)+N(P72),2)=ROUND(H72,2),"OK","MISMATCH")))</f>
        <v/>
      </c>
      <c r="R72" s="26" t="n"/>
      <c r="S72" s="26" t="n"/>
      <c r="T72" s="26" t="n"/>
      <c r="U72" s="27">
        <f>IF(C72="","",N(R72)+N(S72)+N(T72))</f>
        <v/>
      </c>
      <c r="V72" s="27">
        <f>IF(C72="","",H72-U72)</f>
        <v/>
      </c>
      <c r="W72" s="29">
        <f>IFERROR(V72/H72,"")</f>
        <v/>
      </c>
      <c r="X72" s="24" t="n"/>
    </row>
    <row r="73" ht="15" customHeight="1">
      <c r="A73" s="63">
        <f>IF(C73="","",IFERROR(IF(SUMPRODUCT(MAX((tbl_Finance[Job Number]=C73&amp;"")*(tbl_Finance[Xero Invoice No]&lt;&gt;"")*tbl_Finance[Date]))=0,"",SUMPRODUCT(MAX((tbl_Finance[Job Number]=C73&amp;"")*(tbl_Finance[Xero Invoice No]&lt;&gt;"")*tbl_Finance[Date]))),""))</f>
        <v/>
      </c>
      <c r="B73" s="25">
        <f>IF(C73="","",IF(COUNTIFS(tbl_Finance[Job Number],C73&amp;"",tbl_Finance[Xero Invoice No],"&lt;&gt;")=0,"",IFERROR(IF(COUNTIFS(tbl_Finance[Job Number],C73&amp;"",tbl_Finance[Xero Invoice No],LOOKUP(2,1/((tbl_Finance[Job Number]=C73&amp;"")*(tbl_Finance[Xero Invoice No]&lt;&gt;"")),tbl_Finance[Xero Invoice No]))=COUNTIFS(tbl_Finance[Job Number],C73&amp;"",tbl_Finance[Xero Invoice No],"&lt;&gt;"),LOOKUP(2,1/((tbl_Finance[Job Number]=C73&amp;"")*(tbl_Finance[Xero Invoice No]&lt;&gt;"")),tbl_Finance[Xero Invoice No]),LOOKUP(2,1/((tbl_Finance[Job Number]=C73&amp;"")*(tbl_Finance[Xero Invoice No]&lt;&gt;"")),tbl_Finance[Xero Invoice No])&amp;" +more"),"")))</f>
        <v/>
      </c>
      <c r="C73" s="24" t="n"/>
      <c r="D73" s="25">
        <f>IF(C73="","",IF(COUNTIF(lst_Jobs,C73&amp;"")&gt;0,"OK","CHECK"))</f>
        <v/>
      </c>
      <c r="E73" s="25">
        <f>IF(C73="","",IFERROR(INDEX(lst_JobName,MATCH(C73&amp;"",lst_Jobs,0)),""))</f>
        <v/>
      </c>
      <c r="F73" s="25">
        <f>IF(C73="","",IFERROR(INDEX(tbl_Finance[Client],MATCH(C73&amp;"",tbl_Finance[Job Number],0)),""))</f>
        <v/>
      </c>
      <c r="G73" s="28">
        <f>IF(C73="","",COUNTIFS(tbl_Finance[Job Number],C73&amp;"",tbl_Finance[Ex GST],"&lt;&gt;"))</f>
        <v/>
      </c>
      <c r="H73" s="27">
        <f>IF(C73="","",SUMIFS(tbl_Finance[Ex GST],tbl_Finance[Job Number],C73&amp;""))</f>
        <v/>
      </c>
      <c r="I73" s="27">
        <f>IF(C73="","",SUMIFS(tbl_Finance[Ex GST],tbl_Finance[Job Number],C73&amp;"",tbl_Finance[Xero Invoice No],"&lt;&gt;"))</f>
        <v/>
      </c>
      <c r="J73" s="27">
        <f>IF(C73="","",H73-I73)</f>
        <v/>
      </c>
      <c r="K73" s="25">
        <f>IF(C73="","",IF(G73=0,"not invoiced yet",SUBSTITUTE(TRIM(IF(COUNTIFS(tbl_Finance[Job Number],C73&amp;"",tbl_Finance[Cost Centre],"ONSITE")&gt;0,"ONSITE ","")&amp;IF(COUNTIFS(tbl_Finance[Job Number],C73&amp;"",tbl_Finance[Cost Centre],"PRODUCTION")&gt;0,"PRODUCTION ","")&amp;IF(COUNTIFS(tbl_Finance[Job Number],C73&amp;"",tbl_Finance[Cost Centre],"VIDEO")&gt;0,"VIDEO ","")&amp;IF(COUNTIFS(tbl_Finance[Job Number],C73&amp;"",tbl_Finance[Cost Centre],"INTEGRATION")&gt;0,"INTEGRATION ","")&amp;IF(COUNTIFS(tbl_Finance[Job Number],C73&amp;"",tbl_Finance[Cost Centre],"CONSULTING")&gt;0,"CONSULTING ","")&amp;IF(COUNTIFS(tbl_Finance[Job Number],C73&amp;"",tbl_Finance[Cost Centre],"CTS")&gt;0,"CTS ",""))," ",", ")))</f>
        <v/>
      </c>
      <c r="L73" s="24" t="n"/>
      <c r="M73" s="25">
        <f>IF(L73="","",HYPERLINK(IF(LEFT(L73,4)="http",L73,set_QwilrBase&amp;L73),"Open quote"))</f>
        <v/>
      </c>
      <c r="N73" s="26" t="n"/>
      <c r="O73" s="26" t="n"/>
      <c r="P73" s="26" t="n"/>
      <c r="Q73" s="25">
        <f>IF(C73="","",IF(N(N73)+N(O73)+N(P73)=0,"Not split",IF(ROUND(N(N73)+N(O73)+N(P73),2)=ROUND(H73,2),"OK","MISMATCH")))</f>
        <v/>
      </c>
      <c r="R73" s="26" t="n"/>
      <c r="S73" s="26" t="n"/>
      <c r="T73" s="26" t="n"/>
      <c r="U73" s="27">
        <f>IF(C73="","",N(R73)+N(S73)+N(T73))</f>
        <v/>
      </c>
      <c r="V73" s="27">
        <f>IF(C73="","",H73-U73)</f>
        <v/>
      </c>
      <c r="W73" s="29">
        <f>IFERROR(V73/H73,"")</f>
        <v/>
      </c>
      <c r="X73" s="24" t="n"/>
    </row>
    <row r="74" ht="15" customHeight="1">
      <c r="A74" s="63">
        <f>IF(C74="","",IFERROR(IF(SUMPRODUCT(MAX((tbl_Finance[Job Number]=C74&amp;"")*(tbl_Finance[Xero Invoice No]&lt;&gt;"")*tbl_Finance[Date]))=0,"",SUMPRODUCT(MAX((tbl_Finance[Job Number]=C74&amp;"")*(tbl_Finance[Xero Invoice No]&lt;&gt;"")*tbl_Finance[Date]))),""))</f>
        <v/>
      </c>
      <c r="B74" s="25">
        <f>IF(C74="","",IF(COUNTIFS(tbl_Finance[Job Number],C74&amp;"",tbl_Finance[Xero Invoice No],"&lt;&gt;")=0,"",IFERROR(IF(COUNTIFS(tbl_Finance[Job Number],C74&amp;"",tbl_Finance[Xero Invoice No],LOOKUP(2,1/((tbl_Finance[Job Number]=C74&amp;"")*(tbl_Finance[Xero Invoice No]&lt;&gt;"")),tbl_Finance[Xero Invoice No]))=COUNTIFS(tbl_Finance[Job Number],C74&amp;"",tbl_Finance[Xero Invoice No],"&lt;&gt;"),LOOKUP(2,1/((tbl_Finance[Job Number]=C74&amp;"")*(tbl_Finance[Xero Invoice No]&lt;&gt;"")),tbl_Finance[Xero Invoice No]),LOOKUP(2,1/((tbl_Finance[Job Number]=C74&amp;"")*(tbl_Finance[Xero Invoice No]&lt;&gt;"")),tbl_Finance[Xero Invoice No])&amp;" +more"),"")))</f>
        <v/>
      </c>
      <c r="C74" s="24" t="n"/>
      <c r="D74" s="25">
        <f>IF(C74="","",IF(COUNTIF(lst_Jobs,C74&amp;"")&gt;0,"OK","CHECK"))</f>
        <v/>
      </c>
      <c r="E74" s="25">
        <f>IF(C74="","",IFERROR(INDEX(lst_JobName,MATCH(C74&amp;"",lst_Jobs,0)),""))</f>
        <v/>
      </c>
      <c r="F74" s="25">
        <f>IF(C74="","",IFERROR(INDEX(tbl_Finance[Client],MATCH(C74&amp;"",tbl_Finance[Job Number],0)),""))</f>
        <v/>
      </c>
      <c r="G74" s="28">
        <f>IF(C74="","",COUNTIFS(tbl_Finance[Job Number],C74&amp;"",tbl_Finance[Ex GST],"&lt;&gt;"))</f>
        <v/>
      </c>
      <c r="H74" s="27">
        <f>IF(C74="","",SUMIFS(tbl_Finance[Ex GST],tbl_Finance[Job Number],C74&amp;""))</f>
        <v/>
      </c>
      <c r="I74" s="27">
        <f>IF(C74="","",SUMIFS(tbl_Finance[Ex GST],tbl_Finance[Job Number],C74&amp;"",tbl_Finance[Xero Invoice No],"&lt;&gt;"))</f>
        <v/>
      </c>
      <c r="J74" s="27">
        <f>IF(C74="","",H74-I74)</f>
        <v/>
      </c>
      <c r="K74" s="25">
        <f>IF(C74="","",IF(G74=0,"not invoiced yet",SUBSTITUTE(TRIM(IF(COUNTIFS(tbl_Finance[Job Number],C74&amp;"",tbl_Finance[Cost Centre],"ONSITE")&gt;0,"ONSITE ","")&amp;IF(COUNTIFS(tbl_Finance[Job Number],C74&amp;"",tbl_Finance[Cost Centre],"PRODUCTION")&gt;0,"PRODUCTION ","")&amp;IF(COUNTIFS(tbl_Finance[Job Number],C74&amp;"",tbl_Finance[Cost Centre],"VIDEO")&gt;0,"VIDEO ","")&amp;IF(COUNTIFS(tbl_Finance[Job Number],C74&amp;"",tbl_Finance[Cost Centre],"INTEGRATION")&gt;0,"INTEGRATION ","")&amp;IF(COUNTIFS(tbl_Finance[Job Number],C74&amp;"",tbl_Finance[Cost Centre],"CONSULTING")&gt;0,"CONSULTING ","")&amp;IF(COUNTIFS(tbl_Finance[Job Number],C74&amp;"",tbl_Finance[Cost Centre],"CTS")&gt;0,"CTS ",""))," ",", ")))</f>
        <v/>
      </c>
      <c r="L74" s="24" t="n"/>
      <c r="M74" s="25">
        <f>IF(L74="","",HYPERLINK(IF(LEFT(L74,4)="http",L74,set_QwilrBase&amp;L74),"Open quote"))</f>
        <v/>
      </c>
      <c r="N74" s="26" t="n"/>
      <c r="O74" s="26" t="n"/>
      <c r="P74" s="26" t="n"/>
      <c r="Q74" s="25">
        <f>IF(C74="","",IF(N(N74)+N(O74)+N(P74)=0,"Not split",IF(ROUND(N(N74)+N(O74)+N(P74),2)=ROUND(H74,2),"OK","MISMATCH")))</f>
        <v/>
      </c>
      <c r="R74" s="26" t="n"/>
      <c r="S74" s="26" t="n"/>
      <c r="T74" s="26" t="n"/>
      <c r="U74" s="27">
        <f>IF(C74="","",N(R74)+N(S74)+N(T74))</f>
        <v/>
      </c>
      <c r="V74" s="27">
        <f>IF(C74="","",H74-U74)</f>
        <v/>
      </c>
      <c r="W74" s="29">
        <f>IFERROR(V74/H74,"")</f>
        <v/>
      </c>
      <c r="X74" s="24" t="n"/>
    </row>
    <row r="75" ht="15" customHeight="1">
      <c r="A75" s="63">
        <f>IF(C75="","",IFERROR(IF(SUMPRODUCT(MAX((tbl_Finance[Job Number]=C75&amp;"")*(tbl_Finance[Xero Invoice No]&lt;&gt;"")*tbl_Finance[Date]))=0,"",SUMPRODUCT(MAX((tbl_Finance[Job Number]=C75&amp;"")*(tbl_Finance[Xero Invoice No]&lt;&gt;"")*tbl_Finance[Date]))),""))</f>
        <v/>
      </c>
      <c r="B75" s="25">
        <f>IF(C75="","",IF(COUNTIFS(tbl_Finance[Job Number],C75&amp;"",tbl_Finance[Xero Invoice No],"&lt;&gt;")=0,"",IFERROR(IF(COUNTIFS(tbl_Finance[Job Number],C75&amp;"",tbl_Finance[Xero Invoice No],LOOKUP(2,1/((tbl_Finance[Job Number]=C75&amp;"")*(tbl_Finance[Xero Invoice No]&lt;&gt;"")),tbl_Finance[Xero Invoice No]))=COUNTIFS(tbl_Finance[Job Number],C75&amp;"",tbl_Finance[Xero Invoice No],"&lt;&gt;"),LOOKUP(2,1/((tbl_Finance[Job Number]=C75&amp;"")*(tbl_Finance[Xero Invoice No]&lt;&gt;"")),tbl_Finance[Xero Invoice No]),LOOKUP(2,1/((tbl_Finance[Job Number]=C75&amp;"")*(tbl_Finance[Xero Invoice No]&lt;&gt;"")),tbl_Finance[Xero Invoice No])&amp;" +more"),"")))</f>
        <v/>
      </c>
      <c r="C75" s="24" t="n"/>
      <c r="D75" s="25">
        <f>IF(C75="","",IF(COUNTIF(lst_Jobs,C75&amp;"")&gt;0,"OK","CHECK"))</f>
        <v/>
      </c>
      <c r="E75" s="25">
        <f>IF(C75="","",IFERROR(INDEX(lst_JobName,MATCH(C75&amp;"",lst_Jobs,0)),""))</f>
        <v/>
      </c>
      <c r="F75" s="25">
        <f>IF(C75="","",IFERROR(INDEX(tbl_Finance[Client],MATCH(C75&amp;"",tbl_Finance[Job Number],0)),""))</f>
        <v/>
      </c>
      <c r="G75" s="28">
        <f>IF(C75="","",COUNTIFS(tbl_Finance[Job Number],C75&amp;"",tbl_Finance[Ex GST],"&lt;&gt;"))</f>
        <v/>
      </c>
      <c r="H75" s="27">
        <f>IF(C75="","",SUMIFS(tbl_Finance[Ex GST],tbl_Finance[Job Number],C75&amp;""))</f>
        <v/>
      </c>
      <c r="I75" s="27">
        <f>IF(C75="","",SUMIFS(tbl_Finance[Ex GST],tbl_Finance[Job Number],C75&amp;"",tbl_Finance[Xero Invoice No],"&lt;&gt;"))</f>
        <v/>
      </c>
      <c r="J75" s="27">
        <f>IF(C75="","",H75-I75)</f>
        <v/>
      </c>
      <c r="K75" s="25">
        <f>IF(C75="","",IF(G75=0,"not invoiced yet",SUBSTITUTE(TRIM(IF(COUNTIFS(tbl_Finance[Job Number],C75&amp;"",tbl_Finance[Cost Centre],"ONSITE")&gt;0,"ONSITE ","")&amp;IF(COUNTIFS(tbl_Finance[Job Number],C75&amp;"",tbl_Finance[Cost Centre],"PRODUCTION")&gt;0,"PRODUCTION ","")&amp;IF(COUNTIFS(tbl_Finance[Job Number],C75&amp;"",tbl_Finance[Cost Centre],"VIDEO")&gt;0,"VIDEO ","")&amp;IF(COUNTIFS(tbl_Finance[Job Number],C75&amp;"",tbl_Finance[Cost Centre],"INTEGRATION")&gt;0,"INTEGRATION ","")&amp;IF(COUNTIFS(tbl_Finance[Job Number],C75&amp;"",tbl_Finance[Cost Centre],"CONSULTING")&gt;0,"CONSULTING ","")&amp;IF(COUNTIFS(tbl_Finance[Job Number],C75&amp;"",tbl_Finance[Cost Centre],"CTS")&gt;0,"CTS ",""))," ",", ")))</f>
        <v/>
      </c>
      <c r="L75" s="24" t="n"/>
      <c r="M75" s="25">
        <f>IF(L75="","",HYPERLINK(IF(LEFT(L75,4)="http",L75,set_QwilrBase&amp;L75),"Open quote"))</f>
        <v/>
      </c>
      <c r="N75" s="26" t="n"/>
      <c r="O75" s="26" t="n"/>
      <c r="P75" s="26" t="n"/>
      <c r="Q75" s="25">
        <f>IF(C75="","",IF(N(N75)+N(O75)+N(P75)=0,"Not split",IF(ROUND(N(N75)+N(O75)+N(P75),2)=ROUND(H75,2),"OK","MISMATCH")))</f>
        <v/>
      </c>
      <c r="R75" s="26" t="n"/>
      <c r="S75" s="26" t="n"/>
      <c r="T75" s="26" t="n"/>
      <c r="U75" s="27">
        <f>IF(C75="","",N(R75)+N(S75)+N(T75))</f>
        <v/>
      </c>
      <c r="V75" s="27">
        <f>IF(C75="","",H75-U75)</f>
        <v/>
      </c>
      <c r="W75" s="29">
        <f>IFERROR(V75/H75,"")</f>
        <v/>
      </c>
      <c r="X75" s="24" t="n"/>
    </row>
    <row r="76" ht="15" customHeight="1">
      <c r="A76" s="63">
        <f>IF(C76="","",IFERROR(IF(SUMPRODUCT(MAX((tbl_Finance[Job Number]=C76&amp;"")*(tbl_Finance[Xero Invoice No]&lt;&gt;"")*tbl_Finance[Date]))=0,"",SUMPRODUCT(MAX((tbl_Finance[Job Number]=C76&amp;"")*(tbl_Finance[Xero Invoice No]&lt;&gt;"")*tbl_Finance[Date]))),""))</f>
        <v/>
      </c>
      <c r="B76" s="25">
        <f>IF(C76="","",IF(COUNTIFS(tbl_Finance[Job Number],C76&amp;"",tbl_Finance[Xero Invoice No],"&lt;&gt;")=0,"",IFERROR(IF(COUNTIFS(tbl_Finance[Job Number],C76&amp;"",tbl_Finance[Xero Invoice No],LOOKUP(2,1/((tbl_Finance[Job Number]=C76&amp;"")*(tbl_Finance[Xero Invoice No]&lt;&gt;"")),tbl_Finance[Xero Invoice No]))=COUNTIFS(tbl_Finance[Job Number],C76&amp;"",tbl_Finance[Xero Invoice No],"&lt;&gt;"),LOOKUP(2,1/((tbl_Finance[Job Number]=C76&amp;"")*(tbl_Finance[Xero Invoice No]&lt;&gt;"")),tbl_Finance[Xero Invoice No]),LOOKUP(2,1/((tbl_Finance[Job Number]=C76&amp;"")*(tbl_Finance[Xero Invoice No]&lt;&gt;"")),tbl_Finance[Xero Invoice No])&amp;" +more"),"")))</f>
        <v/>
      </c>
      <c r="C76" s="24" t="n"/>
      <c r="D76" s="25">
        <f>IF(C76="","",IF(COUNTIF(lst_Jobs,C76&amp;"")&gt;0,"OK","CHECK"))</f>
        <v/>
      </c>
      <c r="E76" s="25">
        <f>IF(C76="","",IFERROR(INDEX(lst_JobName,MATCH(C76&amp;"",lst_Jobs,0)),""))</f>
        <v/>
      </c>
      <c r="F76" s="25">
        <f>IF(C76="","",IFERROR(INDEX(tbl_Finance[Client],MATCH(C76&amp;"",tbl_Finance[Job Number],0)),""))</f>
        <v/>
      </c>
      <c r="G76" s="28">
        <f>IF(C76="","",COUNTIFS(tbl_Finance[Job Number],C76&amp;"",tbl_Finance[Ex GST],"&lt;&gt;"))</f>
        <v/>
      </c>
      <c r="H76" s="27">
        <f>IF(C76="","",SUMIFS(tbl_Finance[Ex GST],tbl_Finance[Job Number],C76&amp;""))</f>
        <v/>
      </c>
      <c r="I76" s="27">
        <f>IF(C76="","",SUMIFS(tbl_Finance[Ex GST],tbl_Finance[Job Number],C76&amp;"",tbl_Finance[Xero Invoice No],"&lt;&gt;"))</f>
        <v/>
      </c>
      <c r="J76" s="27">
        <f>IF(C76="","",H76-I76)</f>
        <v/>
      </c>
      <c r="K76" s="25">
        <f>IF(C76="","",IF(G76=0,"not invoiced yet",SUBSTITUTE(TRIM(IF(COUNTIFS(tbl_Finance[Job Number],C76&amp;"",tbl_Finance[Cost Centre],"ONSITE")&gt;0,"ONSITE ","")&amp;IF(COUNTIFS(tbl_Finance[Job Number],C76&amp;"",tbl_Finance[Cost Centre],"PRODUCTION")&gt;0,"PRODUCTION ","")&amp;IF(COUNTIFS(tbl_Finance[Job Number],C76&amp;"",tbl_Finance[Cost Centre],"VIDEO")&gt;0,"VIDEO ","")&amp;IF(COUNTIFS(tbl_Finance[Job Number],C76&amp;"",tbl_Finance[Cost Centre],"INTEGRATION")&gt;0,"INTEGRATION ","")&amp;IF(COUNTIFS(tbl_Finance[Job Number],C76&amp;"",tbl_Finance[Cost Centre],"CONSULTING")&gt;0,"CONSULTING ","")&amp;IF(COUNTIFS(tbl_Finance[Job Number],C76&amp;"",tbl_Finance[Cost Centre],"CTS")&gt;0,"CTS ",""))," ",", ")))</f>
        <v/>
      </c>
      <c r="L76" s="24" t="n"/>
      <c r="M76" s="25">
        <f>IF(L76="","",HYPERLINK(IF(LEFT(L76,4)="http",L76,set_QwilrBase&amp;L76),"Open quote"))</f>
        <v/>
      </c>
      <c r="N76" s="26" t="n"/>
      <c r="O76" s="26" t="n"/>
      <c r="P76" s="26" t="n"/>
      <c r="Q76" s="25">
        <f>IF(C76="","",IF(N(N76)+N(O76)+N(P76)=0,"Not split",IF(ROUND(N(N76)+N(O76)+N(P76),2)=ROUND(H76,2),"OK","MISMATCH")))</f>
        <v/>
      </c>
      <c r="R76" s="26" t="n"/>
      <c r="S76" s="26" t="n"/>
      <c r="T76" s="26" t="n"/>
      <c r="U76" s="27">
        <f>IF(C76="","",N(R76)+N(S76)+N(T76))</f>
        <v/>
      </c>
      <c r="V76" s="27">
        <f>IF(C76="","",H76-U76)</f>
        <v/>
      </c>
      <c r="W76" s="29">
        <f>IFERROR(V76/H76,"")</f>
        <v/>
      </c>
      <c r="X76" s="24" t="n"/>
    </row>
    <row r="77" ht="15" customHeight="1">
      <c r="A77" s="63">
        <f>IF(C77="","",IFERROR(IF(SUMPRODUCT(MAX((tbl_Finance[Job Number]=C77&amp;"")*(tbl_Finance[Xero Invoice No]&lt;&gt;"")*tbl_Finance[Date]))=0,"",SUMPRODUCT(MAX((tbl_Finance[Job Number]=C77&amp;"")*(tbl_Finance[Xero Invoice No]&lt;&gt;"")*tbl_Finance[Date]))),""))</f>
        <v/>
      </c>
      <c r="B77" s="25">
        <f>IF(C77="","",IF(COUNTIFS(tbl_Finance[Job Number],C77&amp;"",tbl_Finance[Xero Invoice No],"&lt;&gt;")=0,"",IFERROR(IF(COUNTIFS(tbl_Finance[Job Number],C77&amp;"",tbl_Finance[Xero Invoice No],LOOKUP(2,1/((tbl_Finance[Job Number]=C77&amp;"")*(tbl_Finance[Xero Invoice No]&lt;&gt;"")),tbl_Finance[Xero Invoice No]))=COUNTIFS(tbl_Finance[Job Number],C77&amp;"",tbl_Finance[Xero Invoice No],"&lt;&gt;"),LOOKUP(2,1/((tbl_Finance[Job Number]=C77&amp;"")*(tbl_Finance[Xero Invoice No]&lt;&gt;"")),tbl_Finance[Xero Invoice No]),LOOKUP(2,1/((tbl_Finance[Job Number]=C77&amp;"")*(tbl_Finance[Xero Invoice No]&lt;&gt;"")),tbl_Finance[Xero Invoice No])&amp;" +more"),"")))</f>
        <v/>
      </c>
      <c r="C77" s="24" t="n"/>
      <c r="D77" s="25">
        <f>IF(C77="","",IF(COUNTIF(lst_Jobs,C77&amp;"")&gt;0,"OK","CHECK"))</f>
        <v/>
      </c>
      <c r="E77" s="25">
        <f>IF(C77="","",IFERROR(INDEX(lst_JobName,MATCH(C77&amp;"",lst_Jobs,0)),""))</f>
        <v/>
      </c>
      <c r="F77" s="25">
        <f>IF(C77="","",IFERROR(INDEX(tbl_Finance[Client],MATCH(C77&amp;"",tbl_Finance[Job Number],0)),""))</f>
        <v/>
      </c>
      <c r="G77" s="28">
        <f>IF(C77="","",COUNTIFS(tbl_Finance[Job Number],C77&amp;"",tbl_Finance[Ex GST],"&lt;&gt;"))</f>
        <v/>
      </c>
      <c r="H77" s="27">
        <f>IF(C77="","",SUMIFS(tbl_Finance[Ex GST],tbl_Finance[Job Number],C77&amp;""))</f>
        <v/>
      </c>
      <c r="I77" s="27">
        <f>IF(C77="","",SUMIFS(tbl_Finance[Ex GST],tbl_Finance[Job Number],C77&amp;"",tbl_Finance[Xero Invoice No],"&lt;&gt;"))</f>
        <v/>
      </c>
      <c r="J77" s="27">
        <f>IF(C77="","",H77-I77)</f>
        <v/>
      </c>
      <c r="K77" s="25">
        <f>IF(C77="","",IF(G77=0,"not invoiced yet",SUBSTITUTE(TRIM(IF(COUNTIFS(tbl_Finance[Job Number],C77&amp;"",tbl_Finance[Cost Centre],"ONSITE")&gt;0,"ONSITE ","")&amp;IF(COUNTIFS(tbl_Finance[Job Number],C77&amp;"",tbl_Finance[Cost Centre],"PRODUCTION")&gt;0,"PRODUCTION ","")&amp;IF(COUNTIFS(tbl_Finance[Job Number],C77&amp;"",tbl_Finance[Cost Centre],"VIDEO")&gt;0,"VIDEO ","")&amp;IF(COUNTIFS(tbl_Finance[Job Number],C77&amp;"",tbl_Finance[Cost Centre],"INTEGRATION")&gt;0,"INTEGRATION ","")&amp;IF(COUNTIFS(tbl_Finance[Job Number],C77&amp;"",tbl_Finance[Cost Centre],"CONSULTING")&gt;0,"CONSULTING ","")&amp;IF(COUNTIFS(tbl_Finance[Job Number],C77&amp;"",tbl_Finance[Cost Centre],"CTS")&gt;0,"CTS ",""))," ",", ")))</f>
        <v/>
      </c>
      <c r="L77" s="24" t="n"/>
      <c r="M77" s="25">
        <f>IF(L77="","",HYPERLINK(IF(LEFT(L77,4)="http",L77,set_QwilrBase&amp;L77),"Open quote"))</f>
        <v/>
      </c>
      <c r="N77" s="26" t="n"/>
      <c r="O77" s="26" t="n"/>
      <c r="P77" s="26" t="n"/>
      <c r="Q77" s="25">
        <f>IF(C77="","",IF(N(N77)+N(O77)+N(P77)=0,"Not split",IF(ROUND(N(N77)+N(O77)+N(P77),2)=ROUND(H77,2),"OK","MISMATCH")))</f>
        <v/>
      </c>
      <c r="R77" s="26" t="n"/>
      <c r="S77" s="26" t="n"/>
      <c r="T77" s="26" t="n"/>
      <c r="U77" s="27">
        <f>IF(C77="","",N(R77)+N(S77)+N(T77))</f>
        <v/>
      </c>
      <c r="V77" s="27">
        <f>IF(C77="","",H77-U77)</f>
        <v/>
      </c>
      <c r="W77" s="29">
        <f>IFERROR(V77/H77,"")</f>
        <v/>
      </c>
      <c r="X77" s="24" t="n"/>
    </row>
    <row r="78" ht="15" customHeight="1">
      <c r="A78" s="63">
        <f>IF(C78="","",IFERROR(IF(SUMPRODUCT(MAX((tbl_Finance[Job Number]=C78&amp;"")*(tbl_Finance[Xero Invoice No]&lt;&gt;"")*tbl_Finance[Date]))=0,"",SUMPRODUCT(MAX((tbl_Finance[Job Number]=C78&amp;"")*(tbl_Finance[Xero Invoice No]&lt;&gt;"")*tbl_Finance[Date]))),""))</f>
        <v/>
      </c>
      <c r="B78" s="25">
        <f>IF(C78="","",IF(COUNTIFS(tbl_Finance[Job Number],C78&amp;"",tbl_Finance[Xero Invoice No],"&lt;&gt;")=0,"",IFERROR(IF(COUNTIFS(tbl_Finance[Job Number],C78&amp;"",tbl_Finance[Xero Invoice No],LOOKUP(2,1/((tbl_Finance[Job Number]=C78&amp;"")*(tbl_Finance[Xero Invoice No]&lt;&gt;"")),tbl_Finance[Xero Invoice No]))=COUNTIFS(tbl_Finance[Job Number],C78&amp;"",tbl_Finance[Xero Invoice No],"&lt;&gt;"),LOOKUP(2,1/((tbl_Finance[Job Number]=C78&amp;"")*(tbl_Finance[Xero Invoice No]&lt;&gt;"")),tbl_Finance[Xero Invoice No]),LOOKUP(2,1/((tbl_Finance[Job Number]=C78&amp;"")*(tbl_Finance[Xero Invoice No]&lt;&gt;"")),tbl_Finance[Xero Invoice No])&amp;" +more"),"")))</f>
        <v/>
      </c>
      <c r="C78" s="24" t="n"/>
      <c r="D78" s="25">
        <f>IF(C78="","",IF(COUNTIF(lst_Jobs,C78&amp;"")&gt;0,"OK","CHECK"))</f>
        <v/>
      </c>
      <c r="E78" s="25">
        <f>IF(C78="","",IFERROR(INDEX(lst_JobName,MATCH(C78&amp;"",lst_Jobs,0)),""))</f>
        <v/>
      </c>
      <c r="F78" s="25">
        <f>IF(C78="","",IFERROR(INDEX(tbl_Finance[Client],MATCH(C78&amp;"",tbl_Finance[Job Number],0)),""))</f>
        <v/>
      </c>
      <c r="G78" s="28">
        <f>IF(C78="","",COUNTIFS(tbl_Finance[Job Number],C78&amp;"",tbl_Finance[Ex GST],"&lt;&gt;"))</f>
        <v/>
      </c>
      <c r="H78" s="27">
        <f>IF(C78="","",SUMIFS(tbl_Finance[Ex GST],tbl_Finance[Job Number],C78&amp;""))</f>
        <v/>
      </c>
      <c r="I78" s="27">
        <f>IF(C78="","",SUMIFS(tbl_Finance[Ex GST],tbl_Finance[Job Number],C78&amp;"",tbl_Finance[Xero Invoice No],"&lt;&gt;"))</f>
        <v/>
      </c>
      <c r="J78" s="27">
        <f>IF(C78="","",H78-I78)</f>
        <v/>
      </c>
      <c r="K78" s="25">
        <f>IF(C78="","",IF(G78=0,"not invoiced yet",SUBSTITUTE(TRIM(IF(COUNTIFS(tbl_Finance[Job Number],C78&amp;"",tbl_Finance[Cost Centre],"ONSITE")&gt;0,"ONSITE ","")&amp;IF(COUNTIFS(tbl_Finance[Job Number],C78&amp;"",tbl_Finance[Cost Centre],"PRODUCTION")&gt;0,"PRODUCTION ","")&amp;IF(COUNTIFS(tbl_Finance[Job Number],C78&amp;"",tbl_Finance[Cost Centre],"VIDEO")&gt;0,"VIDEO ","")&amp;IF(COUNTIFS(tbl_Finance[Job Number],C78&amp;"",tbl_Finance[Cost Centre],"INTEGRATION")&gt;0,"INTEGRATION ","")&amp;IF(COUNTIFS(tbl_Finance[Job Number],C78&amp;"",tbl_Finance[Cost Centre],"CONSULTING")&gt;0,"CONSULTING ","")&amp;IF(COUNTIFS(tbl_Finance[Job Number],C78&amp;"",tbl_Finance[Cost Centre],"CTS")&gt;0,"CTS ",""))," ",", ")))</f>
        <v/>
      </c>
      <c r="L78" s="24" t="n"/>
      <c r="M78" s="25">
        <f>IF(L78="","",HYPERLINK(IF(LEFT(L78,4)="http",L78,set_QwilrBase&amp;L78),"Open quote"))</f>
        <v/>
      </c>
      <c r="N78" s="26" t="n"/>
      <c r="O78" s="26" t="n"/>
      <c r="P78" s="26" t="n"/>
      <c r="Q78" s="25">
        <f>IF(C78="","",IF(N(N78)+N(O78)+N(P78)=0,"Not split",IF(ROUND(N(N78)+N(O78)+N(P78),2)=ROUND(H78,2),"OK","MISMATCH")))</f>
        <v/>
      </c>
      <c r="R78" s="26" t="n"/>
      <c r="S78" s="26" t="n"/>
      <c r="T78" s="26" t="n"/>
      <c r="U78" s="27">
        <f>IF(C78="","",N(R78)+N(S78)+N(T78))</f>
        <v/>
      </c>
      <c r="V78" s="27">
        <f>IF(C78="","",H78-U78)</f>
        <v/>
      </c>
      <c r="W78" s="29">
        <f>IFERROR(V78/H78,"")</f>
        <v/>
      </c>
      <c r="X78" s="24" t="n"/>
    </row>
    <row r="79" ht="15" customHeight="1">
      <c r="A79" s="63">
        <f>IF(C79="","",IFERROR(IF(SUMPRODUCT(MAX((tbl_Finance[Job Number]=C79&amp;"")*(tbl_Finance[Xero Invoice No]&lt;&gt;"")*tbl_Finance[Date]))=0,"",SUMPRODUCT(MAX((tbl_Finance[Job Number]=C79&amp;"")*(tbl_Finance[Xero Invoice No]&lt;&gt;"")*tbl_Finance[Date]))),""))</f>
        <v/>
      </c>
      <c r="B79" s="25">
        <f>IF(C79="","",IF(COUNTIFS(tbl_Finance[Job Number],C79&amp;"",tbl_Finance[Xero Invoice No],"&lt;&gt;")=0,"",IFERROR(IF(COUNTIFS(tbl_Finance[Job Number],C79&amp;"",tbl_Finance[Xero Invoice No],LOOKUP(2,1/((tbl_Finance[Job Number]=C79&amp;"")*(tbl_Finance[Xero Invoice No]&lt;&gt;"")),tbl_Finance[Xero Invoice No]))=COUNTIFS(tbl_Finance[Job Number],C79&amp;"",tbl_Finance[Xero Invoice No],"&lt;&gt;"),LOOKUP(2,1/((tbl_Finance[Job Number]=C79&amp;"")*(tbl_Finance[Xero Invoice No]&lt;&gt;"")),tbl_Finance[Xero Invoice No]),LOOKUP(2,1/((tbl_Finance[Job Number]=C79&amp;"")*(tbl_Finance[Xero Invoice No]&lt;&gt;"")),tbl_Finance[Xero Invoice No])&amp;" +more"),"")))</f>
        <v/>
      </c>
      <c r="C79" s="24" t="n"/>
      <c r="D79" s="25">
        <f>IF(C79="","",IF(COUNTIF(lst_Jobs,C79&amp;"")&gt;0,"OK","CHECK"))</f>
        <v/>
      </c>
      <c r="E79" s="25">
        <f>IF(C79="","",IFERROR(INDEX(lst_JobName,MATCH(C79&amp;"",lst_Jobs,0)),""))</f>
        <v/>
      </c>
      <c r="F79" s="25">
        <f>IF(C79="","",IFERROR(INDEX(tbl_Finance[Client],MATCH(C79&amp;"",tbl_Finance[Job Number],0)),""))</f>
        <v/>
      </c>
      <c r="G79" s="28">
        <f>IF(C79="","",COUNTIFS(tbl_Finance[Job Number],C79&amp;"",tbl_Finance[Ex GST],"&lt;&gt;"))</f>
        <v/>
      </c>
      <c r="H79" s="27">
        <f>IF(C79="","",SUMIFS(tbl_Finance[Ex GST],tbl_Finance[Job Number],C79&amp;""))</f>
        <v/>
      </c>
      <c r="I79" s="27">
        <f>IF(C79="","",SUMIFS(tbl_Finance[Ex GST],tbl_Finance[Job Number],C79&amp;"",tbl_Finance[Xero Invoice No],"&lt;&gt;"))</f>
        <v/>
      </c>
      <c r="J79" s="27">
        <f>IF(C79="","",H79-I79)</f>
        <v/>
      </c>
      <c r="K79" s="25">
        <f>IF(C79="","",IF(G79=0,"not invoiced yet",SUBSTITUTE(TRIM(IF(COUNTIFS(tbl_Finance[Job Number],C79&amp;"",tbl_Finance[Cost Centre],"ONSITE")&gt;0,"ONSITE ","")&amp;IF(COUNTIFS(tbl_Finance[Job Number],C79&amp;"",tbl_Finance[Cost Centre],"PRODUCTION")&gt;0,"PRODUCTION ","")&amp;IF(COUNTIFS(tbl_Finance[Job Number],C79&amp;"",tbl_Finance[Cost Centre],"VIDEO")&gt;0,"VIDEO ","")&amp;IF(COUNTIFS(tbl_Finance[Job Number],C79&amp;"",tbl_Finance[Cost Centre],"INTEGRATION")&gt;0,"INTEGRATION ","")&amp;IF(COUNTIFS(tbl_Finance[Job Number],C79&amp;"",tbl_Finance[Cost Centre],"CONSULTING")&gt;0,"CONSULTING ","")&amp;IF(COUNTIFS(tbl_Finance[Job Number],C79&amp;"",tbl_Finance[Cost Centre],"CTS")&gt;0,"CTS ",""))," ",", ")))</f>
        <v/>
      </c>
      <c r="L79" s="24" t="n"/>
      <c r="M79" s="25">
        <f>IF(L79="","",HYPERLINK(IF(LEFT(L79,4)="http",L79,set_QwilrBase&amp;L79),"Open quote"))</f>
        <v/>
      </c>
      <c r="N79" s="26" t="n"/>
      <c r="O79" s="26" t="n"/>
      <c r="P79" s="26" t="n"/>
      <c r="Q79" s="25">
        <f>IF(C79="","",IF(N(N79)+N(O79)+N(P79)=0,"Not split",IF(ROUND(N(N79)+N(O79)+N(P79),2)=ROUND(H79,2),"OK","MISMATCH")))</f>
        <v/>
      </c>
      <c r="R79" s="26" t="n"/>
      <c r="S79" s="26" t="n"/>
      <c r="T79" s="26" t="n"/>
      <c r="U79" s="27">
        <f>IF(C79="","",N(R79)+N(S79)+N(T79))</f>
        <v/>
      </c>
      <c r="V79" s="27">
        <f>IF(C79="","",H79-U79)</f>
        <v/>
      </c>
      <c r="W79" s="29">
        <f>IFERROR(V79/H79,"")</f>
        <v/>
      </c>
      <c r="X79" s="24" t="n"/>
    </row>
    <row r="80" ht="15" customHeight="1">
      <c r="A80" s="63">
        <f>IF(C80="","",IFERROR(IF(SUMPRODUCT(MAX((tbl_Finance[Job Number]=C80&amp;"")*(tbl_Finance[Xero Invoice No]&lt;&gt;"")*tbl_Finance[Date]))=0,"",SUMPRODUCT(MAX((tbl_Finance[Job Number]=C80&amp;"")*(tbl_Finance[Xero Invoice No]&lt;&gt;"")*tbl_Finance[Date]))),""))</f>
        <v/>
      </c>
      <c r="B80" s="25">
        <f>IF(C80="","",IF(COUNTIFS(tbl_Finance[Job Number],C80&amp;"",tbl_Finance[Xero Invoice No],"&lt;&gt;")=0,"",IFERROR(IF(COUNTIFS(tbl_Finance[Job Number],C80&amp;"",tbl_Finance[Xero Invoice No],LOOKUP(2,1/((tbl_Finance[Job Number]=C80&amp;"")*(tbl_Finance[Xero Invoice No]&lt;&gt;"")),tbl_Finance[Xero Invoice No]))=COUNTIFS(tbl_Finance[Job Number],C80&amp;"",tbl_Finance[Xero Invoice No],"&lt;&gt;"),LOOKUP(2,1/((tbl_Finance[Job Number]=C80&amp;"")*(tbl_Finance[Xero Invoice No]&lt;&gt;"")),tbl_Finance[Xero Invoice No]),LOOKUP(2,1/((tbl_Finance[Job Number]=C80&amp;"")*(tbl_Finance[Xero Invoice No]&lt;&gt;"")),tbl_Finance[Xero Invoice No])&amp;" +more"),"")))</f>
        <v/>
      </c>
      <c r="C80" s="24" t="n"/>
      <c r="D80" s="25">
        <f>IF(C80="","",IF(COUNTIF(lst_Jobs,C80&amp;"")&gt;0,"OK","CHECK"))</f>
        <v/>
      </c>
      <c r="E80" s="25">
        <f>IF(C80="","",IFERROR(INDEX(lst_JobName,MATCH(C80&amp;"",lst_Jobs,0)),""))</f>
        <v/>
      </c>
      <c r="F80" s="25">
        <f>IF(C80="","",IFERROR(INDEX(tbl_Finance[Client],MATCH(C80&amp;"",tbl_Finance[Job Number],0)),""))</f>
        <v/>
      </c>
      <c r="G80" s="28">
        <f>IF(C80="","",COUNTIFS(tbl_Finance[Job Number],C80&amp;"",tbl_Finance[Ex GST],"&lt;&gt;"))</f>
        <v/>
      </c>
      <c r="H80" s="27">
        <f>IF(C80="","",SUMIFS(tbl_Finance[Ex GST],tbl_Finance[Job Number],C80&amp;""))</f>
        <v/>
      </c>
      <c r="I80" s="27">
        <f>IF(C80="","",SUMIFS(tbl_Finance[Ex GST],tbl_Finance[Job Number],C80&amp;"",tbl_Finance[Xero Invoice No],"&lt;&gt;"))</f>
        <v/>
      </c>
      <c r="J80" s="27">
        <f>IF(C80="","",H80-I80)</f>
        <v/>
      </c>
      <c r="K80" s="25">
        <f>IF(C80="","",IF(G80=0,"not invoiced yet",SUBSTITUTE(TRIM(IF(COUNTIFS(tbl_Finance[Job Number],C80&amp;"",tbl_Finance[Cost Centre],"ONSITE")&gt;0,"ONSITE ","")&amp;IF(COUNTIFS(tbl_Finance[Job Number],C80&amp;"",tbl_Finance[Cost Centre],"PRODUCTION")&gt;0,"PRODUCTION ","")&amp;IF(COUNTIFS(tbl_Finance[Job Number],C80&amp;"",tbl_Finance[Cost Centre],"VIDEO")&gt;0,"VIDEO ","")&amp;IF(COUNTIFS(tbl_Finance[Job Number],C80&amp;"",tbl_Finance[Cost Centre],"INTEGRATION")&gt;0,"INTEGRATION ","")&amp;IF(COUNTIFS(tbl_Finance[Job Number],C80&amp;"",tbl_Finance[Cost Centre],"CONSULTING")&gt;0,"CONSULTING ","")&amp;IF(COUNTIFS(tbl_Finance[Job Number],C80&amp;"",tbl_Finance[Cost Centre],"CTS")&gt;0,"CTS ",""))," ",", ")))</f>
        <v/>
      </c>
      <c r="L80" s="24" t="n"/>
      <c r="M80" s="25">
        <f>IF(L80="","",HYPERLINK(IF(LEFT(L80,4)="http",L80,set_QwilrBase&amp;L80),"Open quote"))</f>
        <v/>
      </c>
      <c r="N80" s="26" t="n"/>
      <c r="O80" s="26" t="n"/>
      <c r="P80" s="26" t="n"/>
      <c r="Q80" s="25">
        <f>IF(C80="","",IF(N(N80)+N(O80)+N(P80)=0,"Not split",IF(ROUND(N(N80)+N(O80)+N(P80),2)=ROUND(H80,2),"OK","MISMATCH")))</f>
        <v/>
      </c>
      <c r="R80" s="26" t="n"/>
      <c r="S80" s="26" t="n"/>
      <c r="T80" s="26" t="n"/>
      <c r="U80" s="27">
        <f>IF(C80="","",N(R80)+N(S80)+N(T80))</f>
        <v/>
      </c>
      <c r="V80" s="27">
        <f>IF(C80="","",H80-U80)</f>
        <v/>
      </c>
      <c r="W80" s="29">
        <f>IFERROR(V80/H80,"")</f>
        <v/>
      </c>
      <c r="X80" s="24" t="n"/>
    </row>
    <row r="81" ht="15" customHeight="1">
      <c r="A81" s="63">
        <f>IF(C81="","",IFERROR(IF(SUMPRODUCT(MAX((tbl_Finance[Job Number]=C81&amp;"")*(tbl_Finance[Xero Invoice No]&lt;&gt;"")*tbl_Finance[Date]))=0,"",SUMPRODUCT(MAX((tbl_Finance[Job Number]=C81&amp;"")*(tbl_Finance[Xero Invoice No]&lt;&gt;"")*tbl_Finance[Date]))),""))</f>
        <v/>
      </c>
      <c r="B81" s="25">
        <f>IF(C81="","",IF(COUNTIFS(tbl_Finance[Job Number],C81&amp;"",tbl_Finance[Xero Invoice No],"&lt;&gt;")=0,"",IFERROR(IF(COUNTIFS(tbl_Finance[Job Number],C81&amp;"",tbl_Finance[Xero Invoice No],LOOKUP(2,1/((tbl_Finance[Job Number]=C81&amp;"")*(tbl_Finance[Xero Invoice No]&lt;&gt;"")),tbl_Finance[Xero Invoice No]))=COUNTIFS(tbl_Finance[Job Number],C81&amp;"",tbl_Finance[Xero Invoice No],"&lt;&gt;"),LOOKUP(2,1/((tbl_Finance[Job Number]=C81&amp;"")*(tbl_Finance[Xero Invoice No]&lt;&gt;"")),tbl_Finance[Xero Invoice No]),LOOKUP(2,1/((tbl_Finance[Job Number]=C81&amp;"")*(tbl_Finance[Xero Invoice No]&lt;&gt;"")),tbl_Finance[Xero Invoice No])&amp;" +more"),"")))</f>
        <v/>
      </c>
      <c r="C81" s="24" t="n"/>
      <c r="D81" s="25">
        <f>IF(C81="","",IF(COUNTIF(lst_Jobs,C81&amp;"")&gt;0,"OK","CHECK"))</f>
        <v/>
      </c>
      <c r="E81" s="25">
        <f>IF(C81="","",IFERROR(INDEX(lst_JobName,MATCH(C81&amp;"",lst_Jobs,0)),""))</f>
        <v/>
      </c>
      <c r="F81" s="25">
        <f>IF(C81="","",IFERROR(INDEX(tbl_Finance[Client],MATCH(C81&amp;"",tbl_Finance[Job Number],0)),""))</f>
        <v/>
      </c>
      <c r="G81" s="28">
        <f>IF(C81="","",COUNTIFS(tbl_Finance[Job Number],C81&amp;"",tbl_Finance[Ex GST],"&lt;&gt;"))</f>
        <v/>
      </c>
      <c r="H81" s="27">
        <f>IF(C81="","",SUMIFS(tbl_Finance[Ex GST],tbl_Finance[Job Number],C81&amp;""))</f>
        <v/>
      </c>
      <c r="I81" s="27">
        <f>IF(C81="","",SUMIFS(tbl_Finance[Ex GST],tbl_Finance[Job Number],C81&amp;"",tbl_Finance[Xero Invoice No],"&lt;&gt;"))</f>
        <v/>
      </c>
      <c r="J81" s="27">
        <f>IF(C81="","",H81-I81)</f>
        <v/>
      </c>
      <c r="K81" s="25">
        <f>IF(C81="","",IF(G81=0,"not invoiced yet",SUBSTITUTE(TRIM(IF(COUNTIFS(tbl_Finance[Job Number],C81&amp;"",tbl_Finance[Cost Centre],"ONSITE")&gt;0,"ONSITE ","")&amp;IF(COUNTIFS(tbl_Finance[Job Number],C81&amp;"",tbl_Finance[Cost Centre],"PRODUCTION")&gt;0,"PRODUCTION ","")&amp;IF(COUNTIFS(tbl_Finance[Job Number],C81&amp;"",tbl_Finance[Cost Centre],"VIDEO")&gt;0,"VIDEO ","")&amp;IF(COUNTIFS(tbl_Finance[Job Number],C81&amp;"",tbl_Finance[Cost Centre],"INTEGRATION")&gt;0,"INTEGRATION ","")&amp;IF(COUNTIFS(tbl_Finance[Job Number],C81&amp;"",tbl_Finance[Cost Centre],"CONSULTING")&gt;0,"CONSULTING ","")&amp;IF(COUNTIFS(tbl_Finance[Job Number],C81&amp;"",tbl_Finance[Cost Centre],"CTS")&gt;0,"CTS ",""))," ",", ")))</f>
        <v/>
      </c>
      <c r="L81" s="24" t="n"/>
      <c r="M81" s="25">
        <f>IF(L81="","",HYPERLINK(IF(LEFT(L81,4)="http",L81,set_QwilrBase&amp;L81),"Open quote"))</f>
        <v/>
      </c>
      <c r="N81" s="26" t="n"/>
      <c r="O81" s="26" t="n"/>
      <c r="P81" s="26" t="n"/>
      <c r="Q81" s="25">
        <f>IF(C81="","",IF(N(N81)+N(O81)+N(P81)=0,"Not split",IF(ROUND(N(N81)+N(O81)+N(P81),2)=ROUND(H81,2),"OK","MISMATCH")))</f>
        <v/>
      </c>
      <c r="R81" s="26" t="n"/>
      <c r="S81" s="26" t="n"/>
      <c r="T81" s="26" t="n"/>
      <c r="U81" s="27">
        <f>IF(C81="","",N(R81)+N(S81)+N(T81))</f>
        <v/>
      </c>
      <c r="V81" s="27">
        <f>IF(C81="","",H81-U81)</f>
        <v/>
      </c>
      <c r="W81" s="29">
        <f>IFERROR(V81/H81,"")</f>
        <v/>
      </c>
      <c r="X81" s="24" t="n"/>
    </row>
    <row r="82" ht="15" customHeight="1">
      <c r="A82" s="63">
        <f>IF(C82="","",IFERROR(IF(SUMPRODUCT(MAX((tbl_Finance[Job Number]=C82&amp;"")*(tbl_Finance[Xero Invoice No]&lt;&gt;"")*tbl_Finance[Date]))=0,"",SUMPRODUCT(MAX((tbl_Finance[Job Number]=C82&amp;"")*(tbl_Finance[Xero Invoice No]&lt;&gt;"")*tbl_Finance[Date]))),""))</f>
        <v/>
      </c>
      <c r="B82" s="25">
        <f>IF(C82="","",IF(COUNTIFS(tbl_Finance[Job Number],C82&amp;"",tbl_Finance[Xero Invoice No],"&lt;&gt;")=0,"",IFERROR(IF(COUNTIFS(tbl_Finance[Job Number],C82&amp;"",tbl_Finance[Xero Invoice No],LOOKUP(2,1/((tbl_Finance[Job Number]=C82&amp;"")*(tbl_Finance[Xero Invoice No]&lt;&gt;"")),tbl_Finance[Xero Invoice No]))=COUNTIFS(tbl_Finance[Job Number],C82&amp;"",tbl_Finance[Xero Invoice No],"&lt;&gt;"),LOOKUP(2,1/((tbl_Finance[Job Number]=C82&amp;"")*(tbl_Finance[Xero Invoice No]&lt;&gt;"")),tbl_Finance[Xero Invoice No]),LOOKUP(2,1/((tbl_Finance[Job Number]=C82&amp;"")*(tbl_Finance[Xero Invoice No]&lt;&gt;"")),tbl_Finance[Xero Invoice No])&amp;" +more"),"")))</f>
        <v/>
      </c>
      <c r="C82" s="24" t="n"/>
      <c r="D82" s="25">
        <f>IF(C82="","",IF(COUNTIF(lst_Jobs,C82&amp;"")&gt;0,"OK","CHECK"))</f>
        <v/>
      </c>
      <c r="E82" s="25">
        <f>IF(C82="","",IFERROR(INDEX(lst_JobName,MATCH(C82&amp;"",lst_Jobs,0)),""))</f>
        <v/>
      </c>
      <c r="F82" s="25">
        <f>IF(C82="","",IFERROR(INDEX(tbl_Finance[Client],MATCH(C82&amp;"",tbl_Finance[Job Number],0)),""))</f>
        <v/>
      </c>
      <c r="G82" s="28">
        <f>IF(C82="","",COUNTIFS(tbl_Finance[Job Number],C82&amp;"",tbl_Finance[Ex GST],"&lt;&gt;"))</f>
        <v/>
      </c>
      <c r="H82" s="27">
        <f>IF(C82="","",SUMIFS(tbl_Finance[Ex GST],tbl_Finance[Job Number],C82&amp;""))</f>
        <v/>
      </c>
      <c r="I82" s="27">
        <f>IF(C82="","",SUMIFS(tbl_Finance[Ex GST],tbl_Finance[Job Number],C82&amp;"",tbl_Finance[Xero Invoice No],"&lt;&gt;"))</f>
        <v/>
      </c>
      <c r="J82" s="27">
        <f>IF(C82="","",H82-I82)</f>
        <v/>
      </c>
      <c r="K82" s="25">
        <f>IF(C82="","",IF(G82=0,"not invoiced yet",SUBSTITUTE(TRIM(IF(COUNTIFS(tbl_Finance[Job Number],C82&amp;"",tbl_Finance[Cost Centre],"ONSITE")&gt;0,"ONSITE ","")&amp;IF(COUNTIFS(tbl_Finance[Job Number],C82&amp;"",tbl_Finance[Cost Centre],"PRODUCTION")&gt;0,"PRODUCTION ","")&amp;IF(COUNTIFS(tbl_Finance[Job Number],C82&amp;"",tbl_Finance[Cost Centre],"VIDEO")&gt;0,"VIDEO ","")&amp;IF(COUNTIFS(tbl_Finance[Job Number],C82&amp;"",tbl_Finance[Cost Centre],"INTEGRATION")&gt;0,"INTEGRATION ","")&amp;IF(COUNTIFS(tbl_Finance[Job Number],C82&amp;"",tbl_Finance[Cost Centre],"CONSULTING")&gt;0,"CONSULTING ","")&amp;IF(COUNTIFS(tbl_Finance[Job Number],C82&amp;"",tbl_Finance[Cost Centre],"CTS")&gt;0,"CTS ",""))," ",", ")))</f>
        <v/>
      </c>
      <c r="L82" s="24" t="n"/>
      <c r="M82" s="25">
        <f>IF(L82="","",HYPERLINK(IF(LEFT(L82,4)="http",L82,set_QwilrBase&amp;L82),"Open quote"))</f>
        <v/>
      </c>
      <c r="N82" s="26" t="n"/>
      <c r="O82" s="26" t="n"/>
      <c r="P82" s="26" t="n"/>
      <c r="Q82" s="25">
        <f>IF(C82="","",IF(N(N82)+N(O82)+N(P82)=0,"Not split",IF(ROUND(N(N82)+N(O82)+N(P82),2)=ROUND(H82,2),"OK","MISMATCH")))</f>
        <v/>
      </c>
      <c r="R82" s="26" t="n"/>
      <c r="S82" s="26" t="n"/>
      <c r="T82" s="26" t="n"/>
      <c r="U82" s="27">
        <f>IF(C82="","",N(R82)+N(S82)+N(T82))</f>
        <v/>
      </c>
      <c r="V82" s="27">
        <f>IF(C82="","",H82-U82)</f>
        <v/>
      </c>
      <c r="W82" s="29">
        <f>IFERROR(V82/H82,"")</f>
        <v/>
      </c>
      <c r="X82" s="24" t="n"/>
    </row>
    <row r="83" ht="15" customHeight="1">
      <c r="A83" s="63">
        <f>IF(C83="","",IFERROR(IF(SUMPRODUCT(MAX((tbl_Finance[Job Number]=C83&amp;"")*(tbl_Finance[Xero Invoice No]&lt;&gt;"")*tbl_Finance[Date]))=0,"",SUMPRODUCT(MAX((tbl_Finance[Job Number]=C83&amp;"")*(tbl_Finance[Xero Invoice No]&lt;&gt;"")*tbl_Finance[Date]))),""))</f>
        <v/>
      </c>
      <c r="B83" s="25">
        <f>IF(C83="","",IF(COUNTIFS(tbl_Finance[Job Number],C83&amp;"",tbl_Finance[Xero Invoice No],"&lt;&gt;")=0,"",IFERROR(IF(COUNTIFS(tbl_Finance[Job Number],C83&amp;"",tbl_Finance[Xero Invoice No],LOOKUP(2,1/((tbl_Finance[Job Number]=C83&amp;"")*(tbl_Finance[Xero Invoice No]&lt;&gt;"")),tbl_Finance[Xero Invoice No]))=COUNTIFS(tbl_Finance[Job Number],C83&amp;"",tbl_Finance[Xero Invoice No],"&lt;&gt;"),LOOKUP(2,1/((tbl_Finance[Job Number]=C83&amp;"")*(tbl_Finance[Xero Invoice No]&lt;&gt;"")),tbl_Finance[Xero Invoice No]),LOOKUP(2,1/((tbl_Finance[Job Number]=C83&amp;"")*(tbl_Finance[Xero Invoice No]&lt;&gt;"")),tbl_Finance[Xero Invoice No])&amp;" +more"),"")))</f>
        <v/>
      </c>
      <c r="C83" s="24" t="n"/>
      <c r="D83" s="25">
        <f>IF(C83="","",IF(COUNTIF(lst_Jobs,C83&amp;"")&gt;0,"OK","CHECK"))</f>
        <v/>
      </c>
      <c r="E83" s="25">
        <f>IF(C83="","",IFERROR(INDEX(lst_JobName,MATCH(C83&amp;"",lst_Jobs,0)),""))</f>
        <v/>
      </c>
      <c r="F83" s="25">
        <f>IF(C83="","",IFERROR(INDEX(tbl_Finance[Client],MATCH(C83&amp;"",tbl_Finance[Job Number],0)),""))</f>
        <v/>
      </c>
      <c r="G83" s="28">
        <f>IF(C83="","",COUNTIFS(tbl_Finance[Job Number],C83&amp;"",tbl_Finance[Ex GST],"&lt;&gt;"))</f>
        <v/>
      </c>
      <c r="H83" s="27">
        <f>IF(C83="","",SUMIFS(tbl_Finance[Ex GST],tbl_Finance[Job Number],C83&amp;""))</f>
        <v/>
      </c>
      <c r="I83" s="27">
        <f>IF(C83="","",SUMIFS(tbl_Finance[Ex GST],tbl_Finance[Job Number],C83&amp;"",tbl_Finance[Xero Invoice No],"&lt;&gt;"))</f>
        <v/>
      </c>
      <c r="J83" s="27">
        <f>IF(C83="","",H83-I83)</f>
        <v/>
      </c>
      <c r="K83" s="25">
        <f>IF(C83="","",IF(G83=0,"not invoiced yet",SUBSTITUTE(TRIM(IF(COUNTIFS(tbl_Finance[Job Number],C83&amp;"",tbl_Finance[Cost Centre],"ONSITE")&gt;0,"ONSITE ","")&amp;IF(COUNTIFS(tbl_Finance[Job Number],C83&amp;"",tbl_Finance[Cost Centre],"PRODUCTION")&gt;0,"PRODUCTION ","")&amp;IF(COUNTIFS(tbl_Finance[Job Number],C83&amp;"",tbl_Finance[Cost Centre],"VIDEO")&gt;0,"VIDEO ","")&amp;IF(COUNTIFS(tbl_Finance[Job Number],C83&amp;"",tbl_Finance[Cost Centre],"INTEGRATION")&gt;0,"INTEGRATION ","")&amp;IF(COUNTIFS(tbl_Finance[Job Number],C83&amp;"",tbl_Finance[Cost Centre],"CONSULTING")&gt;0,"CONSULTING ","")&amp;IF(COUNTIFS(tbl_Finance[Job Number],C83&amp;"",tbl_Finance[Cost Centre],"CTS")&gt;0,"CTS ",""))," ",", ")))</f>
        <v/>
      </c>
      <c r="L83" s="24" t="n"/>
      <c r="M83" s="25">
        <f>IF(L83="","",HYPERLINK(IF(LEFT(L83,4)="http",L83,set_QwilrBase&amp;L83),"Open quote"))</f>
        <v/>
      </c>
      <c r="N83" s="26" t="n"/>
      <c r="O83" s="26" t="n"/>
      <c r="P83" s="26" t="n"/>
      <c r="Q83" s="25">
        <f>IF(C83="","",IF(N(N83)+N(O83)+N(P83)=0,"Not split",IF(ROUND(N(N83)+N(O83)+N(P83),2)=ROUND(H83,2),"OK","MISMATCH")))</f>
        <v/>
      </c>
      <c r="R83" s="26" t="n"/>
      <c r="S83" s="26" t="n"/>
      <c r="T83" s="26" t="n"/>
      <c r="U83" s="27">
        <f>IF(C83="","",N(R83)+N(S83)+N(T83))</f>
        <v/>
      </c>
      <c r="V83" s="27">
        <f>IF(C83="","",H83-U83)</f>
        <v/>
      </c>
      <c r="W83" s="29">
        <f>IFERROR(V83/H83,"")</f>
        <v/>
      </c>
      <c r="X83" s="24" t="n"/>
    </row>
    <row r="84" ht="15" customHeight="1">
      <c r="A84" s="63">
        <f>IF(C84="","",IFERROR(IF(SUMPRODUCT(MAX((tbl_Finance[Job Number]=C84&amp;"")*(tbl_Finance[Xero Invoice No]&lt;&gt;"")*tbl_Finance[Date]))=0,"",SUMPRODUCT(MAX((tbl_Finance[Job Number]=C84&amp;"")*(tbl_Finance[Xero Invoice No]&lt;&gt;"")*tbl_Finance[Date]))),""))</f>
        <v/>
      </c>
      <c r="B84" s="25">
        <f>IF(C84="","",IF(COUNTIFS(tbl_Finance[Job Number],C84&amp;"",tbl_Finance[Xero Invoice No],"&lt;&gt;")=0,"",IFERROR(IF(COUNTIFS(tbl_Finance[Job Number],C84&amp;"",tbl_Finance[Xero Invoice No],LOOKUP(2,1/((tbl_Finance[Job Number]=C84&amp;"")*(tbl_Finance[Xero Invoice No]&lt;&gt;"")),tbl_Finance[Xero Invoice No]))=COUNTIFS(tbl_Finance[Job Number],C84&amp;"",tbl_Finance[Xero Invoice No],"&lt;&gt;"),LOOKUP(2,1/((tbl_Finance[Job Number]=C84&amp;"")*(tbl_Finance[Xero Invoice No]&lt;&gt;"")),tbl_Finance[Xero Invoice No]),LOOKUP(2,1/((tbl_Finance[Job Number]=C84&amp;"")*(tbl_Finance[Xero Invoice No]&lt;&gt;"")),tbl_Finance[Xero Invoice No])&amp;" +more"),"")))</f>
        <v/>
      </c>
      <c r="C84" s="24" t="n"/>
      <c r="D84" s="25">
        <f>IF(C84="","",IF(COUNTIF(lst_Jobs,C84&amp;"")&gt;0,"OK","CHECK"))</f>
        <v/>
      </c>
      <c r="E84" s="25">
        <f>IF(C84="","",IFERROR(INDEX(lst_JobName,MATCH(C84&amp;"",lst_Jobs,0)),""))</f>
        <v/>
      </c>
      <c r="F84" s="25">
        <f>IF(C84="","",IFERROR(INDEX(tbl_Finance[Client],MATCH(C84&amp;"",tbl_Finance[Job Number],0)),""))</f>
        <v/>
      </c>
      <c r="G84" s="28">
        <f>IF(C84="","",COUNTIFS(tbl_Finance[Job Number],C84&amp;"",tbl_Finance[Ex GST],"&lt;&gt;"))</f>
        <v/>
      </c>
      <c r="H84" s="27">
        <f>IF(C84="","",SUMIFS(tbl_Finance[Ex GST],tbl_Finance[Job Number],C84&amp;""))</f>
        <v/>
      </c>
      <c r="I84" s="27">
        <f>IF(C84="","",SUMIFS(tbl_Finance[Ex GST],tbl_Finance[Job Number],C84&amp;"",tbl_Finance[Xero Invoice No],"&lt;&gt;"))</f>
        <v/>
      </c>
      <c r="J84" s="27">
        <f>IF(C84="","",H84-I84)</f>
        <v/>
      </c>
      <c r="K84" s="25">
        <f>IF(C84="","",IF(G84=0,"not invoiced yet",SUBSTITUTE(TRIM(IF(COUNTIFS(tbl_Finance[Job Number],C84&amp;"",tbl_Finance[Cost Centre],"ONSITE")&gt;0,"ONSITE ","")&amp;IF(COUNTIFS(tbl_Finance[Job Number],C84&amp;"",tbl_Finance[Cost Centre],"PRODUCTION")&gt;0,"PRODUCTION ","")&amp;IF(COUNTIFS(tbl_Finance[Job Number],C84&amp;"",tbl_Finance[Cost Centre],"VIDEO")&gt;0,"VIDEO ","")&amp;IF(COUNTIFS(tbl_Finance[Job Number],C84&amp;"",tbl_Finance[Cost Centre],"INTEGRATION")&gt;0,"INTEGRATION ","")&amp;IF(COUNTIFS(tbl_Finance[Job Number],C84&amp;"",tbl_Finance[Cost Centre],"CONSULTING")&gt;0,"CONSULTING ","")&amp;IF(COUNTIFS(tbl_Finance[Job Number],C84&amp;"",tbl_Finance[Cost Centre],"CTS")&gt;0,"CTS ",""))," ",", ")))</f>
        <v/>
      </c>
      <c r="L84" s="24" t="n"/>
      <c r="M84" s="25">
        <f>IF(L84="","",HYPERLINK(IF(LEFT(L84,4)="http",L84,set_QwilrBase&amp;L84),"Open quote"))</f>
        <v/>
      </c>
      <c r="N84" s="26" t="n"/>
      <c r="O84" s="26" t="n"/>
      <c r="P84" s="26" t="n"/>
      <c r="Q84" s="25">
        <f>IF(C84="","",IF(N(N84)+N(O84)+N(P84)=0,"Not split",IF(ROUND(N(N84)+N(O84)+N(P84),2)=ROUND(H84,2),"OK","MISMATCH")))</f>
        <v/>
      </c>
      <c r="R84" s="26" t="n"/>
      <c r="S84" s="26" t="n"/>
      <c r="T84" s="26" t="n"/>
      <c r="U84" s="27">
        <f>IF(C84="","",N(R84)+N(S84)+N(T84))</f>
        <v/>
      </c>
      <c r="V84" s="27">
        <f>IF(C84="","",H84-U84)</f>
        <v/>
      </c>
      <c r="W84" s="29">
        <f>IFERROR(V84/H84,"")</f>
        <v/>
      </c>
      <c r="X84" s="24" t="n"/>
    </row>
    <row r="85" ht="15" customHeight="1">
      <c r="A85" s="63">
        <f>IF(C85="","",IFERROR(IF(SUMPRODUCT(MAX((tbl_Finance[Job Number]=C85&amp;"")*(tbl_Finance[Xero Invoice No]&lt;&gt;"")*tbl_Finance[Date]))=0,"",SUMPRODUCT(MAX((tbl_Finance[Job Number]=C85&amp;"")*(tbl_Finance[Xero Invoice No]&lt;&gt;"")*tbl_Finance[Date]))),""))</f>
        <v/>
      </c>
      <c r="B85" s="25">
        <f>IF(C85="","",IF(COUNTIFS(tbl_Finance[Job Number],C85&amp;"",tbl_Finance[Xero Invoice No],"&lt;&gt;")=0,"",IFERROR(IF(COUNTIFS(tbl_Finance[Job Number],C85&amp;"",tbl_Finance[Xero Invoice No],LOOKUP(2,1/((tbl_Finance[Job Number]=C85&amp;"")*(tbl_Finance[Xero Invoice No]&lt;&gt;"")),tbl_Finance[Xero Invoice No]))=COUNTIFS(tbl_Finance[Job Number],C85&amp;"",tbl_Finance[Xero Invoice No],"&lt;&gt;"),LOOKUP(2,1/((tbl_Finance[Job Number]=C85&amp;"")*(tbl_Finance[Xero Invoice No]&lt;&gt;"")),tbl_Finance[Xero Invoice No]),LOOKUP(2,1/((tbl_Finance[Job Number]=C85&amp;"")*(tbl_Finance[Xero Invoice No]&lt;&gt;"")),tbl_Finance[Xero Invoice No])&amp;" +more"),"")))</f>
        <v/>
      </c>
      <c r="C85" s="24" t="n"/>
      <c r="D85" s="25">
        <f>IF(C85="","",IF(COUNTIF(lst_Jobs,C85&amp;"")&gt;0,"OK","CHECK"))</f>
        <v/>
      </c>
      <c r="E85" s="25">
        <f>IF(C85="","",IFERROR(INDEX(lst_JobName,MATCH(C85&amp;"",lst_Jobs,0)),""))</f>
        <v/>
      </c>
      <c r="F85" s="25">
        <f>IF(C85="","",IFERROR(INDEX(tbl_Finance[Client],MATCH(C85&amp;"",tbl_Finance[Job Number],0)),""))</f>
        <v/>
      </c>
      <c r="G85" s="28">
        <f>IF(C85="","",COUNTIFS(tbl_Finance[Job Number],C85&amp;"",tbl_Finance[Ex GST],"&lt;&gt;"))</f>
        <v/>
      </c>
      <c r="H85" s="27">
        <f>IF(C85="","",SUMIFS(tbl_Finance[Ex GST],tbl_Finance[Job Number],C85&amp;""))</f>
        <v/>
      </c>
      <c r="I85" s="27">
        <f>IF(C85="","",SUMIFS(tbl_Finance[Ex GST],tbl_Finance[Job Number],C85&amp;"",tbl_Finance[Xero Invoice No],"&lt;&gt;"))</f>
        <v/>
      </c>
      <c r="J85" s="27">
        <f>IF(C85="","",H85-I85)</f>
        <v/>
      </c>
      <c r="K85" s="25">
        <f>IF(C85="","",IF(G85=0,"not invoiced yet",SUBSTITUTE(TRIM(IF(COUNTIFS(tbl_Finance[Job Number],C85&amp;"",tbl_Finance[Cost Centre],"ONSITE")&gt;0,"ONSITE ","")&amp;IF(COUNTIFS(tbl_Finance[Job Number],C85&amp;"",tbl_Finance[Cost Centre],"PRODUCTION")&gt;0,"PRODUCTION ","")&amp;IF(COUNTIFS(tbl_Finance[Job Number],C85&amp;"",tbl_Finance[Cost Centre],"VIDEO")&gt;0,"VIDEO ","")&amp;IF(COUNTIFS(tbl_Finance[Job Number],C85&amp;"",tbl_Finance[Cost Centre],"INTEGRATION")&gt;0,"INTEGRATION ","")&amp;IF(COUNTIFS(tbl_Finance[Job Number],C85&amp;"",tbl_Finance[Cost Centre],"CONSULTING")&gt;0,"CONSULTING ","")&amp;IF(COUNTIFS(tbl_Finance[Job Number],C85&amp;"",tbl_Finance[Cost Centre],"CTS")&gt;0,"CTS ",""))," ",", ")))</f>
        <v/>
      </c>
      <c r="L85" s="24" t="n"/>
      <c r="M85" s="25">
        <f>IF(L85="","",HYPERLINK(IF(LEFT(L85,4)="http",L85,set_QwilrBase&amp;L85),"Open quote"))</f>
        <v/>
      </c>
      <c r="N85" s="26" t="n"/>
      <c r="O85" s="26" t="n"/>
      <c r="P85" s="26" t="n"/>
      <c r="Q85" s="25">
        <f>IF(C85="","",IF(N(N85)+N(O85)+N(P85)=0,"Not split",IF(ROUND(N(N85)+N(O85)+N(P85),2)=ROUND(H85,2),"OK","MISMATCH")))</f>
        <v/>
      </c>
      <c r="R85" s="26" t="n"/>
      <c r="S85" s="26" t="n"/>
      <c r="T85" s="26" t="n"/>
      <c r="U85" s="27">
        <f>IF(C85="","",N(R85)+N(S85)+N(T85))</f>
        <v/>
      </c>
      <c r="V85" s="27">
        <f>IF(C85="","",H85-U85)</f>
        <v/>
      </c>
      <c r="W85" s="29">
        <f>IFERROR(V85/H85,"")</f>
        <v/>
      </c>
      <c r="X85" s="24" t="n"/>
    </row>
    <row r="86" ht="15" customHeight="1">
      <c r="A86" s="63">
        <f>IF(C86="","",IFERROR(IF(SUMPRODUCT(MAX((tbl_Finance[Job Number]=C86&amp;"")*(tbl_Finance[Xero Invoice No]&lt;&gt;"")*tbl_Finance[Date]))=0,"",SUMPRODUCT(MAX((tbl_Finance[Job Number]=C86&amp;"")*(tbl_Finance[Xero Invoice No]&lt;&gt;"")*tbl_Finance[Date]))),""))</f>
        <v/>
      </c>
      <c r="B86" s="25">
        <f>IF(C86="","",IF(COUNTIFS(tbl_Finance[Job Number],C86&amp;"",tbl_Finance[Xero Invoice No],"&lt;&gt;")=0,"",IFERROR(IF(COUNTIFS(tbl_Finance[Job Number],C86&amp;"",tbl_Finance[Xero Invoice No],LOOKUP(2,1/((tbl_Finance[Job Number]=C86&amp;"")*(tbl_Finance[Xero Invoice No]&lt;&gt;"")),tbl_Finance[Xero Invoice No]))=COUNTIFS(tbl_Finance[Job Number],C86&amp;"",tbl_Finance[Xero Invoice No],"&lt;&gt;"),LOOKUP(2,1/((tbl_Finance[Job Number]=C86&amp;"")*(tbl_Finance[Xero Invoice No]&lt;&gt;"")),tbl_Finance[Xero Invoice No]),LOOKUP(2,1/((tbl_Finance[Job Number]=C86&amp;"")*(tbl_Finance[Xero Invoice No]&lt;&gt;"")),tbl_Finance[Xero Invoice No])&amp;" +more"),"")))</f>
        <v/>
      </c>
      <c r="C86" s="24" t="n"/>
      <c r="D86" s="25">
        <f>IF(C86="","",IF(COUNTIF(lst_Jobs,C86&amp;"")&gt;0,"OK","CHECK"))</f>
        <v/>
      </c>
      <c r="E86" s="25">
        <f>IF(C86="","",IFERROR(INDEX(lst_JobName,MATCH(C86&amp;"",lst_Jobs,0)),""))</f>
        <v/>
      </c>
      <c r="F86" s="25">
        <f>IF(C86="","",IFERROR(INDEX(tbl_Finance[Client],MATCH(C86&amp;"",tbl_Finance[Job Number],0)),""))</f>
        <v/>
      </c>
      <c r="G86" s="28">
        <f>IF(C86="","",COUNTIFS(tbl_Finance[Job Number],C86&amp;"",tbl_Finance[Ex GST],"&lt;&gt;"))</f>
        <v/>
      </c>
      <c r="H86" s="27">
        <f>IF(C86="","",SUMIFS(tbl_Finance[Ex GST],tbl_Finance[Job Number],C86&amp;""))</f>
        <v/>
      </c>
      <c r="I86" s="27">
        <f>IF(C86="","",SUMIFS(tbl_Finance[Ex GST],tbl_Finance[Job Number],C86&amp;"",tbl_Finance[Xero Invoice No],"&lt;&gt;"))</f>
        <v/>
      </c>
      <c r="J86" s="27">
        <f>IF(C86="","",H86-I86)</f>
        <v/>
      </c>
      <c r="K86" s="25">
        <f>IF(C86="","",IF(G86=0,"not invoiced yet",SUBSTITUTE(TRIM(IF(COUNTIFS(tbl_Finance[Job Number],C86&amp;"",tbl_Finance[Cost Centre],"ONSITE")&gt;0,"ONSITE ","")&amp;IF(COUNTIFS(tbl_Finance[Job Number],C86&amp;"",tbl_Finance[Cost Centre],"PRODUCTION")&gt;0,"PRODUCTION ","")&amp;IF(COUNTIFS(tbl_Finance[Job Number],C86&amp;"",tbl_Finance[Cost Centre],"VIDEO")&gt;0,"VIDEO ","")&amp;IF(COUNTIFS(tbl_Finance[Job Number],C86&amp;"",tbl_Finance[Cost Centre],"INTEGRATION")&gt;0,"INTEGRATION ","")&amp;IF(COUNTIFS(tbl_Finance[Job Number],C86&amp;"",tbl_Finance[Cost Centre],"CONSULTING")&gt;0,"CONSULTING ","")&amp;IF(COUNTIFS(tbl_Finance[Job Number],C86&amp;"",tbl_Finance[Cost Centre],"CTS")&gt;0,"CTS ",""))," ",", ")))</f>
        <v/>
      </c>
      <c r="L86" s="24" t="n"/>
      <c r="M86" s="25">
        <f>IF(L86="","",HYPERLINK(IF(LEFT(L86,4)="http",L86,set_QwilrBase&amp;L86),"Open quote"))</f>
        <v/>
      </c>
      <c r="N86" s="26" t="n"/>
      <c r="O86" s="26" t="n"/>
      <c r="P86" s="26" t="n"/>
      <c r="Q86" s="25">
        <f>IF(C86="","",IF(N(N86)+N(O86)+N(P86)=0,"Not split",IF(ROUND(N(N86)+N(O86)+N(P86),2)=ROUND(H86,2),"OK","MISMATCH")))</f>
        <v/>
      </c>
      <c r="R86" s="26" t="n"/>
      <c r="S86" s="26" t="n"/>
      <c r="T86" s="26" t="n"/>
      <c r="U86" s="27">
        <f>IF(C86="","",N(R86)+N(S86)+N(T86))</f>
        <v/>
      </c>
      <c r="V86" s="27">
        <f>IF(C86="","",H86-U86)</f>
        <v/>
      </c>
      <c r="W86" s="29">
        <f>IFERROR(V86/H86,"")</f>
        <v/>
      </c>
      <c r="X86" s="24" t="n"/>
    </row>
    <row r="87" ht="15" customHeight="1">
      <c r="A87" s="63">
        <f>IF(C87="","",IFERROR(IF(SUMPRODUCT(MAX((tbl_Finance[Job Number]=C87&amp;"")*(tbl_Finance[Xero Invoice No]&lt;&gt;"")*tbl_Finance[Date]))=0,"",SUMPRODUCT(MAX((tbl_Finance[Job Number]=C87&amp;"")*(tbl_Finance[Xero Invoice No]&lt;&gt;"")*tbl_Finance[Date]))),""))</f>
        <v/>
      </c>
      <c r="B87" s="25">
        <f>IF(C87="","",IF(COUNTIFS(tbl_Finance[Job Number],C87&amp;"",tbl_Finance[Xero Invoice No],"&lt;&gt;")=0,"",IFERROR(IF(COUNTIFS(tbl_Finance[Job Number],C87&amp;"",tbl_Finance[Xero Invoice No],LOOKUP(2,1/((tbl_Finance[Job Number]=C87&amp;"")*(tbl_Finance[Xero Invoice No]&lt;&gt;"")),tbl_Finance[Xero Invoice No]))=COUNTIFS(tbl_Finance[Job Number],C87&amp;"",tbl_Finance[Xero Invoice No],"&lt;&gt;"),LOOKUP(2,1/((tbl_Finance[Job Number]=C87&amp;"")*(tbl_Finance[Xero Invoice No]&lt;&gt;"")),tbl_Finance[Xero Invoice No]),LOOKUP(2,1/((tbl_Finance[Job Number]=C87&amp;"")*(tbl_Finance[Xero Invoice No]&lt;&gt;"")),tbl_Finance[Xero Invoice No])&amp;" +more"),"")))</f>
        <v/>
      </c>
      <c r="C87" s="24" t="n"/>
      <c r="D87" s="25">
        <f>IF(C87="","",IF(COUNTIF(lst_Jobs,C87&amp;"")&gt;0,"OK","CHECK"))</f>
        <v/>
      </c>
      <c r="E87" s="25">
        <f>IF(C87="","",IFERROR(INDEX(lst_JobName,MATCH(C87&amp;"",lst_Jobs,0)),""))</f>
        <v/>
      </c>
      <c r="F87" s="25">
        <f>IF(C87="","",IFERROR(INDEX(tbl_Finance[Client],MATCH(C87&amp;"",tbl_Finance[Job Number],0)),""))</f>
        <v/>
      </c>
      <c r="G87" s="28">
        <f>IF(C87="","",COUNTIFS(tbl_Finance[Job Number],C87&amp;"",tbl_Finance[Ex GST],"&lt;&gt;"))</f>
        <v/>
      </c>
      <c r="H87" s="27">
        <f>IF(C87="","",SUMIFS(tbl_Finance[Ex GST],tbl_Finance[Job Number],C87&amp;""))</f>
        <v/>
      </c>
      <c r="I87" s="27">
        <f>IF(C87="","",SUMIFS(tbl_Finance[Ex GST],tbl_Finance[Job Number],C87&amp;"",tbl_Finance[Xero Invoice No],"&lt;&gt;"))</f>
        <v/>
      </c>
      <c r="J87" s="27">
        <f>IF(C87="","",H87-I87)</f>
        <v/>
      </c>
      <c r="K87" s="25">
        <f>IF(C87="","",IF(G87=0,"not invoiced yet",SUBSTITUTE(TRIM(IF(COUNTIFS(tbl_Finance[Job Number],C87&amp;"",tbl_Finance[Cost Centre],"ONSITE")&gt;0,"ONSITE ","")&amp;IF(COUNTIFS(tbl_Finance[Job Number],C87&amp;"",tbl_Finance[Cost Centre],"PRODUCTION")&gt;0,"PRODUCTION ","")&amp;IF(COUNTIFS(tbl_Finance[Job Number],C87&amp;"",tbl_Finance[Cost Centre],"VIDEO")&gt;0,"VIDEO ","")&amp;IF(COUNTIFS(tbl_Finance[Job Number],C87&amp;"",tbl_Finance[Cost Centre],"INTEGRATION")&gt;0,"INTEGRATION ","")&amp;IF(COUNTIFS(tbl_Finance[Job Number],C87&amp;"",tbl_Finance[Cost Centre],"CONSULTING")&gt;0,"CONSULTING ","")&amp;IF(COUNTIFS(tbl_Finance[Job Number],C87&amp;"",tbl_Finance[Cost Centre],"CTS")&gt;0,"CTS ",""))," ",", ")))</f>
        <v/>
      </c>
      <c r="L87" s="24" t="n"/>
      <c r="M87" s="25">
        <f>IF(L87="","",HYPERLINK(IF(LEFT(L87,4)="http",L87,set_QwilrBase&amp;L87),"Open quote"))</f>
        <v/>
      </c>
      <c r="N87" s="26" t="n"/>
      <c r="O87" s="26" t="n"/>
      <c r="P87" s="26" t="n"/>
      <c r="Q87" s="25">
        <f>IF(C87="","",IF(N(N87)+N(O87)+N(P87)=0,"Not split",IF(ROUND(N(N87)+N(O87)+N(P87),2)=ROUND(H87,2),"OK","MISMATCH")))</f>
        <v/>
      </c>
      <c r="R87" s="26" t="n"/>
      <c r="S87" s="26" t="n"/>
      <c r="T87" s="26" t="n"/>
      <c r="U87" s="27">
        <f>IF(C87="","",N(R87)+N(S87)+N(T87))</f>
        <v/>
      </c>
      <c r="V87" s="27">
        <f>IF(C87="","",H87-U87)</f>
        <v/>
      </c>
      <c r="W87" s="29">
        <f>IFERROR(V87/H87,"")</f>
        <v/>
      </c>
      <c r="X87" s="24" t="n"/>
    </row>
    <row r="88" ht="15" customHeight="1">
      <c r="A88" s="63">
        <f>IF(C88="","",IFERROR(IF(SUMPRODUCT(MAX((tbl_Finance[Job Number]=C88&amp;"")*(tbl_Finance[Xero Invoice No]&lt;&gt;"")*tbl_Finance[Date]))=0,"",SUMPRODUCT(MAX((tbl_Finance[Job Number]=C88&amp;"")*(tbl_Finance[Xero Invoice No]&lt;&gt;"")*tbl_Finance[Date]))),""))</f>
        <v/>
      </c>
      <c r="B88" s="25">
        <f>IF(C88="","",IF(COUNTIFS(tbl_Finance[Job Number],C88&amp;"",tbl_Finance[Xero Invoice No],"&lt;&gt;")=0,"",IFERROR(IF(COUNTIFS(tbl_Finance[Job Number],C88&amp;"",tbl_Finance[Xero Invoice No],LOOKUP(2,1/((tbl_Finance[Job Number]=C88&amp;"")*(tbl_Finance[Xero Invoice No]&lt;&gt;"")),tbl_Finance[Xero Invoice No]))=COUNTIFS(tbl_Finance[Job Number],C88&amp;"",tbl_Finance[Xero Invoice No],"&lt;&gt;"),LOOKUP(2,1/((tbl_Finance[Job Number]=C88&amp;"")*(tbl_Finance[Xero Invoice No]&lt;&gt;"")),tbl_Finance[Xero Invoice No]),LOOKUP(2,1/((tbl_Finance[Job Number]=C88&amp;"")*(tbl_Finance[Xero Invoice No]&lt;&gt;"")),tbl_Finance[Xero Invoice No])&amp;" +more"),"")))</f>
        <v/>
      </c>
      <c r="C88" s="24" t="n"/>
      <c r="D88" s="25">
        <f>IF(C88="","",IF(COUNTIF(lst_Jobs,C88&amp;"")&gt;0,"OK","CHECK"))</f>
        <v/>
      </c>
      <c r="E88" s="25">
        <f>IF(C88="","",IFERROR(INDEX(lst_JobName,MATCH(C88&amp;"",lst_Jobs,0)),""))</f>
        <v/>
      </c>
      <c r="F88" s="25">
        <f>IF(C88="","",IFERROR(INDEX(tbl_Finance[Client],MATCH(C88&amp;"",tbl_Finance[Job Number],0)),""))</f>
        <v/>
      </c>
      <c r="G88" s="28">
        <f>IF(C88="","",COUNTIFS(tbl_Finance[Job Number],C88&amp;"",tbl_Finance[Ex GST],"&lt;&gt;"))</f>
        <v/>
      </c>
      <c r="H88" s="27">
        <f>IF(C88="","",SUMIFS(tbl_Finance[Ex GST],tbl_Finance[Job Number],C88&amp;""))</f>
        <v/>
      </c>
      <c r="I88" s="27">
        <f>IF(C88="","",SUMIFS(tbl_Finance[Ex GST],tbl_Finance[Job Number],C88&amp;"",tbl_Finance[Xero Invoice No],"&lt;&gt;"))</f>
        <v/>
      </c>
      <c r="J88" s="27">
        <f>IF(C88="","",H88-I88)</f>
        <v/>
      </c>
      <c r="K88" s="25">
        <f>IF(C88="","",IF(G88=0,"not invoiced yet",SUBSTITUTE(TRIM(IF(COUNTIFS(tbl_Finance[Job Number],C88&amp;"",tbl_Finance[Cost Centre],"ONSITE")&gt;0,"ONSITE ","")&amp;IF(COUNTIFS(tbl_Finance[Job Number],C88&amp;"",tbl_Finance[Cost Centre],"PRODUCTION")&gt;0,"PRODUCTION ","")&amp;IF(COUNTIFS(tbl_Finance[Job Number],C88&amp;"",tbl_Finance[Cost Centre],"VIDEO")&gt;0,"VIDEO ","")&amp;IF(COUNTIFS(tbl_Finance[Job Number],C88&amp;"",tbl_Finance[Cost Centre],"INTEGRATION")&gt;0,"INTEGRATION ","")&amp;IF(COUNTIFS(tbl_Finance[Job Number],C88&amp;"",tbl_Finance[Cost Centre],"CONSULTING")&gt;0,"CONSULTING ","")&amp;IF(COUNTIFS(tbl_Finance[Job Number],C88&amp;"",tbl_Finance[Cost Centre],"CTS")&gt;0,"CTS ",""))," ",", ")))</f>
        <v/>
      </c>
      <c r="L88" s="24" t="n"/>
      <c r="M88" s="25">
        <f>IF(L88="","",HYPERLINK(IF(LEFT(L88,4)="http",L88,set_QwilrBase&amp;L88),"Open quote"))</f>
        <v/>
      </c>
      <c r="N88" s="26" t="n"/>
      <c r="O88" s="26" t="n"/>
      <c r="P88" s="26" t="n"/>
      <c r="Q88" s="25">
        <f>IF(C88="","",IF(N(N88)+N(O88)+N(P88)=0,"Not split",IF(ROUND(N(N88)+N(O88)+N(P88),2)=ROUND(H88,2),"OK","MISMATCH")))</f>
        <v/>
      </c>
      <c r="R88" s="26" t="n"/>
      <c r="S88" s="26" t="n"/>
      <c r="T88" s="26" t="n"/>
      <c r="U88" s="27">
        <f>IF(C88="","",N(R88)+N(S88)+N(T88))</f>
        <v/>
      </c>
      <c r="V88" s="27">
        <f>IF(C88="","",H88-U88)</f>
        <v/>
      </c>
      <c r="W88" s="29">
        <f>IFERROR(V88/H88,"")</f>
        <v/>
      </c>
      <c r="X88" s="24" t="n"/>
    </row>
    <row r="89" ht="15" customHeight="1">
      <c r="A89" s="63">
        <f>IF(C89="","",IFERROR(IF(SUMPRODUCT(MAX((tbl_Finance[Job Number]=C89&amp;"")*(tbl_Finance[Xero Invoice No]&lt;&gt;"")*tbl_Finance[Date]))=0,"",SUMPRODUCT(MAX((tbl_Finance[Job Number]=C89&amp;"")*(tbl_Finance[Xero Invoice No]&lt;&gt;"")*tbl_Finance[Date]))),""))</f>
        <v/>
      </c>
      <c r="B89" s="25">
        <f>IF(C89="","",IF(COUNTIFS(tbl_Finance[Job Number],C89&amp;"",tbl_Finance[Xero Invoice No],"&lt;&gt;")=0,"",IFERROR(IF(COUNTIFS(tbl_Finance[Job Number],C89&amp;"",tbl_Finance[Xero Invoice No],LOOKUP(2,1/((tbl_Finance[Job Number]=C89&amp;"")*(tbl_Finance[Xero Invoice No]&lt;&gt;"")),tbl_Finance[Xero Invoice No]))=COUNTIFS(tbl_Finance[Job Number],C89&amp;"",tbl_Finance[Xero Invoice No],"&lt;&gt;"),LOOKUP(2,1/((tbl_Finance[Job Number]=C89&amp;"")*(tbl_Finance[Xero Invoice No]&lt;&gt;"")),tbl_Finance[Xero Invoice No]),LOOKUP(2,1/((tbl_Finance[Job Number]=C89&amp;"")*(tbl_Finance[Xero Invoice No]&lt;&gt;"")),tbl_Finance[Xero Invoice No])&amp;" +more"),"")))</f>
        <v/>
      </c>
      <c r="C89" s="24" t="n"/>
      <c r="D89" s="25">
        <f>IF(C89="","",IF(COUNTIF(lst_Jobs,C89&amp;"")&gt;0,"OK","CHECK"))</f>
        <v/>
      </c>
      <c r="E89" s="25">
        <f>IF(C89="","",IFERROR(INDEX(lst_JobName,MATCH(C89&amp;"",lst_Jobs,0)),""))</f>
        <v/>
      </c>
      <c r="F89" s="25">
        <f>IF(C89="","",IFERROR(INDEX(tbl_Finance[Client],MATCH(C89&amp;"",tbl_Finance[Job Number],0)),""))</f>
        <v/>
      </c>
      <c r="G89" s="28">
        <f>IF(C89="","",COUNTIFS(tbl_Finance[Job Number],C89&amp;"",tbl_Finance[Ex GST],"&lt;&gt;"))</f>
        <v/>
      </c>
      <c r="H89" s="27">
        <f>IF(C89="","",SUMIFS(tbl_Finance[Ex GST],tbl_Finance[Job Number],C89&amp;""))</f>
        <v/>
      </c>
      <c r="I89" s="27">
        <f>IF(C89="","",SUMIFS(tbl_Finance[Ex GST],tbl_Finance[Job Number],C89&amp;"",tbl_Finance[Xero Invoice No],"&lt;&gt;"))</f>
        <v/>
      </c>
      <c r="J89" s="27">
        <f>IF(C89="","",H89-I89)</f>
        <v/>
      </c>
      <c r="K89" s="25">
        <f>IF(C89="","",IF(G89=0,"not invoiced yet",SUBSTITUTE(TRIM(IF(COUNTIFS(tbl_Finance[Job Number],C89&amp;"",tbl_Finance[Cost Centre],"ONSITE")&gt;0,"ONSITE ","")&amp;IF(COUNTIFS(tbl_Finance[Job Number],C89&amp;"",tbl_Finance[Cost Centre],"PRODUCTION")&gt;0,"PRODUCTION ","")&amp;IF(COUNTIFS(tbl_Finance[Job Number],C89&amp;"",tbl_Finance[Cost Centre],"VIDEO")&gt;0,"VIDEO ","")&amp;IF(COUNTIFS(tbl_Finance[Job Number],C89&amp;"",tbl_Finance[Cost Centre],"INTEGRATION")&gt;0,"INTEGRATION ","")&amp;IF(COUNTIFS(tbl_Finance[Job Number],C89&amp;"",tbl_Finance[Cost Centre],"CONSULTING")&gt;0,"CONSULTING ","")&amp;IF(COUNTIFS(tbl_Finance[Job Number],C89&amp;"",tbl_Finance[Cost Centre],"CTS")&gt;0,"CTS ",""))," ",", ")))</f>
        <v/>
      </c>
      <c r="L89" s="24" t="n"/>
      <c r="M89" s="25">
        <f>IF(L89="","",HYPERLINK(IF(LEFT(L89,4)="http",L89,set_QwilrBase&amp;L89),"Open quote"))</f>
        <v/>
      </c>
      <c r="N89" s="26" t="n"/>
      <c r="O89" s="26" t="n"/>
      <c r="P89" s="26" t="n"/>
      <c r="Q89" s="25">
        <f>IF(C89="","",IF(N(N89)+N(O89)+N(P89)=0,"Not split",IF(ROUND(N(N89)+N(O89)+N(P89),2)=ROUND(H89,2),"OK","MISMATCH")))</f>
        <v/>
      </c>
      <c r="R89" s="26" t="n"/>
      <c r="S89" s="26" t="n"/>
      <c r="T89" s="26" t="n"/>
      <c r="U89" s="27">
        <f>IF(C89="","",N(R89)+N(S89)+N(T89))</f>
        <v/>
      </c>
      <c r="V89" s="27">
        <f>IF(C89="","",H89-U89)</f>
        <v/>
      </c>
      <c r="W89" s="29">
        <f>IFERROR(V89/H89,"")</f>
        <v/>
      </c>
      <c r="X89" s="24" t="n"/>
    </row>
    <row r="90" ht="15" customHeight="1">
      <c r="A90" s="63">
        <f>IF(C90="","",IFERROR(IF(SUMPRODUCT(MAX((tbl_Finance[Job Number]=C90&amp;"")*(tbl_Finance[Xero Invoice No]&lt;&gt;"")*tbl_Finance[Date]))=0,"",SUMPRODUCT(MAX((tbl_Finance[Job Number]=C90&amp;"")*(tbl_Finance[Xero Invoice No]&lt;&gt;"")*tbl_Finance[Date]))),""))</f>
        <v/>
      </c>
      <c r="B90" s="25">
        <f>IF(C90="","",IF(COUNTIFS(tbl_Finance[Job Number],C90&amp;"",tbl_Finance[Xero Invoice No],"&lt;&gt;")=0,"",IFERROR(IF(COUNTIFS(tbl_Finance[Job Number],C90&amp;"",tbl_Finance[Xero Invoice No],LOOKUP(2,1/((tbl_Finance[Job Number]=C90&amp;"")*(tbl_Finance[Xero Invoice No]&lt;&gt;"")),tbl_Finance[Xero Invoice No]))=COUNTIFS(tbl_Finance[Job Number],C90&amp;"",tbl_Finance[Xero Invoice No],"&lt;&gt;"),LOOKUP(2,1/((tbl_Finance[Job Number]=C90&amp;"")*(tbl_Finance[Xero Invoice No]&lt;&gt;"")),tbl_Finance[Xero Invoice No]),LOOKUP(2,1/((tbl_Finance[Job Number]=C90&amp;"")*(tbl_Finance[Xero Invoice No]&lt;&gt;"")),tbl_Finance[Xero Invoice No])&amp;" +more"),"")))</f>
        <v/>
      </c>
      <c r="C90" s="24" t="n"/>
      <c r="D90" s="25">
        <f>IF(C90="","",IF(COUNTIF(lst_Jobs,C90&amp;"")&gt;0,"OK","CHECK"))</f>
        <v/>
      </c>
      <c r="E90" s="25">
        <f>IF(C90="","",IFERROR(INDEX(lst_JobName,MATCH(C90&amp;"",lst_Jobs,0)),""))</f>
        <v/>
      </c>
      <c r="F90" s="25">
        <f>IF(C90="","",IFERROR(INDEX(tbl_Finance[Client],MATCH(C90&amp;"",tbl_Finance[Job Number],0)),""))</f>
        <v/>
      </c>
      <c r="G90" s="28">
        <f>IF(C90="","",COUNTIFS(tbl_Finance[Job Number],C90&amp;"",tbl_Finance[Ex GST],"&lt;&gt;"))</f>
        <v/>
      </c>
      <c r="H90" s="27">
        <f>IF(C90="","",SUMIFS(tbl_Finance[Ex GST],tbl_Finance[Job Number],C90&amp;""))</f>
        <v/>
      </c>
      <c r="I90" s="27">
        <f>IF(C90="","",SUMIFS(tbl_Finance[Ex GST],tbl_Finance[Job Number],C90&amp;"",tbl_Finance[Xero Invoice No],"&lt;&gt;"))</f>
        <v/>
      </c>
      <c r="J90" s="27">
        <f>IF(C90="","",H90-I90)</f>
        <v/>
      </c>
      <c r="K90" s="25">
        <f>IF(C90="","",IF(G90=0,"not invoiced yet",SUBSTITUTE(TRIM(IF(COUNTIFS(tbl_Finance[Job Number],C90&amp;"",tbl_Finance[Cost Centre],"ONSITE")&gt;0,"ONSITE ","")&amp;IF(COUNTIFS(tbl_Finance[Job Number],C90&amp;"",tbl_Finance[Cost Centre],"PRODUCTION")&gt;0,"PRODUCTION ","")&amp;IF(COUNTIFS(tbl_Finance[Job Number],C90&amp;"",tbl_Finance[Cost Centre],"VIDEO")&gt;0,"VIDEO ","")&amp;IF(COUNTIFS(tbl_Finance[Job Number],C90&amp;"",tbl_Finance[Cost Centre],"INTEGRATION")&gt;0,"INTEGRATION ","")&amp;IF(COUNTIFS(tbl_Finance[Job Number],C90&amp;"",tbl_Finance[Cost Centre],"CONSULTING")&gt;0,"CONSULTING ","")&amp;IF(COUNTIFS(tbl_Finance[Job Number],C90&amp;"",tbl_Finance[Cost Centre],"CTS")&gt;0,"CTS ",""))," ",", ")))</f>
        <v/>
      </c>
      <c r="L90" s="24" t="n"/>
      <c r="M90" s="25">
        <f>IF(L90="","",HYPERLINK(IF(LEFT(L90,4)="http",L90,set_QwilrBase&amp;L90),"Open quote"))</f>
        <v/>
      </c>
      <c r="N90" s="26" t="n"/>
      <c r="O90" s="26" t="n"/>
      <c r="P90" s="26" t="n"/>
      <c r="Q90" s="25">
        <f>IF(C90="","",IF(N(N90)+N(O90)+N(P90)=0,"Not split",IF(ROUND(N(N90)+N(O90)+N(P90),2)=ROUND(H90,2),"OK","MISMATCH")))</f>
        <v/>
      </c>
      <c r="R90" s="26" t="n"/>
      <c r="S90" s="26" t="n"/>
      <c r="T90" s="26" t="n"/>
      <c r="U90" s="27">
        <f>IF(C90="","",N(R90)+N(S90)+N(T90))</f>
        <v/>
      </c>
      <c r="V90" s="27">
        <f>IF(C90="","",H90-U90)</f>
        <v/>
      </c>
      <c r="W90" s="29">
        <f>IFERROR(V90/H90,"")</f>
        <v/>
      </c>
      <c r="X90" s="24" t="n"/>
    </row>
    <row r="91" ht="15" customHeight="1">
      <c r="A91" s="63">
        <f>IF(C91="","",IFERROR(IF(SUMPRODUCT(MAX((tbl_Finance[Job Number]=C91&amp;"")*(tbl_Finance[Xero Invoice No]&lt;&gt;"")*tbl_Finance[Date]))=0,"",SUMPRODUCT(MAX((tbl_Finance[Job Number]=C91&amp;"")*(tbl_Finance[Xero Invoice No]&lt;&gt;"")*tbl_Finance[Date]))),""))</f>
        <v/>
      </c>
      <c r="B91" s="25">
        <f>IF(C91="","",IF(COUNTIFS(tbl_Finance[Job Number],C91&amp;"",tbl_Finance[Xero Invoice No],"&lt;&gt;")=0,"",IFERROR(IF(COUNTIFS(tbl_Finance[Job Number],C91&amp;"",tbl_Finance[Xero Invoice No],LOOKUP(2,1/((tbl_Finance[Job Number]=C91&amp;"")*(tbl_Finance[Xero Invoice No]&lt;&gt;"")),tbl_Finance[Xero Invoice No]))=COUNTIFS(tbl_Finance[Job Number],C91&amp;"",tbl_Finance[Xero Invoice No],"&lt;&gt;"),LOOKUP(2,1/((tbl_Finance[Job Number]=C91&amp;"")*(tbl_Finance[Xero Invoice No]&lt;&gt;"")),tbl_Finance[Xero Invoice No]),LOOKUP(2,1/((tbl_Finance[Job Number]=C91&amp;"")*(tbl_Finance[Xero Invoice No]&lt;&gt;"")),tbl_Finance[Xero Invoice No])&amp;" +more"),"")))</f>
        <v/>
      </c>
      <c r="C91" s="24" t="n"/>
      <c r="D91" s="25">
        <f>IF(C91="","",IF(COUNTIF(lst_Jobs,C91&amp;"")&gt;0,"OK","CHECK"))</f>
        <v/>
      </c>
      <c r="E91" s="25">
        <f>IF(C91="","",IFERROR(INDEX(lst_JobName,MATCH(C91&amp;"",lst_Jobs,0)),""))</f>
        <v/>
      </c>
      <c r="F91" s="25">
        <f>IF(C91="","",IFERROR(INDEX(tbl_Finance[Client],MATCH(C91&amp;"",tbl_Finance[Job Number],0)),""))</f>
        <v/>
      </c>
      <c r="G91" s="28">
        <f>IF(C91="","",COUNTIFS(tbl_Finance[Job Number],C91&amp;"",tbl_Finance[Ex GST],"&lt;&gt;"))</f>
        <v/>
      </c>
      <c r="H91" s="27">
        <f>IF(C91="","",SUMIFS(tbl_Finance[Ex GST],tbl_Finance[Job Number],C91&amp;""))</f>
        <v/>
      </c>
      <c r="I91" s="27">
        <f>IF(C91="","",SUMIFS(tbl_Finance[Ex GST],tbl_Finance[Job Number],C91&amp;"",tbl_Finance[Xero Invoice No],"&lt;&gt;"))</f>
        <v/>
      </c>
      <c r="J91" s="27">
        <f>IF(C91="","",H91-I91)</f>
        <v/>
      </c>
      <c r="K91" s="25">
        <f>IF(C91="","",IF(G91=0,"not invoiced yet",SUBSTITUTE(TRIM(IF(COUNTIFS(tbl_Finance[Job Number],C91&amp;"",tbl_Finance[Cost Centre],"ONSITE")&gt;0,"ONSITE ","")&amp;IF(COUNTIFS(tbl_Finance[Job Number],C91&amp;"",tbl_Finance[Cost Centre],"PRODUCTION")&gt;0,"PRODUCTION ","")&amp;IF(COUNTIFS(tbl_Finance[Job Number],C91&amp;"",tbl_Finance[Cost Centre],"VIDEO")&gt;0,"VIDEO ","")&amp;IF(COUNTIFS(tbl_Finance[Job Number],C91&amp;"",tbl_Finance[Cost Centre],"INTEGRATION")&gt;0,"INTEGRATION ","")&amp;IF(COUNTIFS(tbl_Finance[Job Number],C91&amp;"",tbl_Finance[Cost Centre],"CONSULTING")&gt;0,"CONSULTING ","")&amp;IF(COUNTIFS(tbl_Finance[Job Number],C91&amp;"",tbl_Finance[Cost Centre],"CTS")&gt;0,"CTS ",""))," ",", ")))</f>
        <v/>
      </c>
      <c r="L91" s="24" t="n"/>
      <c r="M91" s="25">
        <f>IF(L91="","",HYPERLINK(IF(LEFT(L91,4)="http",L91,set_QwilrBase&amp;L91),"Open quote"))</f>
        <v/>
      </c>
      <c r="N91" s="26" t="n"/>
      <c r="O91" s="26" t="n"/>
      <c r="P91" s="26" t="n"/>
      <c r="Q91" s="25">
        <f>IF(C91="","",IF(N(N91)+N(O91)+N(P91)=0,"Not split",IF(ROUND(N(N91)+N(O91)+N(P91),2)=ROUND(H91,2),"OK","MISMATCH")))</f>
        <v/>
      </c>
      <c r="R91" s="26" t="n"/>
      <c r="S91" s="26" t="n"/>
      <c r="T91" s="26" t="n"/>
      <c r="U91" s="27">
        <f>IF(C91="","",N(R91)+N(S91)+N(T91))</f>
        <v/>
      </c>
      <c r="V91" s="27">
        <f>IF(C91="","",H91-U91)</f>
        <v/>
      </c>
      <c r="W91" s="29">
        <f>IFERROR(V91/H91,"")</f>
        <v/>
      </c>
      <c r="X91" s="24" t="n"/>
    </row>
    <row r="92" ht="15" customHeight="1">
      <c r="A92" s="63">
        <f>IF(C92="","",IFERROR(IF(SUMPRODUCT(MAX((tbl_Finance[Job Number]=C92&amp;"")*(tbl_Finance[Xero Invoice No]&lt;&gt;"")*tbl_Finance[Date]))=0,"",SUMPRODUCT(MAX((tbl_Finance[Job Number]=C92&amp;"")*(tbl_Finance[Xero Invoice No]&lt;&gt;"")*tbl_Finance[Date]))),""))</f>
        <v/>
      </c>
      <c r="B92" s="25">
        <f>IF(C92="","",IF(COUNTIFS(tbl_Finance[Job Number],C92&amp;"",tbl_Finance[Xero Invoice No],"&lt;&gt;")=0,"",IFERROR(IF(COUNTIFS(tbl_Finance[Job Number],C92&amp;"",tbl_Finance[Xero Invoice No],LOOKUP(2,1/((tbl_Finance[Job Number]=C92&amp;"")*(tbl_Finance[Xero Invoice No]&lt;&gt;"")),tbl_Finance[Xero Invoice No]))=COUNTIFS(tbl_Finance[Job Number],C92&amp;"",tbl_Finance[Xero Invoice No],"&lt;&gt;"),LOOKUP(2,1/((tbl_Finance[Job Number]=C92&amp;"")*(tbl_Finance[Xero Invoice No]&lt;&gt;"")),tbl_Finance[Xero Invoice No]),LOOKUP(2,1/((tbl_Finance[Job Number]=C92&amp;"")*(tbl_Finance[Xero Invoice No]&lt;&gt;"")),tbl_Finance[Xero Invoice No])&amp;" +more"),"")))</f>
        <v/>
      </c>
      <c r="C92" s="24" t="n"/>
      <c r="D92" s="25">
        <f>IF(C92="","",IF(COUNTIF(lst_Jobs,C92&amp;"")&gt;0,"OK","CHECK"))</f>
        <v/>
      </c>
      <c r="E92" s="25">
        <f>IF(C92="","",IFERROR(INDEX(lst_JobName,MATCH(C92&amp;"",lst_Jobs,0)),""))</f>
        <v/>
      </c>
      <c r="F92" s="25">
        <f>IF(C92="","",IFERROR(INDEX(tbl_Finance[Client],MATCH(C92&amp;"",tbl_Finance[Job Number],0)),""))</f>
        <v/>
      </c>
      <c r="G92" s="28">
        <f>IF(C92="","",COUNTIFS(tbl_Finance[Job Number],C92&amp;"",tbl_Finance[Ex GST],"&lt;&gt;"))</f>
        <v/>
      </c>
      <c r="H92" s="27">
        <f>IF(C92="","",SUMIFS(tbl_Finance[Ex GST],tbl_Finance[Job Number],C92&amp;""))</f>
        <v/>
      </c>
      <c r="I92" s="27">
        <f>IF(C92="","",SUMIFS(tbl_Finance[Ex GST],tbl_Finance[Job Number],C92&amp;"",tbl_Finance[Xero Invoice No],"&lt;&gt;"))</f>
        <v/>
      </c>
      <c r="J92" s="27">
        <f>IF(C92="","",H92-I92)</f>
        <v/>
      </c>
      <c r="K92" s="25">
        <f>IF(C92="","",IF(G92=0,"not invoiced yet",SUBSTITUTE(TRIM(IF(COUNTIFS(tbl_Finance[Job Number],C92&amp;"",tbl_Finance[Cost Centre],"ONSITE")&gt;0,"ONSITE ","")&amp;IF(COUNTIFS(tbl_Finance[Job Number],C92&amp;"",tbl_Finance[Cost Centre],"PRODUCTION")&gt;0,"PRODUCTION ","")&amp;IF(COUNTIFS(tbl_Finance[Job Number],C92&amp;"",tbl_Finance[Cost Centre],"VIDEO")&gt;0,"VIDEO ","")&amp;IF(COUNTIFS(tbl_Finance[Job Number],C92&amp;"",tbl_Finance[Cost Centre],"INTEGRATION")&gt;0,"INTEGRATION ","")&amp;IF(COUNTIFS(tbl_Finance[Job Number],C92&amp;"",tbl_Finance[Cost Centre],"CONSULTING")&gt;0,"CONSULTING ","")&amp;IF(COUNTIFS(tbl_Finance[Job Number],C92&amp;"",tbl_Finance[Cost Centre],"CTS")&gt;0,"CTS ",""))," ",", ")))</f>
        <v/>
      </c>
      <c r="L92" s="24" t="n"/>
      <c r="M92" s="25">
        <f>IF(L92="","",HYPERLINK(IF(LEFT(L92,4)="http",L92,set_QwilrBase&amp;L92),"Open quote"))</f>
        <v/>
      </c>
      <c r="N92" s="26" t="n"/>
      <c r="O92" s="26" t="n"/>
      <c r="P92" s="26" t="n"/>
      <c r="Q92" s="25">
        <f>IF(C92="","",IF(N(N92)+N(O92)+N(P92)=0,"Not split",IF(ROUND(N(N92)+N(O92)+N(P92),2)=ROUND(H92,2),"OK","MISMATCH")))</f>
        <v/>
      </c>
      <c r="R92" s="26" t="n"/>
      <c r="S92" s="26" t="n"/>
      <c r="T92" s="26" t="n"/>
      <c r="U92" s="27">
        <f>IF(C92="","",N(R92)+N(S92)+N(T92))</f>
        <v/>
      </c>
      <c r="V92" s="27">
        <f>IF(C92="","",H92-U92)</f>
        <v/>
      </c>
      <c r="W92" s="29">
        <f>IFERROR(V92/H92,"")</f>
        <v/>
      </c>
      <c r="X92" s="24" t="n"/>
    </row>
    <row r="93" ht="15" customHeight="1">
      <c r="A93" s="63">
        <f>IF(C93="","",IFERROR(IF(SUMPRODUCT(MAX((tbl_Finance[Job Number]=C93&amp;"")*(tbl_Finance[Xero Invoice No]&lt;&gt;"")*tbl_Finance[Date]))=0,"",SUMPRODUCT(MAX((tbl_Finance[Job Number]=C93&amp;"")*(tbl_Finance[Xero Invoice No]&lt;&gt;"")*tbl_Finance[Date]))),""))</f>
        <v/>
      </c>
      <c r="B93" s="25">
        <f>IF(C93="","",IF(COUNTIFS(tbl_Finance[Job Number],C93&amp;"",tbl_Finance[Xero Invoice No],"&lt;&gt;")=0,"",IFERROR(IF(COUNTIFS(tbl_Finance[Job Number],C93&amp;"",tbl_Finance[Xero Invoice No],LOOKUP(2,1/((tbl_Finance[Job Number]=C93&amp;"")*(tbl_Finance[Xero Invoice No]&lt;&gt;"")),tbl_Finance[Xero Invoice No]))=COUNTIFS(tbl_Finance[Job Number],C93&amp;"",tbl_Finance[Xero Invoice No],"&lt;&gt;"),LOOKUP(2,1/((tbl_Finance[Job Number]=C93&amp;"")*(tbl_Finance[Xero Invoice No]&lt;&gt;"")),tbl_Finance[Xero Invoice No]),LOOKUP(2,1/((tbl_Finance[Job Number]=C93&amp;"")*(tbl_Finance[Xero Invoice No]&lt;&gt;"")),tbl_Finance[Xero Invoice No])&amp;" +more"),"")))</f>
        <v/>
      </c>
      <c r="C93" s="24" t="n"/>
      <c r="D93" s="25">
        <f>IF(C93="","",IF(COUNTIF(lst_Jobs,C93&amp;"")&gt;0,"OK","CHECK"))</f>
        <v/>
      </c>
      <c r="E93" s="25">
        <f>IF(C93="","",IFERROR(INDEX(lst_JobName,MATCH(C93&amp;"",lst_Jobs,0)),""))</f>
        <v/>
      </c>
      <c r="F93" s="25">
        <f>IF(C93="","",IFERROR(INDEX(tbl_Finance[Client],MATCH(C93&amp;"",tbl_Finance[Job Number],0)),""))</f>
        <v/>
      </c>
      <c r="G93" s="28">
        <f>IF(C93="","",COUNTIFS(tbl_Finance[Job Number],C93&amp;"",tbl_Finance[Ex GST],"&lt;&gt;"))</f>
        <v/>
      </c>
      <c r="H93" s="27">
        <f>IF(C93="","",SUMIFS(tbl_Finance[Ex GST],tbl_Finance[Job Number],C93&amp;""))</f>
        <v/>
      </c>
      <c r="I93" s="27">
        <f>IF(C93="","",SUMIFS(tbl_Finance[Ex GST],tbl_Finance[Job Number],C93&amp;"",tbl_Finance[Xero Invoice No],"&lt;&gt;"))</f>
        <v/>
      </c>
      <c r="J93" s="27">
        <f>IF(C93="","",H93-I93)</f>
        <v/>
      </c>
      <c r="K93" s="25">
        <f>IF(C93="","",IF(G93=0,"not invoiced yet",SUBSTITUTE(TRIM(IF(COUNTIFS(tbl_Finance[Job Number],C93&amp;"",tbl_Finance[Cost Centre],"ONSITE")&gt;0,"ONSITE ","")&amp;IF(COUNTIFS(tbl_Finance[Job Number],C93&amp;"",tbl_Finance[Cost Centre],"PRODUCTION")&gt;0,"PRODUCTION ","")&amp;IF(COUNTIFS(tbl_Finance[Job Number],C93&amp;"",tbl_Finance[Cost Centre],"VIDEO")&gt;0,"VIDEO ","")&amp;IF(COUNTIFS(tbl_Finance[Job Number],C93&amp;"",tbl_Finance[Cost Centre],"INTEGRATION")&gt;0,"INTEGRATION ","")&amp;IF(COUNTIFS(tbl_Finance[Job Number],C93&amp;"",tbl_Finance[Cost Centre],"CONSULTING")&gt;0,"CONSULTING ","")&amp;IF(COUNTIFS(tbl_Finance[Job Number],C93&amp;"",tbl_Finance[Cost Centre],"CTS")&gt;0,"CTS ",""))," ",", ")))</f>
        <v/>
      </c>
      <c r="L93" s="24" t="n"/>
      <c r="M93" s="25">
        <f>IF(L93="","",HYPERLINK(IF(LEFT(L93,4)="http",L93,set_QwilrBase&amp;L93),"Open quote"))</f>
        <v/>
      </c>
      <c r="N93" s="26" t="n"/>
      <c r="O93" s="26" t="n"/>
      <c r="P93" s="26" t="n"/>
      <c r="Q93" s="25">
        <f>IF(C93="","",IF(N(N93)+N(O93)+N(P93)=0,"Not split",IF(ROUND(N(N93)+N(O93)+N(P93),2)=ROUND(H93,2),"OK","MISMATCH")))</f>
        <v/>
      </c>
      <c r="R93" s="26" t="n"/>
      <c r="S93" s="26" t="n"/>
      <c r="T93" s="26" t="n"/>
      <c r="U93" s="27">
        <f>IF(C93="","",N(R93)+N(S93)+N(T93))</f>
        <v/>
      </c>
      <c r="V93" s="27">
        <f>IF(C93="","",H93-U93)</f>
        <v/>
      </c>
      <c r="W93" s="29">
        <f>IFERROR(V93/H93,"")</f>
        <v/>
      </c>
      <c r="X93" s="24" t="n"/>
    </row>
    <row r="94" ht="15" customHeight="1">
      <c r="A94" s="63">
        <f>IF(C94="","",IFERROR(IF(SUMPRODUCT(MAX((tbl_Finance[Job Number]=C94&amp;"")*(tbl_Finance[Xero Invoice No]&lt;&gt;"")*tbl_Finance[Date]))=0,"",SUMPRODUCT(MAX((tbl_Finance[Job Number]=C94&amp;"")*(tbl_Finance[Xero Invoice No]&lt;&gt;"")*tbl_Finance[Date]))),""))</f>
        <v/>
      </c>
      <c r="B94" s="25">
        <f>IF(C94="","",IF(COUNTIFS(tbl_Finance[Job Number],C94&amp;"",tbl_Finance[Xero Invoice No],"&lt;&gt;")=0,"",IFERROR(IF(COUNTIFS(tbl_Finance[Job Number],C94&amp;"",tbl_Finance[Xero Invoice No],LOOKUP(2,1/((tbl_Finance[Job Number]=C94&amp;"")*(tbl_Finance[Xero Invoice No]&lt;&gt;"")),tbl_Finance[Xero Invoice No]))=COUNTIFS(tbl_Finance[Job Number],C94&amp;"",tbl_Finance[Xero Invoice No],"&lt;&gt;"),LOOKUP(2,1/((tbl_Finance[Job Number]=C94&amp;"")*(tbl_Finance[Xero Invoice No]&lt;&gt;"")),tbl_Finance[Xero Invoice No]),LOOKUP(2,1/((tbl_Finance[Job Number]=C94&amp;"")*(tbl_Finance[Xero Invoice No]&lt;&gt;"")),tbl_Finance[Xero Invoice No])&amp;" +more"),"")))</f>
        <v/>
      </c>
      <c r="C94" s="24" t="n"/>
      <c r="D94" s="25">
        <f>IF(C94="","",IF(COUNTIF(lst_Jobs,C94&amp;"")&gt;0,"OK","CHECK"))</f>
        <v/>
      </c>
      <c r="E94" s="25">
        <f>IF(C94="","",IFERROR(INDEX(lst_JobName,MATCH(C94&amp;"",lst_Jobs,0)),""))</f>
        <v/>
      </c>
      <c r="F94" s="25">
        <f>IF(C94="","",IFERROR(INDEX(tbl_Finance[Client],MATCH(C94&amp;"",tbl_Finance[Job Number],0)),""))</f>
        <v/>
      </c>
      <c r="G94" s="28">
        <f>IF(C94="","",COUNTIFS(tbl_Finance[Job Number],C94&amp;"",tbl_Finance[Ex GST],"&lt;&gt;"))</f>
        <v/>
      </c>
      <c r="H94" s="27">
        <f>IF(C94="","",SUMIFS(tbl_Finance[Ex GST],tbl_Finance[Job Number],C94&amp;""))</f>
        <v/>
      </c>
      <c r="I94" s="27">
        <f>IF(C94="","",SUMIFS(tbl_Finance[Ex GST],tbl_Finance[Job Number],C94&amp;"",tbl_Finance[Xero Invoice No],"&lt;&gt;"))</f>
        <v/>
      </c>
      <c r="J94" s="27">
        <f>IF(C94="","",H94-I94)</f>
        <v/>
      </c>
      <c r="K94" s="25">
        <f>IF(C94="","",IF(G94=0,"not invoiced yet",SUBSTITUTE(TRIM(IF(COUNTIFS(tbl_Finance[Job Number],C94&amp;"",tbl_Finance[Cost Centre],"ONSITE")&gt;0,"ONSITE ","")&amp;IF(COUNTIFS(tbl_Finance[Job Number],C94&amp;"",tbl_Finance[Cost Centre],"PRODUCTION")&gt;0,"PRODUCTION ","")&amp;IF(COUNTIFS(tbl_Finance[Job Number],C94&amp;"",tbl_Finance[Cost Centre],"VIDEO")&gt;0,"VIDEO ","")&amp;IF(COUNTIFS(tbl_Finance[Job Number],C94&amp;"",tbl_Finance[Cost Centre],"INTEGRATION")&gt;0,"INTEGRATION ","")&amp;IF(COUNTIFS(tbl_Finance[Job Number],C94&amp;"",tbl_Finance[Cost Centre],"CONSULTING")&gt;0,"CONSULTING ","")&amp;IF(COUNTIFS(tbl_Finance[Job Number],C94&amp;"",tbl_Finance[Cost Centre],"CTS")&gt;0,"CTS ",""))," ",", ")))</f>
        <v/>
      </c>
      <c r="L94" s="24" t="n"/>
      <c r="M94" s="25">
        <f>IF(L94="","",HYPERLINK(IF(LEFT(L94,4)="http",L94,set_QwilrBase&amp;L94),"Open quote"))</f>
        <v/>
      </c>
      <c r="N94" s="26" t="n"/>
      <c r="O94" s="26" t="n"/>
      <c r="P94" s="26" t="n"/>
      <c r="Q94" s="25">
        <f>IF(C94="","",IF(N(N94)+N(O94)+N(P94)=0,"Not split",IF(ROUND(N(N94)+N(O94)+N(P94),2)=ROUND(H94,2),"OK","MISMATCH")))</f>
        <v/>
      </c>
      <c r="R94" s="26" t="n"/>
      <c r="S94" s="26" t="n"/>
      <c r="T94" s="26" t="n"/>
      <c r="U94" s="27">
        <f>IF(C94="","",N(R94)+N(S94)+N(T94))</f>
        <v/>
      </c>
      <c r="V94" s="27">
        <f>IF(C94="","",H94-U94)</f>
        <v/>
      </c>
      <c r="W94" s="29">
        <f>IFERROR(V94/H94,"")</f>
        <v/>
      </c>
      <c r="X94" s="24" t="n"/>
    </row>
    <row r="95" ht="15" customHeight="1">
      <c r="A95" s="63">
        <f>IF(C95="","",IFERROR(IF(SUMPRODUCT(MAX((tbl_Finance[Job Number]=C95&amp;"")*(tbl_Finance[Xero Invoice No]&lt;&gt;"")*tbl_Finance[Date]))=0,"",SUMPRODUCT(MAX((tbl_Finance[Job Number]=C95&amp;"")*(tbl_Finance[Xero Invoice No]&lt;&gt;"")*tbl_Finance[Date]))),""))</f>
        <v/>
      </c>
      <c r="B95" s="25">
        <f>IF(C95="","",IF(COUNTIFS(tbl_Finance[Job Number],C95&amp;"",tbl_Finance[Xero Invoice No],"&lt;&gt;")=0,"",IFERROR(IF(COUNTIFS(tbl_Finance[Job Number],C95&amp;"",tbl_Finance[Xero Invoice No],LOOKUP(2,1/((tbl_Finance[Job Number]=C95&amp;"")*(tbl_Finance[Xero Invoice No]&lt;&gt;"")),tbl_Finance[Xero Invoice No]))=COUNTIFS(tbl_Finance[Job Number],C95&amp;"",tbl_Finance[Xero Invoice No],"&lt;&gt;"),LOOKUP(2,1/((tbl_Finance[Job Number]=C95&amp;"")*(tbl_Finance[Xero Invoice No]&lt;&gt;"")),tbl_Finance[Xero Invoice No]),LOOKUP(2,1/((tbl_Finance[Job Number]=C95&amp;"")*(tbl_Finance[Xero Invoice No]&lt;&gt;"")),tbl_Finance[Xero Invoice No])&amp;" +more"),"")))</f>
        <v/>
      </c>
      <c r="C95" s="24" t="n"/>
      <c r="D95" s="25">
        <f>IF(C95="","",IF(COUNTIF(lst_Jobs,C95&amp;"")&gt;0,"OK","CHECK"))</f>
        <v/>
      </c>
      <c r="E95" s="25">
        <f>IF(C95="","",IFERROR(INDEX(lst_JobName,MATCH(C95&amp;"",lst_Jobs,0)),""))</f>
        <v/>
      </c>
      <c r="F95" s="25">
        <f>IF(C95="","",IFERROR(INDEX(tbl_Finance[Client],MATCH(C95&amp;"",tbl_Finance[Job Number],0)),""))</f>
        <v/>
      </c>
      <c r="G95" s="28">
        <f>IF(C95="","",COUNTIFS(tbl_Finance[Job Number],C95&amp;"",tbl_Finance[Ex GST],"&lt;&gt;"))</f>
        <v/>
      </c>
      <c r="H95" s="27">
        <f>IF(C95="","",SUMIFS(tbl_Finance[Ex GST],tbl_Finance[Job Number],C95&amp;""))</f>
        <v/>
      </c>
      <c r="I95" s="27">
        <f>IF(C95="","",SUMIFS(tbl_Finance[Ex GST],tbl_Finance[Job Number],C95&amp;"",tbl_Finance[Xero Invoice No],"&lt;&gt;"))</f>
        <v/>
      </c>
      <c r="J95" s="27">
        <f>IF(C95="","",H95-I95)</f>
        <v/>
      </c>
      <c r="K95" s="25">
        <f>IF(C95="","",IF(G95=0,"not invoiced yet",SUBSTITUTE(TRIM(IF(COUNTIFS(tbl_Finance[Job Number],C95&amp;"",tbl_Finance[Cost Centre],"ONSITE")&gt;0,"ONSITE ","")&amp;IF(COUNTIFS(tbl_Finance[Job Number],C95&amp;"",tbl_Finance[Cost Centre],"PRODUCTION")&gt;0,"PRODUCTION ","")&amp;IF(COUNTIFS(tbl_Finance[Job Number],C95&amp;"",tbl_Finance[Cost Centre],"VIDEO")&gt;0,"VIDEO ","")&amp;IF(COUNTIFS(tbl_Finance[Job Number],C95&amp;"",tbl_Finance[Cost Centre],"INTEGRATION")&gt;0,"INTEGRATION ","")&amp;IF(COUNTIFS(tbl_Finance[Job Number],C95&amp;"",tbl_Finance[Cost Centre],"CONSULTING")&gt;0,"CONSULTING ","")&amp;IF(COUNTIFS(tbl_Finance[Job Number],C95&amp;"",tbl_Finance[Cost Centre],"CTS")&gt;0,"CTS ",""))," ",", ")))</f>
        <v/>
      </c>
      <c r="L95" s="24" t="n"/>
      <c r="M95" s="25">
        <f>IF(L95="","",HYPERLINK(IF(LEFT(L95,4)="http",L95,set_QwilrBase&amp;L95),"Open quote"))</f>
        <v/>
      </c>
      <c r="N95" s="26" t="n"/>
      <c r="O95" s="26" t="n"/>
      <c r="P95" s="26" t="n"/>
      <c r="Q95" s="25">
        <f>IF(C95="","",IF(N(N95)+N(O95)+N(P95)=0,"Not split",IF(ROUND(N(N95)+N(O95)+N(P95),2)=ROUND(H95,2),"OK","MISMATCH")))</f>
        <v/>
      </c>
      <c r="R95" s="26" t="n"/>
      <c r="S95" s="26" t="n"/>
      <c r="T95" s="26" t="n"/>
      <c r="U95" s="27">
        <f>IF(C95="","",N(R95)+N(S95)+N(T95))</f>
        <v/>
      </c>
      <c r="V95" s="27">
        <f>IF(C95="","",H95-U95)</f>
        <v/>
      </c>
      <c r="W95" s="29">
        <f>IFERROR(V95/H95,"")</f>
        <v/>
      </c>
      <c r="X95" s="24" t="n"/>
    </row>
    <row r="96" ht="15" customHeight="1">
      <c r="A96" s="63">
        <f>IF(C96="","",IFERROR(IF(SUMPRODUCT(MAX((tbl_Finance[Job Number]=C96&amp;"")*(tbl_Finance[Xero Invoice No]&lt;&gt;"")*tbl_Finance[Date]))=0,"",SUMPRODUCT(MAX((tbl_Finance[Job Number]=C96&amp;"")*(tbl_Finance[Xero Invoice No]&lt;&gt;"")*tbl_Finance[Date]))),""))</f>
        <v/>
      </c>
      <c r="B96" s="25">
        <f>IF(C96="","",IF(COUNTIFS(tbl_Finance[Job Number],C96&amp;"",tbl_Finance[Xero Invoice No],"&lt;&gt;")=0,"",IFERROR(IF(COUNTIFS(tbl_Finance[Job Number],C96&amp;"",tbl_Finance[Xero Invoice No],LOOKUP(2,1/((tbl_Finance[Job Number]=C96&amp;"")*(tbl_Finance[Xero Invoice No]&lt;&gt;"")),tbl_Finance[Xero Invoice No]))=COUNTIFS(tbl_Finance[Job Number],C96&amp;"",tbl_Finance[Xero Invoice No],"&lt;&gt;"),LOOKUP(2,1/((tbl_Finance[Job Number]=C96&amp;"")*(tbl_Finance[Xero Invoice No]&lt;&gt;"")),tbl_Finance[Xero Invoice No]),LOOKUP(2,1/((tbl_Finance[Job Number]=C96&amp;"")*(tbl_Finance[Xero Invoice No]&lt;&gt;"")),tbl_Finance[Xero Invoice No])&amp;" +more"),"")))</f>
        <v/>
      </c>
      <c r="C96" s="24" t="n"/>
      <c r="D96" s="25">
        <f>IF(C96="","",IF(COUNTIF(lst_Jobs,C96&amp;"")&gt;0,"OK","CHECK"))</f>
        <v/>
      </c>
      <c r="E96" s="25">
        <f>IF(C96="","",IFERROR(INDEX(lst_JobName,MATCH(C96&amp;"",lst_Jobs,0)),""))</f>
        <v/>
      </c>
      <c r="F96" s="25">
        <f>IF(C96="","",IFERROR(INDEX(tbl_Finance[Client],MATCH(C96&amp;"",tbl_Finance[Job Number],0)),""))</f>
        <v/>
      </c>
      <c r="G96" s="28">
        <f>IF(C96="","",COUNTIFS(tbl_Finance[Job Number],C96&amp;"",tbl_Finance[Ex GST],"&lt;&gt;"))</f>
        <v/>
      </c>
      <c r="H96" s="27">
        <f>IF(C96="","",SUMIFS(tbl_Finance[Ex GST],tbl_Finance[Job Number],C96&amp;""))</f>
        <v/>
      </c>
      <c r="I96" s="27">
        <f>IF(C96="","",SUMIFS(tbl_Finance[Ex GST],tbl_Finance[Job Number],C96&amp;"",tbl_Finance[Xero Invoice No],"&lt;&gt;"))</f>
        <v/>
      </c>
      <c r="J96" s="27">
        <f>IF(C96="","",H96-I96)</f>
        <v/>
      </c>
      <c r="K96" s="25">
        <f>IF(C96="","",IF(G96=0,"not invoiced yet",SUBSTITUTE(TRIM(IF(COUNTIFS(tbl_Finance[Job Number],C96&amp;"",tbl_Finance[Cost Centre],"ONSITE")&gt;0,"ONSITE ","")&amp;IF(COUNTIFS(tbl_Finance[Job Number],C96&amp;"",tbl_Finance[Cost Centre],"PRODUCTION")&gt;0,"PRODUCTION ","")&amp;IF(COUNTIFS(tbl_Finance[Job Number],C96&amp;"",tbl_Finance[Cost Centre],"VIDEO")&gt;0,"VIDEO ","")&amp;IF(COUNTIFS(tbl_Finance[Job Number],C96&amp;"",tbl_Finance[Cost Centre],"INTEGRATION")&gt;0,"INTEGRATION ","")&amp;IF(COUNTIFS(tbl_Finance[Job Number],C96&amp;"",tbl_Finance[Cost Centre],"CONSULTING")&gt;0,"CONSULTING ","")&amp;IF(COUNTIFS(tbl_Finance[Job Number],C96&amp;"",tbl_Finance[Cost Centre],"CTS")&gt;0,"CTS ",""))," ",", ")))</f>
        <v/>
      </c>
      <c r="L96" s="24" t="n"/>
      <c r="M96" s="25">
        <f>IF(L96="","",HYPERLINK(IF(LEFT(L96,4)="http",L96,set_QwilrBase&amp;L96),"Open quote"))</f>
        <v/>
      </c>
      <c r="N96" s="26" t="n"/>
      <c r="O96" s="26" t="n"/>
      <c r="P96" s="26" t="n"/>
      <c r="Q96" s="25">
        <f>IF(C96="","",IF(N(N96)+N(O96)+N(P96)=0,"Not split",IF(ROUND(N(N96)+N(O96)+N(P96),2)=ROUND(H96,2),"OK","MISMATCH")))</f>
        <v/>
      </c>
      <c r="R96" s="26" t="n"/>
      <c r="S96" s="26" t="n"/>
      <c r="T96" s="26" t="n"/>
      <c r="U96" s="27">
        <f>IF(C96="","",N(R96)+N(S96)+N(T96))</f>
        <v/>
      </c>
      <c r="V96" s="27">
        <f>IF(C96="","",H96-U96)</f>
        <v/>
      </c>
      <c r="W96" s="29">
        <f>IFERROR(V96/H96,"")</f>
        <v/>
      </c>
      <c r="X96" s="24" t="n"/>
    </row>
    <row r="97" ht="15" customHeight="1">
      <c r="A97" s="63">
        <f>IF(C97="","",IFERROR(IF(SUMPRODUCT(MAX((tbl_Finance[Job Number]=C97&amp;"")*(tbl_Finance[Xero Invoice No]&lt;&gt;"")*tbl_Finance[Date]))=0,"",SUMPRODUCT(MAX((tbl_Finance[Job Number]=C97&amp;"")*(tbl_Finance[Xero Invoice No]&lt;&gt;"")*tbl_Finance[Date]))),""))</f>
        <v/>
      </c>
      <c r="B97" s="25">
        <f>IF(C97="","",IF(COUNTIFS(tbl_Finance[Job Number],C97&amp;"",tbl_Finance[Xero Invoice No],"&lt;&gt;")=0,"",IFERROR(IF(COUNTIFS(tbl_Finance[Job Number],C97&amp;"",tbl_Finance[Xero Invoice No],LOOKUP(2,1/((tbl_Finance[Job Number]=C97&amp;"")*(tbl_Finance[Xero Invoice No]&lt;&gt;"")),tbl_Finance[Xero Invoice No]))=COUNTIFS(tbl_Finance[Job Number],C97&amp;"",tbl_Finance[Xero Invoice No],"&lt;&gt;"),LOOKUP(2,1/((tbl_Finance[Job Number]=C97&amp;"")*(tbl_Finance[Xero Invoice No]&lt;&gt;"")),tbl_Finance[Xero Invoice No]),LOOKUP(2,1/((tbl_Finance[Job Number]=C97&amp;"")*(tbl_Finance[Xero Invoice No]&lt;&gt;"")),tbl_Finance[Xero Invoice No])&amp;" +more"),"")))</f>
        <v/>
      </c>
      <c r="C97" s="24" t="n"/>
      <c r="D97" s="25">
        <f>IF(C97="","",IF(COUNTIF(lst_Jobs,C97&amp;"")&gt;0,"OK","CHECK"))</f>
        <v/>
      </c>
      <c r="E97" s="25">
        <f>IF(C97="","",IFERROR(INDEX(lst_JobName,MATCH(C97&amp;"",lst_Jobs,0)),""))</f>
        <v/>
      </c>
      <c r="F97" s="25">
        <f>IF(C97="","",IFERROR(INDEX(tbl_Finance[Client],MATCH(C97&amp;"",tbl_Finance[Job Number],0)),""))</f>
        <v/>
      </c>
      <c r="G97" s="28">
        <f>IF(C97="","",COUNTIFS(tbl_Finance[Job Number],C97&amp;"",tbl_Finance[Ex GST],"&lt;&gt;"))</f>
        <v/>
      </c>
      <c r="H97" s="27">
        <f>IF(C97="","",SUMIFS(tbl_Finance[Ex GST],tbl_Finance[Job Number],C97&amp;""))</f>
        <v/>
      </c>
      <c r="I97" s="27">
        <f>IF(C97="","",SUMIFS(tbl_Finance[Ex GST],tbl_Finance[Job Number],C97&amp;"",tbl_Finance[Xero Invoice No],"&lt;&gt;"))</f>
        <v/>
      </c>
      <c r="J97" s="27">
        <f>IF(C97="","",H97-I97)</f>
        <v/>
      </c>
      <c r="K97" s="25">
        <f>IF(C97="","",IF(G97=0,"not invoiced yet",SUBSTITUTE(TRIM(IF(COUNTIFS(tbl_Finance[Job Number],C97&amp;"",tbl_Finance[Cost Centre],"ONSITE")&gt;0,"ONSITE ","")&amp;IF(COUNTIFS(tbl_Finance[Job Number],C97&amp;"",tbl_Finance[Cost Centre],"PRODUCTION")&gt;0,"PRODUCTION ","")&amp;IF(COUNTIFS(tbl_Finance[Job Number],C97&amp;"",tbl_Finance[Cost Centre],"VIDEO")&gt;0,"VIDEO ","")&amp;IF(COUNTIFS(tbl_Finance[Job Number],C97&amp;"",tbl_Finance[Cost Centre],"INTEGRATION")&gt;0,"INTEGRATION ","")&amp;IF(COUNTIFS(tbl_Finance[Job Number],C97&amp;"",tbl_Finance[Cost Centre],"CONSULTING")&gt;0,"CONSULTING ","")&amp;IF(COUNTIFS(tbl_Finance[Job Number],C97&amp;"",tbl_Finance[Cost Centre],"CTS")&gt;0,"CTS ",""))," ",", ")))</f>
        <v/>
      </c>
      <c r="L97" s="24" t="n"/>
      <c r="M97" s="25">
        <f>IF(L97="","",HYPERLINK(IF(LEFT(L97,4)="http",L97,set_QwilrBase&amp;L97),"Open quote"))</f>
        <v/>
      </c>
      <c r="N97" s="26" t="n"/>
      <c r="O97" s="26" t="n"/>
      <c r="P97" s="26" t="n"/>
      <c r="Q97" s="25">
        <f>IF(C97="","",IF(N(N97)+N(O97)+N(P97)=0,"Not split",IF(ROUND(N(N97)+N(O97)+N(P97),2)=ROUND(H97,2),"OK","MISMATCH")))</f>
        <v/>
      </c>
      <c r="R97" s="26" t="n"/>
      <c r="S97" s="26" t="n"/>
      <c r="T97" s="26" t="n"/>
      <c r="U97" s="27">
        <f>IF(C97="","",N(R97)+N(S97)+N(T97))</f>
        <v/>
      </c>
      <c r="V97" s="27">
        <f>IF(C97="","",H97-U97)</f>
        <v/>
      </c>
      <c r="W97" s="29">
        <f>IFERROR(V97/H97,"")</f>
        <v/>
      </c>
      <c r="X97" s="24" t="n"/>
    </row>
    <row r="98" ht="15" customHeight="1">
      <c r="A98" s="63">
        <f>IF(C98="","",IFERROR(IF(SUMPRODUCT(MAX((tbl_Finance[Job Number]=C98&amp;"")*(tbl_Finance[Xero Invoice No]&lt;&gt;"")*tbl_Finance[Date]))=0,"",SUMPRODUCT(MAX((tbl_Finance[Job Number]=C98&amp;"")*(tbl_Finance[Xero Invoice No]&lt;&gt;"")*tbl_Finance[Date]))),""))</f>
        <v/>
      </c>
      <c r="B98" s="25">
        <f>IF(C98="","",IF(COUNTIFS(tbl_Finance[Job Number],C98&amp;"",tbl_Finance[Xero Invoice No],"&lt;&gt;")=0,"",IFERROR(IF(COUNTIFS(tbl_Finance[Job Number],C98&amp;"",tbl_Finance[Xero Invoice No],LOOKUP(2,1/((tbl_Finance[Job Number]=C98&amp;"")*(tbl_Finance[Xero Invoice No]&lt;&gt;"")),tbl_Finance[Xero Invoice No]))=COUNTIFS(tbl_Finance[Job Number],C98&amp;"",tbl_Finance[Xero Invoice No],"&lt;&gt;"),LOOKUP(2,1/((tbl_Finance[Job Number]=C98&amp;"")*(tbl_Finance[Xero Invoice No]&lt;&gt;"")),tbl_Finance[Xero Invoice No]),LOOKUP(2,1/((tbl_Finance[Job Number]=C98&amp;"")*(tbl_Finance[Xero Invoice No]&lt;&gt;"")),tbl_Finance[Xero Invoice No])&amp;" +more"),"")))</f>
        <v/>
      </c>
      <c r="C98" s="24" t="n"/>
      <c r="D98" s="25">
        <f>IF(C98="","",IF(COUNTIF(lst_Jobs,C98&amp;"")&gt;0,"OK","CHECK"))</f>
        <v/>
      </c>
      <c r="E98" s="25">
        <f>IF(C98="","",IFERROR(INDEX(lst_JobName,MATCH(C98&amp;"",lst_Jobs,0)),""))</f>
        <v/>
      </c>
      <c r="F98" s="25">
        <f>IF(C98="","",IFERROR(INDEX(tbl_Finance[Client],MATCH(C98&amp;"",tbl_Finance[Job Number],0)),""))</f>
        <v/>
      </c>
      <c r="G98" s="28">
        <f>IF(C98="","",COUNTIFS(tbl_Finance[Job Number],C98&amp;"",tbl_Finance[Ex GST],"&lt;&gt;"))</f>
        <v/>
      </c>
      <c r="H98" s="27">
        <f>IF(C98="","",SUMIFS(tbl_Finance[Ex GST],tbl_Finance[Job Number],C98&amp;""))</f>
        <v/>
      </c>
      <c r="I98" s="27">
        <f>IF(C98="","",SUMIFS(tbl_Finance[Ex GST],tbl_Finance[Job Number],C98&amp;"",tbl_Finance[Xero Invoice No],"&lt;&gt;"))</f>
        <v/>
      </c>
      <c r="J98" s="27">
        <f>IF(C98="","",H98-I98)</f>
        <v/>
      </c>
      <c r="K98" s="25">
        <f>IF(C98="","",IF(G98=0,"not invoiced yet",SUBSTITUTE(TRIM(IF(COUNTIFS(tbl_Finance[Job Number],C98&amp;"",tbl_Finance[Cost Centre],"ONSITE")&gt;0,"ONSITE ","")&amp;IF(COUNTIFS(tbl_Finance[Job Number],C98&amp;"",tbl_Finance[Cost Centre],"PRODUCTION")&gt;0,"PRODUCTION ","")&amp;IF(COUNTIFS(tbl_Finance[Job Number],C98&amp;"",tbl_Finance[Cost Centre],"VIDEO")&gt;0,"VIDEO ","")&amp;IF(COUNTIFS(tbl_Finance[Job Number],C98&amp;"",tbl_Finance[Cost Centre],"INTEGRATION")&gt;0,"INTEGRATION ","")&amp;IF(COUNTIFS(tbl_Finance[Job Number],C98&amp;"",tbl_Finance[Cost Centre],"CONSULTING")&gt;0,"CONSULTING ","")&amp;IF(COUNTIFS(tbl_Finance[Job Number],C98&amp;"",tbl_Finance[Cost Centre],"CTS")&gt;0,"CTS ",""))," ",", ")))</f>
        <v/>
      </c>
      <c r="L98" s="24" t="n"/>
      <c r="M98" s="25">
        <f>IF(L98="","",HYPERLINK(IF(LEFT(L98,4)="http",L98,set_QwilrBase&amp;L98),"Open quote"))</f>
        <v/>
      </c>
      <c r="N98" s="26" t="n"/>
      <c r="O98" s="26" t="n"/>
      <c r="P98" s="26" t="n"/>
      <c r="Q98" s="25">
        <f>IF(C98="","",IF(N(N98)+N(O98)+N(P98)=0,"Not split",IF(ROUND(N(N98)+N(O98)+N(P98),2)=ROUND(H98,2),"OK","MISMATCH")))</f>
        <v/>
      </c>
      <c r="R98" s="26" t="n"/>
      <c r="S98" s="26" t="n"/>
      <c r="T98" s="26" t="n"/>
      <c r="U98" s="27">
        <f>IF(C98="","",N(R98)+N(S98)+N(T98))</f>
        <v/>
      </c>
      <c r="V98" s="27">
        <f>IF(C98="","",H98-U98)</f>
        <v/>
      </c>
      <c r="W98" s="29">
        <f>IFERROR(V98/H98,"")</f>
        <v/>
      </c>
      <c r="X98" s="24" t="n"/>
    </row>
    <row r="99" ht="15" customHeight="1">
      <c r="A99" s="63">
        <f>IF(C99="","",IFERROR(IF(SUMPRODUCT(MAX((tbl_Finance[Job Number]=C99&amp;"")*(tbl_Finance[Xero Invoice No]&lt;&gt;"")*tbl_Finance[Date]))=0,"",SUMPRODUCT(MAX((tbl_Finance[Job Number]=C99&amp;"")*(tbl_Finance[Xero Invoice No]&lt;&gt;"")*tbl_Finance[Date]))),""))</f>
        <v/>
      </c>
      <c r="B99" s="25">
        <f>IF(C99="","",IF(COUNTIFS(tbl_Finance[Job Number],C99&amp;"",tbl_Finance[Xero Invoice No],"&lt;&gt;")=0,"",IFERROR(IF(COUNTIFS(tbl_Finance[Job Number],C99&amp;"",tbl_Finance[Xero Invoice No],LOOKUP(2,1/((tbl_Finance[Job Number]=C99&amp;"")*(tbl_Finance[Xero Invoice No]&lt;&gt;"")),tbl_Finance[Xero Invoice No]))=COUNTIFS(tbl_Finance[Job Number],C99&amp;"",tbl_Finance[Xero Invoice No],"&lt;&gt;"),LOOKUP(2,1/((tbl_Finance[Job Number]=C99&amp;"")*(tbl_Finance[Xero Invoice No]&lt;&gt;"")),tbl_Finance[Xero Invoice No]),LOOKUP(2,1/((tbl_Finance[Job Number]=C99&amp;"")*(tbl_Finance[Xero Invoice No]&lt;&gt;"")),tbl_Finance[Xero Invoice No])&amp;" +more"),"")))</f>
        <v/>
      </c>
      <c r="C99" s="24" t="n"/>
      <c r="D99" s="25">
        <f>IF(C99="","",IF(COUNTIF(lst_Jobs,C99&amp;"")&gt;0,"OK","CHECK"))</f>
        <v/>
      </c>
      <c r="E99" s="25">
        <f>IF(C99="","",IFERROR(INDEX(lst_JobName,MATCH(C99&amp;"",lst_Jobs,0)),""))</f>
        <v/>
      </c>
      <c r="F99" s="25">
        <f>IF(C99="","",IFERROR(INDEX(tbl_Finance[Client],MATCH(C99&amp;"",tbl_Finance[Job Number],0)),""))</f>
        <v/>
      </c>
      <c r="G99" s="28">
        <f>IF(C99="","",COUNTIFS(tbl_Finance[Job Number],C99&amp;"",tbl_Finance[Ex GST],"&lt;&gt;"))</f>
        <v/>
      </c>
      <c r="H99" s="27">
        <f>IF(C99="","",SUMIFS(tbl_Finance[Ex GST],tbl_Finance[Job Number],C99&amp;""))</f>
        <v/>
      </c>
      <c r="I99" s="27">
        <f>IF(C99="","",SUMIFS(tbl_Finance[Ex GST],tbl_Finance[Job Number],C99&amp;"",tbl_Finance[Xero Invoice No],"&lt;&gt;"))</f>
        <v/>
      </c>
      <c r="J99" s="27">
        <f>IF(C99="","",H99-I99)</f>
        <v/>
      </c>
      <c r="K99" s="25">
        <f>IF(C99="","",IF(G99=0,"not invoiced yet",SUBSTITUTE(TRIM(IF(COUNTIFS(tbl_Finance[Job Number],C99&amp;"",tbl_Finance[Cost Centre],"ONSITE")&gt;0,"ONSITE ","")&amp;IF(COUNTIFS(tbl_Finance[Job Number],C99&amp;"",tbl_Finance[Cost Centre],"PRODUCTION")&gt;0,"PRODUCTION ","")&amp;IF(COUNTIFS(tbl_Finance[Job Number],C99&amp;"",tbl_Finance[Cost Centre],"VIDEO")&gt;0,"VIDEO ","")&amp;IF(COUNTIFS(tbl_Finance[Job Number],C99&amp;"",tbl_Finance[Cost Centre],"INTEGRATION")&gt;0,"INTEGRATION ","")&amp;IF(COUNTIFS(tbl_Finance[Job Number],C99&amp;"",tbl_Finance[Cost Centre],"CONSULTING")&gt;0,"CONSULTING ","")&amp;IF(COUNTIFS(tbl_Finance[Job Number],C99&amp;"",tbl_Finance[Cost Centre],"CTS")&gt;0,"CTS ",""))," ",", ")))</f>
        <v/>
      </c>
      <c r="L99" s="24" t="n"/>
      <c r="M99" s="25">
        <f>IF(L99="","",HYPERLINK(IF(LEFT(L99,4)="http",L99,set_QwilrBase&amp;L99),"Open quote"))</f>
        <v/>
      </c>
      <c r="N99" s="26" t="n"/>
      <c r="O99" s="26" t="n"/>
      <c r="P99" s="26" t="n"/>
      <c r="Q99" s="25">
        <f>IF(C99="","",IF(N(N99)+N(O99)+N(P99)=0,"Not split",IF(ROUND(N(N99)+N(O99)+N(P99),2)=ROUND(H99,2),"OK","MISMATCH")))</f>
        <v/>
      </c>
      <c r="R99" s="26" t="n"/>
      <c r="S99" s="26" t="n"/>
      <c r="T99" s="26" t="n"/>
      <c r="U99" s="27">
        <f>IF(C99="","",N(R99)+N(S99)+N(T99))</f>
        <v/>
      </c>
      <c r="V99" s="27">
        <f>IF(C99="","",H99-U99)</f>
        <v/>
      </c>
      <c r="W99" s="29">
        <f>IFERROR(V99/H99,"")</f>
        <v/>
      </c>
      <c r="X99" s="24" t="n"/>
    </row>
    <row r="100" ht="15" customHeight="1">
      <c r="A100" s="63">
        <f>IF(C100="","",IFERROR(IF(SUMPRODUCT(MAX((tbl_Finance[Job Number]=C100&amp;"")*(tbl_Finance[Xero Invoice No]&lt;&gt;"")*tbl_Finance[Date]))=0,"",SUMPRODUCT(MAX((tbl_Finance[Job Number]=C100&amp;"")*(tbl_Finance[Xero Invoice No]&lt;&gt;"")*tbl_Finance[Date]))),""))</f>
        <v/>
      </c>
      <c r="B100" s="25">
        <f>IF(C100="","",IF(COUNTIFS(tbl_Finance[Job Number],C100&amp;"",tbl_Finance[Xero Invoice No],"&lt;&gt;")=0,"",IFERROR(IF(COUNTIFS(tbl_Finance[Job Number],C100&amp;"",tbl_Finance[Xero Invoice No],LOOKUP(2,1/((tbl_Finance[Job Number]=C100&amp;"")*(tbl_Finance[Xero Invoice No]&lt;&gt;"")),tbl_Finance[Xero Invoice No]))=COUNTIFS(tbl_Finance[Job Number],C100&amp;"",tbl_Finance[Xero Invoice No],"&lt;&gt;"),LOOKUP(2,1/((tbl_Finance[Job Number]=C100&amp;"")*(tbl_Finance[Xero Invoice No]&lt;&gt;"")),tbl_Finance[Xero Invoice No]),LOOKUP(2,1/((tbl_Finance[Job Number]=C100&amp;"")*(tbl_Finance[Xero Invoice No]&lt;&gt;"")),tbl_Finance[Xero Invoice No])&amp;" +more"),"")))</f>
        <v/>
      </c>
      <c r="C100" s="24" t="n"/>
      <c r="D100" s="25">
        <f>IF(C100="","",IF(COUNTIF(lst_Jobs,C100&amp;"")&gt;0,"OK","CHECK"))</f>
        <v/>
      </c>
      <c r="E100" s="25">
        <f>IF(C100="","",IFERROR(INDEX(lst_JobName,MATCH(C100&amp;"",lst_Jobs,0)),""))</f>
        <v/>
      </c>
      <c r="F100" s="25">
        <f>IF(C100="","",IFERROR(INDEX(tbl_Finance[Client],MATCH(C100&amp;"",tbl_Finance[Job Number],0)),""))</f>
        <v/>
      </c>
      <c r="G100" s="28">
        <f>IF(C100="","",COUNTIFS(tbl_Finance[Job Number],C100&amp;"",tbl_Finance[Ex GST],"&lt;&gt;"))</f>
        <v/>
      </c>
      <c r="H100" s="27">
        <f>IF(C100="","",SUMIFS(tbl_Finance[Ex GST],tbl_Finance[Job Number],C100&amp;""))</f>
        <v/>
      </c>
      <c r="I100" s="27">
        <f>IF(C100="","",SUMIFS(tbl_Finance[Ex GST],tbl_Finance[Job Number],C100&amp;"",tbl_Finance[Xero Invoice No],"&lt;&gt;"))</f>
        <v/>
      </c>
      <c r="J100" s="27">
        <f>IF(C100="","",H100-I100)</f>
        <v/>
      </c>
      <c r="K100" s="25">
        <f>IF(C100="","",IF(G100=0,"not invoiced yet",SUBSTITUTE(TRIM(IF(COUNTIFS(tbl_Finance[Job Number],C100&amp;"",tbl_Finance[Cost Centre],"ONSITE")&gt;0,"ONSITE ","")&amp;IF(COUNTIFS(tbl_Finance[Job Number],C100&amp;"",tbl_Finance[Cost Centre],"PRODUCTION")&gt;0,"PRODUCTION ","")&amp;IF(COUNTIFS(tbl_Finance[Job Number],C100&amp;"",tbl_Finance[Cost Centre],"VIDEO")&gt;0,"VIDEO ","")&amp;IF(COUNTIFS(tbl_Finance[Job Number],C100&amp;"",tbl_Finance[Cost Centre],"INTEGRATION")&gt;0,"INTEGRATION ","")&amp;IF(COUNTIFS(tbl_Finance[Job Number],C100&amp;"",tbl_Finance[Cost Centre],"CONSULTING")&gt;0,"CONSULTING ","")&amp;IF(COUNTIFS(tbl_Finance[Job Number],C100&amp;"",tbl_Finance[Cost Centre],"CTS")&gt;0,"CTS ",""))," ",", ")))</f>
        <v/>
      </c>
      <c r="L100" s="24" t="n"/>
      <c r="M100" s="25">
        <f>IF(L100="","",HYPERLINK(IF(LEFT(L100,4)="http",L100,set_QwilrBase&amp;L100),"Open quote"))</f>
        <v/>
      </c>
      <c r="N100" s="26" t="n"/>
      <c r="O100" s="26" t="n"/>
      <c r="P100" s="26" t="n"/>
      <c r="Q100" s="25">
        <f>IF(C100="","",IF(N(N100)+N(O100)+N(P100)=0,"Not split",IF(ROUND(N(N100)+N(O100)+N(P100),2)=ROUND(H100,2),"OK","MISMATCH")))</f>
        <v/>
      </c>
      <c r="R100" s="26" t="n"/>
      <c r="S100" s="26" t="n"/>
      <c r="T100" s="26" t="n"/>
      <c r="U100" s="27">
        <f>IF(C100="","",N(R100)+N(S100)+N(T100))</f>
        <v/>
      </c>
      <c r="V100" s="27">
        <f>IF(C100="","",H100-U100)</f>
        <v/>
      </c>
      <c r="W100" s="29">
        <f>IFERROR(V100/H100,"")</f>
        <v/>
      </c>
      <c r="X100" s="24" t="n"/>
    </row>
    <row r="101" ht="15" customHeight="1">
      <c r="A101" s="63">
        <f>IF(C101="","",IFERROR(IF(SUMPRODUCT(MAX((tbl_Finance[Job Number]=C101&amp;"")*(tbl_Finance[Xero Invoice No]&lt;&gt;"")*tbl_Finance[Date]))=0,"",SUMPRODUCT(MAX((tbl_Finance[Job Number]=C101&amp;"")*(tbl_Finance[Xero Invoice No]&lt;&gt;"")*tbl_Finance[Date]))),""))</f>
        <v/>
      </c>
      <c r="B101" s="25">
        <f>IF(C101="","",IF(COUNTIFS(tbl_Finance[Job Number],C101&amp;"",tbl_Finance[Xero Invoice No],"&lt;&gt;")=0,"",IFERROR(IF(COUNTIFS(tbl_Finance[Job Number],C101&amp;"",tbl_Finance[Xero Invoice No],LOOKUP(2,1/((tbl_Finance[Job Number]=C101&amp;"")*(tbl_Finance[Xero Invoice No]&lt;&gt;"")),tbl_Finance[Xero Invoice No]))=COUNTIFS(tbl_Finance[Job Number],C101&amp;"",tbl_Finance[Xero Invoice No],"&lt;&gt;"),LOOKUP(2,1/((tbl_Finance[Job Number]=C101&amp;"")*(tbl_Finance[Xero Invoice No]&lt;&gt;"")),tbl_Finance[Xero Invoice No]),LOOKUP(2,1/((tbl_Finance[Job Number]=C101&amp;"")*(tbl_Finance[Xero Invoice No]&lt;&gt;"")),tbl_Finance[Xero Invoice No])&amp;" +more"),"")))</f>
        <v/>
      </c>
      <c r="C101" s="24" t="n"/>
      <c r="D101" s="25">
        <f>IF(C101="","",IF(COUNTIF(lst_Jobs,C101&amp;"")&gt;0,"OK","CHECK"))</f>
        <v/>
      </c>
      <c r="E101" s="25">
        <f>IF(C101="","",IFERROR(INDEX(lst_JobName,MATCH(C101&amp;"",lst_Jobs,0)),""))</f>
        <v/>
      </c>
      <c r="F101" s="25">
        <f>IF(C101="","",IFERROR(INDEX(tbl_Finance[Client],MATCH(C101&amp;"",tbl_Finance[Job Number],0)),""))</f>
        <v/>
      </c>
      <c r="G101" s="28">
        <f>IF(C101="","",COUNTIFS(tbl_Finance[Job Number],C101&amp;"",tbl_Finance[Ex GST],"&lt;&gt;"))</f>
        <v/>
      </c>
      <c r="H101" s="27">
        <f>IF(C101="","",SUMIFS(tbl_Finance[Ex GST],tbl_Finance[Job Number],C101&amp;""))</f>
        <v/>
      </c>
      <c r="I101" s="27">
        <f>IF(C101="","",SUMIFS(tbl_Finance[Ex GST],tbl_Finance[Job Number],C101&amp;"",tbl_Finance[Xero Invoice No],"&lt;&gt;"))</f>
        <v/>
      </c>
      <c r="J101" s="27">
        <f>IF(C101="","",H101-I101)</f>
        <v/>
      </c>
      <c r="K101" s="25">
        <f>IF(C101="","",IF(G101=0,"not invoiced yet",SUBSTITUTE(TRIM(IF(COUNTIFS(tbl_Finance[Job Number],C101&amp;"",tbl_Finance[Cost Centre],"ONSITE")&gt;0,"ONSITE ","")&amp;IF(COUNTIFS(tbl_Finance[Job Number],C101&amp;"",tbl_Finance[Cost Centre],"PRODUCTION")&gt;0,"PRODUCTION ","")&amp;IF(COUNTIFS(tbl_Finance[Job Number],C101&amp;"",tbl_Finance[Cost Centre],"VIDEO")&gt;0,"VIDEO ","")&amp;IF(COUNTIFS(tbl_Finance[Job Number],C101&amp;"",tbl_Finance[Cost Centre],"INTEGRATION")&gt;0,"INTEGRATION ","")&amp;IF(COUNTIFS(tbl_Finance[Job Number],C101&amp;"",tbl_Finance[Cost Centre],"CONSULTING")&gt;0,"CONSULTING ","")&amp;IF(COUNTIFS(tbl_Finance[Job Number],C101&amp;"",tbl_Finance[Cost Centre],"CTS")&gt;0,"CTS ",""))," ",", ")))</f>
        <v/>
      </c>
      <c r="L101" s="24" t="n"/>
      <c r="M101" s="25">
        <f>IF(L101="","",HYPERLINK(IF(LEFT(L101,4)="http",L101,set_QwilrBase&amp;L101),"Open quote"))</f>
        <v/>
      </c>
      <c r="N101" s="26" t="n"/>
      <c r="O101" s="26" t="n"/>
      <c r="P101" s="26" t="n"/>
      <c r="Q101" s="25">
        <f>IF(C101="","",IF(N(N101)+N(O101)+N(P101)=0,"Not split",IF(ROUND(N(N101)+N(O101)+N(P101),2)=ROUND(H101,2),"OK","MISMATCH")))</f>
        <v/>
      </c>
      <c r="R101" s="26" t="n"/>
      <c r="S101" s="26" t="n"/>
      <c r="T101" s="26" t="n"/>
      <c r="U101" s="27">
        <f>IF(C101="","",N(R101)+N(S101)+N(T101))</f>
        <v/>
      </c>
      <c r="V101" s="27">
        <f>IF(C101="","",H101-U101)</f>
        <v/>
      </c>
      <c r="W101" s="29">
        <f>IFERROR(V101/H101,"")</f>
        <v/>
      </c>
      <c r="X101" s="24" t="n"/>
    </row>
    <row r="102" ht="15" customHeight="1">
      <c r="A102" s="63">
        <f>IF(C102="","",IFERROR(IF(SUMPRODUCT(MAX((tbl_Finance[Job Number]=C102&amp;"")*(tbl_Finance[Xero Invoice No]&lt;&gt;"")*tbl_Finance[Date]))=0,"",SUMPRODUCT(MAX((tbl_Finance[Job Number]=C102&amp;"")*(tbl_Finance[Xero Invoice No]&lt;&gt;"")*tbl_Finance[Date]))),""))</f>
        <v/>
      </c>
      <c r="B102" s="25">
        <f>IF(C102="","",IF(COUNTIFS(tbl_Finance[Job Number],C102&amp;"",tbl_Finance[Xero Invoice No],"&lt;&gt;")=0,"",IFERROR(IF(COUNTIFS(tbl_Finance[Job Number],C102&amp;"",tbl_Finance[Xero Invoice No],LOOKUP(2,1/((tbl_Finance[Job Number]=C102&amp;"")*(tbl_Finance[Xero Invoice No]&lt;&gt;"")),tbl_Finance[Xero Invoice No]))=COUNTIFS(tbl_Finance[Job Number],C102&amp;"",tbl_Finance[Xero Invoice No],"&lt;&gt;"),LOOKUP(2,1/((tbl_Finance[Job Number]=C102&amp;"")*(tbl_Finance[Xero Invoice No]&lt;&gt;"")),tbl_Finance[Xero Invoice No]),LOOKUP(2,1/((tbl_Finance[Job Number]=C102&amp;"")*(tbl_Finance[Xero Invoice No]&lt;&gt;"")),tbl_Finance[Xero Invoice No])&amp;" +more"),"")))</f>
        <v/>
      </c>
      <c r="C102" s="24" t="n"/>
      <c r="D102" s="25">
        <f>IF(C102="","",IF(COUNTIF(lst_Jobs,C102&amp;"")&gt;0,"OK","CHECK"))</f>
        <v/>
      </c>
      <c r="E102" s="25">
        <f>IF(C102="","",IFERROR(INDEX(lst_JobName,MATCH(C102&amp;"",lst_Jobs,0)),""))</f>
        <v/>
      </c>
      <c r="F102" s="25">
        <f>IF(C102="","",IFERROR(INDEX(tbl_Finance[Client],MATCH(C102&amp;"",tbl_Finance[Job Number],0)),""))</f>
        <v/>
      </c>
      <c r="G102" s="28">
        <f>IF(C102="","",COUNTIFS(tbl_Finance[Job Number],C102&amp;"",tbl_Finance[Ex GST],"&lt;&gt;"))</f>
        <v/>
      </c>
      <c r="H102" s="27">
        <f>IF(C102="","",SUMIFS(tbl_Finance[Ex GST],tbl_Finance[Job Number],C102&amp;""))</f>
        <v/>
      </c>
      <c r="I102" s="27">
        <f>IF(C102="","",SUMIFS(tbl_Finance[Ex GST],tbl_Finance[Job Number],C102&amp;"",tbl_Finance[Xero Invoice No],"&lt;&gt;"))</f>
        <v/>
      </c>
      <c r="J102" s="27">
        <f>IF(C102="","",H102-I102)</f>
        <v/>
      </c>
      <c r="K102" s="25">
        <f>IF(C102="","",IF(G102=0,"not invoiced yet",SUBSTITUTE(TRIM(IF(COUNTIFS(tbl_Finance[Job Number],C102&amp;"",tbl_Finance[Cost Centre],"ONSITE")&gt;0,"ONSITE ","")&amp;IF(COUNTIFS(tbl_Finance[Job Number],C102&amp;"",tbl_Finance[Cost Centre],"PRODUCTION")&gt;0,"PRODUCTION ","")&amp;IF(COUNTIFS(tbl_Finance[Job Number],C102&amp;"",tbl_Finance[Cost Centre],"VIDEO")&gt;0,"VIDEO ","")&amp;IF(COUNTIFS(tbl_Finance[Job Number],C102&amp;"",tbl_Finance[Cost Centre],"INTEGRATION")&gt;0,"INTEGRATION ","")&amp;IF(COUNTIFS(tbl_Finance[Job Number],C102&amp;"",tbl_Finance[Cost Centre],"CONSULTING")&gt;0,"CONSULTING ","")&amp;IF(COUNTIFS(tbl_Finance[Job Number],C102&amp;"",tbl_Finance[Cost Centre],"CTS")&gt;0,"CTS ",""))," ",", ")))</f>
        <v/>
      </c>
      <c r="L102" s="24" t="n"/>
      <c r="M102" s="25">
        <f>IF(L102="","",HYPERLINK(IF(LEFT(L102,4)="http",L102,set_QwilrBase&amp;L102),"Open quote"))</f>
        <v/>
      </c>
      <c r="N102" s="26" t="n"/>
      <c r="O102" s="26" t="n"/>
      <c r="P102" s="26" t="n"/>
      <c r="Q102" s="25">
        <f>IF(C102="","",IF(N(N102)+N(O102)+N(P102)=0,"Not split",IF(ROUND(N(N102)+N(O102)+N(P102),2)=ROUND(H102,2),"OK","MISMATCH")))</f>
        <v/>
      </c>
      <c r="R102" s="26" t="n"/>
      <c r="S102" s="26" t="n"/>
      <c r="T102" s="26" t="n"/>
      <c r="U102" s="27">
        <f>IF(C102="","",N(R102)+N(S102)+N(T102))</f>
        <v/>
      </c>
      <c r="V102" s="27">
        <f>IF(C102="","",H102-U102)</f>
        <v/>
      </c>
      <c r="W102" s="29">
        <f>IFERROR(V102/H102,"")</f>
        <v/>
      </c>
      <c r="X102" s="24" t="n"/>
    </row>
    <row r="103" ht="15" customHeight="1">
      <c r="A103" s="63">
        <f>IF(C103="","",IFERROR(IF(SUMPRODUCT(MAX((tbl_Finance[Job Number]=C103&amp;"")*(tbl_Finance[Xero Invoice No]&lt;&gt;"")*tbl_Finance[Date]))=0,"",SUMPRODUCT(MAX((tbl_Finance[Job Number]=C103&amp;"")*(tbl_Finance[Xero Invoice No]&lt;&gt;"")*tbl_Finance[Date]))),""))</f>
        <v/>
      </c>
      <c r="B103" s="25">
        <f>IF(C103="","",IF(COUNTIFS(tbl_Finance[Job Number],C103&amp;"",tbl_Finance[Xero Invoice No],"&lt;&gt;")=0,"",IFERROR(IF(COUNTIFS(tbl_Finance[Job Number],C103&amp;"",tbl_Finance[Xero Invoice No],LOOKUP(2,1/((tbl_Finance[Job Number]=C103&amp;"")*(tbl_Finance[Xero Invoice No]&lt;&gt;"")),tbl_Finance[Xero Invoice No]))=COUNTIFS(tbl_Finance[Job Number],C103&amp;"",tbl_Finance[Xero Invoice No],"&lt;&gt;"),LOOKUP(2,1/((tbl_Finance[Job Number]=C103&amp;"")*(tbl_Finance[Xero Invoice No]&lt;&gt;"")),tbl_Finance[Xero Invoice No]),LOOKUP(2,1/((tbl_Finance[Job Number]=C103&amp;"")*(tbl_Finance[Xero Invoice No]&lt;&gt;"")),tbl_Finance[Xero Invoice No])&amp;" +more"),"")))</f>
        <v/>
      </c>
      <c r="C103" s="24" t="n"/>
      <c r="D103" s="25">
        <f>IF(C103="","",IF(COUNTIF(lst_Jobs,C103&amp;"")&gt;0,"OK","CHECK"))</f>
        <v/>
      </c>
      <c r="E103" s="25">
        <f>IF(C103="","",IFERROR(INDEX(lst_JobName,MATCH(C103&amp;"",lst_Jobs,0)),""))</f>
        <v/>
      </c>
      <c r="F103" s="25">
        <f>IF(C103="","",IFERROR(INDEX(tbl_Finance[Client],MATCH(C103&amp;"",tbl_Finance[Job Number],0)),""))</f>
        <v/>
      </c>
      <c r="G103" s="28">
        <f>IF(C103="","",COUNTIFS(tbl_Finance[Job Number],C103&amp;"",tbl_Finance[Ex GST],"&lt;&gt;"))</f>
        <v/>
      </c>
      <c r="H103" s="27">
        <f>IF(C103="","",SUMIFS(tbl_Finance[Ex GST],tbl_Finance[Job Number],C103&amp;""))</f>
        <v/>
      </c>
      <c r="I103" s="27">
        <f>IF(C103="","",SUMIFS(tbl_Finance[Ex GST],tbl_Finance[Job Number],C103&amp;"",tbl_Finance[Xero Invoice No],"&lt;&gt;"))</f>
        <v/>
      </c>
      <c r="J103" s="27">
        <f>IF(C103="","",H103-I103)</f>
        <v/>
      </c>
      <c r="K103" s="25">
        <f>IF(C103="","",IF(G103=0,"not invoiced yet",SUBSTITUTE(TRIM(IF(COUNTIFS(tbl_Finance[Job Number],C103&amp;"",tbl_Finance[Cost Centre],"ONSITE")&gt;0,"ONSITE ","")&amp;IF(COUNTIFS(tbl_Finance[Job Number],C103&amp;"",tbl_Finance[Cost Centre],"PRODUCTION")&gt;0,"PRODUCTION ","")&amp;IF(COUNTIFS(tbl_Finance[Job Number],C103&amp;"",tbl_Finance[Cost Centre],"VIDEO")&gt;0,"VIDEO ","")&amp;IF(COUNTIFS(tbl_Finance[Job Number],C103&amp;"",tbl_Finance[Cost Centre],"INTEGRATION")&gt;0,"INTEGRATION ","")&amp;IF(COUNTIFS(tbl_Finance[Job Number],C103&amp;"",tbl_Finance[Cost Centre],"CONSULTING")&gt;0,"CONSULTING ","")&amp;IF(COUNTIFS(tbl_Finance[Job Number],C103&amp;"",tbl_Finance[Cost Centre],"CTS")&gt;0,"CTS ",""))," ",", ")))</f>
        <v/>
      </c>
      <c r="L103" s="24" t="n"/>
      <c r="M103" s="25">
        <f>IF(L103="","",HYPERLINK(IF(LEFT(L103,4)="http",L103,set_QwilrBase&amp;L103),"Open quote"))</f>
        <v/>
      </c>
      <c r="N103" s="26" t="n"/>
      <c r="O103" s="26" t="n"/>
      <c r="P103" s="26" t="n"/>
      <c r="Q103" s="25">
        <f>IF(C103="","",IF(N(N103)+N(O103)+N(P103)=0,"Not split",IF(ROUND(N(N103)+N(O103)+N(P103),2)=ROUND(H103,2),"OK","MISMATCH")))</f>
        <v/>
      </c>
      <c r="R103" s="26" t="n"/>
      <c r="S103" s="26" t="n"/>
      <c r="T103" s="26" t="n"/>
      <c r="U103" s="27">
        <f>IF(C103="","",N(R103)+N(S103)+N(T103))</f>
        <v/>
      </c>
      <c r="V103" s="27">
        <f>IF(C103="","",H103-U103)</f>
        <v/>
      </c>
      <c r="W103" s="29">
        <f>IFERROR(V103/H103,"")</f>
        <v/>
      </c>
      <c r="X103" s="24" t="n"/>
    </row>
    <row r="104" ht="15" customHeight="1">
      <c r="A104" s="63">
        <f>IF(C104="","",IFERROR(IF(SUMPRODUCT(MAX((tbl_Finance[Job Number]=C104&amp;"")*(tbl_Finance[Xero Invoice No]&lt;&gt;"")*tbl_Finance[Date]))=0,"",SUMPRODUCT(MAX((tbl_Finance[Job Number]=C104&amp;"")*(tbl_Finance[Xero Invoice No]&lt;&gt;"")*tbl_Finance[Date]))),""))</f>
        <v/>
      </c>
      <c r="B104" s="25">
        <f>IF(C104="","",IF(COUNTIFS(tbl_Finance[Job Number],C104&amp;"",tbl_Finance[Xero Invoice No],"&lt;&gt;")=0,"",IFERROR(IF(COUNTIFS(tbl_Finance[Job Number],C104&amp;"",tbl_Finance[Xero Invoice No],LOOKUP(2,1/((tbl_Finance[Job Number]=C104&amp;"")*(tbl_Finance[Xero Invoice No]&lt;&gt;"")),tbl_Finance[Xero Invoice No]))=COUNTIFS(tbl_Finance[Job Number],C104&amp;"",tbl_Finance[Xero Invoice No],"&lt;&gt;"),LOOKUP(2,1/((tbl_Finance[Job Number]=C104&amp;"")*(tbl_Finance[Xero Invoice No]&lt;&gt;"")),tbl_Finance[Xero Invoice No]),LOOKUP(2,1/((tbl_Finance[Job Number]=C104&amp;"")*(tbl_Finance[Xero Invoice No]&lt;&gt;"")),tbl_Finance[Xero Invoice No])&amp;" +more"),"")))</f>
        <v/>
      </c>
      <c r="C104" s="24" t="n"/>
      <c r="D104" s="25">
        <f>IF(C104="","",IF(COUNTIF(lst_Jobs,C104&amp;"")&gt;0,"OK","CHECK"))</f>
        <v/>
      </c>
      <c r="E104" s="25">
        <f>IF(C104="","",IFERROR(INDEX(lst_JobName,MATCH(C104&amp;"",lst_Jobs,0)),""))</f>
        <v/>
      </c>
      <c r="F104" s="25">
        <f>IF(C104="","",IFERROR(INDEX(tbl_Finance[Client],MATCH(C104&amp;"",tbl_Finance[Job Number],0)),""))</f>
        <v/>
      </c>
      <c r="G104" s="28">
        <f>IF(C104="","",COUNTIFS(tbl_Finance[Job Number],C104&amp;"",tbl_Finance[Ex GST],"&lt;&gt;"))</f>
        <v/>
      </c>
      <c r="H104" s="27">
        <f>IF(C104="","",SUMIFS(tbl_Finance[Ex GST],tbl_Finance[Job Number],C104&amp;""))</f>
        <v/>
      </c>
      <c r="I104" s="27">
        <f>IF(C104="","",SUMIFS(tbl_Finance[Ex GST],tbl_Finance[Job Number],C104&amp;"",tbl_Finance[Xero Invoice No],"&lt;&gt;"))</f>
        <v/>
      </c>
      <c r="J104" s="27">
        <f>IF(C104="","",H104-I104)</f>
        <v/>
      </c>
      <c r="K104" s="25">
        <f>IF(C104="","",IF(G104=0,"not invoiced yet",SUBSTITUTE(TRIM(IF(COUNTIFS(tbl_Finance[Job Number],C104&amp;"",tbl_Finance[Cost Centre],"ONSITE")&gt;0,"ONSITE ","")&amp;IF(COUNTIFS(tbl_Finance[Job Number],C104&amp;"",tbl_Finance[Cost Centre],"PRODUCTION")&gt;0,"PRODUCTION ","")&amp;IF(COUNTIFS(tbl_Finance[Job Number],C104&amp;"",tbl_Finance[Cost Centre],"VIDEO")&gt;0,"VIDEO ","")&amp;IF(COUNTIFS(tbl_Finance[Job Number],C104&amp;"",tbl_Finance[Cost Centre],"INTEGRATION")&gt;0,"INTEGRATION ","")&amp;IF(COUNTIFS(tbl_Finance[Job Number],C104&amp;"",tbl_Finance[Cost Centre],"CONSULTING")&gt;0,"CONSULTING ","")&amp;IF(COUNTIFS(tbl_Finance[Job Number],C104&amp;"",tbl_Finance[Cost Centre],"CTS")&gt;0,"CTS ",""))," ",", ")))</f>
        <v/>
      </c>
      <c r="L104" s="24" t="n"/>
      <c r="M104" s="25">
        <f>IF(L104="","",HYPERLINK(IF(LEFT(L104,4)="http",L104,set_QwilrBase&amp;L104),"Open quote"))</f>
        <v/>
      </c>
      <c r="N104" s="26" t="n"/>
      <c r="O104" s="26" t="n"/>
      <c r="P104" s="26" t="n"/>
      <c r="Q104" s="25">
        <f>IF(C104="","",IF(N(N104)+N(O104)+N(P104)=0,"Not split",IF(ROUND(N(N104)+N(O104)+N(P104),2)=ROUND(H104,2),"OK","MISMATCH")))</f>
        <v/>
      </c>
      <c r="R104" s="26" t="n"/>
      <c r="S104" s="26" t="n"/>
      <c r="T104" s="26" t="n"/>
      <c r="U104" s="27">
        <f>IF(C104="","",N(R104)+N(S104)+N(T104))</f>
        <v/>
      </c>
      <c r="V104" s="27">
        <f>IF(C104="","",H104-U104)</f>
        <v/>
      </c>
      <c r="W104" s="29">
        <f>IFERROR(V104/H104,"")</f>
        <v/>
      </c>
      <c r="X104" s="24" t="n"/>
    </row>
    <row r="105" ht="15" customHeight="1">
      <c r="A105" s="63">
        <f>IF(C105="","",IFERROR(IF(SUMPRODUCT(MAX((tbl_Finance[Job Number]=C105&amp;"")*(tbl_Finance[Xero Invoice No]&lt;&gt;"")*tbl_Finance[Date]))=0,"",SUMPRODUCT(MAX((tbl_Finance[Job Number]=C105&amp;"")*(tbl_Finance[Xero Invoice No]&lt;&gt;"")*tbl_Finance[Date]))),""))</f>
        <v/>
      </c>
      <c r="B105" s="25">
        <f>IF(C105="","",IF(COUNTIFS(tbl_Finance[Job Number],C105&amp;"",tbl_Finance[Xero Invoice No],"&lt;&gt;")=0,"",IFERROR(IF(COUNTIFS(tbl_Finance[Job Number],C105&amp;"",tbl_Finance[Xero Invoice No],LOOKUP(2,1/((tbl_Finance[Job Number]=C105&amp;"")*(tbl_Finance[Xero Invoice No]&lt;&gt;"")),tbl_Finance[Xero Invoice No]))=COUNTIFS(tbl_Finance[Job Number],C105&amp;"",tbl_Finance[Xero Invoice No],"&lt;&gt;"),LOOKUP(2,1/((tbl_Finance[Job Number]=C105&amp;"")*(tbl_Finance[Xero Invoice No]&lt;&gt;"")),tbl_Finance[Xero Invoice No]),LOOKUP(2,1/((tbl_Finance[Job Number]=C105&amp;"")*(tbl_Finance[Xero Invoice No]&lt;&gt;"")),tbl_Finance[Xero Invoice No])&amp;" +more"),"")))</f>
        <v/>
      </c>
      <c r="C105" s="24" t="n"/>
      <c r="D105" s="25">
        <f>IF(C105="","",IF(COUNTIF(lst_Jobs,C105&amp;"")&gt;0,"OK","CHECK"))</f>
        <v/>
      </c>
      <c r="E105" s="25">
        <f>IF(C105="","",IFERROR(INDEX(lst_JobName,MATCH(C105&amp;"",lst_Jobs,0)),""))</f>
        <v/>
      </c>
      <c r="F105" s="25">
        <f>IF(C105="","",IFERROR(INDEX(tbl_Finance[Client],MATCH(C105&amp;"",tbl_Finance[Job Number],0)),""))</f>
        <v/>
      </c>
      <c r="G105" s="28">
        <f>IF(C105="","",COUNTIFS(tbl_Finance[Job Number],C105&amp;"",tbl_Finance[Ex GST],"&lt;&gt;"))</f>
        <v/>
      </c>
      <c r="H105" s="27">
        <f>IF(C105="","",SUMIFS(tbl_Finance[Ex GST],tbl_Finance[Job Number],C105&amp;""))</f>
        <v/>
      </c>
      <c r="I105" s="27">
        <f>IF(C105="","",SUMIFS(tbl_Finance[Ex GST],tbl_Finance[Job Number],C105&amp;"",tbl_Finance[Xero Invoice No],"&lt;&gt;"))</f>
        <v/>
      </c>
      <c r="J105" s="27">
        <f>IF(C105="","",H105-I105)</f>
        <v/>
      </c>
      <c r="K105" s="25">
        <f>IF(C105="","",IF(G105=0,"not invoiced yet",SUBSTITUTE(TRIM(IF(COUNTIFS(tbl_Finance[Job Number],C105&amp;"",tbl_Finance[Cost Centre],"ONSITE")&gt;0,"ONSITE ","")&amp;IF(COUNTIFS(tbl_Finance[Job Number],C105&amp;"",tbl_Finance[Cost Centre],"PRODUCTION")&gt;0,"PRODUCTION ","")&amp;IF(COUNTIFS(tbl_Finance[Job Number],C105&amp;"",tbl_Finance[Cost Centre],"VIDEO")&gt;0,"VIDEO ","")&amp;IF(COUNTIFS(tbl_Finance[Job Number],C105&amp;"",tbl_Finance[Cost Centre],"INTEGRATION")&gt;0,"INTEGRATION ","")&amp;IF(COUNTIFS(tbl_Finance[Job Number],C105&amp;"",tbl_Finance[Cost Centre],"CONSULTING")&gt;0,"CONSULTING ","")&amp;IF(COUNTIFS(tbl_Finance[Job Number],C105&amp;"",tbl_Finance[Cost Centre],"CTS")&gt;0,"CTS ",""))," ",", ")))</f>
        <v/>
      </c>
      <c r="L105" s="24" t="n"/>
      <c r="M105" s="25">
        <f>IF(L105="","",HYPERLINK(IF(LEFT(L105,4)="http",L105,set_QwilrBase&amp;L105),"Open quote"))</f>
        <v/>
      </c>
      <c r="N105" s="26" t="n"/>
      <c r="O105" s="26" t="n"/>
      <c r="P105" s="26" t="n"/>
      <c r="Q105" s="25">
        <f>IF(C105="","",IF(N(N105)+N(O105)+N(P105)=0,"Not split",IF(ROUND(N(N105)+N(O105)+N(P105),2)=ROUND(H105,2),"OK","MISMATCH")))</f>
        <v/>
      </c>
      <c r="R105" s="26" t="n"/>
      <c r="S105" s="26" t="n"/>
      <c r="T105" s="26" t="n"/>
      <c r="U105" s="27">
        <f>IF(C105="","",N(R105)+N(S105)+N(T105))</f>
        <v/>
      </c>
      <c r="V105" s="27">
        <f>IF(C105="","",H105-U105)</f>
        <v/>
      </c>
      <c r="W105" s="29">
        <f>IFERROR(V105/H105,"")</f>
        <v/>
      </c>
      <c r="X105" s="24" t="n"/>
    </row>
    <row r="106" ht="15" customHeight="1">
      <c r="A106" s="63">
        <f>IF(C106="","",IFERROR(IF(SUMPRODUCT(MAX((tbl_Finance[Job Number]=C106&amp;"")*(tbl_Finance[Xero Invoice No]&lt;&gt;"")*tbl_Finance[Date]))=0,"",SUMPRODUCT(MAX((tbl_Finance[Job Number]=C106&amp;"")*(tbl_Finance[Xero Invoice No]&lt;&gt;"")*tbl_Finance[Date]))),""))</f>
        <v/>
      </c>
      <c r="B106" s="25">
        <f>IF(C106="","",IF(COUNTIFS(tbl_Finance[Job Number],C106&amp;"",tbl_Finance[Xero Invoice No],"&lt;&gt;")=0,"",IFERROR(IF(COUNTIFS(tbl_Finance[Job Number],C106&amp;"",tbl_Finance[Xero Invoice No],LOOKUP(2,1/((tbl_Finance[Job Number]=C106&amp;"")*(tbl_Finance[Xero Invoice No]&lt;&gt;"")),tbl_Finance[Xero Invoice No]))=COUNTIFS(tbl_Finance[Job Number],C106&amp;"",tbl_Finance[Xero Invoice No],"&lt;&gt;"),LOOKUP(2,1/((tbl_Finance[Job Number]=C106&amp;"")*(tbl_Finance[Xero Invoice No]&lt;&gt;"")),tbl_Finance[Xero Invoice No]),LOOKUP(2,1/((tbl_Finance[Job Number]=C106&amp;"")*(tbl_Finance[Xero Invoice No]&lt;&gt;"")),tbl_Finance[Xero Invoice No])&amp;" +more"),"")))</f>
        <v/>
      </c>
      <c r="C106" s="24" t="n"/>
      <c r="D106" s="25">
        <f>IF(C106="","",IF(COUNTIF(lst_Jobs,C106&amp;"")&gt;0,"OK","CHECK"))</f>
        <v/>
      </c>
      <c r="E106" s="25">
        <f>IF(C106="","",IFERROR(INDEX(lst_JobName,MATCH(C106&amp;"",lst_Jobs,0)),""))</f>
        <v/>
      </c>
      <c r="F106" s="25">
        <f>IF(C106="","",IFERROR(INDEX(tbl_Finance[Client],MATCH(C106&amp;"",tbl_Finance[Job Number],0)),""))</f>
        <v/>
      </c>
      <c r="G106" s="28">
        <f>IF(C106="","",COUNTIFS(tbl_Finance[Job Number],C106&amp;"",tbl_Finance[Ex GST],"&lt;&gt;"))</f>
        <v/>
      </c>
      <c r="H106" s="27">
        <f>IF(C106="","",SUMIFS(tbl_Finance[Ex GST],tbl_Finance[Job Number],C106&amp;""))</f>
        <v/>
      </c>
      <c r="I106" s="27">
        <f>IF(C106="","",SUMIFS(tbl_Finance[Ex GST],tbl_Finance[Job Number],C106&amp;"",tbl_Finance[Xero Invoice No],"&lt;&gt;"))</f>
        <v/>
      </c>
      <c r="J106" s="27">
        <f>IF(C106="","",H106-I106)</f>
        <v/>
      </c>
      <c r="K106" s="25">
        <f>IF(C106="","",IF(G106=0,"not invoiced yet",SUBSTITUTE(TRIM(IF(COUNTIFS(tbl_Finance[Job Number],C106&amp;"",tbl_Finance[Cost Centre],"ONSITE")&gt;0,"ONSITE ","")&amp;IF(COUNTIFS(tbl_Finance[Job Number],C106&amp;"",tbl_Finance[Cost Centre],"PRODUCTION")&gt;0,"PRODUCTION ","")&amp;IF(COUNTIFS(tbl_Finance[Job Number],C106&amp;"",tbl_Finance[Cost Centre],"VIDEO")&gt;0,"VIDEO ","")&amp;IF(COUNTIFS(tbl_Finance[Job Number],C106&amp;"",tbl_Finance[Cost Centre],"INTEGRATION")&gt;0,"INTEGRATION ","")&amp;IF(COUNTIFS(tbl_Finance[Job Number],C106&amp;"",tbl_Finance[Cost Centre],"CONSULTING")&gt;0,"CONSULTING ","")&amp;IF(COUNTIFS(tbl_Finance[Job Number],C106&amp;"",tbl_Finance[Cost Centre],"CTS")&gt;0,"CTS ",""))," ",", ")))</f>
        <v/>
      </c>
      <c r="L106" s="24" t="n"/>
      <c r="M106" s="25">
        <f>IF(L106="","",HYPERLINK(IF(LEFT(L106,4)="http",L106,set_QwilrBase&amp;L106),"Open quote"))</f>
        <v/>
      </c>
      <c r="N106" s="26" t="n"/>
      <c r="O106" s="26" t="n"/>
      <c r="P106" s="26" t="n"/>
      <c r="Q106" s="25">
        <f>IF(C106="","",IF(N(N106)+N(O106)+N(P106)=0,"Not split",IF(ROUND(N(N106)+N(O106)+N(P106),2)=ROUND(H106,2),"OK","MISMATCH")))</f>
        <v/>
      </c>
      <c r="R106" s="26" t="n"/>
      <c r="S106" s="26" t="n"/>
      <c r="T106" s="26" t="n"/>
      <c r="U106" s="27">
        <f>IF(C106="","",N(R106)+N(S106)+N(T106))</f>
        <v/>
      </c>
      <c r="V106" s="27">
        <f>IF(C106="","",H106-U106)</f>
        <v/>
      </c>
      <c r="W106" s="29">
        <f>IFERROR(V106/H106,"")</f>
        <v/>
      </c>
      <c r="X106" s="24" t="n"/>
    </row>
    <row r="107" ht="15" customHeight="1">
      <c r="A107" s="63">
        <f>IF(C107="","",IFERROR(IF(SUMPRODUCT(MAX((tbl_Finance[Job Number]=C107&amp;"")*(tbl_Finance[Xero Invoice No]&lt;&gt;"")*tbl_Finance[Date]))=0,"",SUMPRODUCT(MAX((tbl_Finance[Job Number]=C107&amp;"")*(tbl_Finance[Xero Invoice No]&lt;&gt;"")*tbl_Finance[Date]))),""))</f>
        <v/>
      </c>
      <c r="B107" s="25">
        <f>IF(C107="","",IF(COUNTIFS(tbl_Finance[Job Number],C107&amp;"",tbl_Finance[Xero Invoice No],"&lt;&gt;")=0,"",IFERROR(IF(COUNTIFS(tbl_Finance[Job Number],C107&amp;"",tbl_Finance[Xero Invoice No],LOOKUP(2,1/((tbl_Finance[Job Number]=C107&amp;"")*(tbl_Finance[Xero Invoice No]&lt;&gt;"")),tbl_Finance[Xero Invoice No]))=COUNTIFS(tbl_Finance[Job Number],C107&amp;"",tbl_Finance[Xero Invoice No],"&lt;&gt;"),LOOKUP(2,1/((tbl_Finance[Job Number]=C107&amp;"")*(tbl_Finance[Xero Invoice No]&lt;&gt;"")),tbl_Finance[Xero Invoice No]),LOOKUP(2,1/((tbl_Finance[Job Number]=C107&amp;"")*(tbl_Finance[Xero Invoice No]&lt;&gt;"")),tbl_Finance[Xero Invoice No])&amp;" +more"),"")))</f>
        <v/>
      </c>
      <c r="C107" s="24" t="n"/>
      <c r="D107" s="25">
        <f>IF(C107="","",IF(COUNTIF(lst_Jobs,C107&amp;"")&gt;0,"OK","CHECK"))</f>
        <v/>
      </c>
      <c r="E107" s="25">
        <f>IF(C107="","",IFERROR(INDEX(lst_JobName,MATCH(C107&amp;"",lst_Jobs,0)),""))</f>
        <v/>
      </c>
      <c r="F107" s="25">
        <f>IF(C107="","",IFERROR(INDEX(tbl_Finance[Client],MATCH(C107&amp;"",tbl_Finance[Job Number],0)),""))</f>
        <v/>
      </c>
      <c r="G107" s="28">
        <f>IF(C107="","",COUNTIFS(tbl_Finance[Job Number],C107&amp;"",tbl_Finance[Ex GST],"&lt;&gt;"))</f>
        <v/>
      </c>
      <c r="H107" s="27">
        <f>IF(C107="","",SUMIFS(tbl_Finance[Ex GST],tbl_Finance[Job Number],C107&amp;""))</f>
        <v/>
      </c>
      <c r="I107" s="27">
        <f>IF(C107="","",SUMIFS(tbl_Finance[Ex GST],tbl_Finance[Job Number],C107&amp;"",tbl_Finance[Xero Invoice No],"&lt;&gt;"))</f>
        <v/>
      </c>
      <c r="J107" s="27">
        <f>IF(C107="","",H107-I107)</f>
        <v/>
      </c>
      <c r="K107" s="25">
        <f>IF(C107="","",IF(G107=0,"not invoiced yet",SUBSTITUTE(TRIM(IF(COUNTIFS(tbl_Finance[Job Number],C107&amp;"",tbl_Finance[Cost Centre],"ONSITE")&gt;0,"ONSITE ","")&amp;IF(COUNTIFS(tbl_Finance[Job Number],C107&amp;"",tbl_Finance[Cost Centre],"PRODUCTION")&gt;0,"PRODUCTION ","")&amp;IF(COUNTIFS(tbl_Finance[Job Number],C107&amp;"",tbl_Finance[Cost Centre],"VIDEO")&gt;0,"VIDEO ","")&amp;IF(COUNTIFS(tbl_Finance[Job Number],C107&amp;"",tbl_Finance[Cost Centre],"INTEGRATION")&gt;0,"INTEGRATION ","")&amp;IF(COUNTIFS(tbl_Finance[Job Number],C107&amp;"",tbl_Finance[Cost Centre],"CONSULTING")&gt;0,"CONSULTING ","")&amp;IF(COUNTIFS(tbl_Finance[Job Number],C107&amp;"",tbl_Finance[Cost Centre],"CTS")&gt;0,"CTS ",""))," ",", ")))</f>
        <v/>
      </c>
      <c r="L107" s="24" t="n"/>
      <c r="M107" s="25">
        <f>IF(L107="","",HYPERLINK(IF(LEFT(L107,4)="http",L107,set_QwilrBase&amp;L107),"Open quote"))</f>
        <v/>
      </c>
      <c r="N107" s="26" t="n"/>
      <c r="O107" s="26" t="n"/>
      <c r="P107" s="26" t="n"/>
      <c r="Q107" s="25">
        <f>IF(C107="","",IF(N(N107)+N(O107)+N(P107)=0,"Not split",IF(ROUND(N(N107)+N(O107)+N(P107),2)=ROUND(H107,2),"OK","MISMATCH")))</f>
        <v/>
      </c>
      <c r="R107" s="26" t="n"/>
      <c r="S107" s="26" t="n"/>
      <c r="T107" s="26" t="n"/>
      <c r="U107" s="27">
        <f>IF(C107="","",N(R107)+N(S107)+N(T107))</f>
        <v/>
      </c>
      <c r="V107" s="27">
        <f>IF(C107="","",H107-U107)</f>
        <v/>
      </c>
      <c r="W107" s="29">
        <f>IFERROR(V107/H107,"")</f>
        <v/>
      </c>
      <c r="X107" s="24" t="n"/>
    </row>
    <row r="108" ht="15" customHeight="1">
      <c r="A108" s="63">
        <f>IF(C108="","",IFERROR(IF(SUMPRODUCT(MAX((tbl_Finance[Job Number]=C108&amp;"")*(tbl_Finance[Xero Invoice No]&lt;&gt;"")*tbl_Finance[Date]))=0,"",SUMPRODUCT(MAX((tbl_Finance[Job Number]=C108&amp;"")*(tbl_Finance[Xero Invoice No]&lt;&gt;"")*tbl_Finance[Date]))),""))</f>
        <v/>
      </c>
      <c r="B108" s="25">
        <f>IF(C108="","",IF(COUNTIFS(tbl_Finance[Job Number],C108&amp;"",tbl_Finance[Xero Invoice No],"&lt;&gt;")=0,"",IFERROR(IF(COUNTIFS(tbl_Finance[Job Number],C108&amp;"",tbl_Finance[Xero Invoice No],LOOKUP(2,1/((tbl_Finance[Job Number]=C108&amp;"")*(tbl_Finance[Xero Invoice No]&lt;&gt;"")),tbl_Finance[Xero Invoice No]))=COUNTIFS(tbl_Finance[Job Number],C108&amp;"",tbl_Finance[Xero Invoice No],"&lt;&gt;"),LOOKUP(2,1/((tbl_Finance[Job Number]=C108&amp;"")*(tbl_Finance[Xero Invoice No]&lt;&gt;"")),tbl_Finance[Xero Invoice No]),LOOKUP(2,1/((tbl_Finance[Job Number]=C108&amp;"")*(tbl_Finance[Xero Invoice No]&lt;&gt;"")),tbl_Finance[Xero Invoice No])&amp;" +more"),"")))</f>
        <v/>
      </c>
      <c r="C108" s="24" t="n"/>
      <c r="D108" s="25">
        <f>IF(C108="","",IF(COUNTIF(lst_Jobs,C108&amp;"")&gt;0,"OK","CHECK"))</f>
        <v/>
      </c>
      <c r="E108" s="25">
        <f>IF(C108="","",IFERROR(INDEX(lst_JobName,MATCH(C108&amp;"",lst_Jobs,0)),""))</f>
        <v/>
      </c>
      <c r="F108" s="25">
        <f>IF(C108="","",IFERROR(INDEX(tbl_Finance[Client],MATCH(C108&amp;"",tbl_Finance[Job Number],0)),""))</f>
        <v/>
      </c>
      <c r="G108" s="28">
        <f>IF(C108="","",COUNTIFS(tbl_Finance[Job Number],C108&amp;"",tbl_Finance[Ex GST],"&lt;&gt;"))</f>
        <v/>
      </c>
      <c r="H108" s="27">
        <f>IF(C108="","",SUMIFS(tbl_Finance[Ex GST],tbl_Finance[Job Number],C108&amp;""))</f>
        <v/>
      </c>
      <c r="I108" s="27">
        <f>IF(C108="","",SUMIFS(tbl_Finance[Ex GST],tbl_Finance[Job Number],C108&amp;"",tbl_Finance[Xero Invoice No],"&lt;&gt;"))</f>
        <v/>
      </c>
      <c r="J108" s="27">
        <f>IF(C108="","",H108-I108)</f>
        <v/>
      </c>
      <c r="K108" s="25">
        <f>IF(C108="","",IF(G108=0,"not invoiced yet",SUBSTITUTE(TRIM(IF(COUNTIFS(tbl_Finance[Job Number],C108&amp;"",tbl_Finance[Cost Centre],"ONSITE")&gt;0,"ONSITE ","")&amp;IF(COUNTIFS(tbl_Finance[Job Number],C108&amp;"",tbl_Finance[Cost Centre],"PRODUCTION")&gt;0,"PRODUCTION ","")&amp;IF(COUNTIFS(tbl_Finance[Job Number],C108&amp;"",tbl_Finance[Cost Centre],"VIDEO")&gt;0,"VIDEO ","")&amp;IF(COUNTIFS(tbl_Finance[Job Number],C108&amp;"",tbl_Finance[Cost Centre],"INTEGRATION")&gt;0,"INTEGRATION ","")&amp;IF(COUNTIFS(tbl_Finance[Job Number],C108&amp;"",tbl_Finance[Cost Centre],"CONSULTING")&gt;0,"CONSULTING ","")&amp;IF(COUNTIFS(tbl_Finance[Job Number],C108&amp;"",tbl_Finance[Cost Centre],"CTS")&gt;0,"CTS ",""))," ",", ")))</f>
        <v/>
      </c>
      <c r="L108" s="24" t="n"/>
      <c r="M108" s="25">
        <f>IF(L108="","",HYPERLINK(IF(LEFT(L108,4)="http",L108,set_QwilrBase&amp;L108),"Open quote"))</f>
        <v/>
      </c>
      <c r="N108" s="26" t="n"/>
      <c r="O108" s="26" t="n"/>
      <c r="P108" s="26" t="n"/>
      <c r="Q108" s="25">
        <f>IF(C108="","",IF(N(N108)+N(O108)+N(P108)=0,"Not split",IF(ROUND(N(N108)+N(O108)+N(P108),2)=ROUND(H108,2),"OK","MISMATCH")))</f>
        <v/>
      </c>
      <c r="R108" s="26" t="n"/>
      <c r="S108" s="26" t="n"/>
      <c r="T108" s="26" t="n"/>
      <c r="U108" s="27">
        <f>IF(C108="","",N(R108)+N(S108)+N(T108))</f>
        <v/>
      </c>
      <c r="V108" s="27">
        <f>IF(C108="","",H108-U108)</f>
        <v/>
      </c>
      <c r="W108" s="29">
        <f>IFERROR(V108/H108,"")</f>
        <v/>
      </c>
      <c r="X108" s="24" t="n"/>
    </row>
    <row r="109" ht="15" customHeight="1">
      <c r="A109" s="63">
        <f>IF(C109="","",IFERROR(IF(SUMPRODUCT(MAX((tbl_Finance[Job Number]=C109&amp;"")*(tbl_Finance[Xero Invoice No]&lt;&gt;"")*tbl_Finance[Date]))=0,"",SUMPRODUCT(MAX((tbl_Finance[Job Number]=C109&amp;"")*(tbl_Finance[Xero Invoice No]&lt;&gt;"")*tbl_Finance[Date]))),""))</f>
        <v/>
      </c>
      <c r="B109" s="25">
        <f>IF(C109="","",IF(COUNTIFS(tbl_Finance[Job Number],C109&amp;"",tbl_Finance[Xero Invoice No],"&lt;&gt;")=0,"",IFERROR(IF(COUNTIFS(tbl_Finance[Job Number],C109&amp;"",tbl_Finance[Xero Invoice No],LOOKUP(2,1/((tbl_Finance[Job Number]=C109&amp;"")*(tbl_Finance[Xero Invoice No]&lt;&gt;"")),tbl_Finance[Xero Invoice No]))=COUNTIFS(tbl_Finance[Job Number],C109&amp;"",tbl_Finance[Xero Invoice No],"&lt;&gt;"),LOOKUP(2,1/((tbl_Finance[Job Number]=C109&amp;"")*(tbl_Finance[Xero Invoice No]&lt;&gt;"")),tbl_Finance[Xero Invoice No]),LOOKUP(2,1/((tbl_Finance[Job Number]=C109&amp;"")*(tbl_Finance[Xero Invoice No]&lt;&gt;"")),tbl_Finance[Xero Invoice No])&amp;" +more"),"")))</f>
        <v/>
      </c>
      <c r="C109" s="24" t="n"/>
      <c r="D109" s="25">
        <f>IF(C109="","",IF(COUNTIF(lst_Jobs,C109&amp;"")&gt;0,"OK","CHECK"))</f>
        <v/>
      </c>
      <c r="E109" s="25">
        <f>IF(C109="","",IFERROR(INDEX(lst_JobName,MATCH(C109&amp;"",lst_Jobs,0)),""))</f>
        <v/>
      </c>
      <c r="F109" s="25">
        <f>IF(C109="","",IFERROR(INDEX(tbl_Finance[Client],MATCH(C109&amp;"",tbl_Finance[Job Number],0)),""))</f>
        <v/>
      </c>
      <c r="G109" s="28">
        <f>IF(C109="","",COUNTIFS(tbl_Finance[Job Number],C109&amp;"",tbl_Finance[Ex GST],"&lt;&gt;"))</f>
        <v/>
      </c>
      <c r="H109" s="27">
        <f>IF(C109="","",SUMIFS(tbl_Finance[Ex GST],tbl_Finance[Job Number],C109&amp;""))</f>
        <v/>
      </c>
      <c r="I109" s="27">
        <f>IF(C109="","",SUMIFS(tbl_Finance[Ex GST],tbl_Finance[Job Number],C109&amp;"",tbl_Finance[Xero Invoice No],"&lt;&gt;"))</f>
        <v/>
      </c>
      <c r="J109" s="27">
        <f>IF(C109="","",H109-I109)</f>
        <v/>
      </c>
      <c r="K109" s="25">
        <f>IF(C109="","",IF(G109=0,"not invoiced yet",SUBSTITUTE(TRIM(IF(COUNTIFS(tbl_Finance[Job Number],C109&amp;"",tbl_Finance[Cost Centre],"ONSITE")&gt;0,"ONSITE ","")&amp;IF(COUNTIFS(tbl_Finance[Job Number],C109&amp;"",tbl_Finance[Cost Centre],"PRODUCTION")&gt;0,"PRODUCTION ","")&amp;IF(COUNTIFS(tbl_Finance[Job Number],C109&amp;"",tbl_Finance[Cost Centre],"VIDEO")&gt;0,"VIDEO ","")&amp;IF(COUNTIFS(tbl_Finance[Job Number],C109&amp;"",tbl_Finance[Cost Centre],"INTEGRATION")&gt;0,"INTEGRATION ","")&amp;IF(COUNTIFS(tbl_Finance[Job Number],C109&amp;"",tbl_Finance[Cost Centre],"CONSULTING")&gt;0,"CONSULTING ","")&amp;IF(COUNTIFS(tbl_Finance[Job Number],C109&amp;"",tbl_Finance[Cost Centre],"CTS")&gt;0,"CTS ",""))," ",", ")))</f>
        <v/>
      </c>
      <c r="L109" s="24" t="n"/>
      <c r="M109" s="25">
        <f>IF(L109="","",HYPERLINK(IF(LEFT(L109,4)="http",L109,set_QwilrBase&amp;L109),"Open quote"))</f>
        <v/>
      </c>
      <c r="N109" s="26" t="n"/>
      <c r="O109" s="26" t="n"/>
      <c r="P109" s="26" t="n"/>
      <c r="Q109" s="25">
        <f>IF(C109="","",IF(N(N109)+N(O109)+N(P109)=0,"Not split",IF(ROUND(N(N109)+N(O109)+N(P109),2)=ROUND(H109,2),"OK","MISMATCH")))</f>
        <v/>
      </c>
      <c r="R109" s="26" t="n"/>
      <c r="S109" s="26" t="n"/>
      <c r="T109" s="26" t="n"/>
      <c r="U109" s="27">
        <f>IF(C109="","",N(R109)+N(S109)+N(T109))</f>
        <v/>
      </c>
      <c r="V109" s="27">
        <f>IF(C109="","",H109-U109)</f>
        <v/>
      </c>
      <c r="W109" s="29">
        <f>IFERROR(V109/H109,"")</f>
        <v/>
      </c>
      <c r="X109" s="24" t="n"/>
    </row>
    <row r="110" ht="15" customHeight="1">
      <c r="A110" s="63">
        <f>IF(C110="","",IFERROR(IF(SUMPRODUCT(MAX((tbl_Finance[Job Number]=C110&amp;"")*(tbl_Finance[Xero Invoice No]&lt;&gt;"")*tbl_Finance[Date]))=0,"",SUMPRODUCT(MAX((tbl_Finance[Job Number]=C110&amp;"")*(tbl_Finance[Xero Invoice No]&lt;&gt;"")*tbl_Finance[Date]))),""))</f>
        <v/>
      </c>
      <c r="B110" s="25">
        <f>IF(C110="","",IF(COUNTIFS(tbl_Finance[Job Number],C110&amp;"",tbl_Finance[Xero Invoice No],"&lt;&gt;")=0,"",IFERROR(IF(COUNTIFS(tbl_Finance[Job Number],C110&amp;"",tbl_Finance[Xero Invoice No],LOOKUP(2,1/((tbl_Finance[Job Number]=C110&amp;"")*(tbl_Finance[Xero Invoice No]&lt;&gt;"")),tbl_Finance[Xero Invoice No]))=COUNTIFS(tbl_Finance[Job Number],C110&amp;"",tbl_Finance[Xero Invoice No],"&lt;&gt;"),LOOKUP(2,1/((tbl_Finance[Job Number]=C110&amp;"")*(tbl_Finance[Xero Invoice No]&lt;&gt;"")),tbl_Finance[Xero Invoice No]),LOOKUP(2,1/((tbl_Finance[Job Number]=C110&amp;"")*(tbl_Finance[Xero Invoice No]&lt;&gt;"")),tbl_Finance[Xero Invoice No])&amp;" +more"),"")))</f>
        <v/>
      </c>
      <c r="C110" s="24" t="n"/>
      <c r="D110" s="25">
        <f>IF(C110="","",IF(COUNTIF(lst_Jobs,C110&amp;"")&gt;0,"OK","CHECK"))</f>
        <v/>
      </c>
      <c r="E110" s="25">
        <f>IF(C110="","",IFERROR(INDEX(lst_JobName,MATCH(C110&amp;"",lst_Jobs,0)),""))</f>
        <v/>
      </c>
      <c r="F110" s="25">
        <f>IF(C110="","",IFERROR(INDEX(tbl_Finance[Client],MATCH(C110&amp;"",tbl_Finance[Job Number],0)),""))</f>
        <v/>
      </c>
      <c r="G110" s="28">
        <f>IF(C110="","",COUNTIFS(tbl_Finance[Job Number],C110&amp;"",tbl_Finance[Ex GST],"&lt;&gt;"))</f>
        <v/>
      </c>
      <c r="H110" s="27">
        <f>IF(C110="","",SUMIFS(tbl_Finance[Ex GST],tbl_Finance[Job Number],C110&amp;""))</f>
        <v/>
      </c>
      <c r="I110" s="27">
        <f>IF(C110="","",SUMIFS(tbl_Finance[Ex GST],tbl_Finance[Job Number],C110&amp;"",tbl_Finance[Xero Invoice No],"&lt;&gt;"))</f>
        <v/>
      </c>
      <c r="J110" s="27">
        <f>IF(C110="","",H110-I110)</f>
        <v/>
      </c>
      <c r="K110" s="25">
        <f>IF(C110="","",IF(G110=0,"not invoiced yet",SUBSTITUTE(TRIM(IF(COUNTIFS(tbl_Finance[Job Number],C110&amp;"",tbl_Finance[Cost Centre],"ONSITE")&gt;0,"ONSITE ","")&amp;IF(COUNTIFS(tbl_Finance[Job Number],C110&amp;"",tbl_Finance[Cost Centre],"PRODUCTION")&gt;0,"PRODUCTION ","")&amp;IF(COUNTIFS(tbl_Finance[Job Number],C110&amp;"",tbl_Finance[Cost Centre],"VIDEO")&gt;0,"VIDEO ","")&amp;IF(COUNTIFS(tbl_Finance[Job Number],C110&amp;"",tbl_Finance[Cost Centre],"INTEGRATION")&gt;0,"INTEGRATION ","")&amp;IF(COUNTIFS(tbl_Finance[Job Number],C110&amp;"",tbl_Finance[Cost Centre],"CONSULTING")&gt;0,"CONSULTING ","")&amp;IF(COUNTIFS(tbl_Finance[Job Number],C110&amp;"",tbl_Finance[Cost Centre],"CTS")&gt;0,"CTS ",""))," ",", ")))</f>
        <v/>
      </c>
      <c r="L110" s="24" t="n"/>
      <c r="M110" s="25">
        <f>IF(L110="","",HYPERLINK(IF(LEFT(L110,4)="http",L110,set_QwilrBase&amp;L110),"Open quote"))</f>
        <v/>
      </c>
      <c r="N110" s="26" t="n"/>
      <c r="O110" s="26" t="n"/>
      <c r="P110" s="26" t="n"/>
      <c r="Q110" s="25">
        <f>IF(C110="","",IF(N(N110)+N(O110)+N(P110)=0,"Not split",IF(ROUND(N(N110)+N(O110)+N(P110),2)=ROUND(H110,2),"OK","MISMATCH")))</f>
        <v/>
      </c>
      <c r="R110" s="26" t="n"/>
      <c r="S110" s="26" t="n"/>
      <c r="T110" s="26" t="n"/>
      <c r="U110" s="27">
        <f>IF(C110="","",N(R110)+N(S110)+N(T110))</f>
        <v/>
      </c>
      <c r="V110" s="27">
        <f>IF(C110="","",H110-U110)</f>
        <v/>
      </c>
      <c r="W110" s="29">
        <f>IFERROR(V110/H110,"")</f>
        <v/>
      </c>
      <c r="X110" s="24" t="n"/>
    </row>
    <row r="111" ht="15" customHeight="1">
      <c r="A111" s="63">
        <f>IF(C111="","",IFERROR(IF(SUMPRODUCT(MAX((tbl_Finance[Job Number]=C111&amp;"")*(tbl_Finance[Xero Invoice No]&lt;&gt;"")*tbl_Finance[Date]))=0,"",SUMPRODUCT(MAX((tbl_Finance[Job Number]=C111&amp;"")*(tbl_Finance[Xero Invoice No]&lt;&gt;"")*tbl_Finance[Date]))),""))</f>
        <v/>
      </c>
      <c r="B111" s="25">
        <f>IF(C111="","",IF(COUNTIFS(tbl_Finance[Job Number],C111&amp;"",tbl_Finance[Xero Invoice No],"&lt;&gt;")=0,"",IFERROR(IF(COUNTIFS(tbl_Finance[Job Number],C111&amp;"",tbl_Finance[Xero Invoice No],LOOKUP(2,1/((tbl_Finance[Job Number]=C111&amp;"")*(tbl_Finance[Xero Invoice No]&lt;&gt;"")),tbl_Finance[Xero Invoice No]))=COUNTIFS(tbl_Finance[Job Number],C111&amp;"",tbl_Finance[Xero Invoice No],"&lt;&gt;"),LOOKUP(2,1/((tbl_Finance[Job Number]=C111&amp;"")*(tbl_Finance[Xero Invoice No]&lt;&gt;"")),tbl_Finance[Xero Invoice No]),LOOKUP(2,1/((tbl_Finance[Job Number]=C111&amp;"")*(tbl_Finance[Xero Invoice No]&lt;&gt;"")),tbl_Finance[Xero Invoice No])&amp;" +more"),"")))</f>
        <v/>
      </c>
      <c r="C111" s="24" t="n"/>
      <c r="D111" s="25">
        <f>IF(C111="","",IF(COUNTIF(lst_Jobs,C111&amp;"")&gt;0,"OK","CHECK"))</f>
        <v/>
      </c>
      <c r="E111" s="25">
        <f>IF(C111="","",IFERROR(INDEX(lst_JobName,MATCH(C111&amp;"",lst_Jobs,0)),""))</f>
        <v/>
      </c>
      <c r="F111" s="25">
        <f>IF(C111="","",IFERROR(INDEX(tbl_Finance[Client],MATCH(C111&amp;"",tbl_Finance[Job Number],0)),""))</f>
        <v/>
      </c>
      <c r="G111" s="28">
        <f>IF(C111="","",COUNTIFS(tbl_Finance[Job Number],C111&amp;"",tbl_Finance[Ex GST],"&lt;&gt;"))</f>
        <v/>
      </c>
      <c r="H111" s="27">
        <f>IF(C111="","",SUMIFS(tbl_Finance[Ex GST],tbl_Finance[Job Number],C111&amp;""))</f>
        <v/>
      </c>
      <c r="I111" s="27">
        <f>IF(C111="","",SUMIFS(tbl_Finance[Ex GST],tbl_Finance[Job Number],C111&amp;"",tbl_Finance[Xero Invoice No],"&lt;&gt;"))</f>
        <v/>
      </c>
      <c r="J111" s="27">
        <f>IF(C111="","",H111-I111)</f>
        <v/>
      </c>
      <c r="K111" s="25">
        <f>IF(C111="","",IF(G111=0,"not invoiced yet",SUBSTITUTE(TRIM(IF(COUNTIFS(tbl_Finance[Job Number],C111&amp;"",tbl_Finance[Cost Centre],"ONSITE")&gt;0,"ONSITE ","")&amp;IF(COUNTIFS(tbl_Finance[Job Number],C111&amp;"",tbl_Finance[Cost Centre],"PRODUCTION")&gt;0,"PRODUCTION ","")&amp;IF(COUNTIFS(tbl_Finance[Job Number],C111&amp;"",tbl_Finance[Cost Centre],"VIDEO")&gt;0,"VIDEO ","")&amp;IF(COUNTIFS(tbl_Finance[Job Number],C111&amp;"",tbl_Finance[Cost Centre],"INTEGRATION")&gt;0,"INTEGRATION ","")&amp;IF(COUNTIFS(tbl_Finance[Job Number],C111&amp;"",tbl_Finance[Cost Centre],"CONSULTING")&gt;0,"CONSULTING ","")&amp;IF(COUNTIFS(tbl_Finance[Job Number],C111&amp;"",tbl_Finance[Cost Centre],"CTS")&gt;0,"CTS ",""))," ",", ")))</f>
        <v/>
      </c>
      <c r="L111" s="24" t="n"/>
      <c r="M111" s="25">
        <f>IF(L111="","",HYPERLINK(IF(LEFT(L111,4)="http",L111,set_QwilrBase&amp;L111),"Open quote"))</f>
        <v/>
      </c>
      <c r="N111" s="26" t="n"/>
      <c r="O111" s="26" t="n"/>
      <c r="P111" s="26" t="n"/>
      <c r="Q111" s="25">
        <f>IF(C111="","",IF(N(N111)+N(O111)+N(P111)=0,"Not split",IF(ROUND(N(N111)+N(O111)+N(P111),2)=ROUND(H111,2),"OK","MISMATCH")))</f>
        <v/>
      </c>
      <c r="R111" s="26" t="n"/>
      <c r="S111" s="26" t="n"/>
      <c r="T111" s="26" t="n"/>
      <c r="U111" s="27">
        <f>IF(C111="","",N(R111)+N(S111)+N(T111))</f>
        <v/>
      </c>
      <c r="V111" s="27">
        <f>IF(C111="","",H111-U111)</f>
        <v/>
      </c>
      <c r="W111" s="29">
        <f>IFERROR(V111/H111,"")</f>
        <v/>
      </c>
      <c r="X111" s="24" t="n"/>
    </row>
    <row r="112" ht="15" customHeight="1">
      <c r="A112" s="63">
        <f>IF(C112="","",IFERROR(IF(SUMPRODUCT(MAX((tbl_Finance[Job Number]=C112&amp;"")*(tbl_Finance[Xero Invoice No]&lt;&gt;"")*tbl_Finance[Date]))=0,"",SUMPRODUCT(MAX((tbl_Finance[Job Number]=C112&amp;"")*(tbl_Finance[Xero Invoice No]&lt;&gt;"")*tbl_Finance[Date]))),""))</f>
        <v/>
      </c>
      <c r="B112" s="25">
        <f>IF(C112="","",IF(COUNTIFS(tbl_Finance[Job Number],C112&amp;"",tbl_Finance[Xero Invoice No],"&lt;&gt;")=0,"",IFERROR(IF(COUNTIFS(tbl_Finance[Job Number],C112&amp;"",tbl_Finance[Xero Invoice No],LOOKUP(2,1/((tbl_Finance[Job Number]=C112&amp;"")*(tbl_Finance[Xero Invoice No]&lt;&gt;"")),tbl_Finance[Xero Invoice No]))=COUNTIFS(tbl_Finance[Job Number],C112&amp;"",tbl_Finance[Xero Invoice No],"&lt;&gt;"),LOOKUP(2,1/((tbl_Finance[Job Number]=C112&amp;"")*(tbl_Finance[Xero Invoice No]&lt;&gt;"")),tbl_Finance[Xero Invoice No]),LOOKUP(2,1/((tbl_Finance[Job Number]=C112&amp;"")*(tbl_Finance[Xero Invoice No]&lt;&gt;"")),tbl_Finance[Xero Invoice No])&amp;" +more"),"")))</f>
        <v/>
      </c>
      <c r="C112" s="24" t="n"/>
      <c r="D112" s="25">
        <f>IF(C112="","",IF(COUNTIF(lst_Jobs,C112&amp;"")&gt;0,"OK","CHECK"))</f>
        <v/>
      </c>
      <c r="E112" s="25">
        <f>IF(C112="","",IFERROR(INDEX(lst_JobName,MATCH(C112&amp;"",lst_Jobs,0)),""))</f>
        <v/>
      </c>
      <c r="F112" s="25">
        <f>IF(C112="","",IFERROR(INDEX(tbl_Finance[Client],MATCH(C112&amp;"",tbl_Finance[Job Number],0)),""))</f>
        <v/>
      </c>
      <c r="G112" s="28">
        <f>IF(C112="","",COUNTIFS(tbl_Finance[Job Number],C112&amp;"",tbl_Finance[Ex GST],"&lt;&gt;"))</f>
        <v/>
      </c>
      <c r="H112" s="27">
        <f>IF(C112="","",SUMIFS(tbl_Finance[Ex GST],tbl_Finance[Job Number],C112&amp;""))</f>
        <v/>
      </c>
      <c r="I112" s="27">
        <f>IF(C112="","",SUMIFS(tbl_Finance[Ex GST],tbl_Finance[Job Number],C112&amp;"",tbl_Finance[Xero Invoice No],"&lt;&gt;"))</f>
        <v/>
      </c>
      <c r="J112" s="27">
        <f>IF(C112="","",H112-I112)</f>
        <v/>
      </c>
      <c r="K112" s="25">
        <f>IF(C112="","",IF(G112=0,"not invoiced yet",SUBSTITUTE(TRIM(IF(COUNTIFS(tbl_Finance[Job Number],C112&amp;"",tbl_Finance[Cost Centre],"ONSITE")&gt;0,"ONSITE ","")&amp;IF(COUNTIFS(tbl_Finance[Job Number],C112&amp;"",tbl_Finance[Cost Centre],"PRODUCTION")&gt;0,"PRODUCTION ","")&amp;IF(COUNTIFS(tbl_Finance[Job Number],C112&amp;"",tbl_Finance[Cost Centre],"VIDEO")&gt;0,"VIDEO ","")&amp;IF(COUNTIFS(tbl_Finance[Job Number],C112&amp;"",tbl_Finance[Cost Centre],"INTEGRATION")&gt;0,"INTEGRATION ","")&amp;IF(COUNTIFS(tbl_Finance[Job Number],C112&amp;"",tbl_Finance[Cost Centre],"CONSULTING")&gt;0,"CONSULTING ","")&amp;IF(COUNTIFS(tbl_Finance[Job Number],C112&amp;"",tbl_Finance[Cost Centre],"CTS")&gt;0,"CTS ",""))," ",", ")))</f>
        <v/>
      </c>
      <c r="L112" s="24" t="n"/>
      <c r="M112" s="25">
        <f>IF(L112="","",HYPERLINK(IF(LEFT(L112,4)="http",L112,set_QwilrBase&amp;L112),"Open quote"))</f>
        <v/>
      </c>
      <c r="N112" s="26" t="n"/>
      <c r="O112" s="26" t="n"/>
      <c r="P112" s="26" t="n"/>
      <c r="Q112" s="25">
        <f>IF(C112="","",IF(N(N112)+N(O112)+N(P112)=0,"Not split",IF(ROUND(N(N112)+N(O112)+N(P112),2)=ROUND(H112,2),"OK","MISMATCH")))</f>
        <v/>
      </c>
      <c r="R112" s="26" t="n"/>
      <c r="S112" s="26" t="n"/>
      <c r="T112" s="26" t="n"/>
      <c r="U112" s="27">
        <f>IF(C112="","",N(R112)+N(S112)+N(T112))</f>
        <v/>
      </c>
      <c r="V112" s="27">
        <f>IF(C112="","",H112-U112)</f>
        <v/>
      </c>
      <c r="W112" s="29">
        <f>IFERROR(V112/H112,"")</f>
        <v/>
      </c>
      <c r="X112" s="24" t="n"/>
    </row>
    <row r="113" ht="15" customHeight="1">
      <c r="A113" s="63">
        <f>IF(C113="","",IFERROR(IF(SUMPRODUCT(MAX((tbl_Finance[Job Number]=C113&amp;"")*(tbl_Finance[Xero Invoice No]&lt;&gt;"")*tbl_Finance[Date]))=0,"",SUMPRODUCT(MAX((tbl_Finance[Job Number]=C113&amp;"")*(tbl_Finance[Xero Invoice No]&lt;&gt;"")*tbl_Finance[Date]))),""))</f>
        <v/>
      </c>
      <c r="B113" s="25">
        <f>IF(C113="","",IF(COUNTIFS(tbl_Finance[Job Number],C113&amp;"",tbl_Finance[Xero Invoice No],"&lt;&gt;")=0,"",IFERROR(IF(COUNTIFS(tbl_Finance[Job Number],C113&amp;"",tbl_Finance[Xero Invoice No],LOOKUP(2,1/((tbl_Finance[Job Number]=C113&amp;"")*(tbl_Finance[Xero Invoice No]&lt;&gt;"")),tbl_Finance[Xero Invoice No]))=COUNTIFS(tbl_Finance[Job Number],C113&amp;"",tbl_Finance[Xero Invoice No],"&lt;&gt;"),LOOKUP(2,1/((tbl_Finance[Job Number]=C113&amp;"")*(tbl_Finance[Xero Invoice No]&lt;&gt;"")),tbl_Finance[Xero Invoice No]),LOOKUP(2,1/((tbl_Finance[Job Number]=C113&amp;"")*(tbl_Finance[Xero Invoice No]&lt;&gt;"")),tbl_Finance[Xero Invoice No])&amp;" +more"),"")))</f>
        <v/>
      </c>
      <c r="C113" s="24" t="n"/>
      <c r="D113" s="25">
        <f>IF(C113="","",IF(COUNTIF(lst_Jobs,C113&amp;"")&gt;0,"OK","CHECK"))</f>
        <v/>
      </c>
      <c r="E113" s="25">
        <f>IF(C113="","",IFERROR(INDEX(lst_JobName,MATCH(C113&amp;"",lst_Jobs,0)),""))</f>
        <v/>
      </c>
      <c r="F113" s="25">
        <f>IF(C113="","",IFERROR(INDEX(tbl_Finance[Client],MATCH(C113&amp;"",tbl_Finance[Job Number],0)),""))</f>
        <v/>
      </c>
      <c r="G113" s="28">
        <f>IF(C113="","",COUNTIFS(tbl_Finance[Job Number],C113&amp;"",tbl_Finance[Ex GST],"&lt;&gt;"))</f>
        <v/>
      </c>
      <c r="H113" s="27">
        <f>IF(C113="","",SUMIFS(tbl_Finance[Ex GST],tbl_Finance[Job Number],C113&amp;""))</f>
        <v/>
      </c>
      <c r="I113" s="27">
        <f>IF(C113="","",SUMIFS(tbl_Finance[Ex GST],tbl_Finance[Job Number],C113&amp;"",tbl_Finance[Xero Invoice No],"&lt;&gt;"))</f>
        <v/>
      </c>
      <c r="J113" s="27">
        <f>IF(C113="","",H113-I113)</f>
        <v/>
      </c>
      <c r="K113" s="25">
        <f>IF(C113="","",IF(G113=0,"not invoiced yet",SUBSTITUTE(TRIM(IF(COUNTIFS(tbl_Finance[Job Number],C113&amp;"",tbl_Finance[Cost Centre],"ONSITE")&gt;0,"ONSITE ","")&amp;IF(COUNTIFS(tbl_Finance[Job Number],C113&amp;"",tbl_Finance[Cost Centre],"PRODUCTION")&gt;0,"PRODUCTION ","")&amp;IF(COUNTIFS(tbl_Finance[Job Number],C113&amp;"",tbl_Finance[Cost Centre],"VIDEO")&gt;0,"VIDEO ","")&amp;IF(COUNTIFS(tbl_Finance[Job Number],C113&amp;"",tbl_Finance[Cost Centre],"INTEGRATION")&gt;0,"INTEGRATION ","")&amp;IF(COUNTIFS(tbl_Finance[Job Number],C113&amp;"",tbl_Finance[Cost Centre],"CONSULTING")&gt;0,"CONSULTING ","")&amp;IF(COUNTIFS(tbl_Finance[Job Number],C113&amp;"",tbl_Finance[Cost Centre],"CTS")&gt;0,"CTS ",""))," ",", ")))</f>
        <v/>
      </c>
      <c r="L113" s="24" t="n"/>
      <c r="M113" s="25">
        <f>IF(L113="","",HYPERLINK(IF(LEFT(L113,4)="http",L113,set_QwilrBase&amp;L113),"Open quote"))</f>
        <v/>
      </c>
      <c r="N113" s="26" t="n"/>
      <c r="O113" s="26" t="n"/>
      <c r="P113" s="26" t="n"/>
      <c r="Q113" s="25">
        <f>IF(C113="","",IF(N(N113)+N(O113)+N(P113)=0,"Not split",IF(ROUND(N(N113)+N(O113)+N(P113),2)=ROUND(H113,2),"OK","MISMATCH")))</f>
        <v/>
      </c>
      <c r="R113" s="26" t="n"/>
      <c r="S113" s="26" t="n"/>
      <c r="T113" s="26" t="n"/>
      <c r="U113" s="27">
        <f>IF(C113="","",N(R113)+N(S113)+N(T113))</f>
        <v/>
      </c>
      <c r="V113" s="27">
        <f>IF(C113="","",H113-U113)</f>
        <v/>
      </c>
      <c r="W113" s="29">
        <f>IFERROR(V113/H113,"")</f>
        <v/>
      </c>
      <c r="X113" s="24" t="n"/>
    </row>
    <row r="114" ht="15" customHeight="1">
      <c r="A114" s="63">
        <f>IF(C114="","",IFERROR(IF(SUMPRODUCT(MAX((tbl_Finance[Job Number]=C114&amp;"")*(tbl_Finance[Xero Invoice No]&lt;&gt;"")*tbl_Finance[Date]))=0,"",SUMPRODUCT(MAX((tbl_Finance[Job Number]=C114&amp;"")*(tbl_Finance[Xero Invoice No]&lt;&gt;"")*tbl_Finance[Date]))),""))</f>
        <v/>
      </c>
      <c r="B114" s="25">
        <f>IF(C114="","",IF(COUNTIFS(tbl_Finance[Job Number],C114&amp;"",tbl_Finance[Xero Invoice No],"&lt;&gt;")=0,"",IFERROR(IF(COUNTIFS(tbl_Finance[Job Number],C114&amp;"",tbl_Finance[Xero Invoice No],LOOKUP(2,1/((tbl_Finance[Job Number]=C114&amp;"")*(tbl_Finance[Xero Invoice No]&lt;&gt;"")),tbl_Finance[Xero Invoice No]))=COUNTIFS(tbl_Finance[Job Number],C114&amp;"",tbl_Finance[Xero Invoice No],"&lt;&gt;"),LOOKUP(2,1/((tbl_Finance[Job Number]=C114&amp;"")*(tbl_Finance[Xero Invoice No]&lt;&gt;"")),tbl_Finance[Xero Invoice No]),LOOKUP(2,1/((tbl_Finance[Job Number]=C114&amp;"")*(tbl_Finance[Xero Invoice No]&lt;&gt;"")),tbl_Finance[Xero Invoice No])&amp;" +more"),"")))</f>
        <v/>
      </c>
      <c r="C114" s="24" t="n"/>
      <c r="D114" s="25">
        <f>IF(C114="","",IF(COUNTIF(lst_Jobs,C114&amp;"")&gt;0,"OK","CHECK"))</f>
        <v/>
      </c>
      <c r="E114" s="25">
        <f>IF(C114="","",IFERROR(INDEX(lst_JobName,MATCH(C114&amp;"",lst_Jobs,0)),""))</f>
        <v/>
      </c>
      <c r="F114" s="25">
        <f>IF(C114="","",IFERROR(INDEX(tbl_Finance[Client],MATCH(C114&amp;"",tbl_Finance[Job Number],0)),""))</f>
        <v/>
      </c>
      <c r="G114" s="28">
        <f>IF(C114="","",COUNTIFS(tbl_Finance[Job Number],C114&amp;"",tbl_Finance[Ex GST],"&lt;&gt;"))</f>
        <v/>
      </c>
      <c r="H114" s="27">
        <f>IF(C114="","",SUMIFS(tbl_Finance[Ex GST],tbl_Finance[Job Number],C114&amp;""))</f>
        <v/>
      </c>
      <c r="I114" s="27">
        <f>IF(C114="","",SUMIFS(tbl_Finance[Ex GST],tbl_Finance[Job Number],C114&amp;"",tbl_Finance[Xero Invoice No],"&lt;&gt;"))</f>
        <v/>
      </c>
      <c r="J114" s="27">
        <f>IF(C114="","",H114-I114)</f>
        <v/>
      </c>
      <c r="K114" s="25">
        <f>IF(C114="","",IF(G114=0,"not invoiced yet",SUBSTITUTE(TRIM(IF(COUNTIFS(tbl_Finance[Job Number],C114&amp;"",tbl_Finance[Cost Centre],"ONSITE")&gt;0,"ONSITE ","")&amp;IF(COUNTIFS(tbl_Finance[Job Number],C114&amp;"",tbl_Finance[Cost Centre],"PRODUCTION")&gt;0,"PRODUCTION ","")&amp;IF(COUNTIFS(tbl_Finance[Job Number],C114&amp;"",tbl_Finance[Cost Centre],"VIDEO")&gt;0,"VIDEO ","")&amp;IF(COUNTIFS(tbl_Finance[Job Number],C114&amp;"",tbl_Finance[Cost Centre],"INTEGRATION")&gt;0,"INTEGRATION ","")&amp;IF(COUNTIFS(tbl_Finance[Job Number],C114&amp;"",tbl_Finance[Cost Centre],"CONSULTING")&gt;0,"CONSULTING ","")&amp;IF(COUNTIFS(tbl_Finance[Job Number],C114&amp;"",tbl_Finance[Cost Centre],"CTS")&gt;0,"CTS ",""))," ",", ")))</f>
        <v/>
      </c>
      <c r="L114" s="24" t="n"/>
      <c r="M114" s="25">
        <f>IF(L114="","",HYPERLINK(IF(LEFT(L114,4)="http",L114,set_QwilrBase&amp;L114),"Open quote"))</f>
        <v/>
      </c>
      <c r="N114" s="26" t="n"/>
      <c r="O114" s="26" t="n"/>
      <c r="P114" s="26" t="n"/>
      <c r="Q114" s="25">
        <f>IF(C114="","",IF(N(N114)+N(O114)+N(P114)=0,"Not split",IF(ROUND(N(N114)+N(O114)+N(P114),2)=ROUND(H114,2),"OK","MISMATCH")))</f>
        <v/>
      </c>
      <c r="R114" s="26" t="n"/>
      <c r="S114" s="26" t="n"/>
      <c r="T114" s="26" t="n"/>
      <c r="U114" s="27">
        <f>IF(C114="","",N(R114)+N(S114)+N(T114))</f>
        <v/>
      </c>
      <c r="V114" s="27">
        <f>IF(C114="","",H114-U114)</f>
        <v/>
      </c>
      <c r="W114" s="29">
        <f>IFERROR(V114/H114,"")</f>
        <v/>
      </c>
      <c r="X114" s="24" t="n"/>
    </row>
    <row r="115" ht="15" customHeight="1">
      <c r="A115" s="63">
        <f>IF(C115="","",IFERROR(IF(SUMPRODUCT(MAX((tbl_Finance[Job Number]=C115&amp;"")*(tbl_Finance[Xero Invoice No]&lt;&gt;"")*tbl_Finance[Date]))=0,"",SUMPRODUCT(MAX((tbl_Finance[Job Number]=C115&amp;"")*(tbl_Finance[Xero Invoice No]&lt;&gt;"")*tbl_Finance[Date]))),""))</f>
        <v/>
      </c>
      <c r="B115" s="25">
        <f>IF(C115="","",IF(COUNTIFS(tbl_Finance[Job Number],C115&amp;"",tbl_Finance[Xero Invoice No],"&lt;&gt;")=0,"",IFERROR(IF(COUNTIFS(tbl_Finance[Job Number],C115&amp;"",tbl_Finance[Xero Invoice No],LOOKUP(2,1/((tbl_Finance[Job Number]=C115&amp;"")*(tbl_Finance[Xero Invoice No]&lt;&gt;"")),tbl_Finance[Xero Invoice No]))=COUNTIFS(tbl_Finance[Job Number],C115&amp;"",tbl_Finance[Xero Invoice No],"&lt;&gt;"),LOOKUP(2,1/((tbl_Finance[Job Number]=C115&amp;"")*(tbl_Finance[Xero Invoice No]&lt;&gt;"")),tbl_Finance[Xero Invoice No]),LOOKUP(2,1/((tbl_Finance[Job Number]=C115&amp;"")*(tbl_Finance[Xero Invoice No]&lt;&gt;"")),tbl_Finance[Xero Invoice No])&amp;" +more"),"")))</f>
        <v/>
      </c>
      <c r="C115" s="24" t="n"/>
      <c r="D115" s="25">
        <f>IF(C115="","",IF(COUNTIF(lst_Jobs,C115&amp;"")&gt;0,"OK","CHECK"))</f>
        <v/>
      </c>
      <c r="E115" s="25">
        <f>IF(C115="","",IFERROR(INDEX(lst_JobName,MATCH(C115&amp;"",lst_Jobs,0)),""))</f>
        <v/>
      </c>
      <c r="F115" s="25">
        <f>IF(C115="","",IFERROR(INDEX(tbl_Finance[Client],MATCH(C115&amp;"",tbl_Finance[Job Number],0)),""))</f>
        <v/>
      </c>
      <c r="G115" s="28">
        <f>IF(C115="","",COUNTIFS(tbl_Finance[Job Number],C115&amp;"",tbl_Finance[Ex GST],"&lt;&gt;"))</f>
        <v/>
      </c>
      <c r="H115" s="27">
        <f>IF(C115="","",SUMIFS(tbl_Finance[Ex GST],tbl_Finance[Job Number],C115&amp;""))</f>
        <v/>
      </c>
      <c r="I115" s="27">
        <f>IF(C115="","",SUMIFS(tbl_Finance[Ex GST],tbl_Finance[Job Number],C115&amp;"",tbl_Finance[Xero Invoice No],"&lt;&gt;"))</f>
        <v/>
      </c>
      <c r="J115" s="27">
        <f>IF(C115="","",H115-I115)</f>
        <v/>
      </c>
      <c r="K115" s="25">
        <f>IF(C115="","",IF(G115=0,"not invoiced yet",SUBSTITUTE(TRIM(IF(COUNTIFS(tbl_Finance[Job Number],C115&amp;"",tbl_Finance[Cost Centre],"ONSITE")&gt;0,"ONSITE ","")&amp;IF(COUNTIFS(tbl_Finance[Job Number],C115&amp;"",tbl_Finance[Cost Centre],"PRODUCTION")&gt;0,"PRODUCTION ","")&amp;IF(COUNTIFS(tbl_Finance[Job Number],C115&amp;"",tbl_Finance[Cost Centre],"VIDEO")&gt;0,"VIDEO ","")&amp;IF(COUNTIFS(tbl_Finance[Job Number],C115&amp;"",tbl_Finance[Cost Centre],"INTEGRATION")&gt;0,"INTEGRATION ","")&amp;IF(COUNTIFS(tbl_Finance[Job Number],C115&amp;"",tbl_Finance[Cost Centre],"CONSULTING")&gt;0,"CONSULTING ","")&amp;IF(COUNTIFS(tbl_Finance[Job Number],C115&amp;"",tbl_Finance[Cost Centre],"CTS")&gt;0,"CTS ",""))," ",", ")))</f>
        <v/>
      </c>
      <c r="L115" s="24" t="n"/>
      <c r="M115" s="25">
        <f>IF(L115="","",HYPERLINK(IF(LEFT(L115,4)="http",L115,set_QwilrBase&amp;L115),"Open quote"))</f>
        <v/>
      </c>
      <c r="N115" s="26" t="n"/>
      <c r="O115" s="26" t="n"/>
      <c r="P115" s="26" t="n"/>
      <c r="Q115" s="25">
        <f>IF(C115="","",IF(N(N115)+N(O115)+N(P115)=0,"Not split",IF(ROUND(N(N115)+N(O115)+N(P115),2)=ROUND(H115,2),"OK","MISMATCH")))</f>
        <v/>
      </c>
      <c r="R115" s="26" t="n"/>
      <c r="S115" s="26" t="n"/>
      <c r="T115" s="26" t="n"/>
      <c r="U115" s="27">
        <f>IF(C115="","",N(R115)+N(S115)+N(T115))</f>
        <v/>
      </c>
      <c r="V115" s="27">
        <f>IF(C115="","",H115-U115)</f>
        <v/>
      </c>
      <c r="W115" s="29">
        <f>IFERROR(V115/H115,"")</f>
        <v/>
      </c>
      <c r="X115" s="24" t="n"/>
    </row>
    <row r="116" ht="15" customHeight="1">
      <c r="A116" s="63">
        <f>IF(C116="","",IFERROR(IF(SUMPRODUCT(MAX((tbl_Finance[Job Number]=C116&amp;"")*(tbl_Finance[Xero Invoice No]&lt;&gt;"")*tbl_Finance[Date]))=0,"",SUMPRODUCT(MAX((tbl_Finance[Job Number]=C116&amp;"")*(tbl_Finance[Xero Invoice No]&lt;&gt;"")*tbl_Finance[Date]))),""))</f>
        <v/>
      </c>
      <c r="B116" s="25">
        <f>IF(C116="","",IF(COUNTIFS(tbl_Finance[Job Number],C116&amp;"",tbl_Finance[Xero Invoice No],"&lt;&gt;")=0,"",IFERROR(IF(COUNTIFS(tbl_Finance[Job Number],C116&amp;"",tbl_Finance[Xero Invoice No],LOOKUP(2,1/((tbl_Finance[Job Number]=C116&amp;"")*(tbl_Finance[Xero Invoice No]&lt;&gt;"")),tbl_Finance[Xero Invoice No]))=COUNTIFS(tbl_Finance[Job Number],C116&amp;"",tbl_Finance[Xero Invoice No],"&lt;&gt;"),LOOKUP(2,1/((tbl_Finance[Job Number]=C116&amp;"")*(tbl_Finance[Xero Invoice No]&lt;&gt;"")),tbl_Finance[Xero Invoice No]),LOOKUP(2,1/((tbl_Finance[Job Number]=C116&amp;"")*(tbl_Finance[Xero Invoice No]&lt;&gt;"")),tbl_Finance[Xero Invoice No])&amp;" +more"),"")))</f>
        <v/>
      </c>
      <c r="C116" s="24" t="n"/>
      <c r="D116" s="25">
        <f>IF(C116="","",IF(COUNTIF(lst_Jobs,C116&amp;"")&gt;0,"OK","CHECK"))</f>
        <v/>
      </c>
      <c r="E116" s="25">
        <f>IF(C116="","",IFERROR(INDEX(lst_JobName,MATCH(C116&amp;"",lst_Jobs,0)),""))</f>
        <v/>
      </c>
      <c r="F116" s="25">
        <f>IF(C116="","",IFERROR(INDEX(tbl_Finance[Client],MATCH(C116&amp;"",tbl_Finance[Job Number],0)),""))</f>
        <v/>
      </c>
      <c r="G116" s="28">
        <f>IF(C116="","",COUNTIFS(tbl_Finance[Job Number],C116&amp;"",tbl_Finance[Ex GST],"&lt;&gt;"))</f>
        <v/>
      </c>
      <c r="H116" s="27">
        <f>IF(C116="","",SUMIFS(tbl_Finance[Ex GST],tbl_Finance[Job Number],C116&amp;""))</f>
        <v/>
      </c>
      <c r="I116" s="27">
        <f>IF(C116="","",SUMIFS(tbl_Finance[Ex GST],tbl_Finance[Job Number],C116&amp;"",tbl_Finance[Xero Invoice No],"&lt;&gt;"))</f>
        <v/>
      </c>
      <c r="J116" s="27">
        <f>IF(C116="","",H116-I116)</f>
        <v/>
      </c>
      <c r="K116" s="25">
        <f>IF(C116="","",IF(G116=0,"not invoiced yet",SUBSTITUTE(TRIM(IF(COUNTIFS(tbl_Finance[Job Number],C116&amp;"",tbl_Finance[Cost Centre],"ONSITE")&gt;0,"ONSITE ","")&amp;IF(COUNTIFS(tbl_Finance[Job Number],C116&amp;"",tbl_Finance[Cost Centre],"PRODUCTION")&gt;0,"PRODUCTION ","")&amp;IF(COUNTIFS(tbl_Finance[Job Number],C116&amp;"",tbl_Finance[Cost Centre],"VIDEO")&gt;0,"VIDEO ","")&amp;IF(COUNTIFS(tbl_Finance[Job Number],C116&amp;"",tbl_Finance[Cost Centre],"INTEGRATION")&gt;0,"INTEGRATION ","")&amp;IF(COUNTIFS(tbl_Finance[Job Number],C116&amp;"",tbl_Finance[Cost Centre],"CONSULTING")&gt;0,"CONSULTING ","")&amp;IF(COUNTIFS(tbl_Finance[Job Number],C116&amp;"",tbl_Finance[Cost Centre],"CTS")&gt;0,"CTS ",""))," ",", ")))</f>
        <v/>
      </c>
      <c r="L116" s="24" t="n"/>
      <c r="M116" s="25">
        <f>IF(L116="","",HYPERLINK(IF(LEFT(L116,4)="http",L116,set_QwilrBase&amp;L116),"Open quote"))</f>
        <v/>
      </c>
      <c r="N116" s="26" t="n"/>
      <c r="O116" s="26" t="n"/>
      <c r="P116" s="26" t="n"/>
      <c r="Q116" s="25">
        <f>IF(C116="","",IF(N(N116)+N(O116)+N(P116)=0,"Not split",IF(ROUND(N(N116)+N(O116)+N(P116),2)=ROUND(H116,2),"OK","MISMATCH")))</f>
        <v/>
      </c>
      <c r="R116" s="26" t="n"/>
      <c r="S116" s="26" t="n"/>
      <c r="T116" s="26" t="n"/>
      <c r="U116" s="27">
        <f>IF(C116="","",N(R116)+N(S116)+N(T116))</f>
        <v/>
      </c>
      <c r="V116" s="27">
        <f>IF(C116="","",H116-U116)</f>
        <v/>
      </c>
      <c r="W116" s="29">
        <f>IFERROR(V116/H116,"")</f>
        <v/>
      </c>
      <c r="X116" s="24" t="n"/>
    </row>
    <row r="117" ht="15" customHeight="1">
      <c r="A117" s="63">
        <f>IF(C117="","",IFERROR(IF(SUMPRODUCT(MAX((tbl_Finance[Job Number]=C117&amp;"")*(tbl_Finance[Xero Invoice No]&lt;&gt;"")*tbl_Finance[Date]))=0,"",SUMPRODUCT(MAX((tbl_Finance[Job Number]=C117&amp;"")*(tbl_Finance[Xero Invoice No]&lt;&gt;"")*tbl_Finance[Date]))),""))</f>
        <v/>
      </c>
      <c r="B117" s="25">
        <f>IF(C117="","",IF(COUNTIFS(tbl_Finance[Job Number],C117&amp;"",tbl_Finance[Xero Invoice No],"&lt;&gt;")=0,"",IFERROR(IF(COUNTIFS(tbl_Finance[Job Number],C117&amp;"",tbl_Finance[Xero Invoice No],LOOKUP(2,1/((tbl_Finance[Job Number]=C117&amp;"")*(tbl_Finance[Xero Invoice No]&lt;&gt;"")),tbl_Finance[Xero Invoice No]))=COUNTIFS(tbl_Finance[Job Number],C117&amp;"",tbl_Finance[Xero Invoice No],"&lt;&gt;"),LOOKUP(2,1/((tbl_Finance[Job Number]=C117&amp;"")*(tbl_Finance[Xero Invoice No]&lt;&gt;"")),tbl_Finance[Xero Invoice No]),LOOKUP(2,1/((tbl_Finance[Job Number]=C117&amp;"")*(tbl_Finance[Xero Invoice No]&lt;&gt;"")),tbl_Finance[Xero Invoice No])&amp;" +more"),"")))</f>
        <v/>
      </c>
      <c r="C117" s="24" t="n"/>
      <c r="D117" s="25">
        <f>IF(C117="","",IF(COUNTIF(lst_Jobs,C117&amp;"")&gt;0,"OK","CHECK"))</f>
        <v/>
      </c>
      <c r="E117" s="25">
        <f>IF(C117="","",IFERROR(INDEX(lst_JobName,MATCH(C117&amp;"",lst_Jobs,0)),""))</f>
        <v/>
      </c>
      <c r="F117" s="25">
        <f>IF(C117="","",IFERROR(INDEX(tbl_Finance[Client],MATCH(C117&amp;"",tbl_Finance[Job Number],0)),""))</f>
        <v/>
      </c>
      <c r="G117" s="28">
        <f>IF(C117="","",COUNTIFS(tbl_Finance[Job Number],C117&amp;"",tbl_Finance[Ex GST],"&lt;&gt;"))</f>
        <v/>
      </c>
      <c r="H117" s="27">
        <f>IF(C117="","",SUMIFS(tbl_Finance[Ex GST],tbl_Finance[Job Number],C117&amp;""))</f>
        <v/>
      </c>
      <c r="I117" s="27">
        <f>IF(C117="","",SUMIFS(tbl_Finance[Ex GST],tbl_Finance[Job Number],C117&amp;"",tbl_Finance[Xero Invoice No],"&lt;&gt;"))</f>
        <v/>
      </c>
      <c r="J117" s="27">
        <f>IF(C117="","",H117-I117)</f>
        <v/>
      </c>
      <c r="K117" s="25">
        <f>IF(C117="","",IF(G117=0,"not invoiced yet",SUBSTITUTE(TRIM(IF(COUNTIFS(tbl_Finance[Job Number],C117&amp;"",tbl_Finance[Cost Centre],"ONSITE")&gt;0,"ONSITE ","")&amp;IF(COUNTIFS(tbl_Finance[Job Number],C117&amp;"",tbl_Finance[Cost Centre],"PRODUCTION")&gt;0,"PRODUCTION ","")&amp;IF(COUNTIFS(tbl_Finance[Job Number],C117&amp;"",tbl_Finance[Cost Centre],"VIDEO")&gt;0,"VIDEO ","")&amp;IF(COUNTIFS(tbl_Finance[Job Number],C117&amp;"",tbl_Finance[Cost Centre],"INTEGRATION")&gt;0,"INTEGRATION ","")&amp;IF(COUNTIFS(tbl_Finance[Job Number],C117&amp;"",tbl_Finance[Cost Centre],"CONSULTING")&gt;0,"CONSULTING ","")&amp;IF(COUNTIFS(tbl_Finance[Job Number],C117&amp;"",tbl_Finance[Cost Centre],"CTS")&gt;0,"CTS ",""))," ",", ")))</f>
        <v/>
      </c>
      <c r="L117" s="24" t="n"/>
      <c r="M117" s="25">
        <f>IF(L117="","",HYPERLINK(IF(LEFT(L117,4)="http",L117,set_QwilrBase&amp;L117),"Open quote"))</f>
        <v/>
      </c>
      <c r="N117" s="26" t="n"/>
      <c r="O117" s="26" t="n"/>
      <c r="P117" s="26" t="n"/>
      <c r="Q117" s="25">
        <f>IF(C117="","",IF(N(N117)+N(O117)+N(P117)=0,"Not split",IF(ROUND(N(N117)+N(O117)+N(P117),2)=ROUND(H117,2),"OK","MISMATCH")))</f>
        <v/>
      </c>
      <c r="R117" s="26" t="n"/>
      <c r="S117" s="26" t="n"/>
      <c r="T117" s="26" t="n"/>
      <c r="U117" s="27">
        <f>IF(C117="","",N(R117)+N(S117)+N(T117))</f>
        <v/>
      </c>
      <c r="V117" s="27">
        <f>IF(C117="","",H117-U117)</f>
        <v/>
      </c>
      <c r="W117" s="29">
        <f>IFERROR(V117/H117,"")</f>
        <v/>
      </c>
      <c r="X117" s="24" t="n"/>
    </row>
    <row r="118" ht="15" customHeight="1">
      <c r="A118" s="63">
        <f>IF(C118="","",IFERROR(IF(SUMPRODUCT(MAX((tbl_Finance[Job Number]=C118&amp;"")*(tbl_Finance[Xero Invoice No]&lt;&gt;"")*tbl_Finance[Date]))=0,"",SUMPRODUCT(MAX((tbl_Finance[Job Number]=C118&amp;"")*(tbl_Finance[Xero Invoice No]&lt;&gt;"")*tbl_Finance[Date]))),""))</f>
        <v/>
      </c>
      <c r="B118" s="25">
        <f>IF(C118="","",IF(COUNTIFS(tbl_Finance[Job Number],C118&amp;"",tbl_Finance[Xero Invoice No],"&lt;&gt;")=0,"",IFERROR(IF(COUNTIFS(tbl_Finance[Job Number],C118&amp;"",tbl_Finance[Xero Invoice No],LOOKUP(2,1/((tbl_Finance[Job Number]=C118&amp;"")*(tbl_Finance[Xero Invoice No]&lt;&gt;"")),tbl_Finance[Xero Invoice No]))=COUNTIFS(tbl_Finance[Job Number],C118&amp;"",tbl_Finance[Xero Invoice No],"&lt;&gt;"),LOOKUP(2,1/((tbl_Finance[Job Number]=C118&amp;"")*(tbl_Finance[Xero Invoice No]&lt;&gt;"")),tbl_Finance[Xero Invoice No]),LOOKUP(2,1/((tbl_Finance[Job Number]=C118&amp;"")*(tbl_Finance[Xero Invoice No]&lt;&gt;"")),tbl_Finance[Xero Invoice No])&amp;" +more"),"")))</f>
        <v/>
      </c>
      <c r="C118" s="24" t="n"/>
      <c r="D118" s="25">
        <f>IF(C118="","",IF(COUNTIF(lst_Jobs,C118&amp;"")&gt;0,"OK","CHECK"))</f>
        <v/>
      </c>
      <c r="E118" s="25">
        <f>IF(C118="","",IFERROR(INDEX(lst_JobName,MATCH(C118&amp;"",lst_Jobs,0)),""))</f>
        <v/>
      </c>
      <c r="F118" s="25">
        <f>IF(C118="","",IFERROR(INDEX(tbl_Finance[Client],MATCH(C118&amp;"",tbl_Finance[Job Number],0)),""))</f>
        <v/>
      </c>
      <c r="G118" s="28">
        <f>IF(C118="","",COUNTIFS(tbl_Finance[Job Number],C118&amp;"",tbl_Finance[Ex GST],"&lt;&gt;"))</f>
        <v/>
      </c>
      <c r="H118" s="27">
        <f>IF(C118="","",SUMIFS(tbl_Finance[Ex GST],tbl_Finance[Job Number],C118&amp;""))</f>
        <v/>
      </c>
      <c r="I118" s="27">
        <f>IF(C118="","",SUMIFS(tbl_Finance[Ex GST],tbl_Finance[Job Number],C118&amp;"",tbl_Finance[Xero Invoice No],"&lt;&gt;"))</f>
        <v/>
      </c>
      <c r="J118" s="27">
        <f>IF(C118="","",H118-I118)</f>
        <v/>
      </c>
      <c r="K118" s="25">
        <f>IF(C118="","",IF(G118=0,"not invoiced yet",SUBSTITUTE(TRIM(IF(COUNTIFS(tbl_Finance[Job Number],C118&amp;"",tbl_Finance[Cost Centre],"ONSITE")&gt;0,"ONSITE ","")&amp;IF(COUNTIFS(tbl_Finance[Job Number],C118&amp;"",tbl_Finance[Cost Centre],"PRODUCTION")&gt;0,"PRODUCTION ","")&amp;IF(COUNTIFS(tbl_Finance[Job Number],C118&amp;"",tbl_Finance[Cost Centre],"VIDEO")&gt;0,"VIDEO ","")&amp;IF(COUNTIFS(tbl_Finance[Job Number],C118&amp;"",tbl_Finance[Cost Centre],"INTEGRATION")&gt;0,"INTEGRATION ","")&amp;IF(COUNTIFS(tbl_Finance[Job Number],C118&amp;"",tbl_Finance[Cost Centre],"CONSULTING")&gt;0,"CONSULTING ","")&amp;IF(COUNTIFS(tbl_Finance[Job Number],C118&amp;"",tbl_Finance[Cost Centre],"CTS")&gt;0,"CTS ",""))," ",", ")))</f>
        <v/>
      </c>
      <c r="L118" s="24" t="n"/>
      <c r="M118" s="25">
        <f>IF(L118="","",HYPERLINK(IF(LEFT(L118,4)="http",L118,set_QwilrBase&amp;L118),"Open quote"))</f>
        <v/>
      </c>
      <c r="N118" s="26" t="n"/>
      <c r="O118" s="26" t="n"/>
      <c r="P118" s="26" t="n"/>
      <c r="Q118" s="25">
        <f>IF(C118="","",IF(N(N118)+N(O118)+N(P118)=0,"Not split",IF(ROUND(N(N118)+N(O118)+N(P118),2)=ROUND(H118,2),"OK","MISMATCH")))</f>
        <v/>
      </c>
      <c r="R118" s="26" t="n"/>
      <c r="S118" s="26" t="n"/>
      <c r="T118" s="26" t="n"/>
      <c r="U118" s="27">
        <f>IF(C118="","",N(R118)+N(S118)+N(T118))</f>
        <v/>
      </c>
      <c r="V118" s="27">
        <f>IF(C118="","",H118-U118)</f>
        <v/>
      </c>
      <c r="W118" s="29">
        <f>IFERROR(V118/H118,"")</f>
        <v/>
      </c>
      <c r="X118" s="24" t="n"/>
    </row>
    <row r="119" ht="15" customHeight="1">
      <c r="A119" s="63">
        <f>IF(C119="","",IFERROR(IF(SUMPRODUCT(MAX((tbl_Finance[Job Number]=C119&amp;"")*(tbl_Finance[Xero Invoice No]&lt;&gt;"")*tbl_Finance[Date]))=0,"",SUMPRODUCT(MAX((tbl_Finance[Job Number]=C119&amp;"")*(tbl_Finance[Xero Invoice No]&lt;&gt;"")*tbl_Finance[Date]))),""))</f>
        <v/>
      </c>
      <c r="B119" s="25">
        <f>IF(C119="","",IF(COUNTIFS(tbl_Finance[Job Number],C119&amp;"",tbl_Finance[Xero Invoice No],"&lt;&gt;")=0,"",IFERROR(IF(COUNTIFS(tbl_Finance[Job Number],C119&amp;"",tbl_Finance[Xero Invoice No],LOOKUP(2,1/((tbl_Finance[Job Number]=C119&amp;"")*(tbl_Finance[Xero Invoice No]&lt;&gt;"")),tbl_Finance[Xero Invoice No]))=COUNTIFS(tbl_Finance[Job Number],C119&amp;"",tbl_Finance[Xero Invoice No],"&lt;&gt;"),LOOKUP(2,1/((tbl_Finance[Job Number]=C119&amp;"")*(tbl_Finance[Xero Invoice No]&lt;&gt;"")),tbl_Finance[Xero Invoice No]),LOOKUP(2,1/((tbl_Finance[Job Number]=C119&amp;"")*(tbl_Finance[Xero Invoice No]&lt;&gt;"")),tbl_Finance[Xero Invoice No])&amp;" +more"),"")))</f>
        <v/>
      </c>
      <c r="C119" s="24" t="n"/>
      <c r="D119" s="25">
        <f>IF(C119="","",IF(COUNTIF(lst_Jobs,C119&amp;"")&gt;0,"OK","CHECK"))</f>
        <v/>
      </c>
      <c r="E119" s="25">
        <f>IF(C119="","",IFERROR(INDEX(lst_JobName,MATCH(C119&amp;"",lst_Jobs,0)),""))</f>
        <v/>
      </c>
      <c r="F119" s="25">
        <f>IF(C119="","",IFERROR(INDEX(tbl_Finance[Client],MATCH(C119&amp;"",tbl_Finance[Job Number],0)),""))</f>
        <v/>
      </c>
      <c r="G119" s="28">
        <f>IF(C119="","",COUNTIFS(tbl_Finance[Job Number],C119&amp;"",tbl_Finance[Ex GST],"&lt;&gt;"))</f>
        <v/>
      </c>
      <c r="H119" s="27">
        <f>IF(C119="","",SUMIFS(tbl_Finance[Ex GST],tbl_Finance[Job Number],C119&amp;""))</f>
        <v/>
      </c>
      <c r="I119" s="27">
        <f>IF(C119="","",SUMIFS(tbl_Finance[Ex GST],tbl_Finance[Job Number],C119&amp;"",tbl_Finance[Xero Invoice No],"&lt;&gt;"))</f>
        <v/>
      </c>
      <c r="J119" s="27">
        <f>IF(C119="","",H119-I119)</f>
        <v/>
      </c>
      <c r="K119" s="25">
        <f>IF(C119="","",IF(G119=0,"not invoiced yet",SUBSTITUTE(TRIM(IF(COUNTIFS(tbl_Finance[Job Number],C119&amp;"",tbl_Finance[Cost Centre],"ONSITE")&gt;0,"ONSITE ","")&amp;IF(COUNTIFS(tbl_Finance[Job Number],C119&amp;"",tbl_Finance[Cost Centre],"PRODUCTION")&gt;0,"PRODUCTION ","")&amp;IF(COUNTIFS(tbl_Finance[Job Number],C119&amp;"",tbl_Finance[Cost Centre],"VIDEO")&gt;0,"VIDEO ","")&amp;IF(COUNTIFS(tbl_Finance[Job Number],C119&amp;"",tbl_Finance[Cost Centre],"INTEGRATION")&gt;0,"INTEGRATION ","")&amp;IF(COUNTIFS(tbl_Finance[Job Number],C119&amp;"",tbl_Finance[Cost Centre],"CONSULTING")&gt;0,"CONSULTING ","")&amp;IF(COUNTIFS(tbl_Finance[Job Number],C119&amp;"",tbl_Finance[Cost Centre],"CTS")&gt;0,"CTS ",""))," ",", ")))</f>
        <v/>
      </c>
      <c r="L119" s="24" t="n"/>
      <c r="M119" s="25">
        <f>IF(L119="","",HYPERLINK(IF(LEFT(L119,4)="http",L119,set_QwilrBase&amp;L119),"Open quote"))</f>
        <v/>
      </c>
      <c r="N119" s="26" t="n"/>
      <c r="O119" s="26" t="n"/>
      <c r="P119" s="26" t="n"/>
      <c r="Q119" s="25">
        <f>IF(C119="","",IF(N(N119)+N(O119)+N(P119)=0,"Not split",IF(ROUND(N(N119)+N(O119)+N(P119),2)=ROUND(H119,2),"OK","MISMATCH")))</f>
        <v/>
      </c>
      <c r="R119" s="26" t="n"/>
      <c r="S119" s="26" t="n"/>
      <c r="T119" s="26" t="n"/>
      <c r="U119" s="27">
        <f>IF(C119="","",N(R119)+N(S119)+N(T119))</f>
        <v/>
      </c>
      <c r="V119" s="27">
        <f>IF(C119="","",H119-U119)</f>
        <v/>
      </c>
      <c r="W119" s="29">
        <f>IFERROR(V119/H119,"")</f>
        <v/>
      </c>
      <c r="X119" s="24" t="n"/>
    </row>
    <row r="120" ht="15" customHeight="1">
      <c r="A120" s="63">
        <f>IF(C120="","",IFERROR(IF(SUMPRODUCT(MAX((tbl_Finance[Job Number]=C120&amp;"")*(tbl_Finance[Xero Invoice No]&lt;&gt;"")*tbl_Finance[Date]))=0,"",SUMPRODUCT(MAX((tbl_Finance[Job Number]=C120&amp;"")*(tbl_Finance[Xero Invoice No]&lt;&gt;"")*tbl_Finance[Date]))),""))</f>
        <v/>
      </c>
      <c r="B120" s="25">
        <f>IF(C120="","",IF(COUNTIFS(tbl_Finance[Job Number],C120&amp;"",tbl_Finance[Xero Invoice No],"&lt;&gt;")=0,"",IFERROR(IF(COUNTIFS(tbl_Finance[Job Number],C120&amp;"",tbl_Finance[Xero Invoice No],LOOKUP(2,1/((tbl_Finance[Job Number]=C120&amp;"")*(tbl_Finance[Xero Invoice No]&lt;&gt;"")),tbl_Finance[Xero Invoice No]))=COUNTIFS(tbl_Finance[Job Number],C120&amp;"",tbl_Finance[Xero Invoice No],"&lt;&gt;"),LOOKUP(2,1/((tbl_Finance[Job Number]=C120&amp;"")*(tbl_Finance[Xero Invoice No]&lt;&gt;"")),tbl_Finance[Xero Invoice No]),LOOKUP(2,1/((tbl_Finance[Job Number]=C120&amp;"")*(tbl_Finance[Xero Invoice No]&lt;&gt;"")),tbl_Finance[Xero Invoice No])&amp;" +more"),"")))</f>
        <v/>
      </c>
      <c r="C120" s="24" t="n"/>
      <c r="D120" s="25">
        <f>IF(C120="","",IF(COUNTIF(lst_Jobs,C120&amp;"")&gt;0,"OK","CHECK"))</f>
        <v/>
      </c>
      <c r="E120" s="25">
        <f>IF(C120="","",IFERROR(INDEX(lst_JobName,MATCH(C120&amp;"",lst_Jobs,0)),""))</f>
        <v/>
      </c>
      <c r="F120" s="25">
        <f>IF(C120="","",IFERROR(INDEX(tbl_Finance[Client],MATCH(C120&amp;"",tbl_Finance[Job Number],0)),""))</f>
        <v/>
      </c>
      <c r="G120" s="28">
        <f>IF(C120="","",COUNTIFS(tbl_Finance[Job Number],C120&amp;"",tbl_Finance[Ex GST],"&lt;&gt;"))</f>
        <v/>
      </c>
      <c r="H120" s="27">
        <f>IF(C120="","",SUMIFS(tbl_Finance[Ex GST],tbl_Finance[Job Number],C120&amp;""))</f>
        <v/>
      </c>
      <c r="I120" s="27">
        <f>IF(C120="","",SUMIFS(tbl_Finance[Ex GST],tbl_Finance[Job Number],C120&amp;"",tbl_Finance[Xero Invoice No],"&lt;&gt;"))</f>
        <v/>
      </c>
      <c r="J120" s="27">
        <f>IF(C120="","",H120-I120)</f>
        <v/>
      </c>
      <c r="K120" s="25">
        <f>IF(C120="","",IF(G120=0,"not invoiced yet",SUBSTITUTE(TRIM(IF(COUNTIFS(tbl_Finance[Job Number],C120&amp;"",tbl_Finance[Cost Centre],"ONSITE")&gt;0,"ONSITE ","")&amp;IF(COUNTIFS(tbl_Finance[Job Number],C120&amp;"",tbl_Finance[Cost Centre],"PRODUCTION")&gt;0,"PRODUCTION ","")&amp;IF(COUNTIFS(tbl_Finance[Job Number],C120&amp;"",tbl_Finance[Cost Centre],"VIDEO")&gt;0,"VIDEO ","")&amp;IF(COUNTIFS(tbl_Finance[Job Number],C120&amp;"",tbl_Finance[Cost Centre],"INTEGRATION")&gt;0,"INTEGRATION ","")&amp;IF(COUNTIFS(tbl_Finance[Job Number],C120&amp;"",tbl_Finance[Cost Centre],"CONSULTING")&gt;0,"CONSULTING ","")&amp;IF(COUNTIFS(tbl_Finance[Job Number],C120&amp;"",tbl_Finance[Cost Centre],"CTS")&gt;0,"CTS ",""))," ",", ")))</f>
        <v/>
      </c>
      <c r="L120" s="24" t="n"/>
      <c r="M120" s="25">
        <f>IF(L120="","",HYPERLINK(IF(LEFT(L120,4)="http",L120,set_QwilrBase&amp;L120),"Open quote"))</f>
        <v/>
      </c>
      <c r="N120" s="26" t="n"/>
      <c r="O120" s="26" t="n"/>
      <c r="P120" s="26" t="n"/>
      <c r="Q120" s="25">
        <f>IF(C120="","",IF(N(N120)+N(O120)+N(P120)=0,"Not split",IF(ROUND(N(N120)+N(O120)+N(P120),2)=ROUND(H120,2),"OK","MISMATCH")))</f>
        <v/>
      </c>
      <c r="R120" s="26" t="n"/>
      <c r="S120" s="26" t="n"/>
      <c r="T120" s="26" t="n"/>
      <c r="U120" s="27">
        <f>IF(C120="","",N(R120)+N(S120)+N(T120))</f>
        <v/>
      </c>
      <c r="V120" s="27">
        <f>IF(C120="","",H120-U120)</f>
        <v/>
      </c>
      <c r="W120" s="29">
        <f>IFERROR(V120/H120,"")</f>
        <v/>
      </c>
      <c r="X120" s="24" t="n"/>
    </row>
    <row r="121" ht="15" customHeight="1">
      <c r="A121" s="63">
        <f>IF(C121="","",IFERROR(IF(SUMPRODUCT(MAX((tbl_Finance[Job Number]=C121&amp;"")*(tbl_Finance[Xero Invoice No]&lt;&gt;"")*tbl_Finance[Date]))=0,"",SUMPRODUCT(MAX((tbl_Finance[Job Number]=C121&amp;"")*(tbl_Finance[Xero Invoice No]&lt;&gt;"")*tbl_Finance[Date]))),""))</f>
        <v/>
      </c>
      <c r="B121" s="25">
        <f>IF(C121="","",IF(COUNTIFS(tbl_Finance[Job Number],C121&amp;"",tbl_Finance[Xero Invoice No],"&lt;&gt;")=0,"",IFERROR(IF(COUNTIFS(tbl_Finance[Job Number],C121&amp;"",tbl_Finance[Xero Invoice No],LOOKUP(2,1/((tbl_Finance[Job Number]=C121&amp;"")*(tbl_Finance[Xero Invoice No]&lt;&gt;"")),tbl_Finance[Xero Invoice No]))=COUNTIFS(tbl_Finance[Job Number],C121&amp;"",tbl_Finance[Xero Invoice No],"&lt;&gt;"),LOOKUP(2,1/((tbl_Finance[Job Number]=C121&amp;"")*(tbl_Finance[Xero Invoice No]&lt;&gt;"")),tbl_Finance[Xero Invoice No]),LOOKUP(2,1/((tbl_Finance[Job Number]=C121&amp;"")*(tbl_Finance[Xero Invoice No]&lt;&gt;"")),tbl_Finance[Xero Invoice No])&amp;" +more"),"")))</f>
        <v/>
      </c>
      <c r="C121" s="24" t="n"/>
      <c r="D121" s="25">
        <f>IF(C121="","",IF(COUNTIF(lst_Jobs,C121&amp;"")&gt;0,"OK","CHECK"))</f>
        <v/>
      </c>
      <c r="E121" s="25">
        <f>IF(C121="","",IFERROR(INDEX(lst_JobName,MATCH(C121&amp;"",lst_Jobs,0)),""))</f>
        <v/>
      </c>
      <c r="F121" s="25">
        <f>IF(C121="","",IFERROR(INDEX(tbl_Finance[Client],MATCH(C121&amp;"",tbl_Finance[Job Number],0)),""))</f>
        <v/>
      </c>
      <c r="G121" s="28">
        <f>IF(C121="","",COUNTIFS(tbl_Finance[Job Number],C121&amp;"",tbl_Finance[Ex GST],"&lt;&gt;"))</f>
        <v/>
      </c>
      <c r="H121" s="27">
        <f>IF(C121="","",SUMIFS(tbl_Finance[Ex GST],tbl_Finance[Job Number],C121&amp;""))</f>
        <v/>
      </c>
      <c r="I121" s="27">
        <f>IF(C121="","",SUMIFS(tbl_Finance[Ex GST],tbl_Finance[Job Number],C121&amp;"",tbl_Finance[Xero Invoice No],"&lt;&gt;"))</f>
        <v/>
      </c>
      <c r="J121" s="27">
        <f>IF(C121="","",H121-I121)</f>
        <v/>
      </c>
      <c r="K121" s="25">
        <f>IF(C121="","",IF(G121=0,"not invoiced yet",SUBSTITUTE(TRIM(IF(COUNTIFS(tbl_Finance[Job Number],C121&amp;"",tbl_Finance[Cost Centre],"ONSITE")&gt;0,"ONSITE ","")&amp;IF(COUNTIFS(tbl_Finance[Job Number],C121&amp;"",tbl_Finance[Cost Centre],"PRODUCTION")&gt;0,"PRODUCTION ","")&amp;IF(COUNTIFS(tbl_Finance[Job Number],C121&amp;"",tbl_Finance[Cost Centre],"VIDEO")&gt;0,"VIDEO ","")&amp;IF(COUNTIFS(tbl_Finance[Job Number],C121&amp;"",tbl_Finance[Cost Centre],"INTEGRATION")&gt;0,"INTEGRATION ","")&amp;IF(COUNTIFS(tbl_Finance[Job Number],C121&amp;"",tbl_Finance[Cost Centre],"CONSULTING")&gt;0,"CONSULTING ","")&amp;IF(COUNTIFS(tbl_Finance[Job Number],C121&amp;"",tbl_Finance[Cost Centre],"CTS")&gt;0,"CTS ",""))," ",", ")))</f>
        <v/>
      </c>
      <c r="L121" s="24" t="n"/>
      <c r="M121" s="25">
        <f>IF(L121="","",HYPERLINK(IF(LEFT(L121,4)="http",L121,set_QwilrBase&amp;L121),"Open quote"))</f>
        <v/>
      </c>
      <c r="N121" s="26" t="n"/>
      <c r="O121" s="26" t="n"/>
      <c r="P121" s="26" t="n"/>
      <c r="Q121" s="25">
        <f>IF(C121="","",IF(N(N121)+N(O121)+N(P121)=0,"Not split",IF(ROUND(N(N121)+N(O121)+N(P121),2)=ROUND(H121,2),"OK","MISMATCH")))</f>
        <v/>
      </c>
      <c r="R121" s="26" t="n"/>
      <c r="S121" s="26" t="n"/>
      <c r="T121" s="26" t="n"/>
      <c r="U121" s="27">
        <f>IF(C121="","",N(R121)+N(S121)+N(T121))</f>
        <v/>
      </c>
      <c r="V121" s="27">
        <f>IF(C121="","",H121-U121)</f>
        <v/>
      </c>
      <c r="W121" s="29">
        <f>IFERROR(V121/H121,"")</f>
        <v/>
      </c>
      <c r="X121" s="24" t="n"/>
    </row>
    <row r="122" ht="15" customHeight="1">
      <c r="A122" s="63">
        <f>IF(C122="","",IFERROR(IF(SUMPRODUCT(MAX((tbl_Finance[Job Number]=C122&amp;"")*(tbl_Finance[Xero Invoice No]&lt;&gt;"")*tbl_Finance[Date]))=0,"",SUMPRODUCT(MAX((tbl_Finance[Job Number]=C122&amp;"")*(tbl_Finance[Xero Invoice No]&lt;&gt;"")*tbl_Finance[Date]))),""))</f>
        <v/>
      </c>
      <c r="B122" s="25">
        <f>IF(C122="","",IF(COUNTIFS(tbl_Finance[Job Number],C122&amp;"",tbl_Finance[Xero Invoice No],"&lt;&gt;")=0,"",IFERROR(IF(COUNTIFS(tbl_Finance[Job Number],C122&amp;"",tbl_Finance[Xero Invoice No],LOOKUP(2,1/((tbl_Finance[Job Number]=C122&amp;"")*(tbl_Finance[Xero Invoice No]&lt;&gt;"")),tbl_Finance[Xero Invoice No]))=COUNTIFS(tbl_Finance[Job Number],C122&amp;"",tbl_Finance[Xero Invoice No],"&lt;&gt;"),LOOKUP(2,1/((tbl_Finance[Job Number]=C122&amp;"")*(tbl_Finance[Xero Invoice No]&lt;&gt;"")),tbl_Finance[Xero Invoice No]),LOOKUP(2,1/((tbl_Finance[Job Number]=C122&amp;"")*(tbl_Finance[Xero Invoice No]&lt;&gt;"")),tbl_Finance[Xero Invoice No])&amp;" +more"),"")))</f>
        <v/>
      </c>
      <c r="C122" s="24" t="n"/>
      <c r="D122" s="25">
        <f>IF(C122="","",IF(COUNTIF(lst_Jobs,C122&amp;"")&gt;0,"OK","CHECK"))</f>
        <v/>
      </c>
      <c r="E122" s="25">
        <f>IF(C122="","",IFERROR(INDEX(lst_JobName,MATCH(C122&amp;"",lst_Jobs,0)),""))</f>
        <v/>
      </c>
      <c r="F122" s="25">
        <f>IF(C122="","",IFERROR(INDEX(tbl_Finance[Client],MATCH(C122&amp;"",tbl_Finance[Job Number],0)),""))</f>
        <v/>
      </c>
      <c r="G122" s="28">
        <f>IF(C122="","",COUNTIFS(tbl_Finance[Job Number],C122&amp;"",tbl_Finance[Ex GST],"&lt;&gt;"))</f>
        <v/>
      </c>
      <c r="H122" s="27">
        <f>IF(C122="","",SUMIFS(tbl_Finance[Ex GST],tbl_Finance[Job Number],C122&amp;""))</f>
        <v/>
      </c>
      <c r="I122" s="27">
        <f>IF(C122="","",SUMIFS(tbl_Finance[Ex GST],tbl_Finance[Job Number],C122&amp;"",tbl_Finance[Xero Invoice No],"&lt;&gt;"))</f>
        <v/>
      </c>
      <c r="J122" s="27">
        <f>IF(C122="","",H122-I122)</f>
        <v/>
      </c>
      <c r="K122" s="25">
        <f>IF(C122="","",IF(G122=0,"not invoiced yet",SUBSTITUTE(TRIM(IF(COUNTIFS(tbl_Finance[Job Number],C122&amp;"",tbl_Finance[Cost Centre],"ONSITE")&gt;0,"ONSITE ","")&amp;IF(COUNTIFS(tbl_Finance[Job Number],C122&amp;"",tbl_Finance[Cost Centre],"PRODUCTION")&gt;0,"PRODUCTION ","")&amp;IF(COUNTIFS(tbl_Finance[Job Number],C122&amp;"",tbl_Finance[Cost Centre],"VIDEO")&gt;0,"VIDEO ","")&amp;IF(COUNTIFS(tbl_Finance[Job Number],C122&amp;"",tbl_Finance[Cost Centre],"INTEGRATION")&gt;0,"INTEGRATION ","")&amp;IF(COUNTIFS(tbl_Finance[Job Number],C122&amp;"",tbl_Finance[Cost Centre],"CONSULTING")&gt;0,"CONSULTING ","")&amp;IF(COUNTIFS(tbl_Finance[Job Number],C122&amp;"",tbl_Finance[Cost Centre],"CTS")&gt;0,"CTS ",""))," ",", ")))</f>
        <v/>
      </c>
      <c r="L122" s="24" t="n"/>
      <c r="M122" s="25">
        <f>IF(L122="","",HYPERLINK(IF(LEFT(L122,4)="http",L122,set_QwilrBase&amp;L122),"Open quote"))</f>
        <v/>
      </c>
      <c r="N122" s="26" t="n"/>
      <c r="O122" s="26" t="n"/>
      <c r="P122" s="26" t="n"/>
      <c r="Q122" s="25">
        <f>IF(C122="","",IF(N(N122)+N(O122)+N(P122)=0,"Not split",IF(ROUND(N(N122)+N(O122)+N(P122),2)=ROUND(H122,2),"OK","MISMATCH")))</f>
        <v/>
      </c>
      <c r="R122" s="26" t="n"/>
      <c r="S122" s="26" t="n"/>
      <c r="T122" s="26" t="n"/>
      <c r="U122" s="27">
        <f>IF(C122="","",N(R122)+N(S122)+N(T122))</f>
        <v/>
      </c>
      <c r="V122" s="27">
        <f>IF(C122="","",H122-U122)</f>
        <v/>
      </c>
      <c r="W122" s="29">
        <f>IFERROR(V122/H122,"")</f>
        <v/>
      </c>
      <c r="X122" s="24" t="n"/>
    </row>
    <row r="123" ht="15" customHeight="1">
      <c r="A123" s="63">
        <f>IF(C123="","",IFERROR(IF(SUMPRODUCT(MAX((tbl_Finance[Job Number]=C123&amp;"")*(tbl_Finance[Xero Invoice No]&lt;&gt;"")*tbl_Finance[Date]))=0,"",SUMPRODUCT(MAX((tbl_Finance[Job Number]=C123&amp;"")*(tbl_Finance[Xero Invoice No]&lt;&gt;"")*tbl_Finance[Date]))),""))</f>
        <v/>
      </c>
      <c r="B123" s="25">
        <f>IF(C123="","",IF(COUNTIFS(tbl_Finance[Job Number],C123&amp;"",tbl_Finance[Xero Invoice No],"&lt;&gt;")=0,"",IFERROR(IF(COUNTIFS(tbl_Finance[Job Number],C123&amp;"",tbl_Finance[Xero Invoice No],LOOKUP(2,1/((tbl_Finance[Job Number]=C123&amp;"")*(tbl_Finance[Xero Invoice No]&lt;&gt;"")),tbl_Finance[Xero Invoice No]))=COUNTIFS(tbl_Finance[Job Number],C123&amp;"",tbl_Finance[Xero Invoice No],"&lt;&gt;"),LOOKUP(2,1/((tbl_Finance[Job Number]=C123&amp;"")*(tbl_Finance[Xero Invoice No]&lt;&gt;"")),tbl_Finance[Xero Invoice No]),LOOKUP(2,1/((tbl_Finance[Job Number]=C123&amp;"")*(tbl_Finance[Xero Invoice No]&lt;&gt;"")),tbl_Finance[Xero Invoice No])&amp;" +more"),"")))</f>
        <v/>
      </c>
      <c r="C123" s="24" t="n"/>
      <c r="D123" s="25">
        <f>IF(C123="","",IF(COUNTIF(lst_Jobs,C123&amp;"")&gt;0,"OK","CHECK"))</f>
        <v/>
      </c>
      <c r="E123" s="25">
        <f>IF(C123="","",IFERROR(INDEX(lst_JobName,MATCH(C123&amp;"",lst_Jobs,0)),""))</f>
        <v/>
      </c>
      <c r="F123" s="25">
        <f>IF(C123="","",IFERROR(INDEX(tbl_Finance[Client],MATCH(C123&amp;"",tbl_Finance[Job Number],0)),""))</f>
        <v/>
      </c>
      <c r="G123" s="28">
        <f>IF(C123="","",COUNTIFS(tbl_Finance[Job Number],C123&amp;"",tbl_Finance[Ex GST],"&lt;&gt;"))</f>
        <v/>
      </c>
      <c r="H123" s="27">
        <f>IF(C123="","",SUMIFS(tbl_Finance[Ex GST],tbl_Finance[Job Number],C123&amp;""))</f>
        <v/>
      </c>
      <c r="I123" s="27">
        <f>IF(C123="","",SUMIFS(tbl_Finance[Ex GST],tbl_Finance[Job Number],C123&amp;"",tbl_Finance[Xero Invoice No],"&lt;&gt;"))</f>
        <v/>
      </c>
      <c r="J123" s="27">
        <f>IF(C123="","",H123-I123)</f>
        <v/>
      </c>
      <c r="K123" s="25">
        <f>IF(C123="","",IF(G123=0,"not invoiced yet",SUBSTITUTE(TRIM(IF(COUNTIFS(tbl_Finance[Job Number],C123&amp;"",tbl_Finance[Cost Centre],"ONSITE")&gt;0,"ONSITE ","")&amp;IF(COUNTIFS(tbl_Finance[Job Number],C123&amp;"",tbl_Finance[Cost Centre],"PRODUCTION")&gt;0,"PRODUCTION ","")&amp;IF(COUNTIFS(tbl_Finance[Job Number],C123&amp;"",tbl_Finance[Cost Centre],"VIDEO")&gt;0,"VIDEO ","")&amp;IF(COUNTIFS(tbl_Finance[Job Number],C123&amp;"",tbl_Finance[Cost Centre],"INTEGRATION")&gt;0,"INTEGRATION ","")&amp;IF(COUNTIFS(tbl_Finance[Job Number],C123&amp;"",tbl_Finance[Cost Centre],"CONSULTING")&gt;0,"CONSULTING ","")&amp;IF(COUNTIFS(tbl_Finance[Job Number],C123&amp;"",tbl_Finance[Cost Centre],"CTS")&gt;0,"CTS ",""))," ",", ")))</f>
        <v/>
      </c>
      <c r="L123" s="24" t="n"/>
      <c r="M123" s="25">
        <f>IF(L123="","",HYPERLINK(IF(LEFT(L123,4)="http",L123,set_QwilrBase&amp;L123),"Open quote"))</f>
        <v/>
      </c>
      <c r="N123" s="26" t="n"/>
      <c r="O123" s="26" t="n"/>
      <c r="P123" s="26" t="n"/>
      <c r="Q123" s="25">
        <f>IF(C123="","",IF(N(N123)+N(O123)+N(P123)=0,"Not split",IF(ROUND(N(N123)+N(O123)+N(P123),2)=ROUND(H123,2),"OK","MISMATCH")))</f>
        <v/>
      </c>
      <c r="R123" s="26" t="n"/>
      <c r="S123" s="26" t="n"/>
      <c r="T123" s="26" t="n"/>
      <c r="U123" s="27">
        <f>IF(C123="","",N(R123)+N(S123)+N(T123))</f>
        <v/>
      </c>
      <c r="V123" s="27">
        <f>IF(C123="","",H123-U123)</f>
        <v/>
      </c>
      <c r="W123" s="29">
        <f>IFERROR(V123/H123,"")</f>
        <v/>
      </c>
      <c r="X123" s="24" t="n"/>
    </row>
    <row r="124" ht="15" customHeight="1">
      <c r="A124" s="63">
        <f>IF(C124="","",IFERROR(IF(SUMPRODUCT(MAX((tbl_Finance[Job Number]=C124&amp;"")*(tbl_Finance[Xero Invoice No]&lt;&gt;"")*tbl_Finance[Date]))=0,"",SUMPRODUCT(MAX((tbl_Finance[Job Number]=C124&amp;"")*(tbl_Finance[Xero Invoice No]&lt;&gt;"")*tbl_Finance[Date]))),""))</f>
        <v/>
      </c>
      <c r="B124" s="25">
        <f>IF(C124="","",IF(COUNTIFS(tbl_Finance[Job Number],C124&amp;"",tbl_Finance[Xero Invoice No],"&lt;&gt;")=0,"",IFERROR(IF(COUNTIFS(tbl_Finance[Job Number],C124&amp;"",tbl_Finance[Xero Invoice No],LOOKUP(2,1/((tbl_Finance[Job Number]=C124&amp;"")*(tbl_Finance[Xero Invoice No]&lt;&gt;"")),tbl_Finance[Xero Invoice No]))=COUNTIFS(tbl_Finance[Job Number],C124&amp;"",tbl_Finance[Xero Invoice No],"&lt;&gt;"),LOOKUP(2,1/((tbl_Finance[Job Number]=C124&amp;"")*(tbl_Finance[Xero Invoice No]&lt;&gt;"")),tbl_Finance[Xero Invoice No]),LOOKUP(2,1/((tbl_Finance[Job Number]=C124&amp;"")*(tbl_Finance[Xero Invoice No]&lt;&gt;"")),tbl_Finance[Xero Invoice No])&amp;" +more"),"")))</f>
        <v/>
      </c>
      <c r="C124" s="24" t="n"/>
      <c r="D124" s="25">
        <f>IF(C124="","",IF(COUNTIF(lst_Jobs,C124&amp;"")&gt;0,"OK","CHECK"))</f>
        <v/>
      </c>
      <c r="E124" s="25">
        <f>IF(C124="","",IFERROR(INDEX(lst_JobName,MATCH(C124&amp;"",lst_Jobs,0)),""))</f>
        <v/>
      </c>
      <c r="F124" s="25">
        <f>IF(C124="","",IFERROR(INDEX(tbl_Finance[Client],MATCH(C124&amp;"",tbl_Finance[Job Number],0)),""))</f>
        <v/>
      </c>
      <c r="G124" s="28">
        <f>IF(C124="","",COUNTIFS(tbl_Finance[Job Number],C124&amp;"",tbl_Finance[Ex GST],"&lt;&gt;"))</f>
        <v/>
      </c>
      <c r="H124" s="27">
        <f>IF(C124="","",SUMIFS(tbl_Finance[Ex GST],tbl_Finance[Job Number],C124&amp;""))</f>
        <v/>
      </c>
      <c r="I124" s="27">
        <f>IF(C124="","",SUMIFS(tbl_Finance[Ex GST],tbl_Finance[Job Number],C124&amp;"",tbl_Finance[Xero Invoice No],"&lt;&gt;"))</f>
        <v/>
      </c>
      <c r="J124" s="27">
        <f>IF(C124="","",H124-I124)</f>
        <v/>
      </c>
      <c r="K124" s="25">
        <f>IF(C124="","",IF(G124=0,"not invoiced yet",SUBSTITUTE(TRIM(IF(COUNTIFS(tbl_Finance[Job Number],C124&amp;"",tbl_Finance[Cost Centre],"ONSITE")&gt;0,"ONSITE ","")&amp;IF(COUNTIFS(tbl_Finance[Job Number],C124&amp;"",tbl_Finance[Cost Centre],"PRODUCTION")&gt;0,"PRODUCTION ","")&amp;IF(COUNTIFS(tbl_Finance[Job Number],C124&amp;"",tbl_Finance[Cost Centre],"VIDEO")&gt;0,"VIDEO ","")&amp;IF(COUNTIFS(tbl_Finance[Job Number],C124&amp;"",tbl_Finance[Cost Centre],"INTEGRATION")&gt;0,"INTEGRATION ","")&amp;IF(COUNTIFS(tbl_Finance[Job Number],C124&amp;"",tbl_Finance[Cost Centre],"CONSULTING")&gt;0,"CONSULTING ","")&amp;IF(COUNTIFS(tbl_Finance[Job Number],C124&amp;"",tbl_Finance[Cost Centre],"CTS")&gt;0,"CTS ",""))," ",", ")))</f>
        <v/>
      </c>
      <c r="L124" s="24" t="n"/>
      <c r="M124" s="25">
        <f>IF(L124="","",HYPERLINK(IF(LEFT(L124,4)="http",L124,set_QwilrBase&amp;L124),"Open quote"))</f>
        <v/>
      </c>
      <c r="N124" s="26" t="n"/>
      <c r="O124" s="26" t="n"/>
      <c r="P124" s="26" t="n"/>
      <c r="Q124" s="25">
        <f>IF(C124="","",IF(N(N124)+N(O124)+N(P124)=0,"Not split",IF(ROUND(N(N124)+N(O124)+N(P124),2)=ROUND(H124,2),"OK","MISMATCH")))</f>
        <v/>
      </c>
      <c r="R124" s="26" t="n"/>
      <c r="S124" s="26" t="n"/>
      <c r="T124" s="26" t="n"/>
      <c r="U124" s="27">
        <f>IF(C124="","",N(R124)+N(S124)+N(T124))</f>
        <v/>
      </c>
      <c r="V124" s="27">
        <f>IF(C124="","",H124-U124)</f>
        <v/>
      </c>
      <c r="W124" s="29">
        <f>IFERROR(V124/H124,"")</f>
        <v/>
      </c>
      <c r="X124" s="24" t="n"/>
    </row>
    <row r="125" ht="15" customHeight="1">
      <c r="A125" s="63">
        <f>IF(C125="","",IFERROR(IF(SUMPRODUCT(MAX((tbl_Finance[Job Number]=C125&amp;"")*(tbl_Finance[Xero Invoice No]&lt;&gt;"")*tbl_Finance[Date]))=0,"",SUMPRODUCT(MAX((tbl_Finance[Job Number]=C125&amp;"")*(tbl_Finance[Xero Invoice No]&lt;&gt;"")*tbl_Finance[Date]))),""))</f>
        <v/>
      </c>
      <c r="B125" s="25">
        <f>IF(C125="","",IF(COUNTIFS(tbl_Finance[Job Number],C125&amp;"",tbl_Finance[Xero Invoice No],"&lt;&gt;")=0,"",IFERROR(IF(COUNTIFS(tbl_Finance[Job Number],C125&amp;"",tbl_Finance[Xero Invoice No],LOOKUP(2,1/((tbl_Finance[Job Number]=C125&amp;"")*(tbl_Finance[Xero Invoice No]&lt;&gt;"")),tbl_Finance[Xero Invoice No]))=COUNTIFS(tbl_Finance[Job Number],C125&amp;"",tbl_Finance[Xero Invoice No],"&lt;&gt;"),LOOKUP(2,1/((tbl_Finance[Job Number]=C125&amp;"")*(tbl_Finance[Xero Invoice No]&lt;&gt;"")),tbl_Finance[Xero Invoice No]),LOOKUP(2,1/((tbl_Finance[Job Number]=C125&amp;"")*(tbl_Finance[Xero Invoice No]&lt;&gt;"")),tbl_Finance[Xero Invoice No])&amp;" +more"),"")))</f>
        <v/>
      </c>
      <c r="C125" s="24" t="n"/>
      <c r="D125" s="25">
        <f>IF(C125="","",IF(COUNTIF(lst_Jobs,C125&amp;"")&gt;0,"OK","CHECK"))</f>
        <v/>
      </c>
      <c r="E125" s="25">
        <f>IF(C125="","",IFERROR(INDEX(lst_JobName,MATCH(C125&amp;"",lst_Jobs,0)),""))</f>
        <v/>
      </c>
      <c r="F125" s="25">
        <f>IF(C125="","",IFERROR(INDEX(tbl_Finance[Client],MATCH(C125&amp;"",tbl_Finance[Job Number],0)),""))</f>
        <v/>
      </c>
      <c r="G125" s="28">
        <f>IF(C125="","",COUNTIFS(tbl_Finance[Job Number],C125&amp;"",tbl_Finance[Ex GST],"&lt;&gt;"))</f>
        <v/>
      </c>
      <c r="H125" s="27">
        <f>IF(C125="","",SUMIFS(tbl_Finance[Ex GST],tbl_Finance[Job Number],C125&amp;""))</f>
        <v/>
      </c>
      <c r="I125" s="27">
        <f>IF(C125="","",SUMIFS(tbl_Finance[Ex GST],tbl_Finance[Job Number],C125&amp;"",tbl_Finance[Xero Invoice No],"&lt;&gt;"))</f>
        <v/>
      </c>
      <c r="J125" s="27">
        <f>IF(C125="","",H125-I125)</f>
        <v/>
      </c>
      <c r="K125" s="25">
        <f>IF(C125="","",IF(G125=0,"not invoiced yet",SUBSTITUTE(TRIM(IF(COUNTIFS(tbl_Finance[Job Number],C125&amp;"",tbl_Finance[Cost Centre],"ONSITE")&gt;0,"ONSITE ","")&amp;IF(COUNTIFS(tbl_Finance[Job Number],C125&amp;"",tbl_Finance[Cost Centre],"PRODUCTION")&gt;0,"PRODUCTION ","")&amp;IF(COUNTIFS(tbl_Finance[Job Number],C125&amp;"",tbl_Finance[Cost Centre],"VIDEO")&gt;0,"VIDEO ","")&amp;IF(COUNTIFS(tbl_Finance[Job Number],C125&amp;"",tbl_Finance[Cost Centre],"INTEGRATION")&gt;0,"INTEGRATION ","")&amp;IF(COUNTIFS(tbl_Finance[Job Number],C125&amp;"",tbl_Finance[Cost Centre],"CONSULTING")&gt;0,"CONSULTING ","")&amp;IF(COUNTIFS(tbl_Finance[Job Number],C125&amp;"",tbl_Finance[Cost Centre],"CTS")&gt;0,"CTS ",""))," ",", ")))</f>
        <v/>
      </c>
      <c r="L125" s="24" t="n"/>
      <c r="M125" s="25">
        <f>IF(L125="","",HYPERLINK(IF(LEFT(L125,4)="http",L125,set_QwilrBase&amp;L125),"Open quote"))</f>
        <v/>
      </c>
      <c r="N125" s="26" t="n"/>
      <c r="O125" s="26" t="n"/>
      <c r="P125" s="26" t="n"/>
      <c r="Q125" s="25">
        <f>IF(C125="","",IF(N(N125)+N(O125)+N(P125)=0,"Not split",IF(ROUND(N(N125)+N(O125)+N(P125),2)=ROUND(H125,2),"OK","MISMATCH")))</f>
        <v/>
      </c>
      <c r="R125" s="26" t="n"/>
      <c r="S125" s="26" t="n"/>
      <c r="T125" s="26" t="n"/>
      <c r="U125" s="27">
        <f>IF(C125="","",N(R125)+N(S125)+N(T125))</f>
        <v/>
      </c>
      <c r="V125" s="27">
        <f>IF(C125="","",H125-U125)</f>
        <v/>
      </c>
      <c r="W125" s="29">
        <f>IFERROR(V125/H125,"")</f>
        <v/>
      </c>
      <c r="X125" s="24" t="n"/>
    </row>
    <row r="126" ht="15" customHeight="1">
      <c r="A126" s="63">
        <f>IF(C126="","",IFERROR(IF(SUMPRODUCT(MAX((tbl_Finance[Job Number]=C126&amp;"")*(tbl_Finance[Xero Invoice No]&lt;&gt;"")*tbl_Finance[Date]))=0,"",SUMPRODUCT(MAX((tbl_Finance[Job Number]=C126&amp;"")*(tbl_Finance[Xero Invoice No]&lt;&gt;"")*tbl_Finance[Date]))),""))</f>
        <v/>
      </c>
      <c r="B126" s="25">
        <f>IF(C126="","",IF(COUNTIFS(tbl_Finance[Job Number],C126&amp;"",tbl_Finance[Xero Invoice No],"&lt;&gt;")=0,"",IFERROR(IF(COUNTIFS(tbl_Finance[Job Number],C126&amp;"",tbl_Finance[Xero Invoice No],LOOKUP(2,1/((tbl_Finance[Job Number]=C126&amp;"")*(tbl_Finance[Xero Invoice No]&lt;&gt;"")),tbl_Finance[Xero Invoice No]))=COUNTIFS(tbl_Finance[Job Number],C126&amp;"",tbl_Finance[Xero Invoice No],"&lt;&gt;"),LOOKUP(2,1/((tbl_Finance[Job Number]=C126&amp;"")*(tbl_Finance[Xero Invoice No]&lt;&gt;"")),tbl_Finance[Xero Invoice No]),LOOKUP(2,1/((tbl_Finance[Job Number]=C126&amp;"")*(tbl_Finance[Xero Invoice No]&lt;&gt;"")),tbl_Finance[Xero Invoice No])&amp;" +more"),"")))</f>
        <v/>
      </c>
      <c r="C126" s="24" t="n"/>
      <c r="D126" s="25">
        <f>IF(C126="","",IF(COUNTIF(lst_Jobs,C126&amp;"")&gt;0,"OK","CHECK"))</f>
        <v/>
      </c>
      <c r="E126" s="25">
        <f>IF(C126="","",IFERROR(INDEX(lst_JobName,MATCH(C126&amp;"",lst_Jobs,0)),""))</f>
        <v/>
      </c>
      <c r="F126" s="25">
        <f>IF(C126="","",IFERROR(INDEX(tbl_Finance[Client],MATCH(C126&amp;"",tbl_Finance[Job Number],0)),""))</f>
        <v/>
      </c>
      <c r="G126" s="28">
        <f>IF(C126="","",COUNTIFS(tbl_Finance[Job Number],C126&amp;"",tbl_Finance[Ex GST],"&lt;&gt;"))</f>
        <v/>
      </c>
      <c r="H126" s="27">
        <f>IF(C126="","",SUMIFS(tbl_Finance[Ex GST],tbl_Finance[Job Number],C126&amp;""))</f>
        <v/>
      </c>
      <c r="I126" s="27">
        <f>IF(C126="","",SUMIFS(tbl_Finance[Ex GST],tbl_Finance[Job Number],C126&amp;"",tbl_Finance[Xero Invoice No],"&lt;&gt;"))</f>
        <v/>
      </c>
      <c r="J126" s="27">
        <f>IF(C126="","",H126-I126)</f>
        <v/>
      </c>
      <c r="K126" s="25">
        <f>IF(C126="","",IF(G126=0,"not invoiced yet",SUBSTITUTE(TRIM(IF(COUNTIFS(tbl_Finance[Job Number],C126&amp;"",tbl_Finance[Cost Centre],"ONSITE")&gt;0,"ONSITE ","")&amp;IF(COUNTIFS(tbl_Finance[Job Number],C126&amp;"",tbl_Finance[Cost Centre],"PRODUCTION")&gt;0,"PRODUCTION ","")&amp;IF(COUNTIFS(tbl_Finance[Job Number],C126&amp;"",tbl_Finance[Cost Centre],"VIDEO")&gt;0,"VIDEO ","")&amp;IF(COUNTIFS(tbl_Finance[Job Number],C126&amp;"",tbl_Finance[Cost Centre],"INTEGRATION")&gt;0,"INTEGRATION ","")&amp;IF(COUNTIFS(tbl_Finance[Job Number],C126&amp;"",tbl_Finance[Cost Centre],"CONSULTING")&gt;0,"CONSULTING ","")&amp;IF(COUNTIFS(tbl_Finance[Job Number],C126&amp;"",tbl_Finance[Cost Centre],"CTS")&gt;0,"CTS ",""))," ",", ")))</f>
        <v/>
      </c>
      <c r="L126" s="24" t="n"/>
      <c r="M126" s="25">
        <f>IF(L126="","",HYPERLINK(IF(LEFT(L126,4)="http",L126,set_QwilrBase&amp;L126),"Open quote"))</f>
        <v/>
      </c>
      <c r="N126" s="26" t="n"/>
      <c r="O126" s="26" t="n"/>
      <c r="P126" s="26" t="n"/>
      <c r="Q126" s="25">
        <f>IF(C126="","",IF(N(N126)+N(O126)+N(P126)=0,"Not split",IF(ROUND(N(N126)+N(O126)+N(P126),2)=ROUND(H126,2),"OK","MISMATCH")))</f>
        <v/>
      </c>
      <c r="R126" s="26" t="n"/>
      <c r="S126" s="26" t="n"/>
      <c r="T126" s="26" t="n"/>
      <c r="U126" s="27">
        <f>IF(C126="","",N(R126)+N(S126)+N(T126))</f>
        <v/>
      </c>
      <c r="V126" s="27">
        <f>IF(C126="","",H126-U126)</f>
        <v/>
      </c>
      <c r="W126" s="29">
        <f>IFERROR(V126/H126,"")</f>
        <v/>
      </c>
      <c r="X126" s="24" t="n"/>
    </row>
    <row r="127" ht="15" customHeight="1">
      <c r="A127" s="63">
        <f>IF(C127="","",IFERROR(IF(SUMPRODUCT(MAX((tbl_Finance[Job Number]=C127&amp;"")*(tbl_Finance[Xero Invoice No]&lt;&gt;"")*tbl_Finance[Date]))=0,"",SUMPRODUCT(MAX((tbl_Finance[Job Number]=C127&amp;"")*(tbl_Finance[Xero Invoice No]&lt;&gt;"")*tbl_Finance[Date]))),""))</f>
        <v/>
      </c>
      <c r="B127" s="25">
        <f>IF(C127="","",IF(COUNTIFS(tbl_Finance[Job Number],C127&amp;"",tbl_Finance[Xero Invoice No],"&lt;&gt;")=0,"",IFERROR(IF(COUNTIFS(tbl_Finance[Job Number],C127&amp;"",tbl_Finance[Xero Invoice No],LOOKUP(2,1/((tbl_Finance[Job Number]=C127&amp;"")*(tbl_Finance[Xero Invoice No]&lt;&gt;"")),tbl_Finance[Xero Invoice No]))=COUNTIFS(tbl_Finance[Job Number],C127&amp;"",tbl_Finance[Xero Invoice No],"&lt;&gt;"),LOOKUP(2,1/((tbl_Finance[Job Number]=C127&amp;"")*(tbl_Finance[Xero Invoice No]&lt;&gt;"")),tbl_Finance[Xero Invoice No]),LOOKUP(2,1/((tbl_Finance[Job Number]=C127&amp;"")*(tbl_Finance[Xero Invoice No]&lt;&gt;"")),tbl_Finance[Xero Invoice No])&amp;" +more"),"")))</f>
        <v/>
      </c>
      <c r="C127" s="24" t="n"/>
      <c r="D127" s="25">
        <f>IF(C127="","",IF(COUNTIF(lst_Jobs,C127&amp;"")&gt;0,"OK","CHECK"))</f>
        <v/>
      </c>
      <c r="E127" s="25">
        <f>IF(C127="","",IFERROR(INDEX(lst_JobName,MATCH(C127&amp;"",lst_Jobs,0)),""))</f>
        <v/>
      </c>
      <c r="F127" s="25">
        <f>IF(C127="","",IFERROR(INDEX(tbl_Finance[Client],MATCH(C127&amp;"",tbl_Finance[Job Number],0)),""))</f>
        <v/>
      </c>
      <c r="G127" s="28">
        <f>IF(C127="","",COUNTIFS(tbl_Finance[Job Number],C127&amp;"",tbl_Finance[Ex GST],"&lt;&gt;"))</f>
        <v/>
      </c>
      <c r="H127" s="27">
        <f>IF(C127="","",SUMIFS(tbl_Finance[Ex GST],tbl_Finance[Job Number],C127&amp;""))</f>
        <v/>
      </c>
      <c r="I127" s="27">
        <f>IF(C127="","",SUMIFS(tbl_Finance[Ex GST],tbl_Finance[Job Number],C127&amp;"",tbl_Finance[Xero Invoice No],"&lt;&gt;"))</f>
        <v/>
      </c>
      <c r="J127" s="27">
        <f>IF(C127="","",H127-I127)</f>
        <v/>
      </c>
      <c r="K127" s="25">
        <f>IF(C127="","",IF(G127=0,"not invoiced yet",SUBSTITUTE(TRIM(IF(COUNTIFS(tbl_Finance[Job Number],C127&amp;"",tbl_Finance[Cost Centre],"ONSITE")&gt;0,"ONSITE ","")&amp;IF(COUNTIFS(tbl_Finance[Job Number],C127&amp;"",tbl_Finance[Cost Centre],"PRODUCTION")&gt;0,"PRODUCTION ","")&amp;IF(COUNTIFS(tbl_Finance[Job Number],C127&amp;"",tbl_Finance[Cost Centre],"VIDEO")&gt;0,"VIDEO ","")&amp;IF(COUNTIFS(tbl_Finance[Job Number],C127&amp;"",tbl_Finance[Cost Centre],"INTEGRATION")&gt;0,"INTEGRATION ","")&amp;IF(COUNTIFS(tbl_Finance[Job Number],C127&amp;"",tbl_Finance[Cost Centre],"CONSULTING")&gt;0,"CONSULTING ","")&amp;IF(COUNTIFS(tbl_Finance[Job Number],C127&amp;"",tbl_Finance[Cost Centre],"CTS")&gt;0,"CTS ",""))," ",", ")))</f>
        <v/>
      </c>
      <c r="L127" s="24" t="n"/>
      <c r="M127" s="25">
        <f>IF(L127="","",HYPERLINK(IF(LEFT(L127,4)="http",L127,set_QwilrBase&amp;L127),"Open quote"))</f>
        <v/>
      </c>
      <c r="N127" s="26" t="n"/>
      <c r="O127" s="26" t="n"/>
      <c r="P127" s="26" t="n"/>
      <c r="Q127" s="25">
        <f>IF(C127="","",IF(N(N127)+N(O127)+N(P127)=0,"Not split",IF(ROUND(N(N127)+N(O127)+N(P127),2)=ROUND(H127,2),"OK","MISMATCH")))</f>
        <v/>
      </c>
      <c r="R127" s="26" t="n"/>
      <c r="S127" s="26" t="n"/>
      <c r="T127" s="26" t="n"/>
      <c r="U127" s="27">
        <f>IF(C127="","",N(R127)+N(S127)+N(T127))</f>
        <v/>
      </c>
      <c r="V127" s="27">
        <f>IF(C127="","",H127-U127)</f>
        <v/>
      </c>
      <c r="W127" s="29">
        <f>IFERROR(V127/H127,"")</f>
        <v/>
      </c>
      <c r="X127" s="24" t="n"/>
    </row>
    <row r="128" ht="15" customHeight="1">
      <c r="A128" s="63">
        <f>IF(C128="","",IFERROR(IF(SUMPRODUCT(MAX((tbl_Finance[Job Number]=C128&amp;"")*(tbl_Finance[Xero Invoice No]&lt;&gt;"")*tbl_Finance[Date]))=0,"",SUMPRODUCT(MAX((tbl_Finance[Job Number]=C128&amp;"")*(tbl_Finance[Xero Invoice No]&lt;&gt;"")*tbl_Finance[Date]))),""))</f>
        <v/>
      </c>
      <c r="B128" s="25">
        <f>IF(C128="","",IF(COUNTIFS(tbl_Finance[Job Number],C128&amp;"",tbl_Finance[Xero Invoice No],"&lt;&gt;")=0,"",IFERROR(IF(COUNTIFS(tbl_Finance[Job Number],C128&amp;"",tbl_Finance[Xero Invoice No],LOOKUP(2,1/((tbl_Finance[Job Number]=C128&amp;"")*(tbl_Finance[Xero Invoice No]&lt;&gt;"")),tbl_Finance[Xero Invoice No]))=COUNTIFS(tbl_Finance[Job Number],C128&amp;"",tbl_Finance[Xero Invoice No],"&lt;&gt;"),LOOKUP(2,1/((tbl_Finance[Job Number]=C128&amp;"")*(tbl_Finance[Xero Invoice No]&lt;&gt;"")),tbl_Finance[Xero Invoice No]),LOOKUP(2,1/((tbl_Finance[Job Number]=C128&amp;"")*(tbl_Finance[Xero Invoice No]&lt;&gt;"")),tbl_Finance[Xero Invoice No])&amp;" +more"),"")))</f>
        <v/>
      </c>
      <c r="C128" s="24" t="n"/>
      <c r="D128" s="25">
        <f>IF(C128="","",IF(COUNTIF(lst_Jobs,C128&amp;"")&gt;0,"OK","CHECK"))</f>
        <v/>
      </c>
      <c r="E128" s="25">
        <f>IF(C128="","",IFERROR(INDEX(lst_JobName,MATCH(C128&amp;"",lst_Jobs,0)),""))</f>
        <v/>
      </c>
      <c r="F128" s="25">
        <f>IF(C128="","",IFERROR(INDEX(tbl_Finance[Client],MATCH(C128&amp;"",tbl_Finance[Job Number],0)),""))</f>
        <v/>
      </c>
      <c r="G128" s="28">
        <f>IF(C128="","",COUNTIFS(tbl_Finance[Job Number],C128&amp;"",tbl_Finance[Ex GST],"&lt;&gt;"))</f>
        <v/>
      </c>
      <c r="H128" s="27">
        <f>IF(C128="","",SUMIFS(tbl_Finance[Ex GST],tbl_Finance[Job Number],C128&amp;""))</f>
        <v/>
      </c>
      <c r="I128" s="27">
        <f>IF(C128="","",SUMIFS(tbl_Finance[Ex GST],tbl_Finance[Job Number],C128&amp;"",tbl_Finance[Xero Invoice No],"&lt;&gt;"))</f>
        <v/>
      </c>
      <c r="J128" s="27">
        <f>IF(C128="","",H128-I128)</f>
        <v/>
      </c>
      <c r="K128" s="25">
        <f>IF(C128="","",IF(G128=0,"not invoiced yet",SUBSTITUTE(TRIM(IF(COUNTIFS(tbl_Finance[Job Number],C128&amp;"",tbl_Finance[Cost Centre],"ONSITE")&gt;0,"ONSITE ","")&amp;IF(COUNTIFS(tbl_Finance[Job Number],C128&amp;"",tbl_Finance[Cost Centre],"PRODUCTION")&gt;0,"PRODUCTION ","")&amp;IF(COUNTIFS(tbl_Finance[Job Number],C128&amp;"",tbl_Finance[Cost Centre],"VIDEO")&gt;0,"VIDEO ","")&amp;IF(COUNTIFS(tbl_Finance[Job Number],C128&amp;"",tbl_Finance[Cost Centre],"INTEGRATION")&gt;0,"INTEGRATION ","")&amp;IF(COUNTIFS(tbl_Finance[Job Number],C128&amp;"",tbl_Finance[Cost Centre],"CONSULTING")&gt;0,"CONSULTING ","")&amp;IF(COUNTIFS(tbl_Finance[Job Number],C128&amp;"",tbl_Finance[Cost Centre],"CTS")&gt;0,"CTS ",""))," ",", ")))</f>
        <v/>
      </c>
      <c r="L128" s="24" t="n"/>
      <c r="M128" s="25">
        <f>IF(L128="","",HYPERLINK(IF(LEFT(L128,4)="http",L128,set_QwilrBase&amp;L128),"Open quote"))</f>
        <v/>
      </c>
      <c r="N128" s="26" t="n"/>
      <c r="O128" s="26" t="n"/>
      <c r="P128" s="26" t="n"/>
      <c r="Q128" s="25">
        <f>IF(C128="","",IF(N(N128)+N(O128)+N(P128)=0,"Not split",IF(ROUND(N(N128)+N(O128)+N(P128),2)=ROUND(H128,2),"OK","MISMATCH")))</f>
        <v/>
      </c>
      <c r="R128" s="26" t="n"/>
      <c r="S128" s="26" t="n"/>
      <c r="T128" s="26" t="n"/>
      <c r="U128" s="27">
        <f>IF(C128="","",N(R128)+N(S128)+N(T128))</f>
        <v/>
      </c>
      <c r="V128" s="27">
        <f>IF(C128="","",H128-U128)</f>
        <v/>
      </c>
      <c r="W128" s="29">
        <f>IFERROR(V128/H128,"")</f>
        <v/>
      </c>
      <c r="X128" s="24" t="n"/>
    </row>
    <row r="129" ht="15" customHeight="1">
      <c r="A129" s="63">
        <f>IF(C129="","",IFERROR(IF(SUMPRODUCT(MAX((tbl_Finance[Job Number]=C129&amp;"")*(tbl_Finance[Xero Invoice No]&lt;&gt;"")*tbl_Finance[Date]))=0,"",SUMPRODUCT(MAX((tbl_Finance[Job Number]=C129&amp;"")*(tbl_Finance[Xero Invoice No]&lt;&gt;"")*tbl_Finance[Date]))),""))</f>
        <v/>
      </c>
      <c r="B129" s="25">
        <f>IF(C129="","",IF(COUNTIFS(tbl_Finance[Job Number],C129&amp;"",tbl_Finance[Xero Invoice No],"&lt;&gt;")=0,"",IFERROR(IF(COUNTIFS(tbl_Finance[Job Number],C129&amp;"",tbl_Finance[Xero Invoice No],LOOKUP(2,1/((tbl_Finance[Job Number]=C129&amp;"")*(tbl_Finance[Xero Invoice No]&lt;&gt;"")),tbl_Finance[Xero Invoice No]))=COUNTIFS(tbl_Finance[Job Number],C129&amp;"",tbl_Finance[Xero Invoice No],"&lt;&gt;"),LOOKUP(2,1/((tbl_Finance[Job Number]=C129&amp;"")*(tbl_Finance[Xero Invoice No]&lt;&gt;"")),tbl_Finance[Xero Invoice No]),LOOKUP(2,1/((tbl_Finance[Job Number]=C129&amp;"")*(tbl_Finance[Xero Invoice No]&lt;&gt;"")),tbl_Finance[Xero Invoice No])&amp;" +more"),"")))</f>
        <v/>
      </c>
      <c r="C129" s="24" t="n"/>
      <c r="D129" s="25">
        <f>IF(C129="","",IF(COUNTIF(lst_Jobs,C129&amp;"")&gt;0,"OK","CHECK"))</f>
        <v/>
      </c>
      <c r="E129" s="25">
        <f>IF(C129="","",IFERROR(INDEX(lst_JobName,MATCH(C129&amp;"",lst_Jobs,0)),""))</f>
        <v/>
      </c>
      <c r="F129" s="25">
        <f>IF(C129="","",IFERROR(INDEX(tbl_Finance[Client],MATCH(C129&amp;"",tbl_Finance[Job Number],0)),""))</f>
        <v/>
      </c>
      <c r="G129" s="28">
        <f>IF(C129="","",COUNTIFS(tbl_Finance[Job Number],C129&amp;"",tbl_Finance[Ex GST],"&lt;&gt;"))</f>
        <v/>
      </c>
      <c r="H129" s="27">
        <f>IF(C129="","",SUMIFS(tbl_Finance[Ex GST],tbl_Finance[Job Number],C129&amp;""))</f>
        <v/>
      </c>
      <c r="I129" s="27">
        <f>IF(C129="","",SUMIFS(tbl_Finance[Ex GST],tbl_Finance[Job Number],C129&amp;"",tbl_Finance[Xero Invoice No],"&lt;&gt;"))</f>
        <v/>
      </c>
      <c r="J129" s="27">
        <f>IF(C129="","",H129-I129)</f>
        <v/>
      </c>
      <c r="K129" s="25">
        <f>IF(C129="","",IF(G129=0,"not invoiced yet",SUBSTITUTE(TRIM(IF(COUNTIFS(tbl_Finance[Job Number],C129&amp;"",tbl_Finance[Cost Centre],"ONSITE")&gt;0,"ONSITE ","")&amp;IF(COUNTIFS(tbl_Finance[Job Number],C129&amp;"",tbl_Finance[Cost Centre],"PRODUCTION")&gt;0,"PRODUCTION ","")&amp;IF(COUNTIFS(tbl_Finance[Job Number],C129&amp;"",tbl_Finance[Cost Centre],"VIDEO")&gt;0,"VIDEO ","")&amp;IF(COUNTIFS(tbl_Finance[Job Number],C129&amp;"",tbl_Finance[Cost Centre],"INTEGRATION")&gt;0,"INTEGRATION ","")&amp;IF(COUNTIFS(tbl_Finance[Job Number],C129&amp;"",tbl_Finance[Cost Centre],"CONSULTING")&gt;0,"CONSULTING ","")&amp;IF(COUNTIFS(tbl_Finance[Job Number],C129&amp;"",tbl_Finance[Cost Centre],"CTS")&gt;0,"CTS ",""))," ",", ")))</f>
        <v/>
      </c>
      <c r="L129" s="24" t="n"/>
      <c r="M129" s="25">
        <f>IF(L129="","",HYPERLINK(IF(LEFT(L129,4)="http",L129,set_QwilrBase&amp;L129),"Open quote"))</f>
        <v/>
      </c>
      <c r="N129" s="26" t="n"/>
      <c r="O129" s="26" t="n"/>
      <c r="P129" s="26" t="n"/>
      <c r="Q129" s="25">
        <f>IF(C129="","",IF(N(N129)+N(O129)+N(P129)=0,"Not split",IF(ROUND(N(N129)+N(O129)+N(P129),2)=ROUND(H129,2),"OK","MISMATCH")))</f>
        <v/>
      </c>
      <c r="R129" s="26" t="n"/>
      <c r="S129" s="26" t="n"/>
      <c r="T129" s="26" t="n"/>
      <c r="U129" s="27">
        <f>IF(C129="","",N(R129)+N(S129)+N(T129))</f>
        <v/>
      </c>
      <c r="V129" s="27">
        <f>IF(C129="","",H129-U129)</f>
        <v/>
      </c>
      <c r="W129" s="29">
        <f>IFERROR(V129/H129,"")</f>
        <v/>
      </c>
      <c r="X129" s="24" t="n"/>
    </row>
    <row r="130" ht="15" customHeight="1">
      <c r="A130" s="63">
        <f>IF(C130="","",IFERROR(IF(SUMPRODUCT(MAX((tbl_Finance[Job Number]=C130&amp;"")*(tbl_Finance[Xero Invoice No]&lt;&gt;"")*tbl_Finance[Date]))=0,"",SUMPRODUCT(MAX((tbl_Finance[Job Number]=C130&amp;"")*(tbl_Finance[Xero Invoice No]&lt;&gt;"")*tbl_Finance[Date]))),""))</f>
        <v/>
      </c>
      <c r="B130" s="25">
        <f>IF(C130="","",IF(COUNTIFS(tbl_Finance[Job Number],C130&amp;"",tbl_Finance[Xero Invoice No],"&lt;&gt;")=0,"",IFERROR(IF(COUNTIFS(tbl_Finance[Job Number],C130&amp;"",tbl_Finance[Xero Invoice No],LOOKUP(2,1/((tbl_Finance[Job Number]=C130&amp;"")*(tbl_Finance[Xero Invoice No]&lt;&gt;"")),tbl_Finance[Xero Invoice No]))=COUNTIFS(tbl_Finance[Job Number],C130&amp;"",tbl_Finance[Xero Invoice No],"&lt;&gt;"),LOOKUP(2,1/((tbl_Finance[Job Number]=C130&amp;"")*(tbl_Finance[Xero Invoice No]&lt;&gt;"")),tbl_Finance[Xero Invoice No]),LOOKUP(2,1/((tbl_Finance[Job Number]=C130&amp;"")*(tbl_Finance[Xero Invoice No]&lt;&gt;"")),tbl_Finance[Xero Invoice No])&amp;" +more"),"")))</f>
        <v/>
      </c>
      <c r="C130" s="24" t="n"/>
      <c r="D130" s="25">
        <f>IF(C130="","",IF(COUNTIF(lst_Jobs,C130&amp;"")&gt;0,"OK","CHECK"))</f>
        <v/>
      </c>
      <c r="E130" s="25">
        <f>IF(C130="","",IFERROR(INDEX(lst_JobName,MATCH(C130&amp;"",lst_Jobs,0)),""))</f>
        <v/>
      </c>
      <c r="F130" s="25">
        <f>IF(C130="","",IFERROR(INDEX(tbl_Finance[Client],MATCH(C130&amp;"",tbl_Finance[Job Number],0)),""))</f>
        <v/>
      </c>
      <c r="G130" s="28">
        <f>IF(C130="","",COUNTIFS(tbl_Finance[Job Number],C130&amp;"",tbl_Finance[Ex GST],"&lt;&gt;"))</f>
        <v/>
      </c>
      <c r="H130" s="27">
        <f>IF(C130="","",SUMIFS(tbl_Finance[Ex GST],tbl_Finance[Job Number],C130&amp;""))</f>
        <v/>
      </c>
      <c r="I130" s="27">
        <f>IF(C130="","",SUMIFS(tbl_Finance[Ex GST],tbl_Finance[Job Number],C130&amp;"",tbl_Finance[Xero Invoice No],"&lt;&gt;"))</f>
        <v/>
      </c>
      <c r="J130" s="27">
        <f>IF(C130="","",H130-I130)</f>
        <v/>
      </c>
      <c r="K130" s="25">
        <f>IF(C130="","",IF(G130=0,"not invoiced yet",SUBSTITUTE(TRIM(IF(COUNTIFS(tbl_Finance[Job Number],C130&amp;"",tbl_Finance[Cost Centre],"ONSITE")&gt;0,"ONSITE ","")&amp;IF(COUNTIFS(tbl_Finance[Job Number],C130&amp;"",tbl_Finance[Cost Centre],"PRODUCTION")&gt;0,"PRODUCTION ","")&amp;IF(COUNTIFS(tbl_Finance[Job Number],C130&amp;"",tbl_Finance[Cost Centre],"VIDEO")&gt;0,"VIDEO ","")&amp;IF(COUNTIFS(tbl_Finance[Job Number],C130&amp;"",tbl_Finance[Cost Centre],"INTEGRATION")&gt;0,"INTEGRATION ","")&amp;IF(COUNTIFS(tbl_Finance[Job Number],C130&amp;"",tbl_Finance[Cost Centre],"CONSULTING")&gt;0,"CONSULTING ","")&amp;IF(COUNTIFS(tbl_Finance[Job Number],C130&amp;"",tbl_Finance[Cost Centre],"CTS")&gt;0,"CTS ",""))," ",", ")))</f>
        <v/>
      </c>
      <c r="L130" s="24" t="n"/>
      <c r="M130" s="25">
        <f>IF(L130="","",HYPERLINK(IF(LEFT(L130,4)="http",L130,set_QwilrBase&amp;L130),"Open quote"))</f>
        <v/>
      </c>
      <c r="N130" s="26" t="n"/>
      <c r="O130" s="26" t="n"/>
      <c r="P130" s="26" t="n"/>
      <c r="Q130" s="25">
        <f>IF(C130="","",IF(N(N130)+N(O130)+N(P130)=0,"Not split",IF(ROUND(N(N130)+N(O130)+N(P130),2)=ROUND(H130,2),"OK","MISMATCH")))</f>
        <v/>
      </c>
      <c r="R130" s="26" t="n"/>
      <c r="S130" s="26" t="n"/>
      <c r="T130" s="26" t="n"/>
      <c r="U130" s="27">
        <f>IF(C130="","",N(R130)+N(S130)+N(T130))</f>
        <v/>
      </c>
      <c r="V130" s="27">
        <f>IF(C130="","",H130-U130)</f>
        <v/>
      </c>
      <c r="W130" s="29">
        <f>IFERROR(V130/H130,"")</f>
        <v/>
      </c>
      <c r="X130" s="24" t="n"/>
    </row>
    <row r="131" ht="15" customHeight="1">
      <c r="A131" s="63">
        <f>IF(C131="","",IFERROR(IF(SUMPRODUCT(MAX((tbl_Finance[Job Number]=C131&amp;"")*(tbl_Finance[Xero Invoice No]&lt;&gt;"")*tbl_Finance[Date]))=0,"",SUMPRODUCT(MAX((tbl_Finance[Job Number]=C131&amp;"")*(tbl_Finance[Xero Invoice No]&lt;&gt;"")*tbl_Finance[Date]))),""))</f>
        <v/>
      </c>
      <c r="B131" s="25">
        <f>IF(C131="","",IF(COUNTIFS(tbl_Finance[Job Number],C131&amp;"",tbl_Finance[Xero Invoice No],"&lt;&gt;")=0,"",IFERROR(IF(COUNTIFS(tbl_Finance[Job Number],C131&amp;"",tbl_Finance[Xero Invoice No],LOOKUP(2,1/((tbl_Finance[Job Number]=C131&amp;"")*(tbl_Finance[Xero Invoice No]&lt;&gt;"")),tbl_Finance[Xero Invoice No]))=COUNTIFS(tbl_Finance[Job Number],C131&amp;"",tbl_Finance[Xero Invoice No],"&lt;&gt;"),LOOKUP(2,1/((tbl_Finance[Job Number]=C131&amp;"")*(tbl_Finance[Xero Invoice No]&lt;&gt;"")),tbl_Finance[Xero Invoice No]),LOOKUP(2,1/((tbl_Finance[Job Number]=C131&amp;"")*(tbl_Finance[Xero Invoice No]&lt;&gt;"")),tbl_Finance[Xero Invoice No])&amp;" +more"),"")))</f>
        <v/>
      </c>
      <c r="C131" s="24" t="n"/>
      <c r="D131" s="25">
        <f>IF(C131="","",IF(COUNTIF(lst_Jobs,C131&amp;"")&gt;0,"OK","CHECK"))</f>
        <v/>
      </c>
      <c r="E131" s="25">
        <f>IF(C131="","",IFERROR(INDEX(lst_JobName,MATCH(C131&amp;"",lst_Jobs,0)),""))</f>
        <v/>
      </c>
      <c r="F131" s="25">
        <f>IF(C131="","",IFERROR(INDEX(tbl_Finance[Client],MATCH(C131&amp;"",tbl_Finance[Job Number],0)),""))</f>
        <v/>
      </c>
      <c r="G131" s="28">
        <f>IF(C131="","",COUNTIFS(tbl_Finance[Job Number],C131&amp;"",tbl_Finance[Ex GST],"&lt;&gt;"))</f>
        <v/>
      </c>
      <c r="H131" s="27">
        <f>IF(C131="","",SUMIFS(tbl_Finance[Ex GST],tbl_Finance[Job Number],C131&amp;""))</f>
        <v/>
      </c>
      <c r="I131" s="27">
        <f>IF(C131="","",SUMIFS(tbl_Finance[Ex GST],tbl_Finance[Job Number],C131&amp;"",tbl_Finance[Xero Invoice No],"&lt;&gt;"))</f>
        <v/>
      </c>
      <c r="J131" s="27">
        <f>IF(C131="","",H131-I131)</f>
        <v/>
      </c>
      <c r="K131" s="25">
        <f>IF(C131="","",IF(G131=0,"not invoiced yet",SUBSTITUTE(TRIM(IF(COUNTIFS(tbl_Finance[Job Number],C131&amp;"",tbl_Finance[Cost Centre],"ONSITE")&gt;0,"ONSITE ","")&amp;IF(COUNTIFS(tbl_Finance[Job Number],C131&amp;"",tbl_Finance[Cost Centre],"PRODUCTION")&gt;0,"PRODUCTION ","")&amp;IF(COUNTIFS(tbl_Finance[Job Number],C131&amp;"",tbl_Finance[Cost Centre],"VIDEO")&gt;0,"VIDEO ","")&amp;IF(COUNTIFS(tbl_Finance[Job Number],C131&amp;"",tbl_Finance[Cost Centre],"INTEGRATION")&gt;0,"INTEGRATION ","")&amp;IF(COUNTIFS(tbl_Finance[Job Number],C131&amp;"",tbl_Finance[Cost Centre],"CONSULTING")&gt;0,"CONSULTING ","")&amp;IF(COUNTIFS(tbl_Finance[Job Number],C131&amp;"",tbl_Finance[Cost Centre],"CTS")&gt;0,"CTS ",""))," ",", ")))</f>
        <v/>
      </c>
      <c r="L131" s="24" t="n"/>
      <c r="M131" s="25">
        <f>IF(L131="","",HYPERLINK(IF(LEFT(L131,4)="http",L131,set_QwilrBase&amp;L131),"Open quote"))</f>
        <v/>
      </c>
      <c r="N131" s="26" t="n"/>
      <c r="O131" s="26" t="n"/>
      <c r="P131" s="26" t="n"/>
      <c r="Q131" s="25">
        <f>IF(C131="","",IF(N(N131)+N(O131)+N(P131)=0,"Not split",IF(ROUND(N(N131)+N(O131)+N(P131),2)=ROUND(H131,2),"OK","MISMATCH")))</f>
        <v/>
      </c>
      <c r="R131" s="26" t="n"/>
      <c r="S131" s="26" t="n"/>
      <c r="T131" s="26" t="n"/>
      <c r="U131" s="27">
        <f>IF(C131="","",N(R131)+N(S131)+N(T131))</f>
        <v/>
      </c>
      <c r="V131" s="27">
        <f>IF(C131="","",H131-U131)</f>
        <v/>
      </c>
      <c r="W131" s="29">
        <f>IFERROR(V131/H131,"")</f>
        <v/>
      </c>
      <c r="X131" s="24" t="n"/>
    </row>
    <row r="132" ht="15" customHeight="1">
      <c r="A132" s="63">
        <f>IF(C132="","",IFERROR(IF(SUMPRODUCT(MAX((tbl_Finance[Job Number]=C132&amp;"")*(tbl_Finance[Xero Invoice No]&lt;&gt;"")*tbl_Finance[Date]))=0,"",SUMPRODUCT(MAX((tbl_Finance[Job Number]=C132&amp;"")*(tbl_Finance[Xero Invoice No]&lt;&gt;"")*tbl_Finance[Date]))),""))</f>
        <v/>
      </c>
      <c r="B132" s="25">
        <f>IF(C132="","",IF(COUNTIFS(tbl_Finance[Job Number],C132&amp;"",tbl_Finance[Xero Invoice No],"&lt;&gt;")=0,"",IFERROR(IF(COUNTIFS(tbl_Finance[Job Number],C132&amp;"",tbl_Finance[Xero Invoice No],LOOKUP(2,1/((tbl_Finance[Job Number]=C132&amp;"")*(tbl_Finance[Xero Invoice No]&lt;&gt;"")),tbl_Finance[Xero Invoice No]))=COUNTIFS(tbl_Finance[Job Number],C132&amp;"",tbl_Finance[Xero Invoice No],"&lt;&gt;"),LOOKUP(2,1/((tbl_Finance[Job Number]=C132&amp;"")*(tbl_Finance[Xero Invoice No]&lt;&gt;"")),tbl_Finance[Xero Invoice No]),LOOKUP(2,1/((tbl_Finance[Job Number]=C132&amp;"")*(tbl_Finance[Xero Invoice No]&lt;&gt;"")),tbl_Finance[Xero Invoice No])&amp;" +more"),"")))</f>
        <v/>
      </c>
      <c r="C132" s="24" t="n"/>
      <c r="D132" s="25">
        <f>IF(C132="","",IF(COUNTIF(lst_Jobs,C132&amp;"")&gt;0,"OK","CHECK"))</f>
        <v/>
      </c>
      <c r="E132" s="25">
        <f>IF(C132="","",IFERROR(INDEX(lst_JobName,MATCH(C132&amp;"",lst_Jobs,0)),""))</f>
        <v/>
      </c>
      <c r="F132" s="25">
        <f>IF(C132="","",IFERROR(INDEX(tbl_Finance[Client],MATCH(C132&amp;"",tbl_Finance[Job Number],0)),""))</f>
        <v/>
      </c>
      <c r="G132" s="28">
        <f>IF(C132="","",COUNTIFS(tbl_Finance[Job Number],C132&amp;"",tbl_Finance[Ex GST],"&lt;&gt;"))</f>
        <v/>
      </c>
      <c r="H132" s="27">
        <f>IF(C132="","",SUMIFS(tbl_Finance[Ex GST],tbl_Finance[Job Number],C132&amp;""))</f>
        <v/>
      </c>
      <c r="I132" s="27">
        <f>IF(C132="","",SUMIFS(tbl_Finance[Ex GST],tbl_Finance[Job Number],C132&amp;"",tbl_Finance[Xero Invoice No],"&lt;&gt;"))</f>
        <v/>
      </c>
      <c r="J132" s="27">
        <f>IF(C132="","",H132-I132)</f>
        <v/>
      </c>
      <c r="K132" s="25">
        <f>IF(C132="","",IF(G132=0,"not invoiced yet",SUBSTITUTE(TRIM(IF(COUNTIFS(tbl_Finance[Job Number],C132&amp;"",tbl_Finance[Cost Centre],"ONSITE")&gt;0,"ONSITE ","")&amp;IF(COUNTIFS(tbl_Finance[Job Number],C132&amp;"",tbl_Finance[Cost Centre],"PRODUCTION")&gt;0,"PRODUCTION ","")&amp;IF(COUNTIFS(tbl_Finance[Job Number],C132&amp;"",tbl_Finance[Cost Centre],"VIDEO")&gt;0,"VIDEO ","")&amp;IF(COUNTIFS(tbl_Finance[Job Number],C132&amp;"",tbl_Finance[Cost Centre],"INTEGRATION")&gt;0,"INTEGRATION ","")&amp;IF(COUNTIFS(tbl_Finance[Job Number],C132&amp;"",tbl_Finance[Cost Centre],"CONSULTING")&gt;0,"CONSULTING ","")&amp;IF(COUNTIFS(tbl_Finance[Job Number],C132&amp;"",tbl_Finance[Cost Centre],"CTS")&gt;0,"CTS ",""))," ",", ")))</f>
        <v/>
      </c>
      <c r="L132" s="24" t="n"/>
      <c r="M132" s="25">
        <f>IF(L132="","",HYPERLINK(IF(LEFT(L132,4)="http",L132,set_QwilrBase&amp;L132),"Open quote"))</f>
        <v/>
      </c>
      <c r="N132" s="26" t="n"/>
      <c r="O132" s="26" t="n"/>
      <c r="P132" s="26" t="n"/>
      <c r="Q132" s="25">
        <f>IF(C132="","",IF(N(N132)+N(O132)+N(P132)=0,"Not split",IF(ROUND(N(N132)+N(O132)+N(P132),2)=ROUND(H132,2),"OK","MISMATCH")))</f>
        <v/>
      </c>
      <c r="R132" s="26" t="n"/>
      <c r="S132" s="26" t="n"/>
      <c r="T132" s="26" t="n"/>
      <c r="U132" s="27">
        <f>IF(C132="","",N(R132)+N(S132)+N(T132))</f>
        <v/>
      </c>
      <c r="V132" s="27">
        <f>IF(C132="","",H132-U132)</f>
        <v/>
      </c>
      <c r="W132" s="29">
        <f>IFERROR(V132/H132,"")</f>
        <v/>
      </c>
      <c r="X132" s="24" t="n"/>
    </row>
    <row r="133" ht="15" customHeight="1">
      <c r="A133" s="63">
        <f>IF(C133="","",IFERROR(IF(SUMPRODUCT(MAX((tbl_Finance[Job Number]=C133&amp;"")*(tbl_Finance[Xero Invoice No]&lt;&gt;"")*tbl_Finance[Date]))=0,"",SUMPRODUCT(MAX((tbl_Finance[Job Number]=C133&amp;"")*(tbl_Finance[Xero Invoice No]&lt;&gt;"")*tbl_Finance[Date]))),""))</f>
        <v/>
      </c>
      <c r="B133" s="25">
        <f>IF(C133="","",IF(COUNTIFS(tbl_Finance[Job Number],C133&amp;"",tbl_Finance[Xero Invoice No],"&lt;&gt;")=0,"",IFERROR(IF(COUNTIFS(tbl_Finance[Job Number],C133&amp;"",tbl_Finance[Xero Invoice No],LOOKUP(2,1/((tbl_Finance[Job Number]=C133&amp;"")*(tbl_Finance[Xero Invoice No]&lt;&gt;"")),tbl_Finance[Xero Invoice No]))=COUNTIFS(tbl_Finance[Job Number],C133&amp;"",tbl_Finance[Xero Invoice No],"&lt;&gt;"),LOOKUP(2,1/((tbl_Finance[Job Number]=C133&amp;"")*(tbl_Finance[Xero Invoice No]&lt;&gt;"")),tbl_Finance[Xero Invoice No]),LOOKUP(2,1/((tbl_Finance[Job Number]=C133&amp;"")*(tbl_Finance[Xero Invoice No]&lt;&gt;"")),tbl_Finance[Xero Invoice No])&amp;" +more"),"")))</f>
        <v/>
      </c>
      <c r="C133" s="24" t="n"/>
      <c r="D133" s="25">
        <f>IF(C133="","",IF(COUNTIF(lst_Jobs,C133&amp;"")&gt;0,"OK","CHECK"))</f>
        <v/>
      </c>
      <c r="E133" s="25">
        <f>IF(C133="","",IFERROR(INDEX(lst_JobName,MATCH(C133&amp;"",lst_Jobs,0)),""))</f>
        <v/>
      </c>
      <c r="F133" s="25">
        <f>IF(C133="","",IFERROR(INDEX(tbl_Finance[Client],MATCH(C133&amp;"",tbl_Finance[Job Number],0)),""))</f>
        <v/>
      </c>
      <c r="G133" s="28">
        <f>IF(C133="","",COUNTIFS(tbl_Finance[Job Number],C133&amp;"",tbl_Finance[Ex GST],"&lt;&gt;"))</f>
        <v/>
      </c>
      <c r="H133" s="27">
        <f>IF(C133="","",SUMIFS(tbl_Finance[Ex GST],tbl_Finance[Job Number],C133&amp;""))</f>
        <v/>
      </c>
      <c r="I133" s="27">
        <f>IF(C133="","",SUMIFS(tbl_Finance[Ex GST],tbl_Finance[Job Number],C133&amp;"",tbl_Finance[Xero Invoice No],"&lt;&gt;"))</f>
        <v/>
      </c>
      <c r="J133" s="27">
        <f>IF(C133="","",H133-I133)</f>
        <v/>
      </c>
      <c r="K133" s="25">
        <f>IF(C133="","",IF(G133=0,"not invoiced yet",SUBSTITUTE(TRIM(IF(COUNTIFS(tbl_Finance[Job Number],C133&amp;"",tbl_Finance[Cost Centre],"ONSITE")&gt;0,"ONSITE ","")&amp;IF(COUNTIFS(tbl_Finance[Job Number],C133&amp;"",tbl_Finance[Cost Centre],"PRODUCTION")&gt;0,"PRODUCTION ","")&amp;IF(COUNTIFS(tbl_Finance[Job Number],C133&amp;"",tbl_Finance[Cost Centre],"VIDEO")&gt;0,"VIDEO ","")&amp;IF(COUNTIFS(tbl_Finance[Job Number],C133&amp;"",tbl_Finance[Cost Centre],"INTEGRATION")&gt;0,"INTEGRATION ","")&amp;IF(COUNTIFS(tbl_Finance[Job Number],C133&amp;"",tbl_Finance[Cost Centre],"CONSULTING")&gt;0,"CONSULTING ","")&amp;IF(COUNTIFS(tbl_Finance[Job Number],C133&amp;"",tbl_Finance[Cost Centre],"CTS")&gt;0,"CTS ",""))," ",", ")))</f>
        <v/>
      </c>
      <c r="L133" s="24" t="n"/>
      <c r="M133" s="25">
        <f>IF(L133="","",HYPERLINK(IF(LEFT(L133,4)="http",L133,set_QwilrBase&amp;L133),"Open quote"))</f>
        <v/>
      </c>
      <c r="N133" s="26" t="n"/>
      <c r="O133" s="26" t="n"/>
      <c r="P133" s="26" t="n"/>
      <c r="Q133" s="25">
        <f>IF(C133="","",IF(N(N133)+N(O133)+N(P133)=0,"Not split",IF(ROUND(N(N133)+N(O133)+N(P133),2)=ROUND(H133,2),"OK","MISMATCH")))</f>
        <v/>
      </c>
      <c r="R133" s="26" t="n"/>
      <c r="S133" s="26" t="n"/>
      <c r="T133" s="26" t="n"/>
      <c r="U133" s="27">
        <f>IF(C133="","",N(R133)+N(S133)+N(T133))</f>
        <v/>
      </c>
      <c r="V133" s="27">
        <f>IF(C133="","",H133-U133)</f>
        <v/>
      </c>
      <c r="W133" s="29">
        <f>IFERROR(V133/H133,"")</f>
        <v/>
      </c>
      <c r="X133" s="24" t="n"/>
    </row>
    <row r="134" ht="15" customHeight="1">
      <c r="A134" s="63">
        <f>IF(C134="","",IFERROR(IF(SUMPRODUCT(MAX((tbl_Finance[Job Number]=C134&amp;"")*(tbl_Finance[Xero Invoice No]&lt;&gt;"")*tbl_Finance[Date]))=0,"",SUMPRODUCT(MAX((tbl_Finance[Job Number]=C134&amp;"")*(tbl_Finance[Xero Invoice No]&lt;&gt;"")*tbl_Finance[Date]))),""))</f>
        <v/>
      </c>
      <c r="B134" s="25">
        <f>IF(C134="","",IF(COUNTIFS(tbl_Finance[Job Number],C134&amp;"",tbl_Finance[Xero Invoice No],"&lt;&gt;")=0,"",IFERROR(IF(COUNTIFS(tbl_Finance[Job Number],C134&amp;"",tbl_Finance[Xero Invoice No],LOOKUP(2,1/((tbl_Finance[Job Number]=C134&amp;"")*(tbl_Finance[Xero Invoice No]&lt;&gt;"")),tbl_Finance[Xero Invoice No]))=COUNTIFS(tbl_Finance[Job Number],C134&amp;"",tbl_Finance[Xero Invoice No],"&lt;&gt;"),LOOKUP(2,1/((tbl_Finance[Job Number]=C134&amp;"")*(tbl_Finance[Xero Invoice No]&lt;&gt;"")),tbl_Finance[Xero Invoice No]),LOOKUP(2,1/((tbl_Finance[Job Number]=C134&amp;"")*(tbl_Finance[Xero Invoice No]&lt;&gt;"")),tbl_Finance[Xero Invoice No])&amp;" +more"),"")))</f>
        <v/>
      </c>
      <c r="C134" s="24" t="n"/>
      <c r="D134" s="25">
        <f>IF(C134="","",IF(COUNTIF(lst_Jobs,C134&amp;"")&gt;0,"OK","CHECK"))</f>
        <v/>
      </c>
      <c r="E134" s="25">
        <f>IF(C134="","",IFERROR(INDEX(lst_JobName,MATCH(C134&amp;"",lst_Jobs,0)),""))</f>
        <v/>
      </c>
      <c r="F134" s="25">
        <f>IF(C134="","",IFERROR(INDEX(tbl_Finance[Client],MATCH(C134&amp;"",tbl_Finance[Job Number],0)),""))</f>
        <v/>
      </c>
      <c r="G134" s="28">
        <f>IF(C134="","",COUNTIFS(tbl_Finance[Job Number],C134&amp;"",tbl_Finance[Ex GST],"&lt;&gt;"))</f>
        <v/>
      </c>
      <c r="H134" s="27">
        <f>IF(C134="","",SUMIFS(tbl_Finance[Ex GST],tbl_Finance[Job Number],C134&amp;""))</f>
        <v/>
      </c>
      <c r="I134" s="27">
        <f>IF(C134="","",SUMIFS(tbl_Finance[Ex GST],tbl_Finance[Job Number],C134&amp;"",tbl_Finance[Xero Invoice No],"&lt;&gt;"))</f>
        <v/>
      </c>
      <c r="J134" s="27">
        <f>IF(C134="","",H134-I134)</f>
        <v/>
      </c>
      <c r="K134" s="25">
        <f>IF(C134="","",IF(G134=0,"not invoiced yet",SUBSTITUTE(TRIM(IF(COUNTIFS(tbl_Finance[Job Number],C134&amp;"",tbl_Finance[Cost Centre],"ONSITE")&gt;0,"ONSITE ","")&amp;IF(COUNTIFS(tbl_Finance[Job Number],C134&amp;"",tbl_Finance[Cost Centre],"PRODUCTION")&gt;0,"PRODUCTION ","")&amp;IF(COUNTIFS(tbl_Finance[Job Number],C134&amp;"",tbl_Finance[Cost Centre],"VIDEO")&gt;0,"VIDEO ","")&amp;IF(COUNTIFS(tbl_Finance[Job Number],C134&amp;"",tbl_Finance[Cost Centre],"INTEGRATION")&gt;0,"INTEGRATION ","")&amp;IF(COUNTIFS(tbl_Finance[Job Number],C134&amp;"",tbl_Finance[Cost Centre],"CONSULTING")&gt;0,"CONSULTING ","")&amp;IF(COUNTIFS(tbl_Finance[Job Number],C134&amp;"",tbl_Finance[Cost Centre],"CTS")&gt;0,"CTS ",""))," ",", ")))</f>
        <v/>
      </c>
      <c r="L134" s="24" t="n"/>
      <c r="M134" s="25">
        <f>IF(L134="","",HYPERLINK(IF(LEFT(L134,4)="http",L134,set_QwilrBase&amp;L134),"Open quote"))</f>
        <v/>
      </c>
      <c r="N134" s="26" t="n"/>
      <c r="O134" s="26" t="n"/>
      <c r="P134" s="26" t="n"/>
      <c r="Q134" s="25">
        <f>IF(C134="","",IF(N(N134)+N(O134)+N(P134)=0,"Not split",IF(ROUND(N(N134)+N(O134)+N(P134),2)=ROUND(H134,2),"OK","MISMATCH")))</f>
        <v/>
      </c>
      <c r="R134" s="26" t="n"/>
      <c r="S134" s="26" t="n"/>
      <c r="T134" s="26" t="n"/>
      <c r="U134" s="27">
        <f>IF(C134="","",N(R134)+N(S134)+N(T134))</f>
        <v/>
      </c>
      <c r="V134" s="27">
        <f>IF(C134="","",H134-U134)</f>
        <v/>
      </c>
      <c r="W134" s="29">
        <f>IFERROR(V134/H134,"")</f>
        <v/>
      </c>
      <c r="X134" s="24" t="n"/>
    </row>
    <row r="135" ht="15" customHeight="1">
      <c r="A135" s="63">
        <f>IF(C135="","",IFERROR(IF(SUMPRODUCT(MAX((tbl_Finance[Job Number]=C135&amp;"")*(tbl_Finance[Xero Invoice No]&lt;&gt;"")*tbl_Finance[Date]))=0,"",SUMPRODUCT(MAX((tbl_Finance[Job Number]=C135&amp;"")*(tbl_Finance[Xero Invoice No]&lt;&gt;"")*tbl_Finance[Date]))),""))</f>
        <v/>
      </c>
      <c r="B135" s="25">
        <f>IF(C135="","",IF(COUNTIFS(tbl_Finance[Job Number],C135&amp;"",tbl_Finance[Xero Invoice No],"&lt;&gt;")=0,"",IFERROR(IF(COUNTIFS(tbl_Finance[Job Number],C135&amp;"",tbl_Finance[Xero Invoice No],LOOKUP(2,1/((tbl_Finance[Job Number]=C135&amp;"")*(tbl_Finance[Xero Invoice No]&lt;&gt;"")),tbl_Finance[Xero Invoice No]))=COUNTIFS(tbl_Finance[Job Number],C135&amp;"",tbl_Finance[Xero Invoice No],"&lt;&gt;"),LOOKUP(2,1/((tbl_Finance[Job Number]=C135&amp;"")*(tbl_Finance[Xero Invoice No]&lt;&gt;"")),tbl_Finance[Xero Invoice No]),LOOKUP(2,1/((tbl_Finance[Job Number]=C135&amp;"")*(tbl_Finance[Xero Invoice No]&lt;&gt;"")),tbl_Finance[Xero Invoice No])&amp;" +more"),"")))</f>
        <v/>
      </c>
      <c r="C135" s="24" t="n"/>
      <c r="D135" s="25">
        <f>IF(C135="","",IF(COUNTIF(lst_Jobs,C135&amp;"")&gt;0,"OK","CHECK"))</f>
        <v/>
      </c>
      <c r="E135" s="25">
        <f>IF(C135="","",IFERROR(INDEX(lst_JobName,MATCH(C135&amp;"",lst_Jobs,0)),""))</f>
        <v/>
      </c>
      <c r="F135" s="25">
        <f>IF(C135="","",IFERROR(INDEX(tbl_Finance[Client],MATCH(C135&amp;"",tbl_Finance[Job Number],0)),""))</f>
        <v/>
      </c>
      <c r="G135" s="28">
        <f>IF(C135="","",COUNTIFS(tbl_Finance[Job Number],C135&amp;"",tbl_Finance[Ex GST],"&lt;&gt;"))</f>
        <v/>
      </c>
      <c r="H135" s="27">
        <f>IF(C135="","",SUMIFS(tbl_Finance[Ex GST],tbl_Finance[Job Number],C135&amp;""))</f>
        <v/>
      </c>
      <c r="I135" s="27">
        <f>IF(C135="","",SUMIFS(tbl_Finance[Ex GST],tbl_Finance[Job Number],C135&amp;"",tbl_Finance[Xero Invoice No],"&lt;&gt;"))</f>
        <v/>
      </c>
      <c r="J135" s="27">
        <f>IF(C135="","",H135-I135)</f>
        <v/>
      </c>
      <c r="K135" s="25">
        <f>IF(C135="","",IF(G135=0,"not invoiced yet",SUBSTITUTE(TRIM(IF(COUNTIFS(tbl_Finance[Job Number],C135&amp;"",tbl_Finance[Cost Centre],"ONSITE")&gt;0,"ONSITE ","")&amp;IF(COUNTIFS(tbl_Finance[Job Number],C135&amp;"",tbl_Finance[Cost Centre],"PRODUCTION")&gt;0,"PRODUCTION ","")&amp;IF(COUNTIFS(tbl_Finance[Job Number],C135&amp;"",tbl_Finance[Cost Centre],"VIDEO")&gt;0,"VIDEO ","")&amp;IF(COUNTIFS(tbl_Finance[Job Number],C135&amp;"",tbl_Finance[Cost Centre],"INTEGRATION")&gt;0,"INTEGRATION ","")&amp;IF(COUNTIFS(tbl_Finance[Job Number],C135&amp;"",tbl_Finance[Cost Centre],"CONSULTING")&gt;0,"CONSULTING ","")&amp;IF(COUNTIFS(tbl_Finance[Job Number],C135&amp;"",tbl_Finance[Cost Centre],"CTS")&gt;0,"CTS ",""))," ",", ")))</f>
        <v/>
      </c>
      <c r="L135" s="24" t="n"/>
      <c r="M135" s="25">
        <f>IF(L135="","",HYPERLINK(IF(LEFT(L135,4)="http",L135,set_QwilrBase&amp;L135),"Open quote"))</f>
        <v/>
      </c>
      <c r="N135" s="26" t="n"/>
      <c r="O135" s="26" t="n"/>
      <c r="P135" s="26" t="n"/>
      <c r="Q135" s="25">
        <f>IF(C135="","",IF(N(N135)+N(O135)+N(P135)=0,"Not split",IF(ROUND(N(N135)+N(O135)+N(P135),2)=ROUND(H135,2),"OK","MISMATCH")))</f>
        <v/>
      </c>
      <c r="R135" s="26" t="n"/>
      <c r="S135" s="26" t="n"/>
      <c r="T135" s="26" t="n"/>
      <c r="U135" s="27">
        <f>IF(C135="","",N(R135)+N(S135)+N(T135))</f>
        <v/>
      </c>
      <c r="V135" s="27">
        <f>IF(C135="","",H135-U135)</f>
        <v/>
      </c>
      <c r="W135" s="29">
        <f>IFERROR(V135/H135,"")</f>
        <v/>
      </c>
      <c r="X135" s="24" t="n"/>
    </row>
    <row r="136" ht="15" customHeight="1">
      <c r="A136" s="63">
        <f>IF(C136="","",IFERROR(IF(SUMPRODUCT(MAX((tbl_Finance[Job Number]=C136&amp;"")*(tbl_Finance[Xero Invoice No]&lt;&gt;"")*tbl_Finance[Date]))=0,"",SUMPRODUCT(MAX((tbl_Finance[Job Number]=C136&amp;"")*(tbl_Finance[Xero Invoice No]&lt;&gt;"")*tbl_Finance[Date]))),""))</f>
        <v/>
      </c>
      <c r="B136" s="25">
        <f>IF(C136="","",IF(COUNTIFS(tbl_Finance[Job Number],C136&amp;"",tbl_Finance[Xero Invoice No],"&lt;&gt;")=0,"",IFERROR(IF(COUNTIFS(tbl_Finance[Job Number],C136&amp;"",tbl_Finance[Xero Invoice No],LOOKUP(2,1/((tbl_Finance[Job Number]=C136&amp;"")*(tbl_Finance[Xero Invoice No]&lt;&gt;"")),tbl_Finance[Xero Invoice No]))=COUNTIFS(tbl_Finance[Job Number],C136&amp;"",tbl_Finance[Xero Invoice No],"&lt;&gt;"),LOOKUP(2,1/((tbl_Finance[Job Number]=C136&amp;"")*(tbl_Finance[Xero Invoice No]&lt;&gt;"")),tbl_Finance[Xero Invoice No]),LOOKUP(2,1/((tbl_Finance[Job Number]=C136&amp;"")*(tbl_Finance[Xero Invoice No]&lt;&gt;"")),tbl_Finance[Xero Invoice No])&amp;" +more"),"")))</f>
        <v/>
      </c>
      <c r="C136" s="24" t="n"/>
      <c r="D136" s="25">
        <f>IF(C136="","",IF(COUNTIF(lst_Jobs,C136&amp;"")&gt;0,"OK","CHECK"))</f>
        <v/>
      </c>
      <c r="E136" s="25">
        <f>IF(C136="","",IFERROR(INDEX(lst_JobName,MATCH(C136&amp;"",lst_Jobs,0)),""))</f>
        <v/>
      </c>
      <c r="F136" s="25">
        <f>IF(C136="","",IFERROR(INDEX(tbl_Finance[Client],MATCH(C136&amp;"",tbl_Finance[Job Number],0)),""))</f>
        <v/>
      </c>
      <c r="G136" s="28">
        <f>IF(C136="","",COUNTIFS(tbl_Finance[Job Number],C136&amp;"",tbl_Finance[Ex GST],"&lt;&gt;"))</f>
        <v/>
      </c>
      <c r="H136" s="27">
        <f>IF(C136="","",SUMIFS(tbl_Finance[Ex GST],tbl_Finance[Job Number],C136&amp;""))</f>
        <v/>
      </c>
      <c r="I136" s="27">
        <f>IF(C136="","",SUMIFS(tbl_Finance[Ex GST],tbl_Finance[Job Number],C136&amp;"",tbl_Finance[Xero Invoice No],"&lt;&gt;"))</f>
        <v/>
      </c>
      <c r="J136" s="27">
        <f>IF(C136="","",H136-I136)</f>
        <v/>
      </c>
      <c r="K136" s="25">
        <f>IF(C136="","",IF(G136=0,"not invoiced yet",SUBSTITUTE(TRIM(IF(COUNTIFS(tbl_Finance[Job Number],C136&amp;"",tbl_Finance[Cost Centre],"ONSITE")&gt;0,"ONSITE ","")&amp;IF(COUNTIFS(tbl_Finance[Job Number],C136&amp;"",tbl_Finance[Cost Centre],"PRODUCTION")&gt;0,"PRODUCTION ","")&amp;IF(COUNTIFS(tbl_Finance[Job Number],C136&amp;"",tbl_Finance[Cost Centre],"VIDEO")&gt;0,"VIDEO ","")&amp;IF(COUNTIFS(tbl_Finance[Job Number],C136&amp;"",tbl_Finance[Cost Centre],"INTEGRATION")&gt;0,"INTEGRATION ","")&amp;IF(COUNTIFS(tbl_Finance[Job Number],C136&amp;"",tbl_Finance[Cost Centre],"CONSULTING")&gt;0,"CONSULTING ","")&amp;IF(COUNTIFS(tbl_Finance[Job Number],C136&amp;"",tbl_Finance[Cost Centre],"CTS")&gt;0,"CTS ",""))," ",", ")))</f>
        <v/>
      </c>
      <c r="L136" s="24" t="n"/>
      <c r="M136" s="25">
        <f>IF(L136="","",HYPERLINK(IF(LEFT(L136,4)="http",L136,set_QwilrBase&amp;L136),"Open quote"))</f>
        <v/>
      </c>
      <c r="N136" s="26" t="n"/>
      <c r="O136" s="26" t="n"/>
      <c r="P136" s="26" t="n"/>
      <c r="Q136" s="25">
        <f>IF(C136="","",IF(N(N136)+N(O136)+N(P136)=0,"Not split",IF(ROUND(N(N136)+N(O136)+N(P136),2)=ROUND(H136,2),"OK","MISMATCH")))</f>
        <v/>
      </c>
      <c r="R136" s="26" t="n"/>
      <c r="S136" s="26" t="n"/>
      <c r="T136" s="26" t="n"/>
      <c r="U136" s="27">
        <f>IF(C136="","",N(R136)+N(S136)+N(T136))</f>
        <v/>
      </c>
      <c r="V136" s="27">
        <f>IF(C136="","",H136-U136)</f>
        <v/>
      </c>
      <c r="W136" s="29">
        <f>IFERROR(V136/H136,"")</f>
        <v/>
      </c>
      <c r="X136" s="24" t="n"/>
    </row>
    <row r="137" ht="15" customHeight="1">
      <c r="A137" s="63">
        <f>IF(C137="","",IFERROR(IF(SUMPRODUCT(MAX((tbl_Finance[Job Number]=C137&amp;"")*(tbl_Finance[Xero Invoice No]&lt;&gt;"")*tbl_Finance[Date]))=0,"",SUMPRODUCT(MAX((tbl_Finance[Job Number]=C137&amp;"")*(tbl_Finance[Xero Invoice No]&lt;&gt;"")*tbl_Finance[Date]))),""))</f>
        <v/>
      </c>
      <c r="B137" s="25">
        <f>IF(C137="","",IF(COUNTIFS(tbl_Finance[Job Number],C137&amp;"",tbl_Finance[Xero Invoice No],"&lt;&gt;")=0,"",IFERROR(IF(COUNTIFS(tbl_Finance[Job Number],C137&amp;"",tbl_Finance[Xero Invoice No],LOOKUP(2,1/((tbl_Finance[Job Number]=C137&amp;"")*(tbl_Finance[Xero Invoice No]&lt;&gt;"")),tbl_Finance[Xero Invoice No]))=COUNTIFS(tbl_Finance[Job Number],C137&amp;"",tbl_Finance[Xero Invoice No],"&lt;&gt;"),LOOKUP(2,1/((tbl_Finance[Job Number]=C137&amp;"")*(tbl_Finance[Xero Invoice No]&lt;&gt;"")),tbl_Finance[Xero Invoice No]),LOOKUP(2,1/((tbl_Finance[Job Number]=C137&amp;"")*(tbl_Finance[Xero Invoice No]&lt;&gt;"")),tbl_Finance[Xero Invoice No])&amp;" +more"),"")))</f>
        <v/>
      </c>
      <c r="C137" s="24" t="n"/>
      <c r="D137" s="25">
        <f>IF(C137="","",IF(COUNTIF(lst_Jobs,C137&amp;"")&gt;0,"OK","CHECK"))</f>
        <v/>
      </c>
      <c r="E137" s="25">
        <f>IF(C137="","",IFERROR(INDEX(lst_JobName,MATCH(C137&amp;"",lst_Jobs,0)),""))</f>
        <v/>
      </c>
      <c r="F137" s="25">
        <f>IF(C137="","",IFERROR(INDEX(tbl_Finance[Client],MATCH(C137&amp;"",tbl_Finance[Job Number],0)),""))</f>
        <v/>
      </c>
      <c r="G137" s="28">
        <f>IF(C137="","",COUNTIFS(tbl_Finance[Job Number],C137&amp;"",tbl_Finance[Ex GST],"&lt;&gt;"))</f>
        <v/>
      </c>
      <c r="H137" s="27">
        <f>IF(C137="","",SUMIFS(tbl_Finance[Ex GST],tbl_Finance[Job Number],C137&amp;""))</f>
        <v/>
      </c>
      <c r="I137" s="27">
        <f>IF(C137="","",SUMIFS(tbl_Finance[Ex GST],tbl_Finance[Job Number],C137&amp;"",tbl_Finance[Xero Invoice No],"&lt;&gt;"))</f>
        <v/>
      </c>
      <c r="J137" s="27">
        <f>IF(C137="","",H137-I137)</f>
        <v/>
      </c>
      <c r="K137" s="25">
        <f>IF(C137="","",IF(G137=0,"not invoiced yet",SUBSTITUTE(TRIM(IF(COUNTIFS(tbl_Finance[Job Number],C137&amp;"",tbl_Finance[Cost Centre],"ONSITE")&gt;0,"ONSITE ","")&amp;IF(COUNTIFS(tbl_Finance[Job Number],C137&amp;"",tbl_Finance[Cost Centre],"PRODUCTION")&gt;0,"PRODUCTION ","")&amp;IF(COUNTIFS(tbl_Finance[Job Number],C137&amp;"",tbl_Finance[Cost Centre],"VIDEO")&gt;0,"VIDEO ","")&amp;IF(COUNTIFS(tbl_Finance[Job Number],C137&amp;"",tbl_Finance[Cost Centre],"INTEGRATION")&gt;0,"INTEGRATION ","")&amp;IF(COUNTIFS(tbl_Finance[Job Number],C137&amp;"",tbl_Finance[Cost Centre],"CONSULTING")&gt;0,"CONSULTING ","")&amp;IF(COUNTIFS(tbl_Finance[Job Number],C137&amp;"",tbl_Finance[Cost Centre],"CTS")&gt;0,"CTS ",""))," ",", ")))</f>
        <v/>
      </c>
      <c r="L137" s="24" t="n"/>
      <c r="M137" s="25">
        <f>IF(L137="","",HYPERLINK(IF(LEFT(L137,4)="http",L137,set_QwilrBase&amp;L137),"Open quote"))</f>
        <v/>
      </c>
      <c r="N137" s="26" t="n"/>
      <c r="O137" s="26" t="n"/>
      <c r="P137" s="26" t="n"/>
      <c r="Q137" s="25">
        <f>IF(C137="","",IF(N(N137)+N(O137)+N(P137)=0,"Not split",IF(ROUND(N(N137)+N(O137)+N(P137),2)=ROUND(H137,2),"OK","MISMATCH")))</f>
        <v/>
      </c>
      <c r="R137" s="26" t="n"/>
      <c r="S137" s="26" t="n"/>
      <c r="T137" s="26" t="n"/>
      <c r="U137" s="27">
        <f>IF(C137="","",N(R137)+N(S137)+N(T137))</f>
        <v/>
      </c>
      <c r="V137" s="27">
        <f>IF(C137="","",H137-U137)</f>
        <v/>
      </c>
      <c r="W137" s="29">
        <f>IFERROR(V137/H137,"")</f>
        <v/>
      </c>
      <c r="X137" s="24" t="n"/>
    </row>
    <row r="138" ht="15" customHeight="1">
      <c r="A138" s="63">
        <f>IF(C138="","",IFERROR(IF(SUMPRODUCT(MAX((tbl_Finance[Job Number]=C138&amp;"")*(tbl_Finance[Xero Invoice No]&lt;&gt;"")*tbl_Finance[Date]))=0,"",SUMPRODUCT(MAX((tbl_Finance[Job Number]=C138&amp;"")*(tbl_Finance[Xero Invoice No]&lt;&gt;"")*tbl_Finance[Date]))),""))</f>
        <v/>
      </c>
      <c r="B138" s="25">
        <f>IF(C138="","",IF(COUNTIFS(tbl_Finance[Job Number],C138&amp;"",tbl_Finance[Xero Invoice No],"&lt;&gt;")=0,"",IFERROR(IF(COUNTIFS(tbl_Finance[Job Number],C138&amp;"",tbl_Finance[Xero Invoice No],LOOKUP(2,1/((tbl_Finance[Job Number]=C138&amp;"")*(tbl_Finance[Xero Invoice No]&lt;&gt;"")),tbl_Finance[Xero Invoice No]))=COUNTIFS(tbl_Finance[Job Number],C138&amp;"",tbl_Finance[Xero Invoice No],"&lt;&gt;"),LOOKUP(2,1/((tbl_Finance[Job Number]=C138&amp;"")*(tbl_Finance[Xero Invoice No]&lt;&gt;"")),tbl_Finance[Xero Invoice No]),LOOKUP(2,1/((tbl_Finance[Job Number]=C138&amp;"")*(tbl_Finance[Xero Invoice No]&lt;&gt;"")),tbl_Finance[Xero Invoice No])&amp;" +more"),"")))</f>
        <v/>
      </c>
      <c r="C138" s="24" t="n"/>
      <c r="D138" s="25">
        <f>IF(C138="","",IF(COUNTIF(lst_Jobs,C138&amp;"")&gt;0,"OK","CHECK"))</f>
        <v/>
      </c>
      <c r="E138" s="25">
        <f>IF(C138="","",IFERROR(INDEX(lst_JobName,MATCH(C138&amp;"",lst_Jobs,0)),""))</f>
        <v/>
      </c>
      <c r="F138" s="25">
        <f>IF(C138="","",IFERROR(INDEX(tbl_Finance[Client],MATCH(C138&amp;"",tbl_Finance[Job Number],0)),""))</f>
        <v/>
      </c>
      <c r="G138" s="28">
        <f>IF(C138="","",COUNTIFS(tbl_Finance[Job Number],C138&amp;"",tbl_Finance[Ex GST],"&lt;&gt;"))</f>
        <v/>
      </c>
      <c r="H138" s="27">
        <f>IF(C138="","",SUMIFS(tbl_Finance[Ex GST],tbl_Finance[Job Number],C138&amp;""))</f>
        <v/>
      </c>
      <c r="I138" s="27">
        <f>IF(C138="","",SUMIFS(tbl_Finance[Ex GST],tbl_Finance[Job Number],C138&amp;"",tbl_Finance[Xero Invoice No],"&lt;&gt;"))</f>
        <v/>
      </c>
      <c r="J138" s="27">
        <f>IF(C138="","",H138-I138)</f>
        <v/>
      </c>
      <c r="K138" s="25">
        <f>IF(C138="","",IF(G138=0,"not invoiced yet",SUBSTITUTE(TRIM(IF(COUNTIFS(tbl_Finance[Job Number],C138&amp;"",tbl_Finance[Cost Centre],"ONSITE")&gt;0,"ONSITE ","")&amp;IF(COUNTIFS(tbl_Finance[Job Number],C138&amp;"",tbl_Finance[Cost Centre],"PRODUCTION")&gt;0,"PRODUCTION ","")&amp;IF(COUNTIFS(tbl_Finance[Job Number],C138&amp;"",tbl_Finance[Cost Centre],"VIDEO")&gt;0,"VIDEO ","")&amp;IF(COUNTIFS(tbl_Finance[Job Number],C138&amp;"",tbl_Finance[Cost Centre],"INTEGRATION")&gt;0,"INTEGRATION ","")&amp;IF(COUNTIFS(tbl_Finance[Job Number],C138&amp;"",tbl_Finance[Cost Centre],"CONSULTING")&gt;0,"CONSULTING ","")&amp;IF(COUNTIFS(tbl_Finance[Job Number],C138&amp;"",tbl_Finance[Cost Centre],"CTS")&gt;0,"CTS ",""))," ",", ")))</f>
        <v/>
      </c>
      <c r="L138" s="24" t="n"/>
      <c r="M138" s="25">
        <f>IF(L138="","",HYPERLINK(IF(LEFT(L138,4)="http",L138,set_QwilrBase&amp;L138),"Open quote"))</f>
        <v/>
      </c>
      <c r="N138" s="26" t="n"/>
      <c r="O138" s="26" t="n"/>
      <c r="P138" s="26" t="n"/>
      <c r="Q138" s="25">
        <f>IF(C138="","",IF(N(N138)+N(O138)+N(P138)=0,"Not split",IF(ROUND(N(N138)+N(O138)+N(P138),2)=ROUND(H138,2),"OK","MISMATCH")))</f>
        <v/>
      </c>
      <c r="R138" s="26" t="n"/>
      <c r="S138" s="26" t="n"/>
      <c r="T138" s="26" t="n"/>
      <c r="U138" s="27">
        <f>IF(C138="","",N(R138)+N(S138)+N(T138))</f>
        <v/>
      </c>
      <c r="V138" s="27">
        <f>IF(C138="","",H138-U138)</f>
        <v/>
      </c>
      <c r="W138" s="29">
        <f>IFERROR(V138/H138,"")</f>
        <v/>
      </c>
      <c r="X138" s="24" t="n"/>
    </row>
    <row r="139" ht="15" customHeight="1">
      <c r="A139" s="63">
        <f>IF(C139="","",IFERROR(IF(SUMPRODUCT(MAX((tbl_Finance[Job Number]=C139&amp;"")*(tbl_Finance[Xero Invoice No]&lt;&gt;"")*tbl_Finance[Date]))=0,"",SUMPRODUCT(MAX((tbl_Finance[Job Number]=C139&amp;"")*(tbl_Finance[Xero Invoice No]&lt;&gt;"")*tbl_Finance[Date]))),""))</f>
        <v/>
      </c>
      <c r="B139" s="25">
        <f>IF(C139="","",IF(COUNTIFS(tbl_Finance[Job Number],C139&amp;"",tbl_Finance[Xero Invoice No],"&lt;&gt;")=0,"",IFERROR(IF(COUNTIFS(tbl_Finance[Job Number],C139&amp;"",tbl_Finance[Xero Invoice No],LOOKUP(2,1/((tbl_Finance[Job Number]=C139&amp;"")*(tbl_Finance[Xero Invoice No]&lt;&gt;"")),tbl_Finance[Xero Invoice No]))=COUNTIFS(tbl_Finance[Job Number],C139&amp;"",tbl_Finance[Xero Invoice No],"&lt;&gt;"),LOOKUP(2,1/((tbl_Finance[Job Number]=C139&amp;"")*(tbl_Finance[Xero Invoice No]&lt;&gt;"")),tbl_Finance[Xero Invoice No]),LOOKUP(2,1/((tbl_Finance[Job Number]=C139&amp;"")*(tbl_Finance[Xero Invoice No]&lt;&gt;"")),tbl_Finance[Xero Invoice No])&amp;" +more"),"")))</f>
        <v/>
      </c>
      <c r="C139" s="24" t="n"/>
      <c r="D139" s="25">
        <f>IF(C139="","",IF(COUNTIF(lst_Jobs,C139&amp;"")&gt;0,"OK","CHECK"))</f>
        <v/>
      </c>
      <c r="E139" s="25">
        <f>IF(C139="","",IFERROR(INDEX(lst_JobName,MATCH(C139&amp;"",lst_Jobs,0)),""))</f>
        <v/>
      </c>
      <c r="F139" s="25">
        <f>IF(C139="","",IFERROR(INDEX(tbl_Finance[Client],MATCH(C139&amp;"",tbl_Finance[Job Number],0)),""))</f>
        <v/>
      </c>
      <c r="G139" s="28">
        <f>IF(C139="","",COUNTIFS(tbl_Finance[Job Number],C139&amp;"",tbl_Finance[Ex GST],"&lt;&gt;"))</f>
        <v/>
      </c>
      <c r="H139" s="27">
        <f>IF(C139="","",SUMIFS(tbl_Finance[Ex GST],tbl_Finance[Job Number],C139&amp;""))</f>
        <v/>
      </c>
      <c r="I139" s="27">
        <f>IF(C139="","",SUMIFS(tbl_Finance[Ex GST],tbl_Finance[Job Number],C139&amp;"",tbl_Finance[Xero Invoice No],"&lt;&gt;"))</f>
        <v/>
      </c>
      <c r="J139" s="27">
        <f>IF(C139="","",H139-I139)</f>
        <v/>
      </c>
      <c r="K139" s="25">
        <f>IF(C139="","",IF(G139=0,"not invoiced yet",SUBSTITUTE(TRIM(IF(COUNTIFS(tbl_Finance[Job Number],C139&amp;"",tbl_Finance[Cost Centre],"ONSITE")&gt;0,"ONSITE ","")&amp;IF(COUNTIFS(tbl_Finance[Job Number],C139&amp;"",tbl_Finance[Cost Centre],"PRODUCTION")&gt;0,"PRODUCTION ","")&amp;IF(COUNTIFS(tbl_Finance[Job Number],C139&amp;"",tbl_Finance[Cost Centre],"VIDEO")&gt;0,"VIDEO ","")&amp;IF(COUNTIFS(tbl_Finance[Job Number],C139&amp;"",tbl_Finance[Cost Centre],"INTEGRATION")&gt;0,"INTEGRATION ","")&amp;IF(COUNTIFS(tbl_Finance[Job Number],C139&amp;"",tbl_Finance[Cost Centre],"CONSULTING")&gt;0,"CONSULTING ","")&amp;IF(COUNTIFS(tbl_Finance[Job Number],C139&amp;"",tbl_Finance[Cost Centre],"CTS")&gt;0,"CTS ",""))," ",", ")))</f>
        <v/>
      </c>
      <c r="L139" s="24" t="n"/>
      <c r="M139" s="25">
        <f>IF(L139="","",HYPERLINK(IF(LEFT(L139,4)="http",L139,set_QwilrBase&amp;L139),"Open quote"))</f>
        <v/>
      </c>
      <c r="N139" s="26" t="n"/>
      <c r="O139" s="26" t="n"/>
      <c r="P139" s="26" t="n"/>
      <c r="Q139" s="25">
        <f>IF(C139="","",IF(N(N139)+N(O139)+N(P139)=0,"Not split",IF(ROUND(N(N139)+N(O139)+N(P139),2)=ROUND(H139,2),"OK","MISMATCH")))</f>
        <v/>
      </c>
      <c r="R139" s="26" t="n"/>
      <c r="S139" s="26" t="n"/>
      <c r="T139" s="26" t="n"/>
      <c r="U139" s="27">
        <f>IF(C139="","",N(R139)+N(S139)+N(T139))</f>
        <v/>
      </c>
      <c r="V139" s="27">
        <f>IF(C139="","",H139-U139)</f>
        <v/>
      </c>
      <c r="W139" s="29">
        <f>IFERROR(V139/H139,"")</f>
        <v/>
      </c>
      <c r="X139" s="24" t="n"/>
    </row>
    <row r="140" ht="15" customHeight="1">
      <c r="A140" s="63">
        <f>IF(C140="","",IFERROR(IF(SUMPRODUCT(MAX((tbl_Finance[Job Number]=C140&amp;"")*(tbl_Finance[Xero Invoice No]&lt;&gt;"")*tbl_Finance[Date]))=0,"",SUMPRODUCT(MAX((tbl_Finance[Job Number]=C140&amp;"")*(tbl_Finance[Xero Invoice No]&lt;&gt;"")*tbl_Finance[Date]))),""))</f>
        <v/>
      </c>
      <c r="B140" s="25">
        <f>IF(C140="","",IF(COUNTIFS(tbl_Finance[Job Number],C140&amp;"",tbl_Finance[Xero Invoice No],"&lt;&gt;")=0,"",IFERROR(IF(COUNTIFS(tbl_Finance[Job Number],C140&amp;"",tbl_Finance[Xero Invoice No],LOOKUP(2,1/((tbl_Finance[Job Number]=C140&amp;"")*(tbl_Finance[Xero Invoice No]&lt;&gt;"")),tbl_Finance[Xero Invoice No]))=COUNTIFS(tbl_Finance[Job Number],C140&amp;"",tbl_Finance[Xero Invoice No],"&lt;&gt;"),LOOKUP(2,1/((tbl_Finance[Job Number]=C140&amp;"")*(tbl_Finance[Xero Invoice No]&lt;&gt;"")),tbl_Finance[Xero Invoice No]),LOOKUP(2,1/((tbl_Finance[Job Number]=C140&amp;"")*(tbl_Finance[Xero Invoice No]&lt;&gt;"")),tbl_Finance[Xero Invoice No])&amp;" +more"),"")))</f>
        <v/>
      </c>
      <c r="C140" s="24" t="n"/>
      <c r="D140" s="25">
        <f>IF(C140="","",IF(COUNTIF(lst_Jobs,C140&amp;"")&gt;0,"OK","CHECK"))</f>
        <v/>
      </c>
      <c r="E140" s="25">
        <f>IF(C140="","",IFERROR(INDEX(lst_JobName,MATCH(C140&amp;"",lst_Jobs,0)),""))</f>
        <v/>
      </c>
      <c r="F140" s="25">
        <f>IF(C140="","",IFERROR(INDEX(tbl_Finance[Client],MATCH(C140&amp;"",tbl_Finance[Job Number],0)),""))</f>
        <v/>
      </c>
      <c r="G140" s="28">
        <f>IF(C140="","",COUNTIFS(tbl_Finance[Job Number],C140&amp;"",tbl_Finance[Ex GST],"&lt;&gt;"))</f>
        <v/>
      </c>
      <c r="H140" s="27">
        <f>IF(C140="","",SUMIFS(tbl_Finance[Ex GST],tbl_Finance[Job Number],C140&amp;""))</f>
        <v/>
      </c>
      <c r="I140" s="27">
        <f>IF(C140="","",SUMIFS(tbl_Finance[Ex GST],tbl_Finance[Job Number],C140&amp;"",tbl_Finance[Xero Invoice No],"&lt;&gt;"))</f>
        <v/>
      </c>
      <c r="J140" s="27">
        <f>IF(C140="","",H140-I140)</f>
        <v/>
      </c>
      <c r="K140" s="25">
        <f>IF(C140="","",IF(G140=0,"not invoiced yet",SUBSTITUTE(TRIM(IF(COUNTIFS(tbl_Finance[Job Number],C140&amp;"",tbl_Finance[Cost Centre],"ONSITE")&gt;0,"ONSITE ","")&amp;IF(COUNTIFS(tbl_Finance[Job Number],C140&amp;"",tbl_Finance[Cost Centre],"PRODUCTION")&gt;0,"PRODUCTION ","")&amp;IF(COUNTIFS(tbl_Finance[Job Number],C140&amp;"",tbl_Finance[Cost Centre],"VIDEO")&gt;0,"VIDEO ","")&amp;IF(COUNTIFS(tbl_Finance[Job Number],C140&amp;"",tbl_Finance[Cost Centre],"INTEGRATION")&gt;0,"INTEGRATION ","")&amp;IF(COUNTIFS(tbl_Finance[Job Number],C140&amp;"",tbl_Finance[Cost Centre],"CONSULTING")&gt;0,"CONSULTING ","")&amp;IF(COUNTIFS(tbl_Finance[Job Number],C140&amp;"",tbl_Finance[Cost Centre],"CTS")&gt;0,"CTS ",""))," ",", ")))</f>
        <v/>
      </c>
      <c r="L140" s="24" t="n"/>
      <c r="M140" s="25">
        <f>IF(L140="","",HYPERLINK(IF(LEFT(L140,4)="http",L140,set_QwilrBase&amp;L140),"Open quote"))</f>
        <v/>
      </c>
      <c r="N140" s="26" t="n"/>
      <c r="O140" s="26" t="n"/>
      <c r="P140" s="26" t="n"/>
      <c r="Q140" s="25">
        <f>IF(C140="","",IF(N(N140)+N(O140)+N(P140)=0,"Not split",IF(ROUND(N(N140)+N(O140)+N(P140),2)=ROUND(H140,2),"OK","MISMATCH")))</f>
        <v/>
      </c>
      <c r="R140" s="26" t="n"/>
      <c r="S140" s="26" t="n"/>
      <c r="T140" s="26" t="n"/>
      <c r="U140" s="27">
        <f>IF(C140="","",N(R140)+N(S140)+N(T140))</f>
        <v/>
      </c>
      <c r="V140" s="27">
        <f>IF(C140="","",H140-U140)</f>
        <v/>
      </c>
      <c r="W140" s="29">
        <f>IFERROR(V140/H140,"")</f>
        <v/>
      </c>
      <c r="X140" s="24" t="n"/>
    </row>
    <row r="141" ht="15" customHeight="1">
      <c r="A141" s="63">
        <f>IF(C141="","",IFERROR(IF(SUMPRODUCT(MAX((tbl_Finance[Job Number]=C141&amp;"")*(tbl_Finance[Xero Invoice No]&lt;&gt;"")*tbl_Finance[Date]))=0,"",SUMPRODUCT(MAX((tbl_Finance[Job Number]=C141&amp;"")*(tbl_Finance[Xero Invoice No]&lt;&gt;"")*tbl_Finance[Date]))),""))</f>
        <v/>
      </c>
      <c r="B141" s="25">
        <f>IF(C141="","",IF(COUNTIFS(tbl_Finance[Job Number],C141&amp;"",tbl_Finance[Xero Invoice No],"&lt;&gt;")=0,"",IFERROR(IF(COUNTIFS(tbl_Finance[Job Number],C141&amp;"",tbl_Finance[Xero Invoice No],LOOKUP(2,1/((tbl_Finance[Job Number]=C141&amp;"")*(tbl_Finance[Xero Invoice No]&lt;&gt;"")),tbl_Finance[Xero Invoice No]))=COUNTIFS(tbl_Finance[Job Number],C141&amp;"",tbl_Finance[Xero Invoice No],"&lt;&gt;"),LOOKUP(2,1/((tbl_Finance[Job Number]=C141&amp;"")*(tbl_Finance[Xero Invoice No]&lt;&gt;"")),tbl_Finance[Xero Invoice No]),LOOKUP(2,1/((tbl_Finance[Job Number]=C141&amp;"")*(tbl_Finance[Xero Invoice No]&lt;&gt;"")),tbl_Finance[Xero Invoice No])&amp;" +more"),"")))</f>
        <v/>
      </c>
      <c r="C141" s="24" t="n"/>
      <c r="D141" s="25">
        <f>IF(C141="","",IF(COUNTIF(lst_Jobs,C141&amp;"")&gt;0,"OK","CHECK"))</f>
        <v/>
      </c>
      <c r="E141" s="25">
        <f>IF(C141="","",IFERROR(INDEX(lst_JobName,MATCH(C141&amp;"",lst_Jobs,0)),""))</f>
        <v/>
      </c>
      <c r="F141" s="25">
        <f>IF(C141="","",IFERROR(INDEX(tbl_Finance[Client],MATCH(C141&amp;"",tbl_Finance[Job Number],0)),""))</f>
        <v/>
      </c>
      <c r="G141" s="28">
        <f>IF(C141="","",COUNTIFS(tbl_Finance[Job Number],C141&amp;"",tbl_Finance[Ex GST],"&lt;&gt;"))</f>
        <v/>
      </c>
      <c r="H141" s="27">
        <f>IF(C141="","",SUMIFS(tbl_Finance[Ex GST],tbl_Finance[Job Number],C141&amp;""))</f>
        <v/>
      </c>
      <c r="I141" s="27">
        <f>IF(C141="","",SUMIFS(tbl_Finance[Ex GST],tbl_Finance[Job Number],C141&amp;"",tbl_Finance[Xero Invoice No],"&lt;&gt;"))</f>
        <v/>
      </c>
      <c r="J141" s="27">
        <f>IF(C141="","",H141-I141)</f>
        <v/>
      </c>
      <c r="K141" s="25">
        <f>IF(C141="","",IF(G141=0,"not invoiced yet",SUBSTITUTE(TRIM(IF(COUNTIFS(tbl_Finance[Job Number],C141&amp;"",tbl_Finance[Cost Centre],"ONSITE")&gt;0,"ONSITE ","")&amp;IF(COUNTIFS(tbl_Finance[Job Number],C141&amp;"",tbl_Finance[Cost Centre],"PRODUCTION")&gt;0,"PRODUCTION ","")&amp;IF(COUNTIFS(tbl_Finance[Job Number],C141&amp;"",tbl_Finance[Cost Centre],"VIDEO")&gt;0,"VIDEO ","")&amp;IF(COUNTIFS(tbl_Finance[Job Number],C141&amp;"",tbl_Finance[Cost Centre],"INTEGRATION")&gt;0,"INTEGRATION ","")&amp;IF(COUNTIFS(tbl_Finance[Job Number],C141&amp;"",tbl_Finance[Cost Centre],"CONSULTING")&gt;0,"CONSULTING ","")&amp;IF(COUNTIFS(tbl_Finance[Job Number],C141&amp;"",tbl_Finance[Cost Centre],"CTS")&gt;0,"CTS ",""))," ",", ")))</f>
        <v/>
      </c>
      <c r="L141" s="24" t="n"/>
      <c r="M141" s="25">
        <f>IF(L141="","",HYPERLINK(IF(LEFT(L141,4)="http",L141,set_QwilrBase&amp;L141),"Open quote"))</f>
        <v/>
      </c>
      <c r="N141" s="26" t="n"/>
      <c r="O141" s="26" t="n"/>
      <c r="P141" s="26" t="n"/>
      <c r="Q141" s="25">
        <f>IF(C141="","",IF(N(N141)+N(O141)+N(P141)=0,"Not split",IF(ROUND(N(N141)+N(O141)+N(P141),2)=ROUND(H141,2),"OK","MISMATCH")))</f>
        <v/>
      </c>
      <c r="R141" s="26" t="n"/>
      <c r="S141" s="26" t="n"/>
      <c r="T141" s="26" t="n"/>
      <c r="U141" s="27">
        <f>IF(C141="","",N(R141)+N(S141)+N(T141))</f>
        <v/>
      </c>
      <c r="V141" s="27">
        <f>IF(C141="","",H141-U141)</f>
        <v/>
      </c>
      <c r="W141" s="29">
        <f>IFERROR(V141/H141,"")</f>
        <v/>
      </c>
      <c r="X141" s="24" t="n"/>
    </row>
    <row r="142" ht="15" customHeight="1">
      <c r="A142" s="63">
        <f>IF(C142="","",IFERROR(IF(SUMPRODUCT(MAX((tbl_Finance[Job Number]=C142&amp;"")*(tbl_Finance[Xero Invoice No]&lt;&gt;"")*tbl_Finance[Date]))=0,"",SUMPRODUCT(MAX((tbl_Finance[Job Number]=C142&amp;"")*(tbl_Finance[Xero Invoice No]&lt;&gt;"")*tbl_Finance[Date]))),""))</f>
        <v/>
      </c>
      <c r="B142" s="25">
        <f>IF(C142="","",IF(COUNTIFS(tbl_Finance[Job Number],C142&amp;"",tbl_Finance[Xero Invoice No],"&lt;&gt;")=0,"",IFERROR(IF(COUNTIFS(tbl_Finance[Job Number],C142&amp;"",tbl_Finance[Xero Invoice No],LOOKUP(2,1/((tbl_Finance[Job Number]=C142&amp;"")*(tbl_Finance[Xero Invoice No]&lt;&gt;"")),tbl_Finance[Xero Invoice No]))=COUNTIFS(tbl_Finance[Job Number],C142&amp;"",tbl_Finance[Xero Invoice No],"&lt;&gt;"),LOOKUP(2,1/((tbl_Finance[Job Number]=C142&amp;"")*(tbl_Finance[Xero Invoice No]&lt;&gt;"")),tbl_Finance[Xero Invoice No]),LOOKUP(2,1/((tbl_Finance[Job Number]=C142&amp;"")*(tbl_Finance[Xero Invoice No]&lt;&gt;"")),tbl_Finance[Xero Invoice No])&amp;" +more"),"")))</f>
        <v/>
      </c>
      <c r="C142" s="24" t="n"/>
      <c r="D142" s="25">
        <f>IF(C142="","",IF(COUNTIF(lst_Jobs,C142&amp;"")&gt;0,"OK","CHECK"))</f>
        <v/>
      </c>
      <c r="E142" s="25">
        <f>IF(C142="","",IFERROR(INDEX(lst_JobName,MATCH(C142&amp;"",lst_Jobs,0)),""))</f>
        <v/>
      </c>
      <c r="F142" s="25">
        <f>IF(C142="","",IFERROR(INDEX(tbl_Finance[Client],MATCH(C142&amp;"",tbl_Finance[Job Number],0)),""))</f>
        <v/>
      </c>
      <c r="G142" s="28">
        <f>IF(C142="","",COUNTIFS(tbl_Finance[Job Number],C142&amp;"",tbl_Finance[Ex GST],"&lt;&gt;"))</f>
        <v/>
      </c>
      <c r="H142" s="27">
        <f>IF(C142="","",SUMIFS(tbl_Finance[Ex GST],tbl_Finance[Job Number],C142&amp;""))</f>
        <v/>
      </c>
      <c r="I142" s="27">
        <f>IF(C142="","",SUMIFS(tbl_Finance[Ex GST],tbl_Finance[Job Number],C142&amp;"",tbl_Finance[Xero Invoice No],"&lt;&gt;"))</f>
        <v/>
      </c>
      <c r="J142" s="27">
        <f>IF(C142="","",H142-I142)</f>
        <v/>
      </c>
      <c r="K142" s="25">
        <f>IF(C142="","",IF(G142=0,"not invoiced yet",SUBSTITUTE(TRIM(IF(COUNTIFS(tbl_Finance[Job Number],C142&amp;"",tbl_Finance[Cost Centre],"ONSITE")&gt;0,"ONSITE ","")&amp;IF(COUNTIFS(tbl_Finance[Job Number],C142&amp;"",tbl_Finance[Cost Centre],"PRODUCTION")&gt;0,"PRODUCTION ","")&amp;IF(COUNTIFS(tbl_Finance[Job Number],C142&amp;"",tbl_Finance[Cost Centre],"VIDEO")&gt;0,"VIDEO ","")&amp;IF(COUNTIFS(tbl_Finance[Job Number],C142&amp;"",tbl_Finance[Cost Centre],"INTEGRATION")&gt;0,"INTEGRATION ","")&amp;IF(COUNTIFS(tbl_Finance[Job Number],C142&amp;"",tbl_Finance[Cost Centre],"CONSULTING")&gt;0,"CONSULTING ","")&amp;IF(COUNTIFS(tbl_Finance[Job Number],C142&amp;"",tbl_Finance[Cost Centre],"CTS")&gt;0,"CTS ",""))," ",", ")))</f>
        <v/>
      </c>
      <c r="L142" s="24" t="n"/>
      <c r="M142" s="25">
        <f>IF(L142="","",HYPERLINK(IF(LEFT(L142,4)="http",L142,set_QwilrBase&amp;L142),"Open quote"))</f>
        <v/>
      </c>
      <c r="N142" s="26" t="n"/>
      <c r="O142" s="26" t="n"/>
      <c r="P142" s="26" t="n"/>
      <c r="Q142" s="25">
        <f>IF(C142="","",IF(N(N142)+N(O142)+N(P142)=0,"Not split",IF(ROUND(N(N142)+N(O142)+N(P142),2)=ROUND(H142,2),"OK","MISMATCH")))</f>
        <v/>
      </c>
      <c r="R142" s="26" t="n"/>
      <c r="S142" s="26" t="n"/>
      <c r="T142" s="26" t="n"/>
      <c r="U142" s="27">
        <f>IF(C142="","",N(R142)+N(S142)+N(T142))</f>
        <v/>
      </c>
      <c r="V142" s="27">
        <f>IF(C142="","",H142-U142)</f>
        <v/>
      </c>
      <c r="W142" s="29">
        <f>IFERROR(V142/H142,"")</f>
        <v/>
      </c>
      <c r="X142" s="24" t="n"/>
    </row>
    <row r="143" ht="15" customHeight="1">
      <c r="A143" s="63">
        <f>IF(C143="","",IFERROR(IF(SUMPRODUCT(MAX((tbl_Finance[Job Number]=C143&amp;"")*(tbl_Finance[Xero Invoice No]&lt;&gt;"")*tbl_Finance[Date]))=0,"",SUMPRODUCT(MAX((tbl_Finance[Job Number]=C143&amp;"")*(tbl_Finance[Xero Invoice No]&lt;&gt;"")*tbl_Finance[Date]))),""))</f>
        <v/>
      </c>
      <c r="B143" s="25">
        <f>IF(C143="","",IF(COUNTIFS(tbl_Finance[Job Number],C143&amp;"",tbl_Finance[Xero Invoice No],"&lt;&gt;")=0,"",IFERROR(IF(COUNTIFS(tbl_Finance[Job Number],C143&amp;"",tbl_Finance[Xero Invoice No],LOOKUP(2,1/((tbl_Finance[Job Number]=C143&amp;"")*(tbl_Finance[Xero Invoice No]&lt;&gt;"")),tbl_Finance[Xero Invoice No]))=COUNTIFS(tbl_Finance[Job Number],C143&amp;"",tbl_Finance[Xero Invoice No],"&lt;&gt;"),LOOKUP(2,1/((tbl_Finance[Job Number]=C143&amp;"")*(tbl_Finance[Xero Invoice No]&lt;&gt;"")),tbl_Finance[Xero Invoice No]),LOOKUP(2,1/((tbl_Finance[Job Number]=C143&amp;"")*(tbl_Finance[Xero Invoice No]&lt;&gt;"")),tbl_Finance[Xero Invoice No])&amp;" +more"),"")))</f>
        <v/>
      </c>
      <c r="C143" s="24" t="n"/>
      <c r="D143" s="25">
        <f>IF(C143="","",IF(COUNTIF(lst_Jobs,C143&amp;"")&gt;0,"OK","CHECK"))</f>
        <v/>
      </c>
      <c r="E143" s="25">
        <f>IF(C143="","",IFERROR(INDEX(lst_JobName,MATCH(C143&amp;"",lst_Jobs,0)),""))</f>
        <v/>
      </c>
      <c r="F143" s="25">
        <f>IF(C143="","",IFERROR(INDEX(tbl_Finance[Client],MATCH(C143&amp;"",tbl_Finance[Job Number],0)),""))</f>
        <v/>
      </c>
      <c r="G143" s="28">
        <f>IF(C143="","",COUNTIFS(tbl_Finance[Job Number],C143&amp;"",tbl_Finance[Ex GST],"&lt;&gt;"))</f>
        <v/>
      </c>
      <c r="H143" s="27">
        <f>IF(C143="","",SUMIFS(tbl_Finance[Ex GST],tbl_Finance[Job Number],C143&amp;""))</f>
        <v/>
      </c>
      <c r="I143" s="27">
        <f>IF(C143="","",SUMIFS(tbl_Finance[Ex GST],tbl_Finance[Job Number],C143&amp;"",tbl_Finance[Xero Invoice No],"&lt;&gt;"))</f>
        <v/>
      </c>
      <c r="J143" s="27">
        <f>IF(C143="","",H143-I143)</f>
        <v/>
      </c>
      <c r="K143" s="25">
        <f>IF(C143="","",IF(G143=0,"not invoiced yet",SUBSTITUTE(TRIM(IF(COUNTIFS(tbl_Finance[Job Number],C143&amp;"",tbl_Finance[Cost Centre],"ONSITE")&gt;0,"ONSITE ","")&amp;IF(COUNTIFS(tbl_Finance[Job Number],C143&amp;"",tbl_Finance[Cost Centre],"PRODUCTION")&gt;0,"PRODUCTION ","")&amp;IF(COUNTIFS(tbl_Finance[Job Number],C143&amp;"",tbl_Finance[Cost Centre],"VIDEO")&gt;0,"VIDEO ","")&amp;IF(COUNTIFS(tbl_Finance[Job Number],C143&amp;"",tbl_Finance[Cost Centre],"INTEGRATION")&gt;0,"INTEGRATION ","")&amp;IF(COUNTIFS(tbl_Finance[Job Number],C143&amp;"",tbl_Finance[Cost Centre],"CONSULTING")&gt;0,"CONSULTING ","")&amp;IF(COUNTIFS(tbl_Finance[Job Number],C143&amp;"",tbl_Finance[Cost Centre],"CTS")&gt;0,"CTS ",""))," ",", ")))</f>
        <v/>
      </c>
      <c r="L143" s="24" t="n"/>
      <c r="M143" s="25">
        <f>IF(L143="","",HYPERLINK(IF(LEFT(L143,4)="http",L143,set_QwilrBase&amp;L143),"Open quote"))</f>
        <v/>
      </c>
      <c r="N143" s="26" t="n"/>
      <c r="O143" s="26" t="n"/>
      <c r="P143" s="26" t="n"/>
      <c r="Q143" s="25">
        <f>IF(C143="","",IF(N(N143)+N(O143)+N(P143)=0,"Not split",IF(ROUND(N(N143)+N(O143)+N(P143),2)=ROUND(H143,2),"OK","MISMATCH")))</f>
        <v/>
      </c>
      <c r="R143" s="26" t="n"/>
      <c r="S143" s="26" t="n"/>
      <c r="T143" s="26" t="n"/>
      <c r="U143" s="27">
        <f>IF(C143="","",N(R143)+N(S143)+N(T143))</f>
        <v/>
      </c>
      <c r="V143" s="27">
        <f>IF(C143="","",H143-U143)</f>
        <v/>
      </c>
      <c r="W143" s="29">
        <f>IFERROR(V143/H143,"")</f>
        <v/>
      </c>
      <c r="X143" s="24" t="n"/>
    </row>
    <row r="144" ht="15" customHeight="1">
      <c r="A144" s="63">
        <f>IF(C144="","",IFERROR(IF(SUMPRODUCT(MAX((tbl_Finance[Job Number]=C144&amp;"")*(tbl_Finance[Xero Invoice No]&lt;&gt;"")*tbl_Finance[Date]))=0,"",SUMPRODUCT(MAX((tbl_Finance[Job Number]=C144&amp;"")*(tbl_Finance[Xero Invoice No]&lt;&gt;"")*tbl_Finance[Date]))),""))</f>
        <v/>
      </c>
      <c r="B144" s="25">
        <f>IF(C144="","",IF(COUNTIFS(tbl_Finance[Job Number],C144&amp;"",tbl_Finance[Xero Invoice No],"&lt;&gt;")=0,"",IFERROR(IF(COUNTIFS(tbl_Finance[Job Number],C144&amp;"",tbl_Finance[Xero Invoice No],LOOKUP(2,1/((tbl_Finance[Job Number]=C144&amp;"")*(tbl_Finance[Xero Invoice No]&lt;&gt;"")),tbl_Finance[Xero Invoice No]))=COUNTIFS(tbl_Finance[Job Number],C144&amp;"",tbl_Finance[Xero Invoice No],"&lt;&gt;"),LOOKUP(2,1/((tbl_Finance[Job Number]=C144&amp;"")*(tbl_Finance[Xero Invoice No]&lt;&gt;"")),tbl_Finance[Xero Invoice No]),LOOKUP(2,1/((tbl_Finance[Job Number]=C144&amp;"")*(tbl_Finance[Xero Invoice No]&lt;&gt;"")),tbl_Finance[Xero Invoice No])&amp;" +more"),"")))</f>
        <v/>
      </c>
      <c r="C144" s="24" t="n"/>
      <c r="D144" s="25">
        <f>IF(C144="","",IF(COUNTIF(lst_Jobs,C144&amp;"")&gt;0,"OK","CHECK"))</f>
        <v/>
      </c>
      <c r="E144" s="25">
        <f>IF(C144="","",IFERROR(INDEX(lst_JobName,MATCH(C144&amp;"",lst_Jobs,0)),""))</f>
        <v/>
      </c>
      <c r="F144" s="25">
        <f>IF(C144="","",IFERROR(INDEX(tbl_Finance[Client],MATCH(C144&amp;"",tbl_Finance[Job Number],0)),""))</f>
        <v/>
      </c>
      <c r="G144" s="28">
        <f>IF(C144="","",COUNTIFS(tbl_Finance[Job Number],C144&amp;"",tbl_Finance[Ex GST],"&lt;&gt;"))</f>
        <v/>
      </c>
      <c r="H144" s="27">
        <f>IF(C144="","",SUMIFS(tbl_Finance[Ex GST],tbl_Finance[Job Number],C144&amp;""))</f>
        <v/>
      </c>
      <c r="I144" s="27">
        <f>IF(C144="","",SUMIFS(tbl_Finance[Ex GST],tbl_Finance[Job Number],C144&amp;"",tbl_Finance[Xero Invoice No],"&lt;&gt;"))</f>
        <v/>
      </c>
      <c r="J144" s="27">
        <f>IF(C144="","",H144-I144)</f>
        <v/>
      </c>
      <c r="K144" s="25">
        <f>IF(C144="","",IF(G144=0,"not invoiced yet",SUBSTITUTE(TRIM(IF(COUNTIFS(tbl_Finance[Job Number],C144&amp;"",tbl_Finance[Cost Centre],"ONSITE")&gt;0,"ONSITE ","")&amp;IF(COUNTIFS(tbl_Finance[Job Number],C144&amp;"",tbl_Finance[Cost Centre],"PRODUCTION")&gt;0,"PRODUCTION ","")&amp;IF(COUNTIFS(tbl_Finance[Job Number],C144&amp;"",tbl_Finance[Cost Centre],"VIDEO")&gt;0,"VIDEO ","")&amp;IF(COUNTIFS(tbl_Finance[Job Number],C144&amp;"",tbl_Finance[Cost Centre],"INTEGRATION")&gt;0,"INTEGRATION ","")&amp;IF(COUNTIFS(tbl_Finance[Job Number],C144&amp;"",tbl_Finance[Cost Centre],"CONSULTING")&gt;0,"CONSULTING ","")&amp;IF(COUNTIFS(tbl_Finance[Job Number],C144&amp;"",tbl_Finance[Cost Centre],"CTS")&gt;0,"CTS ",""))," ",", ")))</f>
        <v/>
      </c>
      <c r="L144" s="24" t="n"/>
      <c r="M144" s="25">
        <f>IF(L144="","",HYPERLINK(IF(LEFT(L144,4)="http",L144,set_QwilrBase&amp;L144),"Open quote"))</f>
        <v/>
      </c>
      <c r="N144" s="26" t="n"/>
      <c r="O144" s="26" t="n"/>
      <c r="P144" s="26" t="n"/>
      <c r="Q144" s="25">
        <f>IF(C144="","",IF(N(N144)+N(O144)+N(P144)=0,"Not split",IF(ROUND(N(N144)+N(O144)+N(P144),2)=ROUND(H144,2),"OK","MISMATCH")))</f>
        <v/>
      </c>
      <c r="R144" s="26" t="n"/>
      <c r="S144" s="26" t="n"/>
      <c r="T144" s="26" t="n"/>
      <c r="U144" s="27">
        <f>IF(C144="","",N(R144)+N(S144)+N(T144))</f>
        <v/>
      </c>
      <c r="V144" s="27">
        <f>IF(C144="","",H144-U144)</f>
        <v/>
      </c>
      <c r="W144" s="29">
        <f>IFERROR(V144/H144,"")</f>
        <v/>
      </c>
      <c r="X144" s="24" t="n"/>
    </row>
    <row r="145" ht="15" customHeight="1">
      <c r="A145" s="63">
        <f>IF(C145="","",IFERROR(IF(SUMPRODUCT(MAX((tbl_Finance[Job Number]=C145&amp;"")*(tbl_Finance[Xero Invoice No]&lt;&gt;"")*tbl_Finance[Date]))=0,"",SUMPRODUCT(MAX((tbl_Finance[Job Number]=C145&amp;"")*(tbl_Finance[Xero Invoice No]&lt;&gt;"")*tbl_Finance[Date]))),""))</f>
        <v/>
      </c>
      <c r="B145" s="25">
        <f>IF(C145="","",IF(COUNTIFS(tbl_Finance[Job Number],C145&amp;"",tbl_Finance[Xero Invoice No],"&lt;&gt;")=0,"",IFERROR(IF(COUNTIFS(tbl_Finance[Job Number],C145&amp;"",tbl_Finance[Xero Invoice No],LOOKUP(2,1/((tbl_Finance[Job Number]=C145&amp;"")*(tbl_Finance[Xero Invoice No]&lt;&gt;"")),tbl_Finance[Xero Invoice No]))=COUNTIFS(tbl_Finance[Job Number],C145&amp;"",tbl_Finance[Xero Invoice No],"&lt;&gt;"),LOOKUP(2,1/((tbl_Finance[Job Number]=C145&amp;"")*(tbl_Finance[Xero Invoice No]&lt;&gt;"")),tbl_Finance[Xero Invoice No]),LOOKUP(2,1/((tbl_Finance[Job Number]=C145&amp;"")*(tbl_Finance[Xero Invoice No]&lt;&gt;"")),tbl_Finance[Xero Invoice No])&amp;" +more"),"")))</f>
        <v/>
      </c>
      <c r="C145" s="24" t="n"/>
      <c r="D145" s="25">
        <f>IF(C145="","",IF(COUNTIF(lst_Jobs,C145&amp;"")&gt;0,"OK","CHECK"))</f>
        <v/>
      </c>
      <c r="E145" s="25">
        <f>IF(C145="","",IFERROR(INDEX(lst_JobName,MATCH(C145&amp;"",lst_Jobs,0)),""))</f>
        <v/>
      </c>
      <c r="F145" s="25">
        <f>IF(C145="","",IFERROR(INDEX(tbl_Finance[Client],MATCH(C145&amp;"",tbl_Finance[Job Number],0)),""))</f>
        <v/>
      </c>
      <c r="G145" s="28">
        <f>IF(C145="","",COUNTIFS(tbl_Finance[Job Number],C145&amp;"",tbl_Finance[Ex GST],"&lt;&gt;"))</f>
        <v/>
      </c>
      <c r="H145" s="27">
        <f>IF(C145="","",SUMIFS(tbl_Finance[Ex GST],tbl_Finance[Job Number],C145&amp;""))</f>
        <v/>
      </c>
      <c r="I145" s="27">
        <f>IF(C145="","",SUMIFS(tbl_Finance[Ex GST],tbl_Finance[Job Number],C145&amp;"",tbl_Finance[Xero Invoice No],"&lt;&gt;"))</f>
        <v/>
      </c>
      <c r="J145" s="27">
        <f>IF(C145="","",H145-I145)</f>
        <v/>
      </c>
      <c r="K145" s="25">
        <f>IF(C145="","",IF(G145=0,"not invoiced yet",SUBSTITUTE(TRIM(IF(COUNTIFS(tbl_Finance[Job Number],C145&amp;"",tbl_Finance[Cost Centre],"ONSITE")&gt;0,"ONSITE ","")&amp;IF(COUNTIFS(tbl_Finance[Job Number],C145&amp;"",tbl_Finance[Cost Centre],"PRODUCTION")&gt;0,"PRODUCTION ","")&amp;IF(COUNTIFS(tbl_Finance[Job Number],C145&amp;"",tbl_Finance[Cost Centre],"VIDEO")&gt;0,"VIDEO ","")&amp;IF(COUNTIFS(tbl_Finance[Job Number],C145&amp;"",tbl_Finance[Cost Centre],"INTEGRATION")&gt;0,"INTEGRATION ","")&amp;IF(COUNTIFS(tbl_Finance[Job Number],C145&amp;"",tbl_Finance[Cost Centre],"CONSULTING")&gt;0,"CONSULTING ","")&amp;IF(COUNTIFS(tbl_Finance[Job Number],C145&amp;"",tbl_Finance[Cost Centre],"CTS")&gt;0,"CTS ",""))," ",", ")))</f>
        <v/>
      </c>
      <c r="L145" s="24" t="n"/>
      <c r="M145" s="25">
        <f>IF(L145="","",HYPERLINK(IF(LEFT(L145,4)="http",L145,set_QwilrBase&amp;L145),"Open quote"))</f>
        <v/>
      </c>
      <c r="N145" s="26" t="n"/>
      <c r="O145" s="26" t="n"/>
      <c r="P145" s="26" t="n"/>
      <c r="Q145" s="25">
        <f>IF(C145="","",IF(N(N145)+N(O145)+N(P145)=0,"Not split",IF(ROUND(N(N145)+N(O145)+N(P145),2)=ROUND(H145,2),"OK","MISMATCH")))</f>
        <v/>
      </c>
      <c r="R145" s="26" t="n"/>
      <c r="S145" s="26" t="n"/>
      <c r="T145" s="26" t="n"/>
      <c r="U145" s="27">
        <f>IF(C145="","",N(R145)+N(S145)+N(T145))</f>
        <v/>
      </c>
      <c r="V145" s="27">
        <f>IF(C145="","",H145-U145)</f>
        <v/>
      </c>
      <c r="W145" s="29">
        <f>IFERROR(V145/H145,"")</f>
        <v/>
      </c>
      <c r="X145" s="24" t="n"/>
    </row>
    <row r="146" ht="15" customHeight="1">
      <c r="A146" s="63">
        <f>IF(C146="","",IFERROR(IF(SUMPRODUCT(MAX((tbl_Finance[Job Number]=C146&amp;"")*(tbl_Finance[Xero Invoice No]&lt;&gt;"")*tbl_Finance[Date]))=0,"",SUMPRODUCT(MAX((tbl_Finance[Job Number]=C146&amp;"")*(tbl_Finance[Xero Invoice No]&lt;&gt;"")*tbl_Finance[Date]))),""))</f>
        <v/>
      </c>
      <c r="B146" s="25">
        <f>IF(C146="","",IF(COUNTIFS(tbl_Finance[Job Number],C146&amp;"",tbl_Finance[Xero Invoice No],"&lt;&gt;")=0,"",IFERROR(IF(COUNTIFS(tbl_Finance[Job Number],C146&amp;"",tbl_Finance[Xero Invoice No],LOOKUP(2,1/((tbl_Finance[Job Number]=C146&amp;"")*(tbl_Finance[Xero Invoice No]&lt;&gt;"")),tbl_Finance[Xero Invoice No]))=COUNTIFS(tbl_Finance[Job Number],C146&amp;"",tbl_Finance[Xero Invoice No],"&lt;&gt;"),LOOKUP(2,1/((tbl_Finance[Job Number]=C146&amp;"")*(tbl_Finance[Xero Invoice No]&lt;&gt;"")),tbl_Finance[Xero Invoice No]),LOOKUP(2,1/((tbl_Finance[Job Number]=C146&amp;"")*(tbl_Finance[Xero Invoice No]&lt;&gt;"")),tbl_Finance[Xero Invoice No])&amp;" +more"),"")))</f>
        <v/>
      </c>
      <c r="C146" s="24" t="n"/>
      <c r="D146" s="25">
        <f>IF(C146="","",IF(COUNTIF(lst_Jobs,C146&amp;"")&gt;0,"OK","CHECK"))</f>
        <v/>
      </c>
      <c r="E146" s="25">
        <f>IF(C146="","",IFERROR(INDEX(lst_JobName,MATCH(C146&amp;"",lst_Jobs,0)),""))</f>
        <v/>
      </c>
      <c r="F146" s="25">
        <f>IF(C146="","",IFERROR(INDEX(tbl_Finance[Client],MATCH(C146&amp;"",tbl_Finance[Job Number],0)),""))</f>
        <v/>
      </c>
      <c r="G146" s="28">
        <f>IF(C146="","",COUNTIFS(tbl_Finance[Job Number],C146&amp;"",tbl_Finance[Ex GST],"&lt;&gt;"))</f>
        <v/>
      </c>
      <c r="H146" s="27">
        <f>IF(C146="","",SUMIFS(tbl_Finance[Ex GST],tbl_Finance[Job Number],C146&amp;""))</f>
        <v/>
      </c>
      <c r="I146" s="27">
        <f>IF(C146="","",SUMIFS(tbl_Finance[Ex GST],tbl_Finance[Job Number],C146&amp;"",tbl_Finance[Xero Invoice No],"&lt;&gt;"))</f>
        <v/>
      </c>
      <c r="J146" s="27">
        <f>IF(C146="","",H146-I146)</f>
        <v/>
      </c>
      <c r="K146" s="25">
        <f>IF(C146="","",IF(G146=0,"not invoiced yet",SUBSTITUTE(TRIM(IF(COUNTIFS(tbl_Finance[Job Number],C146&amp;"",tbl_Finance[Cost Centre],"ONSITE")&gt;0,"ONSITE ","")&amp;IF(COUNTIFS(tbl_Finance[Job Number],C146&amp;"",tbl_Finance[Cost Centre],"PRODUCTION")&gt;0,"PRODUCTION ","")&amp;IF(COUNTIFS(tbl_Finance[Job Number],C146&amp;"",tbl_Finance[Cost Centre],"VIDEO")&gt;0,"VIDEO ","")&amp;IF(COUNTIFS(tbl_Finance[Job Number],C146&amp;"",tbl_Finance[Cost Centre],"INTEGRATION")&gt;0,"INTEGRATION ","")&amp;IF(COUNTIFS(tbl_Finance[Job Number],C146&amp;"",tbl_Finance[Cost Centre],"CONSULTING")&gt;0,"CONSULTING ","")&amp;IF(COUNTIFS(tbl_Finance[Job Number],C146&amp;"",tbl_Finance[Cost Centre],"CTS")&gt;0,"CTS ",""))," ",", ")))</f>
        <v/>
      </c>
      <c r="L146" s="24" t="n"/>
      <c r="M146" s="25">
        <f>IF(L146="","",HYPERLINK(IF(LEFT(L146,4)="http",L146,set_QwilrBase&amp;L146),"Open quote"))</f>
        <v/>
      </c>
      <c r="N146" s="26" t="n"/>
      <c r="O146" s="26" t="n"/>
      <c r="P146" s="26" t="n"/>
      <c r="Q146" s="25">
        <f>IF(C146="","",IF(N(N146)+N(O146)+N(P146)=0,"Not split",IF(ROUND(N(N146)+N(O146)+N(P146),2)=ROUND(H146,2),"OK","MISMATCH")))</f>
        <v/>
      </c>
      <c r="R146" s="26" t="n"/>
      <c r="S146" s="26" t="n"/>
      <c r="T146" s="26" t="n"/>
      <c r="U146" s="27">
        <f>IF(C146="","",N(R146)+N(S146)+N(T146))</f>
        <v/>
      </c>
      <c r="V146" s="27">
        <f>IF(C146="","",H146-U146)</f>
        <v/>
      </c>
      <c r="W146" s="29">
        <f>IFERROR(V146/H146,"")</f>
        <v/>
      </c>
      <c r="X146" s="24" t="n"/>
    </row>
    <row r="147" ht="15" customHeight="1">
      <c r="A147" s="63">
        <f>IF(C147="","",IFERROR(IF(SUMPRODUCT(MAX((tbl_Finance[Job Number]=C147&amp;"")*(tbl_Finance[Xero Invoice No]&lt;&gt;"")*tbl_Finance[Date]))=0,"",SUMPRODUCT(MAX((tbl_Finance[Job Number]=C147&amp;"")*(tbl_Finance[Xero Invoice No]&lt;&gt;"")*tbl_Finance[Date]))),""))</f>
        <v/>
      </c>
      <c r="B147" s="25">
        <f>IF(C147="","",IF(COUNTIFS(tbl_Finance[Job Number],C147&amp;"",tbl_Finance[Xero Invoice No],"&lt;&gt;")=0,"",IFERROR(IF(COUNTIFS(tbl_Finance[Job Number],C147&amp;"",tbl_Finance[Xero Invoice No],LOOKUP(2,1/((tbl_Finance[Job Number]=C147&amp;"")*(tbl_Finance[Xero Invoice No]&lt;&gt;"")),tbl_Finance[Xero Invoice No]))=COUNTIFS(tbl_Finance[Job Number],C147&amp;"",tbl_Finance[Xero Invoice No],"&lt;&gt;"),LOOKUP(2,1/((tbl_Finance[Job Number]=C147&amp;"")*(tbl_Finance[Xero Invoice No]&lt;&gt;"")),tbl_Finance[Xero Invoice No]),LOOKUP(2,1/((tbl_Finance[Job Number]=C147&amp;"")*(tbl_Finance[Xero Invoice No]&lt;&gt;"")),tbl_Finance[Xero Invoice No])&amp;" +more"),"")))</f>
        <v/>
      </c>
      <c r="C147" s="24" t="n"/>
      <c r="D147" s="25">
        <f>IF(C147="","",IF(COUNTIF(lst_Jobs,C147&amp;"")&gt;0,"OK","CHECK"))</f>
        <v/>
      </c>
      <c r="E147" s="25">
        <f>IF(C147="","",IFERROR(INDEX(lst_JobName,MATCH(C147&amp;"",lst_Jobs,0)),""))</f>
        <v/>
      </c>
      <c r="F147" s="25">
        <f>IF(C147="","",IFERROR(INDEX(tbl_Finance[Client],MATCH(C147&amp;"",tbl_Finance[Job Number],0)),""))</f>
        <v/>
      </c>
      <c r="G147" s="28">
        <f>IF(C147="","",COUNTIFS(tbl_Finance[Job Number],C147&amp;"",tbl_Finance[Ex GST],"&lt;&gt;"))</f>
        <v/>
      </c>
      <c r="H147" s="27">
        <f>IF(C147="","",SUMIFS(tbl_Finance[Ex GST],tbl_Finance[Job Number],C147&amp;""))</f>
        <v/>
      </c>
      <c r="I147" s="27">
        <f>IF(C147="","",SUMIFS(tbl_Finance[Ex GST],tbl_Finance[Job Number],C147&amp;"",tbl_Finance[Xero Invoice No],"&lt;&gt;"))</f>
        <v/>
      </c>
      <c r="J147" s="27">
        <f>IF(C147="","",H147-I147)</f>
        <v/>
      </c>
      <c r="K147" s="25">
        <f>IF(C147="","",IF(G147=0,"not invoiced yet",SUBSTITUTE(TRIM(IF(COUNTIFS(tbl_Finance[Job Number],C147&amp;"",tbl_Finance[Cost Centre],"ONSITE")&gt;0,"ONSITE ","")&amp;IF(COUNTIFS(tbl_Finance[Job Number],C147&amp;"",tbl_Finance[Cost Centre],"PRODUCTION")&gt;0,"PRODUCTION ","")&amp;IF(COUNTIFS(tbl_Finance[Job Number],C147&amp;"",tbl_Finance[Cost Centre],"VIDEO")&gt;0,"VIDEO ","")&amp;IF(COUNTIFS(tbl_Finance[Job Number],C147&amp;"",tbl_Finance[Cost Centre],"INTEGRATION")&gt;0,"INTEGRATION ","")&amp;IF(COUNTIFS(tbl_Finance[Job Number],C147&amp;"",tbl_Finance[Cost Centre],"CONSULTING")&gt;0,"CONSULTING ","")&amp;IF(COUNTIFS(tbl_Finance[Job Number],C147&amp;"",tbl_Finance[Cost Centre],"CTS")&gt;0,"CTS ",""))," ",", ")))</f>
        <v/>
      </c>
      <c r="L147" s="24" t="n"/>
      <c r="M147" s="25">
        <f>IF(L147="","",HYPERLINK(IF(LEFT(L147,4)="http",L147,set_QwilrBase&amp;L147),"Open quote"))</f>
        <v/>
      </c>
      <c r="N147" s="26" t="n"/>
      <c r="O147" s="26" t="n"/>
      <c r="P147" s="26" t="n"/>
      <c r="Q147" s="25">
        <f>IF(C147="","",IF(N(N147)+N(O147)+N(P147)=0,"Not split",IF(ROUND(N(N147)+N(O147)+N(P147),2)=ROUND(H147,2),"OK","MISMATCH")))</f>
        <v/>
      </c>
      <c r="R147" s="26" t="n"/>
      <c r="S147" s="26" t="n"/>
      <c r="T147" s="26" t="n"/>
      <c r="U147" s="27">
        <f>IF(C147="","",N(R147)+N(S147)+N(T147))</f>
        <v/>
      </c>
      <c r="V147" s="27">
        <f>IF(C147="","",H147-U147)</f>
        <v/>
      </c>
      <c r="W147" s="29">
        <f>IFERROR(V147/H147,"")</f>
        <v/>
      </c>
      <c r="X147" s="24" t="n"/>
    </row>
    <row r="148" ht="15" customHeight="1">
      <c r="A148" s="63">
        <f>IF(C148="","",IFERROR(IF(SUMPRODUCT(MAX((tbl_Finance[Job Number]=C148&amp;"")*(tbl_Finance[Xero Invoice No]&lt;&gt;"")*tbl_Finance[Date]))=0,"",SUMPRODUCT(MAX((tbl_Finance[Job Number]=C148&amp;"")*(tbl_Finance[Xero Invoice No]&lt;&gt;"")*tbl_Finance[Date]))),""))</f>
        <v/>
      </c>
      <c r="B148" s="25">
        <f>IF(C148="","",IF(COUNTIFS(tbl_Finance[Job Number],C148&amp;"",tbl_Finance[Xero Invoice No],"&lt;&gt;")=0,"",IFERROR(IF(COUNTIFS(tbl_Finance[Job Number],C148&amp;"",tbl_Finance[Xero Invoice No],LOOKUP(2,1/((tbl_Finance[Job Number]=C148&amp;"")*(tbl_Finance[Xero Invoice No]&lt;&gt;"")),tbl_Finance[Xero Invoice No]))=COUNTIFS(tbl_Finance[Job Number],C148&amp;"",tbl_Finance[Xero Invoice No],"&lt;&gt;"),LOOKUP(2,1/((tbl_Finance[Job Number]=C148&amp;"")*(tbl_Finance[Xero Invoice No]&lt;&gt;"")),tbl_Finance[Xero Invoice No]),LOOKUP(2,1/((tbl_Finance[Job Number]=C148&amp;"")*(tbl_Finance[Xero Invoice No]&lt;&gt;"")),tbl_Finance[Xero Invoice No])&amp;" +more"),"")))</f>
        <v/>
      </c>
      <c r="C148" s="24" t="n"/>
      <c r="D148" s="25">
        <f>IF(C148="","",IF(COUNTIF(lst_Jobs,C148&amp;"")&gt;0,"OK","CHECK"))</f>
        <v/>
      </c>
      <c r="E148" s="25">
        <f>IF(C148="","",IFERROR(INDEX(lst_JobName,MATCH(C148&amp;"",lst_Jobs,0)),""))</f>
        <v/>
      </c>
      <c r="F148" s="25">
        <f>IF(C148="","",IFERROR(INDEX(tbl_Finance[Client],MATCH(C148&amp;"",tbl_Finance[Job Number],0)),""))</f>
        <v/>
      </c>
      <c r="G148" s="28">
        <f>IF(C148="","",COUNTIFS(tbl_Finance[Job Number],C148&amp;"",tbl_Finance[Ex GST],"&lt;&gt;"))</f>
        <v/>
      </c>
      <c r="H148" s="27">
        <f>IF(C148="","",SUMIFS(tbl_Finance[Ex GST],tbl_Finance[Job Number],C148&amp;""))</f>
        <v/>
      </c>
      <c r="I148" s="27">
        <f>IF(C148="","",SUMIFS(tbl_Finance[Ex GST],tbl_Finance[Job Number],C148&amp;"",tbl_Finance[Xero Invoice No],"&lt;&gt;"))</f>
        <v/>
      </c>
      <c r="J148" s="27">
        <f>IF(C148="","",H148-I148)</f>
        <v/>
      </c>
      <c r="K148" s="25">
        <f>IF(C148="","",IF(G148=0,"not invoiced yet",SUBSTITUTE(TRIM(IF(COUNTIFS(tbl_Finance[Job Number],C148&amp;"",tbl_Finance[Cost Centre],"ONSITE")&gt;0,"ONSITE ","")&amp;IF(COUNTIFS(tbl_Finance[Job Number],C148&amp;"",tbl_Finance[Cost Centre],"PRODUCTION")&gt;0,"PRODUCTION ","")&amp;IF(COUNTIFS(tbl_Finance[Job Number],C148&amp;"",tbl_Finance[Cost Centre],"VIDEO")&gt;0,"VIDEO ","")&amp;IF(COUNTIFS(tbl_Finance[Job Number],C148&amp;"",tbl_Finance[Cost Centre],"INTEGRATION")&gt;0,"INTEGRATION ","")&amp;IF(COUNTIFS(tbl_Finance[Job Number],C148&amp;"",tbl_Finance[Cost Centre],"CONSULTING")&gt;0,"CONSULTING ","")&amp;IF(COUNTIFS(tbl_Finance[Job Number],C148&amp;"",tbl_Finance[Cost Centre],"CTS")&gt;0,"CTS ",""))," ",", ")))</f>
        <v/>
      </c>
      <c r="L148" s="24" t="n"/>
      <c r="M148" s="25">
        <f>IF(L148="","",HYPERLINK(IF(LEFT(L148,4)="http",L148,set_QwilrBase&amp;L148),"Open quote"))</f>
        <v/>
      </c>
      <c r="N148" s="26" t="n"/>
      <c r="O148" s="26" t="n"/>
      <c r="P148" s="26" t="n"/>
      <c r="Q148" s="25">
        <f>IF(C148="","",IF(N(N148)+N(O148)+N(P148)=0,"Not split",IF(ROUND(N(N148)+N(O148)+N(P148),2)=ROUND(H148,2),"OK","MISMATCH")))</f>
        <v/>
      </c>
      <c r="R148" s="26" t="n"/>
      <c r="S148" s="26" t="n"/>
      <c r="T148" s="26" t="n"/>
      <c r="U148" s="27">
        <f>IF(C148="","",N(R148)+N(S148)+N(T148))</f>
        <v/>
      </c>
      <c r="V148" s="27">
        <f>IF(C148="","",H148-U148)</f>
        <v/>
      </c>
      <c r="W148" s="29">
        <f>IFERROR(V148/H148,"")</f>
        <v/>
      </c>
      <c r="X148" s="24" t="n"/>
    </row>
    <row r="149" ht="15" customHeight="1">
      <c r="A149" s="63">
        <f>IF(C149="","",IFERROR(IF(SUMPRODUCT(MAX((tbl_Finance[Job Number]=C149&amp;"")*(tbl_Finance[Xero Invoice No]&lt;&gt;"")*tbl_Finance[Date]))=0,"",SUMPRODUCT(MAX((tbl_Finance[Job Number]=C149&amp;"")*(tbl_Finance[Xero Invoice No]&lt;&gt;"")*tbl_Finance[Date]))),""))</f>
        <v/>
      </c>
      <c r="B149" s="25">
        <f>IF(C149="","",IF(COUNTIFS(tbl_Finance[Job Number],C149&amp;"",tbl_Finance[Xero Invoice No],"&lt;&gt;")=0,"",IFERROR(IF(COUNTIFS(tbl_Finance[Job Number],C149&amp;"",tbl_Finance[Xero Invoice No],LOOKUP(2,1/((tbl_Finance[Job Number]=C149&amp;"")*(tbl_Finance[Xero Invoice No]&lt;&gt;"")),tbl_Finance[Xero Invoice No]))=COUNTIFS(tbl_Finance[Job Number],C149&amp;"",tbl_Finance[Xero Invoice No],"&lt;&gt;"),LOOKUP(2,1/((tbl_Finance[Job Number]=C149&amp;"")*(tbl_Finance[Xero Invoice No]&lt;&gt;"")),tbl_Finance[Xero Invoice No]),LOOKUP(2,1/((tbl_Finance[Job Number]=C149&amp;"")*(tbl_Finance[Xero Invoice No]&lt;&gt;"")),tbl_Finance[Xero Invoice No])&amp;" +more"),"")))</f>
        <v/>
      </c>
      <c r="C149" s="24" t="n"/>
      <c r="D149" s="25">
        <f>IF(C149="","",IF(COUNTIF(lst_Jobs,C149&amp;"")&gt;0,"OK","CHECK"))</f>
        <v/>
      </c>
      <c r="E149" s="25">
        <f>IF(C149="","",IFERROR(INDEX(lst_JobName,MATCH(C149&amp;"",lst_Jobs,0)),""))</f>
        <v/>
      </c>
      <c r="F149" s="25">
        <f>IF(C149="","",IFERROR(INDEX(tbl_Finance[Client],MATCH(C149&amp;"",tbl_Finance[Job Number],0)),""))</f>
        <v/>
      </c>
      <c r="G149" s="28">
        <f>IF(C149="","",COUNTIFS(tbl_Finance[Job Number],C149&amp;"",tbl_Finance[Ex GST],"&lt;&gt;"))</f>
        <v/>
      </c>
      <c r="H149" s="27">
        <f>IF(C149="","",SUMIFS(tbl_Finance[Ex GST],tbl_Finance[Job Number],C149&amp;""))</f>
        <v/>
      </c>
      <c r="I149" s="27">
        <f>IF(C149="","",SUMIFS(tbl_Finance[Ex GST],tbl_Finance[Job Number],C149&amp;"",tbl_Finance[Xero Invoice No],"&lt;&gt;"))</f>
        <v/>
      </c>
      <c r="J149" s="27">
        <f>IF(C149="","",H149-I149)</f>
        <v/>
      </c>
      <c r="K149" s="25">
        <f>IF(C149="","",IF(G149=0,"not invoiced yet",SUBSTITUTE(TRIM(IF(COUNTIFS(tbl_Finance[Job Number],C149&amp;"",tbl_Finance[Cost Centre],"ONSITE")&gt;0,"ONSITE ","")&amp;IF(COUNTIFS(tbl_Finance[Job Number],C149&amp;"",tbl_Finance[Cost Centre],"PRODUCTION")&gt;0,"PRODUCTION ","")&amp;IF(COUNTIFS(tbl_Finance[Job Number],C149&amp;"",tbl_Finance[Cost Centre],"VIDEO")&gt;0,"VIDEO ","")&amp;IF(COUNTIFS(tbl_Finance[Job Number],C149&amp;"",tbl_Finance[Cost Centre],"INTEGRATION")&gt;0,"INTEGRATION ","")&amp;IF(COUNTIFS(tbl_Finance[Job Number],C149&amp;"",tbl_Finance[Cost Centre],"CONSULTING")&gt;0,"CONSULTING ","")&amp;IF(COUNTIFS(tbl_Finance[Job Number],C149&amp;"",tbl_Finance[Cost Centre],"CTS")&gt;0,"CTS ",""))," ",", ")))</f>
        <v/>
      </c>
      <c r="L149" s="24" t="n"/>
      <c r="M149" s="25">
        <f>IF(L149="","",HYPERLINK(IF(LEFT(L149,4)="http",L149,set_QwilrBase&amp;L149),"Open quote"))</f>
        <v/>
      </c>
      <c r="N149" s="26" t="n"/>
      <c r="O149" s="26" t="n"/>
      <c r="P149" s="26" t="n"/>
      <c r="Q149" s="25">
        <f>IF(C149="","",IF(N(N149)+N(O149)+N(P149)=0,"Not split",IF(ROUND(N(N149)+N(O149)+N(P149),2)=ROUND(H149,2),"OK","MISMATCH")))</f>
        <v/>
      </c>
      <c r="R149" s="26" t="n"/>
      <c r="S149" s="26" t="n"/>
      <c r="T149" s="26" t="n"/>
      <c r="U149" s="27">
        <f>IF(C149="","",N(R149)+N(S149)+N(T149))</f>
        <v/>
      </c>
      <c r="V149" s="27">
        <f>IF(C149="","",H149-U149)</f>
        <v/>
      </c>
      <c r="W149" s="29">
        <f>IFERROR(V149/H149,"")</f>
        <v/>
      </c>
      <c r="X149" s="24" t="n"/>
    </row>
    <row r="150" ht="15" customHeight="1">
      <c r="A150" s="63">
        <f>IF(C150="","",IFERROR(IF(SUMPRODUCT(MAX((tbl_Finance[Job Number]=C150&amp;"")*(tbl_Finance[Xero Invoice No]&lt;&gt;"")*tbl_Finance[Date]))=0,"",SUMPRODUCT(MAX((tbl_Finance[Job Number]=C150&amp;"")*(tbl_Finance[Xero Invoice No]&lt;&gt;"")*tbl_Finance[Date]))),""))</f>
        <v/>
      </c>
      <c r="B150" s="25">
        <f>IF(C150="","",IF(COUNTIFS(tbl_Finance[Job Number],C150&amp;"",tbl_Finance[Xero Invoice No],"&lt;&gt;")=0,"",IFERROR(IF(COUNTIFS(tbl_Finance[Job Number],C150&amp;"",tbl_Finance[Xero Invoice No],LOOKUP(2,1/((tbl_Finance[Job Number]=C150&amp;"")*(tbl_Finance[Xero Invoice No]&lt;&gt;"")),tbl_Finance[Xero Invoice No]))=COUNTIFS(tbl_Finance[Job Number],C150&amp;"",tbl_Finance[Xero Invoice No],"&lt;&gt;"),LOOKUP(2,1/((tbl_Finance[Job Number]=C150&amp;"")*(tbl_Finance[Xero Invoice No]&lt;&gt;"")),tbl_Finance[Xero Invoice No]),LOOKUP(2,1/((tbl_Finance[Job Number]=C150&amp;"")*(tbl_Finance[Xero Invoice No]&lt;&gt;"")),tbl_Finance[Xero Invoice No])&amp;" +more"),"")))</f>
        <v/>
      </c>
      <c r="C150" s="24" t="n"/>
      <c r="D150" s="25">
        <f>IF(C150="","",IF(COUNTIF(lst_Jobs,C150&amp;"")&gt;0,"OK","CHECK"))</f>
        <v/>
      </c>
      <c r="E150" s="25">
        <f>IF(C150="","",IFERROR(INDEX(lst_JobName,MATCH(C150&amp;"",lst_Jobs,0)),""))</f>
        <v/>
      </c>
      <c r="F150" s="25">
        <f>IF(C150="","",IFERROR(INDEX(tbl_Finance[Client],MATCH(C150&amp;"",tbl_Finance[Job Number],0)),""))</f>
        <v/>
      </c>
      <c r="G150" s="28">
        <f>IF(C150="","",COUNTIFS(tbl_Finance[Job Number],C150&amp;"",tbl_Finance[Ex GST],"&lt;&gt;"))</f>
        <v/>
      </c>
      <c r="H150" s="27">
        <f>IF(C150="","",SUMIFS(tbl_Finance[Ex GST],tbl_Finance[Job Number],C150&amp;""))</f>
        <v/>
      </c>
      <c r="I150" s="27">
        <f>IF(C150="","",SUMIFS(tbl_Finance[Ex GST],tbl_Finance[Job Number],C150&amp;"",tbl_Finance[Xero Invoice No],"&lt;&gt;"))</f>
        <v/>
      </c>
      <c r="J150" s="27">
        <f>IF(C150="","",H150-I150)</f>
        <v/>
      </c>
      <c r="K150" s="25">
        <f>IF(C150="","",IF(G150=0,"not invoiced yet",SUBSTITUTE(TRIM(IF(COUNTIFS(tbl_Finance[Job Number],C150&amp;"",tbl_Finance[Cost Centre],"ONSITE")&gt;0,"ONSITE ","")&amp;IF(COUNTIFS(tbl_Finance[Job Number],C150&amp;"",tbl_Finance[Cost Centre],"PRODUCTION")&gt;0,"PRODUCTION ","")&amp;IF(COUNTIFS(tbl_Finance[Job Number],C150&amp;"",tbl_Finance[Cost Centre],"VIDEO")&gt;0,"VIDEO ","")&amp;IF(COUNTIFS(tbl_Finance[Job Number],C150&amp;"",tbl_Finance[Cost Centre],"INTEGRATION")&gt;0,"INTEGRATION ","")&amp;IF(COUNTIFS(tbl_Finance[Job Number],C150&amp;"",tbl_Finance[Cost Centre],"CONSULTING")&gt;0,"CONSULTING ","")&amp;IF(COUNTIFS(tbl_Finance[Job Number],C150&amp;"",tbl_Finance[Cost Centre],"CTS")&gt;0,"CTS ",""))," ",", ")))</f>
        <v/>
      </c>
      <c r="L150" s="24" t="n"/>
      <c r="M150" s="25">
        <f>IF(L150="","",HYPERLINK(IF(LEFT(L150,4)="http",L150,set_QwilrBase&amp;L150),"Open quote"))</f>
        <v/>
      </c>
      <c r="N150" s="26" t="n"/>
      <c r="O150" s="26" t="n"/>
      <c r="P150" s="26" t="n"/>
      <c r="Q150" s="25">
        <f>IF(C150="","",IF(N(N150)+N(O150)+N(P150)=0,"Not split",IF(ROUND(N(N150)+N(O150)+N(P150),2)=ROUND(H150,2),"OK","MISMATCH")))</f>
        <v/>
      </c>
      <c r="R150" s="26" t="n"/>
      <c r="S150" s="26" t="n"/>
      <c r="T150" s="26" t="n"/>
      <c r="U150" s="27">
        <f>IF(C150="","",N(R150)+N(S150)+N(T150))</f>
        <v/>
      </c>
      <c r="V150" s="27">
        <f>IF(C150="","",H150-U150)</f>
        <v/>
      </c>
      <c r="W150" s="29">
        <f>IFERROR(V150/H150,"")</f>
        <v/>
      </c>
      <c r="X150" s="24" t="n"/>
    </row>
    <row r="151" ht="15" customHeight="1">
      <c r="A151" s="63">
        <f>IF(C151="","",IFERROR(IF(SUMPRODUCT(MAX((tbl_Finance[Job Number]=C151&amp;"")*(tbl_Finance[Xero Invoice No]&lt;&gt;"")*tbl_Finance[Date]))=0,"",SUMPRODUCT(MAX((tbl_Finance[Job Number]=C151&amp;"")*(tbl_Finance[Xero Invoice No]&lt;&gt;"")*tbl_Finance[Date]))),""))</f>
        <v/>
      </c>
      <c r="B151" s="25">
        <f>IF(C151="","",IF(COUNTIFS(tbl_Finance[Job Number],C151&amp;"",tbl_Finance[Xero Invoice No],"&lt;&gt;")=0,"",IFERROR(IF(COUNTIFS(tbl_Finance[Job Number],C151&amp;"",tbl_Finance[Xero Invoice No],LOOKUP(2,1/((tbl_Finance[Job Number]=C151&amp;"")*(tbl_Finance[Xero Invoice No]&lt;&gt;"")),tbl_Finance[Xero Invoice No]))=COUNTIFS(tbl_Finance[Job Number],C151&amp;"",tbl_Finance[Xero Invoice No],"&lt;&gt;"),LOOKUP(2,1/((tbl_Finance[Job Number]=C151&amp;"")*(tbl_Finance[Xero Invoice No]&lt;&gt;"")),tbl_Finance[Xero Invoice No]),LOOKUP(2,1/((tbl_Finance[Job Number]=C151&amp;"")*(tbl_Finance[Xero Invoice No]&lt;&gt;"")),tbl_Finance[Xero Invoice No])&amp;" +more"),"")))</f>
        <v/>
      </c>
      <c r="C151" s="24" t="n"/>
      <c r="D151" s="25">
        <f>IF(C151="","",IF(COUNTIF(lst_Jobs,C151&amp;"")&gt;0,"OK","CHECK"))</f>
        <v/>
      </c>
      <c r="E151" s="25">
        <f>IF(C151="","",IFERROR(INDEX(lst_JobName,MATCH(C151&amp;"",lst_Jobs,0)),""))</f>
        <v/>
      </c>
      <c r="F151" s="25">
        <f>IF(C151="","",IFERROR(INDEX(tbl_Finance[Client],MATCH(C151&amp;"",tbl_Finance[Job Number],0)),""))</f>
        <v/>
      </c>
      <c r="G151" s="28">
        <f>IF(C151="","",COUNTIFS(tbl_Finance[Job Number],C151&amp;"",tbl_Finance[Ex GST],"&lt;&gt;"))</f>
        <v/>
      </c>
      <c r="H151" s="27">
        <f>IF(C151="","",SUMIFS(tbl_Finance[Ex GST],tbl_Finance[Job Number],C151&amp;""))</f>
        <v/>
      </c>
      <c r="I151" s="27">
        <f>IF(C151="","",SUMIFS(tbl_Finance[Ex GST],tbl_Finance[Job Number],C151&amp;"",tbl_Finance[Xero Invoice No],"&lt;&gt;"))</f>
        <v/>
      </c>
      <c r="J151" s="27">
        <f>IF(C151="","",H151-I151)</f>
        <v/>
      </c>
      <c r="K151" s="25">
        <f>IF(C151="","",IF(G151=0,"not invoiced yet",SUBSTITUTE(TRIM(IF(COUNTIFS(tbl_Finance[Job Number],C151&amp;"",tbl_Finance[Cost Centre],"ONSITE")&gt;0,"ONSITE ","")&amp;IF(COUNTIFS(tbl_Finance[Job Number],C151&amp;"",tbl_Finance[Cost Centre],"PRODUCTION")&gt;0,"PRODUCTION ","")&amp;IF(COUNTIFS(tbl_Finance[Job Number],C151&amp;"",tbl_Finance[Cost Centre],"VIDEO")&gt;0,"VIDEO ","")&amp;IF(COUNTIFS(tbl_Finance[Job Number],C151&amp;"",tbl_Finance[Cost Centre],"INTEGRATION")&gt;0,"INTEGRATION ","")&amp;IF(COUNTIFS(tbl_Finance[Job Number],C151&amp;"",tbl_Finance[Cost Centre],"CONSULTING")&gt;0,"CONSULTING ","")&amp;IF(COUNTIFS(tbl_Finance[Job Number],C151&amp;"",tbl_Finance[Cost Centre],"CTS")&gt;0,"CTS ",""))," ",", ")))</f>
        <v/>
      </c>
      <c r="L151" s="24" t="n"/>
      <c r="M151" s="25">
        <f>IF(L151="","",HYPERLINK(IF(LEFT(L151,4)="http",L151,set_QwilrBase&amp;L151),"Open quote"))</f>
        <v/>
      </c>
      <c r="N151" s="26" t="n"/>
      <c r="O151" s="26" t="n"/>
      <c r="P151" s="26" t="n"/>
      <c r="Q151" s="25">
        <f>IF(C151="","",IF(N(N151)+N(O151)+N(P151)=0,"Not split",IF(ROUND(N(N151)+N(O151)+N(P151),2)=ROUND(H151,2),"OK","MISMATCH")))</f>
        <v/>
      </c>
      <c r="R151" s="26" t="n"/>
      <c r="S151" s="26" t="n"/>
      <c r="T151" s="26" t="n"/>
      <c r="U151" s="27">
        <f>IF(C151="","",N(R151)+N(S151)+N(T151))</f>
        <v/>
      </c>
      <c r="V151" s="27">
        <f>IF(C151="","",H151-U151)</f>
        <v/>
      </c>
      <c r="W151" s="29">
        <f>IFERROR(V151/H151,"")</f>
        <v/>
      </c>
      <c r="X151" s="24" t="n"/>
    </row>
    <row r="152" ht="15" customHeight="1">
      <c r="A152" s="63">
        <f>IF(C152="","",IFERROR(IF(SUMPRODUCT(MAX((tbl_Finance[Job Number]=C152&amp;"")*(tbl_Finance[Xero Invoice No]&lt;&gt;"")*tbl_Finance[Date]))=0,"",SUMPRODUCT(MAX((tbl_Finance[Job Number]=C152&amp;"")*(tbl_Finance[Xero Invoice No]&lt;&gt;"")*tbl_Finance[Date]))),""))</f>
        <v/>
      </c>
      <c r="B152" s="25">
        <f>IF(C152="","",IF(COUNTIFS(tbl_Finance[Job Number],C152&amp;"",tbl_Finance[Xero Invoice No],"&lt;&gt;")=0,"",IFERROR(IF(COUNTIFS(tbl_Finance[Job Number],C152&amp;"",tbl_Finance[Xero Invoice No],LOOKUP(2,1/((tbl_Finance[Job Number]=C152&amp;"")*(tbl_Finance[Xero Invoice No]&lt;&gt;"")),tbl_Finance[Xero Invoice No]))=COUNTIFS(tbl_Finance[Job Number],C152&amp;"",tbl_Finance[Xero Invoice No],"&lt;&gt;"),LOOKUP(2,1/((tbl_Finance[Job Number]=C152&amp;"")*(tbl_Finance[Xero Invoice No]&lt;&gt;"")),tbl_Finance[Xero Invoice No]),LOOKUP(2,1/((tbl_Finance[Job Number]=C152&amp;"")*(tbl_Finance[Xero Invoice No]&lt;&gt;"")),tbl_Finance[Xero Invoice No])&amp;" +more"),"")))</f>
        <v/>
      </c>
      <c r="C152" s="24" t="n"/>
      <c r="D152" s="25">
        <f>IF(C152="","",IF(COUNTIF(lst_Jobs,C152&amp;"")&gt;0,"OK","CHECK"))</f>
        <v/>
      </c>
      <c r="E152" s="25">
        <f>IF(C152="","",IFERROR(INDEX(lst_JobName,MATCH(C152&amp;"",lst_Jobs,0)),""))</f>
        <v/>
      </c>
      <c r="F152" s="25">
        <f>IF(C152="","",IFERROR(INDEX(tbl_Finance[Client],MATCH(C152&amp;"",tbl_Finance[Job Number],0)),""))</f>
        <v/>
      </c>
      <c r="G152" s="28">
        <f>IF(C152="","",COUNTIFS(tbl_Finance[Job Number],C152&amp;"",tbl_Finance[Ex GST],"&lt;&gt;"))</f>
        <v/>
      </c>
      <c r="H152" s="27">
        <f>IF(C152="","",SUMIFS(tbl_Finance[Ex GST],tbl_Finance[Job Number],C152&amp;""))</f>
        <v/>
      </c>
      <c r="I152" s="27">
        <f>IF(C152="","",SUMIFS(tbl_Finance[Ex GST],tbl_Finance[Job Number],C152&amp;"",tbl_Finance[Xero Invoice No],"&lt;&gt;"))</f>
        <v/>
      </c>
      <c r="J152" s="27">
        <f>IF(C152="","",H152-I152)</f>
        <v/>
      </c>
      <c r="K152" s="25">
        <f>IF(C152="","",IF(G152=0,"not invoiced yet",SUBSTITUTE(TRIM(IF(COUNTIFS(tbl_Finance[Job Number],C152&amp;"",tbl_Finance[Cost Centre],"ONSITE")&gt;0,"ONSITE ","")&amp;IF(COUNTIFS(tbl_Finance[Job Number],C152&amp;"",tbl_Finance[Cost Centre],"PRODUCTION")&gt;0,"PRODUCTION ","")&amp;IF(COUNTIFS(tbl_Finance[Job Number],C152&amp;"",tbl_Finance[Cost Centre],"VIDEO")&gt;0,"VIDEO ","")&amp;IF(COUNTIFS(tbl_Finance[Job Number],C152&amp;"",tbl_Finance[Cost Centre],"INTEGRATION")&gt;0,"INTEGRATION ","")&amp;IF(COUNTIFS(tbl_Finance[Job Number],C152&amp;"",tbl_Finance[Cost Centre],"CONSULTING")&gt;0,"CONSULTING ","")&amp;IF(COUNTIFS(tbl_Finance[Job Number],C152&amp;"",tbl_Finance[Cost Centre],"CTS")&gt;0,"CTS ",""))," ",", ")))</f>
        <v/>
      </c>
      <c r="L152" s="24" t="n"/>
      <c r="M152" s="25">
        <f>IF(L152="","",HYPERLINK(IF(LEFT(L152,4)="http",L152,set_QwilrBase&amp;L152),"Open quote"))</f>
        <v/>
      </c>
      <c r="N152" s="26" t="n"/>
      <c r="O152" s="26" t="n"/>
      <c r="P152" s="26" t="n"/>
      <c r="Q152" s="25">
        <f>IF(C152="","",IF(N(N152)+N(O152)+N(P152)=0,"Not split",IF(ROUND(N(N152)+N(O152)+N(P152),2)=ROUND(H152,2),"OK","MISMATCH")))</f>
        <v/>
      </c>
      <c r="R152" s="26" t="n"/>
      <c r="S152" s="26" t="n"/>
      <c r="T152" s="26" t="n"/>
      <c r="U152" s="27">
        <f>IF(C152="","",N(R152)+N(S152)+N(T152))</f>
        <v/>
      </c>
      <c r="V152" s="27">
        <f>IF(C152="","",H152-U152)</f>
        <v/>
      </c>
      <c r="W152" s="29">
        <f>IFERROR(V152/H152,"")</f>
        <v/>
      </c>
      <c r="X152" s="24" t="n"/>
    </row>
    <row r="153" ht="15" customHeight="1">
      <c r="A153" s="63">
        <f>IF(C153="","",IFERROR(IF(SUMPRODUCT(MAX((tbl_Finance[Job Number]=C153&amp;"")*(tbl_Finance[Xero Invoice No]&lt;&gt;"")*tbl_Finance[Date]))=0,"",SUMPRODUCT(MAX((tbl_Finance[Job Number]=C153&amp;"")*(tbl_Finance[Xero Invoice No]&lt;&gt;"")*tbl_Finance[Date]))),""))</f>
        <v/>
      </c>
      <c r="B153" s="25">
        <f>IF(C153="","",IF(COUNTIFS(tbl_Finance[Job Number],C153&amp;"",tbl_Finance[Xero Invoice No],"&lt;&gt;")=0,"",IFERROR(IF(COUNTIFS(tbl_Finance[Job Number],C153&amp;"",tbl_Finance[Xero Invoice No],LOOKUP(2,1/((tbl_Finance[Job Number]=C153&amp;"")*(tbl_Finance[Xero Invoice No]&lt;&gt;"")),tbl_Finance[Xero Invoice No]))=COUNTIFS(tbl_Finance[Job Number],C153&amp;"",tbl_Finance[Xero Invoice No],"&lt;&gt;"),LOOKUP(2,1/((tbl_Finance[Job Number]=C153&amp;"")*(tbl_Finance[Xero Invoice No]&lt;&gt;"")),tbl_Finance[Xero Invoice No]),LOOKUP(2,1/((tbl_Finance[Job Number]=C153&amp;"")*(tbl_Finance[Xero Invoice No]&lt;&gt;"")),tbl_Finance[Xero Invoice No])&amp;" +more"),"")))</f>
        <v/>
      </c>
      <c r="C153" s="24" t="n"/>
      <c r="D153" s="25">
        <f>IF(C153="","",IF(COUNTIF(lst_Jobs,C153&amp;"")&gt;0,"OK","CHECK"))</f>
        <v/>
      </c>
      <c r="E153" s="25">
        <f>IF(C153="","",IFERROR(INDEX(lst_JobName,MATCH(C153&amp;"",lst_Jobs,0)),""))</f>
        <v/>
      </c>
      <c r="F153" s="25">
        <f>IF(C153="","",IFERROR(INDEX(tbl_Finance[Client],MATCH(C153&amp;"",tbl_Finance[Job Number],0)),""))</f>
        <v/>
      </c>
      <c r="G153" s="28">
        <f>IF(C153="","",COUNTIFS(tbl_Finance[Job Number],C153&amp;"",tbl_Finance[Ex GST],"&lt;&gt;"))</f>
        <v/>
      </c>
      <c r="H153" s="27">
        <f>IF(C153="","",SUMIFS(tbl_Finance[Ex GST],tbl_Finance[Job Number],C153&amp;""))</f>
        <v/>
      </c>
      <c r="I153" s="27">
        <f>IF(C153="","",SUMIFS(tbl_Finance[Ex GST],tbl_Finance[Job Number],C153&amp;"",tbl_Finance[Xero Invoice No],"&lt;&gt;"))</f>
        <v/>
      </c>
      <c r="J153" s="27">
        <f>IF(C153="","",H153-I153)</f>
        <v/>
      </c>
      <c r="K153" s="25">
        <f>IF(C153="","",IF(G153=0,"not invoiced yet",SUBSTITUTE(TRIM(IF(COUNTIFS(tbl_Finance[Job Number],C153&amp;"",tbl_Finance[Cost Centre],"ONSITE")&gt;0,"ONSITE ","")&amp;IF(COUNTIFS(tbl_Finance[Job Number],C153&amp;"",tbl_Finance[Cost Centre],"PRODUCTION")&gt;0,"PRODUCTION ","")&amp;IF(COUNTIFS(tbl_Finance[Job Number],C153&amp;"",tbl_Finance[Cost Centre],"VIDEO")&gt;0,"VIDEO ","")&amp;IF(COUNTIFS(tbl_Finance[Job Number],C153&amp;"",tbl_Finance[Cost Centre],"INTEGRATION")&gt;0,"INTEGRATION ","")&amp;IF(COUNTIFS(tbl_Finance[Job Number],C153&amp;"",tbl_Finance[Cost Centre],"CONSULTING")&gt;0,"CONSULTING ","")&amp;IF(COUNTIFS(tbl_Finance[Job Number],C153&amp;"",tbl_Finance[Cost Centre],"CTS")&gt;0,"CTS ",""))," ",", ")))</f>
        <v/>
      </c>
      <c r="L153" s="24" t="n"/>
      <c r="M153" s="25">
        <f>IF(L153="","",HYPERLINK(IF(LEFT(L153,4)="http",L153,set_QwilrBase&amp;L153),"Open quote"))</f>
        <v/>
      </c>
      <c r="N153" s="26" t="n"/>
      <c r="O153" s="26" t="n"/>
      <c r="P153" s="26" t="n"/>
      <c r="Q153" s="25">
        <f>IF(C153="","",IF(N(N153)+N(O153)+N(P153)=0,"Not split",IF(ROUND(N(N153)+N(O153)+N(P153),2)=ROUND(H153,2),"OK","MISMATCH")))</f>
        <v/>
      </c>
      <c r="R153" s="26" t="n"/>
      <c r="S153" s="26" t="n"/>
      <c r="T153" s="26" t="n"/>
      <c r="U153" s="27">
        <f>IF(C153="","",N(R153)+N(S153)+N(T153))</f>
        <v/>
      </c>
      <c r="V153" s="27">
        <f>IF(C153="","",H153-U153)</f>
        <v/>
      </c>
      <c r="W153" s="29">
        <f>IFERROR(V153/H153,"")</f>
        <v/>
      </c>
      <c r="X153" s="24" t="n"/>
    </row>
    <row r="154" ht="15" customHeight="1">
      <c r="A154" s="63">
        <f>IF(C154="","",IFERROR(IF(SUMPRODUCT(MAX((tbl_Finance[Job Number]=C154&amp;"")*(tbl_Finance[Xero Invoice No]&lt;&gt;"")*tbl_Finance[Date]))=0,"",SUMPRODUCT(MAX((tbl_Finance[Job Number]=C154&amp;"")*(tbl_Finance[Xero Invoice No]&lt;&gt;"")*tbl_Finance[Date]))),""))</f>
        <v/>
      </c>
      <c r="B154" s="25">
        <f>IF(C154="","",IF(COUNTIFS(tbl_Finance[Job Number],C154&amp;"",tbl_Finance[Xero Invoice No],"&lt;&gt;")=0,"",IFERROR(IF(COUNTIFS(tbl_Finance[Job Number],C154&amp;"",tbl_Finance[Xero Invoice No],LOOKUP(2,1/((tbl_Finance[Job Number]=C154&amp;"")*(tbl_Finance[Xero Invoice No]&lt;&gt;"")),tbl_Finance[Xero Invoice No]))=COUNTIFS(tbl_Finance[Job Number],C154&amp;"",tbl_Finance[Xero Invoice No],"&lt;&gt;"),LOOKUP(2,1/((tbl_Finance[Job Number]=C154&amp;"")*(tbl_Finance[Xero Invoice No]&lt;&gt;"")),tbl_Finance[Xero Invoice No]),LOOKUP(2,1/((tbl_Finance[Job Number]=C154&amp;"")*(tbl_Finance[Xero Invoice No]&lt;&gt;"")),tbl_Finance[Xero Invoice No])&amp;" +more"),"")))</f>
        <v/>
      </c>
      <c r="C154" s="24" t="n"/>
      <c r="D154" s="25">
        <f>IF(C154="","",IF(COUNTIF(lst_Jobs,C154&amp;"")&gt;0,"OK","CHECK"))</f>
        <v/>
      </c>
      <c r="E154" s="25">
        <f>IF(C154="","",IFERROR(INDEX(lst_JobName,MATCH(C154&amp;"",lst_Jobs,0)),""))</f>
        <v/>
      </c>
      <c r="F154" s="25">
        <f>IF(C154="","",IFERROR(INDEX(tbl_Finance[Client],MATCH(C154&amp;"",tbl_Finance[Job Number],0)),""))</f>
        <v/>
      </c>
      <c r="G154" s="28">
        <f>IF(C154="","",COUNTIFS(tbl_Finance[Job Number],C154&amp;"",tbl_Finance[Ex GST],"&lt;&gt;"))</f>
        <v/>
      </c>
      <c r="H154" s="27">
        <f>IF(C154="","",SUMIFS(tbl_Finance[Ex GST],tbl_Finance[Job Number],C154&amp;""))</f>
        <v/>
      </c>
      <c r="I154" s="27">
        <f>IF(C154="","",SUMIFS(tbl_Finance[Ex GST],tbl_Finance[Job Number],C154&amp;"",tbl_Finance[Xero Invoice No],"&lt;&gt;"))</f>
        <v/>
      </c>
      <c r="J154" s="27">
        <f>IF(C154="","",H154-I154)</f>
        <v/>
      </c>
      <c r="K154" s="25">
        <f>IF(C154="","",IF(G154=0,"not invoiced yet",SUBSTITUTE(TRIM(IF(COUNTIFS(tbl_Finance[Job Number],C154&amp;"",tbl_Finance[Cost Centre],"ONSITE")&gt;0,"ONSITE ","")&amp;IF(COUNTIFS(tbl_Finance[Job Number],C154&amp;"",tbl_Finance[Cost Centre],"PRODUCTION")&gt;0,"PRODUCTION ","")&amp;IF(COUNTIFS(tbl_Finance[Job Number],C154&amp;"",tbl_Finance[Cost Centre],"VIDEO")&gt;0,"VIDEO ","")&amp;IF(COUNTIFS(tbl_Finance[Job Number],C154&amp;"",tbl_Finance[Cost Centre],"INTEGRATION")&gt;0,"INTEGRATION ","")&amp;IF(COUNTIFS(tbl_Finance[Job Number],C154&amp;"",tbl_Finance[Cost Centre],"CONSULTING")&gt;0,"CONSULTING ","")&amp;IF(COUNTIFS(tbl_Finance[Job Number],C154&amp;"",tbl_Finance[Cost Centre],"CTS")&gt;0,"CTS ",""))," ",", ")))</f>
        <v/>
      </c>
      <c r="L154" s="24" t="n"/>
      <c r="M154" s="25">
        <f>IF(L154="","",HYPERLINK(IF(LEFT(L154,4)="http",L154,set_QwilrBase&amp;L154),"Open quote"))</f>
        <v/>
      </c>
      <c r="N154" s="26" t="n"/>
      <c r="O154" s="26" t="n"/>
      <c r="P154" s="26" t="n"/>
      <c r="Q154" s="25">
        <f>IF(C154="","",IF(N(N154)+N(O154)+N(P154)=0,"Not split",IF(ROUND(N(N154)+N(O154)+N(P154),2)=ROUND(H154,2),"OK","MISMATCH")))</f>
        <v/>
      </c>
      <c r="R154" s="26" t="n"/>
      <c r="S154" s="26" t="n"/>
      <c r="T154" s="26" t="n"/>
      <c r="U154" s="27">
        <f>IF(C154="","",N(R154)+N(S154)+N(T154))</f>
        <v/>
      </c>
      <c r="V154" s="27">
        <f>IF(C154="","",H154-U154)</f>
        <v/>
      </c>
      <c r="W154" s="29">
        <f>IFERROR(V154/H154,"")</f>
        <v/>
      </c>
      <c r="X154" s="24" t="n"/>
    </row>
    <row r="155" ht="15" customHeight="1">
      <c r="A155" s="63">
        <f>IF(C155="","",IFERROR(IF(SUMPRODUCT(MAX((tbl_Finance[Job Number]=C155&amp;"")*(tbl_Finance[Xero Invoice No]&lt;&gt;"")*tbl_Finance[Date]))=0,"",SUMPRODUCT(MAX((tbl_Finance[Job Number]=C155&amp;"")*(tbl_Finance[Xero Invoice No]&lt;&gt;"")*tbl_Finance[Date]))),""))</f>
        <v/>
      </c>
      <c r="B155" s="25">
        <f>IF(C155="","",IF(COUNTIFS(tbl_Finance[Job Number],C155&amp;"",tbl_Finance[Xero Invoice No],"&lt;&gt;")=0,"",IFERROR(IF(COUNTIFS(tbl_Finance[Job Number],C155&amp;"",tbl_Finance[Xero Invoice No],LOOKUP(2,1/((tbl_Finance[Job Number]=C155&amp;"")*(tbl_Finance[Xero Invoice No]&lt;&gt;"")),tbl_Finance[Xero Invoice No]))=COUNTIFS(tbl_Finance[Job Number],C155&amp;"",tbl_Finance[Xero Invoice No],"&lt;&gt;"),LOOKUP(2,1/((tbl_Finance[Job Number]=C155&amp;"")*(tbl_Finance[Xero Invoice No]&lt;&gt;"")),tbl_Finance[Xero Invoice No]),LOOKUP(2,1/((tbl_Finance[Job Number]=C155&amp;"")*(tbl_Finance[Xero Invoice No]&lt;&gt;"")),tbl_Finance[Xero Invoice No])&amp;" +more"),"")))</f>
        <v/>
      </c>
      <c r="C155" s="24" t="n"/>
      <c r="D155" s="25">
        <f>IF(C155="","",IF(COUNTIF(lst_Jobs,C155&amp;"")&gt;0,"OK","CHECK"))</f>
        <v/>
      </c>
      <c r="E155" s="25">
        <f>IF(C155="","",IFERROR(INDEX(lst_JobName,MATCH(C155&amp;"",lst_Jobs,0)),""))</f>
        <v/>
      </c>
      <c r="F155" s="25">
        <f>IF(C155="","",IFERROR(INDEX(tbl_Finance[Client],MATCH(C155&amp;"",tbl_Finance[Job Number],0)),""))</f>
        <v/>
      </c>
      <c r="G155" s="28">
        <f>IF(C155="","",COUNTIFS(tbl_Finance[Job Number],C155&amp;"",tbl_Finance[Ex GST],"&lt;&gt;"))</f>
        <v/>
      </c>
      <c r="H155" s="27">
        <f>IF(C155="","",SUMIFS(tbl_Finance[Ex GST],tbl_Finance[Job Number],C155&amp;""))</f>
        <v/>
      </c>
      <c r="I155" s="27">
        <f>IF(C155="","",SUMIFS(tbl_Finance[Ex GST],tbl_Finance[Job Number],C155&amp;"",tbl_Finance[Xero Invoice No],"&lt;&gt;"))</f>
        <v/>
      </c>
      <c r="J155" s="27">
        <f>IF(C155="","",H155-I155)</f>
        <v/>
      </c>
      <c r="K155" s="25">
        <f>IF(C155="","",IF(G155=0,"not invoiced yet",SUBSTITUTE(TRIM(IF(COUNTIFS(tbl_Finance[Job Number],C155&amp;"",tbl_Finance[Cost Centre],"ONSITE")&gt;0,"ONSITE ","")&amp;IF(COUNTIFS(tbl_Finance[Job Number],C155&amp;"",tbl_Finance[Cost Centre],"PRODUCTION")&gt;0,"PRODUCTION ","")&amp;IF(COUNTIFS(tbl_Finance[Job Number],C155&amp;"",tbl_Finance[Cost Centre],"VIDEO")&gt;0,"VIDEO ","")&amp;IF(COUNTIFS(tbl_Finance[Job Number],C155&amp;"",tbl_Finance[Cost Centre],"INTEGRATION")&gt;0,"INTEGRATION ","")&amp;IF(COUNTIFS(tbl_Finance[Job Number],C155&amp;"",tbl_Finance[Cost Centre],"CONSULTING")&gt;0,"CONSULTING ","")&amp;IF(COUNTIFS(tbl_Finance[Job Number],C155&amp;"",tbl_Finance[Cost Centre],"CTS")&gt;0,"CTS ",""))," ",", ")))</f>
        <v/>
      </c>
      <c r="L155" s="24" t="n"/>
      <c r="M155" s="25">
        <f>IF(L155="","",HYPERLINK(IF(LEFT(L155,4)="http",L155,set_QwilrBase&amp;L155),"Open quote"))</f>
        <v/>
      </c>
      <c r="N155" s="26" t="n"/>
      <c r="O155" s="26" t="n"/>
      <c r="P155" s="26" t="n"/>
      <c r="Q155" s="25">
        <f>IF(C155="","",IF(N(N155)+N(O155)+N(P155)=0,"Not split",IF(ROUND(N(N155)+N(O155)+N(P155),2)=ROUND(H155,2),"OK","MISMATCH")))</f>
        <v/>
      </c>
      <c r="R155" s="26" t="n"/>
      <c r="S155" s="26" t="n"/>
      <c r="T155" s="26" t="n"/>
      <c r="U155" s="27">
        <f>IF(C155="","",N(R155)+N(S155)+N(T155))</f>
        <v/>
      </c>
      <c r="V155" s="27">
        <f>IF(C155="","",H155-U155)</f>
        <v/>
      </c>
      <c r="W155" s="29">
        <f>IFERROR(V155/H155,"")</f>
        <v/>
      </c>
      <c r="X155" s="24" t="n"/>
    </row>
    <row r="156" ht="15" customHeight="1">
      <c r="A156" s="63">
        <f>IF(C156="","",IFERROR(IF(SUMPRODUCT(MAX((tbl_Finance[Job Number]=C156&amp;"")*(tbl_Finance[Xero Invoice No]&lt;&gt;"")*tbl_Finance[Date]))=0,"",SUMPRODUCT(MAX((tbl_Finance[Job Number]=C156&amp;"")*(tbl_Finance[Xero Invoice No]&lt;&gt;"")*tbl_Finance[Date]))),""))</f>
        <v/>
      </c>
      <c r="B156" s="25">
        <f>IF(C156="","",IF(COUNTIFS(tbl_Finance[Job Number],C156&amp;"",tbl_Finance[Xero Invoice No],"&lt;&gt;")=0,"",IFERROR(IF(COUNTIFS(tbl_Finance[Job Number],C156&amp;"",tbl_Finance[Xero Invoice No],LOOKUP(2,1/((tbl_Finance[Job Number]=C156&amp;"")*(tbl_Finance[Xero Invoice No]&lt;&gt;"")),tbl_Finance[Xero Invoice No]))=COUNTIFS(tbl_Finance[Job Number],C156&amp;"",tbl_Finance[Xero Invoice No],"&lt;&gt;"),LOOKUP(2,1/((tbl_Finance[Job Number]=C156&amp;"")*(tbl_Finance[Xero Invoice No]&lt;&gt;"")),tbl_Finance[Xero Invoice No]),LOOKUP(2,1/((tbl_Finance[Job Number]=C156&amp;"")*(tbl_Finance[Xero Invoice No]&lt;&gt;"")),tbl_Finance[Xero Invoice No])&amp;" +more"),"")))</f>
        <v/>
      </c>
      <c r="C156" s="24" t="n"/>
      <c r="D156" s="25">
        <f>IF(C156="","",IF(COUNTIF(lst_Jobs,C156&amp;"")&gt;0,"OK","CHECK"))</f>
        <v/>
      </c>
      <c r="E156" s="25">
        <f>IF(C156="","",IFERROR(INDEX(lst_JobName,MATCH(C156&amp;"",lst_Jobs,0)),""))</f>
        <v/>
      </c>
      <c r="F156" s="25">
        <f>IF(C156="","",IFERROR(INDEX(tbl_Finance[Client],MATCH(C156&amp;"",tbl_Finance[Job Number],0)),""))</f>
        <v/>
      </c>
      <c r="G156" s="28">
        <f>IF(C156="","",COUNTIFS(tbl_Finance[Job Number],C156&amp;"",tbl_Finance[Ex GST],"&lt;&gt;"))</f>
        <v/>
      </c>
      <c r="H156" s="27">
        <f>IF(C156="","",SUMIFS(tbl_Finance[Ex GST],tbl_Finance[Job Number],C156&amp;""))</f>
        <v/>
      </c>
      <c r="I156" s="27">
        <f>IF(C156="","",SUMIFS(tbl_Finance[Ex GST],tbl_Finance[Job Number],C156&amp;"",tbl_Finance[Xero Invoice No],"&lt;&gt;"))</f>
        <v/>
      </c>
      <c r="J156" s="27">
        <f>IF(C156="","",H156-I156)</f>
        <v/>
      </c>
      <c r="K156" s="25">
        <f>IF(C156="","",IF(G156=0,"not invoiced yet",SUBSTITUTE(TRIM(IF(COUNTIFS(tbl_Finance[Job Number],C156&amp;"",tbl_Finance[Cost Centre],"ONSITE")&gt;0,"ONSITE ","")&amp;IF(COUNTIFS(tbl_Finance[Job Number],C156&amp;"",tbl_Finance[Cost Centre],"PRODUCTION")&gt;0,"PRODUCTION ","")&amp;IF(COUNTIFS(tbl_Finance[Job Number],C156&amp;"",tbl_Finance[Cost Centre],"VIDEO")&gt;0,"VIDEO ","")&amp;IF(COUNTIFS(tbl_Finance[Job Number],C156&amp;"",tbl_Finance[Cost Centre],"INTEGRATION")&gt;0,"INTEGRATION ","")&amp;IF(COUNTIFS(tbl_Finance[Job Number],C156&amp;"",tbl_Finance[Cost Centre],"CONSULTING")&gt;0,"CONSULTING ","")&amp;IF(COUNTIFS(tbl_Finance[Job Number],C156&amp;"",tbl_Finance[Cost Centre],"CTS")&gt;0,"CTS ",""))," ",", ")))</f>
        <v/>
      </c>
      <c r="L156" s="24" t="n"/>
      <c r="M156" s="25">
        <f>IF(L156="","",HYPERLINK(IF(LEFT(L156,4)="http",L156,set_QwilrBase&amp;L156),"Open quote"))</f>
        <v/>
      </c>
      <c r="N156" s="26" t="n"/>
      <c r="O156" s="26" t="n"/>
      <c r="P156" s="26" t="n"/>
      <c r="Q156" s="25">
        <f>IF(C156="","",IF(N(N156)+N(O156)+N(P156)=0,"Not split",IF(ROUND(N(N156)+N(O156)+N(P156),2)=ROUND(H156,2),"OK","MISMATCH")))</f>
        <v/>
      </c>
      <c r="R156" s="26" t="n"/>
      <c r="S156" s="26" t="n"/>
      <c r="T156" s="26" t="n"/>
      <c r="U156" s="27">
        <f>IF(C156="","",N(R156)+N(S156)+N(T156))</f>
        <v/>
      </c>
      <c r="V156" s="27">
        <f>IF(C156="","",H156-U156)</f>
        <v/>
      </c>
      <c r="W156" s="29">
        <f>IFERROR(V156/H156,"")</f>
        <v/>
      </c>
      <c r="X156" s="24" t="n"/>
    </row>
    <row r="157" ht="15" customHeight="1">
      <c r="A157" s="63">
        <f>IF(C157="","",IFERROR(IF(SUMPRODUCT(MAX((tbl_Finance[Job Number]=C157&amp;"")*(tbl_Finance[Xero Invoice No]&lt;&gt;"")*tbl_Finance[Date]))=0,"",SUMPRODUCT(MAX((tbl_Finance[Job Number]=C157&amp;"")*(tbl_Finance[Xero Invoice No]&lt;&gt;"")*tbl_Finance[Date]))),""))</f>
        <v/>
      </c>
      <c r="B157" s="25">
        <f>IF(C157="","",IF(COUNTIFS(tbl_Finance[Job Number],C157&amp;"",tbl_Finance[Xero Invoice No],"&lt;&gt;")=0,"",IFERROR(IF(COUNTIFS(tbl_Finance[Job Number],C157&amp;"",tbl_Finance[Xero Invoice No],LOOKUP(2,1/((tbl_Finance[Job Number]=C157&amp;"")*(tbl_Finance[Xero Invoice No]&lt;&gt;"")),tbl_Finance[Xero Invoice No]))=COUNTIFS(tbl_Finance[Job Number],C157&amp;"",tbl_Finance[Xero Invoice No],"&lt;&gt;"),LOOKUP(2,1/((tbl_Finance[Job Number]=C157&amp;"")*(tbl_Finance[Xero Invoice No]&lt;&gt;"")),tbl_Finance[Xero Invoice No]),LOOKUP(2,1/((tbl_Finance[Job Number]=C157&amp;"")*(tbl_Finance[Xero Invoice No]&lt;&gt;"")),tbl_Finance[Xero Invoice No])&amp;" +more"),"")))</f>
        <v/>
      </c>
      <c r="C157" s="24" t="n"/>
      <c r="D157" s="25">
        <f>IF(C157="","",IF(COUNTIF(lst_Jobs,C157&amp;"")&gt;0,"OK","CHECK"))</f>
        <v/>
      </c>
      <c r="E157" s="25">
        <f>IF(C157="","",IFERROR(INDEX(lst_JobName,MATCH(C157&amp;"",lst_Jobs,0)),""))</f>
        <v/>
      </c>
      <c r="F157" s="25">
        <f>IF(C157="","",IFERROR(INDEX(tbl_Finance[Client],MATCH(C157&amp;"",tbl_Finance[Job Number],0)),""))</f>
        <v/>
      </c>
      <c r="G157" s="28">
        <f>IF(C157="","",COUNTIFS(tbl_Finance[Job Number],C157&amp;"",tbl_Finance[Ex GST],"&lt;&gt;"))</f>
        <v/>
      </c>
      <c r="H157" s="27">
        <f>IF(C157="","",SUMIFS(tbl_Finance[Ex GST],tbl_Finance[Job Number],C157&amp;""))</f>
        <v/>
      </c>
      <c r="I157" s="27">
        <f>IF(C157="","",SUMIFS(tbl_Finance[Ex GST],tbl_Finance[Job Number],C157&amp;"",tbl_Finance[Xero Invoice No],"&lt;&gt;"))</f>
        <v/>
      </c>
      <c r="J157" s="27">
        <f>IF(C157="","",H157-I157)</f>
        <v/>
      </c>
      <c r="K157" s="25">
        <f>IF(C157="","",IF(G157=0,"not invoiced yet",SUBSTITUTE(TRIM(IF(COUNTIFS(tbl_Finance[Job Number],C157&amp;"",tbl_Finance[Cost Centre],"ONSITE")&gt;0,"ONSITE ","")&amp;IF(COUNTIFS(tbl_Finance[Job Number],C157&amp;"",tbl_Finance[Cost Centre],"PRODUCTION")&gt;0,"PRODUCTION ","")&amp;IF(COUNTIFS(tbl_Finance[Job Number],C157&amp;"",tbl_Finance[Cost Centre],"VIDEO")&gt;0,"VIDEO ","")&amp;IF(COUNTIFS(tbl_Finance[Job Number],C157&amp;"",tbl_Finance[Cost Centre],"INTEGRATION")&gt;0,"INTEGRATION ","")&amp;IF(COUNTIFS(tbl_Finance[Job Number],C157&amp;"",tbl_Finance[Cost Centre],"CONSULTING")&gt;0,"CONSULTING ","")&amp;IF(COUNTIFS(tbl_Finance[Job Number],C157&amp;"",tbl_Finance[Cost Centre],"CTS")&gt;0,"CTS ",""))," ",", ")))</f>
        <v/>
      </c>
      <c r="L157" s="24" t="n"/>
      <c r="M157" s="25">
        <f>IF(L157="","",HYPERLINK(IF(LEFT(L157,4)="http",L157,set_QwilrBase&amp;L157),"Open quote"))</f>
        <v/>
      </c>
      <c r="N157" s="26" t="n"/>
      <c r="O157" s="26" t="n"/>
      <c r="P157" s="26" t="n"/>
      <c r="Q157" s="25">
        <f>IF(C157="","",IF(N(N157)+N(O157)+N(P157)=0,"Not split",IF(ROUND(N(N157)+N(O157)+N(P157),2)=ROUND(H157,2),"OK","MISMATCH")))</f>
        <v/>
      </c>
      <c r="R157" s="26" t="n"/>
      <c r="S157" s="26" t="n"/>
      <c r="T157" s="26" t="n"/>
      <c r="U157" s="27">
        <f>IF(C157="","",N(R157)+N(S157)+N(T157))</f>
        <v/>
      </c>
      <c r="V157" s="27">
        <f>IF(C157="","",H157-U157)</f>
        <v/>
      </c>
      <c r="W157" s="29">
        <f>IFERROR(V157/H157,"")</f>
        <v/>
      </c>
      <c r="X157" s="24" t="n"/>
    </row>
    <row r="158" ht="15" customHeight="1">
      <c r="A158" s="63">
        <f>IF(C158="","",IFERROR(IF(SUMPRODUCT(MAX((tbl_Finance[Job Number]=C158&amp;"")*(tbl_Finance[Xero Invoice No]&lt;&gt;"")*tbl_Finance[Date]))=0,"",SUMPRODUCT(MAX((tbl_Finance[Job Number]=C158&amp;"")*(tbl_Finance[Xero Invoice No]&lt;&gt;"")*tbl_Finance[Date]))),""))</f>
        <v/>
      </c>
      <c r="B158" s="25">
        <f>IF(C158="","",IF(COUNTIFS(tbl_Finance[Job Number],C158&amp;"",tbl_Finance[Xero Invoice No],"&lt;&gt;")=0,"",IFERROR(IF(COUNTIFS(tbl_Finance[Job Number],C158&amp;"",tbl_Finance[Xero Invoice No],LOOKUP(2,1/((tbl_Finance[Job Number]=C158&amp;"")*(tbl_Finance[Xero Invoice No]&lt;&gt;"")),tbl_Finance[Xero Invoice No]))=COUNTIFS(tbl_Finance[Job Number],C158&amp;"",tbl_Finance[Xero Invoice No],"&lt;&gt;"),LOOKUP(2,1/((tbl_Finance[Job Number]=C158&amp;"")*(tbl_Finance[Xero Invoice No]&lt;&gt;"")),tbl_Finance[Xero Invoice No]),LOOKUP(2,1/((tbl_Finance[Job Number]=C158&amp;"")*(tbl_Finance[Xero Invoice No]&lt;&gt;"")),tbl_Finance[Xero Invoice No])&amp;" +more"),"")))</f>
        <v/>
      </c>
      <c r="C158" s="24" t="n"/>
      <c r="D158" s="25">
        <f>IF(C158="","",IF(COUNTIF(lst_Jobs,C158&amp;"")&gt;0,"OK","CHECK"))</f>
        <v/>
      </c>
      <c r="E158" s="25">
        <f>IF(C158="","",IFERROR(INDEX(lst_JobName,MATCH(C158&amp;"",lst_Jobs,0)),""))</f>
        <v/>
      </c>
      <c r="F158" s="25">
        <f>IF(C158="","",IFERROR(INDEX(tbl_Finance[Client],MATCH(C158&amp;"",tbl_Finance[Job Number],0)),""))</f>
        <v/>
      </c>
      <c r="G158" s="28">
        <f>IF(C158="","",COUNTIFS(tbl_Finance[Job Number],C158&amp;"",tbl_Finance[Ex GST],"&lt;&gt;"))</f>
        <v/>
      </c>
      <c r="H158" s="27">
        <f>IF(C158="","",SUMIFS(tbl_Finance[Ex GST],tbl_Finance[Job Number],C158&amp;""))</f>
        <v/>
      </c>
      <c r="I158" s="27">
        <f>IF(C158="","",SUMIFS(tbl_Finance[Ex GST],tbl_Finance[Job Number],C158&amp;"",tbl_Finance[Xero Invoice No],"&lt;&gt;"))</f>
        <v/>
      </c>
      <c r="J158" s="27">
        <f>IF(C158="","",H158-I158)</f>
        <v/>
      </c>
      <c r="K158" s="25">
        <f>IF(C158="","",IF(G158=0,"not invoiced yet",SUBSTITUTE(TRIM(IF(COUNTIFS(tbl_Finance[Job Number],C158&amp;"",tbl_Finance[Cost Centre],"ONSITE")&gt;0,"ONSITE ","")&amp;IF(COUNTIFS(tbl_Finance[Job Number],C158&amp;"",tbl_Finance[Cost Centre],"PRODUCTION")&gt;0,"PRODUCTION ","")&amp;IF(COUNTIFS(tbl_Finance[Job Number],C158&amp;"",tbl_Finance[Cost Centre],"VIDEO")&gt;0,"VIDEO ","")&amp;IF(COUNTIFS(tbl_Finance[Job Number],C158&amp;"",tbl_Finance[Cost Centre],"INTEGRATION")&gt;0,"INTEGRATION ","")&amp;IF(COUNTIFS(tbl_Finance[Job Number],C158&amp;"",tbl_Finance[Cost Centre],"CONSULTING")&gt;0,"CONSULTING ","")&amp;IF(COUNTIFS(tbl_Finance[Job Number],C158&amp;"",tbl_Finance[Cost Centre],"CTS")&gt;0,"CTS ",""))," ",", ")))</f>
        <v/>
      </c>
      <c r="L158" s="24" t="n"/>
      <c r="M158" s="25">
        <f>IF(L158="","",HYPERLINK(IF(LEFT(L158,4)="http",L158,set_QwilrBase&amp;L158),"Open quote"))</f>
        <v/>
      </c>
      <c r="N158" s="26" t="n"/>
      <c r="O158" s="26" t="n"/>
      <c r="P158" s="26" t="n"/>
      <c r="Q158" s="25">
        <f>IF(C158="","",IF(N(N158)+N(O158)+N(P158)=0,"Not split",IF(ROUND(N(N158)+N(O158)+N(P158),2)=ROUND(H158,2),"OK","MISMATCH")))</f>
        <v/>
      </c>
      <c r="R158" s="26" t="n"/>
      <c r="S158" s="26" t="n"/>
      <c r="T158" s="26" t="n"/>
      <c r="U158" s="27">
        <f>IF(C158="","",N(R158)+N(S158)+N(T158))</f>
        <v/>
      </c>
      <c r="V158" s="27">
        <f>IF(C158="","",H158-U158)</f>
        <v/>
      </c>
      <c r="W158" s="29">
        <f>IFERROR(V158/H158,"")</f>
        <v/>
      </c>
      <c r="X158" s="24" t="n"/>
    </row>
    <row r="159" ht="15" customHeight="1">
      <c r="A159" s="63">
        <f>IF(C159="","",IFERROR(IF(SUMPRODUCT(MAX((tbl_Finance[Job Number]=C159&amp;"")*(tbl_Finance[Xero Invoice No]&lt;&gt;"")*tbl_Finance[Date]))=0,"",SUMPRODUCT(MAX((tbl_Finance[Job Number]=C159&amp;"")*(tbl_Finance[Xero Invoice No]&lt;&gt;"")*tbl_Finance[Date]))),""))</f>
        <v/>
      </c>
      <c r="B159" s="25">
        <f>IF(C159="","",IF(COUNTIFS(tbl_Finance[Job Number],C159&amp;"",tbl_Finance[Xero Invoice No],"&lt;&gt;")=0,"",IFERROR(IF(COUNTIFS(tbl_Finance[Job Number],C159&amp;"",tbl_Finance[Xero Invoice No],LOOKUP(2,1/((tbl_Finance[Job Number]=C159&amp;"")*(tbl_Finance[Xero Invoice No]&lt;&gt;"")),tbl_Finance[Xero Invoice No]))=COUNTIFS(tbl_Finance[Job Number],C159&amp;"",tbl_Finance[Xero Invoice No],"&lt;&gt;"),LOOKUP(2,1/((tbl_Finance[Job Number]=C159&amp;"")*(tbl_Finance[Xero Invoice No]&lt;&gt;"")),tbl_Finance[Xero Invoice No]),LOOKUP(2,1/((tbl_Finance[Job Number]=C159&amp;"")*(tbl_Finance[Xero Invoice No]&lt;&gt;"")),tbl_Finance[Xero Invoice No])&amp;" +more"),"")))</f>
        <v/>
      </c>
      <c r="C159" s="24" t="n"/>
      <c r="D159" s="25">
        <f>IF(C159="","",IF(COUNTIF(lst_Jobs,C159&amp;"")&gt;0,"OK","CHECK"))</f>
        <v/>
      </c>
      <c r="E159" s="25">
        <f>IF(C159="","",IFERROR(INDEX(lst_JobName,MATCH(C159&amp;"",lst_Jobs,0)),""))</f>
        <v/>
      </c>
      <c r="F159" s="25">
        <f>IF(C159="","",IFERROR(INDEX(tbl_Finance[Client],MATCH(C159&amp;"",tbl_Finance[Job Number],0)),""))</f>
        <v/>
      </c>
      <c r="G159" s="28">
        <f>IF(C159="","",COUNTIFS(tbl_Finance[Job Number],C159&amp;"",tbl_Finance[Ex GST],"&lt;&gt;"))</f>
        <v/>
      </c>
      <c r="H159" s="27">
        <f>IF(C159="","",SUMIFS(tbl_Finance[Ex GST],tbl_Finance[Job Number],C159&amp;""))</f>
        <v/>
      </c>
      <c r="I159" s="27">
        <f>IF(C159="","",SUMIFS(tbl_Finance[Ex GST],tbl_Finance[Job Number],C159&amp;"",tbl_Finance[Xero Invoice No],"&lt;&gt;"))</f>
        <v/>
      </c>
      <c r="J159" s="27">
        <f>IF(C159="","",H159-I159)</f>
        <v/>
      </c>
      <c r="K159" s="25">
        <f>IF(C159="","",IF(G159=0,"not invoiced yet",SUBSTITUTE(TRIM(IF(COUNTIFS(tbl_Finance[Job Number],C159&amp;"",tbl_Finance[Cost Centre],"ONSITE")&gt;0,"ONSITE ","")&amp;IF(COUNTIFS(tbl_Finance[Job Number],C159&amp;"",tbl_Finance[Cost Centre],"PRODUCTION")&gt;0,"PRODUCTION ","")&amp;IF(COUNTIFS(tbl_Finance[Job Number],C159&amp;"",tbl_Finance[Cost Centre],"VIDEO")&gt;0,"VIDEO ","")&amp;IF(COUNTIFS(tbl_Finance[Job Number],C159&amp;"",tbl_Finance[Cost Centre],"INTEGRATION")&gt;0,"INTEGRATION ","")&amp;IF(COUNTIFS(tbl_Finance[Job Number],C159&amp;"",tbl_Finance[Cost Centre],"CONSULTING")&gt;0,"CONSULTING ","")&amp;IF(COUNTIFS(tbl_Finance[Job Number],C159&amp;"",tbl_Finance[Cost Centre],"CTS")&gt;0,"CTS ",""))," ",", ")))</f>
        <v/>
      </c>
      <c r="L159" s="24" t="n"/>
      <c r="M159" s="25">
        <f>IF(L159="","",HYPERLINK(IF(LEFT(L159,4)="http",L159,set_QwilrBase&amp;L159),"Open quote"))</f>
        <v/>
      </c>
      <c r="N159" s="26" t="n"/>
      <c r="O159" s="26" t="n"/>
      <c r="P159" s="26" t="n"/>
      <c r="Q159" s="25">
        <f>IF(C159="","",IF(N(N159)+N(O159)+N(P159)=0,"Not split",IF(ROUND(N(N159)+N(O159)+N(P159),2)=ROUND(H159,2),"OK","MISMATCH")))</f>
        <v/>
      </c>
      <c r="R159" s="26" t="n"/>
      <c r="S159" s="26" t="n"/>
      <c r="T159" s="26" t="n"/>
      <c r="U159" s="27">
        <f>IF(C159="","",N(R159)+N(S159)+N(T159))</f>
        <v/>
      </c>
      <c r="V159" s="27">
        <f>IF(C159="","",H159-U159)</f>
        <v/>
      </c>
      <c r="W159" s="29">
        <f>IFERROR(V159/H159,"")</f>
        <v/>
      </c>
      <c r="X159" s="24" t="n"/>
    </row>
    <row r="160" ht="15" customHeight="1">
      <c r="A160" s="63">
        <f>IF(C160="","",IFERROR(IF(SUMPRODUCT(MAX((tbl_Finance[Job Number]=C160&amp;"")*(tbl_Finance[Xero Invoice No]&lt;&gt;"")*tbl_Finance[Date]))=0,"",SUMPRODUCT(MAX((tbl_Finance[Job Number]=C160&amp;"")*(tbl_Finance[Xero Invoice No]&lt;&gt;"")*tbl_Finance[Date]))),""))</f>
        <v/>
      </c>
      <c r="B160" s="25">
        <f>IF(C160="","",IF(COUNTIFS(tbl_Finance[Job Number],C160&amp;"",tbl_Finance[Xero Invoice No],"&lt;&gt;")=0,"",IFERROR(IF(COUNTIFS(tbl_Finance[Job Number],C160&amp;"",tbl_Finance[Xero Invoice No],LOOKUP(2,1/((tbl_Finance[Job Number]=C160&amp;"")*(tbl_Finance[Xero Invoice No]&lt;&gt;"")),tbl_Finance[Xero Invoice No]))=COUNTIFS(tbl_Finance[Job Number],C160&amp;"",tbl_Finance[Xero Invoice No],"&lt;&gt;"),LOOKUP(2,1/((tbl_Finance[Job Number]=C160&amp;"")*(tbl_Finance[Xero Invoice No]&lt;&gt;"")),tbl_Finance[Xero Invoice No]),LOOKUP(2,1/((tbl_Finance[Job Number]=C160&amp;"")*(tbl_Finance[Xero Invoice No]&lt;&gt;"")),tbl_Finance[Xero Invoice No])&amp;" +more"),"")))</f>
        <v/>
      </c>
      <c r="C160" s="24" t="n"/>
      <c r="D160" s="25">
        <f>IF(C160="","",IF(COUNTIF(lst_Jobs,C160&amp;"")&gt;0,"OK","CHECK"))</f>
        <v/>
      </c>
      <c r="E160" s="25">
        <f>IF(C160="","",IFERROR(INDEX(lst_JobName,MATCH(C160&amp;"",lst_Jobs,0)),""))</f>
        <v/>
      </c>
      <c r="F160" s="25">
        <f>IF(C160="","",IFERROR(INDEX(tbl_Finance[Client],MATCH(C160&amp;"",tbl_Finance[Job Number],0)),""))</f>
        <v/>
      </c>
      <c r="G160" s="28">
        <f>IF(C160="","",COUNTIFS(tbl_Finance[Job Number],C160&amp;"",tbl_Finance[Ex GST],"&lt;&gt;"))</f>
        <v/>
      </c>
      <c r="H160" s="27">
        <f>IF(C160="","",SUMIFS(tbl_Finance[Ex GST],tbl_Finance[Job Number],C160&amp;""))</f>
        <v/>
      </c>
      <c r="I160" s="27">
        <f>IF(C160="","",SUMIFS(tbl_Finance[Ex GST],tbl_Finance[Job Number],C160&amp;"",tbl_Finance[Xero Invoice No],"&lt;&gt;"))</f>
        <v/>
      </c>
      <c r="J160" s="27">
        <f>IF(C160="","",H160-I160)</f>
        <v/>
      </c>
      <c r="K160" s="25">
        <f>IF(C160="","",IF(G160=0,"not invoiced yet",SUBSTITUTE(TRIM(IF(COUNTIFS(tbl_Finance[Job Number],C160&amp;"",tbl_Finance[Cost Centre],"ONSITE")&gt;0,"ONSITE ","")&amp;IF(COUNTIFS(tbl_Finance[Job Number],C160&amp;"",tbl_Finance[Cost Centre],"PRODUCTION")&gt;0,"PRODUCTION ","")&amp;IF(COUNTIFS(tbl_Finance[Job Number],C160&amp;"",tbl_Finance[Cost Centre],"VIDEO")&gt;0,"VIDEO ","")&amp;IF(COUNTIFS(tbl_Finance[Job Number],C160&amp;"",tbl_Finance[Cost Centre],"INTEGRATION")&gt;0,"INTEGRATION ","")&amp;IF(COUNTIFS(tbl_Finance[Job Number],C160&amp;"",tbl_Finance[Cost Centre],"CONSULTING")&gt;0,"CONSULTING ","")&amp;IF(COUNTIFS(tbl_Finance[Job Number],C160&amp;"",tbl_Finance[Cost Centre],"CTS")&gt;0,"CTS ",""))," ",", ")))</f>
        <v/>
      </c>
      <c r="L160" s="24" t="n"/>
      <c r="M160" s="25">
        <f>IF(L160="","",HYPERLINK(IF(LEFT(L160,4)="http",L160,set_QwilrBase&amp;L160),"Open quote"))</f>
        <v/>
      </c>
      <c r="N160" s="26" t="n"/>
      <c r="O160" s="26" t="n"/>
      <c r="P160" s="26" t="n"/>
      <c r="Q160" s="25">
        <f>IF(C160="","",IF(N(N160)+N(O160)+N(P160)=0,"Not split",IF(ROUND(N(N160)+N(O160)+N(P160),2)=ROUND(H160,2),"OK","MISMATCH")))</f>
        <v/>
      </c>
      <c r="R160" s="26" t="n"/>
      <c r="S160" s="26" t="n"/>
      <c r="T160" s="26" t="n"/>
      <c r="U160" s="27">
        <f>IF(C160="","",N(R160)+N(S160)+N(T160))</f>
        <v/>
      </c>
      <c r="V160" s="27">
        <f>IF(C160="","",H160-U160)</f>
        <v/>
      </c>
      <c r="W160" s="29">
        <f>IFERROR(V160/H160,"")</f>
        <v/>
      </c>
      <c r="X160" s="24" t="n"/>
    </row>
    <row r="161" ht="15" customHeight="1">
      <c r="A161" s="63">
        <f>IF(C161="","",IFERROR(IF(SUMPRODUCT(MAX((tbl_Finance[Job Number]=C161&amp;"")*(tbl_Finance[Xero Invoice No]&lt;&gt;"")*tbl_Finance[Date]))=0,"",SUMPRODUCT(MAX((tbl_Finance[Job Number]=C161&amp;"")*(tbl_Finance[Xero Invoice No]&lt;&gt;"")*tbl_Finance[Date]))),""))</f>
        <v/>
      </c>
      <c r="B161" s="25">
        <f>IF(C161="","",IF(COUNTIFS(tbl_Finance[Job Number],C161&amp;"",tbl_Finance[Xero Invoice No],"&lt;&gt;")=0,"",IFERROR(IF(COUNTIFS(tbl_Finance[Job Number],C161&amp;"",tbl_Finance[Xero Invoice No],LOOKUP(2,1/((tbl_Finance[Job Number]=C161&amp;"")*(tbl_Finance[Xero Invoice No]&lt;&gt;"")),tbl_Finance[Xero Invoice No]))=COUNTIFS(tbl_Finance[Job Number],C161&amp;"",tbl_Finance[Xero Invoice No],"&lt;&gt;"),LOOKUP(2,1/((tbl_Finance[Job Number]=C161&amp;"")*(tbl_Finance[Xero Invoice No]&lt;&gt;"")),tbl_Finance[Xero Invoice No]),LOOKUP(2,1/((tbl_Finance[Job Number]=C161&amp;"")*(tbl_Finance[Xero Invoice No]&lt;&gt;"")),tbl_Finance[Xero Invoice No])&amp;" +more"),"")))</f>
        <v/>
      </c>
      <c r="C161" s="24" t="n"/>
      <c r="D161" s="25">
        <f>IF(C161="","",IF(COUNTIF(lst_Jobs,C161&amp;"")&gt;0,"OK","CHECK"))</f>
        <v/>
      </c>
      <c r="E161" s="25">
        <f>IF(C161="","",IFERROR(INDEX(lst_JobName,MATCH(C161&amp;"",lst_Jobs,0)),""))</f>
        <v/>
      </c>
      <c r="F161" s="25">
        <f>IF(C161="","",IFERROR(INDEX(tbl_Finance[Client],MATCH(C161&amp;"",tbl_Finance[Job Number],0)),""))</f>
        <v/>
      </c>
      <c r="G161" s="28">
        <f>IF(C161="","",COUNTIFS(tbl_Finance[Job Number],C161&amp;"",tbl_Finance[Ex GST],"&lt;&gt;"))</f>
        <v/>
      </c>
      <c r="H161" s="27">
        <f>IF(C161="","",SUMIFS(tbl_Finance[Ex GST],tbl_Finance[Job Number],C161&amp;""))</f>
        <v/>
      </c>
      <c r="I161" s="27">
        <f>IF(C161="","",SUMIFS(tbl_Finance[Ex GST],tbl_Finance[Job Number],C161&amp;"",tbl_Finance[Xero Invoice No],"&lt;&gt;"))</f>
        <v/>
      </c>
      <c r="J161" s="27">
        <f>IF(C161="","",H161-I161)</f>
        <v/>
      </c>
      <c r="K161" s="25">
        <f>IF(C161="","",IF(G161=0,"not invoiced yet",SUBSTITUTE(TRIM(IF(COUNTIFS(tbl_Finance[Job Number],C161&amp;"",tbl_Finance[Cost Centre],"ONSITE")&gt;0,"ONSITE ","")&amp;IF(COUNTIFS(tbl_Finance[Job Number],C161&amp;"",tbl_Finance[Cost Centre],"PRODUCTION")&gt;0,"PRODUCTION ","")&amp;IF(COUNTIFS(tbl_Finance[Job Number],C161&amp;"",tbl_Finance[Cost Centre],"VIDEO")&gt;0,"VIDEO ","")&amp;IF(COUNTIFS(tbl_Finance[Job Number],C161&amp;"",tbl_Finance[Cost Centre],"INTEGRATION")&gt;0,"INTEGRATION ","")&amp;IF(COUNTIFS(tbl_Finance[Job Number],C161&amp;"",tbl_Finance[Cost Centre],"CONSULTING")&gt;0,"CONSULTING ","")&amp;IF(COUNTIFS(tbl_Finance[Job Number],C161&amp;"",tbl_Finance[Cost Centre],"CTS")&gt;0,"CTS ",""))," ",", ")))</f>
        <v/>
      </c>
      <c r="L161" s="24" t="n"/>
      <c r="M161" s="25">
        <f>IF(L161="","",HYPERLINK(IF(LEFT(L161,4)="http",L161,set_QwilrBase&amp;L161),"Open quote"))</f>
        <v/>
      </c>
      <c r="N161" s="26" t="n"/>
      <c r="O161" s="26" t="n"/>
      <c r="P161" s="26" t="n"/>
      <c r="Q161" s="25">
        <f>IF(C161="","",IF(N(N161)+N(O161)+N(P161)=0,"Not split",IF(ROUND(N(N161)+N(O161)+N(P161),2)=ROUND(H161,2),"OK","MISMATCH")))</f>
        <v/>
      </c>
      <c r="R161" s="26" t="n"/>
      <c r="S161" s="26" t="n"/>
      <c r="T161" s="26" t="n"/>
      <c r="U161" s="27">
        <f>IF(C161="","",N(R161)+N(S161)+N(T161))</f>
        <v/>
      </c>
      <c r="V161" s="27">
        <f>IF(C161="","",H161-U161)</f>
        <v/>
      </c>
      <c r="W161" s="29">
        <f>IFERROR(V161/H161,"")</f>
        <v/>
      </c>
      <c r="X161" s="24" t="n"/>
    </row>
    <row r="162" ht="15" customHeight="1">
      <c r="A162" s="63">
        <f>IF(C162="","",IFERROR(IF(SUMPRODUCT(MAX((tbl_Finance[Job Number]=C162&amp;"")*(tbl_Finance[Xero Invoice No]&lt;&gt;"")*tbl_Finance[Date]))=0,"",SUMPRODUCT(MAX((tbl_Finance[Job Number]=C162&amp;"")*(tbl_Finance[Xero Invoice No]&lt;&gt;"")*tbl_Finance[Date]))),""))</f>
        <v/>
      </c>
      <c r="B162" s="25">
        <f>IF(C162="","",IF(COUNTIFS(tbl_Finance[Job Number],C162&amp;"",tbl_Finance[Xero Invoice No],"&lt;&gt;")=0,"",IFERROR(IF(COUNTIFS(tbl_Finance[Job Number],C162&amp;"",tbl_Finance[Xero Invoice No],LOOKUP(2,1/((tbl_Finance[Job Number]=C162&amp;"")*(tbl_Finance[Xero Invoice No]&lt;&gt;"")),tbl_Finance[Xero Invoice No]))=COUNTIFS(tbl_Finance[Job Number],C162&amp;"",tbl_Finance[Xero Invoice No],"&lt;&gt;"),LOOKUP(2,1/((tbl_Finance[Job Number]=C162&amp;"")*(tbl_Finance[Xero Invoice No]&lt;&gt;"")),tbl_Finance[Xero Invoice No]),LOOKUP(2,1/((tbl_Finance[Job Number]=C162&amp;"")*(tbl_Finance[Xero Invoice No]&lt;&gt;"")),tbl_Finance[Xero Invoice No])&amp;" +more"),"")))</f>
        <v/>
      </c>
      <c r="C162" s="24" t="n"/>
      <c r="D162" s="25">
        <f>IF(C162="","",IF(COUNTIF(lst_Jobs,C162&amp;"")&gt;0,"OK","CHECK"))</f>
        <v/>
      </c>
      <c r="E162" s="25">
        <f>IF(C162="","",IFERROR(INDEX(lst_JobName,MATCH(C162&amp;"",lst_Jobs,0)),""))</f>
        <v/>
      </c>
      <c r="F162" s="25">
        <f>IF(C162="","",IFERROR(INDEX(tbl_Finance[Client],MATCH(C162&amp;"",tbl_Finance[Job Number],0)),""))</f>
        <v/>
      </c>
      <c r="G162" s="28">
        <f>IF(C162="","",COUNTIFS(tbl_Finance[Job Number],C162&amp;"",tbl_Finance[Ex GST],"&lt;&gt;"))</f>
        <v/>
      </c>
      <c r="H162" s="27">
        <f>IF(C162="","",SUMIFS(tbl_Finance[Ex GST],tbl_Finance[Job Number],C162&amp;""))</f>
        <v/>
      </c>
      <c r="I162" s="27">
        <f>IF(C162="","",SUMIFS(tbl_Finance[Ex GST],tbl_Finance[Job Number],C162&amp;"",tbl_Finance[Xero Invoice No],"&lt;&gt;"))</f>
        <v/>
      </c>
      <c r="J162" s="27">
        <f>IF(C162="","",H162-I162)</f>
        <v/>
      </c>
      <c r="K162" s="25">
        <f>IF(C162="","",IF(G162=0,"not invoiced yet",SUBSTITUTE(TRIM(IF(COUNTIFS(tbl_Finance[Job Number],C162&amp;"",tbl_Finance[Cost Centre],"ONSITE")&gt;0,"ONSITE ","")&amp;IF(COUNTIFS(tbl_Finance[Job Number],C162&amp;"",tbl_Finance[Cost Centre],"PRODUCTION")&gt;0,"PRODUCTION ","")&amp;IF(COUNTIFS(tbl_Finance[Job Number],C162&amp;"",tbl_Finance[Cost Centre],"VIDEO")&gt;0,"VIDEO ","")&amp;IF(COUNTIFS(tbl_Finance[Job Number],C162&amp;"",tbl_Finance[Cost Centre],"INTEGRATION")&gt;0,"INTEGRATION ","")&amp;IF(COUNTIFS(tbl_Finance[Job Number],C162&amp;"",tbl_Finance[Cost Centre],"CONSULTING")&gt;0,"CONSULTING ","")&amp;IF(COUNTIFS(tbl_Finance[Job Number],C162&amp;"",tbl_Finance[Cost Centre],"CTS")&gt;0,"CTS ",""))," ",", ")))</f>
        <v/>
      </c>
      <c r="L162" s="24" t="n"/>
      <c r="M162" s="25">
        <f>IF(L162="","",HYPERLINK(IF(LEFT(L162,4)="http",L162,set_QwilrBase&amp;L162),"Open quote"))</f>
        <v/>
      </c>
      <c r="N162" s="26" t="n"/>
      <c r="O162" s="26" t="n"/>
      <c r="P162" s="26" t="n"/>
      <c r="Q162" s="25">
        <f>IF(C162="","",IF(N(N162)+N(O162)+N(P162)=0,"Not split",IF(ROUND(N(N162)+N(O162)+N(P162),2)=ROUND(H162,2),"OK","MISMATCH")))</f>
        <v/>
      </c>
      <c r="R162" s="26" t="n"/>
      <c r="S162" s="26" t="n"/>
      <c r="T162" s="26" t="n"/>
      <c r="U162" s="27">
        <f>IF(C162="","",N(R162)+N(S162)+N(T162))</f>
        <v/>
      </c>
      <c r="V162" s="27">
        <f>IF(C162="","",H162-U162)</f>
        <v/>
      </c>
      <c r="W162" s="29">
        <f>IFERROR(V162/H162,"")</f>
        <v/>
      </c>
      <c r="X162" s="24" t="n"/>
    </row>
    <row r="163" ht="15" customHeight="1">
      <c r="A163" s="63">
        <f>IF(C163="","",IFERROR(IF(SUMPRODUCT(MAX((tbl_Finance[Job Number]=C163&amp;"")*(tbl_Finance[Xero Invoice No]&lt;&gt;"")*tbl_Finance[Date]))=0,"",SUMPRODUCT(MAX((tbl_Finance[Job Number]=C163&amp;"")*(tbl_Finance[Xero Invoice No]&lt;&gt;"")*tbl_Finance[Date]))),""))</f>
        <v/>
      </c>
      <c r="B163" s="25">
        <f>IF(C163="","",IF(COUNTIFS(tbl_Finance[Job Number],C163&amp;"",tbl_Finance[Xero Invoice No],"&lt;&gt;")=0,"",IFERROR(IF(COUNTIFS(tbl_Finance[Job Number],C163&amp;"",tbl_Finance[Xero Invoice No],LOOKUP(2,1/((tbl_Finance[Job Number]=C163&amp;"")*(tbl_Finance[Xero Invoice No]&lt;&gt;"")),tbl_Finance[Xero Invoice No]))=COUNTIFS(tbl_Finance[Job Number],C163&amp;"",tbl_Finance[Xero Invoice No],"&lt;&gt;"),LOOKUP(2,1/((tbl_Finance[Job Number]=C163&amp;"")*(tbl_Finance[Xero Invoice No]&lt;&gt;"")),tbl_Finance[Xero Invoice No]),LOOKUP(2,1/((tbl_Finance[Job Number]=C163&amp;"")*(tbl_Finance[Xero Invoice No]&lt;&gt;"")),tbl_Finance[Xero Invoice No])&amp;" +more"),"")))</f>
        <v/>
      </c>
      <c r="C163" s="24" t="n"/>
      <c r="D163" s="25">
        <f>IF(C163="","",IF(COUNTIF(lst_Jobs,C163&amp;"")&gt;0,"OK","CHECK"))</f>
        <v/>
      </c>
      <c r="E163" s="25">
        <f>IF(C163="","",IFERROR(INDEX(lst_JobName,MATCH(C163&amp;"",lst_Jobs,0)),""))</f>
        <v/>
      </c>
      <c r="F163" s="25">
        <f>IF(C163="","",IFERROR(INDEX(tbl_Finance[Client],MATCH(C163&amp;"",tbl_Finance[Job Number],0)),""))</f>
        <v/>
      </c>
      <c r="G163" s="28">
        <f>IF(C163="","",COUNTIFS(tbl_Finance[Job Number],C163&amp;"",tbl_Finance[Ex GST],"&lt;&gt;"))</f>
        <v/>
      </c>
      <c r="H163" s="27">
        <f>IF(C163="","",SUMIFS(tbl_Finance[Ex GST],tbl_Finance[Job Number],C163&amp;""))</f>
        <v/>
      </c>
      <c r="I163" s="27">
        <f>IF(C163="","",SUMIFS(tbl_Finance[Ex GST],tbl_Finance[Job Number],C163&amp;"",tbl_Finance[Xero Invoice No],"&lt;&gt;"))</f>
        <v/>
      </c>
      <c r="J163" s="27">
        <f>IF(C163="","",H163-I163)</f>
        <v/>
      </c>
      <c r="K163" s="25">
        <f>IF(C163="","",IF(G163=0,"not invoiced yet",SUBSTITUTE(TRIM(IF(COUNTIFS(tbl_Finance[Job Number],C163&amp;"",tbl_Finance[Cost Centre],"ONSITE")&gt;0,"ONSITE ","")&amp;IF(COUNTIFS(tbl_Finance[Job Number],C163&amp;"",tbl_Finance[Cost Centre],"PRODUCTION")&gt;0,"PRODUCTION ","")&amp;IF(COUNTIFS(tbl_Finance[Job Number],C163&amp;"",tbl_Finance[Cost Centre],"VIDEO")&gt;0,"VIDEO ","")&amp;IF(COUNTIFS(tbl_Finance[Job Number],C163&amp;"",tbl_Finance[Cost Centre],"INTEGRATION")&gt;0,"INTEGRATION ","")&amp;IF(COUNTIFS(tbl_Finance[Job Number],C163&amp;"",tbl_Finance[Cost Centre],"CONSULTING")&gt;0,"CONSULTING ","")&amp;IF(COUNTIFS(tbl_Finance[Job Number],C163&amp;"",tbl_Finance[Cost Centre],"CTS")&gt;0,"CTS ",""))," ",", ")))</f>
        <v/>
      </c>
      <c r="L163" s="24" t="n"/>
      <c r="M163" s="25">
        <f>IF(L163="","",HYPERLINK(IF(LEFT(L163,4)="http",L163,set_QwilrBase&amp;L163),"Open quote"))</f>
        <v/>
      </c>
      <c r="N163" s="26" t="n"/>
      <c r="O163" s="26" t="n"/>
      <c r="P163" s="26" t="n"/>
      <c r="Q163" s="25">
        <f>IF(C163="","",IF(N(N163)+N(O163)+N(P163)=0,"Not split",IF(ROUND(N(N163)+N(O163)+N(P163),2)=ROUND(H163,2),"OK","MISMATCH")))</f>
        <v/>
      </c>
      <c r="R163" s="26" t="n"/>
      <c r="S163" s="26" t="n"/>
      <c r="T163" s="26" t="n"/>
      <c r="U163" s="27">
        <f>IF(C163="","",N(R163)+N(S163)+N(T163))</f>
        <v/>
      </c>
      <c r="V163" s="27">
        <f>IF(C163="","",H163-U163)</f>
        <v/>
      </c>
      <c r="W163" s="29">
        <f>IFERROR(V163/H163,"")</f>
        <v/>
      </c>
      <c r="X163" s="24" t="n"/>
    </row>
    <row r="164" ht="15" customHeight="1">
      <c r="A164" s="63">
        <f>IF(C164="","",IFERROR(IF(SUMPRODUCT(MAX((tbl_Finance[Job Number]=C164&amp;"")*(tbl_Finance[Xero Invoice No]&lt;&gt;"")*tbl_Finance[Date]))=0,"",SUMPRODUCT(MAX((tbl_Finance[Job Number]=C164&amp;"")*(tbl_Finance[Xero Invoice No]&lt;&gt;"")*tbl_Finance[Date]))),""))</f>
        <v/>
      </c>
      <c r="B164" s="25">
        <f>IF(C164="","",IF(COUNTIFS(tbl_Finance[Job Number],C164&amp;"",tbl_Finance[Xero Invoice No],"&lt;&gt;")=0,"",IFERROR(IF(COUNTIFS(tbl_Finance[Job Number],C164&amp;"",tbl_Finance[Xero Invoice No],LOOKUP(2,1/((tbl_Finance[Job Number]=C164&amp;"")*(tbl_Finance[Xero Invoice No]&lt;&gt;"")),tbl_Finance[Xero Invoice No]))=COUNTIFS(tbl_Finance[Job Number],C164&amp;"",tbl_Finance[Xero Invoice No],"&lt;&gt;"),LOOKUP(2,1/((tbl_Finance[Job Number]=C164&amp;"")*(tbl_Finance[Xero Invoice No]&lt;&gt;"")),tbl_Finance[Xero Invoice No]),LOOKUP(2,1/((tbl_Finance[Job Number]=C164&amp;"")*(tbl_Finance[Xero Invoice No]&lt;&gt;"")),tbl_Finance[Xero Invoice No])&amp;" +more"),"")))</f>
        <v/>
      </c>
      <c r="C164" s="24" t="n"/>
      <c r="D164" s="25">
        <f>IF(C164="","",IF(COUNTIF(lst_Jobs,C164&amp;"")&gt;0,"OK","CHECK"))</f>
        <v/>
      </c>
      <c r="E164" s="25">
        <f>IF(C164="","",IFERROR(INDEX(lst_JobName,MATCH(C164&amp;"",lst_Jobs,0)),""))</f>
        <v/>
      </c>
      <c r="F164" s="25">
        <f>IF(C164="","",IFERROR(INDEX(tbl_Finance[Client],MATCH(C164&amp;"",tbl_Finance[Job Number],0)),""))</f>
        <v/>
      </c>
      <c r="G164" s="28">
        <f>IF(C164="","",COUNTIFS(tbl_Finance[Job Number],C164&amp;"",tbl_Finance[Ex GST],"&lt;&gt;"))</f>
        <v/>
      </c>
      <c r="H164" s="27">
        <f>IF(C164="","",SUMIFS(tbl_Finance[Ex GST],tbl_Finance[Job Number],C164&amp;""))</f>
        <v/>
      </c>
      <c r="I164" s="27">
        <f>IF(C164="","",SUMIFS(tbl_Finance[Ex GST],tbl_Finance[Job Number],C164&amp;"",tbl_Finance[Xero Invoice No],"&lt;&gt;"))</f>
        <v/>
      </c>
      <c r="J164" s="27">
        <f>IF(C164="","",H164-I164)</f>
        <v/>
      </c>
      <c r="K164" s="25">
        <f>IF(C164="","",IF(G164=0,"not invoiced yet",SUBSTITUTE(TRIM(IF(COUNTIFS(tbl_Finance[Job Number],C164&amp;"",tbl_Finance[Cost Centre],"ONSITE")&gt;0,"ONSITE ","")&amp;IF(COUNTIFS(tbl_Finance[Job Number],C164&amp;"",tbl_Finance[Cost Centre],"PRODUCTION")&gt;0,"PRODUCTION ","")&amp;IF(COUNTIFS(tbl_Finance[Job Number],C164&amp;"",tbl_Finance[Cost Centre],"VIDEO")&gt;0,"VIDEO ","")&amp;IF(COUNTIFS(tbl_Finance[Job Number],C164&amp;"",tbl_Finance[Cost Centre],"INTEGRATION")&gt;0,"INTEGRATION ","")&amp;IF(COUNTIFS(tbl_Finance[Job Number],C164&amp;"",tbl_Finance[Cost Centre],"CONSULTING")&gt;0,"CONSULTING ","")&amp;IF(COUNTIFS(tbl_Finance[Job Number],C164&amp;"",tbl_Finance[Cost Centre],"CTS")&gt;0,"CTS ",""))," ",", ")))</f>
        <v/>
      </c>
      <c r="L164" s="24" t="n"/>
      <c r="M164" s="25">
        <f>IF(L164="","",HYPERLINK(IF(LEFT(L164,4)="http",L164,set_QwilrBase&amp;L164),"Open quote"))</f>
        <v/>
      </c>
      <c r="N164" s="26" t="n"/>
      <c r="O164" s="26" t="n"/>
      <c r="P164" s="26" t="n"/>
      <c r="Q164" s="25">
        <f>IF(C164="","",IF(N(N164)+N(O164)+N(P164)=0,"Not split",IF(ROUND(N(N164)+N(O164)+N(P164),2)=ROUND(H164,2),"OK","MISMATCH")))</f>
        <v/>
      </c>
      <c r="R164" s="26" t="n"/>
      <c r="S164" s="26" t="n"/>
      <c r="T164" s="26" t="n"/>
      <c r="U164" s="27">
        <f>IF(C164="","",N(R164)+N(S164)+N(T164))</f>
        <v/>
      </c>
      <c r="V164" s="27">
        <f>IF(C164="","",H164-U164)</f>
        <v/>
      </c>
      <c r="W164" s="29">
        <f>IFERROR(V164/H164,"")</f>
        <v/>
      </c>
      <c r="X164" s="24" t="n"/>
    </row>
    <row r="165" ht="15" customHeight="1">
      <c r="A165" s="63">
        <f>IF(C165="","",IFERROR(IF(SUMPRODUCT(MAX((tbl_Finance[Job Number]=C165&amp;"")*(tbl_Finance[Xero Invoice No]&lt;&gt;"")*tbl_Finance[Date]))=0,"",SUMPRODUCT(MAX((tbl_Finance[Job Number]=C165&amp;"")*(tbl_Finance[Xero Invoice No]&lt;&gt;"")*tbl_Finance[Date]))),""))</f>
        <v/>
      </c>
      <c r="B165" s="25">
        <f>IF(C165="","",IF(COUNTIFS(tbl_Finance[Job Number],C165&amp;"",tbl_Finance[Xero Invoice No],"&lt;&gt;")=0,"",IFERROR(IF(COUNTIFS(tbl_Finance[Job Number],C165&amp;"",tbl_Finance[Xero Invoice No],LOOKUP(2,1/((tbl_Finance[Job Number]=C165&amp;"")*(tbl_Finance[Xero Invoice No]&lt;&gt;"")),tbl_Finance[Xero Invoice No]))=COUNTIFS(tbl_Finance[Job Number],C165&amp;"",tbl_Finance[Xero Invoice No],"&lt;&gt;"),LOOKUP(2,1/((tbl_Finance[Job Number]=C165&amp;"")*(tbl_Finance[Xero Invoice No]&lt;&gt;"")),tbl_Finance[Xero Invoice No]),LOOKUP(2,1/((tbl_Finance[Job Number]=C165&amp;"")*(tbl_Finance[Xero Invoice No]&lt;&gt;"")),tbl_Finance[Xero Invoice No])&amp;" +more"),"")))</f>
        <v/>
      </c>
      <c r="C165" s="24" t="n"/>
      <c r="D165" s="25">
        <f>IF(C165="","",IF(COUNTIF(lst_Jobs,C165&amp;"")&gt;0,"OK","CHECK"))</f>
        <v/>
      </c>
      <c r="E165" s="25">
        <f>IF(C165="","",IFERROR(INDEX(lst_JobName,MATCH(C165&amp;"",lst_Jobs,0)),""))</f>
        <v/>
      </c>
      <c r="F165" s="25">
        <f>IF(C165="","",IFERROR(INDEX(tbl_Finance[Client],MATCH(C165&amp;"",tbl_Finance[Job Number],0)),""))</f>
        <v/>
      </c>
      <c r="G165" s="28">
        <f>IF(C165="","",COUNTIFS(tbl_Finance[Job Number],C165&amp;"",tbl_Finance[Ex GST],"&lt;&gt;"))</f>
        <v/>
      </c>
      <c r="H165" s="27">
        <f>IF(C165="","",SUMIFS(tbl_Finance[Ex GST],tbl_Finance[Job Number],C165&amp;""))</f>
        <v/>
      </c>
      <c r="I165" s="27">
        <f>IF(C165="","",SUMIFS(tbl_Finance[Ex GST],tbl_Finance[Job Number],C165&amp;"",tbl_Finance[Xero Invoice No],"&lt;&gt;"))</f>
        <v/>
      </c>
      <c r="J165" s="27">
        <f>IF(C165="","",H165-I165)</f>
        <v/>
      </c>
      <c r="K165" s="25">
        <f>IF(C165="","",IF(G165=0,"not invoiced yet",SUBSTITUTE(TRIM(IF(COUNTIFS(tbl_Finance[Job Number],C165&amp;"",tbl_Finance[Cost Centre],"ONSITE")&gt;0,"ONSITE ","")&amp;IF(COUNTIFS(tbl_Finance[Job Number],C165&amp;"",tbl_Finance[Cost Centre],"PRODUCTION")&gt;0,"PRODUCTION ","")&amp;IF(COUNTIFS(tbl_Finance[Job Number],C165&amp;"",tbl_Finance[Cost Centre],"VIDEO")&gt;0,"VIDEO ","")&amp;IF(COUNTIFS(tbl_Finance[Job Number],C165&amp;"",tbl_Finance[Cost Centre],"INTEGRATION")&gt;0,"INTEGRATION ","")&amp;IF(COUNTIFS(tbl_Finance[Job Number],C165&amp;"",tbl_Finance[Cost Centre],"CONSULTING")&gt;0,"CONSULTING ","")&amp;IF(COUNTIFS(tbl_Finance[Job Number],C165&amp;"",tbl_Finance[Cost Centre],"CTS")&gt;0,"CTS ",""))," ",", ")))</f>
        <v/>
      </c>
      <c r="L165" s="24" t="n"/>
      <c r="M165" s="25">
        <f>IF(L165="","",HYPERLINK(IF(LEFT(L165,4)="http",L165,set_QwilrBase&amp;L165),"Open quote"))</f>
        <v/>
      </c>
      <c r="N165" s="26" t="n"/>
      <c r="O165" s="26" t="n"/>
      <c r="P165" s="26" t="n"/>
      <c r="Q165" s="25">
        <f>IF(C165="","",IF(N(N165)+N(O165)+N(P165)=0,"Not split",IF(ROUND(N(N165)+N(O165)+N(P165),2)=ROUND(H165,2),"OK","MISMATCH")))</f>
        <v/>
      </c>
      <c r="R165" s="26" t="n"/>
      <c r="S165" s="26" t="n"/>
      <c r="T165" s="26" t="n"/>
      <c r="U165" s="27">
        <f>IF(C165="","",N(R165)+N(S165)+N(T165))</f>
        <v/>
      </c>
      <c r="V165" s="27">
        <f>IF(C165="","",H165-U165)</f>
        <v/>
      </c>
      <c r="W165" s="29">
        <f>IFERROR(V165/H165,"")</f>
        <v/>
      </c>
      <c r="X165" s="24" t="n"/>
    </row>
    <row r="166" ht="15" customHeight="1">
      <c r="A166" s="63">
        <f>IF(C166="","",IFERROR(IF(SUMPRODUCT(MAX((tbl_Finance[Job Number]=C166&amp;"")*(tbl_Finance[Xero Invoice No]&lt;&gt;"")*tbl_Finance[Date]))=0,"",SUMPRODUCT(MAX((tbl_Finance[Job Number]=C166&amp;"")*(tbl_Finance[Xero Invoice No]&lt;&gt;"")*tbl_Finance[Date]))),""))</f>
        <v/>
      </c>
      <c r="B166" s="25">
        <f>IF(C166="","",IF(COUNTIFS(tbl_Finance[Job Number],C166&amp;"",tbl_Finance[Xero Invoice No],"&lt;&gt;")=0,"",IFERROR(IF(COUNTIFS(tbl_Finance[Job Number],C166&amp;"",tbl_Finance[Xero Invoice No],LOOKUP(2,1/((tbl_Finance[Job Number]=C166&amp;"")*(tbl_Finance[Xero Invoice No]&lt;&gt;"")),tbl_Finance[Xero Invoice No]))=COUNTIFS(tbl_Finance[Job Number],C166&amp;"",tbl_Finance[Xero Invoice No],"&lt;&gt;"),LOOKUP(2,1/((tbl_Finance[Job Number]=C166&amp;"")*(tbl_Finance[Xero Invoice No]&lt;&gt;"")),tbl_Finance[Xero Invoice No]),LOOKUP(2,1/((tbl_Finance[Job Number]=C166&amp;"")*(tbl_Finance[Xero Invoice No]&lt;&gt;"")),tbl_Finance[Xero Invoice No])&amp;" +more"),"")))</f>
        <v/>
      </c>
      <c r="C166" s="24" t="n"/>
      <c r="D166" s="25">
        <f>IF(C166="","",IF(COUNTIF(lst_Jobs,C166&amp;"")&gt;0,"OK","CHECK"))</f>
        <v/>
      </c>
      <c r="E166" s="25">
        <f>IF(C166="","",IFERROR(INDEX(lst_JobName,MATCH(C166&amp;"",lst_Jobs,0)),""))</f>
        <v/>
      </c>
      <c r="F166" s="25">
        <f>IF(C166="","",IFERROR(INDEX(tbl_Finance[Client],MATCH(C166&amp;"",tbl_Finance[Job Number],0)),""))</f>
        <v/>
      </c>
      <c r="G166" s="28">
        <f>IF(C166="","",COUNTIFS(tbl_Finance[Job Number],C166&amp;"",tbl_Finance[Ex GST],"&lt;&gt;"))</f>
        <v/>
      </c>
      <c r="H166" s="27">
        <f>IF(C166="","",SUMIFS(tbl_Finance[Ex GST],tbl_Finance[Job Number],C166&amp;""))</f>
        <v/>
      </c>
      <c r="I166" s="27">
        <f>IF(C166="","",SUMIFS(tbl_Finance[Ex GST],tbl_Finance[Job Number],C166&amp;"",tbl_Finance[Xero Invoice No],"&lt;&gt;"))</f>
        <v/>
      </c>
      <c r="J166" s="27">
        <f>IF(C166="","",H166-I166)</f>
        <v/>
      </c>
      <c r="K166" s="25">
        <f>IF(C166="","",IF(G166=0,"not invoiced yet",SUBSTITUTE(TRIM(IF(COUNTIFS(tbl_Finance[Job Number],C166&amp;"",tbl_Finance[Cost Centre],"ONSITE")&gt;0,"ONSITE ","")&amp;IF(COUNTIFS(tbl_Finance[Job Number],C166&amp;"",tbl_Finance[Cost Centre],"PRODUCTION")&gt;0,"PRODUCTION ","")&amp;IF(COUNTIFS(tbl_Finance[Job Number],C166&amp;"",tbl_Finance[Cost Centre],"VIDEO")&gt;0,"VIDEO ","")&amp;IF(COUNTIFS(tbl_Finance[Job Number],C166&amp;"",tbl_Finance[Cost Centre],"INTEGRATION")&gt;0,"INTEGRATION ","")&amp;IF(COUNTIFS(tbl_Finance[Job Number],C166&amp;"",tbl_Finance[Cost Centre],"CONSULTING")&gt;0,"CONSULTING ","")&amp;IF(COUNTIFS(tbl_Finance[Job Number],C166&amp;"",tbl_Finance[Cost Centre],"CTS")&gt;0,"CTS ",""))," ",", ")))</f>
        <v/>
      </c>
      <c r="L166" s="24" t="n"/>
      <c r="M166" s="25">
        <f>IF(L166="","",HYPERLINK(IF(LEFT(L166,4)="http",L166,set_QwilrBase&amp;L166),"Open quote"))</f>
        <v/>
      </c>
      <c r="N166" s="26" t="n"/>
      <c r="O166" s="26" t="n"/>
      <c r="P166" s="26" t="n"/>
      <c r="Q166" s="25">
        <f>IF(C166="","",IF(N(N166)+N(O166)+N(P166)=0,"Not split",IF(ROUND(N(N166)+N(O166)+N(P166),2)=ROUND(H166,2),"OK","MISMATCH")))</f>
        <v/>
      </c>
      <c r="R166" s="26" t="n"/>
      <c r="S166" s="26" t="n"/>
      <c r="T166" s="26" t="n"/>
      <c r="U166" s="27">
        <f>IF(C166="","",N(R166)+N(S166)+N(T166))</f>
        <v/>
      </c>
      <c r="V166" s="27">
        <f>IF(C166="","",H166-U166)</f>
        <v/>
      </c>
      <c r="W166" s="29">
        <f>IFERROR(V166/H166,"")</f>
        <v/>
      </c>
      <c r="X166" s="24" t="n"/>
    </row>
    <row r="167" ht="15" customHeight="1">
      <c r="A167" s="63">
        <f>IF(C167="","",IFERROR(IF(SUMPRODUCT(MAX((tbl_Finance[Job Number]=C167&amp;"")*(tbl_Finance[Xero Invoice No]&lt;&gt;"")*tbl_Finance[Date]))=0,"",SUMPRODUCT(MAX((tbl_Finance[Job Number]=C167&amp;"")*(tbl_Finance[Xero Invoice No]&lt;&gt;"")*tbl_Finance[Date]))),""))</f>
        <v/>
      </c>
      <c r="B167" s="25">
        <f>IF(C167="","",IF(COUNTIFS(tbl_Finance[Job Number],C167&amp;"",tbl_Finance[Xero Invoice No],"&lt;&gt;")=0,"",IFERROR(IF(COUNTIFS(tbl_Finance[Job Number],C167&amp;"",tbl_Finance[Xero Invoice No],LOOKUP(2,1/((tbl_Finance[Job Number]=C167&amp;"")*(tbl_Finance[Xero Invoice No]&lt;&gt;"")),tbl_Finance[Xero Invoice No]))=COUNTIFS(tbl_Finance[Job Number],C167&amp;"",tbl_Finance[Xero Invoice No],"&lt;&gt;"),LOOKUP(2,1/((tbl_Finance[Job Number]=C167&amp;"")*(tbl_Finance[Xero Invoice No]&lt;&gt;"")),tbl_Finance[Xero Invoice No]),LOOKUP(2,1/((tbl_Finance[Job Number]=C167&amp;"")*(tbl_Finance[Xero Invoice No]&lt;&gt;"")),tbl_Finance[Xero Invoice No])&amp;" +more"),"")))</f>
        <v/>
      </c>
      <c r="C167" s="24" t="n"/>
      <c r="D167" s="25">
        <f>IF(C167="","",IF(COUNTIF(lst_Jobs,C167&amp;"")&gt;0,"OK","CHECK"))</f>
        <v/>
      </c>
      <c r="E167" s="25">
        <f>IF(C167="","",IFERROR(INDEX(lst_JobName,MATCH(C167&amp;"",lst_Jobs,0)),""))</f>
        <v/>
      </c>
      <c r="F167" s="25">
        <f>IF(C167="","",IFERROR(INDEX(tbl_Finance[Client],MATCH(C167&amp;"",tbl_Finance[Job Number],0)),""))</f>
        <v/>
      </c>
      <c r="G167" s="28">
        <f>IF(C167="","",COUNTIFS(tbl_Finance[Job Number],C167&amp;"",tbl_Finance[Ex GST],"&lt;&gt;"))</f>
        <v/>
      </c>
      <c r="H167" s="27">
        <f>IF(C167="","",SUMIFS(tbl_Finance[Ex GST],tbl_Finance[Job Number],C167&amp;""))</f>
        <v/>
      </c>
      <c r="I167" s="27">
        <f>IF(C167="","",SUMIFS(tbl_Finance[Ex GST],tbl_Finance[Job Number],C167&amp;"",tbl_Finance[Xero Invoice No],"&lt;&gt;"))</f>
        <v/>
      </c>
      <c r="J167" s="27">
        <f>IF(C167="","",H167-I167)</f>
        <v/>
      </c>
      <c r="K167" s="25">
        <f>IF(C167="","",IF(G167=0,"not invoiced yet",SUBSTITUTE(TRIM(IF(COUNTIFS(tbl_Finance[Job Number],C167&amp;"",tbl_Finance[Cost Centre],"ONSITE")&gt;0,"ONSITE ","")&amp;IF(COUNTIFS(tbl_Finance[Job Number],C167&amp;"",tbl_Finance[Cost Centre],"PRODUCTION")&gt;0,"PRODUCTION ","")&amp;IF(COUNTIFS(tbl_Finance[Job Number],C167&amp;"",tbl_Finance[Cost Centre],"VIDEO")&gt;0,"VIDEO ","")&amp;IF(COUNTIFS(tbl_Finance[Job Number],C167&amp;"",tbl_Finance[Cost Centre],"INTEGRATION")&gt;0,"INTEGRATION ","")&amp;IF(COUNTIFS(tbl_Finance[Job Number],C167&amp;"",tbl_Finance[Cost Centre],"CONSULTING")&gt;0,"CONSULTING ","")&amp;IF(COUNTIFS(tbl_Finance[Job Number],C167&amp;"",tbl_Finance[Cost Centre],"CTS")&gt;0,"CTS ",""))," ",", ")))</f>
        <v/>
      </c>
      <c r="L167" s="24" t="n"/>
      <c r="M167" s="25">
        <f>IF(L167="","",HYPERLINK(IF(LEFT(L167,4)="http",L167,set_QwilrBase&amp;L167),"Open quote"))</f>
        <v/>
      </c>
      <c r="N167" s="26" t="n"/>
      <c r="O167" s="26" t="n"/>
      <c r="P167" s="26" t="n"/>
      <c r="Q167" s="25">
        <f>IF(C167="","",IF(N(N167)+N(O167)+N(P167)=0,"Not split",IF(ROUND(N(N167)+N(O167)+N(P167),2)=ROUND(H167,2),"OK","MISMATCH")))</f>
        <v/>
      </c>
      <c r="R167" s="26" t="n"/>
      <c r="S167" s="26" t="n"/>
      <c r="T167" s="26" t="n"/>
      <c r="U167" s="27">
        <f>IF(C167="","",N(R167)+N(S167)+N(T167))</f>
        <v/>
      </c>
      <c r="V167" s="27">
        <f>IF(C167="","",H167-U167)</f>
        <v/>
      </c>
      <c r="W167" s="29">
        <f>IFERROR(V167/H167,"")</f>
        <v/>
      </c>
      <c r="X167" s="24" t="n"/>
    </row>
    <row r="168" ht="15" customHeight="1">
      <c r="A168" s="63">
        <f>IF(C168="","",IFERROR(IF(SUMPRODUCT(MAX((tbl_Finance[Job Number]=C168&amp;"")*(tbl_Finance[Xero Invoice No]&lt;&gt;"")*tbl_Finance[Date]))=0,"",SUMPRODUCT(MAX((tbl_Finance[Job Number]=C168&amp;"")*(tbl_Finance[Xero Invoice No]&lt;&gt;"")*tbl_Finance[Date]))),""))</f>
        <v/>
      </c>
      <c r="B168" s="25">
        <f>IF(C168="","",IF(COUNTIFS(tbl_Finance[Job Number],C168&amp;"",tbl_Finance[Xero Invoice No],"&lt;&gt;")=0,"",IFERROR(IF(COUNTIFS(tbl_Finance[Job Number],C168&amp;"",tbl_Finance[Xero Invoice No],LOOKUP(2,1/((tbl_Finance[Job Number]=C168&amp;"")*(tbl_Finance[Xero Invoice No]&lt;&gt;"")),tbl_Finance[Xero Invoice No]))=COUNTIFS(tbl_Finance[Job Number],C168&amp;"",tbl_Finance[Xero Invoice No],"&lt;&gt;"),LOOKUP(2,1/((tbl_Finance[Job Number]=C168&amp;"")*(tbl_Finance[Xero Invoice No]&lt;&gt;"")),tbl_Finance[Xero Invoice No]),LOOKUP(2,1/((tbl_Finance[Job Number]=C168&amp;"")*(tbl_Finance[Xero Invoice No]&lt;&gt;"")),tbl_Finance[Xero Invoice No])&amp;" +more"),"")))</f>
        <v/>
      </c>
      <c r="C168" s="24" t="n"/>
      <c r="D168" s="25">
        <f>IF(C168="","",IF(COUNTIF(lst_Jobs,C168&amp;"")&gt;0,"OK","CHECK"))</f>
        <v/>
      </c>
      <c r="E168" s="25">
        <f>IF(C168="","",IFERROR(INDEX(lst_JobName,MATCH(C168&amp;"",lst_Jobs,0)),""))</f>
        <v/>
      </c>
      <c r="F168" s="25">
        <f>IF(C168="","",IFERROR(INDEX(tbl_Finance[Client],MATCH(C168&amp;"",tbl_Finance[Job Number],0)),""))</f>
        <v/>
      </c>
      <c r="G168" s="28">
        <f>IF(C168="","",COUNTIFS(tbl_Finance[Job Number],C168&amp;"",tbl_Finance[Ex GST],"&lt;&gt;"))</f>
        <v/>
      </c>
      <c r="H168" s="27">
        <f>IF(C168="","",SUMIFS(tbl_Finance[Ex GST],tbl_Finance[Job Number],C168&amp;""))</f>
        <v/>
      </c>
      <c r="I168" s="27">
        <f>IF(C168="","",SUMIFS(tbl_Finance[Ex GST],tbl_Finance[Job Number],C168&amp;"",tbl_Finance[Xero Invoice No],"&lt;&gt;"))</f>
        <v/>
      </c>
      <c r="J168" s="27">
        <f>IF(C168="","",H168-I168)</f>
        <v/>
      </c>
      <c r="K168" s="25">
        <f>IF(C168="","",IF(G168=0,"not invoiced yet",SUBSTITUTE(TRIM(IF(COUNTIFS(tbl_Finance[Job Number],C168&amp;"",tbl_Finance[Cost Centre],"ONSITE")&gt;0,"ONSITE ","")&amp;IF(COUNTIFS(tbl_Finance[Job Number],C168&amp;"",tbl_Finance[Cost Centre],"PRODUCTION")&gt;0,"PRODUCTION ","")&amp;IF(COUNTIFS(tbl_Finance[Job Number],C168&amp;"",tbl_Finance[Cost Centre],"VIDEO")&gt;0,"VIDEO ","")&amp;IF(COUNTIFS(tbl_Finance[Job Number],C168&amp;"",tbl_Finance[Cost Centre],"INTEGRATION")&gt;0,"INTEGRATION ","")&amp;IF(COUNTIFS(tbl_Finance[Job Number],C168&amp;"",tbl_Finance[Cost Centre],"CONSULTING")&gt;0,"CONSULTING ","")&amp;IF(COUNTIFS(tbl_Finance[Job Number],C168&amp;"",tbl_Finance[Cost Centre],"CTS")&gt;0,"CTS ",""))," ",", ")))</f>
        <v/>
      </c>
      <c r="L168" s="24" t="n"/>
      <c r="M168" s="25">
        <f>IF(L168="","",HYPERLINK(IF(LEFT(L168,4)="http",L168,set_QwilrBase&amp;L168),"Open quote"))</f>
        <v/>
      </c>
      <c r="N168" s="26" t="n"/>
      <c r="O168" s="26" t="n"/>
      <c r="P168" s="26" t="n"/>
      <c r="Q168" s="25">
        <f>IF(C168="","",IF(N(N168)+N(O168)+N(P168)=0,"Not split",IF(ROUND(N(N168)+N(O168)+N(P168),2)=ROUND(H168,2),"OK","MISMATCH")))</f>
        <v/>
      </c>
      <c r="R168" s="26" t="n"/>
      <c r="S168" s="26" t="n"/>
      <c r="T168" s="26" t="n"/>
      <c r="U168" s="27">
        <f>IF(C168="","",N(R168)+N(S168)+N(T168))</f>
        <v/>
      </c>
      <c r="V168" s="27">
        <f>IF(C168="","",H168-U168)</f>
        <v/>
      </c>
      <c r="W168" s="29">
        <f>IFERROR(V168/H168,"")</f>
        <v/>
      </c>
      <c r="X168" s="24" t="n"/>
    </row>
    <row r="169" ht="15" customHeight="1">
      <c r="A169" s="63">
        <f>IF(C169="","",IFERROR(IF(SUMPRODUCT(MAX((tbl_Finance[Job Number]=C169&amp;"")*(tbl_Finance[Xero Invoice No]&lt;&gt;"")*tbl_Finance[Date]))=0,"",SUMPRODUCT(MAX((tbl_Finance[Job Number]=C169&amp;"")*(tbl_Finance[Xero Invoice No]&lt;&gt;"")*tbl_Finance[Date]))),""))</f>
        <v/>
      </c>
      <c r="B169" s="25">
        <f>IF(C169="","",IF(COUNTIFS(tbl_Finance[Job Number],C169&amp;"",tbl_Finance[Xero Invoice No],"&lt;&gt;")=0,"",IFERROR(IF(COUNTIFS(tbl_Finance[Job Number],C169&amp;"",tbl_Finance[Xero Invoice No],LOOKUP(2,1/((tbl_Finance[Job Number]=C169&amp;"")*(tbl_Finance[Xero Invoice No]&lt;&gt;"")),tbl_Finance[Xero Invoice No]))=COUNTIFS(tbl_Finance[Job Number],C169&amp;"",tbl_Finance[Xero Invoice No],"&lt;&gt;"),LOOKUP(2,1/((tbl_Finance[Job Number]=C169&amp;"")*(tbl_Finance[Xero Invoice No]&lt;&gt;"")),tbl_Finance[Xero Invoice No]),LOOKUP(2,1/((tbl_Finance[Job Number]=C169&amp;"")*(tbl_Finance[Xero Invoice No]&lt;&gt;"")),tbl_Finance[Xero Invoice No])&amp;" +more"),"")))</f>
        <v/>
      </c>
      <c r="C169" s="24" t="n"/>
      <c r="D169" s="25">
        <f>IF(C169="","",IF(COUNTIF(lst_Jobs,C169&amp;"")&gt;0,"OK","CHECK"))</f>
        <v/>
      </c>
      <c r="E169" s="25">
        <f>IF(C169="","",IFERROR(INDEX(lst_JobName,MATCH(C169&amp;"",lst_Jobs,0)),""))</f>
        <v/>
      </c>
      <c r="F169" s="25">
        <f>IF(C169="","",IFERROR(INDEX(tbl_Finance[Client],MATCH(C169&amp;"",tbl_Finance[Job Number],0)),""))</f>
        <v/>
      </c>
      <c r="G169" s="28">
        <f>IF(C169="","",COUNTIFS(tbl_Finance[Job Number],C169&amp;"",tbl_Finance[Ex GST],"&lt;&gt;"))</f>
        <v/>
      </c>
      <c r="H169" s="27">
        <f>IF(C169="","",SUMIFS(tbl_Finance[Ex GST],tbl_Finance[Job Number],C169&amp;""))</f>
        <v/>
      </c>
      <c r="I169" s="27">
        <f>IF(C169="","",SUMIFS(tbl_Finance[Ex GST],tbl_Finance[Job Number],C169&amp;"",tbl_Finance[Xero Invoice No],"&lt;&gt;"))</f>
        <v/>
      </c>
      <c r="J169" s="27">
        <f>IF(C169="","",H169-I169)</f>
        <v/>
      </c>
      <c r="K169" s="25">
        <f>IF(C169="","",IF(G169=0,"not invoiced yet",SUBSTITUTE(TRIM(IF(COUNTIFS(tbl_Finance[Job Number],C169&amp;"",tbl_Finance[Cost Centre],"ONSITE")&gt;0,"ONSITE ","")&amp;IF(COUNTIFS(tbl_Finance[Job Number],C169&amp;"",tbl_Finance[Cost Centre],"PRODUCTION")&gt;0,"PRODUCTION ","")&amp;IF(COUNTIFS(tbl_Finance[Job Number],C169&amp;"",tbl_Finance[Cost Centre],"VIDEO")&gt;0,"VIDEO ","")&amp;IF(COUNTIFS(tbl_Finance[Job Number],C169&amp;"",tbl_Finance[Cost Centre],"INTEGRATION")&gt;0,"INTEGRATION ","")&amp;IF(COUNTIFS(tbl_Finance[Job Number],C169&amp;"",tbl_Finance[Cost Centre],"CONSULTING")&gt;0,"CONSULTING ","")&amp;IF(COUNTIFS(tbl_Finance[Job Number],C169&amp;"",tbl_Finance[Cost Centre],"CTS")&gt;0,"CTS ",""))," ",", ")))</f>
        <v/>
      </c>
      <c r="L169" s="24" t="n"/>
      <c r="M169" s="25">
        <f>IF(L169="","",HYPERLINK(IF(LEFT(L169,4)="http",L169,set_QwilrBase&amp;L169),"Open quote"))</f>
        <v/>
      </c>
      <c r="N169" s="26" t="n"/>
      <c r="O169" s="26" t="n"/>
      <c r="P169" s="26" t="n"/>
      <c r="Q169" s="25">
        <f>IF(C169="","",IF(N(N169)+N(O169)+N(P169)=0,"Not split",IF(ROUND(N(N169)+N(O169)+N(P169),2)=ROUND(H169,2),"OK","MISMATCH")))</f>
        <v/>
      </c>
      <c r="R169" s="26" t="n"/>
      <c r="S169" s="26" t="n"/>
      <c r="T169" s="26" t="n"/>
      <c r="U169" s="27">
        <f>IF(C169="","",N(R169)+N(S169)+N(T169))</f>
        <v/>
      </c>
      <c r="V169" s="27">
        <f>IF(C169="","",H169-U169)</f>
        <v/>
      </c>
      <c r="W169" s="29">
        <f>IFERROR(V169/H169,"")</f>
        <v/>
      </c>
      <c r="X169" s="24" t="n"/>
    </row>
    <row r="170" ht="15" customHeight="1">
      <c r="A170" s="63">
        <f>IF(C170="","",IFERROR(IF(SUMPRODUCT(MAX((tbl_Finance[Job Number]=C170&amp;"")*(tbl_Finance[Xero Invoice No]&lt;&gt;"")*tbl_Finance[Date]))=0,"",SUMPRODUCT(MAX((tbl_Finance[Job Number]=C170&amp;"")*(tbl_Finance[Xero Invoice No]&lt;&gt;"")*tbl_Finance[Date]))),""))</f>
        <v/>
      </c>
      <c r="B170" s="25">
        <f>IF(C170="","",IF(COUNTIFS(tbl_Finance[Job Number],C170&amp;"",tbl_Finance[Xero Invoice No],"&lt;&gt;")=0,"",IFERROR(IF(COUNTIFS(tbl_Finance[Job Number],C170&amp;"",tbl_Finance[Xero Invoice No],LOOKUP(2,1/((tbl_Finance[Job Number]=C170&amp;"")*(tbl_Finance[Xero Invoice No]&lt;&gt;"")),tbl_Finance[Xero Invoice No]))=COUNTIFS(tbl_Finance[Job Number],C170&amp;"",tbl_Finance[Xero Invoice No],"&lt;&gt;"),LOOKUP(2,1/((tbl_Finance[Job Number]=C170&amp;"")*(tbl_Finance[Xero Invoice No]&lt;&gt;"")),tbl_Finance[Xero Invoice No]),LOOKUP(2,1/((tbl_Finance[Job Number]=C170&amp;"")*(tbl_Finance[Xero Invoice No]&lt;&gt;"")),tbl_Finance[Xero Invoice No])&amp;" +more"),"")))</f>
        <v/>
      </c>
      <c r="C170" s="24" t="n"/>
      <c r="D170" s="25">
        <f>IF(C170="","",IF(COUNTIF(lst_Jobs,C170&amp;"")&gt;0,"OK","CHECK"))</f>
        <v/>
      </c>
      <c r="E170" s="25">
        <f>IF(C170="","",IFERROR(INDEX(lst_JobName,MATCH(C170&amp;"",lst_Jobs,0)),""))</f>
        <v/>
      </c>
      <c r="F170" s="25">
        <f>IF(C170="","",IFERROR(INDEX(tbl_Finance[Client],MATCH(C170&amp;"",tbl_Finance[Job Number],0)),""))</f>
        <v/>
      </c>
      <c r="G170" s="28">
        <f>IF(C170="","",COUNTIFS(tbl_Finance[Job Number],C170&amp;"",tbl_Finance[Ex GST],"&lt;&gt;"))</f>
        <v/>
      </c>
      <c r="H170" s="27">
        <f>IF(C170="","",SUMIFS(tbl_Finance[Ex GST],tbl_Finance[Job Number],C170&amp;""))</f>
        <v/>
      </c>
      <c r="I170" s="27">
        <f>IF(C170="","",SUMIFS(tbl_Finance[Ex GST],tbl_Finance[Job Number],C170&amp;"",tbl_Finance[Xero Invoice No],"&lt;&gt;"))</f>
        <v/>
      </c>
      <c r="J170" s="27">
        <f>IF(C170="","",H170-I170)</f>
        <v/>
      </c>
      <c r="K170" s="25">
        <f>IF(C170="","",IF(G170=0,"not invoiced yet",SUBSTITUTE(TRIM(IF(COUNTIFS(tbl_Finance[Job Number],C170&amp;"",tbl_Finance[Cost Centre],"ONSITE")&gt;0,"ONSITE ","")&amp;IF(COUNTIFS(tbl_Finance[Job Number],C170&amp;"",tbl_Finance[Cost Centre],"PRODUCTION")&gt;0,"PRODUCTION ","")&amp;IF(COUNTIFS(tbl_Finance[Job Number],C170&amp;"",tbl_Finance[Cost Centre],"VIDEO")&gt;0,"VIDEO ","")&amp;IF(COUNTIFS(tbl_Finance[Job Number],C170&amp;"",tbl_Finance[Cost Centre],"INTEGRATION")&gt;0,"INTEGRATION ","")&amp;IF(COUNTIFS(tbl_Finance[Job Number],C170&amp;"",tbl_Finance[Cost Centre],"CONSULTING")&gt;0,"CONSULTING ","")&amp;IF(COUNTIFS(tbl_Finance[Job Number],C170&amp;"",tbl_Finance[Cost Centre],"CTS")&gt;0,"CTS ",""))," ",", ")))</f>
        <v/>
      </c>
      <c r="L170" s="24" t="n"/>
      <c r="M170" s="25">
        <f>IF(L170="","",HYPERLINK(IF(LEFT(L170,4)="http",L170,set_QwilrBase&amp;L170),"Open quote"))</f>
        <v/>
      </c>
      <c r="N170" s="26" t="n"/>
      <c r="O170" s="26" t="n"/>
      <c r="P170" s="26" t="n"/>
      <c r="Q170" s="25">
        <f>IF(C170="","",IF(N(N170)+N(O170)+N(P170)=0,"Not split",IF(ROUND(N(N170)+N(O170)+N(P170),2)=ROUND(H170,2),"OK","MISMATCH")))</f>
        <v/>
      </c>
      <c r="R170" s="26" t="n"/>
      <c r="S170" s="26" t="n"/>
      <c r="T170" s="26" t="n"/>
      <c r="U170" s="27">
        <f>IF(C170="","",N(R170)+N(S170)+N(T170))</f>
        <v/>
      </c>
      <c r="V170" s="27">
        <f>IF(C170="","",H170-U170)</f>
        <v/>
      </c>
      <c r="W170" s="29">
        <f>IFERROR(V170/H170,"")</f>
        <v/>
      </c>
      <c r="X170" s="24" t="n"/>
    </row>
    <row r="171" ht="15" customHeight="1">
      <c r="A171" s="63">
        <f>IF(C171="","",IFERROR(IF(SUMPRODUCT(MAX((tbl_Finance[Job Number]=C171&amp;"")*(tbl_Finance[Xero Invoice No]&lt;&gt;"")*tbl_Finance[Date]))=0,"",SUMPRODUCT(MAX((tbl_Finance[Job Number]=C171&amp;"")*(tbl_Finance[Xero Invoice No]&lt;&gt;"")*tbl_Finance[Date]))),""))</f>
        <v/>
      </c>
      <c r="B171" s="25">
        <f>IF(C171="","",IF(COUNTIFS(tbl_Finance[Job Number],C171&amp;"",tbl_Finance[Xero Invoice No],"&lt;&gt;")=0,"",IFERROR(IF(COUNTIFS(tbl_Finance[Job Number],C171&amp;"",tbl_Finance[Xero Invoice No],LOOKUP(2,1/((tbl_Finance[Job Number]=C171&amp;"")*(tbl_Finance[Xero Invoice No]&lt;&gt;"")),tbl_Finance[Xero Invoice No]))=COUNTIFS(tbl_Finance[Job Number],C171&amp;"",tbl_Finance[Xero Invoice No],"&lt;&gt;"),LOOKUP(2,1/((tbl_Finance[Job Number]=C171&amp;"")*(tbl_Finance[Xero Invoice No]&lt;&gt;"")),tbl_Finance[Xero Invoice No]),LOOKUP(2,1/((tbl_Finance[Job Number]=C171&amp;"")*(tbl_Finance[Xero Invoice No]&lt;&gt;"")),tbl_Finance[Xero Invoice No])&amp;" +more"),"")))</f>
        <v/>
      </c>
      <c r="C171" s="24" t="n"/>
      <c r="D171" s="25">
        <f>IF(C171="","",IF(COUNTIF(lst_Jobs,C171&amp;"")&gt;0,"OK","CHECK"))</f>
        <v/>
      </c>
      <c r="E171" s="25">
        <f>IF(C171="","",IFERROR(INDEX(lst_JobName,MATCH(C171&amp;"",lst_Jobs,0)),""))</f>
        <v/>
      </c>
      <c r="F171" s="25">
        <f>IF(C171="","",IFERROR(INDEX(tbl_Finance[Client],MATCH(C171&amp;"",tbl_Finance[Job Number],0)),""))</f>
        <v/>
      </c>
      <c r="G171" s="28">
        <f>IF(C171="","",COUNTIFS(tbl_Finance[Job Number],C171&amp;"",tbl_Finance[Ex GST],"&lt;&gt;"))</f>
        <v/>
      </c>
      <c r="H171" s="27">
        <f>IF(C171="","",SUMIFS(tbl_Finance[Ex GST],tbl_Finance[Job Number],C171&amp;""))</f>
        <v/>
      </c>
      <c r="I171" s="27">
        <f>IF(C171="","",SUMIFS(tbl_Finance[Ex GST],tbl_Finance[Job Number],C171&amp;"",tbl_Finance[Xero Invoice No],"&lt;&gt;"))</f>
        <v/>
      </c>
      <c r="J171" s="27">
        <f>IF(C171="","",H171-I171)</f>
        <v/>
      </c>
      <c r="K171" s="25">
        <f>IF(C171="","",IF(G171=0,"not invoiced yet",SUBSTITUTE(TRIM(IF(COUNTIFS(tbl_Finance[Job Number],C171&amp;"",tbl_Finance[Cost Centre],"ONSITE")&gt;0,"ONSITE ","")&amp;IF(COUNTIFS(tbl_Finance[Job Number],C171&amp;"",tbl_Finance[Cost Centre],"PRODUCTION")&gt;0,"PRODUCTION ","")&amp;IF(COUNTIFS(tbl_Finance[Job Number],C171&amp;"",tbl_Finance[Cost Centre],"VIDEO")&gt;0,"VIDEO ","")&amp;IF(COUNTIFS(tbl_Finance[Job Number],C171&amp;"",tbl_Finance[Cost Centre],"INTEGRATION")&gt;0,"INTEGRATION ","")&amp;IF(COUNTIFS(tbl_Finance[Job Number],C171&amp;"",tbl_Finance[Cost Centre],"CONSULTING")&gt;0,"CONSULTING ","")&amp;IF(COUNTIFS(tbl_Finance[Job Number],C171&amp;"",tbl_Finance[Cost Centre],"CTS")&gt;0,"CTS ",""))," ",", ")))</f>
        <v/>
      </c>
      <c r="L171" s="24" t="n"/>
      <c r="M171" s="25">
        <f>IF(L171="","",HYPERLINK(IF(LEFT(L171,4)="http",L171,set_QwilrBase&amp;L171),"Open quote"))</f>
        <v/>
      </c>
      <c r="N171" s="26" t="n"/>
      <c r="O171" s="26" t="n"/>
      <c r="P171" s="26" t="n"/>
      <c r="Q171" s="25">
        <f>IF(C171="","",IF(N(N171)+N(O171)+N(P171)=0,"Not split",IF(ROUND(N(N171)+N(O171)+N(P171),2)=ROUND(H171,2),"OK","MISMATCH")))</f>
        <v/>
      </c>
      <c r="R171" s="26" t="n"/>
      <c r="S171" s="26" t="n"/>
      <c r="T171" s="26" t="n"/>
      <c r="U171" s="27">
        <f>IF(C171="","",N(R171)+N(S171)+N(T171))</f>
        <v/>
      </c>
      <c r="V171" s="27">
        <f>IF(C171="","",H171-U171)</f>
        <v/>
      </c>
      <c r="W171" s="29">
        <f>IFERROR(V171/H171,"")</f>
        <v/>
      </c>
      <c r="X171" s="24" t="n"/>
    </row>
    <row r="172" ht="15" customHeight="1">
      <c r="A172" s="63">
        <f>IF(C172="","",IFERROR(IF(SUMPRODUCT(MAX((tbl_Finance[Job Number]=C172&amp;"")*(tbl_Finance[Xero Invoice No]&lt;&gt;"")*tbl_Finance[Date]))=0,"",SUMPRODUCT(MAX((tbl_Finance[Job Number]=C172&amp;"")*(tbl_Finance[Xero Invoice No]&lt;&gt;"")*tbl_Finance[Date]))),""))</f>
        <v/>
      </c>
      <c r="B172" s="25">
        <f>IF(C172="","",IF(COUNTIFS(tbl_Finance[Job Number],C172&amp;"",tbl_Finance[Xero Invoice No],"&lt;&gt;")=0,"",IFERROR(IF(COUNTIFS(tbl_Finance[Job Number],C172&amp;"",tbl_Finance[Xero Invoice No],LOOKUP(2,1/((tbl_Finance[Job Number]=C172&amp;"")*(tbl_Finance[Xero Invoice No]&lt;&gt;"")),tbl_Finance[Xero Invoice No]))=COUNTIFS(tbl_Finance[Job Number],C172&amp;"",tbl_Finance[Xero Invoice No],"&lt;&gt;"),LOOKUP(2,1/((tbl_Finance[Job Number]=C172&amp;"")*(tbl_Finance[Xero Invoice No]&lt;&gt;"")),tbl_Finance[Xero Invoice No]),LOOKUP(2,1/((tbl_Finance[Job Number]=C172&amp;"")*(tbl_Finance[Xero Invoice No]&lt;&gt;"")),tbl_Finance[Xero Invoice No])&amp;" +more"),"")))</f>
        <v/>
      </c>
      <c r="C172" s="24" t="n"/>
      <c r="D172" s="25">
        <f>IF(C172="","",IF(COUNTIF(lst_Jobs,C172&amp;"")&gt;0,"OK","CHECK"))</f>
        <v/>
      </c>
      <c r="E172" s="25">
        <f>IF(C172="","",IFERROR(INDEX(lst_JobName,MATCH(C172&amp;"",lst_Jobs,0)),""))</f>
        <v/>
      </c>
      <c r="F172" s="25">
        <f>IF(C172="","",IFERROR(INDEX(tbl_Finance[Client],MATCH(C172&amp;"",tbl_Finance[Job Number],0)),""))</f>
        <v/>
      </c>
      <c r="G172" s="28">
        <f>IF(C172="","",COUNTIFS(tbl_Finance[Job Number],C172&amp;"",tbl_Finance[Ex GST],"&lt;&gt;"))</f>
        <v/>
      </c>
      <c r="H172" s="27">
        <f>IF(C172="","",SUMIFS(tbl_Finance[Ex GST],tbl_Finance[Job Number],C172&amp;""))</f>
        <v/>
      </c>
      <c r="I172" s="27">
        <f>IF(C172="","",SUMIFS(tbl_Finance[Ex GST],tbl_Finance[Job Number],C172&amp;"",tbl_Finance[Xero Invoice No],"&lt;&gt;"))</f>
        <v/>
      </c>
      <c r="J172" s="27">
        <f>IF(C172="","",H172-I172)</f>
        <v/>
      </c>
      <c r="K172" s="25">
        <f>IF(C172="","",IF(G172=0,"not invoiced yet",SUBSTITUTE(TRIM(IF(COUNTIFS(tbl_Finance[Job Number],C172&amp;"",tbl_Finance[Cost Centre],"ONSITE")&gt;0,"ONSITE ","")&amp;IF(COUNTIFS(tbl_Finance[Job Number],C172&amp;"",tbl_Finance[Cost Centre],"PRODUCTION")&gt;0,"PRODUCTION ","")&amp;IF(COUNTIFS(tbl_Finance[Job Number],C172&amp;"",tbl_Finance[Cost Centre],"VIDEO")&gt;0,"VIDEO ","")&amp;IF(COUNTIFS(tbl_Finance[Job Number],C172&amp;"",tbl_Finance[Cost Centre],"INTEGRATION")&gt;0,"INTEGRATION ","")&amp;IF(COUNTIFS(tbl_Finance[Job Number],C172&amp;"",tbl_Finance[Cost Centre],"CONSULTING")&gt;0,"CONSULTING ","")&amp;IF(COUNTIFS(tbl_Finance[Job Number],C172&amp;"",tbl_Finance[Cost Centre],"CTS")&gt;0,"CTS ",""))," ",", ")))</f>
        <v/>
      </c>
      <c r="L172" s="24" t="n"/>
      <c r="M172" s="25">
        <f>IF(L172="","",HYPERLINK(IF(LEFT(L172,4)="http",L172,set_QwilrBase&amp;L172),"Open quote"))</f>
        <v/>
      </c>
      <c r="N172" s="26" t="n"/>
      <c r="O172" s="26" t="n"/>
      <c r="P172" s="26" t="n"/>
      <c r="Q172" s="25">
        <f>IF(C172="","",IF(N(N172)+N(O172)+N(P172)=0,"Not split",IF(ROUND(N(N172)+N(O172)+N(P172),2)=ROUND(H172,2),"OK","MISMATCH")))</f>
        <v/>
      </c>
      <c r="R172" s="26" t="n"/>
      <c r="S172" s="26" t="n"/>
      <c r="T172" s="26" t="n"/>
      <c r="U172" s="27">
        <f>IF(C172="","",N(R172)+N(S172)+N(T172))</f>
        <v/>
      </c>
      <c r="V172" s="27">
        <f>IF(C172="","",H172-U172)</f>
        <v/>
      </c>
      <c r="W172" s="29">
        <f>IFERROR(V172/H172,"")</f>
        <v/>
      </c>
      <c r="X172" s="24" t="n"/>
    </row>
    <row r="173" ht="15" customHeight="1">
      <c r="A173" s="63">
        <f>IF(C173="","",IFERROR(IF(SUMPRODUCT(MAX((tbl_Finance[Job Number]=C173&amp;"")*(tbl_Finance[Xero Invoice No]&lt;&gt;"")*tbl_Finance[Date]))=0,"",SUMPRODUCT(MAX((tbl_Finance[Job Number]=C173&amp;"")*(tbl_Finance[Xero Invoice No]&lt;&gt;"")*tbl_Finance[Date]))),""))</f>
        <v/>
      </c>
      <c r="B173" s="25">
        <f>IF(C173="","",IF(COUNTIFS(tbl_Finance[Job Number],C173&amp;"",tbl_Finance[Xero Invoice No],"&lt;&gt;")=0,"",IFERROR(IF(COUNTIFS(tbl_Finance[Job Number],C173&amp;"",tbl_Finance[Xero Invoice No],LOOKUP(2,1/((tbl_Finance[Job Number]=C173&amp;"")*(tbl_Finance[Xero Invoice No]&lt;&gt;"")),tbl_Finance[Xero Invoice No]))=COUNTIFS(tbl_Finance[Job Number],C173&amp;"",tbl_Finance[Xero Invoice No],"&lt;&gt;"),LOOKUP(2,1/((tbl_Finance[Job Number]=C173&amp;"")*(tbl_Finance[Xero Invoice No]&lt;&gt;"")),tbl_Finance[Xero Invoice No]),LOOKUP(2,1/((tbl_Finance[Job Number]=C173&amp;"")*(tbl_Finance[Xero Invoice No]&lt;&gt;"")),tbl_Finance[Xero Invoice No])&amp;" +more"),"")))</f>
        <v/>
      </c>
      <c r="C173" s="24" t="n"/>
      <c r="D173" s="25">
        <f>IF(C173="","",IF(COUNTIF(lst_Jobs,C173&amp;"")&gt;0,"OK","CHECK"))</f>
        <v/>
      </c>
      <c r="E173" s="25">
        <f>IF(C173="","",IFERROR(INDEX(lst_JobName,MATCH(C173&amp;"",lst_Jobs,0)),""))</f>
        <v/>
      </c>
      <c r="F173" s="25">
        <f>IF(C173="","",IFERROR(INDEX(tbl_Finance[Client],MATCH(C173&amp;"",tbl_Finance[Job Number],0)),""))</f>
        <v/>
      </c>
      <c r="G173" s="28">
        <f>IF(C173="","",COUNTIFS(tbl_Finance[Job Number],C173&amp;"",tbl_Finance[Ex GST],"&lt;&gt;"))</f>
        <v/>
      </c>
      <c r="H173" s="27">
        <f>IF(C173="","",SUMIFS(tbl_Finance[Ex GST],tbl_Finance[Job Number],C173&amp;""))</f>
        <v/>
      </c>
      <c r="I173" s="27">
        <f>IF(C173="","",SUMIFS(tbl_Finance[Ex GST],tbl_Finance[Job Number],C173&amp;"",tbl_Finance[Xero Invoice No],"&lt;&gt;"))</f>
        <v/>
      </c>
      <c r="J173" s="27">
        <f>IF(C173="","",H173-I173)</f>
        <v/>
      </c>
      <c r="K173" s="25">
        <f>IF(C173="","",IF(G173=0,"not invoiced yet",SUBSTITUTE(TRIM(IF(COUNTIFS(tbl_Finance[Job Number],C173&amp;"",tbl_Finance[Cost Centre],"ONSITE")&gt;0,"ONSITE ","")&amp;IF(COUNTIFS(tbl_Finance[Job Number],C173&amp;"",tbl_Finance[Cost Centre],"PRODUCTION")&gt;0,"PRODUCTION ","")&amp;IF(COUNTIFS(tbl_Finance[Job Number],C173&amp;"",tbl_Finance[Cost Centre],"VIDEO")&gt;0,"VIDEO ","")&amp;IF(COUNTIFS(tbl_Finance[Job Number],C173&amp;"",tbl_Finance[Cost Centre],"INTEGRATION")&gt;0,"INTEGRATION ","")&amp;IF(COUNTIFS(tbl_Finance[Job Number],C173&amp;"",tbl_Finance[Cost Centre],"CONSULTING")&gt;0,"CONSULTING ","")&amp;IF(COUNTIFS(tbl_Finance[Job Number],C173&amp;"",tbl_Finance[Cost Centre],"CTS")&gt;0,"CTS ",""))," ",", ")))</f>
        <v/>
      </c>
      <c r="L173" s="24" t="n"/>
      <c r="M173" s="25">
        <f>IF(L173="","",HYPERLINK(IF(LEFT(L173,4)="http",L173,set_QwilrBase&amp;L173),"Open quote"))</f>
        <v/>
      </c>
      <c r="N173" s="26" t="n"/>
      <c r="O173" s="26" t="n"/>
      <c r="P173" s="26" t="n"/>
      <c r="Q173" s="25">
        <f>IF(C173="","",IF(N(N173)+N(O173)+N(P173)=0,"Not split",IF(ROUND(N(N173)+N(O173)+N(P173),2)=ROUND(H173,2),"OK","MISMATCH")))</f>
        <v/>
      </c>
      <c r="R173" s="26" t="n"/>
      <c r="S173" s="26" t="n"/>
      <c r="T173" s="26" t="n"/>
      <c r="U173" s="27">
        <f>IF(C173="","",N(R173)+N(S173)+N(T173))</f>
        <v/>
      </c>
      <c r="V173" s="27">
        <f>IF(C173="","",H173-U173)</f>
        <v/>
      </c>
      <c r="W173" s="29">
        <f>IFERROR(V173/H173,"")</f>
        <v/>
      </c>
      <c r="X173" s="24" t="n"/>
    </row>
    <row r="174" ht="15" customHeight="1">
      <c r="A174" s="63">
        <f>IF(C174="","",IFERROR(IF(SUMPRODUCT(MAX((tbl_Finance[Job Number]=C174&amp;"")*(tbl_Finance[Xero Invoice No]&lt;&gt;"")*tbl_Finance[Date]))=0,"",SUMPRODUCT(MAX((tbl_Finance[Job Number]=C174&amp;"")*(tbl_Finance[Xero Invoice No]&lt;&gt;"")*tbl_Finance[Date]))),""))</f>
        <v/>
      </c>
      <c r="B174" s="25">
        <f>IF(C174="","",IF(COUNTIFS(tbl_Finance[Job Number],C174&amp;"",tbl_Finance[Xero Invoice No],"&lt;&gt;")=0,"",IFERROR(IF(COUNTIFS(tbl_Finance[Job Number],C174&amp;"",tbl_Finance[Xero Invoice No],LOOKUP(2,1/((tbl_Finance[Job Number]=C174&amp;"")*(tbl_Finance[Xero Invoice No]&lt;&gt;"")),tbl_Finance[Xero Invoice No]))=COUNTIFS(tbl_Finance[Job Number],C174&amp;"",tbl_Finance[Xero Invoice No],"&lt;&gt;"),LOOKUP(2,1/((tbl_Finance[Job Number]=C174&amp;"")*(tbl_Finance[Xero Invoice No]&lt;&gt;"")),tbl_Finance[Xero Invoice No]),LOOKUP(2,1/((tbl_Finance[Job Number]=C174&amp;"")*(tbl_Finance[Xero Invoice No]&lt;&gt;"")),tbl_Finance[Xero Invoice No])&amp;" +more"),"")))</f>
        <v/>
      </c>
      <c r="C174" s="24" t="n"/>
      <c r="D174" s="25">
        <f>IF(C174="","",IF(COUNTIF(lst_Jobs,C174&amp;"")&gt;0,"OK","CHECK"))</f>
        <v/>
      </c>
      <c r="E174" s="25">
        <f>IF(C174="","",IFERROR(INDEX(lst_JobName,MATCH(C174&amp;"",lst_Jobs,0)),""))</f>
        <v/>
      </c>
      <c r="F174" s="25">
        <f>IF(C174="","",IFERROR(INDEX(tbl_Finance[Client],MATCH(C174&amp;"",tbl_Finance[Job Number],0)),""))</f>
        <v/>
      </c>
      <c r="G174" s="28">
        <f>IF(C174="","",COUNTIFS(tbl_Finance[Job Number],C174&amp;"",tbl_Finance[Ex GST],"&lt;&gt;"))</f>
        <v/>
      </c>
      <c r="H174" s="27">
        <f>IF(C174="","",SUMIFS(tbl_Finance[Ex GST],tbl_Finance[Job Number],C174&amp;""))</f>
        <v/>
      </c>
      <c r="I174" s="27">
        <f>IF(C174="","",SUMIFS(tbl_Finance[Ex GST],tbl_Finance[Job Number],C174&amp;"",tbl_Finance[Xero Invoice No],"&lt;&gt;"))</f>
        <v/>
      </c>
      <c r="J174" s="27">
        <f>IF(C174="","",H174-I174)</f>
        <v/>
      </c>
      <c r="K174" s="25">
        <f>IF(C174="","",IF(G174=0,"not invoiced yet",SUBSTITUTE(TRIM(IF(COUNTIFS(tbl_Finance[Job Number],C174&amp;"",tbl_Finance[Cost Centre],"ONSITE")&gt;0,"ONSITE ","")&amp;IF(COUNTIFS(tbl_Finance[Job Number],C174&amp;"",tbl_Finance[Cost Centre],"PRODUCTION")&gt;0,"PRODUCTION ","")&amp;IF(COUNTIFS(tbl_Finance[Job Number],C174&amp;"",tbl_Finance[Cost Centre],"VIDEO")&gt;0,"VIDEO ","")&amp;IF(COUNTIFS(tbl_Finance[Job Number],C174&amp;"",tbl_Finance[Cost Centre],"INTEGRATION")&gt;0,"INTEGRATION ","")&amp;IF(COUNTIFS(tbl_Finance[Job Number],C174&amp;"",tbl_Finance[Cost Centre],"CONSULTING")&gt;0,"CONSULTING ","")&amp;IF(COUNTIFS(tbl_Finance[Job Number],C174&amp;"",tbl_Finance[Cost Centre],"CTS")&gt;0,"CTS ",""))," ",", ")))</f>
        <v/>
      </c>
      <c r="L174" s="24" t="n"/>
      <c r="M174" s="25">
        <f>IF(L174="","",HYPERLINK(IF(LEFT(L174,4)="http",L174,set_QwilrBase&amp;L174),"Open quote"))</f>
        <v/>
      </c>
      <c r="N174" s="26" t="n"/>
      <c r="O174" s="26" t="n"/>
      <c r="P174" s="26" t="n"/>
      <c r="Q174" s="25">
        <f>IF(C174="","",IF(N(N174)+N(O174)+N(P174)=0,"Not split",IF(ROUND(N(N174)+N(O174)+N(P174),2)=ROUND(H174,2),"OK","MISMATCH")))</f>
        <v/>
      </c>
      <c r="R174" s="26" t="n"/>
      <c r="S174" s="26" t="n"/>
      <c r="T174" s="26" t="n"/>
      <c r="U174" s="27">
        <f>IF(C174="","",N(R174)+N(S174)+N(T174))</f>
        <v/>
      </c>
      <c r="V174" s="27">
        <f>IF(C174="","",H174-U174)</f>
        <v/>
      </c>
      <c r="W174" s="29">
        <f>IFERROR(V174/H174,"")</f>
        <v/>
      </c>
      <c r="X174" s="24" t="n"/>
    </row>
    <row r="175" ht="15" customHeight="1">
      <c r="A175" s="63">
        <f>IF(C175="","",IFERROR(IF(SUMPRODUCT(MAX((tbl_Finance[Job Number]=C175&amp;"")*(tbl_Finance[Xero Invoice No]&lt;&gt;"")*tbl_Finance[Date]))=0,"",SUMPRODUCT(MAX((tbl_Finance[Job Number]=C175&amp;"")*(tbl_Finance[Xero Invoice No]&lt;&gt;"")*tbl_Finance[Date]))),""))</f>
        <v/>
      </c>
      <c r="B175" s="25">
        <f>IF(C175="","",IF(COUNTIFS(tbl_Finance[Job Number],C175&amp;"",tbl_Finance[Xero Invoice No],"&lt;&gt;")=0,"",IFERROR(IF(COUNTIFS(tbl_Finance[Job Number],C175&amp;"",tbl_Finance[Xero Invoice No],LOOKUP(2,1/((tbl_Finance[Job Number]=C175&amp;"")*(tbl_Finance[Xero Invoice No]&lt;&gt;"")),tbl_Finance[Xero Invoice No]))=COUNTIFS(tbl_Finance[Job Number],C175&amp;"",tbl_Finance[Xero Invoice No],"&lt;&gt;"),LOOKUP(2,1/((tbl_Finance[Job Number]=C175&amp;"")*(tbl_Finance[Xero Invoice No]&lt;&gt;"")),tbl_Finance[Xero Invoice No]),LOOKUP(2,1/((tbl_Finance[Job Number]=C175&amp;"")*(tbl_Finance[Xero Invoice No]&lt;&gt;"")),tbl_Finance[Xero Invoice No])&amp;" +more"),"")))</f>
        <v/>
      </c>
      <c r="C175" s="24" t="n"/>
      <c r="D175" s="25">
        <f>IF(C175="","",IF(COUNTIF(lst_Jobs,C175&amp;"")&gt;0,"OK","CHECK"))</f>
        <v/>
      </c>
      <c r="E175" s="25">
        <f>IF(C175="","",IFERROR(INDEX(lst_JobName,MATCH(C175&amp;"",lst_Jobs,0)),""))</f>
        <v/>
      </c>
      <c r="F175" s="25">
        <f>IF(C175="","",IFERROR(INDEX(tbl_Finance[Client],MATCH(C175&amp;"",tbl_Finance[Job Number],0)),""))</f>
        <v/>
      </c>
      <c r="G175" s="28">
        <f>IF(C175="","",COUNTIFS(tbl_Finance[Job Number],C175&amp;"",tbl_Finance[Ex GST],"&lt;&gt;"))</f>
        <v/>
      </c>
      <c r="H175" s="27">
        <f>IF(C175="","",SUMIFS(tbl_Finance[Ex GST],tbl_Finance[Job Number],C175&amp;""))</f>
        <v/>
      </c>
      <c r="I175" s="27">
        <f>IF(C175="","",SUMIFS(tbl_Finance[Ex GST],tbl_Finance[Job Number],C175&amp;"",tbl_Finance[Xero Invoice No],"&lt;&gt;"))</f>
        <v/>
      </c>
      <c r="J175" s="27">
        <f>IF(C175="","",H175-I175)</f>
        <v/>
      </c>
      <c r="K175" s="25">
        <f>IF(C175="","",IF(G175=0,"not invoiced yet",SUBSTITUTE(TRIM(IF(COUNTIFS(tbl_Finance[Job Number],C175&amp;"",tbl_Finance[Cost Centre],"ONSITE")&gt;0,"ONSITE ","")&amp;IF(COUNTIFS(tbl_Finance[Job Number],C175&amp;"",tbl_Finance[Cost Centre],"PRODUCTION")&gt;0,"PRODUCTION ","")&amp;IF(COUNTIFS(tbl_Finance[Job Number],C175&amp;"",tbl_Finance[Cost Centre],"VIDEO")&gt;0,"VIDEO ","")&amp;IF(COUNTIFS(tbl_Finance[Job Number],C175&amp;"",tbl_Finance[Cost Centre],"INTEGRATION")&gt;0,"INTEGRATION ","")&amp;IF(COUNTIFS(tbl_Finance[Job Number],C175&amp;"",tbl_Finance[Cost Centre],"CONSULTING")&gt;0,"CONSULTING ","")&amp;IF(COUNTIFS(tbl_Finance[Job Number],C175&amp;"",tbl_Finance[Cost Centre],"CTS")&gt;0,"CTS ",""))," ",", ")))</f>
        <v/>
      </c>
      <c r="L175" s="24" t="n"/>
      <c r="M175" s="25">
        <f>IF(L175="","",HYPERLINK(IF(LEFT(L175,4)="http",L175,set_QwilrBase&amp;L175),"Open quote"))</f>
        <v/>
      </c>
      <c r="N175" s="26" t="n"/>
      <c r="O175" s="26" t="n"/>
      <c r="P175" s="26" t="n"/>
      <c r="Q175" s="25">
        <f>IF(C175="","",IF(N(N175)+N(O175)+N(P175)=0,"Not split",IF(ROUND(N(N175)+N(O175)+N(P175),2)=ROUND(H175,2),"OK","MISMATCH")))</f>
        <v/>
      </c>
      <c r="R175" s="26" t="n"/>
      <c r="S175" s="26" t="n"/>
      <c r="T175" s="26" t="n"/>
      <c r="U175" s="27">
        <f>IF(C175="","",N(R175)+N(S175)+N(T175))</f>
        <v/>
      </c>
      <c r="V175" s="27">
        <f>IF(C175="","",H175-U175)</f>
        <v/>
      </c>
      <c r="W175" s="29">
        <f>IFERROR(V175/H175,"")</f>
        <v/>
      </c>
      <c r="X175" s="24" t="n"/>
    </row>
    <row r="176" ht="15" customHeight="1">
      <c r="A176" s="63">
        <f>IF(C176="","",IFERROR(IF(SUMPRODUCT(MAX((tbl_Finance[Job Number]=C176&amp;"")*(tbl_Finance[Xero Invoice No]&lt;&gt;"")*tbl_Finance[Date]))=0,"",SUMPRODUCT(MAX((tbl_Finance[Job Number]=C176&amp;"")*(tbl_Finance[Xero Invoice No]&lt;&gt;"")*tbl_Finance[Date]))),""))</f>
        <v/>
      </c>
      <c r="B176" s="25">
        <f>IF(C176="","",IF(COUNTIFS(tbl_Finance[Job Number],C176&amp;"",tbl_Finance[Xero Invoice No],"&lt;&gt;")=0,"",IFERROR(IF(COUNTIFS(tbl_Finance[Job Number],C176&amp;"",tbl_Finance[Xero Invoice No],LOOKUP(2,1/((tbl_Finance[Job Number]=C176&amp;"")*(tbl_Finance[Xero Invoice No]&lt;&gt;"")),tbl_Finance[Xero Invoice No]))=COUNTIFS(tbl_Finance[Job Number],C176&amp;"",tbl_Finance[Xero Invoice No],"&lt;&gt;"),LOOKUP(2,1/((tbl_Finance[Job Number]=C176&amp;"")*(tbl_Finance[Xero Invoice No]&lt;&gt;"")),tbl_Finance[Xero Invoice No]),LOOKUP(2,1/((tbl_Finance[Job Number]=C176&amp;"")*(tbl_Finance[Xero Invoice No]&lt;&gt;"")),tbl_Finance[Xero Invoice No])&amp;" +more"),"")))</f>
        <v/>
      </c>
      <c r="C176" s="24" t="n"/>
      <c r="D176" s="25">
        <f>IF(C176="","",IF(COUNTIF(lst_Jobs,C176&amp;"")&gt;0,"OK","CHECK"))</f>
        <v/>
      </c>
      <c r="E176" s="25">
        <f>IF(C176="","",IFERROR(INDEX(lst_JobName,MATCH(C176&amp;"",lst_Jobs,0)),""))</f>
        <v/>
      </c>
      <c r="F176" s="25">
        <f>IF(C176="","",IFERROR(INDEX(tbl_Finance[Client],MATCH(C176&amp;"",tbl_Finance[Job Number],0)),""))</f>
        <v/>
      </c>
      <c r="G176" s="28">
        <f>IF(C176="","",COUNTIFS(tbl_Finance[Job Number],C176&amp;"",tbl_Finance[Ex GST],"&lt;&gt;"))</f>
        <v/>
      </c>
      <c r="H176" s="27">
        <f>IF(C176="","",SUMIFS(tbl_Finance[Ex GST],tbl_Finance[Job Number],C176&amp;""))</f>
        <v/>
      </c>
      <c r="I176" s="27">
        <f>IF(C176="","",SUMIFS(tbl_Finance[Ex GST],tbl_Finance[Job Number],C176&amp;"",tbl_Finance[Xero Invoice No],"&lt;&gt;"))</f>
        <v/>
      </c>
      <c r="J176" s="27">
        <f>IF(C176="","",H176-I176)</f>
        <v/>
      </c>
      <c r="K176" s="25">
        <f>IF(C176="","",IF(G176=0,"not invoiced yet",SUBSTITUTE(TRIM(IF(COUNTIFS(tbl_Finance[Job Number],C176&amp;"",tbl_Finance[Cost Centre],"ONSITE")&gt;0,"ONSITE ","")&amp;IF(COUNTIFS(tbl_Finance[Job Number],C176&amp;"",tbl_Finance[Cost Centre],"PRODUCTION")&gt;0,"PRODUCTION ","")&amp;IF(COUNTIFS(tbl_Finance[Job Number],C176&amp;"",tbl_Finance[Cost Centre],"VIDEO")&gt;0,"VIDEO ","")&amp;IF(COUNTIFS(tbl_Finance[Job Number],C176&amp;"",tbl_Finance[Cost Centre],"INTEGRATION")&gt;0,"INTEGRATION ","")&amp;IF(COUNTIFS(tbl_Finance[Job Number],C176&amp;"",tbl_Finance[Cost Centre],"CONSULTING")&gt;0,"CONSULTING ","")&amp;IF(COUNTIFS(tbl_Finance[Job Number],C176&amp;"",tbl_Finance[Cost Centre],"CTS")&gt;0,"CTS ",""))," ",", ")))</f>
        <v/>
      </c>
      <c r="L176" s="24" t="n"/>
      <c r="M176" s="25">
        <f>IF(L176="","",HYPERLINK(IF(LEFT(L176,4)="http",L176,set_QwilrBase&amp;L176),"Open quote"))</f>
        <v/>
      </c>
      <c r="N176" s="26" t="n"/>
      <c r="O176" s="26" t="n"/>
      <c r="P176" s="26" t="n"/>
      <c r="Q176" s="25">
        <f>IF(C176="","",IF(N(N176)+N(O176)+N(P176)=0,"Not split",IF(ROUND(N(N176)+N(O176)+N(P176),2)=ROUND(H176,2),"OK","MISMATCH")))</f>
        <v/>
      </c>
      <c r="R176" s="26" t="n"/>
      <c r="S176" s="26" t="n"/>
      <c r="T176" s="26" t="n"/>
      <c r="U176" s="27">
        <f>IF(C176="","",N(R176)+N(S176)+N(T176))</f>
        <v/>
      </c>
      <c r="V176" s="27">
        <f>IF(C176="","",H176-U176)</f>
        <v/>
      </c>
      <c r="W176" s="29">
        <f>IFERROR(V176/H176,"")</f>
        <v/>
      </c>
      <c r="X176" s="24" t="n"/>
    </row>
    <row r="177" ht="15" customHeight="1">
      <c r="A177" s="63">
        <f>IF(C177="","",IFERROR(IF(SUMPRODUCT(MAX((tbl_Finance[Job Number]=C177&amp;"")*(tbl_Finance[Xero Invoice No]&lt;&gt;"")*tbl_Finance[Date]))=0,"",SUMPRODUCT(MAX((tbl_Finance[Job Number]=C177&amp;"")*(tbl_Finance[Xero Invoice No]&lt;&gt;"")*tbl_Finance[Date]))),""))</f>
        <v/>
      </c>
      <c r="B177" s="25">
        <f>IF(C177="","",IF(COUNTIFS(tbl_Finance[Job Number],C177&amp;"",tbl_Finance[Xero Invoice No],"&lt;&gt;")=0,"",IFERROR(IF(COUNTIFS(tbl_Finance[Job Number],C177&amp;"",tbl_Finance[Xero Invoice No],LOOKUP(2,1/((tbl_Finance[Job Number]=C177&amp;"")*(tbl_Finance[Xero Invoice No]&lt;&gt;"")),tbl_Finance[Xero Invoice No]))=COUNTIFS(tbl_Finance[Job Number],C177&amp;"",tbl_Finance[Xero Invoice No],"&lt;&gt;"),LOOKUP(2,1/((tbl_Finance[Job Number]=C177&amp;"")*(tbl_Finance[Xero Invoice No]&lt;&gt;"")),tbl_Finance[Xero Invoice No]),LOOKUP(2,1/((tbl_Finance[Job Number]=C177&amp;"")*(tbl_Finance[Xero Invoice No]&lt;&gt;"")),tbl_Finance[Xero Invoice No])&amp;" +more"),"")))</f>
        <v/>
      </c>
      <c r="C177" s="24" t="n"/>
      <c r="D177" s="25">
        <f>IF(C177="","",IF(COUNTIF(lst_Jobs,C177&amp;"")&gt;0,"OK","CHECK"))</f>
        <v/>
      </c>
      <c r="E177" s="25">
        <f>IF(C177="","",IFERROR(INDEX(lst_JobName,MATCH(C177&amp;"",lst_Jobs,0)),""))</f>
        <v/>
      </c>
      <c r="F177" s="25">
        <f>IF(C177="","",IFERROR(INDEX(tbl_Finance[Client],MATCH(C177&amp;"",tbl_Finance[Job Number],0)),""))</f>
        <v/>
      </c>
      <c r="G177" s="28">
        <f>IF(C177="","",COUNTIFS(tbl_Finance[Job Number],C177&amp;"",tbl_Finance[Ex GST],"&lt;&gt;"))</f>
        <v/>
      </c>
      <c r="H177" s="27">
        <f>IF(C177="","",SUMIFS(tbl_Finance[Ex GST],tbl_Finance[Job Number],C177&amp;""))</f>
        <v/>
      </c>
      <c r="I177" s="27">
        <f>IF(C177="","",SUMIFS(tbl_Finance[Ex GST],tbl_Finance[Job Number],C177&amp;"",tbl_Finance[Xero Invoice No],"&lt;&gt;"))</f>
        <v/>
      </c>
      <c r="J177" s="27">
        <f>IF(C177="","",H177-I177)</f>
        <v/>
      </c>
      <c r="K177" s="25">
        <f>IF(C177="","",IF(G177=0,"not invoiced yet",SUBSTITUTE(TRIM(IF(COUNTIFS(tbl_Finance[Job Number],C177&amp;"",tbl_Finance[Cost Centre],"ONSITE")&gt;0,"ONSITE ","")&amp;IF(COUNTIFS(tbl_Finance[Job Number],C177&amp;"",tbl_Finance[Cost Centre],"PRODUCTION")&gt;0,"PRODUCTION ","")&amp;IF(COUNTIFS(tbl_Finance[Job Number],C177&amp;"",tbl_Finance[Cost Centre],"VIDEO")&gt;0,"VIDEO ","")&amp;IF(COUNTIFS(tbl_Finance[Job Number],C177&amp;"",tbl_Finance[Cost Centre],"INTEGRATION")&gt;0,"INTEGRATION ","")&amp;IF(COUNTIFS(tbl_Finance[Job Number],C177&amp;"",tbl_Finance[Cost Centre],"CONSULTING")&gt;0,"CONSULTING ","")&amp;IF(COUNTIFS(tbl_Finance[Job Number],C177&amp;"",tbl_Finance[Cost Centre],"CTS")&gt;0,"CTS ",""))," ",", ")))</f>
        <v/>
      </c>
      <c r="L177" s="24" t="n"/>
      <c r="M177" s="25">
        <f>IF(L177="","",HYPERLINK(IF(LEFT(L177,4)="http",L177,set_QwilrBase&amp;L177),"Open quote"))</f>
        <v/>
      </c>
      <c r="N177" s="26" t="n"/>
      <c r="O177" s="26" t="n"/>
      <c r="P177" s="26" t="n"/>
      <c r="Q177" s="25">
        <f>IF(C177="","",IF(N(N177)+N(O177)+N(P177)=0,"Not split",IF(ROUND(N(N177)+N(O177)+N(P177),2)=ROUND(H177,2),"OK","MISMATCH")))</f>
        <v/>
      </c>
      <c r="R177" s="26" t="n"/>
      <c r="S177" s="26" t="n"/>
      <c r="T177" s="26" t="n"/>
      <c r="U177" s="27">
        <f>IF(C177="","",N(R177)+N(S177)+N(T177))</f>
        <v/>
      </c>
      <c r="V177" s="27">
        <f>IF(C177="","",H177-U177)</f>
        <v/>
      </c>
      <c r="W177" s="29">
        <f>IFERROR(V177/H177,"")</f>
        <v/>
      </c>
      <c r="X177" s="24" t="n"/>
    </row>
    <row r="178" ht="15" customHeight="1">
      <c r="A178" s="63">
        <f>IF(C178="","",IFERROR(IF(SUMPRODUCT(MAX((tbl_Finance[Job Number]=C178&amp;"")*(tbl_Finance[Xero Invoice No]&lt;&gt;"")*tbl_Finance[Date]))=0,"",SUMPRODUCT(MAX((tbl_Finance[Job Number]=C178&amp;"")*(tbl_Finance[Xero Invoice No]&lt;&gt;"")*tbl_Finance[Date]))),""))</f>
        <v/>
      </c>
      <c r="B178" s="25">
        <f>IF(C178="","",IF(COUNTIFS(tbl_Finance[Job Number],C178&amp;"",tbl_Finance[Xero Invoice No],"&lt;&gt;")=0,"",IFERROR(IF(COUNTIFS(tbl_Finance[Job Number],C178&amp;"",tbl_Finance[Xero Invoice No],LOOKUP(2,1/((tbl_Finance[Job Number]=C178&amp;"")*(tbl_Finance[Xero Invoice No]&lt;&gt;"")),tbl_Finance[Xero Invoice No]))=COUNTIFS(tbl_Finance[Job Number],C178&amp;"",tbl_Finance[Xero Invoice No],"&lt;&gt;"),LOOKUP(2,1/((tbl_Finance[Job Number]=C178&amp;"")*(tbl_Finance[Xero Invoice No]&lt;&gt;"")),tbl_Finance[Xero Invoice No]),LOOKUP(2,1/((tbl_Finance[Job Number]=C178&amp;"")*(tbl_Finance[Xero Invoice No]&lt;&gt;"")),tbl_Finance[Xero Invoice No])&amp;" +more"),"")))</f>
        <v/>
      </c>
      <c r="C178" s="24" t="n"/>
      <c r="D178" s="25">
        <f>IF(C178="","",IF(COUNTIF(lst_Jobs,C178&amp;"")&gt;0,"OK","CHECK"))</f>
        <v/>
      </c>
      <c r="E178" s="25">
        <f>IF(C178="","",IFERROR(INDEX(lst_JobName,MATCH(C178&amp;"",lst_Jobs,0)),""))</f>
        <v/>
      </c>
      <c r="F178" s="25">
        <f>IF(C178="","",IFERROR(INDEX(tbl_Finance[Client],MATCH(C178&amp;"",tbl_Finance[Job Number],0)),""))</f>
        <v/>
      </c>
      <c r="G178" s="28">
        <f>IF(C178="","",COUNTIFS(tbl_Finance[Job Number],C178&amp;"",tbl_Finance[Ex GST],"&lt;&gt;"))</f>
        <v/>
      </c>
      <c r="H178" s="27">
        <f>IF(C178="","",SUMIFS(tbl_Finance[Ex GST],tbl_Finance[Job Number],C178&amp;""))</f>
        <v/>
      </c>
      <c r="I178" s="27">
        <f>IF(C178="","",SUMIFS(tbl_Finance[Ex GST],tbl_Finance[Job Number],C178&amp;"",tbl_Finance[Xero Invoice No],"&lt;&gt;"))</f>
        <v/>
      </c>
      <c r="J178" s="27">
        <f>IF(C178="","",H178-I178)</f>
        <v/>
      </c>
      <c r="K178" s="25">
        <f>IF(C178="","",IF(G178=0,"not invoiced yet",SUBSTITUTE(TRIM(IF(COUNTIFS(tbl_Finance[Job Number],C178&amp;"",tbl_Finance[Cost Centre],"ONSITE")&gt;0,"ONSITE ","")&amp;IF(COUNTIFS(tbl_Finance[Job Number],C178&amp;"",tbl_Finance[Cost Centre],"PRODUCTION")&gt;0,"PRODUCTION ","")&amp;IF(COUNTIFS(tbl_Finance[Job Number],C178&amp;"",tbl_Finance[Cost Centre],"VIDEO")&gt;0,"VIDEO ","")&amp;IF(COUNTIFS(tbl_Finance[Job Number],C178&amp;"",tbl_Finance[Cost Centre],"INTEGRATION")&gt;0,"INTEGRATION ","")&amp;IF(COUNTIFS(tbl_Finance[Job Number],C178&amp;"",tbl_Finance[Cost Centre],"CONSULTING")&gt;0,"CONSULTING ","")&amp;IF(COUNTIFS(tbl_Finance[Job Number],C178&amp;"",tbl_Finance[Cost Centre],"CTS")&gt;0,"CTS ",""))," ",", ")))</f>
        <v/>
      </c>
      <c r="L178" s="24" t="n"/>
      <c r="M178" s="25">
        <f>IF(L178="","",HYPERLINK(IF(LEFT(L178,4)="http",L178,set_QwilrBase&amp;L178),"Open quote"))</f>
        <v/>
      </c>
      <c r="N178" s="26" t="n"/>
      <c r="O178" s="26" t="n"/>
      <c r="P178" s="26" t="n"/>
      <c r="Q178" s="25">
        <f>IF(C178="","",IF(N(N178)+N(O178)+N(P178)=0,"Not split",IF(ROUND(N(N178)+N(O178)+N(P178),2)=ROUND(H178,2),"OK","MISMATCH")))</f>
        <v/>
      </c>
      <c r="R178" s="26" t="n"/>
      <c r="S178" s="26" t="n"/>
      <c r="T178" s="26" t="n"/>
      <c r="U178" s="27">
        <f>IF(C178="","",N(R178)+N(S178)+N(T178))</f>
        <v/>
      </c>
      <c r="V178" s="27">
        <f>IF(C178="","",H178-U178)</f>
        <v/>
      </c>
      <c r="W178" s="29">
        <f>IFERROR(V178/H178,"")</f>
        <v/>
      </c>
      <c r="X178" s="24" t="n"/>
    </row>
    <row r="179" ht="15" customHeight="1">
      <c r="A179" s="63">
        <f>IF(C179="","",IFERROR(IF(SUMPRODUCT(MAX((tbl_Finance[Job Number]=C179&amp;"")*(tbl_Finance[Xero Invoice No]&lt;&gt;"")*tbl_Finance[Date]))=0,"",SUMPRODUCT(MAX((tbl_Finance[Job Number]=C179&amp;"")*(tbl_Finance[Xero Invoice No]&lt;&gt;"")*tbl_Finance[Date]))),""))</f>
        <v/>
      </c>
      <c r="B179" s="25">
        <f>IF(C179="","",IF(COUNTIFS(tbl_Finance[Job Number],C179&amp;"",tbl_Finance[Xero Invoice No],"&lt;&gt;")=0,"",IFERROR(IF(COUNTIFS(tbl_Finance[Job Number],C179&amp;"",tbl_Finance[Xero Invoice No],LOOKUP(2,1/((tbl_Finance[Job Number]=C179&amp;"")*(tbl_Finance[Xero Invoice No]&lt;&gt;"")),tbl_Finance[Xero Invoice No]))=COUNTIFS(tbl_Finance[Job Number],C179&amp;"",tbl_Finance[Xero Invoice No],"&lt;&gt;"),LOOKUP(2,1/((tbl_Finance[Job Number]=C179&amp;"")*(tbl_Finance[Xero Invoice No]&lt;&gt;"")),tbl_Finance[Xero Invoice No]),LOOKUP(2,1/((tbl_Finance[Job Number]=C179&amp;"")*(tbl_Finance[Xero Invoice No]&lt;&gt;"")),tbl_Finance[Xero Invoice No])&amp;" +more"),"")))</f>
        <v/>
      </c>
      <c r="C179" s="24" t="n"/>
      <c r="D179" s="25">
        <f>IF(C179="","",IF(COUNTIF(lst_Jobs,C179&amp;"")&gt;0,"OK","CHECK"))</f>
        <v/>
      </c>
      <c r="E179" s="25">
        <f>IF(C179="","",IFERROR(INDEX(lst_JobName,MATCH(C179&amp;"",lst_Jobs,0)),""))</f>
        <v/>
      </c>
      <c r="F179" s="25">
        <f>IF(C179="","",IFERROR(INDEX(tbl_Finance[Client],MATCH(C179&amp;"",tbl_Finance[Job Number],0)),""))</f>
        <v/>
      </c>
      <c r="G179" s="28">
        <f>IF(C179="","",COUNTIFS(tbl_Finance[Job Number],C179&amp;"",tbl_Finance[Ex GST],"&lt;&gt;"))</f>
        <v/>
      </c>
      <c r="H179" s="27">
        <f>IF(C179="","",SUMIFS(tbl_Finance[Ex GST],tbl_Finance[Job Number],C179&amp;""))</f>
        <v/>
      </c>
      <c r="I179" s="27">
        <f>IF(C179="","",SUMIFS(tbl_Finance[Ex GST],tbl_Finance[Job Number],C179&amp;"",tbl_Finance[Xero Invoice No],"&lt;&gt;"))</f>
        <v/>
      </c>
      <c r="J179" s="27">
        <f>IF(C179="","",H179-I179)</f>
        <v/>
      </c>
      <c r="K179" s="25">
        <f>IF(C179="","",IF(G179=0,"not invoiced yet",SUBSTITUTE(TRIM(IF(COUNTIFS(tbl_Finance[Job Number],C179&amp;"",tbl_Finance[Cost Centre],"ONSITE")&gt;0,"ONSITE ","")&amp;IF(COUNTIFS(tbl_Finance[Job Number],C179&amp;"",tbl_Finance[Cost Centre],"PRODUCTION")&gt;0,"PRODUCTION ","")&amp;IF(COUNTIFS(tbl_Finance[Job Number],C179&amp;"",tbl_Finance[Cost Centre],"VIDEO")&gt;0,"VIDEO ","")&amp;IF(COUNTIFS(tbl_Finance[Job Number],C179&amp;"",tbl_Finance[Cost Centre],"INTEGRATION")&gt;0,"INTEGRATION ","")&amp;IF(COUNTIFS(tbl_Finance[Job Number],C179&amp;"",tbl_Finance[Cost Centre],"CONSULTING")&gt;0,"CONSULTING ","")&amp;IF(COUNTIFS(tbl_Finance[Job Number],C179&amp;"",tbl_Finance[Cost Centre],"CTS")&gt;0,"CTS ",""))," ",", ")))</f>
        <v/>
      </c>
      <c r="L179" s="24" t="n"/>
      <c r="M179" s="25">
        <f>IF(L179="","",HYPERLINK(IF(LEFT(L179,4)="http",L179,set_QwilrBase&amp;L179),"Open quote"))</f>
        <v/>
      </c>
      <c r="N179" s="26" t="n"/>
      <c r="O179" s="26" t="n"/>
      <c r="P179" s="26" t="n"/>
      <c r="Q179" s="25">
        <f>IF(C179="","",IF(N(N179)+N(O179)+N(P179)=0,"Not split",IF(ROUND(N(N179)+N(O179)+N(P179),2)=ROUND(H179,2),"OK","MISMATCH")))</f>
        <v/>
      </c>
      <c r="R179" s="26" t="n"/>
      <c r="S179" s="26" t="n"/>
      <c r="T179" s="26" t="n"/>
      <c r="U179" s="27">
        <f>IF(C179="","",N(R179)+N(S179)+N(T179))</f>
        <v/>
      </c>
      <c r="V179" s="27">
        <f>IF(C179="","",H179-U179)</f>
        <v/>
      </c>
      <c r="W179" s="29">
        <f>IFERROR(V179/H179,"")</f>
        <v/>
      </c>
      <c r="X179" s="24" t="n"/>
    </row>
    <row r="180" ht="15" customHeight="1">
      <c r="A180" s="63">
        <f>IF(C180="","",IFERROR(IF(SUMPRODUCT(MAX((tbl_Finance[Job Number]=C180&amp;"")*(tbl_Finance[Xero Invoice No]&lt;&gt;"")*tbl_Finance[Date]))=0,"",SUMPRODUCT(MAX((tbl_Finance[Job Number]=C180&amp;"")*(tbl_Finance[Xero Invoice No]&lt;&gt;"")*tbl_Finance[Date]))),""))</f>
        <v/>
      </c>
      <c r="B180" s="25">
        <f>IF(C180="","",IF(COUNTIFS(tbl_Finance[Job Number],C180&amp;"",tbl_Finance[Xero Invoice No],"&lt;&gt;")=0,"",IFERROR(IF(COUNTIFS(tbl_Finance[Job Number],C180&amp;"",tbl_Finance[Xero Invoice No],LOOKUP(2,1/((tbl_Finance[Job Number]=C180&amp;"")*(tbl_Finance[Xero Invoice No]&lt;&gt;"")),tbl_Finance[Xero Invoice No]))=COUNTIFS(tbl_Finance[Job Number],C180&amp;"",tbl_Finance[Xero Invoice No],"&lt;&gt;"),LOOKUP(2,1/((tbl_Finance[Job Number]=C180&amp;"")*(tbl_Finance[Xero Invoice No]&lt;&gt;"")),tbl_Finance[Xero Invoice No]),LOOKUP(2,1/((tbl_Finance[Job Number]=C180&amp;"")*(tbl_Finance[Xero Invoice No]&lt;&gt;"")),tbl_Finance[Xero Invoice No])&amp;" +more"),"")))</f>
        <v/>
      </c>
      <c r="C180" s="24" t="n"/>
      <c r="D180" s="25">
        <f>IF(C180="","",IF(COUNTIF(lst_Jobs,C180&amp;"")&gt;0,"OK","CHECK"))</f>
        <v/>
      </c>
      <c r="E180" s="25">
        <f>IF(C180="","",IFERROR(INDEX(lst_JobName,MATCH(C180&amp;"",lst_Jobs,0)),""))</f>
        <v/>
      </c>
      <c r="F180" s="25">
        <f>IF(C180="","",IFERROR(INDEX(tbl_Finance[Client],MATCH(C180&amp;"",tbl_Finance[Job Number],0)),""))</f>
        <v/>
      </c>
      <c r="G180" s="28">
        <f>IF(C180="","",COUNTIFS(tbl_Finance[Job Number],C180&amp;"",tbl_Finance[Ex GST],"&lt;&gt;"))</f>
        <v/>
      </c>
      <c r="H180" s="27">
        <f>IF(C180="","",SUMIFS(tbl_Finance[Ex GST],tbl_Finance[Job Number],C180&amp;""))</f>
        <v/>
      </c>
      <c r="I180" s="27">
        <f>IF(C180="","",SUMIFS(tbl_Finance[Ex GST],tbl_Finance[Job Number],C180&amp;"",tbl_Finance[Xero Invoice No],"&lt;&gt;"))</f>
        <v/>
      </c>
      <c r="J180" s="27">
        <f>IF(C180="","",H180-I180)</f>
        <v/>
      </c>
      <c r="K180" s="25">
        <f>IF(C180="","",IF(G180=0,"not invoiced yet",SUBSTITUTE(TRIM(IF(COUNTIFS(tbl_Finance[Job Number],C180&amp;"",tbl_Finance[Cost Centre],"ONSITE")&gt;0,"ONSITE ","")&amp;IF(COUNTIFS(tbl_Finance[Job Number],C180&amp;"",tbl_Finance[Cost Centre],"PRODUCTION")&gt;0,"PRODUCTION ","")&amp;IF(COUNTIFS(tbl_Finance[Job Number],C180&amp;"",tbl_Finance[Cost Centre],"VIDEO")&gt;0,"VIDEO ","")&amp;IF(COUNTIFS(tbl_Finance[Job Number],C180&amp;"",tbl_Finance[Cost Centre],"INTEGRATION")&gt;0,"INTEGRATION ","")&amp;IF(COUNTIFS(tbl_Finance[Job Number],C180&amp;"",tbl_Finance[Cost Centre],"CONSULTING")&gt;0,"CONSULTING ","")&amp;IF(COUNTIFS(tbl_Finance[Job Number],C180&amp;"",tbl_Finance[Cost Centre],"CTS")&gt;0,"CTS ",""))," ",", ")))</f>
        <v/>
      </c>
      <c r="L180" s="24" t="n"/>
      <c r="M180" s="25">
        <f>IF(L180="","",HYPERLINK(IF(LEFT(L180,4)="http",L180,set_QwilrBase&amp;L180),"Open quote"))</f>
        <v/>
      </c>
      <c r="N180" s="26" t="n"/>
      <c r="O180" s="26" t="n"/>
      <c r="P180" s="26" t="n"/>
      <c r="Q180" s="25">
        <f>IF(C180="","",IF(N(N180)+N(O180)+N(P180)=0,"Not split",IF(ROUND(N(N180)+N(O180)+N(P180),2)=ROUND(H180,2),"OK","MISMATCH")))</f>
        <v/>
      </c>
      <c r="R180" s="26" t="n"/>
      <c r="S180" s="26" t="n"/>
      <c r="T180" s="26" t="n"/>
      <c r="U180" s="27">
        <f>IF(C180="","",N(R180)+N(S180)+N(T180))</f>
        <v/>
      </c>
      <c r="V180" s="27">
        <f>IF(C180="","",H180-U180)</f>
        <v/>
      </c>
      <c r="W180" s="29">
        <f>IFERROR(V180/H180,"")</f>
        <v/>
      </c>
      <c r="X180" s="24" t="n"/>
    </row>
    <row r="181" ht="15" customHeight="1">
      <c r="A181" s="63">
        <f>IF(C181="","",IFERROR(IF(SUMPRODUCT(MAX((tbl_Finance[Job Number]=C181&amp;"")*(tbl_Finance[Xero Invoice No]&lt;&gt;"")*tbl_Finance[Date]))=0,"",SUMPRODUCT(MAX((tbl_Finance[Job Number]=C181&amp;"")*(tbl_Finance[Xero Invoice No]&lt;&gt;"")*tbl_Finance[Date]))),""))</f>
        <v/>
      </c>
      <c r="B181" s="25">
        <f>IF(C181="","",IF(COUNTIFS(tbl_Finance[Job Number],C181&amp;"",tbl_Finance[Xero Invoice No],"&lt;&gt;")=0,"",IFERROR(IF(COUNTIFS(tbl_Finance[Job Number],C181&amp;"",tbl_Finance[Xero Invoice No],LOOKUP(2,1/((tbl_Finance[Job Number]=C181&amp;"")*(tbl_Finance[Xero Invoice No]&lt;&gt;"")),tbl_Finance[Xero Invoice No]))=COUNTIFS(tbl_Finance[Job Number],C181&amp;"",tbl_Finance[Xero Invoice No],"&lt;&gt;"),LOOKUP(2,1/((tbl_Finance[Job Number]=C181&amp;"")*(tbl_Finance[Xero Invoice No]&lt;&gt;"")),tbl_Finance[Xero Invoice No]),LOOKUP(2,1/((tbl_Finance[Job Number]=C181&amp;"")*(tbl_Finance[Xero Invoice No]&lt;&gt;"")),tbl_Finance[Xero Invoice No])&amp;" +more"),"")))</f>
        <v/>
      </c>
      <c r="C181" s="24" t="n"/>
      <c r="D181" s="25">
        <f>IF(C181="","",IF(COUNTIF(lst_Jobs,C181&amp;"")&gt;0,"OK","CHECK"))</f>
        <v/>
      </c>
      <c r="E181" s="25">
        <f>IF(C181="","",IFERROR(INDEX(lst_JobName,MATCH(C181&amp;"",lst_Jobs,0)),""))</f>
        <v/>
      </c>
      <c r="F181" s="25">
        <f>IF(C181="","",IFERROR(INDEX(tbl_Finance[Client],MATCH(C181&amp;"",tbl_Finance[Job Number],0)),""))</f>
        <v/>
      </c>
      <c r="G181" s="28">
        <f>IF(C181="","",COUNTIFS(tbl_Finance[Job Number],C181&amp;"",tbl_Finance[Ex GST],"&lt;&gt;"))</f>
        <v/>
      </c>
      <c r="H181" s="27">
        <f>IF(C181="","",SUMIFS(tbl_Finance[Ex GST],tbl_Finance[Job Number],C181&amp;""))</f>
        <v/>
      </c>
      <c r="I181" s="27">
        <f>IF(C181="","",SUMIFS(tbl_Finance[Ex GST],tbl_Finance[Job Number],C181&amp;"",tbl_Finance[Xero Invoice No],"&lt;&gt;"))</f>
        <v/>
      </c>
      <c r="J181" s="27">
        <f>IF(C181="","",H181-I181)</f>
        <v/>
      </c>
      <c r="K181" s="25">
        <f>IF(C181="","",IF(G181=0,"not invoiced yet",SUBSTITUTE(TRIM(IF(COUNTIFS(tbl_Finance[Job Number],C181&amp;"",tbl_Finance[Cost Centre],"ONSITE")&gt;0,"ONSITE ","")&amp;IF(COUNTIFS(tbl_Finance[Job Number],C181&amp;"",tbl_Finance[Cost Centre],"PRODUCTION")&gt;0,"PRODUCTION ","")&amp;IF(COUNTIFS(tbl_Finance[Job Number],C181&amp;"",tbl_Finance[Cost Centre],"VIDEO")&gt;0,"VIDEO ","")&amp;IF(COUNTIFS(tbl_Finance[Job Number],C181&amp;"",tbl_Finance[Cost Centre],"INTEGRATION")&gt;0,"INTEGRATION ","")&amp;IF(COUNTIFS(tbl_Finance[Job Number],C181&amp;"",tbl_Finance[Cost Centre],"CONSULTING")&gt;0,"CONSULTING ","")&amp;IF(COUNTIFS(tbl_Finance[Job Number],C181&amp;"",tbl_Finance[Cost Centre],"CTS")&gt;0,"CTS ",""))," ",", ")))</f>
        <v/>
      </c>
      <c r="L181" s="24" t="n"/>
      <c r="M181" s="25">
        <f>IF(L181="","",HYPERLINK(IF(LEFT(L181,4)="http",L181,set_QwilrBase&amp;L181),"Open quote"))</f>
        <v/>
      </c>
      <c r="N181" s="26" t="n"/>
      <c r="O181" s="26" t="n"/>
      <c r="P181" s="26" t="n"/>
      <c r="Q181" s="25">
        <f>IF(C181="","",IF(N(N181)+N(O181)+N(P181)=0,"Not split",IF(ROUND(N(N181)+N(O181)+N(P181),2)=ROUND(H181,2),"OK","MISMATCH")))</f>
        <v/>
      </c>
      <c r="R181" s="26" t="n"/>
      <c r="S181" s="26" t="n"/>
      <c r="T181" s="26" t="n"/>
      <c r="U181" s="27">
        <f>IF(C181="","",N(R181)+N(S181)+N(T181))</f>
        <v/>
      </c>
      <c r="V181" s="27">
        <f>IF(C181="","",H181-U181)</f>
        <v/>
      </c>
      <c r="W181" s="29">
        <f>IFERROR(V181/H181,"")</f>
        <v/>
      </c>
      <c r="X181" s="24" t="n"/>
    </row>
    <row r="182" ht="15" customHeight="1">
      <c r="A182" s="63">
        <f>IF(C182="","",IFERROR(IF(SUMPRODUCT(MAX((tbl_Finance[Job Number]=C182&amp;"")*(tbl_Finance[Xero Invoice No]&lt;&gt;"")*tbl_Finance[Date]))=0,"",SUMPRODUCT(MAX((tbl_Finance[Job Number]=C182&amp;"")*(tbl_Finance[Xero Invoice No]&lt;&gt;"")*tbl_Finance[Date]))),""))</f>
        <v/>
      </c>
      <c r="B182" s="25">
        <f>IF(C182="","",IF(COUNTIFS(tbl_Finance[Job Number],C182&amp;"",tbl_Finance[Xero Invoice No],"&lt;&gt;")=0,"",IFERROR(IF(COUNTIFS(tbl_Finance[Job Number],C182&amp;"",tbl_Finance[Xero Invoice No],LOOKUP(2,1/((tbl_Finance[Job Number]=C182&amp;"")*(tbl_Finance[Xero Invoice No]&lt;&gt;"")),tbl_Finance[Xero Invoice No]))=COUNTIFS(tbl_Finance[Job Number],C182&amp;"",tbl_Finance[Xero Invoice No],"&lt;&gt;"),LOOKUP(2,1/((tbl_Finance[Job Number]=C182&amp;"")*(tbl_Finance[Xero Invoice No]&lt;&gt;"")),tbl_Finance[Xero Invoice No]),LOOKUP(2,1/((tbl_Finance[Job Number]=C182&amp;"")*(tbl_Finance[Xero Invoice No]&lt;&gt;"")),tbl_Finance[Xero Invoice No])&amp;" +more"),"")))</f>
        <v/>
      </c>
      <c r="C182" s="24" t="n"/>
      <c r="D182" s="25">
        <f>IF(C182="","",IF(COUNTIF(lst_Jobs,C182&amp;"")&gt;0,"OK","CHECK"))</f>
        <v/>
      </c>
      <c r="E182" s="25">
        <f>IF(C182="","",IFERROR(INDEX(lst_JobName,MATCH(C182&amp;"",lst_Jobs,0)),""))</f>
        <v/>
      </c>
      <c r="F182" s="25">
        <f>IF(C182="","",IFERROR(INDEX(tbl_Finance[Client],MATCH(C182&amp;"",tbl_Finance[Job Number],0)),""))</f>
        <v/>
      </c>
      <c r="G182" s="28">
        <f>IF(C182="","",COUNTIFS(tbl_Finance[Job Number],C182&amp;"",tbl_Finance[Ex GST],"&lt;&gt;"))</f>
        <v/>
      </c>
      <c r="H182" s="27">
        <f>IF(C182="","",SUMIFS(tbl_Finance[Ex GST],tbl_Finance[Job Number],C182&amp;""))</f>
        <v/>
      </c>
      <c r="I182" s="27">
        <f>IF(C182="","",SUMIFS(tbl_Finance[Ex GST],tbl_Finance[Job Number],C182&amp;"",tbl_Finance[Xero Invoice No],"&lt;&gt;"))</f>
        <v/>
      </c>
      <c r="J182" s="27">
        <f>IF(C182="","",H182-I182)</f>
        <v/>
      </c>
      <c r="K182" s="25">
        <f>IF(C182="","",IF(G182=0,"not invoiced yet",SUBSTITUTE(TRIM(IF(COUNTIFS(tbl_Finance[Job Number],C182&amp;"",tbl_Finance[Cost Centre],"ONSITE")&gt;0,"ONSITE ","")&amp;IF(COUNTIFS(tbl_Finance[Job Number],C182&amp;"",tbl_Finance[Cost Centre],"PRODUCTION")&gt;0,"PRODUCTION ","")&amp;IF(COUNTIFS(tbl_Finance[Job Number],C182&amp;"",tbl_Finance[Cost Centre],"VIDEO")&gt;0,"VIDEO ","")&amp;IF(COUNTIFS(tbl_Finance[Job Number],C182&amp;"",tbl_Finance[Cost Centre],"INTEGRATION")&gt;0,"INTEGRATION ","")&amp;IF(COUNTIFS(tbl_Finance[Job Number],C182&amp;"",tbl_Finance[Cost Centre],"CONSULTING")&gt;0,"CONSULTING ","")&amp;IF(COUNTIFS(tbl_Finance[Job Number],C182&amp;"",tbl_Finance[Cost Centre],"CTS")&gt;0,"CTS ",""))," ",", ")))</f>
        <v/>
      </c>
      <c r="L182" s="24" t="n"/>
      <c r="M182" s="25">
        <f>IF(L182="","",HYPERLINK(IF(LEFT(L182,4)="http",L182,set_QwilrBase&amp;L182),"Open quote"))</f>
        <v/>
      </c>
      <c r="N182" s="26" t="n"/>
      <c r="O182" s="26" t="n"/>
      <c r="P182" s="26" t="n"/>
      <c r="Q182" s="25">
        <f>IF(C182="","",IF(N(N182)+N(O182)+N(P182)=0,"Not split",IF(ROUND(N(N182)+N(O182)+N(P182),2)=ROUND(H182,2),"OK","MISMATCH")))</f>
        <v/>
      </c>
      <c r="R182" s="26" t="n"/>
      <c r="S182" s="26" t="n"/>
      <c r="T182" s="26" t="n"/>
      <c r="U182" s="27">
        <f>IF(C182="","",N(R182)+N(S182)+N(T182))</f>
        <v/>
      </c>
      <c r="V182" s="27">
        <f>IF(C182="","",H182-U182)</f>
        <v/>
      </c>
      <c r="W182" s="29">
        <f>IFERROR(V182/H182,"")</f>
        <v/>
      </c>
      <c r="X182" s="24" t="n"/>
    </row>
    <row r="183" ht="15" customHeight="1">
      <c r="A183" s="63">
        <f>IF(C183="","",IFERROR(IF(SUMPRODUCT(MAX((tbl_Finance[Job Number]=C183&amp;"")*(tbl_Finance[Xero Invoice No]&lt;&gt;"")*tbl_Finance[Date]))=0,"",SUMPRODUCT(MAX((tbl_Finance[Job Number]=C183&amp;"")*(tbl_Finance[Xero Invoice No]&lt;&gt;"")*tbl_Finance[Date]))),""))</f>
        <v/>
      </c>
      <c r="B183" s="25">
        <f>IF(C183="","",IF(COUNTIFS(tbl_Finance[Job Number],C183&amp;"",tbl_Finance[Xero Invoice No],"&lt;&gt;")=0,"",IFERROR(IF(COUNTIFS(tbl_Finance[Job Number],C183&amp;"",tbl_Finance[Xero Invoice No],LOOKUP(2,1/((tbl_Finance[Job Number]=C183&amp;"")*(tbl_Finance[Xero Invoice No]&lt;&gt;"")),tbl_Finance[Xero Invoice No]))=COUNTIFS(tbl_Finance[Job Number],C183&amp;"",tbl_Finance[Xero Invoice No],"&lt;&gt;"),LOOKUP(2,1/((tbl_Finance[Job Number]=C183&amp;"")*(tbl_Finance[Xero Invoice No]&lt;&gt;"")),tbl_Finance[Xero Invoice No]),LOOKUP(2,1/((tbl_Finance[Job Number]=C183&amp;"")*(tbl_Finance[Xero Invoice No]&lt;&gt;"")),tbl_Finance[Xero Invoice No])&amp;" +more"),"")))</f>
        <v/>
      </c>
      <c r="C183" s="24" t="n"/>
      <c r="D183" s="25">
        <f>IF(C183="","",IF(COUNTIF(lst_Jobs,C183&amp;"")&gt;0,"OK","CHECK"))</f>
        <v/>
      </c>
      <c r="E183" s="25">
        <f>IF(C183="","",IFERROR(INDEX(lst_JobName,MATCH(C183&amp;"",lst_Jobs,0)),""))</f>
        <v/>
      </c>
      <c r="F183" s="25">
        <f>IF(C183="","",IFERROR(INDEX(tbl_Finance[Client],MATCH(C183&amp;"",tbl_Finance[Job Number],0)),""))</f>
        <v/>
      </c>
      <c r="G183" s="28">
        <f>IF(C183="","",COUNTIFS(tbl_Finance[Job Number],C183&amp;"",tbl_Finance[Ex GST],"&lt;&gt;"))</f>
        <v/>
      </c>
      <c r="H183" s="27">
        <f>IF(C183="","",SUMIFS(tbl_Finance[Ex GST],tbl_Finance[Job Number],C183&amp;""))</f>
        <v/>
      </c>
      <c r="I183" s="27">
        <f>IF(C183="","",SUMIFS(tbl_Finance[Ex GST],tbl_Finance[Job Number],C183&amp;"",tbl_Finance[Xero Invoice No],"&lt;&gt;"))</f>
        <v/>
      </c>
      <c r="J183" s="27">
        <f>IF(C183="","",H183-I183)</f>
        <v/>
      </c>
      <c r="K183" s="25">
        <f>IF(C183="","",IF(G183=0,"not invoiced yet",SUBSTITUTE(TRIM(IF(COUNTIFS(tbl_Finance[Job Number],C183&amp;"",tbl_Finance[Cost Centre],"ONSITE")&gt;0,"ONSITE ","")&amp;IF(COUNTIFS(tbl_Finance[Job Number],C183&amp;"",tbl_Finance[Cost Centre],"PRODUCTION")&gt;0,"PRODUCTION ","")&amp;IF(COUNTIFS(tbl_Finance[Job Number],C183&amp;"",tbl_Finance[Cost Centre],"VIDEO")&gt;0,"VIDEO ","")&amp;IF(COUNTIFS(tbl_Finance[Job Number],C183&amp;"",tbl_Finance[Cost Centre],"INTEGRATION")&gt;0,"INTEGRATION ","")&amp;IF(COUNTIFS(tbl_Finance[Job Number],C183&amp;"",tbl_Finance[Cost Centre],"CONSULTING")&gt;0,"CONSULTING ","")&amp;IF(COUNTIFS(tbl_Finance[Job Number],C183&amp;"",tbl_Finance[Cost Centre],"CTS")&gt;0,"CTS ",""))," ",", ")))</f>
        <v/>
      </c>
      <c r="L183" s="24" t="n"/>
      <c r="M183" s="25">
        <f>IF(L183="","",HYPERLINK(IF(LEFT(L183,4)="http",L183,set_QwilrBase&amp;L183),"Open quote"))</f>
        <v/>
      </c>
      <c r="N183" s="26" t="n"/>
      <c r="O183" s="26" t="n"/>
      <c r="P183" s="26" t="n"/>
      <c r="Q183" s="25">
        <f>IF(C183="","",IF(N(N183)+N(O183)+N(P183)=0,"Not split",IF(ROUND(N(N183)+N(O183)+N(P183),2)=ROUND(H183,2),"OK","MISMATCH")))</f>
        <v/>
      </c>
      <c r="R183" s="26" t="n"/>
      <c r="S183" s="26" t="n"/>
      <c r="T183" s="26" t="n"/>
      <c r="U183" s="27">
        <f>IF(C183="","",N(R183)+N(S183)+N(T183))</f>
        <v/>
      </c>
      <c r="V183" s="27">
        <f>IF(C183="","",H183-U183)</f>
        <v/>
      </c>
      <c r="W183" s="29">
        <f>IFERROR(V183/H183,"")</f>
        <v/>
      </c>
      <c r="X183" s="24" t="n"/>
    </row>
    <row r="184" ht="15" customHeight="1">
      <c r="A184" s="63">
        <f>IF(C184="","",IFERROR(IF(SUMPRODUCT(MAX((tbl_Finance[Job Number]=C184&amp;"")*(tbl_Finance[Xero Invoice No]&lt;&gt;"")*tbl_Finance[Date]))=0,"",SUMPRODUCT(MAX((tbl_Finance[Job Number]=C184&amp;"")*(tbl_Finance[Xero Invoice No]&lt;&gt;"")*tbl_Finance[Date]))),""))</f>
        <v/>
      </c>
      <c r="B184" s="25">
        <f>IF(C184="","",IF(COUNTIFS(tbl_Finance[Job Number],C184&amp;"",tbl_Finance[Xero Invoice No],"&lt;&gt;")=0,"",IFERROR(IF(COUNTIFS(tbl_Finance[Job Number],C184&amp;"",tbl_Finance[Xero Invoice No],LOOKUP(2,1/((tbl_Finance[Job Number]=C184&amp;"")*(tbl_Finance[Xero Invoice No]&lt;&gt;"")),tbl_Finance[Xero Invoice No]))=COUNTIFS(tbl_Finance[Job Number],C184&amp;"",tbl_Finance[Xero Invoice No],"&lt;&gt;"),LOOKUP(2,1/((tbl_Finance[Job Number]=C184&amp;"")*(tbl_Finance[Xero Invoice No]&lt;&gt;"")),tbl_Finance[Xero Invoice No]),LOOKUP(2,1/((tbl_Finance[Job Number]=C184&amp;"")*(tbl_Finance[Xero Invoice No]&lt;&gt;"")),tbl_Finance[Xero Invoice No])&amp;" +more"),"")))</f>
        <v/>
      </c>
      <c r="C184" s="24" t="n"/>
      <c r="D184" s="25">
        <f>IF(C184="","",IF(COUNTIF(lst_Jobs,C184&amp;"")&gt;0,"OK","CHECK"))</f>
        <v/>
      </c>
      <c r="E184" s="25">
        <f>IF(C184="","",IFERROR(INDEX(lst_JobName,MATCH(C184&amp;"",lst_Jobs,0)),""))</f>
        <v/>
      </c>
      <c r="F184" s="25">
        <f>IF(C184="","",IFERROR(INDEX(tbl_Finance[Client],MATCH(C184&amp;"",tbl_Finance[Job Number],0)),""))</f>
        <v/>
      </c>
      <c r="G184" s="28">
        <f>IF(C184="","",COUNTIFS(tbl_Finance[Job Number],C184&amp;"",tbl_Finance[Ex GST],"&lt;&gt;"))</f>
        <v/>
      </c>
      <c r="H184" s="27">
        <f>IF(C184="","",SUMIFS(tbl_Finance[Ex GST],tbl_Finance[Job Number],C184&amp;""))</f>
        <v/>
      </c>
      <c r="I184" s="27">
        <f>IF(C184="","",SUMIFS(tbl_Finance[Ex GST],tbl_Finance[Job Number],C184&amp;"",tbl_Finance[Xero Invoice No],"&lt;&gt;"))</f>
        <v/>
      </c>
      <c r="J184" s="27">
        <f>IF(C184="","",H184-I184)</f>
        <v/>
      </c>
      <c r="K184" s="25">
        <f>IF(C184="","",IF(G184=0,"not invoiced yet",SUBSTITUTE(TRIM(IF(COUNTIFS(tbl_Finance[Job Number],C184&amp;"",tbl_Finance[Cost Centre],"ONSITE")&gt;0,"ONSITE ","")&amp;IF(COUNTIFS(tbl_Finance[Job Number],C184&amp;"",tbl_Finance[Cost Centre],"PRODUCTION")&gt;0,"PRODUCTION ","")&amp;IF(COUNTIFS(tbl_Finance[Job Number],C184&amp;"",tbl_Finance[Cost Centre],"VIDEO")&gt;0,"VIDEO ","")&amp;IF(COUNTIFS(tbl_Finance[Job Number],C184&amp;"",tbl_Finance[Cost Centre],"INTEGRATION")&gt;0,"INTEGRATION ","")&amp;IF(COUNTIFS(tbl_Finance[Job Number],C184&amp;"",tbl_Finance[Cost Centre],"CONSULTING")&gt;0,"CONSULTING ","")&amp;IF(COUNTIFS(tbl_Finance[Job Number],C184&amp;"",tbl_Finance[Cost Centre],"CTS")&gt;0,"CTS ",""))," ",", ")))</f>
        <v/>
      </c>
      <c r="L184" s="24" t="n"/>
      <c r="M184" s="25">
        <f>IF(L184="","",HYPERLINK(IF(LEFT(L184,4)="http",L184,set_QwilrBase&amp;L184),"Open quote"))</f>
        <v/>
      </c>
      <c r="N184" s="26" t="n"/>
      <c r="O184" s="26" t="n"/>
      <c r="P184" s="26" t="n"/>
      <c r="Q184" s="25">
        <f>IF(C184="","",IF(N(N184)+N(O184)+N(P184)=0,"Not split",IF(ROUND(N(N184)+N(O184)+N(P184),2)=ROUND(H184,2),"OK","MISMATCH")))</f>
        <v/>
      </c>
      <c r="R184" s="26" t="n"/>
      <c r="S184" s="26" t="n"/>
      <c r="T184" s="26" t="n"/>
      <c r="U184" s="27">
        <f>IF(C184="","",N(R184)+N(S184)+N(T184))</f>
        <v/>
      </c>
      <c r="V184" s="27">
        <f>IF(C184="","",H184-U184)</f>
        <v/>
      </c>
      <c r="W184" s="29">
        <f>IFERROR(V184/H184,"")</f>
        <v/>
      </c>
      <c r="X184" s="24" t="n"/>
    </row>
    <row r="185" ht="15" customHeight="1">
      <c r="A185" s="63">
        <f>IF(C185="","",IFERROR(IF(SUMPRODUCT(MAX((tbl_Finance[Job Number]=C185&amp;"")*(tbl_Finance[Xero Invoice No]&lt;&gt;"")*tbl_Finance[Date]))=0,"",SUMPRODUCT(MAX((tbl_Finance[Job Number]=C185&amp;"")*(tbl_Finance[Xero Invoice No]&lt;&gt;"")*tbl_Finance[Date]))),""))</f>
        <v/>
      </c>
      <c r="B185" s="25">
        <f>IF(C185="","",IF(COUNTIFS(tbl_Finance[Job Number],C185&amp;"",tbl_Finance[Xero Invoice No],"&lt;&gt;")=0,"",IFERROR(IF(COUNTIFS(tbl_Finance[Job Number],C185&amp;"",tbl_Finance[Xero Invoice No],LOOKUP(2,1/((tbl_Finance[Job Number]=C185&amp;"")*(tbl_Finance[Xero Invoice No]&lt;&gt;"")),tbl_Finance[Xero Invoice No]))=COUNTIFS(tbl_Finance[Job Number],C185&amp;"",tbl_Finance[Xero Invoice No],"&lt;&gt;"),LOOKUP(2,1/((tbl_Finance[Job Number]=C185&amp;"")*(tbl_Finance[Xero Invoice No]&lt;&gt;"")),tbl_Finance[Xero Invoice No]),LOOKUP(2,1/((tbl_Finance[Job Number]=C185&amp;"")*(tbl_Finance[Xero Invoice No]&lt;&gt;"")),tbl_Finance[Xero Invoice No])&amp;" +more"),"")))</f>
        <v/>
      </c>
      <c r="C185" s="24" t="n"/>
      <c r="D185" s="25">
        <f>IF(C185="","",IF(COUNTIF(lst_Jobs,C185&amp;"")&gt;0,"OK","CHECK"))</f>
        <v/>
      </c>
      <c r="E185" s="25">
        <f>IF(C185="","",IFERROR(INDEX(lst_JobName,MATCH(C185&amp;"",lst_Jobs,0)),""))</f>
        <v/>
      </c>
      <c r="F185" s="25">
        <f>IF(C185="","",IFERROR(INDEX(tbl_Finance[Client],MATCH(C185&amp;"",tbl_Finance[Job Number],0)),""))</f>
        <v/>
      </c>
      <c r="G185" s="28">
        <f>IF(C185="","",COUNTIFS(tbl_Finance[Job Number],C185&amp;"",tbl_Finance[Ex GST],"&lt;&gt;"))</f>
        <v/>
      </c>
      <c r="H185" s="27">
        <f>IF(C185="","",SUMIFS(tbl_Finance[Ex GST],tbl_Finance[Job Number],C185&amp;""))</f>
        <v/>
      </c>
      <c r="I185" s="27">
        <f>IF(C185="","",SUMIFS(tbl_Finance[Ex GST],tbl_Finance[Job Number],C185&amp;"",tbl_Finance[Xero Invoice No],"&lt;&gt;"))</f>
        <v/>
      </c>
      <c r="J185" s="27">
        <f>IF(C185="","",H185-I185)</f>
        <v/>
      </c>
      <c r="K185" s="25">
        <f>IF(C185="","",IF(G185=0,"not invoiced yet",SUBSTITUTE(TRIM(IF(COUNTIFS(tbl_Finance[Job Number],C185&amp;"",tbl_Finance[Cost Centre],"ONSITE")&gt;0,"ONSITE ","")&amp;IF(COUNTIFS(tbl_Finance[Job Number],C185&amp;"",tbl_Finance[Cost Centre],"PRODUCTION")&gt;0,"PRODUCTION ","")&amp;IF(COUNTIFS(tbl_Finance[Job Number],C185&amp;"",tbl_Finance[Cost Centre],"VIDEO")&gt;0,"VIDEO ","")&amp;IF(COUNTIFS(tbl_Finance[Job Number],C185&amp;"",tbl_Finance[Cost Centre],"INTEGRATION")&gt;0,"INTEGRATION ","")&amp;IF(COUNTIFS(tbl_Finance[Job Number],C185&amp;"",tbl_Finance[Cost Centre],"CONSULTING")&gt;0,"CONSULTING ","")&amp;IF(COUNTIFS(tbl_Finance[Job Number],C185&amp;"",tbl_Finance[Cost Centre],"CTS")&gt;0,"CTS ",""))," ",", ")))</f>
        <v/>
      </c>
      <c r="L185" s="24" t="n"/>
      <c r="M185" s="25">
        <f>IF(L185="","",HYPERLINK(IF(LEFT(L185,4)="http",L185,set_QwilrBase&amp;L185),"Open quote"))</f>
        <v/>
      </c>
      <c r="N185" s="26" t="n"/>
      <c r="O185" s="26" t="n"/>
      <c r="P185" s="26" t="n"/>
      <c r="Q185" s="25">
        <f>IF(C185="","",IF(N(N185)+N(O185)+N(P185)=0,"Not split",IF(ROUND(N(N185)+N(O185)+N(P185),2)=ROUND(H185,2),"OK","MISMATCH")))</f>
        <v/>
      </c>
      <c r="R185" s="26" t="n"/>
      <c r="S185" s="26" t="n"/>
      <c r="T185" s="26" t="n"/>
      <c r="U185" s="27">
        <f>IF(C185="","",N(R185)+N(S185)+N(T185))</f>
        <v/>
      </c>
      <c r="V185" s="27">
        <f>IF(C185="","",H185-U185)</f>
        <v/>
      </c>
      <c r="W185" s="29">
        <f>IFERROR(V185/H185,"")</f>
        <v/>
      </c>
      <c r="X185" s="24" t="n"/>
    </row>
    <row r="186" ht="15" customHeight="1">
      <c r="A186" s="63">
        <f>IF(C186="","",IFERROR(IF(SUMPRODUCT(MAX((tbl_Finance[Job Number]=C186&amp;"")*(tbl_Finance[Xero Invoice No]&lt;&gt;"")*tbl_Finance[Date]))=0,"",SUMPRODUCT(MAX((tbl_Finance[Job Number]=C186&amp;"")*(tbl_Finance[Xero Invoice No]&lt;&gt;"")*tbl_Finance[Date]))),""))</f>
        <v/>
      </c>
      <c r="B186" s="25">
        <f>IF(C186="","",IF(COUNTIFS(tbl_Finance[Job Number],C186&amp;"",tbl_Finance[Xero Invoice No],"&lt;&gt;")=0,"",IFERROR(IF(COUNTIFS(tbl_Finance[Job Number],C186&amp;"",tbl_Finance[Xero Invoice No],LOOKUP(2,1/((tbl_Finance[Job Number]=C186&amp;"")*(tbl_Finance[Xero Invoice No]&lt;&gt;"")),tbl_Finance[Xero Invoice No]))=COUNTIFS(tbl_Finance[Job Number],C186&amp;"",tbl_Finance[Xero Invoice No],"&lt;&gt;"),LOOKUP(2,1/((tbl_Finance[Job Number]=C186&amp;"")*(tbl_Finance[Xero Invoice No]&lt;&gt;"")),tbl_Finance[Xero Invoice No]),LOOKUP(2,1/((tbl_Finance[Job Number]=C186&amp;"")*(tbl_Finance[Xero Invoice No]&lt;&gt;"")),tbl_Finance[Xero Invoice No])&amp;" +more"),"")))</f>
        <v/>
      </c>
      <c r="C186" s="24" t="n"/>
      <c r="D186" s="25">
        <f>IF(C186="","",IF(COUNTIF(lst_Jobs,C186&amp;"")&gt;0,"OK","CHECK"))</f>
        <v/>
      </c>
      <c r="E186" s="25">
        <f>IF(C186="","",IFERROR(INDEX(lst_JobName,MATCH(C186&amp;"",lst_Jobs,0)),""))</f>
        <v/>
      </c>
      <c r="F186" s="25">
        <f>IF(C186="","",IFERROR(INDEX(tbl_Finance[Client],MATCH(C186&amp;"",tbl_Finance[Job Number],0)),""))</f>
        <v/>
      </c>
      <c r="G186" s="28">
        <f>IF(C186="","",COUNTIFS(tbl_Finance[Job Number],C186&amp;"",tbl_Finance[Ex GST],"&lt;&gt;"))</f>
        <v/>
      </c>
      <c r="H186" s="27">
        <f>IF(C186="","",SUMIFS(tbl_Finance[Ex GST],tbl_Finance[Job Number],C186&amp;""))</f>
        <v/>
      </c>
      <c r="I186" s="27">
        <f>IF(C186="","",SUMIFS(tbl_Finance[Ex GST],tbl_Finance[Job Number],C186&amp;"",tbl_Finance[Xero Invoice No],"&lt;&gt;"))</f>
        <v/>
      </c>
      <c r="J186" s="27">
        <f>IF(C186="","",H186-I186)</f>
        <v/>
      </c>
      <c r="K186" s="25">
        <f>IF(C186="","",IF(G186=0,"not invoiced yet",SUBSTITUTE(TRIM(IF(COUNTIFS(tbl_Finance[Job Number],C186&amp;"",tbl_Finance[Cost Centre],"ONSITE")&gt;0,"ONSITE ","")&amp;IF(COUNTIFS(tbl_Finance[Job Number],C186&amp;"",tbl_Finance[Cost Centre],"PRODUCTION")&gt;0,"PRODUCTION ","")&amp;IF(COUNTIFS(tbl_Finance[Job Number],C186&amp;"",tbl_Finance[Cost Centre],"VIDEO")&gt;0,"VIDEO ","")&amp;IF(COUNTIFS(tbl_Finance[Job Number],C186&amp;"",tbl_Finance[Cost Centre],"INTEGRATION")&gt;0,"INTEGRATION ","")&amp;IF(COUNTIFS(tbl_Finance[Job Number],C186&amp;"",tbl_Finance[Cost Centre],"CONSULTING")&gt;0,"CONSULTING ","")&amp;IF(COUNTIFS(tbl_Finance[Job Number],C186&amp;"",tbl_Finance[Cost Centre],"CTS")&gt;0,"CTS ",""))," ",", ")))</f>
        <v/>
      </c>
      <c r="L186" s="24" t="n"/>
      <c r="M186" s="25">
        <f>IF(L186="","",HYPERLINK(IF(LEFT(L186,4)="http",L186,set_QwilrBase&amp;L186),"Open quote"))</f>
        <v/>
      </c>
      <c r="N186" s="26" t="n"/>
      <c r="O186" s="26" t="n"/>
      <c r="P186" s="26" t="n"/>
      <c r="Q186" s="25">
        <f>IF(C186="","",IF(N(N186)+N(O186)+N(P186)=0,"Not split",IF(ROUND(N(N186)+N(O186)+N(P186),2)=ROUND(H186,2),"OK","MISMATCH")))</f>
        <v/>
      </c>
      <c r="R186" s="26" t="n"/>
      <c r="S186" s="26" t="n"/>
      <c r="T186" s="26" t="n"/>
      <c r="U186" s="27">
        <f>IF(C186="","",N(R186)+N(S186)+N(T186))</f>
        <v/>
      </c>
      <c r="V186" s="27">
        <f>IF(C186="","",H186-U186)</f>
        <v/>
      </c>
      <c r="W186" s="29">
        <f>IFERROR(V186/H186,"")</f>
        <v/>
      </c>
      <c r="X186" s="24" t="n"/>
    </row>
    <row r="187" ht="15" customHeight="1">
      <c r="A187" s="63">
        <f>IF(C187="","",IFERROR(IF(SUMPRODUCT(MAX((tbl_Finance[Job Number]=C187&amp;"")*(tbl_Finance[Xero Invoice No]&lt;&gt;"")*tbl_Finance[Date]))=0,"",SUMPRODUCT(MAX((tbl_Finance[Job Number]=C187&amp;"")*(tbl_Finance[Xero Invoice No]&lt;&gt;"")*tbl_Finance[Date]))),""))</f>
        <v/>
      </c>
      <c r="B187" s="25">
        <f>IF(C187="","",IF(COUNTIFS(tbl_Finance[Job Number],C187&amp;"",tbl_Finance[Xero Invoice No],"&lt;&gt;")=0,"",IFERROR(IF(COUNTIFS(tbl_Finance[Job Number],C187&amp;"",tbl_Finance[Xero Invoice No],LOOKUP(2,1/((tbl_Finance[Job Number]=C187&amp;"")*(tbl_Finance[Xero Invoice No]&lt;&gt;"")),tbl_Finance[Xero Invoice No]))=COUNTIFS(tbl_Finance[Job Number],C187&amp;"",tbl_Finance[Xero Invoice No],"&lt;&gt;"),LOOKUP(2,1/((tbl_Finance[Job Number]=C187&amp;"")*(tbl_Finance[Xero Invoice No]&lt;&gt;"")),tbl_Finance[Xero Invoice No]),LOOKUP(2,1/((tbl_Finance[Job Number]=C187&amp;"")*(tbl_Finance[Xero Invoice No]&lt;&gt;"")),tbl_Finance[Xero Invoice No])&amp;" +more"),"")))</f>
        <v/>
      </c>
      <c r="C187" s="24" t="n"/>
      <c r="D187" s="25">
        <f>IF(C187="","",IF(COUNTIF(lst_Jobs,C187&amp;"")&gt;0,"OK","CHECK"))</f>
        <v/>
      </c>
      <c r="E187" s="25">
        <f>IF(C187="","",IFERROR(INDEX(lst_JobName,MATCH(C187&amp;"",lst_Jobs,0)),""))</f>
        <v/>
      </c>
      <c r="F187" s="25">
        <f>IF(C187="","",IFERROR(INDEX(tbl_Finance[Client],MATCH(C187&amp;"",tbl_Finance[Job Number],0)),""))</f>
        <v/>
      </c>
      <c r="G187" s="28">
        <f>IF(C187="","",COUNTIFS(tbl_Finance[Job Number],C187&amp;"",tbl_Finance[Ex GST],"&lt;&gt;"))</f>
        <v/>
      </c>
      <c r="H187" s="27">
        <f>IF(C187="","",SUMIFS(tbl_Finance[Ex GST],tbl_Finance[Job Number],C187&amp;""))</f>
        <v/>
      </c>
      <c r="I187" s="27">
        <f>IF(C187="","",SUMIFS(tbl_Finance[Ex GST],tbl_Finance[Job Number],C187&amp;"",tbl_Finance[Xero Invoice No],"&lt;&gt;"))</f>
        <v/>
      </c>
      <c r="J187" s="27">
        <f>IF(C187="","",H187-I187)</f>
        <v/>
      </c>
      <c r="K187" s="25">
        <f>IF(C187="","",IF(G187=0,"not invoiced yet",SUBSTITUTE(TRIM(IF(COUNTIFS(tbl_Finance[Job Number],C187&amp;"",tbl_Finance[Cost Centre],"ONSITE")&gt;0,"ONSITE ","")&amp;IF(COUNTIFS(tbl_Finance[Job Number],C187&amp;"",tbl_Finance[Cost Centre],"PRODUCTION")&gt;0,"PRODUCTION ","")&amp;IF(COUNTIFS(tbl_Finance[Job Number],C187&amp;"",tbl_Finance[Cost Centre],"VIDEO")&gt;0,"VIDEO ","")&amp;IF(COUNTIFS(tbl_Finance[Job Number],C187&amp;"",tbl_Finance[Cost Centre],"INTEGRATION")&gt;0,"INTEGRATION ","")&amp;IF(COUNTIFS(tbl_Finance[Job Number],C187&amp;"",tbl_Finance[Cost Centre],"CONSULTING")&gt;0,"CONSULTING ","")&amp;IF(COUNTIFS(tbl_Finance[Job Number],C187&amp;"",tbl_Finance[Cost Centre],"CTS")&gt;0,"CTS ",""))," ",", ")))</f>
        <v/>
      </c>
      <c r="L187" s="24" t="n"/>
      <c r="M187" s="25">
        <f>IF(L187="","",HYPERLINK(IF(LEFT(L187,4)="http",L187,set_QwilrBase&amp;L187),"Open quote"))</f>
        <v/>
      </c>
      <c r="N187" s="26" t="n"/>
      <c r="O187" s="26" t="n"/>
      <c r="P187" s="26" t="n"/>
      <c r="Q187" s="25">
        <f>IF(C187="","",IF(N(N187)+N(O187)+N(P187)=0,"Not split",IF(ROUND(N(N187)+N(O187)+N(P187),2)=ROUND(H187,2),"OK","MISMATCH")))</f>
        <v/>
      </c>
      <c r="R187" s="26" t="n"/>
      <c r="S187" s="26" t="n"/>
      <c r="T187" s="26" t="n"/>
      <c r="U187" s="27">
        <f>IF(C187="","",N(R187)+N(S187)+N(T187))</f>
        <v/>
      </c>
      <c r="V187" s="27">
        <f>IF(C187="","",H187-U187)</f>
        <v/>
      </c>
      <c r="W187" s="29">
        <f>IFERROR(V187/H187,"")</f>
        <v/>
      </c>
      <c r="X187" s="24" t="n"/>
    </row>
    <row r="188" ht="15" customHeight="1">
      <c r="A188" s="63">
        <f>IF(C188="","",IFERROR(IF(SUMPRODUCT(MAX((tbl_Finance[Job Number]=C188&amp;"")*(tbl_Finance[Xero Invoice No]&lt;&gt;"")*tbl_Finance[Date]))=0,"",SUMPRODUCT(MAX((tbl_Finance[Job Number]=C188&amp;"")*(tbl_Finance[Xero Invoice No]&lt;&gt;"")*tbl_Finance[Date]))),""))</f>
        <v/>
      </c>
      <c r="B188" s="25">
        <f>IF(C188="","",IF(COUNTIFS(tbl_Finance[Job Number],C188&amp;"",tbl_Finance[Xero Invoice No],"&lt;&gt;")=0,"",IFERROR(IF(COUNTIFS(tbl_Finance[Job Number],C188&amp;"",tbl_Finance[Xero Invoice No],LOOKUP(2,1/((tbl_Finance[Job Number]=C188&amp;"")*(tbl_Finance[Xero Invoice No]&lt;&gt;"")),tbl_Finance[Xero Invoice No]))=COUNTIFS(tbl_Finance[Job Number],C188&amp;"",tbl_Finance[Xero Invoice No],"&lt;&gt;"),LOOKUP(2,1/((tbl_Finance[Job Number]=C188&amp;"")*(tbl_Finance[Xero Invoice No]&lt;&gt;"")),tbl_Finance[Xero Invoice No]),LOOKUP(2,1/((tbl_Finance[Job Number]=C188&amp;"")*(tbl_Finance[Xero Invoice No]&lt;&gt;"")),tbl_Finance[Xero Invoice No])&amp;" +more"),"")))</f>
        <v/>
      </c>
      <c r="C188" s="24" t="n"/>
      <c r="D188" s="25">
        <f>IF(C188="","",IF(COUNTIF(lst_Jobs,C188&amp;"")&gt;0,"OK","CHECK"))</f>
        <v/>
      </c>
      <c r="E188" s="25">
        <f>IF(C188="","",IFERROR(INDEX(lst_JobName,MATCH(C188&amp;"",lst_Jobs,0)),""))</f>
        <v/>
      </c>
      <c r="F188" s="25">
        <f>IF(C188="","",IFERROR(INDEX(tbl_Finance[Client],MATCH(C188&amp;"",tbl_Finance[Job Number],0)),""))</f>
        <v/>
      </c>
      <c r="G188" s="28">
        <f>IF(C188="","",COUNTIFS(tbl_Finance[Job Number],C188&amp;"",tbl_Finance[Ex GST],"&lt;&gt;"))</f>
        <v/>
      </c>
      <c r="H188" s="27">
        <f>IF(C188="","",SUMIFS(tbl_Finance[Ex GST],tbl_Finance[Job Number],C188&amp;""))</f>
        <v/>
      </c>
      <c r="I188" s="27">
        <f>IF(C188="","",SUMIFS(tbl_Finance[Ex GST],tbl_Finance[Job Number],C188&amp;"",tbl_Finance[Xero Invoice No],"&lt;&gt;"))</f>
        <v/>
      </c>
      <c r="J188" s="27">
        <f>IF(C188="","",H188-I188)</f>
        <v/>
      </c>
      <c r="K188" s="25">
        <f>IF(C188="","",IF(G188=0,"not invoiced yet",SUBSTITUTE(TRIM(IF(COUNTIFS(tbl_Finance[Job Number],C188&amp;"",tbl_Finance[Cost Centre],"ONSITE")&gt;0,"ONSITE ","")&amp;IF(COUNTIFS(tbl_Finance[Job Number],C188&amp;"",tbl_Finance[Cost Centre],"PRODUCTION")&gt;0,"PRODUCTION ","")&amp;IF(COUNTIFS(tbl_Finance[Job Number],C188&amp;"",tbl_Finance[Cost Centre],"VIDEO")&gt;0,"VIDEO ","")&amp;IF(COUNTIFS(tbl_Finance[Job Number],C188&amp;"",tbl_Finance[Cost Centre],"INTEGRATION")&gt;0,"INTEGRATION ","")&amp;IF(COUNTIFS(tbl_Finance[Job Number],C188&amp;"",tbl_Finance[Cost Centre],"CONSULTING")&gt;0,"CONSULTING ","")&amp;IF(COUNTIFS(tbl_Finance[Job Number],C188&amp;"",tbl_Finance[Cost Centre],"CTS")&gt;0,"CTS ",""))," ",", ")))</f>
        <v/>
      </c>
      <c r="L188" s="24" t="n"/>
      <c r="M188" s="25">
        <f>IF(L188="","",HYPERLINK(IF(LEFT(L188,4)="http",L188,set_QwilrBase&amp;L188),"Open quote"))</f>
        <v/>
      </c>
      <c r="N188" s="26" t="n"/>
      <c r="O188" s="26" t="n"/>
      <c r="P188" s="26" t="n"/>
      <c r="Q188" s="25">
        <f>IF(C188="","",IF(N(N188)+N(O188)+N(P188)=0,"Not split",IF(ROUND(N(N188)+N(O188)+N(P188),2)=ROUND(H188,2),"OK","MISMATCH")))</f>
        <v/>
      </c>
      <c r="R188" s="26" t="n"/>
      <c r="S188" s="26" t="n"/>
      <c r="T188" s="26" t="n"/>
      <c r="U188" s="27">
        <f>IF(C188="","",N(R188)+N(S188)+N(T188))</f>
        <v/>
      </c>
      <c r="V188" s="27">
        <f>IF(C188="","",H188-U188)</f>
        <v/>
      </c>
      <c r="W188" s="29">
        <f>IFERROR(V188/H188,"")</f>
        <v/>
      </c>
      <c r="X188" s="24" t="n"/>
    </row>
    <row r="189" ht="15" customHeight="1">
      <c r="A189" s="63">
        <f>IF(C189="","",IFERROR(IF(SUMPRODUCT(MAX((tbl_Finance[Job Number]=C189&amp;"")*(tbl_Finance[Xero Invoice No]&lt;&gt;"")*tbl_Finance[Date]))=0,"",SUMPRODUCT(MAX((tbl_Finance[Job Number]=C189&amp;"")*(tbl_Finance[Xero Invoice No]&lt;&gt;"")*tbl_Finance[Date]))),""))</f>
        <v/>
      </c>
      <c r="B189" s="25">
        <f>IF(C189="","",IF(COUNTIFS(tbl_Finance[Job Number],C189&amp;"",tbl_Finance[Xero Invoice No],"&lt;&gt;")=0,"",IFERROR(IF(COUNTIFS(tbl_Finance[Job Number],C189&amp;"",tbl_Finance[Xero Invoice No],LOOKUP(2,1/((tbl_Finance[Job Number]=C189&amp;"")*(tbl_Finance[Xero Invoice No]&lt;&gt;"")),tbl_Finance[Xero Invoice No]))=COUNTIFS(tbl_Finance[Job Number],C189&amp;"",tbl_Finance[Xero Invoice No],"&lt;&gt;"),LOOKUP(2,1/((tbl_Finance[Job Number]=C189&amp;"")*(tbl_Finance[Xero Invoice No]&lt;&gt;"")),tbl_Finance[Xero Invoice No]),LOOKUP(2,1/((tbl_Finance[Job Number]=C189&amp;"")*(tbl_Finance[Xero Invoice No]&lt;&gt;"")),tbl_Finance[Xero Invoice No])&amp;" +more"),"")))</f>
        <v/>
      </c>
      <c r="C189" s="24" t="n"/>
      <c r="D189" s="25">
        <f>IF(C189="","",IF(COUNTIF(lst_Jobs,C189&amp;"")&gt;0,"OK","CHECK"))</f>
        <v/>
      </c>
      <c r="E189" s="25">
        <f>IF(C189="","",IFERROR(INDEX(lst_JobName,MATCH(C189&amp;"",lst_Jobs,0)),""))</f>
        <v/>
      </c>
      <c r="F189" s="25">
        <f>IF(C189="","",IFERROR(INDEX(tbl_Finance[Client],MATCH(C189&amp;"",tbl_Finance[Job Number],0)),""))</f>
        <v/>
      </c>
      <c r="G189" s="28">
        <f>IF(C189="","",COUNTIFS(tbl_Finance[Job Number],C189&amp;"",tbl_Finance[Ex GST],"&lt;&gt;"))</f>
        <v/>
      </c>
      <c r="H189" s="27">
        <f>IF(C189="","",SUMIFS(tbl_Finance[Ex GST],tbl_Finance[Job Number],C189&amp;""))</f>
        <v/>
      </c>
      <c r="I189" s="27">
        <f>IF(C189="","",SUMIFS(tbl_Finance[Ex GST],tbl_Finance[Job Number],C189&amp;"",tbl_Finance[Xero Invoice No],"&lt;&gt;"))</f>
        <v/>
      </c>
      <c r="J189" s="27">
        <f>IF(C189="","",H189-I189)</f>
        <v/>
      </c>
      <c r="K189" s="25">
        <f>IF(C189="","",IF(G189=0,"not invoiced yet",SUBSTITUTE(TRIM(IF(COUNTIFS(tbl_Finance[Job Number],C189&amp;"",tbl_Finance[Cost Centre],"ONSITE")&gt;0,"ONSITE ","")&amp;IF(COUNTIFS(tbl_Finance[Job Number],C189&amp;"",tbl_Finance[Cost Centre],"PRODUCTION")&gt;0,"PRODUCTION ","")&amp;IF(COUNTIFS(tbl_Finance[Job Number],C189&amp;"",tbl_Finance[Cost Centre],"VIDEO")&gt;0,"VIDEO ","")&amp;IF(COUNTIFS(tbl_Finance[Job Number],C189&amp;"",tbl_Finance[Cost Centre],"INTEGRATION")&gt;0,"INTEGRATION ","")&amp;IF(COUNTIFS(tbl_Finance[Job Number],C189&amp;"",tbl_Finance[Cost Centre],"CONSULTING")&gt;0,"CONSULTING ","")&amp;IF(COUNTIFS(tbl_Finance[Job Number],C189&amp;"",tbl_Finance[Cost Centre],"CTS")&gt;0,"CTS ",""))," ",", ")))</f>
        <v/>
      </c>
      <c r="L189" s="24" t="n"/>
      <c r="M189" s="25">
        <f>IF(L189="","",HYPERLINK(IF(LEFT(L189,4)="http",L189,set_QwilrBase&amp;L189),"Open quote"))</f>
        <v/>
      </c>
      <c r="N189" s="26" t="n"/>
      <c r="O189" s="26" t="n"/>
      <c r="P189" s="26" t="n"/>
      <c r="Q189" s="25">
        <f>IF(C189="","",IF(N(N189)+N(O189)+N(P189)=0,"Not split",IF(ROUND(N(N189)+N(O189)+N(P189),2)=ROUND(H189,2),"OK","MISMATCH")))</f>
        <v/>
      </c>
      <c r="R189" s="26" t="n"/>
      <c r="S189" s="26" t="n"/>
      <c r="T189" s="26" t="n"/>
      <c r="U189" s="27">
        <f>IF(C189="","",N(R189)+N(S189)+N(T189))</f>
        <v/>
      </c>
      <c r="V189" s="27">
        <f>IF(C189="","",H189-U189)</f>
        <v/>
      </c>
      <c r="W189" s="29">
        <f>IFERROR(V189/H189,"")</f>
        <v/>
      </c>
      <c r="X189" s="24" t="n"/>
    </row>
    <row r="190" ht="15" customHeight="1">
      <c r="A190" s="63">
        <f>IF(C190="","",IFERROR(IF(SUMPRODUCT(MAX((tbl_Finance[Job Number]=C190&amp;"")*(tbl_Finance[Xero Invoice No]&lt;&gt;"")*tbl_Finance[Date]))=0,"",SUMPRODUCT(MAX((tbl_Finance[Job Number]=C190&amp;"")*(tbl_Finance[Xero Invoice No]&lt;&gt;"")*tbl_Finance[Date]))),""))</f>
        <v/>
      </c>
      <c r="B190" s="25">
        <f>IF(C190="","",IF(COUNTIFS(tbl_Finance[Job Number],C190&amp;"",tbl_Finance[Xero Invoice No],"&lt;&gt;")=0,"",IFERROR(IF(COUNTIFS(tbl_Finance[Job Number],C190&amp;"",tbl_Finance[Xero Invoice No],LOOKUP(2,1/((tbl_Finance[Job Number]=C190&amp;"")*(tbl_Finance[Xero Invoice No]&lt;&gt;"")),tbl_Finance[Xero Invoice No]))=COUNTIFS(tbl_Finance[Job Number],C190&amp;"",tbl_Finance[Xero Invoice No],"&lt;&gt;"),LOOKUP(2,1/((tbl_Finance[Job Number]=C190&amp;"")*(tbl_Finance[Xero Invoice No]&lt;&gt;"")),tbl_Finance[Xero Invoice No]),LOOKUP(2,1/((tbl_Finance[Job Number]=C190&amp;"")*(tbl_Finance[Xero Invoice No]&lt;&gt;"")),tbl_Finance[Xero Invoice No])&amp;" +more"),"")))</f>
        <v/>
      </c>
      <c r="C190" s="24" t="n"/>
      <c r="D190" s="25">
        <f>IF(C190="","",IF(COUNTIF(lst_Jobs,C190&amp;"")&gt;0,"OK","CHECK"))</f>
        <v/>
      </c>
      <c r="E190" s="25">
        <f>IF(C190="","",IFERROR(INDEX(lst_JobName,MATCH(C190&amp;"",lst_Jobs,0)),""))</f>
        <v/>
      </c>
      <c r="F190" s="25">
        <f>IF(C190="","",IFERROR(INDEX(tbl_Finance[Client],MATCH(C190&amp;"",tbl_Finance[Job Number],0)),""))</f>
        <v/>
      </c>
      <c r="G190" s="28">
        <f>IF(C190="","",COUNTIFS(tbl_Finance[Job Number],C190&amp;"",tbl_Finance[Ex GST],"&lt;&gt;"))</f>
        <v/>
      </c>
      <c r="H190" s="27">
        <f>IF(C190="","",SUMIFS(tbl_Finance[Ex GST],tbl_Finance[Job Number],C190&amp;""))</f>
        <v/>
      </c>
      <c r="I190" s="27">
        <f>IF(C190="","",SUMIFS(tbl_Finance[Ex GST],tbl_Finance[Job Number],C190&amp;"",tbl_Finance[Xero Invoice No],"&lt;&gt;"))</f>
        <v/>
      </c>
      <c r="J190" s="27">
        <f>IF(C190="","",H190-I190)</f>
        <v/>
      </c>
      <c r="K190" s="25">
        <f>IF(C190="","",IF(G190=0,"not invoiced yet",SUBSTITUTE(TRIM(IF(COUNTIFS(tbl_Finance[Job Number],C190&amp;"",tbl_Finance[Cost Centre],"ONSITE")&gt;0,"ONSITE ","")&amp;IF(COUNTIFS(tbl_Finance[Job Number],C190&amp;"",tbl_Finance[Cost Centre],"PRODUCTION")&gt;0,"PRODUCTION ","")&amp;IF(COUNTIFS(tbl_Finance[Job Number],C190&amp;"",tbl_Finance[Cost Centre],"VIDEO")&gt;0,"VIDEO ","")&amp;IF(COUNTIFS(tbl_Finance[Job Number],C190&amp;"",tbl_Finance[Cost Centre],"INTEGRATION")&gt;0,"INTEGRATION ","")&amp;IF(COUNTIFS(tbl_Finance[Job Number],C190&amp;"",tbl_Finance[Cost Centre],"CONSULTING")&gt;0,"CONSULTING ","")&amp;IF(COUNTIFS(tbl_Finance[Job Number],C190&amp;"",tbl_Finance[Cost Centre],"CTS")&gt;0,"CTS ",""))," ",", ")))</f>
        <v/>
      </c>
      <c r="L190" s="24" t="n"/>
      <c r="M190" s="25">
        <f>IF(L190="","",HYPERLINK(IF(LEFT(L190,4)="http",L190,set_QwilrBase&amp;L190),"Open quote"))</f>
        <v/>
      </c>
      <c r="N190" s="26" t="n"/>
      <c r="O190" s="26" t="n"/>
      <c r="P190" s="26" t="n"/>
      <c r="Q190" s="25">
        <f>IF(C190="","",IF(N(N190)+N(O190)+N(P190)=0,"Not split",IF(ROUND(N(N190)+N(O190)+N(P190),2)=ROUND(H190,2),"OK","MISMATCH")))</f>
        <v/>
      </c>
      <c r="R190" s="26" t="n"/>
      <c r="S190" s="26" t="n"/>
      <c r="T190" s="26" t="n"/>
      <c r="U190" s="27">
        <f>IF(C190="","",N(R190)+N(S190)+N(T190))</f>
        <v/>
      </c>
      <c r="V190" s="27">
        <f>IF(C190="","",H190-U190)</f>
        <v/>
      </c>
      <c r="W190" s="29">
        <f>IFERROR(V190/H190,"")</f>
        <v/>
      </c>
      <c r="X190" s="24" t="n"/>
    </row>
    <row r="191" ht="15" customHeight="1">
      <c r="A191" s="63">
        <f>IF(C191="","",IFERROR(IF(SUMPRODUCT(MAX((tbl_Finance[Job Number]=C191&amp;"")*(tbl_Finance[Xero Invoice No]&lt;&gt;"")*tbl_Finance[Date]))=0,"",SUMPRODUCT(MAX((tbl_Finance[Job Number]=C191&amp;"")*(tbl_Finance[Xero Invoice No]&lt;&gt;"")*tbl_Finance[Date]))),""))</f>
        <v/>
      </c>
      <c r="B191" s="25">
        <f>IF(C191="","",IF(COUNTIFS(tbl_Finance[Job Number],C191&amp;"",tbl_Finance[Xero Invoice No],"&lt;&gt;")=0,"",IFERROR(IF(COUNTIFS(tbl_Finance[Job Number],C191&amp;"",tbl_Finance[Xero Invoice No],LOOKUP(2,1/((tbl_Finance[Job Number]=C191&amp;"")*(tbl_Finance[Xero Invoice No]&lt;&gt;"")),tbl_Finance[Xero Invoice No]))=COUNTIFS(tbl_Finance[Job Number],C191&amp;"",tbl_Finance[Xero Invoice No],"&lt;&gt;"),LOOKUP(2,1/((tbl_Finance[Job Number]=C191&amp;"")*(tbl_Finance[Xero Invoice No]&lt;&gt;"")),tbl_Finance[Xero Invoice No]),LOOKUP(2,1/((tbl_Finance[Job Number]=C191&amp;"")*(tbl_Finance[Xero Invoice No]&lt;&gt;"")),tbl_Finance[Xero Invoice No])&amp;" +more"),"")))</f>
        <v/>
      </c>
      <c r="C191" s="24" t="n"/>
      <c r="D191" s="25">
        <f>IF(C191="","",IF(COUNTIF(lst_Jobs,C191&amp;"")&gt;0,"OK","CHECK"))</f>
        <v/>
      </c>
      <c r="E191" s="25">
        <f>IF(C191="","",IFERROR(INDEX(lst_JobName,MATCH(C191&amp;"",lst_Jobs,0)),""))</f>
        <v/>
      </c>
      <c r="F191" s="25">
        <f>IF(C191="","",IFERROR(INDEX(tbl_Finance[Client],MATCH(C191&amp;"",tbl_Finance[Job Number],0)),""))</f>
        <v/>
      </c>
      <c r="G191" s="28">
        <f>IF(C191="","",COUNTIFS(tbl_Finance[Job Number],C191&amp;"",tbl_Finance[Ex GST],"&lt;&gt;"))</f>
        <v/>
      </c>
      <c r="H191" s="27">
        <f>IF(C191="","",SUMIFS(tbl_Finance[Ex GST],tbl_Finance[Job Number],C191&amp;""))</f>
        <v/>
      </c>
      <c r="I191" s="27">
        <f>IF(C191="","",SUMIFS(tbl_Finance[Ex GST],tbl_Finance[Job Number],C191&amp;"",tbl_Finance[Xero Invoice No],"&lt;&gt;"))</f>
        <v/>
      </c>
      <c r="J191" s="27">
        <f>IF(C191="","",H191-I191)</f>
        <v/>
      </c>
      <c r="K191" s="25">
        <f>IF(C191="","",IF(G191=0,"not invoiced yet",SUBSTITUTE(TRIM(IF(COUNTIFS(tbl_Finance[Job Number],C191&amp;"",tbl_Finance[Cost Centre],"ONSITE")&gt;0,"ONSITE ","")&amp;IF(COUNTIFS(tbl_Finance[Job Number],C191&amp;"",tbl_Finance[Cost Centre],"PRODUCTION")&gt;0,"PRODUCTION ","")&amp;IF(COUNTIFS(tbl_Finance[Job Number],C191&amp;"",tbl_Finance[Cost Centre],"VIDEO")&gt;0,"VIDEO ","")&amp;IF(COUNTIFS(tbl_Finance[Job Number],C191&amp;"",tbl_Finance[Cost Centre],"INTEGRATION")&gt;0,"INTEGRATION ","")&amp;IF(COUNTIFS(tbl_Finance[Job Number],C191&amp;"",tbl_Finance[Cost Centre],"CONSULTING")&gt;0,"CONSULTING ","")&amp;IF(COUNTIFS(tbl_Finance[Job Number],C191&amp;"",tbl_Finance[Cost Centre],"CTS")&gt;0,"CTS ",""))," ",", ")))</f>
        <v/>
      </c>
      <c r="L191" s="24" t="n"/>
      <c r="M191" s="25">
        <f>IF(L191="","",HYPERLINK(IF(LEFT(L191,4)="http",L191,set_QwilrBase&amp;L191),"Open quote"))</f>
        <v/>
      </c>
      <c r="N191" s="26" t="n"/>
      <c r="O191" s="26" t="n"/>
      <c r="P191" s="26" t="n"/>
      <c r="Q191" s="25">
        <f>IF(C191="","",IF(N(N191)+N(O191)+N(P191)=0,"Not split",IF(ROUND(N(N191)+N(O191)+N(P191),2)=ROUND(H191,2),"OK","MISMATCH")))</f>
        <v/>
      </c>
      <c r="R191" s="26" t="n"/>
      <c r="S191" s="26" t="n"/>
      <c r="T191" s="26" t="n"/>
      <c r="U191" s="27">
        <f>IF(C191="","",N(R191)+N(S191)+N(T191))</f>
        <v/>
      </c>
      <c r="V191" s="27">
        <f>IF(C191="","",H191-U191)</f>
        <v/>
      </c>
      <c r="W191" s="29">
        <f>IFERROR(V191/H191,"")</f>
        <v/>
      </c>
      <c r="X191" s="24" t="n"/>
    </row>
    <row r="192" ht="15" customHeight="1">
      <c r="A192" s="63">
        <f>IF(C192="","",IFERROR(IF(SUMPRODUCT(MAX((tbl_Finance[Job Number]=C192&amp;"")*(tbl_Finance[Xero Invoice No]&lt;&gt;"")*tbl_Finance[Date]))=0,"",SUMPRODUCT(MAX((tbl_Finance[Job Number]=C192&amp;"")*(tbl_Finance[Xero Invoice No]&lt;&gt;"")*tbl_Finance[Date]))),""))</f>
        <v/>
      </c>
      <c r="B192" s="25">
        <f>IF(C192="","",IF(COUNTIFS(tbl_Finance[Job Number],C192&amp;"",tbl_Finance[Xero Invoice No],"&lt;&gt;")=0,"",IFERROR(IF(COUNTIFS(tbl_Finance[Job Number],C192&amp;"",tbl_Finance[Xero Invoice No],LOOKUP(2,1/((tbl_Finance[Job Number]=C192&amp;"")*(tbl_Finance[Xero Invoice No]&lt;&gt;"")),tbl_Finance[Xero Invoice No]))=COUNTIFS(tbl_Finance[Job Number],C192&amp;"",tbl_Finance[Xero Invoice No],"&lt;&gt;"),LOOKUP(2,1/((tbl_Finance[Job Number]=C192&amp;"")*(tbl_Finance[Xero Invoice No]&lt;&gt;"")),tbl_Finance[Xero Invoice No]),LOOKUP(2,1/((tbl_Finance[Job Number]=C192&amp;"")*(tbl_Finance[Xero Invoice No]&lt;&gt;"")),tbl_Finance[Xero Invoice No])&amp;" +more"),"")))</f>
        <v/>
      </c>
      <c r="C192" s="24" t="n"/>
      <c r="D192" s="25">
        <f>IF(C192="","",IF(COUNTIF(lst_Jobs,C192&amp;"")&gt;0,"OK","CHECK"))</f>
        <v/>
      </c>
      <c r="E192" s="25">
        <f>IF(C192="","",IFERROR(INDEX(lst_JobName,MATCH(C192&amp;"",lst_Jobs,0)),""))</f>
        <v/>
      </c>
      <c r="F192" s="25">
        <f>IF(C192="","",IFERROR(INDEX(tbl_Finance[Client],MATCH(C192&amp;"",tbl_Finance[Job Number],0)),""))</f>
        <v/>
      </c>
      <c r="G192" s="28">
        <f>IF(C192="","",COUNTIFS(tbl_Finance[Job Number],C192&amp;"",tbl_Finance[Ex GST],"&lt;&gt;"))</f>
        <v/>
      </c>
      <c r="H192" s="27">
        <f>IF(C192="","",SUMIFS(tbl_Finance[Ex GST],tbl_Finance[Job Number],C192&amp;""))</f>
        <v/>
      </c>
      <c r="I192" s="27">
        <f>IF(C192="","",SUMIFS(tbl_Finance[Ex GST],tbl_Finance[Job Number],C192&amp;"",tbl_Finance[Xero Invoice No],"&lt;&gt;"))</f>
        <v/>
      </c>
      <c r="J192" s="27">
        <f>IF(C192="","",H192-I192)</f>
        <v/>
      </c>
      <c r="K192" s="25">
        <f>IF(C192="","",IF(G192=0,"not invoiced yet",SUBSTITUTE(TRIM(IF(COUNTIFS(tbl_Finance[Job Number],C192&amp;"",tbl_Finance[Cost Centre],"ONSITE")&gt;0,"ONSITE ","")&amp;IF(COUNTIFS(tbl_Finance[Job Number],C192&amp;"",tbl_Finance[Cost Centre],"PRODUCTION")&gt;0,"PRODUCTION ","")&amp;IF(COUNTIFS(tbl_Finance[Job Number],C192&amp;"",tbl_Finance[Cost Centre],"VIDEO")&gt;0,"VIDEO ","")&amp;IF(COUNTIFS(tbl_Finance[Job Number],C192&amp;"",tbl_Finance[Cost Centre],"INTEGRATION")&gt;0,"INTEGRATION ","")&amp;IF(COUNTIFS(tbl_Finance[Job Number],C192&amp;"",tbl_Finance[Cost Centre],"CONSULTING")&gt;0,"CONSULTING ","")&amp;IF(COUNTIFS(tbl_Finance[Job Number],C192&amp;"",tbl_Finance[Cost Centre],"CTS")&gt;0,"CTS ",""))," ",", ")))</f>
        <v/>
      </c>
      <c r="L192" s="24" t="n"/>
      <c r="M192" s="25">
        <f>IF(L192="","",HYPERLINK(IF(LEFT(L192,4)="http",L192,set_QwilrBase&amp;L192),"Open quote"))</f>
        <v/>
      </c>
      <c r="N192" s="26" t="n"/>
      <c r="O192" s="26" t="n"/>
      <c r="P192" s="26" t="n"/>
      <c r="Q192" s="25">
        <f>IF(C192="","",IF(N(N192)+N(O192)+N(P192)=0,"Not split",IF(ROUND(N(N192)+N(O192)+N(P192),2)=ROUND(H192,2),"OK","MISMATCH")))</f>
        <v/>
      </c>
      <c r="R192" s="26" t="n"/>
      <c r="S192" s="26" t="n"/>
      <c r="T192" s="26" t="n"/>
      <c r="U192" s="27">
        <f>IF(C192="","",N(R192)+N(S192)+N(T192))</f>
        <v/>
      </c>
      <c r="V192" s="27">
        <f>IF(C192="","",H192-U192)</f>
        <v/>
      </c>
      <c r="W192" s="29">
        <f>IFERROR(V192/H192,"")</f>
        <v/>
      </c>
      <c r="X192" s="24" t="n"/>
    </row>
    <row r="193" ht="15" customHeight="1">
      <c r="A193" s="63">
        <f>IF(C193="","",IFERROR(IF(SUMPRODUCT(MAX((tbl_Finance[Job Number]=C193&amp;"")*(tbl_Finance[Xero Invoice No]&lt;&gt;"")*tbl_Finance[Date]))=0,"",SUMPRODUCT(MAX((tbl_Finance[Job Number]=C193&amp;"")*(tbl_Finance[Xero Invoice No]&lt;&gt;"")*tbl_Finance[Date]))),""))</f>
        <v/>
      </c>
      <c r="B193" s="25">
        <f>IF(C193="","",IF(COUNTIFS(tbl_Finance[Job Number],C193&amp;"",tbl_Finance[Xero Invoice No],"&lt;&gt;")=0,"",IFERROR(IF(COUNTIFS(tbl_Finance[Job Number],C193&amp;"",tbl_Finance[Xero Invoice No],LOOKUP(2,1/((tbl_Finance[Job Number]=C193&amp;"")*(tbl_Finance[Xero Invoice No]&lt;&gt;"")),tbl_Finance[Xero Invoice No]))=COUNTIFS(tbl_Finance[Job Number],C193&amp;"",tbl_Finance[Xero Invoice No],"&lt;&gt;"),LOOKUP(2,1/((tbl_Finance[Job Number]=C193&amp;"")*(tbl_Finance[Xero Invoice No]&lt;&gt;"")),tbl_Finance[Xero Invoice No]),LOOKUP(2,1/((tbl_Finance[Job Number]=C193&amp;"")*(tbl_Finance[Xero Invoice No]&lt;&gt;"")),tbl_Finance[Xero Invoice No])&amp;" +more"),"")))</f>
        <v/>
      </c>
      <c r="C193" s="24" t="n"/>
      <c r="D193" s="25">
        <f>IF(C193="","",IF(COUNTIF(lst_Jobs,C193&amp;"")&gt;0,"OK","CHECK"))</f>
        <v/>
      </c>
      <c r="E193" s="25">
        <f>IF(C193="","",IFERROR(INDEX(lst_JobName,MATCH(C193&amp;"",lst_Jobs,0)),""))</f>
        <v/>
      </c>
      <c r="F193" s="25">
        <f>IF(C193="","",IFERROR(INDEX(tbl_Finance[Client],MATCH(C193&amp;"",tbl_Finance[Job Number],0)),""))</f>
        <v/>
      </c>
      <c r="G193" s="28">
        <f>IF(C193="","",COUNTIFS(tbl_Finance[Job Number],C193&amp;"",tbl_Finance[Ex GST],"&lt;&gt;"))</f>
        <v/>
      </c>
      <c r="H193" s="27">
        <f>IF(C193="","",SUMIFS(tbl_Finance[Ex GST],tbl_Finance[Job Number],C193&amp;""))</f>
        <v/>
      </c>
      <c r="I193" s="27">
        <f>IF(C193="","",SUMIFS(tbl_Finance[Ex GST],tbl_Finance[Job Number],C193&amp;"",tbl_Finance[Xero Invoice No],"&lt;&gt;"))</f>
        <v/>
      </c>
      <c r="J193" s="27">
        <f>IF(C193="","",H193-I193)</f>
        <v/>
      </c>
      <c r="K193" s="25">
        <f>IF(C193="","",IF(G193=0,"not invoiced yet",SUBSTITUTE(TRIM(IF(COUNTIFS(tbl_Finance[Job Number],C193&amp;"",tbl_Finance[Cost Centre],"ONSITE")&gt;0,"ONSITE ","")&amp;IF(COUNTIFS(tbl_Finance[Job Number],C193&amp;"",tbl_Finance[Cost Centre],"PRODUCTION")&gt;0,"PRODUCTION ","")&amp;IF(COUNTIFS(tbl_Finance[Job Number],C193&amp;"",tbl_Finance[Cost Centre],"VIDEO")&gt;0,"VIDEO ","")&amp;IF(COUNTIFS(tbl_Finance[Job Number],C193&amp;"",tbl_Finance[Cost Centre],"INTEGRATION")&gt;0,"INTEGRATION ","")&amp;IF(COUNTIFS(tbl_Finance[Job Number],C193&amp;"",tbl_Finance[Cost Centre],"CONSULTING")&gt;0,"CONSULTING ","")&amp;IF(COUNTIFS(tbl_Finance[Job Number],C193&amp;"",tbl_Finance[Cost Centre],"CTS")&gt;0,"CTS ",""))," ",", ")))</f>
        <v/>
      </c>
      <c r="L193" s="24" t="n"/>
      <c r="M193" s="25">
        <f>IF(L193="","",HYPERLINK(IF(LEFT(L193,4)="http",L193,set_QwilrBase&amp;L193),"Open quote"))</f>
        <v/>
      </c>
      <c r="N193" s="26" t="n"/>
      <c r="O193" s="26" t="n"/>
      <c r="P193" s="26" t="n"/>
      <c r="Q193" s="25">
        <f>IF(C193="","",IF(N(N193)+N(O193)+N(P193)=0,"Not split",IF(ROUND(N(N193)+N(O193)+N(P193),2)=ROUND(H193,2),"OK","MISMATCH")))</f>
        <v/>
      </c>
      <c r="R193" s="26" t="n"/>
      <c r="S193" s="26" t="n"/>
      <c r="T193" s="26" t="n"/>
      <c r="U193" s="27">
        <f>IF(C193="","",N(R193)+N(S193)+N(T193))</f>
        <v/>
      </c>
      <c r="V193" s="27">
        <f>IF(C193="","",H193-U193)</f>
        <v/>
      </c>
      <c r="W193" s="29">
        <f>IFERROR(V193/H193,"")</f>
        <v/>
      </c>
      <c r="X193" s="24" t="n"/>
    </row>
    <row r="194" ht="15" customHeight="1">
      <c r="A194" s="63">
        <f>IF(C194="","",IFERROR(IF(SUMPRODUCT(MAX((tbl_Finance[Job Number]=C194&amp;"")*(tbl_Finance[Xero Invoice No]&lt;&gt;"")*tbl_Finance[Date]))=0,"",SUMPRODUCT(MAX((tbl_Finance[Job Number]=C194&amp;"")*(tbl_Finance[Xero Invoice No]&lt;&gt;"")*tbl_Finance[Date]))),""))</f>
        <v/>
      </c>
      <c r="B194" s="25">
        <f>IF(C194="","",IF(COUNTIFS(tbl_Finance[Job Number],C194&amp;"",tbl_Finance[Xero Invoice No],"&lt;&gt;")=0,"",IFERROR(IF(COUNTIFS(tbl_Finance[Job Number],C194&amp;"",tbl_Finance[Xero Invoice No],LOOKUP(2,1/((tbl_Finance[Job Number]=C194&amp;"")*(tbl_Finance[Xero Invoice No]&lt;&gt;"")),tbl_Finance[Xero Invoice No]))=COUNTIFS(tbl_Finance[Job Number],C194&amp;"",tbl_Finance[Xero Invoice No],"&lt;&gt;"),LOOKUP(2,1/((tbl_Finance[Job Number]=C194&amp;"")*(tbl_Finance[Xero Invoice No]&lt;&gt;"")),tbl_Finance[Xero Invoice No]),LOOKUP(2,1/((tbl_Finance[Job Number]=C194&amp;"")*(tbl_Finance[Xero Invoice No]&lt;&gt;"")),tbl_Finance[Xero Invoice No])&amp;" +more"),"")))</f>
        <v/>
      </c>
      <c r="C194" s="24" t="n"/>
      <c r="D194" s="25">
        <f>IF(C194="","",IF(COUNTIF(lst_Jobs,C194&amp;"")&gt;0,"OK","CHECK"))</f>
        <v/>
      </c>
      <c r="E194" s="25">
        <f>IF(C194="","",IFERROR(INDEX(lst_JobName,MATCH(C194&amp;"",lst_Jobs,0)),""))</f>
        <v/>
      </c>
      <c r="F194" s="25">
        <f>IF(C194="","",IFERROR(INDEX(tbl_Finance[Client],MATCH(C194&amp;"",tbl_Finance[Job Number],0)),""))</f>
        <v/>
      </c>
      <c r="G194" s="28">
        <f>IF(C194="","",COUNTIFS(tbl_Finance[Job Number],C194&amp;"",tbl_Finance[Ex GST],"&lt;&gt;"))</f>
        <v/>
      </c>
      <c r="H194" s="27">
        <f>IF(C194="","",SUMIFS(tbl_Finance[Ex GST],tbl_Finance[Job Number],C194&amp;""))</f>
        <v/>
      </c>
      <c r="I194" s="27">
        <f>IF(C194="","",SUMIFS(tbl_Finance[Ex GST],tbl_Finance[Job Number],C194&amp;"",tbl_Finance[Xero Invoice No],"&lt;&gt;"))</f>
        <v/>
      </c>
      <c r="J194" s="27">
        <f>IF(C194="","",H194-I194)</f>
        <v/>
      </c>
      <c r="K194" s="25">
        <f>IF(C194="","",IF(G194=0,"not invoiced yet",SUBSTITUTE(TRIM(IF(COUNTIFS(tbl_Finance[Job Number],C194&amp;"",tbl_Finance[Cost Centre],"ONSITE")&gt;0,"ONSITE ","")&amp;IF(COUNTIFS(tbl_Finance[Job Number],C194&amp;"",tbl_Finance[Cost Centre],"PRODUCTION")&gt;0,"PRODUCTION ","")&amp;IF(COUNTIFS(tbl_Finance[Job Number],C194&amp;"",tbl_Finance[Cost Centre],"VIDEO")&gt;0,"VIDEO ","")&amp;IF(COUNTIFS(tbl_Finance[Job Number],C194&amp;"",tbl_Finance[Cost Centre],"INTEGRATION")&gt;0,"INTEGRATION ","")&amp;IF(COUNTIFS(tbl_Finance[Job Number],C194&amp;"",tbl_Finance[Cost Centre],"CONSULTING")&gt;0,"CONSULTING ","")&amp;IF(COUNTIFS(tbl_Finance[Job Number],C194&amp;"",tbl_Finance[Cost Centre],"CTS")&gt;0,"CTS ",""))," ",", ")))</f>
        <v/>
      </c>
      <c r="L194" s="24" t="n"/>
      <c r="M194" s="25">
        <f>IF(L194="","",HYPERLINK(IF(LEFT(L194,4)="http",L194,set_QwilrBase&amp;L194),"Open quote"))</f>
        <v/>
      </c>
      <c r="N194" s="26" t="n"/>
      <c r="O194" s="26" t="n"/>
      <c r="P194" s="26" t="n"/>
      <c r="Q194" s="25">
        <f>IF(C194="","",IF(N(N194)+N(O194)+N(P194)=0,"Not split",IF(ROUND(N(N194)+N(O194)+N(P194),2)=ROUND(H194,2),"OK","MISMATCH")))</f>
        <v/>
      </c>
      <c r="R194" s="26" t="n"/>
      <c r="S194" s="26" t="n"/>
      <c r="T194" s="26" t="n"/>
      <c r="U194" s="27">
        <f>IF(C194="","",N(R194)+N(S194)+N(T194))</f>
        <v/>
      </c>
      <c r="V194" s="27">
        <f>IF(C194="","",H194-U194)</f>
        <v/>
      </c>
      <c r="W194" s="29">
        <f>IFERROR(V194/H194,"")</f>
        <v/>
      </c>
      <c r="X194" s="24" t="n"/>
    </row>
    <row r="195" ht="15" customHeight="1">
      <c r="A195" s="63">
        <f>IF(C195="","",IFERROR(IF(SUMPRODUCT(MAX((tbl_Finance[Job Number]=C195&amp;"")*(tbl_Finance[Xero Invoice No]&lt;&gt;"")*tbl_Finance[Date]))=0,"",SUMPRODUCT(MAX((tbl_Finance[Job Number]=C195&amp;"")*(tbl_Finance[Xero Invoice No]&lt;&gt;"")*tbl_Finance[Date]))),""))</f>
        <v/>
      </c>
      <c r="B195" s="25">
        <f>IF(C195="","",IF(COUNTIFS(tbl_Finance[Job Number],C195&amp;"",tbl_Finance[Xero Invoice No],"&lt;&gt;")=0,"",IFERROR(IF(COUNTIFS(tbl_Finance[Job Number],C195&amp;"",tbl_Finance[Xero Invoice No],LOOKUP(2,1/((tbl_Finance[Job Number]=C195&amp;"")*(tbl_Finance[Xero Invoice No]&lt;&gt;"")),tbl_Finance[Xero Invoice No]))=COUNTIFS(tbl_Finance[Job Number],C195&amp;"",tbl_Finance[Xero Invoice No],"&lt;&gt;"),LOOKUP(2,1/((tbl_Finance[Job Number]=C195&amp;"")*(tbl_Finance[Xero Invoice No]&lt;&gt;"")),tbl_Finance[Xero Invoice No]),LOOKUP(2,1/((tbl_Finance[Job Number]=C195&amp;"")*(tbl_Finance[Xero Invoice No]&lt;&gt;"")),tbl_Finance[Xero Invoice No])&amp;" +more"),"")))</f>
        <v/>
      </c>
      <c r="C195" s="24" t="n"/>
      <c r="D195" s="25">
        <f>IF(C195="","",IF(COUNTIF(lst_Jobs,C195&amp;"")&gt;0,"OK","CHECK"))</f>
        <v/>
      </c>
      <c r="E195" s="25">
        <f>IF(C195="","",IFERROR(INDEX(lst_JobName,MATCH(C195&amp;"",lst_Jobs,0)),""))</f>
        <v/>
      </c>
      <c r="F195" s="25">
        <f>IF(C195="","",IFERROR(INDEX(tbl_Finance[Client],MATCH(C195&amp;"",tbl_Finance[Job Number],0)),""))</f>
        <v/>
      </c>
      <c r="G195" s="28">
        <f>IF(C195="","",COUNTIFS(tbl_Finance[Job Number],C195&amp;"",tbl_Finance[Ex GST],"&lt;&gt;"))</f>
        <v/>
      </c>
      <c r="H195" s="27">
        <f>IF(C195="","",SUMIFS(tbl_Finance[Ex GST],tbl_Finance[Job Number],C195&amp;""))</f>
        <v/>
      </c>
      <c r="I195" s="27">
        <f>IF(C195="","",SUMIFS(tbl_Finance[Ex GST],tbl_Finance[Job Number],C195&amp;"",tbl_Finance[Xero Invoice No],"&lt;&gt;"))</f>
        <v/>
      </c>
      <c r="J195" s="27">
        <f>IF(C195="","",H195-I195)</f>
        <v/>
      </c>
      <c r="K195" s="25">
        <f>IF(C195="","",IF(G195=0,"not invoiced yet",SUBSTITUTE(TRIM(IF(COUNTIFS(tbl_Finance[Job Number],C195&amp;"",tbl_Finance[Cost Centre],"ONSITE")&gt;0,"ONSITE ","")&amp;IF(COUNTIFS(tbl_Finance[Job Number],C195&amp;"",tbl_Finance[Cost Centre],"PRODUCTION")&gt;0,"PRODUCTION ","")&amp;IF(COUNTIFS(tbl_Finance[Job Number],C195&amp;"",tbl_Finance[Cost Centre],"VIDEO")&gt;0,"VIDEO ","")&amp;IF(COUNTIFS(tbl_Finance[Job Number],C195&amp;"",tbl_Finance[Cost Centre],"INTEGRATION")&gt;0,"INTEGRATION ","")&amp;IF(COUNTIFS(tbl_Finance[Job Number],C195&amp;"",tbl_Finance[Cost Centre],"CONSULTING")&gt;0,"CONSULTING ","")&amp;IF(COUNTIFS(tbl_Finance[Job Number],C195&amp;"",tbl_Finance[Cost Centre],"CTS")&gt;0,"CTS ",""))," ",", ")))</f>
        <v/>
      </c>
      <c r="L195" s="24" t="n"/>
      <c r="M195" s="25">
        <f>IF(L195="","",HYPERLINK(IF(LEFT(L195,4)="http",L195,set_QwilrBase&amp;L195),"Open quote"))</f>
        <v/>
      </c>
      <c r="N195" s="26" t="n"/>
      <c r="O195" s="26" t="n"/>
      <c r="P195" s="26" t="n"/>
      <c r="Q195" s="25">
        <f>IF(C195="","",IF(N(N195)+N(O195)+N(P195)=0,"Not split",IF(ROUND(N(N195)+N(O195)+N(P195),2)=ROUND(H195,2),"OK","MISMATCH")))</f>
        <v/>
      </c>
      <c r="R195" s="26" t="n"/>
      <c r="S195" s="26" t="n"/>
      <c r="T195" s="26" t="n"/>
      <c r="U195" s="27">
        <f>IF(C195="","",N(R195)+N(S195)+N(T195))</f>
        <v/>
      </c>
      <c r="V195" s="27">
        <f>IF(C195="","",H195-U195)</f>
        <v/>
      </c>
      <c r="W195" s="29">
        <f>IFERROR(V195/H195,"")</f>
        <v/>
      </c>
      <c r="X195" s="24" t="n"/>
    </row>
    <row r="196" ht="15" customHeight="1">
      <c r="A196" s="63">
        <f>IF(C196="","",IFERROR(IF(SUMPRODUCT(MAX((tbl_Finance[Job Number]=C196&amp;"")*(tbl_Finance[Xero Invoice No]&lt;&gt;"")*tbl_Finance[Date]))=0,"",SUMPRODUCT(MAX((tbl_Finance[Job Number]=C196&amp;"")*(tbl_Finance[Xero Invoice No]&lt;&gt;"")*tbl_Finance[Date]))),""))</f>
        <v/>
      </c>
      <c r="B196" s="25">
        <f>IF(C196="","",IF(COUNTIFS(tbl_Finance[Job Number],C196&amp;"",tbl_Finance[Xero Invoice No],"&lt;&gt;")=0,"",IFERROR(IF(COUNTIFS(tbl_Finance[Job Number],C196&amp;"",tbl_Finance[Xero Invoice No],LOOKUP(2,1/((tbl_Finance[Job Number]=C196&amp;"")*(tbl_Finance[Xero Invoice No]&lt;&gt;"")),tbl_Finance[Xero Invoice No]))=COUNTIFS(tbl_Finance[Job Number],C196&amp;"",tbl_Finance[Xero Invoice No],"&lt;&gt;"),LOOKUP(2,1/((tbl_Finance[Job Number]=C196&amp;"")*(tbl_Finance[Xero Invoice No]&lt;&gt;"")),tbl_Finance[Xero Invoice No]),LOOKUP(2,1/((tbl_Finance[Job Number]=C196&amp;"")*(tbl_Finance[Xero Invoice No]&lt;&gt;"")),tbl_Finance[Xero Invoice No])&amp;" +more"),"")))</f>
        <v/>
      </c>
      <c r="C196" s="24" t="n"/>
      <c r="D196" s="25">
        <f>IF(C196="","",IF(COUNTIF(lst_Jobs,C196&amp;"")&gt;0,"OK","CHECK"))</f>
        <v/>
      </c>
      <c r="E196" s="25">
        <f>IF(C196="","",IFERROR(INDEX(lst_JobName,MATCH(C196&amp;"",lst_Jobs,0)),""))</f>
        <v/>
      </c>
      <c r="F196" s="25">
        <f>IF(C196="","",IFERROR(INDEX(tbl_Finance[Client],MATCH(C196&amp;"",tbl_Finance[Job Number],0)),""))</f>
        <v/>
      </c>
      <c r="G196" s="28">
        <f>IF(C196="","",COUNTIFS(tbl_Finance[Job Number],C196&amp;"",tbl_Finance[Ex GST],"&lt;&gt;"))</f>
        <v/>
      </c>
      <c r="H196" s="27">
        <f>IF(C196="","",SUMIFS(tbl_Finance[Ex GST],tbl_Finance[Job Number],C196&amp;""))</f>
        <v/>
      </c>
      <c r="I196" s="27">
        <f>IF(C196="","",SUMIFS(tbl_Finance[Ex GST],tbl_Finance[Job Number],C196&amp;"",tbl_Finance[Xero Invoice No],"&lt;&gt;"))</f>
        <v/>
      </c>
      <c r="J196" s="27">
        <f>IF(C196="","",H196-I196)</f>
        <v/>
      </c>
      <c r="K196" s="25">
        <f>IF(C196="","",IF(G196=0,"not invoiced yet",SUBSTITUTE(TRIM(IF(COUNTIFS(tbl_Finance[Job Number],C196&amp;"",tbl_Finance[Cost Centre],"ONSITE")&gt;0,"ONSITE ","")&amp;IF(COUNTIFS(tbl_Finance[Job Number],C196&amp;"",tbl_Finance[Cost Centre],"PRODUCTION")&gt;0,"PRODUCTION ","")&amp;IF(COUNTIFS(tbl_Finance[Job Number],C196&amp;"",tbl_Finance[Cost Centre],"VIDEO")&gt;0,"VIDEO ","")&amp;IF(COUNTIFS(tbl_Finance[Job Number],C196&amp;"",tbl_Finance[Cost Centre],"INTEGRATION")&gt;0,"INTEGRATION ","")&amp;IF(COUNTIFS(tbl_Finance[Job Number],C196&amp;"",tbl_Finance[Cost Centre],"CONSULTING")&gt;0,"CONSULTING ","")&amp;IF(COUNTIFS(tbl_Finance[Job Number],C196&amp;"",tbl_Finance[Cost Centre],"CTS")&gt;0,"CTS ",""))," ",", ")))</f>
        <v/>
      </c>
      <c r="L196" s="24" t="n"/>
      <c r="M196" s="25">
        <f>IF(L196="","",HYPERLINK(IF(LEFT(L196,4)="http",L196,set_QwilrBase&amp;L196),"Open quote"))</f>
        <v/>
      </c>
      <c r="N196" s="26" t="n"/>
      <c r="O196" s="26" t="n"/>
      <c r="P196" s="26" t="n"/>
      <c r="Q196" s="25">
        <f>IF(C196="","",IF(N(N196)+N(O196)+N(P196)=0,"Not split",IF(ROUND(N(N196)+N(O196)+N(P196),2)=ROUND(H196,2),"OK","MISMATCH")))</f>
        <v/>
      </c>
      <c r="R196" s="26" t="n"/>
      <c r="S196" s="26" t="n"/>
      <c r="T196" s="26" t="n"/>
      <c r="U196" s="27">
        <f>IF(C196="","",N(R196)+N(S196)+N(T196))</f>
        <v/>
      </c>
      <c r="V196" s="27">
        <f>IF(C196="","",H196-U196)</f>
        <v/>
      </c>
      <c r="W196" s="29">
        <f>IFERROR(V196/H196,"")</f>
        <v/>
      </c>
      <c r="X196" s="24" t="n"/>
    </row>
    <row r="197" ht="15" customHeight="1">
      <c r="A197" s="63">
        <f>IF(C197="","",IFERROR(IF(SUMPRODUCT(MAX((tbl_Finance[Job Number]=C197&amp;"")*(tbl_Finance[Xero Invoice No]&lt;&gt;"")*tbl_Finance[Date]))=0,"",SUMPRODUCT(MAX((tbl_Finance[Job Number]=C197&amp;"")*(tbl_Finance[Xero Invoice No]&lt;&gt;"")*tbl_Finance[Date]))),""))</f>
        <v/>
      </c>
      <c r="B197" s="25">
        <f>IF(C197="","",IF(COUNTIFS(tbl_Finance[Job Number],C197&amp;"",tbl_Finance[Xero Invoice No],"&lt;&gt;")=0,"",IFERROR(IF(COUNTIFS(tbl_Finance[Job Number],C197&amp;"",tbl_Finance[Xero Invoice No],LOOKUP(2,1/((tbl_Finance[Job Number]=C197&amp;"")*(tbl_Finance[Xero Invoice No]&lt;&gt;"")),tbl_Finance[Xero Invoice No]))=COUNTIFS(tbl_Finance[Job Number],C197&amp;"",tbl_Finance[Xero Invoice No],"&lt;&gt;"),LOOKUP(2,1/((tbl_Finance[Job Number]=C197&amp;"")*(tbl_Finance[Xero Invoice No]&lt;&gt;"")),tbl_Finance[Xero Invoice No]),LOOKUP(2,1/((tbl_Finance[Job Number]=C197&amp;"")*(tbl_Finance[Xero Invoice No]&lt;&gt;"")),tbl_Finance[Xero Invoice No])&amp;" +more"),"")))</f>
        <v/>
      </c>
      <c r="C197" s="24" t="n"/>
      <c r="D197" s="25">
        <f>IF(C197="","",IF(COUNTIF(lst_Jobs,C197&amp;"")&gt;0,"OK","CHECK"))</f>
        <v/>
      </c>
      <c r="E197" s="25">
        <f>IF(C197="","",IFERROR(INDEX(lst_JobName,MATCH(C197&amp;"",lst_Jobs,0)),""))</f>
        <v/>
      </c>
      <c r="F197" s="25">
        <f>IF(C197="","",IFERROR(INDEX(tbl_Finance[Client],MATCH(C197&amp;"",tbl_Finance[Job Number],0)),""))</f>
        <v/>
      </c>
      <c r="G197" s="28">
        <f>IF(C197="","",COUNTIFS(tbl_Finance[Job Number],C197&amp;"",tbl_Finance[Ex GST],"&lt;&gt;"))</f>
        <v/>
      </c>
      <c r="H197" s="27">
        <f>IF(C197="","",SUMIFS(tbl_Finance[Ex GST],tbl_Finance[Job Number],C197&amp;""))</f>
        <v/>
      </c>
      <c r="I197" s="27">
        <f>IF(C197="","",SUMIFS(tbl_Finance[Ex GST],tbl_Finance[Job Number],C197&amp;"",tbl_Finance[Xero Invoice No],"&lt;&gt;"))</f>
        <v/>
      </c>
      <c r="J197" s="27">
        <f>IF(C197="","",H197-I197)</f>
        <v/>
      </c>
      <c r="K197" s="25">
        <f>IF(C197="","",IF(G197=0,"not invoiced yet",SUBSTITUTE(TRIM(IF(COUNTIFS(tbl_Finance[Job Number],C197&amp;"",tbl_Finance[Cost Centre],"ONSITE")&gt;0,"ONSITE ","")&amp;IF(COUNTIFS(tbl_Finance[Job Number],C197&amp;"",tbl_Finance[Cost Centre],"PRODUCTION")&gt;0,"PRODUCTION ","")&amp;IF(COUNTIFS(tbl_Finance[Job Number],C197&amp;"",tbl_Finance[Cost Centre],"VIDEO")&gt;0,"VIDEO ","")&amp;IF(COUNTIFS(tbl_Finance[Job Number],C197&amp;"",tbl_Finance[Cost Centre],"INTEGRATION")&gt;0,"INTEGRATION ","")&amp;IF(COUNTIFS(tbl_Finance[Job Number],C197&amp;"",tbl_Finance[Cost Centre],"CONSULTING")&gt;0,"CONSULTING ","")&amp;IF(COUNTIFS(tbl_Finance[Job Number],C197&amp;"",tbl_Finance[Cost Centre],"CTS")&gt;0,"CTS ",""))," ",", ")))</f>
        <v/>
      </c>
      <c r="L197" s="24" t="n"/>
      <c r="M197" s="25">
        <f>IF(L197="","",HYPERLINK(IF(LEFT(L197,4)="http",L197,set_QwilrBase&amp;L197),"Open quote"))</f>
        <v/>
      </c>
      <c r="N197" s="26" t="n"/>
      <c r="O197" s="26" t="n"/>
      <c r="P197" s="26" t="n"/>
      <c r="Q197" s="25">
        <f>IF(C197="","",IF(N(N197)+N(O197)+N(P197)=0,"Not split",IF(ROUND(N(N197)+N(O197)+N(P197),2)=ROUND(H197,2),"OK","MISMATCH")))</f>
        <v/>
      </c>
      <c r="R197" s="26" t="n"/>
      <c r="S197" s="26" t="n"/>
      <c r="T197" s="26" t="n"/>
      <c r="U197" s="27">
        <f>IF(C197="","",N(R197)+N(S197)+N(T197))</f>
        <v/>
      </c>
      <c r="V197" s="27">
        <f>IF(C197="","",H197-U197)</f>
        <v/>
      </c>
      <c r="W197" s="29">
        <f>IFERROR(V197/H197,"")</f>
        <v/>
      </c>
      <c r="X197" s="24" t="n"/>
    </row>
    <row r="198" ht="15" customHeight="1">
      <c r="A198" s="63">
        <f>IF(C198="","",IFERROR(IF(SUMPRODUCT(MAX((tbl_Finance[Job Number]=C198&amp;"")*(tbl_Finance[Xero Invoice No]&lt;&gt;"")*tbl_Finance[Date]))=0,"",SUMPRODUCT(MAX((tbl_Finance[Job Number]=C198&amp;"")*(tbl_Finance[Xero Invoice No]&lt;&gt;"")*tbl_Finance[Date]))),""))</f>
        <v/>
      </c>
      <c r="B198" s="25">
        <f>IF(C198="","",IF(COUNTIFS(tbl_Finance[Job Number],C198&amp;"",tbl_Finance[Xero Invoice No],"&lt;&gt;")=0,"",IFERROR(IF(COUNTIFS(tbl_Finance[Job Number],C198&amp;"",tbl_Finance[Xero Invoice No],LOOKUP(2,1/((tbl_Finance[Job Number]=C198&amp;"")*(tbl_Finance[Xero Invoice No]&lt;&gt;"")),tbl_Finance[Xero Invoice No]))=COUNTIFS(tbl_Finance[Job Number],C198&amp;"",tbl_Finance[Xero Invoice No],"&lt;&gt;"),LOOKUP(2,1/((tbl_Finance[Job Number]=C198&amp;"")*(tbl_Finance[Xero Invoice No]&lt;&gt;"")),tbl_Finance[Xero Invoice No]),LOOKUP(2,1/((tbl_Finance[Job Number]=C198&amp;"")*(tbl_Finance[Xero Invoice No]&lt;&gt;"")),tbl_Finance[Xero Invoice No])&amp;" +more"),"")))</f>
        <v/>
      </c>
      <c r="C198" s="24" t="n"/>
      <c r="D198" s="25">
        <f>IF(C198="","",IF(COUNTIF(lst_Jobs,C198&amp;"")&gt;0,"OK","CHECK"))</f>
        <v/>
      </c>
      <c r="E198" s="25">
        <f>IF(C198="","",IFERROR(INDEX(lst_JobName,MATCH(C198&amp;"",lst_Jobs,0)),""))</f>
        <v/>
      </c>
      <c r="F198" s="25">
        <f>IF(C198="","",IFERROR(INDEX(tbl_Finance[Client],MATCH(C198&amp;"",tbl_Finance[Job Number],0)),""))</f>
        <v/>
      </c>
      <c r="G198" s="28">
        <f>IF(C198="","",COUNTIFS(tbl_Finance[Job Number],C198&amp;"",tbl_Finance[Ex GST],"&lt;&gt;"))</f>
        <v/>
      </c>
      <c r="H198" s="27">
        <f>IF(C198="","",SUMIFS(tbl_Finance[Ex GST],tbl_Finance[Job Number],C198&amp;""))</f>
        <v/>
      </c>
      <c r="I198" s="27">
        <f>IF(C198="","",SUMIFS(tbl_Finance[Ex GST],tbl_Finance[Job Number],C198&amp;"",tbl_Finance[Xero Invoice No],"&lt;&gt;"))</f>
        <v/>
      </c>
      <c r="J198" s="27">
        <f>IF(C198="","",H198-I198)</f>
        <v/>
      </c>
      <c r="K198" s="25">
        <f>IF(C198="","",IF(G198=0,"not invoiced yet",SUBSTITUTE(TRIM(IF(COUNTIFS(tbl_Finance[Job Number],C198&amp;"",tbl_Finance[Cost Centre],"ONSITE")&gt;0,"ONSITE ","")&amp;IF(COUNTIFS(tbl_Finance[Job Number],C198&amp;"",tbl_Finance[Cost Centre],"PRODUCTION")&gt;0,"PRODUCTION ","")&amp;IF(COUNTIFS(tbl_Finance[Job Number],C198&amp;"",tbl_Finance[Cost Centre],"VIDEO")&gt;0,"VIDEO ","")&amp;IF(COUNTIFS(tbl_Finance[Job Number],C198&amp;"",tbl_Finance[Cost Centre],"INTEGRATION")&gt;0,"INTEGRATION ","")&amp;IF(COUNTIFS(tbl_Finance[Job Number],C198&amp;"",tbl_Finance[Cost Centre],"CONSULTING")&gt;0,"CONSULTING ","")&amp;IF(COUNTIFS(tbl_Finance[Job Number],C198&amp;"",tbl_Finance[Cost Centre],"CTS")&gt;0,"CTS ",""))," ",", ")))</f>
        <v/>
      </c>
      <c r="L198" s="24" t="n"/>
      <c r="M198" s="25">
        <f>IF(L198="","",HYPERLINK(IF(LEFT(L198,4)="http",L198,set_QwilrBase&amp;L198),"Open quote"))</f>
        <v/>
      </c>
      <c r="N198" s="26" t="n"/>
      <c r="O198" s="26" t="n"/>
      <c r="P198" s="26" t="n"/>
      <c r="Q198" s="25">
        <f>IF(C198="","",IF(N(N198)+N(O198)+N(P198)=0,"Not split",IF(ROUND(N(N198)+N(O198)+N(P198),2)=ROUND(H198,2),"OK","MISMATCH")))</f>
        <v/>
      </c>
      <c r="R198" s="26" t="n"/>
      <c r="S198" s="26" t="n"/>
      <c r="T198" s="26" t="n"/>
      <c r="U198" s="27">
        <f>IF(C198="","",N(R198)+N(S198)+N(T198))</f>
        <v/>
      </c>
      <c r="V198" s="27">
        <f>IF(C198="","",H198-U198)</f>
        <v/>
      </c>
      <c r="W198" s="29">
        <f>IFERROR(V198/H198,"")</f>
        <v/>
      </c>
      <c r="X198" s="24" t="n"/>
    </row>
    <row r="199" ht="15" customHeight="1">
      <c r="A199" s="63">
        <f>IF(C199="","",IFERROR(IF(SUMPRODUCT(MAX((tbl_Finance[Job Number]=C199&amp;"")*(tbl_Finance[Xero Invoice No]&lt;&gt;"")*tbl_Finance[Date]))=0,"",SUMPRODUCT(MAX((tbl_Finance[Job Number]=C199&amp;"")*(tbl_Finance[Xero Invoice No]&lt;&gt;"")*tbl_Finance[Date]))),""))</f>
        <v/>
      </c>
      <c r="B199" s="25">
        <f>IF(C199="","",IF(COUNTIFS(tbl_Finance[Job Number],C199&amp;"",tbl_Finance[Xero Invoice No],"&lt;&gt;")=0,"",IFERROR(IF(COUNTIFS(tbl_Finance[Job Number],C199&amp;"",tbl_Finance[Xero Invoice No],LOOKUP(2,1/((tbl_Finance[Job Number]=C199&amp;"")*(tbl_Finance[Xero Invoice No]&lt;&gt;"")),tbl_Finance[Xero Invoice No]))=COUNTIFS(tbl_Finance[Job Number],C199&amp;"",tbl_Finance[Xero Invoice No],"&lt;&gt;"),LOOKUP(2,1/((tbl_Finance[Job Number]=C199&amp;"")*(tbl_Finance[Xero Invoice No]&lt;&gt;"")),tbl_Finance[Xero Invoice No]),LOOKUP(2,1/((tbl_Finance[Job Number]=C199&amp;"")*(tbl_Finance[Xero Invoice No]&lt;&gt;"")),tbl_Finance[Xero Invoice No])&amp;" +more"),"")))</f>
        <v/>
      </c>
      <c r="C199" s="24" t="n"/>
      <c r="D199" s="25">
        <f>IF(C199="","",IF(COUNTIF(lst_Jobs,C199&amp;"")&gt;0,"OK","CHECK"))</f>
        <v/>
      </c>
      <c r="E199" s="25">
        <f>IF(C199="","",IFERROR(INDEX(lst_JobName,MATCH(C199&amp;"",lst_Jobs,0)),""))</f>
        <v/>
      </c>
      <c r="F199" s="25">
        <f>IF(C199="","",IFERROR(INDEX(tbl_Finance[Client],MATCH(C199&amp;"",tbl_Finance[Job Number],0)),""))</f>
        <v/>
      </c>
      <c r="G199" s="28">
        <f>IF(C199="","",COUNTIFS(tbl_Finance[Job Number],C199&amp;"",tbl_Finance[Ex GST],"&lt;&gt;"))</f>
        <v/>
      </c>
      <c r="H199" s="27">
        <f>IF(C199="","",SUMIFS(tbl_Finance[Ex GST],tbl_Finance[Job Number],C199&amp;""))</f>
        <v/>
      </c>
      <c r="I199" s="27">
        <f>IF(C199="","",SUMIFS(tbl_Finance[Ex GST],tbl_Finance[Job Number],C199&amp;"",tbl_Finance[Xero Invoice No],"&lt;&gt;"))</f>
        <v/>
      </c>
      <c r="J199" s="27">
        <f>IF(C199="","",H199-I199)</f>
        <v/>
      </c>
      <c r="K199" s="25">
        <f>IF(C199="","",IF(G199=0,"not invoiced yet",SUBSTITUTE(TRIM(IF(COUNTIFS(tbl_Finance[Job Number],C199&amp;"",tbl_Finance[Cost Centre],"ONSITE")&gt;0,"ONSITE ","")&amp;IF(COUNTIFS(tbl_Finance[Job Number],C199&amp;"",tbl_Finance[Cost Centre],"PRODUCTION")&gt;0,"PRODUCTION ","")&amp;IF(COUNTIFS(tbl_Finance[Job Number],C199&amp;"",tbl_Finance[Cost Centre],"VIDEO")&gt;0,"VIDEO ","")&amp;IF(COUNTIFS(tbl_Finance[Job Number],C199&amp;"",tbl_Finance[Cost Centre],"INTEGRATION")&gt;0,"INTEGRATION ","")&amp;IF(COUNTIFS(tbl_Finance[Job Number],C199&amp;"",tbl_Finance[Cost Centre],"CONSULTING")&gt;0,"CONSULTING ","")&amp;IF(COUNTIFS(tbl_Finance[Job Number],C199&amp;"",tbl_Finance[Cost Centre],"CTS")&gt;0,"CTS ",""))," ",", ")))</f>
        <v/>
      </c>
      <c r="L199" s="24" t="n"/>
      <c r="M199" s="25">
        <f>IF(L199="","",HYPERLINK(IF(LEFT(L199,4)="http",L199,set_QwilrBase&amp;L199),"Open quote"))</f>
        <v/>
      </c>
      <c r="N199" s="26" t="n"/>
      <c r="O199" s="26" t="n"/>
      <c r="P199" s="26" t="n"/>
      <c r="Q199" s="25">
        <f>IF(C199="","",IF(N(N199)+N(O199)+N(P199)=0,"Not split",IF(ROUND(N(N199)+N(O199)+N(P199),2)=ROUND(H199,2),"OK","MISMATCH")))</f>
        <v/>
      </c>
      <c r="R199" s="26" t="n"/>
      <c r="S199" s="26" t="n"/>
      <c r="T199" s="26" t="n"/>
      <c r="U199" s="27">
        <f>IF(C199="","",N(R199)+N(S199)+N(T199))</f>
        <v/>
      </c>
      <c r="V199" s="27">
        <f>IF(C199="","",H199-U199)</f>
        <v/>
      </c>
      <c r="W199" s="29">
        <f>IFERROR(V199/H199,"")</f>
        <v/>
      </c>
      <c r="X199" s="24" t="n"/>
    </row>
    <row r="200" ht="15" customHeight="1">
      <c r="A200" s="63">
        <f>IF(C200="","",IFERROR(IF(SUMPRODUCT(MAX((tbl_Finance[Job Number]=C200&amp;"")*(tbl_Finance[Xero Invoice No]&lt;&gt;"")*tbl_Finance[Date]))=0,"",SUMPRODUCT(MAX((tbl_Finance[Job Number]=C200&amp;"")*(tbl_Finance[Xero Invoice No]&lt;&gt;"")*tbl_Finance[Date]))),""))</f>
        <v/>
      </c>
      <c r="B200" s="25">
        <f>IF(C200="","",IF(COUNTIFS(tbl_Finance[Job Number],C200&amp;"",tbl_Finance[Xero Invoice No],"&lt;&gt;")=0,"",IFERROR(IF(COUNTIFS(tbl_Finance[Job Number],C200&amp;"",tbl_Finance[Xero Invoice No],LOOKUP(2,1/((tbl_Finance[Job Number]=C200&amp;"")*(tbl_Finance[Xero Invoice No]&lt;&gt;"")),tbl_Finance[Xero Invoice No]))=COUNTIFS(tbl_Finance[Job Number],C200&amp;"",tbl_Finance[Xero Invoice No],"&lt;&gt;"),LOOKUP(2,1/((tbl_Finance[Job Number]=C200&amp;"")*(tbl_Finance[Xero Invoice No]&lt;&gt;"")),tbl_Finance[Xero Invoice No]),LOOKUP(2,1/((tbl_Finance[Job Number]=C200&amp;"")*(tbl_Finance[Xero Invoice No]&lt;&gt;"")),tbl_Finance[Xero Invoice No])&amp;" +more"),"")))</f>
        <v/>
      </c>
      <c r="C200" s="24" t="n"/>
      <c r="D200" s="25">
        <f>IF(C200="","",IF(COUNTIF(lst_Jobs,C200&amp;"")&gt;0,"OK","CHECK"))</f>
        <v/>
      </c>
      <c r="E200" s="25">
        <f>IF(C200="","",IFERROR(INDEX(lst_JobName,MATCH(C200&amp;"",lst_Jobs,0)),""))</f>
        <v/>
      </c>
      <c r="F200" s="25">
        <f>IF(C200="","",IFERROR(INDEX(tbl_Finance[Client],MATCH(C200&amp;"",tbl_Finance[Job Number],0)),""))</f>
        <v/>
      </c>
      <c r="G200" s="28">
        <f>IF(C200="","",COUNTIFS(tbl_Finance[Job Number],C200&amp;"",tbl_Finance[Ex GST],"&lt;&gt;"))</f>
        <v/>
      </c>
      <c r="H200" s="27">
        <f>IF(C200="","",SUMIFS(tbl_Finance[Ex GST],tbl_Finance[Job Number],C200&amp;""))</f>
        <v/>
      </c>
      <c r="I200" s="27">
        <f>IF(C200="","",SUMIFS(tbl_Finance[Ex GST],tbl_Finance[Job Number],C200&amp;"",tbl_Finance[Xero Invoice No],"&lt;&gt;"))</f>
        <v/>
      </c>
      <c r="J200" s="27">
        <f>IF(C200="","",H200-I200)</f>
        <v/>
      </c>
      <c r="K200" s="25">
        <f>IF(C200="","",IF(G200=0,"not invoiced yet",SUBSTITUTE(TRIM(IF(COUNTIFS(tbl_Finance[Job Number],C200&amp;"",tbl_Finance[Cost Centre],"ONSITE")&gt;0,"ONSITE ","")&amp;IF(COUNTIFS(tbl_Finance[Job Number],C200&amp;"",tbl_Finance[Cost Centre],"PRODUCTION")&gt;0,"PRODUCTION ","")&amp;IF(COUNTIFS(tbl_Finance[Job Number],C200&amp;"",tbl_Finance[Cost Centre],"VIDEO")&gt;0,"VIDEO ","")&amp;IF(COUNTIFS(tbl_Finance[Job Number],C200&amp;"",tbl_Finance[Cost Centre],"INTEGRATION")&gt;0,"INTEGRATION ","")&amp;IF(COUNTIFS(tbl_Finance[Job Number],C200&amp;"",tbl_Finance[Cost Centre],"CONSULTING")&gt;0,"CONSULTING ","")&amp;IF(COUNTIFS(tbl_Finance[Job Number],C200&amp;"",tbl_Finance[Cost Centre],"CTS")&gt;0,"CTS ",""))," ",", ")))</f>
        <v/>
      </c>
      <c r="L200" s="24" t="n"/>
      <c r="M200" s="25">
        <f>IF(L200="","",HYPERLINK(IF(LEFT(L200,4)="http",L200,set_QwilrBase&amp;L200),"Open quote"))</f>
        <v/>
      </c>
      <c r="N200" s="26" t="n"/>
      <c r="O200" s="26" t="n"/>
      <c r="P200" s="26" t="n"/>
      <c r="Q200" s="25">
        <f>IF(C200="","",IF(N(N200)+N(O200)+N(P200)=0,"Not split",IF(ROUND(N(N200)+N(O200)+N(P200),2)=ROUND(H200,2),"OK","MISMATCH")))</f>
        <v/>
      </c>
      <c r="R200" s="26" t="n"/>
      <c r="S200" s="26" t="n"/>
      <c r="T200" s="26" t="n"/>
      <c r="U200" s="27">
        <f>IF(C200="","",N(R200)+N(S200)+N(T200))</f>
        <v/>
      </c>
      <c r="V200" s="27">
        <f>IF(C200="","",H200-U200)</f>
        <v/>
      </c>
      <c r="W200" s="29">
        <f>IFERROR(V200/H200,"")</f>
        <v/>
      </c>
      <c r="X200" s="24" t="n"/>
    </row>
    <row r="201" ht="15" customHeight="1">
      <c r="A201" s="63">
        <f>IF(C201="","",IFERROR(IF(SUMPRODUCT(MAX((tbl_Finance[Job Number]=C201&amp;"")*(tbl_Finance[Xero Invoice No]&lt;&gt;"")*tbl_Finance[Date]))=0,"",SUMPRODUCT(MAX((tbl_Finance[Job Number]=C201&amp;"")*(tbl_Finance[Xero Invoice No]&lt;&gt;"")*tbl_Finance[Date]))),""))</f>
        <v/>
      </c>
      <c r="B201" s="25">
        <f>IF(C201="","",IF(COUNTIFS(tbl_Finance[Job Number],C201&amp;"",tbl_Finance[Xero Invoice No],"&lt;&gt;")=0,"",IFERROR(IF(COUNTIFS(tbl_Finance[Job Number],C201&amp;"",tbl_Finance[Xero Invoice No],LOOKUP(2,1/((tbl_Finance[Job Number]=C201&amp;"")*(tbl_Finance[Xero Invoice No]&lt;&gt;"")),tbl_Finance[Xero Invoice No]))=COUNTIFS(tbl_Finance[Job Number],C201&amp;"",tbl_Finance[Xero Invoice No],"&lt;&gt;"),LOOKUP(2,1/((tbl_Finance[Job Number]=C201&amp;"")*(tbl_Finance[Xero Invoice No]&lt;&gt;"")),tbl_Finance[Xero Invoice No]),LOOKUP(2,1/((tbl_Finance[Job Number]=C201&amp;"")*(tbl_Finance[Xero Invoice No]&lt;&gt;"")),tbl_Finance[Xero Invoice No])&amp;" +more"),"")))</f>
        <v/>
      </c>
      <c r="C201" s="24" t="n"/>
      <c r="D201" s="25">
        <f>IF(C201="","",IF(COUNTIF(lst_Jobs,C201&amp;"")&gt;0,"OK","CHECK"))</f>
        <v/>
      </c>
      <c r="E201" s="25">
        <f>IF(C201="","",IFERROR(INDEX(lst_JobName,MATCH(C201&amp;"",lst_Jobs,0)),""))</f>
        <v/>
      </c>
      <c r="F201" s="25">
        <f>IF(C201="","",IFERROR(INDEX(tbl_Finance[Client],MATCH(C201&amp;"",tbl_Finance[Job Number],0)),""))</f>
        <v/>
      </c>
      <c r="G201" s="28">
        <f>IF(C201="","",COUNTIFS(tbl_Finance[Job Number],C201&amp;"",tbl_Finance[Ex GST],"&lt;&gt;"))</f>
        <v/>
      </c>
      <c r="H201" s="27">
        <f>IF(C201="","",SUMIFS(tbl_Finance[Ex GST],tbl_Finance[Job Number],C201&amp;""))</f>
        <v/>
      </c>
      <c r="I201" s="27">
        <f>IF(C201="","",SUMIFS(tbl_Finance[Ex GST],tbl_Finance[Job Number],C201&amp;"",tbl_Finance[Xero Invoice No],"&lt;&gt;"))</f>
        <v/>
      </c>
      <c r="J201" s="27">
        <f>IF(C201="","",H201-I201)</f>
        <v/>
      </c>
      <c r="K201" s="25">
        <f>IF(C201="","",IF(G201=0,"not invoiced yet",SUBSTITUTE(TRIM(IF(COUNTIFS(tbl_Finance[Job Number],C201&amp;"",tbl_Finance[Cost Centre],"ONSITE")&gt;0,"ONSITE ","")&amp;IF(COUNTIFS(tbl_Finance[Job Number],C201&amp;"",tbl_Finance[Cost Centre],"PRODUCTION")&gt;0,"PRODUCTION ","")&amp;IF(COUNTIFS(tbl_Finance[Job Number],C201&amp;"",tbl_Finance[Cost Centre],"VIDEO")&gt;0,"VIDEO ","")&amp;IF(COUNTIFS(tbl_Finance[Job Number],C201&amp;"",tbl_Finance[Cost Centre],"INTEGRATION")&gt;0,"INTEGRATION ","")&amp;IF(COUNTIFS(tbl_Finance[Job Number],C201&amp;"",tbl_Finance[Cost Centre],"CONSULTING")&gt;0,"CONSULTING ","")&amp;IF(COUNTIFS(tbl_Finance[Job Number],C201&amp;"",tbl_Finance[Cost Centre],"CTS")&gt;0,"CTS ",""))," ",", ")))</f>
        <v/>
      </c>
      <c r="L201" s="24" t="n"/>
      <c r="M201" s="25">
        <f>IF(L201="","",HYPERLINK(IF(LEFT(L201,4)="http",L201,set_QwilrBase&amp;L201),"Open quote"))</f>
        <v/>
      </c>
      <c r="N201" s="26" t="n"/>
      <c r="O201" s="26" t="n"/>
      <c r="P201" s="26" t="n"/>
      <c r="Q201" s="25">
        <f>IF(C201="","",IF(N(N201)+N(O201)+N(P201)=0,"Not split",IF(ROUND(N(N201)+N(O201)+N(P201),2)=ROUND(H201,2),"OK","MISMATCH")))</f>
        <v/>
      </c>
      <c r="R201" s="26" t="n"/>
      <c r="S201" s="26" t="n"/>
      <c r="T201" s="26" t="n"/>
      <c r="U201" s="27">
        <f>IF(C201="","",N(R201)+N(S201)+N(T201))</f>
        <v/>
      </c>
      <c r="V201" s="27">
        <f>IF(C201="","",H201-U201)</f>
        <v/>
      </c>
      <c r="W201" s="29">
        <f>IFERROR(V201/H201,"")</f>
        <v/>
      </c>
      <c r="X201" s="24" t="n"/>
    </row>
    <row r="202" ht="15" customHeight="1">
      <c r="A202" s="63">
        <f>IF(C202="","",IFERROR(IF(SUMPRODUCT(MAX((tbl_Finance[Job Number]=C202&amp;"")*(tbl_Finance[Xero Invoice No]&lt;&gt;"")*tbl_Finance[Date]))=0,"",SUMPRODUCT(MAX((tbl_Finance[Job Number]=C202&amp;"")*(tbl_Finance[Xero Invoice No]&lt;&gt;"")*tbl_Finance[Date]))),""))</f>
        <v/>
      </c>
      <c r="B202" s="25">
        <f>IF(C202="","",IF(COUNTIFS(tbl_Finance[Job Number],C202&amp;"",tbl_Finance[Xero Invoice No],"&lt;&gt;")=0,"",IFERROR(IF(COUNTIFS(tbl_Finance[Job Number],C202&amp;"",tbl_Finance[Xero Invoice No],LOOKUP(2,1/((tbl_Finance[Job Number]=C202&amp;"")*(tbl_Finance[Xero Invoice No]&lt;&gt;"")),tbl_Finance[Xero Invoice No]))=COUNTIFS(tbl_Finance[Job Number],C202&amp;"",tbl_Finance[Xero Invoice No],"&lt;&gt;"),LOOKUP(2,1/((tbl_Finance[Job Number]=C202&amp;"")*(tbl_Finance[Xero Invoice No]&lt;&gt;"")),tbl_Finance[Xero Invoice No]),LOOKUP(2,1/((tbl_Finance[Job Number]=C202&amp;"")*(tbl_Finance[Xero Invoice No]&lt;&gt;"")),tbl_Finance[Xero Invoice No])&amp;" +more"),"")))</f>
        <v/>
      </c>
      <c r="C202" s="24" t="n"/>
      <c r="D202" s="25">
        <f>IF(C202="","",IF(COUNTIF(lst_Jobs,C202&amp;"")&gt;0,"OK","CHECK"))</f>
        <v/>
      </c>
      <c r="E202" s="25">
        <f>IF(C202="","",IFERROR(INDEX(lst_JobName,MATCH(C202&amp;"",lst_Jobs,0)),""))</f>
        <v/>
      </c>
      <c r="F202" s="25">
        <f>IF(C202="","",IFERROR(INDEX(tbl_Finance[Client],MATCH(C202&amp;"",tbl_Finance[Job Number],0)),""))</f>
        <v/>
      </c>
      <c r="G202" s="28">
        <f>IF(C202="","",COUNTIFS(tbl_Finance[Job Number],C202&amp;"",tbl_Finance[Ex GST],"&lt;&gt;"))</f>
        <v/>
      </c>
      <c r="H202" s="27">
        <f>IF(C202="","",SUMIFS(tbl_Finance[Ex GST],tbl_Finance[Job Number],C202&amp;""))</f>
        <v/>
      </c>
      <c r="I202" s="27">
        <f>IF(C202="","",SUMIFS(tbl_Finance[Ex GST],tbl_Finance[Job Number],C202&amp;"",tbl_Finance[Xero Invoice No],"&lt;&gt;"))</f>
        <v/>
      </c>
      <c r="J202" s="27">
        <f>IF(C202="","",H202-I202)</f>
        <v/>
      </c>
      <c r="K202" s="25">
        <f>IF(C202="","",IF(G202=0,"not invoiced yet",SUBSTITUTE(TRIM(IF(COUNTIFS(tbl_Finance[Job Number],C202&amp;"",tbl_Finance[Cost Centre],"ONSITE")&gt;0,"ONSITE ","")&amp;IF(COUNTIFS(tbl_Finance[Job Number],C202&amp;"",tbl_Finance[Cost Centre],"PRODUCTION")&gt;0,"PRODUCTION ","")&amp;IF(COUNTIFS(tbl_Finance[Job Number],C202&amp;"",tbl_Finance[Cost Centre],"VIDEO")&gt;0,"VIDEO ","")&amp;IF(COUNTIFS(tbl_Finance[Job Number],C202&amp;"",tbl_Finance[Cost Centre],"INTEGRATION")&gt;0,"INTEGRATION ","")&amp;IF(COUNTIFS(tbl_Finance[Job Number],C202&amp;"",tbl_Finance[Cost Centre],"CONSULTING")&gt;0,"CONSULTING ","")&amp;IF(COUNTIFS(tbl_Finance[Job Number],C202&amp;"",tbl_Finance[Cost Centre],"CTS")&gt;0,"CTS ",""))," ",", ")))</f>
        <v/>
      </c>
      <c r="L202" s="24" t="n"/>
      <c r="M202" s="25">
        <f>IF(L202="","",HYPERLINK(IF(LEFT(L202,4)="http",L202,set_QwilrBase&amp;L202),"Open quote"))</f>
        <v/>
      </c>
      <c r="N202" s="26" t="n"/>
      <c r="O202" s="26" t="n"/>
      <c r="P202" s="26" t="n"/>
      <c r="Q202" s="25">
        <f>IF(C202="","",IF(N(N202)+N(O202)+N(P202)=0,"Not split",IF(ROUND(N(N202)+N(O202)+N(P202),2)=ROUND(H202,2),"OK","MISMATCH")))</f>
        <v/>
      </c>
      <c r="R202" s="26" t="n"/>
      <c r="S202" s="26" t="n"/>
      <c r="T202" s="26" t="n"/>
      <c r="U202" s="27">
        <f>IF(C202="","",N(R202)+N(S202)+N(T202))</f>
        <v/>
      </c>
      <c r="V202" s="27">
        <f>IF(C202="","",H202-U202)</f>
        <v/>
      </c>
      <c r="W202" s="29">
        <f>IFERROR(V202/H202,"")</f>
        <v/>
      </c>
      <c r="X202" s="24" t="n"/>
    </row>
    <row r="203" ht="15" customHeight="1">
      <c r="A203" s="63">
        <f>IF(C203="","",IFERROR(IF(SUMPRODUCT(MAX((tbl_Finance[Job Number]=C203&amp;"")*(tbl_Finance[Xero Invoice No]&lt;&gt;"")*tbl_Finance[Date]))=0,"",SUMPRODUCT(MAX((tbl_Finance[Job Number]=C203&amp;"")*(tbl_Finance[Xero Invoice No]&lt;&gt;"")*tbl_Finance[Date]))),""))</f>
        <v/>
      </c>
      <c r="B203" s="25">
        <f>IF(C203="","",IF(COUNTIFS(tbl_Finance[Job Number],C203&amp;"",tbl_Finance[Xero Invoice No],"&lt;&gt;")=0,"",IFERROR(IF(COUNTIFS(tbl_Finance[Job Number],C203&amp;"",tbl_Finance[Xero Invoice No],LOOKUP(2,1/((tbl_Finance[Job Number]=C203&amp;"")*(tbl_Finance[Xero Invoice No]&lt;&gt;"")),tbl_Finance[Xero Invoice No]))=COUNTIFS(tbl_Finance[Job Number],C203&amp;"",tbl_Finance[Xero Invoice No],"&lt;&gt;"),LOOKUP(2,1/((tbl_Finance[Job Number]=C203&amp;"")*(tbl_Finance[Xero Invoice No]&lt;&gt;"")),tbl_Finance[Xero Invoice No]),LOOKUP(2,1/((tbl_Finance[Job Number]=C203&amp;"")*(tbl_Finance[Xero Invoice No]&lt;&gt;"")),tbl_Finance[Xero Invoice No])&amp;" +more"),"")))</f>
        <v/>
      </c>
      <c r="C203" s="24" t="n"/>
      <c r="D203" s="25">
        <f>IF(C203="","",IF(COUNTIF(lst_Jobs,C203&amp;"")&gt;0,"OK","CHECK"))</f>
        <v/>
      </c>
      <c r="E203" s="25">
        <f>IF(C203="","",IFERROR(INDEX(lst_JobName,MATCH(C203&amp;"",lst_Jobs,0)),""))</f>
        <v/>
      </c>
      <c r="F203" s="25">
        <f>IF(C203="","",IFERROR(INDEX(tbl_Finance[Client],MATCH(C203&amp;"",tbl_Finance[Job Number],0)),""))</f>
        <v/>
      </c>
      <c r="G203" s="28">
        <f>IF(C203="","",COUNTIFS(tbl_Finance[Job Number],C203&amp;"",tbl_Finance[Ex GST],"&lt;&gt;"))</f>
        <v/>
      </c>
      <c r="H203" s="27">
        <f>IF(C203="","",SUMIFS(tbl_Finance[Ex GST],tbl_Finance[Job Number],C203&amp;""))</f>
        <v/>
      </c>
      <c r="I203" s="27">
        <f>IF(C203="","",SUMIFS(tbl_Finance[Ex GST],tbl_Finance[Job Number],C203&amp;"",tbl_Finance[Xero Invoice No],"&lt;&gt;"))</f>
        <v/>
      </c>
      <c r="J203" s="27">
        <f>IF(C203="","",H203-I203)</f>
        <v/>
      </c>
      <c r="K203" s="25">
        <f>IF(C203="","",IF(G203=0,"not invoiced yet",SUBSTITUTE(TRIM(IF(COUNTIFS(tbl_Finance[Job Number],C203&amp;"",tbl_Finance[Cost Centre],"ONSITE")&gt;0,"ONSITE ","")&amp;IF(COUNTIFS(tbl_Finance[Job Number],C203&amp;"",tbl_Finance[Cost Centre],"PRODUCTION")&gt;0,"PRODUCTION ","")&amp;IF(COUNTIFS(tbl_Finance[Job Number],C203&amp;"",tbl_Finance[Cost Centre],"VIDEO")&gt;0,"VIDEO ","")&amp;IF(COUNTIFS(tbl_Finance[Job Number],C203&amp;"",tbl_Finance[Cost Centre],"INTEGRATION")&gt;0,"INTEGRATION ","")&amp;IF(COUNTIFS(tbl_Finance[Job Number],C203&amp;"",tbl_Finance[Cost Centre],"CONSULTING")&gt;0,"CONSULTING ","")&amp;IF(COUNTIFS(tbl_Finance[Job Number],C203&amp;"",tbl_Finance[Cost Centre],"CTS")&gt;0,"CTS ",""))," ",", ")))</f>
        <v/>
      </c>
      <c r="L203" s="24" t="n"/>
      <c r="M203" s="25">
        <f>IF(L203="","",HYPERLINK(IF(LEFT(L203,4)="http",L203,set_QwilrBase&amp;L203),"Open quote"))</f>
        <v/>
      </c>
      <c r="N203" s="26" t="n"/>
      <c r="O203" s="26" t="n"/>
      <c r="P203" s="26" t="n"/>
      <c r="Q203" s="25">
        <f>IF(C203="","",IF(N(N203)+N(O203)+N(P203)=0,"Not split",IF(ROUND(N(N203)+N(O203)+N(P203),2)=ROUND(H203,2),"OK","MISMATCH")))</f>
        <v/>
      </c>
      <c r="R203" s="26" t="n"/>
      <c r="S203" s="26" t="n"/>
      <c r="T203" s="26" t="n"/>
      <c r="U203" s="27">
        <f>IF(C203="","",N(R203)+N(S203)+N(T203))</f>
        <v/>
      </c>
      <c r="V203" s="27">
        <f>IF(C203="","",H203-U203)</f>
        <v/>
      </c>
      <c r="W203" s="29">
        <f>IFERROR(V203/H203,"")</f>
        <v/>
      </c>
      <c r="X203" s="24" t="n"/>
    </row>
    <row r="204" ht="15" customHeight="1">
      <c r="A204" s="63">
        <f>IF(C204="","",IFERROR(IF(SUMPRODUCT(MAX((tbl_Finance[Job Number]=C204&amp;"")*(tbl_Finance[Xero Invoice No]&lt;&gt;"")*tbl_Finance[Date]))=0,"",SUMPRODUCT(MAX((tbl_Finance[Job Number]=C204&amp;"")*(tbl_Finance[Xero Invoice No]&lt;&gt;"")*tbl_Finance[Date]))),""))</f>
        <v/>
      </c>
      <c r="B204" s="25">
        <f>IF(C204="","",IF(COUNTIFS(tbl_Finance[Job Number],C204&amp;"",tbl_Finance[Xero Invoice No],"&lt;&gt;")=0,"",IFERROR(IF(COUNTIFS(tbl_Finance[Job Number],C204&amp;"",tbl_Finance[Xero Invoice No],LOOKUP(2,1/((tbl_Finance[Job Number]=C204&amp;"")*(tbl_Finance[Xero Invoice No]&lt;&gt;"")),tbl_Finance[Xero Invoice No]))=COUNTIFS(tbl_Finance[Job Number],C204&amp;"",tbl_Finance[Xero Invoice No],"&lt;&gt;"),LOOKUP(2,1/((tbl_Finance[Job Number]=C204&amp;"")*(tbl_Finance[Xero Invoice No]&lt;&gt;"")),tbl_Finance[Xero Invoice No]),LOOKUP(2,1/((tbl_Finance[Job Number]=C204&amp;"")*(tbl_Finance[Xero Invoice No]&lt;&gt;"")),tbl_Finance[Xero Invoice No])&amp;" +more"),"")))</f>
        <v/>
      </c>
      <c r="C204" s="24" t="n"/>
      <c r="D204" s="25">
        <f>IF(C204="","",IF(COUNTIF(lst_Jobs,C204&amp;"")&gt;0,"OK","CHECK"))</f>
        <v/>
      </c>
      <c r="E204" s="25">
        <f>IF(C204="","",IFERROR(INDEX(lst_JobName,MATCH(C204&amp;"",lst_Jobs,0)),""))</f>
        <v/>
      </c>
      <c r="F204" s="25">
        <f>IF(C204="","",IFERROR(INDEX(tbl_Finance[Client],MATCH(C204&amp;"",tbl_Finance[Job Number],0)),""))</f>
        <v/>
      </c>
      <c r="G204" s="28">
        <f>IF(C204="","",COUNTIFS(tbl_Finance[Job Number],C204&amp;"",tbl_Finance[Ex GST],"&lt;&gt;"))</f>
        <v/>
      </c>
      <c r="H204" s="27">
        <f>IF(C204="","",SUMIFS(tbl_Finance[Ex GST],tbl_Finance[Job Number],C204&amp;""))</f>
        <v/>
      </c>
      <c r="I204" s="27">
        <f>IF(C204="","",SUMIFS(tbl_Finance[Ex GST],tbl_Finance[Job Number],C204&amp;"",tbl_Finance[Xero Invoice No],"&lt;&gt;"))</f>
        <v/>
      </c>
      <c r="J204" s="27">
        <f>IF(C204="","",H204-I204)</f>
        <v/>
      </c>
      <c r="K204" s="25">
        <f>IF(C204="","",IF(G204=0,"not invoiced yet",SUBSTITUTE(TRIM(IF(COUNTIFS(tbl_Finance[Job Number],C204&amp;"",tbl_Finance[Cost Centre],"ONSITE")&gt;0,"ONSITE ","")&amp;IF(COUNTIFS(tbl_Finance[Job Number],C204&amp;"",tbl_Finance[Cost Centre],"PRODUCTION")&gt;0,"PRODUCTION ","")&amp;IF(COUNTIFS(tbl_Finance[Job Number],C204&amp;"",tbl_Finance[Cost Centre],"VIDEO")&gt;0,"VIDEO ","")&amp;IF(COUNTIFS(tbl_Finance[Job Number],C204&amp;"",tbl_Finance[Cost Centre],"INTEGRATION")&gt;0,"INTEGRATION ","")&amp;IF(COUNTIFS(tbl_Finance[Job Number],C204&amp;"",tbl_Finance[Cost Centre],"CONSULTING")&gt;0,"CONSULTING ","")&amp;IF(COUNTIFS(tbl_Finance[Job Number],C204&amp;"",tbl_Finance[Cost Centre],"CTS")&gt;0,"CTS ",""))," ",", ")))</f>
        <v/>
      </c>
      <c r="L204" s="24" t="n"/>
      <c r="M204" s="25">
        <f>IF(L204="","",HYPERLINK(IF(LEFT(L204,4)="http",L204,set_QwilrBase&amp;L204),"Open quote"))</f>
        <v/>
      </c>
      <c r="N204" s="26" t="n"/>
      <c r="O204" s="26" t="n"/>
      <c r="P204" s="26" t="n"/>
      <c r="Q204" s="25">
        <f>IF(C204="","",IF(N(N204)+N(O204)+N(P204)=0,"Not split",IF(ROUND(N(N204)+N(O204)+N(P204),2)=ROUND(H204,2),"OK","MISMATCH")))</f>
        <v/>
      </c>
      <c r="R204" s="26" t="n"/>
      <c r="S204" s="26" t="n"/>
      <c r="T204" s="26" t="n"/>
      <c r="U204" s="27">
        <f>IF(C204="","",N(R204)+N(S204)+N(T204))</f>
        <v/>
      </c>
      <c r="V204" s="27">
        <f>IF(C204="","",H204-U204)</f>
        <v/>
      </c>
      <c r="W204" s="29">
        <f>IFERROR(V204/H204,"")</f>
        <v/>
      </c>
      <c r="X204" s="24" t="n"/>
    </row>
    <row r="205" ht="15" customHeight="1">
      <c r="A205" s="63">
        <f>IF(C205="","",IFERROR(IF(SUMPRODUCT(MAX((tbl_Finance[Job Number]=C205&amp;"")*(tbl_Finance[Xero Invoice No]&lt;&gt;"")*tbl_Finance[Date]))=0,"",SUMPRODUCT(MAX((tbl_Finance[Job Number]=C205&amp;"")*(tbl_Finance[Xero Invoice No]&lt;&gt;"")*tbl_Finance[Date]))),""))</f>
        <v/>
      </c>
      <c r="B205" s="25">
        <f>IF(C205="","",IF(COUNTIFS(tbl_Finance[Job Number],C205&amp;"",tbl_Finance[Xero Invoice No],"&lt;&gt;")=0,"",IFERROR(IF(COUNTIFS(tbl_Finance[Job Number],C205&amp;"",tbl_Finance[Xero Invoice No],LOOKUP(2,1/((tbl_Finance[Job Number]=C205&amp;"")*(tbl_Finance[Xero Invoice No]&lt;&gt;"")),tbl_Finance[Xero Invoice No]))=COUNTIFS(tbl_Finance[Job Number],C205&amp;"",tbl_Finance[Xero Invoice No],"&lt;&gt;"),LOOKUP(2,1/((tbl_Finance[Job Number]=C205&amp;"")*(tbl_Finance[Xero Invoice No]&lt;&gt;"")),tbl_Finance[Xero Invoice No]),LOOKUP(2,1/((tbl_Finance[Job Number]=C205&amp;"")*(tbl_Finance[Xero Invoice No]&lt;&gt;"")),tbl_Finance[Xero Invoice No])&amp;" +more"),"")))</f>
        <v/>
      </c>
      <c r="C205" s="24" t="n"/>
      <c r="D205" s="25">
        <f>IF(C205="","",IF(COUNTIF(lst_Jobs,C205&amp;"")&gt;0,"OK","CHECK"))</f>
        <v/>
      </c>
      <c r="E205" s="25">
        <f>IF(C205="","",IFERROR(INDEX(lst_JobName,MATCH(C205&amp;"",lst_Jobs,0)),""))</f>
        <v/>
      </c>
      <c r="F205" s="25">
        <f>IF(C205="","",IFERROR(INDEX(tbl_Finance[Client],MATCH(C205&amp;"",tbl_Finance[Job Number],0)),""))</f>
        <v/>
      </c>
      <c r="G205" s="28">
        <f>IF(C205="","",COUNTIFS(tbl_Finance[Job Number],C205&amp;"",tbl_Finance[Ex GST],"&lt;&gt;"))</f>
        <v/>
      </c>
      <c r="H205" s="27">
        <f>IF(C205="","",SUMIFS(tbl_Finance[Ex GST],tbl_Finance[Job Number],C205&amp;""))</f>
        <v/>
      </c>
      <c r="I205" s="27">
        <f>IF(C205="","",SUMIFS(tbl_Finance[Ex GST],tbl_Finance[Job Number],C205&amp;"",tbl_Finance[Xero Invoice No],"&lt;&gt;"))</f>
        <v/>
      </c>
      <c r="J205" s="27">
        <f>IF(C205="","",H205-I205)</f>
        <v/>
      </c>
      <c r="K205" s="25">
        <f>IF(C205="","",IF(G205=0,"not invoiced yet",SUBSTITUTE(TRIM(IF(COUNTIFS(tbl_Finance[Job Number],C205&amp;"",tbl_Finance[Cost Centre],"ONSITE")&gt;0,"ONSITE ","")&amp;IF(COUNTIFS(tbl_Finance[Job Number],C205&amp;"",tbl_Finance[Cost Centre],"PRODUCTION")&gt;0,"PRODUCTION ","")&amp;IF(COUNTIFS(tbl_Finance[Job Number],C205&amp;"",tbl_Finance[Cost Centre],"VIDEO")&gt;0,"VIDEO ","")&amp;IF(COUNTIFS(tbl_Finance[Job Number],C205&amp;"",tbl_Finance[Cost Centre],"INTEGRATION")&gt;0,"INTEGRATION ","")&amp;IF(COUNTIFS(tbl_Finance[Job Number],C205&amp;"",tbl_Finance[Cost Centre],"CONSULTING")&gt;0,"CONSULTING ","")&amp;IF(COUNTIFS(tbl_Finance[Job Number],C205&amp;"",tbl_Finance[Cost Centre],"CTS")&gt;0,"CTS ",""))," ",", ")))</f>
        <v/>
      </c>
      <c r="L205" s="24" t="n"/>
      <c r="M205" s="25">
        <f>IF(L205="","",HYPERLINK(IF(LEFT(L205,4)="http",L205,set_QwilrBase&amp;L205),"Open quote"))</f>
        <v/>
      </c>
      <c r="N205" s="26" t="n"/>
      <c r="O205" s="26" t="n"/>
      <c r="P205" s="26" t="n"/>
      <c r="Q205" s="25">
        <f>IF(C205="","",IF(N(N205)+N(O205)+N(P205)=0,"Not split",IF(ROUND(N(N205)+N(O205)+N(P205),2)=ROUND(H205,2),"OK","MISMATCH")))</f>
        <v/>
      </c>
      <c r="R205" s="26" t="n"/>
      <c r="S205" s="26" t="n"/>
      <c r="T205" s="26" t="n"/>
      <c r="U205" s="27">
        <f>IF(C205="","",N(R205)+N(S205)+N(T205))</f>
        <v/>
      </c>
      <c r="V205" s="27">
        <f>IF(C205="","",H205-U205)</f>
        <v/>
      </c>
      <c r="W205" s="29">
        <f>IFERROR(V205/H205,"")</f>
        <v/>
      </c>
      <c r="X205" s="24" t="n"/>
    </row>
    <row r="206" ht="15" customHeight="1">
      <c r="A206" s="63">
        <f>IF(C206="","",IFERROR(IF(SUMPRODUCT(MAX((tbl_Finance[Job Number]=C206&amp;"")*(tbl_Finance[Xero Invoice No]&lt;&gt;"")*tbl_Finance[Date]))=0,"",SUMPRODUCT(MAX((tbl_Finance[Job Number]=C206&amp;"")*(tbl_Finance[Xero Invoice No]&lt;&gt;"")*tbl_Finance[Date]))),""))</f>
        <v/>
      </c>
      <c r="B206" s="25">
        <f>IF(C206="","",IF(COUNTIFS(tbl_Finance[Job Number],C206&amp;"",tbl_Finance[Xero Invoice No],"&lt;&gt;")=0,"",IFERROR(IF(COUNTIFS(tbl_Finance[Job Number],C206&amp;"",tbl_Finance[Xero Invoice No],LOOKUP(2,1/((tbl_Finance[Job Number]=C206&amp;"")*(tbl_Finance[Xero Invoice No]&lt;&gt;"")),tbl_Finance[Xero Invoice No]))=COUNTIFS(tbl_Finance[Job Number],C206&amp;"",tbl_Finance[Xero Invoice No],"&lt;&gt;"),LOOKUP(2,1/((tbl_Finance[Job Number]=C206&amp;"")*(tbl_Finance[Xero Invoice No]&lt;&gt;"")),tbl_Finance[Xero Invoice No]),LOOKUP(2,1/((tbl_Finance[Job Number]=C206&amp;"")*(tbl_Finance[Xero Invoice No]&lt;&gt;"")),tbl_Finance[Xero Invoice No])&amp;" +more"),"")))</f>
        <v/>
      </c>
      <c r="C206" s="24" t="n"/>
      <c r="D206" s="25">
        <f>IF(C206="","",IF(COUNTIF(lst_Jobs,C206&amp;"")&gt;0,"OK","CHECK"))</f>
        <v/>
      </c>
      <c r="E206" s="25">
        <f>IF(C206="","",IFERROR(INDEX(lst_JobName,MATCH(C206&amp;"",lst_Jobs,0)),""))</f>
        <v/>
      </c>
      <c r="F206" s="25">
        <f>IF(C206="","",IFERROR(INDEX(tbl_Finance[Client],MATCH(C206&amp;"",tbl_Finance[Job Number],0)),""))</f>
        <v/>
      </c>
      <c r="G206" s="28">
        <f>IF(C206="","",COUNTIFS(tbl_Finance[Job Number],C206&amp;"",tbl_Finance[Ex GST],"&lt;&gt;"))</f>
        <v/>
      </c>
      <c r="H206" s="27">
        <f>IF(C206="","",SUMIFS(tbl_Finance[Ex GST],tbl_Finance[Job Number],C206&amp;""))</f>
        <v/>
      </c>
      <c r="I206" s="27">
        <f>IF(C206="","",SUMIFS(tbl_Finance[Ex GST],tbl_Finance[Job Number],C206&amp;"",tbl_Finance[Xero Invoice No],"&lt;&gt;"))</f>
        <v/>
      </c>
      <c r="J206" s="27">
        <f>IF(C206="","",H206-I206)</f>
        <v/>
      </c>
      <c r="K206" s="25">
        <f>IF(C206="","",IF(G206=0,"not invoiced yet",SUBSTITUTE(TRIM(IF(COUNTIFS(tbl_Finance[Job Number],C206&amp;"",tbl_Finance[Cost Centre],"ONSITE")&gt;0,"ONSITE ","")&amp;IF(COUNTIFS(tbl_Finance[Job Number],C206&amp;"",tbl_Finance[Cost Centre],"PRODUCTION")&gt;0,"PRODUCTION ","")&amp;IF(COUNTIFS(tbl_Finance[Job Number],C206&amp;"",tbl_Finance[Cost Centre],"VIDEO")&gt;0,"VIDEO ","")&amp;IF(COUNTIFS(tbl_Finance[Job Number],C206&amp;"",tbl_Finance[Cost Centre],"INTEGRATION")&gt;0,"INTEGRATION ","")&amp;IF(COUNTIFS(tbl_Finance[Job Number],C206&amp;"",tbl_Finance[Cost Centre],"CONSULTING")&gt;0,"CONSULTING ","")&amp;IF(COUNTIFS(tbl_Finance[Job Number],C206&amp;"",tbl_Finance[Cost Centre],"CTS")&gt;0,"CTS ",""))," ",", ")))</f>
        <v/>
      </c>
      <c r="L206" s="24" t="n"/>
      <c r="M206" s="25">
        <f>IF(L206="","",HYPERLINK(IF(LEFT(L206,4)="http",L206,set_QwilrBase&amp;L206),"Open quote"))</f>
        <v/>
      </c>
      <c r="N206" s="26" t="n"/>
      <c r="O206" s="26" t="n"/>
      <c r="P206" s="26" t="n"/>
      <c r="Q206" s="25">
        <f>IF(C206="","",IF(N(N206)+N(O206)+N(P206)=0,"Not split",IF(ROUND(N(N206)+N(O206)+N(P206),2)=ROUND(H206,2),"OK","MISMATCH")))</f>
        <v/>
      </c>
      <c r="R206" s="26" t="n"/>
      <c r="S206" s="26" t="n"/>
      <c r="T206" s="26" t="n"/>
      <c r="U206" s="27">
        <f>IF(C206="","",N(R206)+N(S206)+N(T206))</f>
        <v/>
      </c>
      <c r="V206" s="27">
        <f>IF(C206="","",H206-U206)</f>
        <v/>
      </c>
      <c r="W206" s="29">
        <f>IFERROR(V206/H206,"")</f>
        <v/>
      </c>
      <c r="X206" s="24" t="n"/>
    </row>
    <row r="207" ht="15" customHeight="1">
      <c r="A207" s="63">
        <f>IF(C207="","",IFERROR(IF(SUMPRODUCT(MAX((tbl_Finance[Job Number]=C207&amp;"")*(tbl_Finance[Xero Invoice No]&lt;&gt;"")*tbl_Finance[Date]))=0,"",SUMPRODUCT(MAX((tbl_Finance[Job Number]=C207&amp;"")*(tbl_Finance[Xero Invoice No]&lt;&gt;"")*tbl_Finance[Date]))),""))</f>
        <v/>
      </c>
      <c r="B207" s="25">
        <f>IF(C207="","",IF(COUNTIFS(tbl_Finance[Job Number],C207&amp;"",tbl_Finance[Xero Invoice No],"&lt;&gt;")=0,"",IFERROR(IF(COUNTIFS(tbl_Finance[Job Number],C207&amp;"",tbl_Finance[Xero Invoice No],LOOKUP(2,1/((tbl_Finance[Job Number]=C207&amp;"")*(tbl_Finance[Xero Invoice No]&lt;&gt;"")),tbl_Finance[Xero Invoice No]))=COUNTIFS(tbl_Finance[Job Number],C207&amp;"",tbl_Finance[Xero Invoice No],"&lt;&gt;"),LOOKUP(2,1/((tbl_Finance[Job Number]=C207&amp;"")*(tbl_Finance[Xero Invoice No]&lt;&gt;"")),tbl_Finance[Xero Invoice No]),LOOKUP(2,1/((tbl_Finance[Job Number]=C207&amp;"")*(tbl_Finance[Xero Invoice No]&lt;&gt;"")),tbl_Finance[Xero Invoice No])&amp;" +more"),"")))</f>
        <v/>
      </c>
      <c r="C207" s="24" t="n"/>
      <c r="D207" s="25">
        <f>IF(C207="","",IF(COUNTIF(lst_Jobs,C207&amp;"")&gt;0,"OK","CHECK"))</f>
        <v/>
      </c>
      <c r="E207" s="25">
        <f>IF(C207="","",IFERROR(INDEX(lst_JobName,MATCH(C207&amp;"",lst_Jobs,0)),""))</f>
        <v/>
      </c>
      <c r="F207" s="25">
        <f>IF(C207="","",IFERROR(INDEX(tbl_Finance[Client],MATCH(C207&amp;"",tbl_Finance[Job Number],0)),""))</f>
        <v/>
      </c>
      <c r="G207" s="28">
        <f>IF(C207="","",COUNTIFS(tbl_Finance[Job Number],C207&amp;"",tbl_Finance[Ex GST],"&lt;&gt;"))</f>
        <v/>
      </c>
      <c r="H207" s="27">
        <f>IF(C207="","",SUMIFS(tbl_Finance[Ex GST],tbl_Finance[Job Number],C207&amp;""))</f>
        <v/>
      </c>
      <c r="I207" s="27">
        <f>IF(C207="","",SUMIFS(tbl_Finance[Ex GST],tbl_Finance[Job Number],C207&amp;"",tbl_Finance[Xero Invoice No],"&lt;&gt;"))</f>
        <v/>
      </c>
      <c r="J207" s="27">
        <f>IF(C207="","",H207-I207)</f>
        <v/>
      </c>
      <c r="K207" s="25">
        <f>IF(C207="","",IF(G207=0,"not invoiced yet",SUBSTITUTE(TRIM(IF(COUNTIFS(tbl_Finance[Job Number],C207&amp;"",tbl_Finance[Cost Centre],"ONSITE")&gt;0,"ONSITE ","")&amp;IF(COUNTIFS(tbl_Finance[Job Number],C207&amp;"",tbl_Finance[Cost Centre],"PRODUCTION")&gt;0,"PRODUCTION ","")&amp;IF(COUNTIFS(tbl_Finance[Job Number],C207&amp;"",tbl_Finance[Cost Centre],"VIDEO")&gt;0,"VIDEO ","")&amp;IF(COUNTIFS(tbl_Finance[Job Number],C207&amp;"",tbl_Finance[Cost Centre],"INTEGRATION")&gt;0,"INTEGRATION ","")&amp;IF(COUNTIFS(tbl_Finance[Job Number],C207&amp;"",tbl_Finance[Cost Centre],"CONSULTING")&gt;0,"CONSULTING ","")&amp;IF(COUNTIFS(tbl_Finance[Job Number],C207&amp;"",tbl_Finance[Cost Centre],"CTS")&gt;0,"CTS ",""))," ",", ")))</f>
        <v/>
      </c>
      <c r="L207" s="24" t="n"/>
      <c r="M207" s="25">
        <f>IF(L207="","",HYPERLINK(IF(LEFT(L207,4)="http",L207,set_QwilrBase&amp;L207),"Open quote"))</f>
        <v/>
      </c>
      <c r="N207" s="26" t="n"/>
      <c r="O207" s="26" t="n"/>
      <c r="P207" s="26" t="n"/>
      <c r="Q207" s="25">
        <f>IF(C207="","",IF(N(N207)+N(O207)+N(P207)=0,"Not split",IF(ROUND(N(N207)+N(O207)+N(P207),2)=ROUND(H207,2),"OK","MISMATCH")))</f>
        <v/>
      </c>
      <c r="R207" s="26" t="n"/>
      <c r="S207" s="26" t="n"/>
      <c r="T207" s="26" t="n"/>
      <c r="U207" s="27">
        <f>IF(C207="","",N(R207)+N(S207)+N(T207))</f>
        <v/>
      </c>
      <c r="V207" s="27">
        <f>IF(C207="","",H207-U207)</f>
        <v/>
      </c>
      <c r="W207" s="29">
        <f>IFERROR(V207/H207,"")</f>
        <v/>
      </c>
      <c r="X207" s="24" t="n"/>
    </row>
    <row r="208" ht="15" customHeight="1">
      <c r="A208" s="63">
        <f>IF(C208="","",IFERROR(IF(SUMPRODUCT(MAX((tbl_Finance[Job Number]=C208&amp;"")*(tbl_Finance[Xero Invoice No]&lt;&gt;"")*tbl_Finance[Date]))=0,"",SUMPRODUCT(MAX((tbl_Finance[Job Number]=C208&amp;"")*(tbl_Finance[Xero Invoice No]&lt;&gt;"")*tbl_Finance[Date]))),""))</f>
        <v/>
      </c>
      <c r="B208" s="25">
        <f>IF(C208="","",IF(COUNTIFS(tbl_Finance[Job Number],C208&amp;"",tbl_Finance[Xero Invoice No],"&lt;&gt;")=0,"",IFERROR(IF(COUNTIFS(tbl_Finance[Job Number],C208&amp;"",tbl_Finance[Xero Invoice No],LOOKUP(2,1/((tbl_Finance[Job Number]=C208&amp;"")*(tbl_Finance[Xero Invoice No]&lt;&gt;"")),tbl_Finance[Xero Invoice No]))=COUNTIFS(tbl_Finance[Job Number],C208&amp;"",tbl_Finance[Xero Invoice No],"&lt;&gt;"),LOOKUP(2,1/((tbl_Finance[Job Number]=C208&amp;"")*(tbl_Finance[Xero Invoice No]&lt;&gt;"")),tbl_Finance[Xero Invoice No]),LOOKUP(2,1/((tbl_Finance[Job Number]=C208&amp;"")*(tbl_Finance[Xero Invoice No]&lt;&gt;"")),tbl_Finance[Xero Invoice No])&amp;" +more"),"")))</f>
        <v/>
      </c>
      <c r="C208" s="24" t="n"/>
      <c r="D208" s="25">
        <f>IF(C208="","",IF(COUNTIF(lst_Jobs,C208&amp;"")&gt;0,"OK","CHECK"))</f>
        <v/>
      </c>
      <c r="E208" s="25">
        <f>IF(C208="","",IFERROR(INDEX(lst_JobName,MATCH(C208&amp;"",lst_Jobs,0)),""))</f>
        <v/>
      </c>
      <c r="F208" s="25">
        <f>IF(C208="","",IFERROR(INDEX(tbl_Finance[Client],MATCH(C208&amp;"",tbl_Finance[Job Number],0)),""))</f>
        <v/>
      </c>
      <c r="G208" s="28">
        <f>IF(C208="","",COUNTIFS(tbl_Finance[Job Number],C208&amp;"",tbl_Finance[Ex GST],"&lt;&gt;"))</f>
        <v/>
      </c>
      <c r="H208" s="27">
        <f>IF(C208="","",SUMIFS(tbl_Finance[Ex GST],tbl_Finance[Job Number],C208&amp;""))</f>
        <v/>
      </c>
      <c r="I208" s="27">
        <f>IF(C208="","",SUMIFS(tbl_Finance[Ex GST],tbl_Finance[Job Number],C208&amp;"",tbl_Finance[Xero Invoice No],"&lt;&gt;"))</f>
        <v/>
      </c>
      <c r="J208" s="27">
        <f>IF(C208="","",H208-I208)</f>
        <v/>
      </c>
      <c r="K208" s="25">
        <f>IF(C208="","",IF(G208=0,"not invoiced yet",SUBSTITUTE(TRIM(IF(COUNTIFS(tbl_Finance[Job Number],C208&amp;"",tbl_Finance[Cost Centre],"ONSITE")&gt;0,"ONSITE ","")&amp;IF(COUNTIFS(tbl_Finance[Job Number],C208&amp;"",tbl_Finance[Cost Centre],"PRODUCTION")&gt;0,"PRODUCTION ","")&amp;IF(COUNTIFS(tbl_Finance[Job Number],C208&amp;"",tbl_Finance[Cost Centre],"VIDEO")&gt;0,"VIDEO ","")&amp;IF(COUNTIFS(tbl_Finance[Job Number],C208&amp;"",tbl_Finance[Cost Centre],"INTEGRATION")&gt;0,"INTEGRATION ","")&amp;IF(COUNTIFS(tbl_Finance[Job Number],C208&amp;"",tbl_Finance[Cost Centre],"CONSULTING")&gt;0,"CONSULTING ","")&amp;IF(COUNTIFS(tbl_Finance[Job Number],C208&amp;"",tbl_Finance[Cost Centre],"CTS")&gt;0,"CTS ",""))," ",", ")))</f>
        <v/>
      </c>
      <c r="L208" s="24" t="n"/>
      <c r="M208" s="25">
        <f>IF(L208="","",HYPERLINK(IF(LEFT(L208,4)="http",L208,set_QwilrBase&amp;L208),"Open quote"))</f>
        <v/>
      </c>
      <c r="N208" s="26" t="n"/>
      <c r="O208" s="26" t="n"/>
      <c r="P208" s="26" t="n"/>
      <c r="Q208" s="25">
        <f>IF(C208="","",IF(N(N208)+N(O208)+N(P208)=0,"Not split",IF(ROUND(N(N208)+N(O208)+N(P208),2)=ROUND(H208,2),"OK","MISMATCH")))</f>
        <v/>
      </c>
      <c r="R208" s="26" t="n"/>
      <c r="S208" s="26" t="n"/>
      <c r="T208" s="26" t="n"/>
      <c r="U208" s="27">
        <f>IF(C208="","",N(R208)+N(S208)+N(T208))</f>
        <v/>
      </c>
      <c r="V208" s="27">
        <f>IF(C208="","",H208-U208)</f>
        <v/>
      </c>
      <c r="W208" s="29">
        <f>IFERROR(V208/H208,"")</f>
        <v/>
      </c>
      <c r="X208" s="24" t="n"/>
    </row>
    <row r="209" ht="15" customHeight="1">
      <c r="A209" s="63">
        <f>IF(C209="","",IFERROR(IF(SUMPRODUCT(MAX((tbl_Finance[Job Number]=C209&amp;"")*(tbl_Finance[Xero Invoice No]&lt;&gt;"")*tbl_Finance[Date]))=0,"",SUMPRODUCT(MAX((tbl_Finance[Job Number]=C209&amp;"")*(tbl_Finance[Xero Invoice No]&lt;&gt;"")*tbl_Finance[Date]))),""))</f>
        <v/>
      </c>
      <c r="B209" s="25">
        <f>IF(C209="","",IF(COUNTIFS(tbl_Finance[Job Number],C209&amp;"",tbl_Finance[Xero Invoice No],"&lt;&gt;")=0,"",IFERROR(IF(COUNTIFS(tbl_Finance[Job Number],C209&amp;"",tbl_Finance[Xero Invoice No],LOOKUP(2,1/((tbl_Finance[Job Number]=C209&amp;"")*(tbl_Finance[Xero Invoice No]&lt;&gt;"")),tbl_Finance[Xero Invoice No]))=COUNTIFS(tbl_Finance[Job Number],C209&amp;"",tbl_Finance[Xero Invoice No],"&lt;&gt;"),LOOKUP(2,1/((tbl_Finance[Job Number]=C209&amp;"")*(tbl_Finance[Xero Invoice No]&lt;&gt;"")),tbl_Finance[Xero Invoice No]),LOOKUP(2,1/((tbl_Finance[Job Number]=C209&amp;"")*(tbl_Finance[Xero Invoice No]&lt;&gt;"")),tbl_Finance[Xero Invoice No])&amp;" +more"),"")))</f>
        <v/>
      </c>
      <c r="C209" s="24" t="n"/>
      <c r="D209" s="25">
        <f>IF(C209="","",IF(COUNTIF(lst_Jobs,C209&amp;"")&gt;0,"OK","CHECK"))</f>
        <v/>
      </c>
      <c r="E209" s="25">
        <f>IF(C209="","",IFERROR(INDEX(lst_JobName,MATCH(C209&amp;"",lst_Jobs,0)),""))</f>
        <v/>
      </c>
      <c r="F209" s="25">
        <f>IF(C209="","",IFERROR(INDEX(tbl_Finance[Client],MATCH(C209&amp;"",tbl_Finance[Job Number],0)),""))</f>
        <v/>
      </c>
      <c r="G209" s="28">
        <f>IF(C209="","",COUNTIFS(tbl_Finance[Job Number],C209&amp;"",tbl_Finance[Ex GST],"&lt;&gt;"))</f>
        <v/>
      </c>
      <c r="H209" s="27">
        <f>IF(C209="","",SUMIFS(tbl_Finance[Ex GST],tbl_Finance[Job Number],C209&amp;""))</f>
        <v/>
      </c>
      <c r="I209" s="27">
        <f>IF(C209="","",SUMIFS(tbl_Finance[Ex GST],tbl_Finance[Job Number],C209&amp;"",tbl_Finance[Xero Invoice No],"&lt;&gt;"))</f>
        <v/>
      </c>
      <c r="J209" s="27">
        <f>IF(C209="","",H209-I209)</f>
        <v/>
      </c>
      <c r="K209" s="25">
        <f>IF(C209="","",IF(G209=0,"not invoiced yet",SUBSTITUTE(TRIM(IF(COUNTIFS(tbl_Finance[Job Number],C209&amp;"",tbl_Finance[Cost Centre],"ONSITE")&gt;0,"ONSITE ","")&amp;IF(COUNTIFS(tbl_Finance[Job Number],C209&amp;"",tbl_Finance[Cost Centre],"PRODUCTION")&gt;0,"PRODUCTION ","")&amp;IF(COUNTIFS(tbl_Finance[Job Number],C209&amp;"",tbl_Finance[Cost Centre],"VIDEO")&gt;0,"VIDEO ","")&amp;IF(COUNTIFS(tbl_Finance[Job Number],C209&amp;"",tbl_Finance[Cost Centre],"INTEGRATION")&gt;0,"INTEGRATION ","")&amp;IF(COUNTIFS(tbl_Finance[Job Number],C209&amp;"",tbl_Finance[Cost Centre],"CONSULTING")&gt;0,"CONSULTING ","")&amp;IF(COUNTIFS(tbl_Finance[Job Number],C209&amp;"",tbl_Finance[Cost Centre],"CTS")&gt;0,"CTS ",""))," ",", ")))</f>
        <v/>
      </c>
      <c r="L209" s="24" t="n"/>
      <c r="M209" s="25">
        <f>IF(L209="","",HYPERLINK(IF(LEFT(L209,4)="http",L209,set_QwilrBase&amp;L209),"Open quote"))</f>
        <v/>
      </c>
      <c r="N209" s="26" t="n"/>
      <c r="O209" s="26" t="n"/>
      <c r="P209" s="26" t="n"/>
      <c r="Q209" s="25">
        <f>IF(C209="","",IF(N(N209)+N(O209)+N(P209)=0,"Not split",IF(ROUND(N(N209)+N(O209)+N(P209),2)=ROUND(H209,2),"OK","MISMATCH")))</f>
        <v/>
      </c>
      <c r="R209" s="26" t="n"/>
      <c r="S209" s="26" t="n"/>
      <c r="T209" s="26" t="n"/>
      <c r="U209" s="27">
        <f>IF(C209="","",N(R209)+N(S209)+N(T209))</f>
        <v/>
      </c>
      <c r="V209" s="27">
        <f>IF(C209="","",H209-U209)</f>
        <v/>
      </c>
      <c r="W209" s="29">
        <f>IFERROR(V209/H209,"")</f>
        <v/>
      </c>
      <c r="X209" s="24" t="n"/>
    </row>
    <row r="210" ht="15" customHeight="1">
      <c r="A210" s="63">
        <f>IF(C210="","",IFERROR(IF(SUMPRODUCT(MAX((tbl_Finance[Job Number]=C210&amp;"")*(tbl_Finance[Xero Invoice No]&lt;&gt;"")*tbl_Finance[Date]))=0,"",SUMPRODUCT(MAX((tbl_Finance[Job Number]=C210&amp;"")*(tbl_Finance[Xero Invoice No]&lt;&gt;"")*tbl_Finance[Date]))),""))</f>
        <v/>
      </c>
      <c r="B210" s="25">
        <f>IF(C210="","",IF(COUNTIFS(tbl_Finance[Job Number],C210&amp;"",tbl_Finance[Xero Invoice No],"&lt;&gt;")=0,"",IFERROR(IF(COUNTIFS(tbl_Finance[Job Number],C210&amp;"",tbl_Finance[Xero Invoice No],LOOKUP(2,1/((tbl_Finance[Job Number]=C210&amp;"")*(tbl_Finance[Xero Invoice No]&lt;&gt;"")),tbl_Finance[Xero Invoice No]))=COUNTIFS(tbl_Finance[Job Number],C210&amp;"",tbl_Finance[Xero Invoice No],"&lt;&gt;"),LOOKUP(2,1/((tbl_Finance[Job Number]=C210&amp;"")*(tbl_Finance[Xero Invoice No]&lt;&gt;"")),tbl_Finance[Xero Invoice No]),LOOKUP(2,1/((tbl_Finance[Job Number]=C210&amp;"")*(tbl_Finance[Xero Invoice No]&lt;&gt;"")),tbl_Finance[Xero Invoice No])&amp;" +more"),"")))</f>
        <v/>
      </c>
      <c r="C210" s="24" t="n"/>
      <c r="D210" s="25">
        <f>IF(C210="","",IF(COUNTIF(lst_Jobs,C210&amp;"")&gt;0,"OK","CHECK"))</f>
        <v/>
      </c>
      <c r="E210" s="25">
        <f>IF(C210="","",IFERROR(INDEX(lst_JobName,MATCH(C210&amp;"",lst_Jobs,0)),""))</f>
        <v/>
      </c>
      <c r="F210" s="25">
        <f>IF(C210="","",IFERROR(INDEX(tbl_Finance[Client],MATCH(C210&amp;"",tbl_Finance[Job Number],0)),""))</f>
        <v/>
      </c>
      <c r="G210" s="28">
        <f>IF(C210="","",COUNTIFS(tbl_Finance[Job Number],C210&amp;"",tbl_Finance[Ex GST],"&lt;&gt;"))</f>
        <v/>
      </c>
      <c r="H210" s="27">
        <f>IF(C210="","",SUMIFS(tbl_Finance[Ex GST],tbl_Finance[Job Number],C210&amp;""))</f>
        <v/>
      </c>
      <c r="I210" s="27">
        <f>IF(C210="","",SUMIFS(tbl_Finance[Ex GST],tbl_Finance[Job Number],C210&amp;"",tbl_Finance[Xero Invoice No],"&lt;&gt;"))</f>
        <v/>
      </c>
      <c r="J210" s="27">
        <f>IF(C210="","",H210-I210)</f>
        <v/>
      </c>
      <c r="K210" s="25">
        <f>IF(C210="","",IF(G210=0,"not invoiced yet",SUBSTITUTE(TRIM(IF(COUNTIFS(tbl_Finance[Job Number],C210&amp;"",tbl_Finance[Cost Centre],"ONSITE")&gt;0,"ONSITE ","")&amp;IF(COUNTIFS(tbl_Finance[Job Number],C210&amp;"",tbl_Finance[Cost Centre],"PRODUCTION")&gt;0,"PRODUCTION ","")&amp;IF(COUNTIFS(tbl_Finance[Job Number],C210&amp;"",tbl_Finance[Cost Centre],"VIDEO")&gt;0,"VIDEO ","")&amp;IF(COUNTIFS(tbl_Finance[Job Number],C210&amp;"",tbl_Finance[Cost Centre],"INTEGRATION")&gt;0,"INTEGRATION ","")&amp;IF(COUNTIFS(tbl_Finance[Job Number],C210&amp;"",tbl_Finance[Cost Centre],"CONSULTING")&gt;0,"CONSULTING ","")&amp;IF(COUNTIFS(tbl_Finance[Job Number],C210&amp;"",tbl_Finance[Cost Centre],"CTS")&gt;0,"CTS ",""))," ",", ")))</f>
        <v/>
      </c>
      <c r="L210" s="24" t="n"/>
      <c r="M210" s="25">
        <f>IF(L210="","",HYPERLINK(IF(LEFT(L210,4)="http",L210,set_QwilrBase&amp;L210),"Open quote"))</f>
        <v/>
      </c>
      <c r="N210" s="26" t="n"/>
      <c r="O210" s="26" t="n"/>
      <c r="P210" s="26" t="n"/>
      <c r="Q210" s="25">
        <f>IF(C210="","",IF(N(N210)+N(O210)+N(P210)=0,"Not split",IF(ROUND(N(N210)+N(O210)+N(P210),2)=ROUND(H210,2),"OK","MISMATCH")))</f>
        <v/>
      </c>
      <c r="R210" s="26" t="n"/>
      <c r="S210" s="26" t="n"/>
      <c r="T210" s="26" t="n"/>
      <c r="U210" s="27">
        <f>IF(C210="","",N(R210)+N(S210)+N(T210))</f>
        <v/>
      </c>
      <c r="V210" s="27">
        <f>IF(C210="","",H210-U210)</f>
        <v/>
      </c>
      <c r="W210" s="29">
        <f>IFERROR(V210/H210,"")</f>
        <v/>
      </c>
      <c r="X210" s="24" t="n"/>
    </row>
    <row r="211" ht="15" customHeight="1">
      <c r="A211" s="63">
        <f>IF(C211="","",IFERROR(IF(SUMPRODUCT(MAX((tbl_Finance[Job Number]=C211&amp;"")*(tbl_Finance[Xero Invoice No]&lt;&gt;"")*tbl_Finance[Date]))=0,"",SUMPRODUCT(MAX((tbl_Finance[Job Number]=C211&amp;"")*(tbl_Finance[Xero Invoice No]&lt;&gt;"")*tbl_Finance[Date]))),""))</f>
        <v/>
      </c>
      <c r="B211" s="25">
        <f>IF(C211="","",IF(COUNTIFS(tbl_Finance[Job Number],C211&amp;"",tbl_Finance[Xero Invoice No],"&lt;&gt;")=0,"",IFERROR(IF(COUNTIFS(tbl_Finance[Job Number],C211&amp;"",tbl_Finance[Xero Invoice No],LOOKUP(2,1/((tbl_Finance[Job Number]=C211&amp;"")*(tbl_Finance[Xero Invoice No]&lt;&gt;"")),tbl_Finance[Xero Invoice No]))=COUNTIFS(tbl_Finance[Job Number],C211&amp;"",tbl_Finance[Xero Invoice No],"&lt;&gt;"),LOOKUP(2,1/((tbl_Finance[Job Number]=C211&amp;"")*(tbl_Finance[Xero Invoice No]&lt;&gt;"")),tbl_Finance[Xero Invoice No]),LOOKUP(2,1/((tbl_Finance[Job Number]=C211&amp;"")*(tbl_Finance[Xero Invoice No]&lt;&gt;"")),tbl_Finance[Xero Invoice No])&amp;" +more"),"")))</f>
        <v/>
      </c>
      <c r="C211" s="24" t="n"/>
      <c r="D211" s="25">
        <f>IF(C211="","",IF(COUNTIF(lst_Jobs,C211&amp;"")&gt;0,"OK","CHECK"))</f>
        <v/>
      </c>
      <c r="E211" s="25">
        <f>IF(C211="","",IFERROR(INDEX(lst_JobName,MATCH(C211&amp;"",lst_Jobs,0)),""))</f>
        <v/>
      </c>
      <c r="F211" s="25">
        <f>IF(C211="","",IFERROR(INDEX(tbl_Finance[Client],MATCH(C211&amp;"",tbl_Finance[Job Number],0)),""))</f>
        <v/>
      </c>
      <c r="G211" s="28">
        <f>IF(C211="","",COUNTIFS(tbl_Finance[Job Number],C211&amp;"",tbl_Finance[Ex GST],"&lt;&gt;"))</f>
        <v/>
      </c>
      <c r="H211" s="27">
        <f>IF(C211="","",SUMIFS(tbl_Finance[Ex GST],tbl_Finance[Job Number],C211&amp;""))</f>
        <v/>
      </c>
      <c r="I211" s="27">
        <f>IF(C211="","",SUMIFS(tbl_Finance[Ex GST],tbl_Finance[Job Number],C211&amp;"",tbl_Finance[Xero Invoice No],"&lt;&gt;"))</f>
        <v/>
      </c>
      <c r="J211" s="27">
        <f>IF(C211="","",H211-I211)</f>
        <v/>
      </c>
      <c r="K211" s="25">
        <f>IF(C211="","",IF(G211=0,"not invoiced yet",SUBSTITUTE(TRIM(IF(COUNTIFS(tbl_Finance[Job Number],C211&amp;"",tbl_Finance[Cost Centre],"ONSITE")&gt;0,"ONSITE ","")&amp;IF(COUNTIFS(tbl_Finance[Job Number],C211&amp;"",tbl_Finance[Cost Centre],"PRODUCTION")&gt;0,"PRODUCTION ","")&amp;IF(COUNTIFS(tbl_Finance[Job Number],C211&amp;"",tbl_Finance[Cost Centre],"VIDEO")&gt;0,"VIDEO ","")&amp;IF(COUNTIFS(tbl_Finance[Job Number],C211&amp;"",tbl_Finance[Cost Centre],"INTEGRATION")&gt;0,"INTEGRATION ","")&amp;IF(COUNTIFS(tbl_Finance[Job Number],C211&amp;"",tbl_Finance[Cost Centre],"CONSULTING")&gt;0,"CONSULTING ","")&amp;IF(COUNTIFS(tbl_Finance[Job Number],C211&amp;"",tbl_Finance[Cost Centre],"CTS")&gt;0,"CTS ",""))," ",", ")))</f>
        <v/>
      </c>
      <c r="L211" s="24" t="n"/>
      <c r="M211" s="25">
        <f>IF(L211="","",HYPERLINK(IF(LEFT(L211,4)="http",L211,set_QwilrBase&amp;L211),"Open quote"))</f>
        <v/>
      </c>
      <c r="N211" s="26" t="n"/>
      <c r="O211" s="26" t="n"/>
      <c r="P211" s="26" t="n"/>
      <c r="Q211" s="25">
        <f>IF(C211="","",IF(N(N211)+N(O211)+N(P211)=0,"Not split",IF(ROUND(N(N211)+N(O211)+N(P211),2)=ROUND(H211,2),"OK","MISMATCH")))</f>
        <v/>
      </c>
      <c r="R211" s="26" t="n"/>
      <c r="S211" s="26" t="n"/>
      <c r="T211" s="26" t="n"/>
      <c r="U211" s="27">
        <f>IF(C211="","",N(R211)+N(S211)+N(T211))</f>
        <v/>
      </c>
      <c r="V211" s="27">
        <f>IF(C211="","",H211-U211)</f>
        <v/>
      </c>
      <c r="W211" s="29">
        <f>IFERROR(V211/H211,"")</f>
        <v/>
      </c>
      <c r="X211" s="24" t="n"/>
    </row>
    <row r="212" ht="15" customHeight="1">
      <c r="A212" s="63">
        <f>IF(C212="","",IFERROR(IF(SUMPRODUCT(MAX((tbl_Finance[Job Number]=C212&amp;"")*(tbl_Finance[Xero Invoice No]&lt;&gt;"")*tbl_Finance[Date]))=0,"",SUMPRODUCT(MAX((tbl_Finance[Job Number]=C212&amp;"")*(tbl_Finance[Xero Invoice No]&lt;&gt;"")*tbl_Finance[Date]))),""))</f>
        <v/>
      </c>
      <c r="B212" s="25">
        <f>IF(C212="","",IF(COUNTIFS(tbl_Finance[Job Number],C212&amp;"",tbl_Finance[Xero Invoice No],"&lt;&gt;")=0,"",IFERROR(IF(COUNTIFS(tbl_Finance[Job Number],C212&amp;"",tbl_Finance[Xero Invoice No],LOOKUP(2,1/((tbl_Finance[Job Number]=C212&amp;"")*(tbl_Finance[Xero Invoice No]&lt;&gt;"")),tbl_Finance[Xero Invoice No]))=COUNTIFS(tbl_Finance[Job Number],C212&amp;"",tbl_Finance[Xero Invoice No],"&lt;&gt;"),LOOKUP(2,1/((tbl_Finance[Job Number]=C212&amp;"")*(tbl_Finance[Xero Invoice No]&lt;&gt;"")),tbl_Finance[Xero Invoice No]),LOOKUP(2,1/((tbl_Finance[Job Number]=C212&amp;"")*(tbl_Finance[Xero Invoice No]&lt;&gt;"")),tbl_Finance[Xero Invoice No])&amp;" +more"),"")))</f>
        <v/>
      </c>
      <c r="C212" s="24" t="n"/>
      <c r="D212" s="25">
        <f>IF(C212="","",IF(COUNTIF(lst_Jobs,C212&amp;"")&gt;0,"OK","CHECK"))</f>
        <v/>
      </c>
      <c r="E212" s="25">
        <f>IF(C212="","",IFERROR(INDEX(lst_JobName,MATCH(C212&amp;"",lst_Jobs,0)),""))</f>
        <v/>
      </c>
      <c r="F212" s="25">
        <f>IF(C212="","",IFERROR(INDEX(tbl_Finance[Client],MATCH(C212&amp;"",tbl_Finance[Job Number],0)),""))</f>
        <v/>
      </c>
      <c r="G212" s="28">
        <f>IF(C212="","",COUNTIFS(tbl_Finance[Job Number],C212&amp;"",tbl_Finance[Ex GST],"&lt;&gt;"))</f>
        <v/>
      </c>
      <c r="H212" s="27">
        <f>IF(C212="","",SUMIFS(tbl_Finance[Ex GST],tbl_Finance[Job Number],C212&amp;""))</f>
        <v/>
      </c>
      <c r="I212" s="27">
        <f>IF(C212="","",SUMIFS(tbl_Finance[Ex GST],tbl_Finance[Job Number],C212&amp;"",tbl_Finance[Xero Invoice No],"&lt;&gt;"))</f>
        <v/>
      </c>
      <c r="J212" s="27">
        <f>IF(C212="","",H212-I212)</f>
        <v/>
      </c>
      <c r="K212" s="25">
        <f>IF(C212="","",IF(G212=0,"not invoiced yet",SUBSTITUTE(TRIM(IF(COUNTIFS(tbl_Finance[Job Number],C212&amp;"",tbl_Finance[Cost Centre],"ONSITE")&gt;0,"ONSITE ","")&amp;IF(COUNTIFS(tbl_Finance[Job Number],C212&amp;"",tbl_Finance[Cost Centre],"PRODUCTION")&gt;0,"PRODUCTION ","")&amp;IF(COUNTIFS(tbl_Finance[Job Number],C212&amp;"",tbl_Finance[Cost Centre],"VIDEO")&gt;0,"VIDEO ","")&amp;IF(COUNTIFS(tbl_Finance[Job Number],C212&amp;"",tbl_Finance[Cost Centre],"INTEGRATION")&gt;0,"INTEGRATION ","")&amp;IF(COUNTIFS(tbl_Finance[Job Number],C212&amp;"",tbl_Finance[Cost Centre],"CONSULTING")&gt;0,"CONSULTING ","")&amp;IF(COUNTIFS(tbl_Finance[Job Number],C212&amp;"",tbl_Finance[Cost Centre],"CTS")&gt;0,"CTS ",""))," ",", ")))</f>
        <v/>
      </c>
      <c r="L212" s="24" t="n"/>
      <c r="M212" s="25">
        <f>IF(L212="","",HYPERLINK(IF(LEFT(L212,4)="http",L212,set_QwilrBase&amp;L212),"Open quote"))</f>
        <v/>
      </c>
      <c r="N212" s="26" t="n"/>
      <c r="O212" s="26" t="n"/>
      <c r="P212" s="26" t="n"/>
      <c r="Q212" s="25">
        <f>IF(C212="","",IF(N(N212)+N(O212)+N(P212)=0,"Not split",IF(ROUND(N(N212)+N(O212)+N(P212),2)=ROUND(H212,2),"OK","MISMATCH")))</f>
        <v/>
      </c>
      <c r="R212" s="26" t="n"/>
      <c r="S212" s="26" t="n"/>
      <c r="T212" s="26" t="n"/>
      <c r="U212" s="27">
        <f>IF(C212="","",N(R212)+N(S212)+N(T212))</f>
        <v/>
      </c>
      <c r="V212" s="27">
        <f>IF(C212="","",H212-U212)</f>
        <v/>
      </c>
      <c r="W212" s="29">
        <f>IFERROR(V212/H212,"")</f>
        <v/>
      </c>
      <c r="X212" s="24" t="n"/>
    </row>
    <row r="213" ht="15" customHeight="1">
      <c r="A213" s="63">
        <f>IF(C213="","",IFERROR(IF(SUMPRODUCT(MAX((tbl_Finance[Job Number]=C213&amp;"")*(tbl_Finance[Xero Invoice No]&lt;&gt;"")*tbl_Finance[Date]))=0,"",SUMPRODUCT(MAX((tbl_Finance[Job Number]=C213&amp;"")*(tbl_Finance[Xero Invoice No]&lt;&gt;"")*tbl_Finance[Date]))),""))</f>
        <v/>
      </c>
      <c r="B213" s="25">
        <f>IF(C213="","",IF(COUNTIFS(tbl_Finance[Job Number],C213&amp;"",tbl_Finance[Xero Invoice No],"&lt;&gt;")=0,"",IFERROR(IF(COUNTIFS(tbl_Finance[Job Number],C213&amp;"",tbl_Finance[Xero Invoice No],LOOKUP(2,1/((tbl_Finance[Job Number]=C213&amp;"")*(tbl_Finance[Xero Invoice No]&lt;&gt;"")),tbl_Finance[Xero Invoice No]))=COUNTIFS(tbl_Finance[Job Number],C213&amp;"",tbl_Finance[Xero Invoice No],"&lt;&gt;"),LOOKUP(2,1/((tbl_Finance[Job Number]=C213&amp;"")*(tbl_Finance[Xero Invoice No]&lt;&gt;"")),tbl_Finance[Xero Invoice No]),LOOKUP(2,1/((tbl_Finance[Job Number]=C213&amp;"")*(tbl_Finance[Xero Invoice No]&lt;&gt;"")),tbl_Finance[Xero Invoice No])&amp;" +more"),"")))</f>
        <v/>
      </c>
      <c r="C213" s="24" t="n"/>
      <c r="D213" s="25">
        <f>IF(C213="","",IF(COUNTIF(lst_Jobs,C213&amp;"")&gt;0,"OK","CHECK"))</f>
        <v/>
      </c>
      <c r="E213" s="25">
        <f>IF(C213="","",IFERROR(INDEX(lst_JobName,MATCH(C213&amp;"",lst_Jobs,0)),""))</f>
        <v/>
      </c>
      <c r="F213" s="25">
        <f>IF(C213="","",IFERROR(INDEX(tbl_Finance[Client],MATCH(C213&amp;"",tbl_Finance[Job Number],0)),""))</f>
        <v/>
      </c>
      <c r="G213" s="28">
        <f>IF(C213="","",COUNTIFS(tbl_Finance[Job Number],C213&amp;"",tbl_Finance[Ex GST],"&lt;&gt;"))</f>
        <v/>
      </c>
      <c r="H213" s="27">
        <f>IF(C213="","",SUMIFS(tbl_Finance[Ex GST],tbl_Finance[Job Number],C213&amp;""))</f>
        <v/>
      </c>
      <c r="I213" s="27">
        <f>IF(C213="","",SUMIFS(tbl_Finance[Ex GST],tbl_Finance[Job Number],C213&amp;"",tbl_Finance[Xero Invoice No],"&lt;&gt;"))</f>
        <v/>
      </c>
      <c r="J213" s="27">
        <f>IF(C213="","",H213-I213)</f>
        <v/>
      </c>
      <c r="K213" s="25">
        <f>IF(C213="","",IF(G213=0,"not invoiced yet",SUBSTITUTE(TRIM(IF(COUNTIFS(tbl_Finance[Job Number],C213&amp;"",tbl_Finance[Cost Centre],"ONSITE")&gt;0,"ONSITE ","")&amp;IF(COUNTIFS(tbl_Finance[Job Number],C213&amp;"",tbl_Finance[Cost Centre],"PRODUCTION")&gt;0,"PRODUCTION ","")&amp;IF(COUNTIFS(tbl_Finance[Job Number],C213&amp;"",tbl_Finance[Cost Centre],"VIDEO")&gt;0,"VIDEO ","")&amp;IF(COUNTIFS(tbl_Finance[Job Number],C213&amp;"",tbl_Finance[Cost Centre],"INTEGRATION")&gt;0,"INTEGRATION ","")&amp;IF(COUNTIFS(tbl_Finance[Job Number],C213&amp;"",tbl_Finance[Cost Centre],"CONSULTING")&gt;0,"CONSULTING ","")&amp;IF(COUNTIFS(tbl_Finance[Job Number],C213&amp;"",tbl_Finance[Cost Centre],"CTS")&gt;0,"CTS ",""))," ",", ")))</f>
        <v/>
      </c>
      <c r="L213" s="24" t="n"/>
      <c r="M213" s="25">
        <f>IF(L213="","",HYPERLINK(IF(LEFT(L213,4)="http",L213,set_QwilrBase&amp;L213),"Open quote"))</f>
        <v/>
      </c>
      <c r="N213" s="26" t="n"/>
      <c r="O213" s="26" t="n"/>
      <c r="P213" s="26" t="n"/>
      <c r="Q213" s="25">
        <f>IF(C213="","",IF(N(N213)+N(O213)+N(P213)=0,"Not split",IF(ROUND(N(N213)+N(O213)+N(P213),2)=ROUND(H213,2),"OK","MISMATCH")))</f>
        <v/>
      </c>
      <c r="R213" s="26" t="n"/>
      <c r="S213" s="26" t="n"/>
      <c r="T213" s="26" t="n"/>
      <c r="U213" s="27">
        <f>IF(C213="","",N(R213)+N(S213)+N(T213))</f>
        <v/>
      </c>
      <c r="V213" s="27">
        <f>IF(C213="","",H213-U213)</f>
        <v/>
      </c>
      <c r="W213" s="29">
        <f>IFERROR(V213/H213,"")</f>
        <v/>
      </c>
      <c r="X213" s="24" t="n"/>
    </row>
    <row r="214" ht="15" customHeight="1">
      <c r="A214" s="63">
        <f>IF(C214="","",IFERROR(IF(SUMPRODUCT(MAX((tbl_Finance[Job Number]=C214&amp;"")*(tbl_Finance[Xero Invoice No]&lt;&gt;"")*tbl_Finance[Date]))=0,"",SUMPRODUCT(MAX((tbl_Finance[Job Number]=C214&amp;"")*(tbl_Finance[Xero Invoice No]&lt;&gt;"")*tbl_Finance[Date]))),""))</f>
        <v/>
      </c>
      <c r="B214" s="25">
        <f>IF(C214="","",IF(COUNTIFS(tbl_Finance[Job Number],C214&amp;"",tbl_Finance[Xero Invoice No],"&lt;&gt;")=0,"",IFERROR(IF(COUNTIFS(tbl_Finance[Job Number],C214&amp;"",tbl_Finance[Xero Invoice No],LOOKUP(2,1/((tbl_Finance[Job Number]=C214&amp;"")*(tbl_Finance[Xero Invoice No]&lt;&gt;"")),tbl_Finance[Xero Invoice No]))=COUNTIFS(tbl_Finance[Job Number],C214&amp;"",tbl_Finance[Xero Invoice No],"&lt;&gt;"),LOOKUP(2,1/((tbl_Finance[Job Number]=C214&amp;"")*(tbl_Finance[Xero Invoice No]&lt;&gt;"")),tbl_Finance[Xero Invoice No]),LOOKUP(2,1/((tbl_Finance[Job Number]=C214&amp;"")*(tbl_Finance[Xero Invoice No]&lt;&gt;"")),tbl_Finance[Xero Invoice No])&amp;" +more"),"")))</f>
        <v/>
      </c>
      <c r="C214" s="24" t="n"/>
      <c r="D214" s="25">
        <f>IF(C214="","",IF(COUNTIF(lst_Jobs,C214&amp;"")&gt;0,"OK","CHECK"))</f>
        <v/>
      </c>
      <c r="E214" s="25">
        <f>IF(C214="","",IFERROR(INDEX(lst_JobName,MATCH(C214&amp;"",lst_Jobs,0)),""))</f>
        <v/>
      </c>
      <c r="F214" s="25">
        <f>IF(C214="","",IFERROR(INDEX(tbl_Finance[Client],MATCH(C214&amp;"",tbl_Finance[Job Number],0)),""))</f>
        <v/>
      </c>
      <c r="G214" s="28">
        <f>IF(C214="","",COUNTIFS(tbl_Finance[Job Number],C214&amp;"",tbl_Finance[Ex GST],"&lt;&gt;"))</f>
        <v/>
      </c>
      <c r="H214" s="27">
        <f>IF(C214="","",SUMIFS(tbl_Finance[Ex GST],tbl_Finance[Job Number],C214&amp;""))</f>
        <v/>
      </c>
      <c r="I214" s="27">
        <f>IF(C214="","",SUMIFS(tbl_Finance[Ex GST],tbl_Finance[Job Number],C214&amp;"",tbl_Finance[Xero Invoice No],"&lt;&gt;"))</f>
        <v/>
      </c>
      <c r="J214" s="27">
        <f>IF(C214="","",H214-I214)</f>
        <v/>
      </c>
      <c r="K214" s="25">
        <f>IF(C214="","",IF(G214=0,"not invoiced yet",SUBSTITUTE(TRIM(IF(COUNTIFS(tbl_Finance[Job Number],C214&amp;"",tbl_Finance[Cost Centre],"ONSITE")&gt;0,"ONSITE ","")&amp;IF(COUNTIFS(tbl_Finance[Job Number],C214&amp;"",tbl_Finance[Cost Centre],"PRODUCTION")&gt;0,"PRODUCTION ","")&amp;IF(COUNTIFS(tbl_Finance[Job Number],C214&amp;"",tbl_Finance[Cost Centre],"VIDEO")&gt;0,"VIDEO ","")&amp;IF(COUNTIFS(tbl_Finance[Job Number],C214&amp;"",tbl_Finance[Cost Centre],"INTEGRATION")&gt;0,"INTEGRATION ","")&amp;IF(COUNTIFS(tbl_Finance[Job Number],C214&amp;"",tbl_Finance[Cost Centre],"CONSULTING")&gt;0,"CONSULTING ","")&amp;IF(COUNTIFS(tbl_Finance[Job Number],C214&amp;"",tbl_Finance[Cost Centre],"CTS")&gt;0,"CTS ",""))," ",", ")))</f>
        <v/>
      </c>
      <c r="L214" s="24" t="n"/>
      <c r="M214" s="25">
        <f>IF(L214="","",HYPERLINK(IF(LEFT(L214,4)="http",L214,set_QwilrBase&amp;L214),"Open quote"))</f>
        <v/>
      </c>
      <c r="N214" s="26" t="n"/>
      <c r="O214" s="26" t="n"/>
      <c r="P214" s="26" t="n"/>
      <c r="Q214" s="25">
        <f>IF(C214="","",IF(N(N214)+N(O214)+N(P214)=0,"Not split",IF(ROUND(N(N214)+N(O214)+N(P214),2)=ROUND(H214,2),"OK","MISMATCH")))</f>
        <v/>
      </c>
      <c r="R214" s="26" t="n"/>
      <c r="S214" s="26" t="n"/>
      <c r="T214" s="26" t="n"/>
      <c r="U214" s="27">
        <f>IF(C214="","",N(R214)+N(S214)+N(T214))</f>
        <v/>
      </c>
      <c r="V214" s="27">
        <f>IF(C214="","",H214-U214)</f>
        <v/>
      </c>
      <c r="W214" s="29">
        <f>IFERROR(V214/H214,"")</f>
        <v/>
      </c>
      <c r="X214" s="24" t="n"/>
    </row>
    <row r="215" ht="15" customHeight="1">
      <c r="A215" s="63">
        <f>IF(C215="","",IFERROR(IF(SUMPRODUCT(MAX((tbl_Finance[Job Number]=C215&amp;"")*(tbl_Finance[Xero Invoice No]&lt;&gt;"")*tbl_Finance[Date]))=0,"",SUMPRODUCT(MAX((tbl_Finance[Job Number]=C215&amp;"")*(tbl_Finance[Xero Invoice No]&lt;&gt;"")*tbl_Finance[Date]))),""))</f>
        <v/>
      </c>
      <c r="B215" s="25">
        <f>IF(C215="","",IF(COUNTIFS(tbl_Finance[Job Number],C215&amp;"",tbl_Finance[Xero Invoice No],"&lt;&gt;")=0,"",IFERROR(IF(COUNTIFS(tbl_Finance[Job Number],C215&amp;"",tbl_Finance[Xero Invoice No],LOOKUP(2,1/((tbl_Finance[Job Number]=C215&amp;"")*(tbl_Finance[Xero Invoice No]&lt;&gt;"")),tbl_Finance[Xero Invoice No]))=COUNTIFS(tbl_Finance[Job Number],C215&amp;"",tbl_Finance[Xero Invoice No],"&lt;&gt;"),LOOKUP(2,1/((tbl_Finance[Job Number]=C215&amp;"")*(tbl_Finance[Xero Invoice No]&lt;&gt;"")),tbl_Finance[Xero Invoice No]),LOOKUP(2,1/((tbl_Finance[Job Number]=C215&amp;"")*(tbl_Finance[Xero Invoice No]&lt;&gt;"")),tbl_Finance[Xero Invoice No])&amp;" +more"),"")))</f>
        <v/>
      </c>
      <c r="C215" s="24" t="n"/>
      <c r="D215" s="25">
        <f>IF(C215="","",IF(COUNTIF(lst_Jobs,C215&amp;"")&gt;0,"OK","CHECK"))</f>
        <v/>
      </c>
      <c r="E215" s="25">
        <f>IF(C215="","",IFERROR(INDEX(lst_JobName,MATCH(C215&amp;"",lst_Jobs,0)),""))</f>
        <v/>
      </c>
      <c r="F215" s="25">
        <f>IF(C215="","",IFERROR(INDEX(tbl_Finance[Client],MATCH(C215&amp;"",tbl_Finance[Job Number],0)),""))</f>
        <v/>
      </c>
      <c r="G215" s="28">
        <f>IF(C215="","",COUNTIFS(tbl_Finance[Job Number],C215&amp;"",tbl_Finance[Ex GST],"&lt;&gt;"))</f>
        <v/>
      </c>
      <c r="H215" s="27">
        <f>IF(C215="","",SUMIFS(tbl_Finance[Ex GST],tbl_Finance[Job Number],C215&amp;""))</f>
        <v/>
      </c>
      <c r="I215" s="27">
        <f>IF(C215="","",SUMIFS(tbl_Finance[Ex GST],tbl_Finance[Job Number],C215&amp;"",tbl_Finance[Xero Invoice No],"&lt;&gt;"))</f>
        <v/>
      </c>
      <c r="J215" s="27">
        <f>IF(C215="","",H215-I215)</f>
        <v/>
      </c>
      <c r="K215" s="25">
        <f>IF(C215="","",IF(G215=0,"not invoiced yet",SUBSTITUTE(TRIM(IF(COUNTIFS(tbl_Finance[Job Number],C215&amp;"",tbl_Finance[Cost Centre],"ONSITE")&gt;0,"ONSITE ","")&amp;IF(COUNTIFS(tbl_Finance[Job Number],C215&amp;"",tbl_Finance[Cost Centre],"PRODUCTION")&gt;0,"PRODUCTION ","")&amp;IF(COUNTIFS(tbl_Finance[Job Number],C215&amp;"",tbl_Finance[Cost Centre],"VIDEO")&gt;0,"VIDEO ","")&amp;IF(COUNTIFS(tbl_Finance[Job Number],C215&amp;"",tbl_Finance[Cost Centre],"INTEGRATION")&gt;0,"INTEGRATION ","")&amp;IF(COUNTIFS(tbl_Finance[Job Number],C215&amp;"",tbl_Finance[Cost Centre],"CONSULTING")&gt;0,"CONSULTING ","")&amp;IF(COUNTIFS(tbl_Finance[Job Number],C215&amp;"",tbl_Finance[Cost Centre],"CTS")&gt;0,"CTS ",""))," ",", ")))</f>
        <v/>
      </c>
      <c r="L215" s="24" t="n"/>
      <c r="M215" s="25">
        <f>IF(L215="","",HYPERLINK(IF(LEFT(L215,4)="http",L215,set_QwilrBase&amp;L215),"Open quote"))</f>
        <v/>
      </c>
      <c r="N215" s="26" t="n"/>
      <c r="O215" s="26" t="n"/>
      <c r="P215" s="26" t="n"/>
      <c r="Q215" s="25">
        <f>IF(C215="","",IF(N(N215)+N(O215)+N(P215)=0,"Not split",IF(ROUND(N(N215)+N(O215)+N(P215),2)=ROUND(H215,2),"OK","MISMATCH")))</f>
        <v/>
      </c>
      <c r="R215" s="26" t="n"/>
      <c r="S215" s="26" t="n"/>
      <c r="T215" s="26" t="n"/>
      <c r="U215" s="27">
        <f>IF(C215="","",N(R215)+N(S215)+N(T215))</f>
        <v/>
      </c>
      <c r="V215" s="27">
        <f>IF(C215="","",H215-U215)</f>
        <v/>
      </c>
      <c r="W215" s="29">
        <f>IFERROR(V215/H215,"")</f>
        <v/>
      </c>
      <c r="X215" s="24" t="n"/>
    </row>
    <row r="216" ht="15" customHeight="1">
      <c r="A216" s="63">
        <f>IF(C216="","",IFERROR(IF(SUMPRODUCT(MAX((tbl_Finance[Job Number]=C216&amp;"")*(tbl_Finance[Xero Invoice No]&lt;&gt;"")*tbl_Finance[Date]))=0,"",SUMPRODUCT(MAX((tbl_Finance[Job Number]=C216&amp;"")*(tbl_Finance[Xero Invoice No]&lt;&gt;"")*tbl_Finance[Date]))),""))</f>
        <v/>
      </c>
      <c r="B216" s="25">
        <f>IF(C216="","",IF(COUNTIFS(tbl_Finance[Job Number],C216&amp;"",tbl_Finance[Xero Invoice No],"&lt;&gt;")=0,"",IFERROR(IF(COUNTIFS(tbl_Finance[Job Number],C216&amp;"",tbl_Finance[Xero Invoice No],LOOKUP(2,1/((tbl_Finance[Job Number]=C216&amp;"")*(tbl_Finance[Xero Invoice No]&lt;&gt;"")),tbl_Finance[Xero Invoice No]))=COUNTIFS(tbl_Finance[Job Number],C216&amp;"",tbl_Finance[Xero Invoice No],"&lt;&gt;"),LOOKUP(2,1/((tbl_Finance[Job Number]=C216&amp;"")*(tbl_Finance[Xero Invoice No]&lt;&gt;"")),tbl_Finance[Xero Invoice No]),LOOKUP(2,1/((tbl_Finance[Job Number]=C216&amp;"")*(tbl_Finance[Xero Invoice No]&lt;&gt;"")),tbl_Finance[Xero Invoice No])&amp;" +more"),"")))</f>
        <v/>
      </c>
      <c r="C216" s="24" t="n"/>
      <c r="D216" s="25">
        <f>IF(C216="","",IF(COUNTIF(lst_Jobs,C216&amp;"")&gt;0,"OK","CHECK"))</f>
        <v/>
      </c>
      <c r="E216" s="25">
        <f>IF(C216="","",IFERROR(INDEX(lst_JobName,MATCH(C216&amp;"",lst_Jobs,0)),""))</f>
        <v/>
      </c>
      <c r="F216" s="25">
        <f>IF(C216="","",IFERROR(INDEX(tbl_Finance[Client],MATCH(C216&amp;"",tbl_Finance[Job Number],0)),""))</f>
        <v/>
      </c>
      <c r="G216" s="28">
        <f>IF(C216="","",COUNTIFS(tbl_Finance[Job Number],C216&amp;"",tbl_Finance[Ex GST],"&lt;&gt;"))</f>
        <v/>
      </c>
      <c r="H216" s="27">
        <f>IF(C216="","",SUMIFS(tbl_Finance[Ex GST],tbl_Finance[Job Number],C216&amp;""))</f>
        <v/>
      </c>
      <c r="I216" s="27">
        <f>IF(C216="","",SUMIFS(tbl_Finance[Ex GST],tbl_Finance[Job Number],C216&amp;"",tbl_Finance[Xero Invoice No],"&lt;&gt;"))</f>
        <v/>
      </c>
      <c r="J216" s="27">
        <f>IF(C216="","",H216-I216)</f>
        <v/>
      </c>
      <c r="K216" s="25">
        <f>IF(C216="","",IF(G216=0,"not invoiced yet",SUBSTITUTE(TRIM(IF(COUNTIFS(tbl_Finance[Job Number],C216&amp;"",tbl_Finance[Cost Centre],"ONSITE")&gt;0,"ONSITE ","")&amp;IF(COUNTIFS(tbl_Finance[Job Number],C216&amp;"",tbl_Finance[Cost Centre],"PRODUCTION")&gt;0,"PRODUCTION ","")&amp;IF(COUNTIFS(tbl_Finance[Job Number],C216&amp;"",tbl_Finance[Cost Centre],"VIDEO")&gt;0,"VIDEO ","")&amp;IF(COUNTIFS(tbl_Finance[Job Number],C216&amp;"",tbl_Finance[Cost Centre],"INTEGRATION")&gt;0,"INTEGRATION ","")&amp;IF(COUNTIFS(tbl_Finance[Job Number],C216&amp;"",tbl_Finance[Cost Centre],"CONSULTING")&gt;0,"CONSULTING ","")&amp;IF(COUNTIFS(tbl_Finance[Job Number],C216&amp;"",tbl_Finance[Cost Centre],"CTS")&gt;0,"CTS ",""))," ",", ")))</f>
        <v/>
      </c>
      <c r="L216" s="24" t="n"/>
      <c r="M216" s="25">
        <f>IF(L216="","",HYPERLINK(IF(LEFT(L216,4)="http",L216,set_QwilrBase&amp;L216),"Open quote"))</f>
        <v/>
      </c>
      <c r="N216" s="26" t="n"/>
      <c r="O216" s="26" t="n"/>
      <c r="P216" s="26" t="n"/>
      <c r="Q216" s="25">
        <f>IF(C216="","",IF(N(N216)+N(O216)+N(P216)=0,"Not split",IF(ROUND(N(N216)+N(O216)+N(P216),2)=ROUND(H216,2),"OK","MISMATCH")))</f>
        <v/>
      </c>
      <c r="R216" s="26" t="n"/>
      <c r="S216" s="26" t="n"/>
      <c r="T216" s="26" t="n"/>
      <c r="U216" s="27">
        <f>IF(C216="","",N(R216)+N(S216)+N(T216))</f>
        <v/>
      </c>
      <c r="V216" s="27">
        <f>IF(C216="","",H216-U216)</f>
        <v/>
      </c>
      <c r="W216" s="29">
        <f>IFERROR(V216/H216,"")</f>
        <v/>
      </c>
      <c r="X216" s="24" t="n"/>
    </row>
    <row r="217" ht="15" customHeight="1">
      <c r="A217" s="63">
        <f>IF(C217="","",IFERROR(IF(SUMPRODUCT(MAX((tbl_Finance[Job Number]=C217&amp;"")*(tbl_Finance[Xero Invoice No]&lt;&gt;"")*tbl_Finance[Date]))=0,"",SUMPRODUCT(MAX((tbl_Finance[Job Number]=C217&amp;"")*(tbl_Finance[Xero Invoice No]&lt;&gt;"")*tbl_Finance[Date]))),""))</f>
        <v/>
      </c>
      <c r="B217" s="25">
        <f>IF(C217="","",IF(COUNTIFS(tbl_Finance[Job Number],C217&amp;"",tbl_Finance[Xero Invoice No],"&lt;&gt;")=0,"",IFERROR(IF(COUNTIFS(tbl_Finance[Job Number],C217&amp;"",tbl_Finance[Xero Invoice No],LOOKUP(2,1/((tbl_Finance[Job Number]=C217&amp;"")*(tbl_Finance[Xero Invoice No]&lt;&gt;"")),tbl_Finance[Xero Invoice No]))=COUNTIFS(tbl_Finance[Job Number],C217&amp;"",tbl_Finance[Xero Invoice No],"&lt;&gt;"),LOOKUP(2,1/((tbl_Finance[Job Number]=C217&amp;"")*(tbl_Finance[Xero Invoice No]&lt;&gt;"")),tbl_Finance[Xero Invoice No]),LOOKUP(2,1/((tbl_Finance[Job Number]=C217&amp;"")*(tbl_Finance[Xero Invoice No]&lt;&gt;"")),tbl_Finance[Xero Invoice No])&amp;" +more"),"")))</f>
        <v/>
      </c>
      <c r="C217" s="24" t="n"/>
      <c r="D217" s="25">
        <f>IF(C217="","",IF(COUNTIF(lst_Jobs,C217&amp;"")&gt;0,"OK","CHECK"))</f>
        <v/>
      </c>
      <c r="E217" s="25">
        <f>IF(C217="","",IFERROR(INDEX(lst_JobName,MATCH(C217&amp;"",lst_Jobs,0)),""))</f>
        <v/>
      </c>
      <c r="F217" s="25">
        <f>IF(C217="","",IFERROR(INDEX(tbl_Finance[Client],MATCH(C217&amp;"",tbl_Finance[Job Number],0)),""))</f>
        <v/>
      </c>
      <c r="G217" s="28">
        <f>IF(C217="","",COUNTIFS(tbl_Finance[Job Number],C217&amp;"",tbl_Finance[Ex GST],"&lt;&gt;"))</f>
        <v/>
      </c>
      <c r="H217" s="27">
        <f>IF(C217="","",SUMIFS(tbl_Finance[Ex GST],tbl_Finance[Job Number],C217&amp;""))</f>
        <v/>
      </c>
      <c r="I217" s="27">
        <f>IF(C217="","",SUMIFS(tbl_Finance[Ex GST],tbl_Finance[Job Number],C217&amp;"",tbl_Finance[Xero Invoice No],"&lt;&gt;"))</f>
        <v/>
      </c>
      <c r="J217" s="27">
        <f>IF(C217="","",H217-I217)</f>
        <v/>
      </c>
      <c r="K217" s="25">
        <f>IF(C217="","",IF(G217=0,"not invoiced yet",SUBSTITUTE(TRIM(IF(COUNTIFS(tbl_Finance[Job Number],C217&amp;"",tbl_Finance[Cost Centre],"ONSITE")&gt;0,"ONSITE ","")&amp;IF(COUNTIFS(tbl_Finance[Job Number],C217&amp;"",tbl_Finance[Cost Centre],"PRODUCTION")&gt;0,"PRODUCTION ","")&amp;IF(COUNTIFS(tbl_Finance[Job Number],C217&amp;"",tbl_Finance[Cost Centre],"VIDEO")&gt;0,"VIDEO ","")&amp;IF(COUNTIFS(tbl_Finance[Job Number],C217&amp;"",tbl_Finance[Cost Centre],"INTEGRATION")&gt;0,"INTEGRATION ","")&amp;IF(COUNTIFS(tbl_Finance[Job Number],C217&amp;"",tbl_Finance[Cost Centre],"CONSULTING")&gt;0,"CONSULTING ","")&amp;IF(COUNTIFS(tbl_Finance[Job Number],C217&amp;"",tbl_Finance[Cost Centre],"CTS")&gt;0,"CTS ",""))," ",", ")))</f>
        <v/>
      </c>
      <c r="L217" s="24" t="n"/>
      <c r="M217" s="25">
        <f>IF(L217="","",HYPERLINK(IF(LEFT(L217,4)="http",L217,set_QwilrBase&amp;L217),"Open quote"))</f>
        <v/>
      </c>
      <c r="N217" s="26" t="n"/>
      <c r="O217" s="26" t="n"/>
      <c r="P217" s="26" t="n"/>
      <c r="Q217" s="25">
        <f>IF(C217="","",IF(N(N217)+N(O217)+N(P217)=0,"Not split",IF(ROUND(N(N217)+N(O217)+N(P217),2)=ROUND(H217,2),"OK","MISMATCH")))</f>
        <v/>
      </c>
      <c r="R217" s="26" t="n"/>
      <c r="S217" s="26" t="n"/>
      <c r="T217" s="26" t="n"/>
      <c r="U217" s="27">
        <f>IF(C217="","",N(R217)+N(S217)+N(T217))</f>
        <v/>
      </c>
      <c r="V217" s="27">
        <f>IF(C217="","",H217-U217)</f>
        <v/>
      </c>
      <c r="W217" s="29">
        <f>IFERROR(V217/H217,"")</f>
        <v/>
      </c>
      <c r="X217" s="24" t="n"/>
    </row>
    <row r="218" ht="15" customHeight="1">
      <c r="A218" s="63">
        <f>IF(C218="","",IFERROR(IF(SUMPRODUCT(MAX((tbl_Finance[Job Number]=C218&amp;"")*(tbl_Finance[Xero Invoice No]&lt;&gt;"")*tbl_Finance[Date]))=0,"",SUMPRODUCT(MAX((tbl_Finance[Job Number]=C218&amp;"")*(tbl_Finance[Xero Invoice No]&lt;&gt;"")*tbl_Finance[Date]))),""))</f>
        <v/>
      </c>
      <c r="B218" s="25">
        <f>IF(C218="","",IF(COUNTIFS(tbl_Finance[Job Number],C218&amp;"",tbl_Finance[Xero Invoice No],"&lt;&gt;")=0,"",IFERROR(IF(COUNTIFS(tbl_Finance[Job Number],C218&amp;"",tbl_Finance[Xero Invoice No],LOOKUP(2,1/((tbl_Finance[Job Number]=C218&amp;"")*(tbl_Finance[Xero Invoice No]&lt;&gt;"")),tbl_Finance[Xero Invoice No]))=COUNTIFS(tbl_Finance[Job Number],C218&amp;"",tbl_Finance[Xero Invoice No],"&lt;&gt;"),LOOKUP(2,1/((tbl_Finance[Job Number]=C218&amp;"")*(tbl_Finance[Xero Invoice No]&lt;&gt;"")),tbl_Finance[Xero Invoice No]),LOOKUP(2,1/((tbl_Finance[Job Number]=C218&amp;"")*(tbl_Finance[Xero Invoice No]&lt;&gt;"")),tbl_Finance[Xero Invoice No])&amp;" +more"),"")))</f>
        <v/>
      </c>
      <c r="C218" s="24" t="n"/>
      <c r="D218" s="25">
        <f>IF(C218="","",IF(COUNTIF(lst_Jobs,C218&amp;"")&gt;0,"OK","CHECK"))</f>
        <v/>
      </c>
      <c r="E218" s="25">
        <f>IF(C218="","",IFERROR(INDEX(lst_JobName,MATCH(C218&amp;"",lst_Jobs,0)),""))</f>
        <v/>
      </c>
      <c r="F218" s="25">
        <f>IF(C218="","",IFERROR(INDEX(tbl_Finance[Client],MATCH(C218&amp;"",tbl_Finance[Job Number],0)),""))</f>
        <v/>
      </c>
      <c r="G218" s="28">
        <f>IF(C218="","",COUNTIFS(tbl_Finance[Job Number],C218&amp;"",tbl_Finance[Ex GST],"&lt;&gt;"))</f>
        <v/>
      </c>
      <c r="H218" s="27">
        <f>IF(C218="","",SUMIFS(tbl_Finance[Ex GST],tbl_Finance[Job Number],C218&amp;""))</f>
        <v/>
      </c>
      <c r="I218" s="27">
        <f>IF(C218="","",SUMIFS(tbl_Finance[Ex GST],tbl_Finance[Job Number],C218&amp;"",tbl_Finance[Xero Invoice No],"&lt;&gt;"))</f>
        <v/>
      </c>
      <c r="J218" s="27">
        <f>IF(C218="","",H218-I218)</f>
        <v/>
      </c>
      <c r="K218" s="25">
        <f>IF(C218="","",IF(G218=0,"not invoiced yet",SUBSTITUTE(TRIM(IF(COUNTIFS(tbl_Finance[Job Number],C218&amp;"",tbl_Finance[Cost Centre],"ONSITE")&gt;0,"ONSITE ","")&amp;IF(COUNTIFS(tbl_Finance[Job Number],C218&amp;"",tbl_Finance[Cost Centre],"PRODUCTION")&gt;0,"PRODUCTION ","")&amp;IF(COUNTIFS(tbl_Finance[Job Number],C218&amp;"",tbl_Finance[Cost Centre],"VIDEO")&gt;0,"VIDEO ","")&amp;IF(COUNTIFS(tbl_Finance[Job Number],C218&amp;"",tbl_Finance[Cost Centre],"INTEGRATION")&gt;0,"INTEGRATION ","")&amp;IF(COUNTIFS(tbl_Finance[Job Number],C218&amp;"",tbl_Finance[Cost Centre],"CONSULTING")&gt;0,"CONSULTING ","")&amp;IF(COUNTIFS(tbl_Finance[Job Number],C218&amp;"",tbl_Finance[Cost Centre],"CTS")&gt;0,"CTS ",""))," ",", ")))</f>
        <v/>
      </c>
      <c r="L218" s="24" t="n"/>
      <c r="M218" s="25">
        <f>IF(L218="","",HYPERLINK(IF(LEFT(L218,4)="http",L218,set_QwilrBase&amp;L218),"Open quote"))</f>
        <v/>
      </c>
      <c r="N218" s="26" t="n"/>
      <c r="O218" s="26" t="n"/>
      <c r="P218" s="26" t="n"/>
      <c r="Q218" s="25">
        <f>IF(C218="","",IF(N(N218)+N(O218)+N(P218)=0,"Not split",IF(ROUND(N(N218)+N(O218)+N(P218),2)=ROUND(H218,2),"OK","MISMATCH")))</f>
        <v/>
      </c>
      <c r="R218" s="26" t="n"/>
      <c r="S218" s="26" t="n"/>
      <c r="T218" s="26" t="n"/>
      <c r="U218" s="27">
        <f>IF(C218="","",N(R218)+N(S218)+N(T218))</f>
        <v/>
      </c>
      <c r="V218" s="27">
        <f>IF(C218="","",H218-U218)</f>
        <v/>
      </c>
      <c r="W218" s="29">
        <f>IFERROR(V218/H218,"")</f>
        <v/>
      </c>
      <c r="X218" s="24" t="n"/>
    </row>
    <row r="219" ht="15" customHeight="1">
      <c r="A219" s="63">
        <f>IF(C219="","",IFERROR(IF(SUMPRODUCT(MAX((tbl_Finance[Job Number]=C219&amp;"")*(tbl_Finance[Xero Invoice No]&lt;&gt;"")*tbl_Finance[Date]))=0,"",SUMPRODUCT(MAX((tbl_Finance[Job Number]=C219&amp;"")*(tbl_Finance[Xero Invoice No]&lt;&gt;"")*tbl_Finance[Date]))),""))</f>
        <v/>
      </c>
      <c r="B219" s="25">
        <f>IF(C219="","",IF(COUNTIFS(tbl_Finance[Job Number],C219&amp;"",tbl_Finance[Xero Invoice No],"&lt;&gt;")=0,"",IFERROR(IF(COUNTIFS(tbl_Finance[Job Number],C219&amp;"",tbl_Finance[Xero Invoice No],LOOKUP(2,1/((tbl_Finance[Job Number]=C219&amp;"")*(tbl_Finance[Xero Invoice No]&lt;&gt;"")),tbl_Finance[Xero Invoice No]))=COUNTIFS(tbl_Finance[Job Number],C219&amp;"",tbl_Finance[Xero Invoice No],"&lt;&gt;"),LOOKUP(2,1/((tbl_Finance[Job Number]=C219&amp;"")*(tbl_Finance[Xero Invoice No]&lt;&gt;"")),tbl_Finance[Xero Invoice No]),LOOKUP(2,1/((tbl_Finance[Job Number]=C219&amp;"")*(tbl_Finance[Xero Invoice No]&lt;&gt;"")),tbl_Finance[Xero Invoice No])&amp;" +more"),"")))</f>
        <v/>
      </c>
      <c r="C219" s="24" t="n"/>
      <c r="D219" s="25">
        <f>IF(C219="","",IF(COUNTIF(lst_Jobs,C219&amp;"")&gt;0,"OK","CHECK"))</f>
        <v/>
      </c>
      <c r="E219" s="25">
        <f>IF(C219="","",IFERROR(INDEX(lst_JobName,MATCH(C219&amp;"",lst_Jobs,0)),""))</f>
        <v/>
      </c>
      <c r="F219" s="25">
        <f>IF(C219="","",IFERROR(INDEX(tbl_Finance[Client],MATCH(C219&amp;"",tbl_Finance[Job Number],0)),""))</f>
        <v/>
      </c>
      <c r="G219" s="28">
        <f>IF(C219="","",COUNTIFS(tbl_Finance[Job Number],C219&amp;"",tbl_Finance[Ex GST],"&lt;&gt;"))</f>
        <v/>
      </c>
      <c r="H219" s="27">
        <f>IF(C219="","",SUMIFS(tbl_Finance[Ex GST],tbl_Finance[Job Number],C219&amp;""))</f>
        <v/>
      </c>
      <c r="I219" s="27">
        <f>IF(C219="","",SUMIFS(tbl_Finance[Ex GST],tbl_Finance[Job Number],C219&amp;"",tbl_Finance[Xero Invoice No],"&lt;&gt;"))</f>
        <v/>
      </c>
      <c r="J219" s="27">
        <f>IF(C219="","",H219-I219)</f>
        <v/>
      </c>
      <c r="K219" s="25">
        <f>IF(C219="","",IF(G219=0,"not invoiced yet",SUBSTITUTE(TRIM(IF(COUNTIFS(tbl_Finance[Job Number],C219&amp;"",tbl_Finance[Cost Centre],"ONSITE")&gt;0,"ONSITE ","")&amp;IF(COUNTIFS(tbl_Finance[Job Number],C219&amp;"",tbl_Finance[Cost Centre],"PRODUCTION")&gt;0,"PRODUCTION ","")&amp;IF(COUNTIFS(tbl_Finance[Job Number],C219&amp;"",tbl_Finance[Cost Centre],"VIDEO")&gt;0,"VIDEO ","")&amp;IF(COUNTIFS(tbl_Finance[Job Number],C219&amp;"",tbl_Finance[Cost Centre],"INTEGRATION")&gt;0,"INTEGRATION ","")&amp;IF(COUNTIFS(tbl_Finance[Job Number],C219&amp;"",tbl_Finance[Cost Centre],"CONSULTING")&gt;0,"CONSULTING ","")&amp;IF(COUNTIFS(tbl_Finance[Job Number],C219&amp;"",tbl_Finance[Cost Centre],"CTS")&gt;0,"CTS ",""))," ",", ")))</f>
        <v/>
      </c>
      <c r="L219" s="24" t="n"/>
      <c r="M219" s="25">
        <f>IF(L219="","",HYPERLINK(IF(LEFT(L219,4)="http",L219,set_QwilrBase&amp;L219),"Open quote"))</f>
        <v/>
      </c>
      <c r="N219" s="26" t="n"/>
      <c r="O219" s="26" t="n"/>
      <c r="P219" s="26" t="n"/>
      <c r="Q219" s="25">
        <f>IF(C219="","",IF(N(N219)+N(O219)+N(P219)=0,"Not split",IF(ROUND(N(N219)+N(O219)+N(P219),2)=ROUND(H219,2),"OK","MISMATCH")))</f>
        <v/>
      </c>
      <c r="R219" s="26" t="n"/>
      <c r="S219" s="26" t="n"/>
      <c r="T219" s="26" t="n"/>
      <c r="U219" s="27">
        <f>IF(C219="","",N(R219)+N(S219)+N(T219))</f>
        <v/>
      </c>
      <c r="V219" s="27">
        <f>IF(C219="","",H219-U219)</f>
        <v/>
      </c>
      <c r="W219" s="29">
        <f>IFERROR(V219/H219,"")</f>
        <v/>
      </c>
      <c r="X219" s="24" t="n"/>
    </row>
    <row r="220" ht="15" customHeight="1">
      <c r="A220" s="63">
        <f>IF(C220="","",IFERROR(IF(SUMPRODUCT(MAX((tbl_Finance[Job Number]=C220&amp;"")*(tbl_Finance[Xero Invoice No]&lt;&gt;"")*tbl_Finance[Date]))=0,"",SUMPRODUCT(MAX((tbl_Finance[Job Number]=C220&amp;"")*(tbl_Finance[Xero Invoice No]&lt;&gt;"")*tbl_Finance[Date]))),""))</f>
        <v/>
      </c>
      <c r="B220" s="25">
        <f>IF(C220="","",IF(COUNTIFS(tbl_Finance[Job Number],C220&amp;"",tbl_Finance[Xero Invoice No],"&lt;&gt;")=0,"",IFERROR(IF(COUNTIFS(tbl_Finance[Job Number],C220&amp;"",tbl_Finance[Xero Invoice No],LOOKUP(2,1/((tbl_Finance[Job Number]=C220&amp;"")*(tbl_Finance[Xero Invoice No]&lt;&gt;"")),tbl_Finance[Xero Invoice No]))=COUNTIFS(tbl_Finance[Job Number],C220&amp;"",tbl_Finance[Xero Invoice No],"&lt;&gt;"),LOOKUP(2,1/((tbl_Finance[Job Number]=C220&amp;"")*(tbl_Finance[Xero Invoice No]&lt;&gt;"")),tbl_Finance[Xero Invoice No]),LOOKUP(2,1/((tbl_Finance[Job Number]=C220&amp;"")*(tbl_Finance[Xero Invoice No]&lt;&gt;"")),tbl_Finance[Xero Invoice No])&amp;" +more"),"")))</f>
        <v/>
      </c>
      <c r="C220" s="24" t="n"/>
      <c r="D220" s="25">
        <f>IF(C220="","",IF(COUNTIF(lst_Jobs,C220&amp;"")&gt;0,"OK","CHECK"))</f>
        <v/>
      </c>
      <c r="E220" s="25">
        <f>IF(C220="","",IFERROR(INDEX(lst_JobName,MATCH(C220&amp;"",lst_Jobs,0)),""))</f>
        <v/>
      </c>
      <c r="F220" s="25">
        <f>IF(C220="","",IFERROR(INDEX(tbl_Finance[Client],MATCH(C220&amp;"",tbl_Finance[Job Number],0)),""))</f>
        <v/>
      </c>
      <c r="G220" s="28">
        <f>IF(C220="","",COUNTIFS(tbl_Finance[Job Number],C220&amp;"",tbl_Finance[Ex GST],"&lt;&gt;"))</f>
        <v/>
      </c>
      <c r="H220" s="27">
        <f>IF(C220="","",SUMIFS(tbl_Finance[Ex GST],tbl_Finance[Job Number],C220&amp;""))</f>
        <v/>
      </c>
      <c r="I220" s="27">
        <f>IF(C220="","",SUMIFS(tbl_Finance[Ex GST],tbl_Finance[Job Number],C220&amp;"",tbl_Finance[Xero Invoice No],"&lt;&gt;"))</f>
        <v/>
      </c>
      <c r="J220" s="27">
        <f>IF(C220="","",H220-I220)</f>
        <v/>
      </c>
      <c r="K220" s="25">
        <f>IF(C220="","",IF(G220=0,"not invoiced yet",SUBSTITUTE(TRIM(IF(COUNTIFS(tbl_Finance[Job Number],C220&amp;"",tbl_Finance[Cost Centre],"ONSITE")&gt;0,"ONSITE ","")&amp;IF(COUNTIFS(tbl_Finance[Job Number],C220&amp;"",tbl_Finance[Cost Centre],"PRODUCTION")&gt;0,"PRODUCTION ","")&amp;IF(COUNTIFS(tbl_Finance[Job Number],C220&amp;"",tbl_Finance[Cost Centre],"VIDEO")&gt;0,"VIDEO ","")&amp;IF(COUNTIFS(tbl_Finance[Job Number],C220&amp;"",tbl_Finance[Cost Centre],"INTEGRATION")&gt;0,"INTEGRATION ","")&amp;IF(COUNTIFS(tbl_Finance[Job Number],C220&amp;"",tbl_Finance[Cost Centre],"CONSULTING")&gt;0,"CONSULTING ","")&amp;IF(COUNTIFS(tbl_Finance[Job Number],C220&amp;"",tbl_Finance[Cost Centre],"CTS")&gt;0,"CTS ",""))," ",", ")))</f>
        <v/>
      </c>
      <c r="L220" s="24" t="n"/>
      <c r="M220" s="25">
        <f>IF(L220="","",HYPERLINK(IF(LEFT(L220,4)="http",L220,set_QwilrBase&amp;L220),"Open quote"))</f>
        <v/>
      </c>
      <c r="N220" s="26" t="n"/>
      <c r="O220" s="26" t="n"/>
      <c r="P220" s="26" t="n"/>
      <c r="Q220" s="25">
        <f>IF(C220="","",IF(N(N220)+N(O220)+N(P220)=0,"Not split",IF(ROUND(N(N220)+N(O220)+N(P220),2)=ROUND(H220,2),"OK","MISMATCH")))</f>
        <v/>
      </c>
      <c r="R220" s="26" t="n"/>
      <c r="S220" s="26" t="n"/>
      <c r="T220" s="26" t="n"/>
      <c r="U220" s="27">
        <f>IF(C220="","",N(R220)+N(S220)+N(T220))</f>
        <v/>
      </c>
      <c r="V220" s="27">
        <f>IF(C220="","",H220-U220)</f>
        <v/>
      </c>
      <c r="W220" s="29">
        <f>IFERROR(V220/H220,"")</f>
        <v/>
      </c>
      <c r="X220" s="24" t="n"/>
    </row>
    <row r="221" ht="15" customHeight="1">
      <c r="A221" s="63">
        <f>IF(C221="","",IFERROR(IF(SUMPRODUCT(MAX((tbl_Finance[Job Number]=C221&amp;"")*(tbl_Finance[Xero Invoice No]&lt;&gt;"")*tbl_Finance[Date]))=0,"",SUMPRODUCT(MAX((tbl_Finance[Job Number]=C221&amp;"")*(tbl_Finance[Xero Invoice No]&lt;&gt;"")*tbl_Finance[Date]))),""))</f>
        <v/>
      </c>
      <c r="B221" s="25">
        <f>IF(C221="","",IF(COUNTIFS(tbl_Finance[Job Number],C221&amp;"",tbl_Finance[Xero Invoice No],"&lt;&gt;")=0,"",IFERROR(IF(COUNTIFS(tbl_Finance[Job Number],C221&amp;"",tbl_Finance[Xero Invoice No],LOOKUP(2,1/((tbl_Finance[Job Number]=C221&amp;"")*(tbl_Finance[Xero Invoice No]&lt;&gt;"")),tbl_Finance[Xero Invoice No]))=COUNTIFS(tbl_Finance[Job Number],C221&amp;"",tbl_Finance[Xero Invoice No],"&lt;&gt;"),LOOKUP(2,1/((tbl_Finance[Job Number]=C221&amp;"")*(tbl_Finance[Xero Invoice No]&lt;&gt;"")),tbl_Finance[Xero Invoice No]),LOOKUP(2,1/((tbl_Finance[Job Number]=C221&amp;"")*(tbl_Finance[Xero Invoice No]&lt;&gt;"")),tbl_Finance[Xero Invoice No])&amp;" +more"),"")))</f>
        <v/>
      </c>
      <c r="C221" s="24" t="n"/>
      <c r="D221" s="25">
        <f>IF(C221="","",IF(COUNTIF(lst_Jobs,C221&amp;"")&gt;0,"OK","CHECK"))</f>
        <v/>
      </c>
      <c r="E221" s="25">
        <f>IF(C221="","",IFERROR(INDEX(lst_JobName,MATCH(C221&amp;"",lst_Jobs,0)),""))</f>
        <v/>
      </c>
      <c r="F221" s="25">
        <f>IF(C221="","",IFERROR(INDEX(tbl_Finance[Client],MATCH(C221&amp;"",tbl_Finance[Job Number],0)),""))</f>
        <v/>
      </c>
      <c r="G221" s="28">
        <f>IF(C221="","",COUNTIFS(tbl_Finance[Job Number],C221&amp;"",tbl_Finance[Ex GST],"&lt;&gt;"))</f>
        <v/>
      </c>
      <c r="H221" s="27">
        <f>IF(C221="","",SUMIFS(tbl_Finance[Ex GST],tbl_Finance[Job Number],C221&amp;""))</f>
        <v/>
      </c>
      <c r="I221" s="27">
        <f>IF(C221="","",SUMIFS(tbl_Finance[Ex GST],tbl_Finance[Job Number],C221&amp;"",tbl_Finance[Xero Invoice No],"&lt;&gt;"))</f>
        <v/>
      </c>
      <c r="J221" s="27">
        <f>IF(C221="","",H221-I221)</f>
        <v/>
      </c>
      <c r="K221" s="25">
        <f>IF(C221="","",IF(G221=0,"not invoiced yet",SUBSTITUTE(TRIM(IF(COUNTIFS(tbl_Finance[Job Number],C221&amp;"",tbl_Finance[Cost Centre],"ONSITE")&gt;0,"ONSITE ","")&amp;IF(COUNTIFS(tbl_Finance[Job Number],C221&amp;"",tbl_Finance[Cost Centre],"PRODUCTION")&gt;0,"PRODUCTION ","")&amp;IF(COUNTIFS(tbl_Finance[Job Number],C221&amp;"",tbl_Finance[Cost Centre],"VIDEO")&gt;0,"VIDEO ","")&amp;IF(COUNTIFS(tbl_Finance[Job Number],C221&amp;"",tbl_Finance[Cost Centre],"INTEGRATION")&gt;0,"INTEGRATION ","")&amp;IF(COUNTIFS(tbl_Finance[Job Number],C221&amp;"",tbl_Finance[Cost Centre],"CONSULTING")&gt;0,"CONSULTING ","")&amp;IF(COUNTIFS(tbl_Finance[Job Number],C221&amp;"",tbl_Finance[Cost Centre],"CTS")&gt;0,"CTS ",""))," ",", ")))</f>
        <v/>
      </c>
      <c r="L221" s="24" t="n"/>
      <c r="M221" s="25">
        <f>IF(L221="","",HYPERLINK(IF(LEFT(L221,4)="http",L221,set_QwilrBase&amp;L221),"Open quote"))</f>
        <v/>
      </c>
      <c r="N221" s="26" t="n"/>
      <c r="O221" s="26" t="n"/>
      <c r="P221" s="26" t="n"/>
      <c r="Q221" s="25">
        <f>IF(C221="","",IF(N(N221)+N(O221)+N(P221)=0,"Not split",IF(ROUND(N(N221)+N(O221)+N(P221),2)=ROUND(H221,2),"OK","MISMATCH")))</f>
        <v/>
      </c>
      <c r="R221" s="26" t="n"/>
      <c r="S221" s="26" t="n"/>
      <c r="T221" s="26" t="n"/>
      <c r="U221" s="27">
        <f>IF(C221="","",N(R221)+N(S221)+N(T221))</f>
        <v/>
      </c>
      <c r="V221" s="27">
        <f>IF(C221="","",H221-U221)</f>
        <v/>
      </c>
      <c r="W221" s="29">
        <f>IFERROR(V221/H221,"")</f>
        <v/>
      </c>
      <c r="X221" s="24" t="n"/>
    </row>
    <row r="222" ht="15" customHeight="1">
      <c r="A222" s="63">
        <f>IF(C222="","",IFERROR(IF(SUMPRODUCT(MAX((tbl_Finance[Job Number]=C222&amp;"")*(tbl_Finance[Xero Invoice No]&lt;&gt;"")*tbl_Finance[Date]))=0,"",SUMPRODUCT(MAX((tbl_Finance[Job Number]=C222&amp;"")*(tbl_Finance[Xero Invoice No]&lt;&gt;"")*tbl_Finance[Date]))),""))</f>
        <v/>
      </c>
      <c r="B222" s="25">
        <f>IF(C222="","",IF(COUNTIFS(tbl_Finance[Job Number],C222&amp;"",tbl_Finance[Xero Invoice No],"&lt;&gt;")=0,"",IFERROR(IF(COUNTIFS(tbl_Finance[Job Number],C222&amp;"",tbl_Finance[Xero Invoice No],LOOKUP(2,1/((tbl_Finance[Job Number]=C222&amp;"")*(tbl_Finance[Xero Invoice No]&lt;&gt;"")),tbl_Finance[Xero Invoice No]))=COUNTIFS(tbl_Finance[Job Number],C222&amp;"",tbl_Finance[Xero Invoice No],"&lt;&gt;"),LOOKUP(2,1/((tbl_Finance[Job Number]=C222&amp;"")*(tbl_Finance[Xero Invoice No]&lt;&gt;"")),tbl_Finance[Xero Invoice No]),LOOKUP(2,1/((tbl_Finance[Job Number]=C222&amp;"")*(tbl_Finance[Xero Invoice No]&lt;&gt;"")),tbl_Finance[Xero Invoice No])&amp;" +more"),"")))</f>
        <v/>
      </c>
      <c r="C222" s="24" t="n"/>
      <c r="D222" s="25">
        <f>IF(C222="","",IF(COUNTIF(lst_Jobs,C222&amp;"")&gt;0,"OK","CHECK"))</f>
        <v/>
      </c>
      <c r="E222" s="25">
        <f>IF(C222="","",IFERROR(INDEX(lst_JobName,MATCH(C222&amp;"",lst_Jobs,0)),""))</f>
        <v/>
      </c>
      <c r="F222" s="25">
        <f>IF(C222="","",IFERROR(INDEX(tbl_Finance[Client],MATCH(C222&amp;"",tbl_Finance[Job Number],0)),""))</f>
        <v/>
      </c>
      <c r="G222" s="28">
        <f>IF(C222="","",COUNTIFS(tbl_Finance[Job Number],C222&amp;"",tbl_Finance[Ex GST],"&lt;&gt;"))</f>
        <v/>
      </c>
      <c r="H222" s="27">
        <f>IF(C222="","",SUMIFS(tbl_Finance[Ex GST],tbl_Finance[Job Number],C222&amp;""))</f>
        <v/>
      </c>
      <c r="I222" s="27">
        <f>IF(C222="","",SUMIFS(tbl_Finance[Ex GST],tbl_Finance[Job Number],C222&amp;"",tbl_Finance[Xero Invoice No],"&lt;&gt;"))</f>
        <v/>
      </c>
      <c r="J222" s="27">
        <f>IF(C222="","",H222-I222)</f>
        <v/>
      </c>
      <c r="K222" s="25">
        <f>IF(C222="","",IF(G222=0,"not invoiced yet",SUBSTITUTE(TRIM(IF(COUNTIFS(tbl_Finance[Job Number],C222&amp;"",tbl_Finance[Cost Centre],"ONSITE")&gt;0,"ONSITE ","")&amp;IF(COUNTIFS(tbl_Finance[Job Number],C222&amp;"",tbl_Finance[Cost Centre],"PRODUCTION")&gt;0,"PRODUCTION ","")&amp;IF(COUNTIFS(tbl_Finance[Job Number],C222&amp;"",tbl_Finance[Cost Centre],"VIDEO")&gt;0,"VIDEO ","")&amp;IF(COUNTIFS(tbl_Finance[Job Number],C222&amp;"",tbl_Finance[Cost Centre],"INTEGRATION")&gt;0,"INTEGRATION ","")&amp;IF(COUNTIFS(tbl_Finance[Job Number],C222&amp;"",tbl_Finance[Cost Centre],"CONSULTING")&gt;0,"CONSULTING ","")&amp;IF(COUNTIFS(tbl_Finance[Job Number],C222&amp;"",tbl_Finance[Cost Centre],"CTS")&gt;0,"CTS ",""))," ",", ")))</f>
        <v/>
      </c>
      <c r="L222" s="24" t="n"/>
      <c r="M222" s="25">
        <f>IF(L222="","",HYPERLINK(IF(LEFT(L222,4)="http",L222,set_QwilrBase&amp;L222),"Open quote"))</f>
        <v/>
      </c>
      <c r="N222" s="26" t="n"/>
      <c r="O222" s="26" t="n"/>
      <c r="P222" s="26" t="n"/>
      <c r="Q222" s="25">
        <f>IF(C222="","",IF(N(N222)+N(O222)+N(P222)=0,"Not split",IF(ROUND(N(N222)+N(O222)+N(P222),2)=ROUND(H222,2),"OK","MISMATCH")))</f>
        <v/>
      </c>
      <c r="R222" s="26" t="n"/>
      <c r="S222" s="26" t="n"/>
      <c r="T222" s="26" t="n"/>
      <c r="U222" s="27">
        <f>IF(C222="","",N(R222)+N(S222)+N(T222))</f>
        <v/>
      </c>
      <c r="V222" s="27">
        <f>IF(C222="","",H222-U222)</f>
        <v/>
      </c>
      <c r="W222" s="29">
        <f>IFERROR(V222/H222,"")</f>
        <v/>
      </c>
      <c r="X222" s="24" t="n"/>
    </row>
    <row r="223" ht="15" customHeight="1">
      <c r="A223" s="63">
        <f>IF(C223="","",IFERROR(IF(SUMPRODUCT(MAX((tbl_Finance[Job Number]=C223&amp;"")*(tbl_Finance[Xero Invoice No]&lt;&gt;"")*tbl_Finance[Date]))=0,"",SUMPRODUCT(MAX((tbl_Finance[Job Number]=C223&amp;"")*(tbl_Finance[Xero Invoice No]&lt;&gt;"")*tbl_Finance[Date]))),""))</f>
        <v/>
      </c>
      <c r="B223" s="25">
        <f>IF(C223="","",IF(COUNTIFS(tbl_Finance[Job Number],C223&amp;"",tbl_Finance[Xero Invoice No],"&lt;&gt;")=0,"",IFERROR(IF(COUNTIFS(tbl_Finance[Job Number],C223&amp;"",tbl_Finance[Xero Invoice No],LOOKUP(2,1/((tbl_Finance[Job Number]=C223&amp;"")*(tbl_Finance[Xero Invoice No]&lt;&gt;"")),tbl_Finance[Xero Invoice No]))=COUNTIFS(tbl_Finance[Job Number],C223&amp;"",tbl_Finance[Xero Invoice No],"&lt;&gt;"),LOOKUP(2,1/((tbl_Finance[Job Number]=C223&amp;"")*(tbl_Finance[Xero Invoice No]&lt;&gt;"")),tbl_Finance[Xero Invoice No]),LOOKUP(2,1/((tbl_Finance[Job Number]=C223&amp;"")*(tbl_Finance[Xero Invoice No]&lt;&gt;"")),tbl_Finance[Xero Invoice No])&amp;" +more"),"")))</f>
        <v/>
      </c>
      <c r="C223" s="24" t="n"/>
      <c r="D223" s="25">
        <f>IF(C223="","",IF(COUNTIF(lst_Jobs,C223&amp;"")&gt;0,"OK","CHECK"))</f>
        <v/>
      </c>
      <c r="E223" s="25">
        <f>IF(C223="","",IFERROR(INDEX(lst_JobName,MATCH(C223&amp;"",lst_Jobs,0)),""))</f>
        <v/>
      </c>
      <c r="F223" s="25">
        <f>IF(C223="","",IFERROR(INDEX(tbl_Finance[Client],MATCH(C223&amp;"",tbl_Finance[Job Number],0)),""))</f>
        <v/>
      </c>
      <c r="G223" s="28">
        <f>IF(C223="","",COUNTIFS(tbl_Finance[Job Number],C223&amp;"",tbl_Finance[Ex GST],"&lt;&gt;"))</f>
        <v/>
      </c>
      <c r="H223" s="27">
        <f>IF(C223="","",SUMIFS(tbl_Finance[Ex GST],tbl_Finance[Job Number],C223&amp;""))</f>
        <v/>
      </c>
      <c r="I223" s="27">
        <f>IF(C223="","",SUMIFS(tbl_Finance[Ex GST],tbl_Finance[Job Number],C223&amp;"",tbl_Finance[Xero Invoice No],"&lt;&gt;"))</f>
        <v/>
      </c>
      <c r="J223" s="27">
        <f>IF(C223="","",H223-I223)</f>
        <v/>
      </c>
      <c r="K223" s="25">
        <f>IF(C223="","",IF(G223=0,"not invoiced yet",SUBSTITUTE(TRIM(IF(COUNTIFS(tbl_Finance[Job Number],C223&amp;"",tbl_Finance[Cost Centre],"ONSITE")&gt;0,"ONSITE ","")&amp;IF(COUNTIFS(tbl_Finance[Job Number],C223&amp;"",tbl_Finance[Cost Centre],"PRODUCTION")&gt;0,"PRODUCTION ","")&amp;IF(COUNTIFS(tbl_Finance[Job Number],C223&amp;"",tbl_Finance[Cost Centre],"VIDEO")&gt;0,"VIDEO ","")&amp;IF(COUNTIFS(tbl_Finance[Job Number],C223&amp;"",tbl_Finance[Cost Centre],"INTEGRATION")&gt;0,"INTEGRATION ","")&amp;IF(COUNTIFS(tbl_Finance[Job Number],C223&amp;"",tbl_Finance[Cost Centre],"CONSULTING")&gt;0,"CONSULTING ","")&amp;IF(COUNTIFS(tbl_Finance[Job Number],C223&amp;"",tbl_Finance[Cost Centre],"CTS")&gt;0,"CTS ",""))," ",", ")))</f>
        <v/>
      </c>
      <c r="L223" s="24" t="n"/>
      <c r="M223" s="25">
        <f>IF(L223="","",HYPERLINK(IF(LEFT(L223,4)="http",L223,set_QwilrBase&amp;L223),"Open quote"))</f>
        <v/>
      </c>
      <c r="N223" s="26" t="n"/>
      <c r="O223" s="26" t="n"/>
      <c r="P223" s="26" t="n"/>
      <c r="Q223" s="25">
        <f>IF(C223="","",IF(N(N223)+N(O223)+N(P223)=0,"Not split",IF(ROUND(N(N223)+N(O223)+N(P223),2)=ROUND(H223,2),"OK","MISMATCH")))</f>
        <v/>
      </c>
      <c r="R223" s="26" t="n"/>
      <c r="S223" s="26" t="n"/>
      <c r="T223" s="26" t="n"/>
      <c r="U223" s="27">
        <f>IF(C223="","",N(R223)+N(S223)+N(T223))</f>
        <v/>
      </c>
      <c r="V223" s="27">
        <f>IF(C223="","",H223-U223)</f>
        <v/>
      </c>
      <c r="W223" s="29">
        <f>IFERROR(V223/H223,"")</f>
        <v/>
      </c>
      <c r="X223" s="24" t="n"/>
    </row>
    <row r="224" ht="15" customHeight="1">
      <c r="A224" s="63">
        <f>IF(C224="","",IFERROR(IF(SUMPRODUCT(MAX((tbl_Finance[Job Number]=C224&amp;"")*(tbl_Finance[Xero Invoice No]&lt;&gt;"")*tbl_Finance[Date]))=0,"",SUMPRODUCT(MAX((tbl_Finance[Job Number]=C224&amp;"")*(tbl_Finance[Xero Invoice No]&lt;&gt;"")*tbl_Finance[Date]))),""))</f>
        <v/>
      </c>
      <c r="B224" s="25">
        <f>IF(C224="","",IF(COUNTIFS(tbl_Finance[Job Number],C224&amp;"",tbl_Finance[Xero Invoice No],"&lt;&gt;")=0,"",IFERROR(IF(COUNTIFS(tbl_Finance[Job Number],C224&amp;"",tbl_Finance[Xero Invoice No],LOOKUP(2,1/((tbl_Finance[Job Number]=C224&amp;"")*(tbl_Finance[Xero Invoice No]&lt;&gt;"")),tbl_Finance[Xero Invoice No]))=COUNTIFS(tbl_Finance[Job Number],C224&amp;"",tbl_Finance[Xero Invoice No],"&lt;&gt;"),LOOKUP(2,1/((tbl_Finance[Job Number]=C224&amp;"")*(tbl_Finance[Xero Invoice No]&lt;&gt;"")),tbl_Finance[Xero Invoice No]),LOOKUP(2,1/((tbl_Finance[Job Number]=C224&amp;"")*(tbl_Finance[Xero Invoice No]&lt;&gt;"")),tbl_Finance[Xero Invoice No])&amp;" +more"),"")))</f>
        <v/>
      </c>
      <c r="C224" s="24" t="n"/>
      <c r="D224" s="25">
        <f>IF(C224="","",IF(COUNTIF(lst_Jobs,C224&amp;"")&gt;0,"OK","CHECK"))</f>
        <v/>
      </c>
      <c r="E224" s="25">
        <f>IF(C224="","",IFERROR(INDEX(lst_JobName,MATCH(C224&amp;"",lst_Jobs,0)),""))</f>
        <v/>
      </c>
      <c r="F224" s="25">
        <f>IF(C224="","",IFERROR(INDEX(tbl_Finance[Client],MATCH(C224&amp;"",tbl_Finance[Job Number],0)),""))</f>
        <v/>
      </c>
      <c r="G224" s="28">
        <f>IF(C224="","",COUNTIFS(tbl_Finance[Job Number],C224&amp;"",tbl_Finance[Ex GST],"&lt;&gt;"))</f>
        <v/>
      </c>
      <c r="H224" s="27">
        <f>IF(C224="","",SUMIFS(tbl_Finance[Ex GST],tbl_Finance[Job Number],C224&amp;""))</f>
        <v/>
      </c>
      <c r="I224" s="27">
        <f>IF(C224="","",SUMIFS(tbl_Finance[Ex GST],tbl_Finance[Job Number],C224&amp;"",tbl_Finance[Xero Invoice No],"&lt;&gt;"))</f>
        <v/>
      </c>
      <c r="J224" s="27">
        <f>IF(C224="","",H224-I224)</f>
        <v/>
      </c>
      <c r="K224" s="25">
        <f>IF(C224="","",IF(G224=0,"not invoiced yet",SUBSTITUTE(TRIM(IF(COUNTIFS(tbl_Finance[Job Number],C224&amp;"",tbl_Finance[Cost Centre],"ONSITE")&gt;0,"ONSITE ","")&amp;IF(COUNTIFS(tbl_Finance[Job Number],C224&amp;"",tbl_Finance[Cost Centre],"PRODUCTION")&gt;0,"PRODUCTION ","")&amp;IF(COUNTIFS(tbl_Finance[Job Number],C224&amp;"",tbl_Finance[Cost Centre],"VIDEO")&gt;0,"VIDEO ","")&amp;IF(COUNTIFS(tbl_Finance[Job Number],C224&amp;"",tbl_Finance[Cost Centre],"INTEGRATION")&gt;0,"INTEGRATION ","")&amp;IF(COUNTIFS(tbl_Finance[Job Number],C224&amp;"",tbl_Finance[Cost Centre],"CONSULTING")&gt;0,"CONSULTING ","")&amp;IF(COUNTIFS(tbl_Finance[Job Number],C224&amp;"",tbl_Finance[Cost Centre],"CTS")&gt;0,"CTS ",""))," ",", ")))</f>
        <v/>
      </c>
      <c r="L224" s="24" t="n"/>
      <c r="M224" s="25">
        <f>IF(L224="","",HYPERLINK(IF(LEFT(L224,4)="http",L224,set_QwilrBase&amp;L224),"Open quote"))</f>
        <v/>
      </c>
      <c r="N224" s="26" t="n"/>
      <c r="O224" s="26" t="n"/>
      <c r="P224" s="26" t="n"/>
      <c r="Q224" s="25">
        <f>IF(C224="","",IF(N(N224)+N(O224)+N(P224)=0,"Not split",IF(ROUND(N(N224)+N(O224)+N(P224),2)=ROUND(H224,2),"OK","MISMATCH")))</f>
        <v/>
      </c>
      <c r="R224" s="26" t="n"/>
      <c r="S224" s="26" t="n"/>
      <c r="T224" s="26" t="n"/>
      <c r="U224" s="27">
        <f>IF(C224="","",N(R224)+N(S224)+N(T224))</f>
        <v/>
      </c>
      <c r="V224" s="27">
        <f>IF(C224="","",H224-U224)</f>
        <v/>
      </c>
      <c r="W224" s="29">
        <f>IFERROR(V224/H224,"")</f>
        <v/>
      </c>
      <c r="X224" s="24" t="n"/>
    </row>
    <row r="225" ht="15" customHeight="1">
      <c r="A225" s="63">
        <f>IF(C225="","",IFERROR(IF(SUMPRODUCT(MAX((tbl_Finance[Job Number]=C225&amp;"")*(tbl_Finance[Xero Invoice No]&lt;&gt;"")*tbl_Finance[Date]))=0,"",SUMPRODUCT(MAX((tbl_Finance[Job Number]=C225&amp;"")*(tbl_Finance[Xero Invoice No]&lt;&gt;"")*tbl_Finance[Date]))),""))</f>
        <v/>
      </c>
      <c r="B225" s="25">
        <f>IF(C225="","",IF(COUNTIFS(tbl_Finance[Job Number],C225&amp;"",tbl_Finance[Xero Invoice No],"&lt;&gt;")=0,"",IFERROR(IF(COUNTIFS(tbl_Finance[Job Number],C225&amp;"",tbl_Finance[Xero Invoice No],LOOKUP(2,1/((tbl_Finance[Job Number]=C225&amp;"")*(tbl_Finance[Xero Invoice No]&lt;&gt;"")),tbl_Finance[Xero Invoice No]))=COUNTIFS(tbl_Finance[Job Number],C225&amp;"",tbl_Finance[Xero Invoice No],"&lt;&gt;"),LOOKUP(2,1/((tbl_Finance[Job Number]=C225&amp;"")*(tbl_Finance[Xero Invoice No]&lt;&gt;"")),tbl_Finance[Xero Invoice No]),LOOKUP(2,1/((tbl_Finance[Job Number]=C225&amp;"")*(tbl_Finance[Xero Invoice No]&lt;&gt;"")),tbl_Finance[Xero Invoice No])&amp;" +more"),"")))</f>
        <v/>
      </c>
      <c r="C225" s="24" t="n"/>
      <c r="D225" s="25">
        <f>IF(C225="","",IF(COUNTIF(lst_Jobs,C225&amp;"")&gt;0,"OK","CHECK"))</f>
        <v/>
      </c>
      <c r="E225" s="25">
        <f>IF(C225="","",IFERROR(INDEX(lst_JobName,MATCH(C225&amp;"",lst_Jobs,0)),""))</f>
        <v/>
      </c>
      <c r="F225" s="25">
        <f>IF(C225="","",IFERROR(INDEX(tbl_Finance[Client],MATCH(C225&amp;"",tbl_Finance[Job Number],0)),""))</f>
        <v/>
      </c>
      <c r="G225" s="28">
        <f>IF(C225="","",COUNTIFS(tbl_Finance[Job Number],C225&amp;"",tbl_Finance[Ex GST],"&lt;&gt;"))</f>
        <v/>
      </c>
      <c r="H225" s="27">
        <f>IF(C225="","",SUMIFS(tbl_Finance[Ex GST],tbl_Finance[Job Number],C225&amp;""))</f>
        <v/>
      </c>
      <c r="I225" s="27">
        <f>IF(C225="","",SUMIFS(tbl_Finance[Ex GST],tbl_Finance[Job Number],C225&amp;"",tbl_Finance[Xero Invoice No],"&lt;&gt;"))</f>
        <v/>
      </c>
      <c r="J225" s="27">
        <f>IF(C225="","",H225-I225)</f>
        <v/>
      </c>
      <c r="K225" s="25">
        <f>IF(C225="","",IF(G225=0,"not invoiced yet",SUBSTITUTE(TRIM(IF(COUNTIFS(tbl_Finance[Job Number],C225&amp;"",tbl_Finance[Cost Centre],"ONSITE")&gt;0,"ONSITE ","")&amp;IF(COUNTIFS(tbl_Finance[Job Number],C225&amp;"",tbl_Finance[Cost Centre],"PRODUCTION")&gt;0,"PRODUCTION ","")&amp;IF(COUNTIFS(tbl_Finance[Job Number],C225&amp;"",tbl_Finance[Cost Centre],"VIDEO")&gt;0,"VIDEO ","")&amp;IF(COUNTIFS(tbl_Finance[Job Number],C225&amp;"",tbl_Finance[Cost Centre],"INTEGRATION")&gt;0,"INTEGRATION ","")&amp;IF(COUNTIFS(tbl_Finance[Job Number],C225&amp;"",tbl_Finance[Cost Centre],"CONSULTING")&gt;0,"CONSULTING ","")&amp;IF(COUNTIFS(tbl_Finance[Job Number],C225&amp;"",tbl_Finance[Cost Centre],"CTS")&gt;0,"CTS ",""))," ",", ")))</f>
        <v/>
      </c>
      <c r="L225" s="24" t="n"/>
      <c r="M225" s="25">
        <f>IF(L225="","",HYPERLINK(IF(LEFT(L225,4)="http",L225,set_QwilrBase&amp;L225),"Open quote"))</f>
        <v/>
      </c>
      <c r="N225" s="26" t="n"/>
      <c r="O225" s="26" t="n"/>
      <c r="P225" s="26" t="n"/>
      <c r="Q225" s="25">
        <f>IF(C225="","",IF(N(N225)+N(O225)+N(P225)=0,"Not split",IF(ROUND(N(N225)+N(O225)+N(P225),2)=ROUND(H225,2),"OK","MISMATCH")))</f>
        <v/>
      </c>
      <c r="R225" s="26" t="n"/>
      <c r="S225" s="26" t="n"/>
      <c r="T225" s="26" t="n"/>
      <c r="U225" s="27">
        <f>IF(C225="","",N(R225)+N(S225)+N(T225))</f>
        <v/>
      </c>
      <c r="V225" s="27">
        <f>IF(C225="","",H225-U225)</f>
        <v/>
      </c>
      <c r="W225" s="29">
        <f>IFERROR(V225/H225,"")</f>
        <v/>
      </c>
      <c r="X225" s="24" t="n"/>
    </row>
    <row r="226" ht="15" customHeight="1">
      <c r="A226" s="63">
        <f>IF(C226="","",IFERROR(IF(SUMPRODUCT(MAX((tbl_Finance[Job Number]=C226&amp;"")*(tbl_Finance[Xero Invoice No]&lt;&gt;"")*tbl_Finance[Date]))=0,"",SUMPRODUCT(MAX((tbl_Finance[Job Number]=C226&amp;"")*(tbl_Finance[Xero Invoice No]&lt;&gt;"")*tbl_Finance[Date]))),""))</f>
        <v/>
      </c>
      <c r="B226" s="25">
        <f>IF(C226="","",IF(COUNTIFS(tbl_Finance[Job Number],C226&amp;"",tbl_Finance[Xero Invoice No],"&lt;&gt;")=0,"",IFERROR(IF(COUNTIFS(tbl_Finance[Job Number],C226&amp;"",tbl_Finance[Xero Invoice No],LOOKUP(2,1/((tbl_Finance[Job Number]=C226&amp;"")*(tbl_Finance[Xero Invoice No]&lt;&gt;"")),tbl_Finance[Xero Invoice No]))=COUNTIFS(tbl_Finance[Job Number],C226&amp;"",tbl_Finance[Xero Invoice No],"&lt;&gt;"),LOOKUP(2,1/((tbl_Finance[Job Number]=C226&amp;"")*(tbl_Finance[Xero Invoice No]&lt;&gt;"")),tbl_Finance[Xero Invoice No]),LOOKUP(2,1/((tbl_Finance[Job Number]=C226&amp;"")*(tbl_Finance[Xero Invoice No]&lt;&gt;"")),tbl_Finance[Xero Invoice No])&amp;" +more"),"")))</f>
        <v/>
      </c>
      <c r="C226" s="24" t="n"/>
      <c r="D226" s="25">
        <f>IF(C226="","",IF(COUNTIF(lst_Jobs,C226&amp;"")&gt;0,"OK","CHECK"))</f>
        <v/>
      </c>
      <c r="E226" s="25">
        <f>IF(C226="","",IFERROR(INDEX(lst_JobName,MATCH(C226&amp;"",lst_Jobs,0)),""))</f>
        <v/>
      </c>
      <c r="F226" s="25">
        <f>IF(C226="","",IFERROR(INDEX(tbl_Finance[Client],MATCH(C226&amp;"",tbl_Finance[Job Number],0)),""))</f>
        <v/>
      </c>
      <c r="G226" s="28">
        <f>IF(C226="","",COUNTIFS(tbl_Finance[Job Number],C226&amp;"",tbl_Finance[Ex GST],"&lt;&gt;"))</f>
        <v/>
      </c>
      <c r="H226" s="27">
        <f>IF(C226="","",SUMIFS(tbl_Finance[Ex GST],tbl_Finance[Job Number],C226&amp;""))</f>
        <v/>
      </c>
      <c r="I226" s="27">
        <f>IF(C226="","",SUMIFS(tbl_Finance[Ex GST],tbl_Finance[Job Number],C226&amp;"",tbl_Finance[Xero Invoice No],"&lt;&gt;"))</f>
        <v/>
      </c>
      <c r="J226" s="27">
        <f>IF(C226="","",H226-I226)</f>
        <v/>
      </c>
      <c r="K226" s="25">
        <f>IF(C226="","",IF(G226=0,"not invoiced yet",SUBSTITUTE(TRIM(IF(COUNTIFS(tbl_Finance[Job Number],C226&amp;"",tbl_Finance[Cost Centre],"ONSITE")&gt;0,"ONSITE ","")&amp;IF(COUNTIFS(tbl_Finance[Job Number],C226&amp;"",tbl_Finance[Cost Centre],"PRODUCTION")&gt;0,"PRODUCTION ","")&amp;IF(COUNTIFS(tbl_Finance[Job Number],C226&amp;"",tbl_Finance[Cost Centre],"VIDEO")&gt;0,"VIDEO ","")&amp;IF(COUNTIFS(tbl_Finance[Job Number],C226&amp;"",tbl_Finance[Cost Centre],"INTEGRATION")&gt;0,"INTEGRATION ","")&amp;IF(COUNTIFS(tbl_Finance[Job Number],C226&amp;"",tbl_Finance[Cost Centre],"CONSULTING")&gt;0,"CONSULTING ","")&amp;IF(COUNTIFS(tbl_Finance[Job Number],C226&amp;"",tbl_Finance[Cost Centre],"CTS")&gt;0,"CTS ",""))," ",", ")))</f>
        <v/>
      </c>
      <c r="L226" s="24" t="n"/>
      <c r="M226" s="25">
        <f>IF(L226="","",HYPERLINK(IF(LEFT(L226,4)="http",L226,set_QwilrBase&amp;L226),"Open quote"))</f>
        <v/>
      </c>
      <c r="N226" s="26" t="n"/>
      <c r="O226" s="26" t="n"/>
      <c r="P226" s="26" t="n"/>
      <c r="Q226" s="25">
        <f>IF(C226="","",IF(N(N226)+N(O226)+N(P226)=0,"Not split",IF(ROUND(N(N226)+N(O226)+N(P226),2)=ROUND(H226,2),"OK","MISMATCH")))</f>
        <v/>
      </c>
      <c r="R226" s="26" t="n"/>
      <c r="S226" s="26" t="n"/>
      <c r="T226" s="26" t="n"/>
      <c r="U226" s="27">
        <f>IF(C226="","",N(R226)+N(S226)+N(T226))</f>
        <v/>
      </c>
      <c r="V226" s="27">
        <f>IF(C226="","",H226-U226)</f>
        <v/>
      </c>
      <c r="W226" s="29">
        <f>IFERROR(V226/H226,"")</f>
        <v/>
      </c>
      <c r="X226" s="24" t="n"/>
    </row>
    <row r="227" ht="15" customHeight="1">
      <c r="A227" s="63">
        <f>IF(C227="","",IFERROR(IF(SUMPRODUCT(MAX((tbl_Finance[Job Number]=C227&amp;"")*(tbl_Finance[Xero Invoice No]&lt;&gt;"")*tbl_Finance[Date]))=0,"",SUMPRODUCT(MAX((tbl_Finance[Job Number]=C227&amp;"")*(tbl_Finance[Xero Invoice No]&lt;&gt;"")*tbl_Finance[Date]))),""))</f>
        <v/>
      </c>
      <c r="B227" s="25">
        <f>IF(C227="","",IF(COUNTIFS(tbl_Finance[Job Number],C227&amp;"",tbl_Finance[Xero Invoice No],"&lt;&gt;")=0,"",IFERROR(IF(COUNTIFS(tbl_Finance[Job Number],C227&amp;"",tbl_Finance[Xero Invoice No],LOOKUP(2,1/((tbl_Finance[Job Number]=C227&amp;"")*(tbl_Finance[Xero Invoice No]&lt;&gt;"")),tbl_Finance[Xero Invoice No]))=COUNTIFS(tbl_Finance[Job Number],C227&amp;"",tbl_Finance[Xero Invoice No],"&lt;&gt;"),LOOKUP(2,1/((tbl_Finance[Job Number]=C227&amp;"")*(tbl_Finance[Xero Invoice No]&lt;&gt;"")),tbl_Finance[Xero Invoice No]),LOOKUP(2,1/((tbl_Finance[Job Number]=C227&amp;"")*(tbl_Finance[Xero Invoice No]&lt;&gt;"")),tbl_Finance[Xero Invoice No])&amp;" +more"),"")))</f>
        <v/>
      </c>
      <c r="C227" s="24" t="n"/>
      <c r="D227" s="25">
        <f>IF(C227="","",IF(COUNTIF(lst_Jobs,C227&amp;"")&gt;0,"OK","CHECK"))</f>
        <v/>
      </c>
      <c r="E227" s="25">
        <f>IF(C227="","",IFERROR(INDEX(lst_JobName,MATCH(C227&amp;"",lst_Jobs,0)),""))</f>
        <v/>
      </c>
      <c r="F227" s="25">
        <f>IF(C227="","",IFERROR(INDEX(tbl_Finance[Client],MATCH(C227&amp;"",tbl_Finance[Job Number],0)),""))</f>
        <v/>
      </c>
      <c r="G227" s="28">
        <f>IF(C227="","",COUNTIFS(tbl_Finance[Job Number],C227&amp;"",tbl_Finance[Ex GST],"&lt;&gt;"))</f>
        <v/>
      </c>
      <c r="H227" s="27">
        <f>IF(C227="","",SUMIFS(tbl_Finance[Ex GST],tbl_Finance[Job Number],C227&amp;""))</f>
        <v/>
      </c>
      <c r="I227" s="27">
        <f>IF(C227="","",SUMIFS(tbl_Finance[Ex GST],tbl_Finance[Job Number],C227&amp;"",tbl_Finance[Xero Invoice No],"&lt;&gt;"))</f>
        <v/>
      </c>
      <c r="J227" s="27">
        <f>IF(C227="","",H227-I227)</f>
        <v/>
      </c>
      <c r="K227" s="25">
        <f>IF(C227="","",IF(G227=0,"not invoiced yet",SUBSTITUTE(TRIM(IF(COUNTIFS(tbl_Finance[Job Number],C227&amp;"",tbl_Finance[Cost Centre],"ONSITE")&gt;0,"ONSITE ","")&amp;IF(COUNTIFS(tbl_Finance[Job Number],C227&amp;"",tbl_Finance[Cost Centre],"PRODUCTION")&gt;0,"PRODUCTION ","")&amp;IF(COUNTIFS(tbl_Finance[Job Number],C227&amp;"",tbl_Finance[Cost Centre],"VIDEO")&gt;0,"VIDEO ","")&amp;IF(COUNTIFS(tbl_Finance[Job Number],C227&amp;"",tbl_Finance[Cost Centre],"INTEGRATION")&gt;0,"INTEGRATION ","")&amp;IF(COUNTIFS(tbl_Finance[Job Number],C227&amp;"",tbl_Finance[Cost Centre],"CONSULTING")&gt;0,"CONSULTING ","")&amp;IF(COUNTIFS(tbl_Finance[Job Number],C227&amp;"",tbl_Finance[Cost Centre],"CTS")&gt;0,"CTS ",""))," ",", ")))</f>
        <v/>
      </c>
      <c r="L227" s="24" t="n"/>
      <c r="M227" s="25">
        <f>IF(L227="","",HYPERLINK(IF(LEFT(L227,4)="http",L227,set_QwilrBase&amp;L227),"Open quote"))</f>
        <v/>
      </c>
      <c r="N227" s="26" t="n"/>
      <c r="O227" s="26" t="n"/>
      <c r="P227" s="26" t="n"/>
      <c r="Q227" s="25">
        <f>IF(C227="","",IF(N(N227)+N(O227)+N(P227)=0,"Not split",IF(ROUND(N(N227)+N(O227)+N(P227),2)=ROUND(H227,2),"OK","MISMATCH")))</f>
        <v/>
      </c>
      <c r="R227" s="26" t="n"/>
      <c r="S227" s="26" t="n"/>
      <c r="T227" s="26" t="n"/>
      <c r="U227" s="27">
        <f>IF(C227="","",N(R227)+N(S227)+N(T227))</f>
        <v/>
      </c>
      <c r="V227" s="27">
        <f>IF(C227="","",H227-U227)</f>
        <v/>
      </c>
      <c r="W227" s="29">
        <f>IFERROR(V227/H227,"")</f>
        <v/>
      </c>
      <c r="X227" s="24" t="n"/>
    </row>
    <row r="228" ht="15" customHeight="1">
      <c r="A228" s="63">
        <f>IF(C228="","",IFERROR(IF(SUMPRODUCT(MAX((tbl_Finance[Job Number]=C228&amp;"")*(tbl_Finance[Xero Invoice No]&lt;&gt;"")*tbl_Finance[Date]))=0,"",SUMPRODUCT(MAX((tbl_Finance[Job Number]=C228&amp;"")*(tbl_Finance[Xero Invoice No]&lt;&gt;"")*tbl_Finance[Date]))),""))</f>
        <v/>
      </c>
      <c r="B228" s="25">
        <f>IF(C228="","",IF(COUNTIFS(tbl_Finance[Job Number],C228&amp;"",tbl_Finance[Xero Invoice No],"&lt;&gt;")=0,"",IFERROR(IF(COUNTIFS(tbl_Finance[Job Number],C228&amp;"",tbl_Finance[Xero Invoice No],LOOKUP(2,1/((tbl_Finance[Job Number]=C228&amp;"")*(tbl_Finance[Xero Invoice No]&lt;&gt;"")),tbl_Finance[Xero Invoice No]))=COUNTIFS(tbl_Finance[Job Number],C228&amp;"",tbl_Finance[Xero Invoice No],"&lt;&gt;"),LOOKUP(2,1/((tbl_Finance[Job Number]=C228&amp;"")*(tbl_Finance[Xero Invoice No]&lt;&gt;"")),tbl_Finance[Xero Invoice No]),LOOKUP(2,1/((tbl_Finance[Job Number]=C228&amp;"")*(tbl_Finance[Xero Invoice No]&lt;&gt;"")),tbl_Finance[Xero Invoice No])&amp;" +more"),"")))</f>
        <v/>
      </c>
      <c r="C228" s="24" t="n"/>
      <c r="D228" s="25">
        <f>IF(C228="","",IF(COUNTIF(lst_Jobs,C228&amp;"")&gt;0,"OK","CHECK"))</f>
        <v/>
      </c>
      <c r="E228" s="25">
        <f>IF(C228="","",IFERROR(INDEX(lst_JobName,MATCH(C228&amp;"",lst_Jobs,0)),""))</f>
        <v/>
      </c>
      <c r="F228" s="25">
        <f>IF(C228="","",IFERROR(INDEX(tbl_Finance[Client],MATCH(C228&amp;"",tbl_Finance[Job Number],0)),""))</f>
        <v/>
      </c>
      <c r="G228" s="28">
        <f>IF(C228="","",COUNTIFS(tbl_Finance[Job Number],C228&amp;"",tbl_Finance[Ex GST],"&lt;&gt;"))</f>
        <v/>
      </c>
      <c r="H228" s="27">
        <f>IF(C228="","",SUMIFS(tbl_Finance[Ex GST],tbl_Finance[Job Number],C228&amp;""))</f>
        <v/>
      </c>
      <c r="I228" s="27">
        <f>IF(C228="","",SUMIFS(tbl_Finance[Ex GST],tbl_Finance[Job Number],C228&amp;"",tbl_Finance[Xero Invoice No],"&lt;&gt;"))</f>
        <v/>
      </c>
      <c r="J228" s="27">
        <f>IF(C228="","",H228-I228)</f>
        <v/>
      </c>
      <c r="K228" s="25">
        <f>IF(C228="","",IF(G228=0,"not invoiced yet",SUBSTITUTE(TRIM(IF(COUNTIFS(tbl_Finance[Job Number],C228&amp;"",tbl_Finance[Cost Centre],"ONSITE")&gt;0,"ONSITE ","")&amp;IF(COUNTIFS(tbl_Finance[Job Number],C228&amp;"",tbl_Finance[Cost Centre],"PRODUCTION")&gt;0,"PRODUCTION ","")&amp;IF(COUNTIFS(tbl_Finance[Job Number],C228&amp;"",tbl_Finance[Cost Centre],"VIDEO")&gt;0,"VIDEO ","")&amp;IF(COUNTIFS(tbl_Finance[Job Number],C228&amp;"",tbl_Finance[Cost Centre],"INTEGRATION")&gt;0,"INTEGRATION ","")&amp;IF(COUNTIFS(tbl_Finance[Job Number],C228&amp;"",tbl_Finance[Cost Centre],"CONSULTING")&gt;0,"CONSULTING ","")&amp;IF(COUNTIFS(tbl_Finance[Job Number],C228&amp;"",tbl_Finance[Cost Centre],"CTS")&gt;0,"CTS ",""))," ",", ")))</f>
        <v/>
      </c>
      <c r="L228" s="24" t="n"/>
      <c r="M228" s="25">
        <f>IF(L228="","",HYPERLINK(IF(LEFT(L228,4)="http",L228,set_QwilrBase&amp;L228),"Open quote"))</f>
        <v/>
      </c>
      <c r="N228" s="26" t="n"/>
      <c r="O228" s="26" t="n"/>
      <c r="P228" s="26" t="n"/>
      <c r="Q228" s="25">
        <f>IF(C228="","",IF(N(N228)+N(O228)+N(P228)=0,"Not split",IF(ROUND(N(N228)+N(O228)+N(P228),2)=ROUND(H228,2),"OK","MISMATCH")))</f>
        <v/>
      </c>
      <c r="R228" s="26" t="n"/>
      <c r="S228" s="26" t="n"/>
      <c r="T228" s="26" t="n"/>
      <c r="U228" s="27">
        <f>IF(C228="","",N(R228)+N(S228)+N(T228))</f>
        <v/>
      </c>
      <c r="V228" s="27">
        <f>IF(C228="","",H228-U228)</f>
        <v/>
      </c>
      <c r="W228" s="29">
        <f>IFERROR(V228/H228,"")</f>
        <v/>
      </c>
      <c r="X228" s="24" t="n"/>
    </row>
    <row r="229" ht="15" customHeight="1">
      <c r="A229" s="63">
        <f>IF(C229="","",IFERROR(IF(SUMPRODUCT(MAX((tbl_Finance[Job Number]=C229&amp;"")*(tbl_Finance[Xero Invoice No]&lt;&gt;"")*tbl_Finance[Date]))=0,"",SUMPRODUCT(MAX((tbl_Finance[Job Number]=C229&amp;"")*(tbl_Finance[Xero Invoice No]&lt;&gt;"")*tbl_Finance[Date]))),""))</f>
        <v/>
      </c>
      <c r="B229" s="25">
        <f>IF(C229="","",IF(COUNTIFS(tbl_Finance[Job Number],C229&amp;"",tbl_Finance[Xero Invoice No],"&lt;&gt;")=0,"",IFERROR(IF(COUNTIFS(tbl_Finance[Job Number],C229&amp;"",tbl_Finance[Xero Invoice No],LOOKUP(2,1/((tbl_Finance[Job Number]=C229&amp;"")*(tbl_Finance[Xero Invoice No]&lt;&gt;"")),tbl_Finance[Xero Invoice No]))=COUNTIFS(tbl_Finance[Job Number],C229&amp;"",tbl_Finance[Xero Invoice No],"&lt;&gt;"),LOOKUP(2,1/((tbl_Finance[Job Number]=C229&amp;"")*(tbl_Finance[Xero Invoice No]&lt;&gt;"")),tbl_Finance[Xero Invoice No]),LOOKUP(2,1/((tbl_Finance[Job Number]=C229&amp;"")*(tbl_Finance[Xero Invoice No]&lt;&gt;"")),tbl_Finance[Xero Invoice No])&amp;" +more"),"")))</f>
        <v/>
      </c>
      <c r="C229" s="24" t="n"/>
      <c r="D229" s="25">
        <f>IF(C229="","",IF(COUNTIF(lst_Jobs,C229&amp;"")&gt;0,"OK","CHECK"))</f>
        <v/>
      </c>
      <c r="E229" s="25">
        <f>IF(C229="","",IFERROR(INDEX(lst_JobName,MATCH(C229&amp;"",lst_Jobs,0)),""))</f>
        <v/>
      </c>
      <c r="F229" s="25">
        <f>IF(C229="","",IFERROR(INDEX(tbl_Finance[Client],MATCH(C229&amp;"",tbl_Finance[Job Number],0)),""))</f>
        <v/>
      </c>
      <c r="G229" s="28">
        <f>IF(C229="","",COUNTIFS(tbl_Finance[Job Number],C229&amp;"",tbl_Finance[Ex GST],"&lt;&gt;"))</f>
        <v/>
      </c>
      <c r="H229" s="27">
        <f>IF(C229="","",SUMIFS(tbl_Finance[Ex GST],tbl_Finance[Job Number],C229&amp;""))</f>
        <v/>
      </c>
      <c r="I229" s="27">
        <f>IF(C229="","",SUMIFS(tbl_Finance[Ex GST],tbl_Finance[Job Number],C229&amp;"",tbl_Finance[Xero Invoice No],"&lt;&gt;"))</f>
        <v/>
      </c>
      <c r="J229" s="27">
        <f>IF(C229="","",H229-I229)</f>
        <v/>
      </c>
      <c r="K229" s="25">
        <f>IF(C229="","",IF(G229=0,"not invoiced yet",SUBSTITUTE(TRIM(IF(COUNTIFS(tbl_Finance[Job Number],C229&amp;"",tbl_Finance[Cost Centre],"ONSITE")&gt;0,"ONSITE ","")&amp;IF(COUNTIFS(tbl_Finance[Job Number],C229&amp;"",tbl_Finance[Cost Centre],"PRODUCTION")&gt;0,"PRODUCTION ","")&amp;IF(COUNTIFS(tbl_Finance[Job Number],C229&amp;"",tbl_Finance[Cost Centre],"VIDEO")&gt;0,"VIDEO ","")&amp;IF(COUNTIFS(tbl_Finance[Job Number],C229&amp;"",tbl_Finance[Cost Centre],"INTEGRATION")&gt;0,"INTEGRATION ","")&amp;IF(COUNTIFS(tbl_Finance[Job Number],C229&amp;"",tbl_Finance[Cost Centre],"CONSULTING")&gt;0,"CONSULTING ","")&amp;IF(COUNTIFS(tbl_Finance[Job Number],C229&amp;"",tbl_Finance[Cost Centre],"CTS")&gt;0,"CTS ",""))," ",", ")))</f>
        <v/>
      </c>
      <c r="L229" s="24" t="n"/>
      <c r="M229" s="25">
        <f>IF(L229="","",HYPERLINK(IF(LEFT(L229,4)="http",L229,set_QwilrBase&amp;L229),"Open quote"))</f>
        <v/>
      </c>
      <c r="N229" s="26" t="n"/>
      <c r="O229" s="26" t="n"/>
      <c r="P229" s="26" t="n"/>
      <c r="Q229" s="25">
        <f>IF(C229="","",IF(N(N229)+N(O229)+N(P229)=0,"Not split",IF(ROUND(N(N229)+N(O229)+N(P229),2)=ROUND(H229,2),"OK","MISMATCH")))</f>
        <v/>
      </c>
      <c r="R229" s="26" t="n"/>
      <c r="S229" s="26" t="n"/>
      <c r="T229" s="26" t="n"/>
      <c r="U229" s="27">
        <f>IF(C229="","",N(R229)+N(S229)+N(T229))</f>
        <v/>
      </c>
      <c r="V229" s="27">
        <f>IF(C229="","",H229-U229)</f>
        <v/>
      </c>
      <c r="W229" s="29">
        <f>IFERROR(V229/H229,"")</f>
        <v/>
      </c>
      <c r="X229" s="24" t="n"/>
    </row>
    <row r="230" ht="15" customHeight="1">
      <c r="A230" s="63">
        <f>IF(C230="","",IFERROR(IF(SUMPRODUCT(MAX((tbl_Finance[Job Number]=C230&amp;"")*(tbl_Finance[Xero Invoice No]&lt;&gt;"")*tbl_Finance[Date]))=0,"",SUMPRODUCT(MAX((tbl_Finance[Job Number]=C230&amp;"")*(tbl_Finance[Xero Invoice No]&lt;&gt;"")*tbl_Finance[Date]))),""))</f>
        <v/>
      </c>
      <c r="B230" s="25">
        <f>IF(C230="","",IF(COUNTIFS(tbl_Finance[Job Number],C230&amp;"",tbl_Finance[Xero Invoice No],"&lt;&gt;")=0,"",IFERROR(IF(COUNTIFS(tbl_Finance[Job Number],C230&amp;"",tbl_Finance[Xero Invoice No],LOOKUP(2,1/((tbl_Finance[Job Number]=C230&amp;"")*(tbl_Finance[Xero Invoice No]&lt;&gt;"")),tbl_Finance[Xero Invoice No]))=COUNTIFS(tbl_Finance[Job Number],C230&amp;"",tbl_Finance[Xero Invoice No],"&lt;&gt;"),LOOKUP(2,1/((tbl_Finance[Job Number]=C230&amp;"")*(tbl_Finance[Xero Invoice No]&lt;&gt;"")),tbl_Finance[Xero Invoice No]),LOOKUP(2,1/((tbl_Finance[Job Number]=C230&amp;"")*(tbl_Finance[Xero Invoice No]&lt;&gt;"")),tbl_Finance[Xero Invoice No])&amp;" +more"),"")))</f>
        <v/>
      </c>
      <c r="C230" s="24" t="n"/>
      <c r="D230" s="25">
        <f>IF(C230="","",IF(COUNTIF(lst_Jobs,C230&amp;"")&gt;0,"OK","CHECK"))</f>
        <v/>
      </c>
      <c r="E230" s="25">
        <f>IF(C230="","",IFERROR(INDEX(lst_JobName,MATCH(C230&amp;"",lst_Jobs,0)),""))</f>
        <v/>
      </c>
      <c r="F230" s="25">
        <f>IF(C230="","",IFERROR(INDEX(tbl_Finance[Client],MATCH(C230&amp;"",tbl_Finance[Job Number],0)),""))</f>
        <v/>
      </c>
      <c r="G230" s="28">
        <f>IF(C230="","",COUNTIFS(tbl_Finance[Job Number],C230&amp;"",tbl_Finance[Ex GST],"&lt;&gt;"))</f>
        <v/>
      </c>
      <c r="H230" s="27">
        <f>IF(C230="","",SUMIFS(tbl_Finance[Ex GST],tbl_Finance[Job Number],C230&amp;""))</f>
        <v/>
      </c>
      <c r="I230" s="27">
        <f>IF(C230="","",SUMIFS(tbl_Finance[Ex GST],tbl_Finance[Job Number],C230&amp;"",tbl_Finance[Xero Invoice No],"&lt;&gt;"))</f>
        <v/>
      </c>
      <c r="J230" s="27">
        <f>IF(C230="","",H230-I230)</f>
        <v/>
      </c>
      <c r="K230" s="25">
        <f>IF(C230="","",IF(G230=0,"not invoiced yet",SUBSTITUTE(TRIM(IF(COUNTIFS(tbl_Finance[Job Number],C230&amp;"",tbl_Finance[Cost Centre],"ONSITE")&gt;0,"ONSITE ","")&amp;IF(COUNTIFS(tbl_Finance[Job Number],C230&amp;"",tbl_Finance[Cost Centre],"PRODUCTION")&gt;0,"PRODUCTION ","")&amp;IF(COUNTIFS(tbl_Finance[Job Number],C230&amp;"",tbl_Finance[Cost Centre],"VIDEO")&gt;0,"VIDEO ","")&amp;IF(COUNTIFS(tbl_Finance[Job Number],C230&amp;"",tbl_Finance[Cost Centre],"INTEGRATION")&gt;0,"INTEGRATION ","")&amp;IF(COUNTIFS(tbl_Finance[Job Number],C230&amp;"",tbl_Finance[Cost Centre],"CONSULTING")&gt;0,"CONSULTING ","")&amp;IF(COUNTIFS(tbl_Finance[Job Number],C230&amp;"",tbl_Finance[Cost Centre],"CTS")&gt;0,"CTS ",""))," ",", ")))</f>
        <v/>
      </c>
      <c r="L230" s="24" t="n"/>
      <c r="M230" s="25">
        <f>IF(L230="","",HYPERLINK(IF(LEFT(L230,4)="http",L230,set_QwilrBase&amp;L230),"Open quote"))</f>
        <v/>
      </c>
      <c r="N230" s="26" t="n"/>
      <c r="O230" s="26" t="n"/>
      <c r="P230" s="26" t="n"/>
      <c r="Q230" s="25">
        <f>IF(C230="","",IF(N(N230)+N(O230)+N(P230)=0,"Not split",IF(ROUND(N(N230)+N(O230)+N(P230),2)=ROUND(H230,2),"OK","MISMATCH")))</f>
        <v/>
      </c>
      <c r="R230" s="26" t="n"/>
      <c r="S230" s="26" t="n"/>
      <c r="T230" s="26" t="n"/>
      <c r="U230" s="27">
        <f>IF(C230="","",N(R230)+N(S230)+N(T230))</f>
        <v/>
      </c>
      <c r="V230" s="27">
        <f>IF(C230="","",H230-U230)</f>
        <v/>
      </c>
      <c r="W230" s="29">
        <f>IFERROR(V230/H230,"")</f>
        <v/>
      </c>
      <c r="X230" s="24" t="n"/>
    </row>
    <row r="231" ht="15" customHeight="1">
      <c r="A231" s="63">
        <f>IF(C231="","",IFERROR(IF(SUMPRODUCT(MAX((tbl_Finance[Job Number]=C231&amp;"")*(tbl_Finance[Xero Invoice No]&lt;&gt;"")*tbl_Finance[Date]))=0,"",SUMPRODUCT(MAX((tbl_Finance[Job Number]=C231&amp;"")*(tbl_Finance[Xero Invoice No]&lt;&gt;"")*tbl_Finance[Date]))),""))</f>
        <v/>
      </c>
      <c r="B231" s="25">
        <f>IF(C231="","",IF(COUNTIFS(tbl_Finance[Job Number],C231&amp;"",tbl_Finance[Xero Invoice No],"&lt;&gt;")=0,"",IFERROR(IF(COUNTIFS(tbl_Finance[Job Number],C231&amp;"",tbl_Finance[Xero Invoice No],LOOKUP(2,1/((tbl_Finance[Job Number]=C231&amp;"")*(tbl_Finance[Xero Invoice No]&lt;&gt;"")),tbl_Finance[Xero Invoice No]))=COUNTIFS(tbl_Finance[Job Number],C231&amp;"",tbl_Finance[Xero Invoice No],"&lt;&gt;"),LOOKUP(2,1/((tbl_Finance[Job Number]=C231&amp;"")*(tbl_Finance[Xero Invoice No]&lt;&gt;"")),tbl_Finance[Xero Invoice No]),LOOKUP(2,1/((tbl_Finance[Job Number]=C231&amp;"")*(tbl_Finance[Xero Invoice No]&lt;&gt;"")),tbl_Finance[Xero Invoice No])&amp;" +more"),"")))</f>
        <v/>
      </c>
      <c r="C231" s="24" t="n"/>
      <c r="D231" s="25">
        <f>IF(C231="","",IF(COUNTIF(lst_Jobs,C231&amp;"")&gt;0,"OK","CHECK"))</f>
        <v/>
      </c>
      <c r="E231" s="25">
        <f>IF(C231="","",IFERROR(INDEX(lst_JobName,MATCH(C231&amp;"",lst_Jobs,0)),""))</f>
        <v/>
      </c>
      <c r="F231" s="25">
        <f>IF(C231="","",IFERROR(INDEX(tbl_Finance[Client],MATCH(C231&amp;"",tbl_Finance[Job Number],0)),""))</f>
        <v/>
      </c>
      <c r="G231" s="28">
        <f>IF(C231="","",COUNTIFS(tbl_Finance[Job Number],C231&amp;"",tbl_Finance[Ex GST],"&lt;&gt;"))</f>
        <v/>
      </c>
      <c r="H231" s="27">
        <f>IF(C231="","",SUMIFS(tbl_Finance[Ex GST],tbl_Finance[Job Number],C231&amp;""))</f>
        <v/>
      </c>
      <c r="I231" s="27">
        <f>IF(C231="","",SUMIFS(tbl_Finance[Ex GST],tbl_Finance[Job Number],C231&amp;"",tbl_Finance[Xero Invoice No],"&lt;&gt;"))</f>
        <v/>
      </c>
      <c r="J231" s="27">
        <f>IF(C231="","",H231-I231)</f>
        <v/>
      </c>
      <c r="K231" s="25">
        <f>IF(C231="","",IF(G231=0,"not invoiced yet",SUBSTITUTE(TRIM(IF(COUNTIFS(tbl_Finance[Job Number],C231&amp;"",tbl_Finance[Cost Centre],"ONSITE")&gt;0,"ONSITE ","")&amp;IF(COUNTIFS(tbl_Finance[Job Number],C231&amp;"",tbl_Finance[Cost Centre],"PRODUCTION")&gt;0,"PRODUCTION ","")&amp;IF(COUNTIFS(tbl_Finance[Job Number],C231&amp;"",tbl_Finance[Cost Centre],"VIDEO")&gt;0,"VIDEO ","")&amp;IF(COUNTIFS(tbl_Finance[Job Number],C231&amp;"",tbl_Finance[Cost Centre],"INTEGRATION")&gt;0,"INTEGRATION ","")&amp;IF(COUNTIFS(tbl_Finance[Job Number],C231&amp;"",tbl_Finance[Cost Centre],"CONSULTING")&gt;0,"CONSULTING ","")&amp;IF(COUNTIFS(tbl_Finance[Job Number],C231&amp;"",tbl_Finance[Cost Centre],"CTS")&gt;0,"CTS ",""))," ",", ")))</f>
        <v/>
      </c>
      <c r="L231" s="24" t="n"/>
      <c r="M231" s="25">
        <f>IF(L231="","",HYPERLINK(IF(LEFT(L231,4)="http",L231,set_QwilrBase&amp;L231),"Open quote"))</f>
        <v/>
      </c>
      <c r="N231" s="26" t="n"/>
      <c r="O231" s="26" t="n"/>
      <c r="P231" s="26" t="n"/>
      <c r="Q231" s="25">
        <f>IF(C231="","",IF(N(N231)+N(O231)+N(P231)=0,"Not split",IF(ROUND(N(N231)+N(O231)+N(P231),2)=ROUND(H231,2),"OK","MISMATCH")))</f>
        <v/>
      </c>
      <c r="R231" s="26" t="n"/>
      <c r="S231" s="26" t="n"/>
      <c r="T231" s="26" t="n"/>
      <c r="U231" s="27">
        <f>IF(C231="","",N(R231)+N(S231)+N(T231))</f>
        <v/>
      </c>
      <c r="V231" s="27">
        <f>IF(C231="","",H231-U231)</f>
        <v/>
      </c>
      <c r="W231" s="29">
        <f>IFERROR(V231/H231,"")</f>
        <v/>
      </c>
      <c r="X231" s="24" t="n"/>
    </row>
    <row r="232" ht="15" customHeight="1">
      <c r="A232" s="63">
        <f>IF(C232="","",IFERROR(IF(SUMPRODUCT(MAX((tbl_Finance[Job Number]=C232&amp;"")*(tbl_Finance[Xero Invoice No]&lt;&gt;"")*tbl_Finance[Date]))=0,"",SUMPRODUCT(MAX((tbl_Finance[Job Number]=C232&amp;"")*(tbl_Finance[Xero Invoice No]&lt;&gt;"")*tbl_Finance[Date]))),""))</f>
        <v/>
      </c>
      <c r="B232" s="25">
        <f>IF(C232="","",IF(COUNTIFS(tbl_Finance[Job Number],C232&amp;"",tbl_Finance[Xero Invoice No],"&lt;&gt;")=0,"",IFERROR(IF(COUNTIFS(tbl_Finance[Job Number],C232&amp;"",tbl_Finance[Xero Invoice No],LOOKUP(2,1/((tbl_Finance[Job Number]=C232&amp;"")*(tbl_Finance[Xero Invoice No]&lt;&gt;"")),tbl_Finance[Xero Invoice No]))=COUNTIFS(tbl_Finance[Job Number],C232&amp;"",tbl_Finance[Xero Invoice No],"&lt;&gt;"),LOOKUP(2,1/((tbl_Finance[Job Number]=C232&amp;"")*(tbl_Finance[Xero Invoice No]&lt;&gt;"")),tbl_Finance[Xero Invoice No]),LOOKUP(2,1/((tbl_Finance[Job Number]=C232&amp;"")*(tbl_Finance[Xero Invoice No]&lt;&gt;"")),tbl_Finance[Xero Invoice No])&amp;" +more"),"")))</f>
        <v/>
      </c>
      <c r="C232" s="24" t="n"/>
      <c r="D232" s="25">
        <f>IF(C232="","",IF(COUNTIF(lst_Jobs,C232&amp;"")&gt;0,"OK","CHECK"))</f>
        <v/>
      </c>
      <c r="E232" s="25">
        <f>IF(C232="","",IFERROR(INDEX(lst_JobName,MATCH(C232&amp;"",lst_Jobs,0)),""))</f>
        <v/>
      </c>
      <c r="F232" s="25">
        <f>IF(C232="","",IFERROR(INDEX(tbl_Finance[Client],MATCH(C232&amp;"",tbl_Finance[Job Number],0)),""))</f>
        <v/>
      </c>
      <c r="G232" s="28">
        <f>IF(C232="","",COUNTIFS(tbl_Finance[Job Number],C232&amp;"",tbl_Finance[Ex GST],"&lt;&gt;"))</f>
        <v/>
      </c>
      <c r="H232" s="27">
        <f>IF(C232="","",SUMIFS(tbl_Finance[Ex GST],tbl_Finance[Job Number],C232&amp;""))</f>
        <v/>
      </c>
      <c r="I232" s="27">
        <f>IF(C232="","",SUMIFS(tbl_Finance[Ex GST],tbl_Finance[Job Number],C232&amp;"",tbl_Finance[Xero Invoice No],"&lt;&gt;"))</f>
        <v/>
      </c>
      <c r="J232" s="27">
        <f>IF(C232="","",H232-I232)</f>
        <v/>
      </c>
      <c r="K232" s="25">
        <f>IF(C232="","",IF(G232=0,"not invoiced yet",SUBSTITUTE(TRIM(IF(COUNTIFS(tbl_Finance[Job Number],C232&amp;"",tbl_Finance[Cost Centre],"ONSITE")&gt;0,"ONSITE ","")&amp;IF(COUNTIFS(tbl_Finance[Job Number],C232&amp;"",tbl_Finance[Cost Centre],"PRODUCTION")&gt;0,"PRODUCTION ","")&amp;IF(COUNTIFS(tbl_Finance[Job Number],C232&amp;"",tbl_Finance[Cost Centre],"VIDEO")&gt;0,"VIDEO ","")&amp;IF(COUNTIFS(tbl_Finance[Job Number],C232&amp;"",tbl_Finance[Cost Centre],"INTEGRATION")&gt;0,"INTEGRATION ","")&amp;IF(COUNTIFS(tbl_Finance[Job Number],C232&amp;"",tbl_Finance[Cost Centre],"CONSULTING")&gt;0,"CONSULTING ","")&amp;IF(COUNTIFS(tbl_Finance[Job Number],C232&amp;"",tbl_Finance[Cost Centre],"CTS")&gt;0,"CTS ",""))," ",", ")))</f>
        <v/>
      </c>
      <c r="L232" s="24" t="n"/>
      <c r="M232" s="25">
        <f>IF(L232="","",HYPERLINK(IF(LEFT(L232,4)="http",L232,set_QwilrBase&amp;L232),"Open quote"))</f>
        <v/>
      </c>
      <c r="N232" s="26" t="n"/>
      <c r="O232" s="26" t="n"/>
      <c r="P232" s="26" t="n"/>
      <c r="Q232" s="25">
        <f>IF(C232="","",IF(N(N232)+N(O232)+N(P232)=0,"Not split",IF(ROUND(N(N232)+N(O232)+N(P232),2)=ROUND(H232,2),"OK","MISMATCH")))</f>
        <v/>
      </c>
      <c r="R232" s="26" t="n"/>
      <c r="S232" s="26" t="n"/>
      <c r="T232" s="26" t="n"/>
      <c r="U232" s="27">
        <f>IF(C232="","",N(R232)+N(S232)+N(T232))</f>
        <v/>
      </c>
      <c r="V232" s="27">
        <f>IF(C232="","",H232-U232)</f>
        <v/>
      </c>
      <c r="W232" s="29">
        <f>IFERROR(V232/H232,"")</f>
        <v/>
      </c>
      <c r="X232" s="24" t="n"/>
    </row>
    <row r="233" ht="15" customHeight="1">
      <c r="A233" s="63">
        <f>IF(C233="","",IFERROR(IF(SUMPRODUCT(MAX((tbl_Finance[Job Number]=C233&amp;"")*(tbl_Finance[Xero Invoice No]&lt;&gt;"")*tbl_Finance[Date]))=0,"",SUMPRODUCT(MAX((tbl_Finance[Job Number]=C233&amp;"")*(tbl_Finance[Xero Invoice No]&lt;&gt;"")*tbl_Finance[Date]))),""))</f>
        <v/>
      </c>
      <c r="B233" s="25">
        <f>IF(C233="","",IF(COUNTIFS(tbl_Finance[Job Number],C233&amp;"",tbl_Finance[Xero Invoice No],"&lt;&gt;")=0,"",IFERROR(IF(COUNTIFS(tbl_Finance[Job Number],C233&amp;"",tbl_Finance[Xero Invoice No],LOOKUP(2,1/((tbl_Finance[Job Number]=C233&amp;"")*(tbl_Finance[Xero Invoice No]&lt;&gt;"")),tbl_Finance[Xero Invoice No]))=COUNTIFS(tbl_Finance[Job Number],C233&amp;"",tbl_Finance[Xero Invoice No],"&lt;&gt;"),LOOKUP(2,1/((tbl_Finance[Job Number]=C233&amp;"")*(tbl_Finance[Xero Invoice No]&lt;&gt;"")),tbl_Finance[Xero Invoice No]),LOOKUP(2,1/((tbl_Finance[Job Number]=C233&amp;"")*(tbl_Finance[Xero Invoice No]&lt;&gt;"")),tbl_Finance[Xero Invoice No])&amp;" +more"),"")))</f>
        <v/>
      </c>
      <c r="C233" s="24" t="n"/>
      <c r="D233" s="25">
        <f>IF(C233="","",IF(COUNTIF(lst_Jobs,C233&amp;"")&gt;0,"OK","CHECK"))</f>
        <v/>
      </c>
      <c r="E233" s="25">
        <f>IF(C233="","",IFERROR(INDEX(lst_JobName,MATCH(C233&amp;"",lst_Jobs,0)),""))</f>
        <v/>
      </c>
      <c r="F233" s="25">
        <f>IF(C233="","",IFERROR(INDEX(tbl_Finance[Client],MATCH(C233&amp;"",tbl_Finance[Job Number],0)),""))</f>
        <v/>
      </c>
      <c r="G233" s="28">
        <f>IF(C233="","",COUNTIFS(tbl_Finance[Job Number],C233&amp;"",tbl_Finance[Ex GST],"&lt;&gt;"))</f>
        <v/>
      </c>
      <c r="H233" s="27">
        <f>IF(C233="","",SUMIFS(tbl_Finance[Ex GST],tbl_Finance[Job Number],C233&amp;""))</f>
        <v/>
      </c>
      <c r="I233" s="27">
        <f>IF(C233="","",SUMIFS(tbl_Finance[Ex GST],tbl_Finance[Job Number],C233&amp;"",tbl_Finance[Xero Invoice No],"&lt;&gt;"))</f>
        <v/>
      </c>
      <c r="J233" s="27">
        <f>IF(C233="","",H233-I233)</f>
        <v/>
      </c>
      <c r="K233" s="25">
        <f>IF(C233="","",IF(G233=0,"not invoiced yet",SUBSTITUTE(TRIM(IF(COUNTIFS(tbl_Finance[Job Number],C233&amp;"",tbl_Finance[Cost Centre],"ONSITE")&gt;0,"ONSITE ","")&amp;IF(COUNTIFS(tbl_Finance[Job Number],C233&amp;"",tbl_Finance[Cost Centre],"PRODUCTION")&gt;0,"PRODUCTION ","")&amp;IF(COUNTIFS(tbl_Finance[Job Number],C233&amp;"",tbl_Finance[Cost Centre],"VIDEO")&gt;0,"VIDEO ","")&amp;IF(COUNTIFS(tbl_Finance[Job Number],C233&amp;"",tbl_Finance[Cost Centre],"INTEGRATION")&gt;0,"INTEGRATION ","")&amp;IF(COUNTIFS(tbl_Finance[Job Number],C233&amp;"",tbl_Finance[Cost Centre],"CONSULTING")&gt;0,"CONSULTING ","")&amp;IF(COUNTIFS(tbl_Finance[Job Number],C233&amp;"",tbl_Finance[Cost Centre],"CTS")&gt;0,"CTS ",""))," ",", ")))</f>
        <v/>
      </c>
      <c r="L233" s="24" t="n"/>
      <c r="M233" s="25">
        <f>IF(L233="","",HYPERLINK(IF(LEFT(L233,4)="http",L233,set_QwilrBase&amp;L233),"Open quote"))</f>
        <v/>
      </c>
      <c r="N233" s="26" t="n"/>
      <c r="O233" s="26" t="n"/>
      <c r="P233" s="26" t="n"/>
      <c r="Q233" s="25">
        <f>IF(C233="","",IF(N(N233)+N(O233)+N(P233)=0,"Not split",IF(ROUND(N(N233)+N(O233)+N(P233),2)=ROUND(H233,2),"OK","MISMATCH")))</f>
        <v/>
      </c>
      <c r="R233" s="26" t="n"/>
      <c r="S233" s="26" t="n"/>
      <c r="T233" s="26" t="n"/>
      <c r="U233" s="27">
        <f>IF(C233="","",N(R233)+N(S233)+N(T233))</f>
        <v/>
      </c>
      <c r="V233" s="27">
        <f>IF(C233="","",H233-U233)</f>
        <v/>
      </c>
      <c r="W233" s="29">
        <f>IFERROR(V233/H233,"")</f>
        <v/>
      </c>
      <c r="X233" s="24" t="n"/>
    </row>
    <row r="234" ht="15" customHeight="1">
      <c r="A234" s="63">
        <f>IF(C234="","",IFERROR(IF(SUMPRODUCT(MAX((tbl_Finance[Job Number]=C234&amp;"")*(tbl_Finance[Xero Invoice No]&lt;&gt;"")*tbl_Finance[Date]))=0,"",SUMPRODUCT(MAX((tbl_Finance[Job Number]=C234&amp;"")*(tbl_Finance[Xero Invoice No]&lt;&gt;"")*tbl_Finance[Date]))),""))</f>
        <v/>
      </c>
      <c r="B234" s="25">
        <f>IF(C234="","",IF(COUNTIFS(tbl_Finance[Job Number],C234&amp;"",tbl_Finance[Xero Invoice No],"&lt;&gt;")=0,"",IFERROR(IF(COUNTIFS(tbl_Finance[Job Number],C234&amp;"",tbl_Finance[Xero Invoice No],LOOKUP(2,1/((tbl_Finance[Job Number]=C234&amp;"")*(tbl_Finance[Xero Invoice No]&lt;&gt;"")),tbl_Finance[Xero Invoice No]))=COUNTIFS(tbl_Finance[Job Number],C234&amp;"",tbl_Finance[Xero Invoice No],"&lt;&gt;"),LOOKUP(2,1/((tbl_Finance[Job Number]=C234&amp;"")*(tbl_Finance[Xero Invoice No]&lt;&gt;"")),tbl_Finance[Xero Invoice No]),LOOKUP(2,1/((tbl_Finance[Job Number]=C234&amp;"")*(tbl_Finance[Xero Invoice No]&lt;&gt;"")),tbl_Finance[Xero Invoice No])&amp;" +more"),"")))</f>
        <v/>
      </c>
      <c r="C234" s="24" t="n"/>
      <c r="D234" s="25">
        <f>IF(C234="","",IF(COUNTIF(lst_Jobs,C234&amp;"")&gt;0,"OK","CHECK"))</f>
        <v/>
      </c>
      <c r="E234" s="25">
        <f>IF(C234="","",IFERROR(INDEX(lst_JobName,MATCH(C234&amp;"",lst_Jobs,0)),""))</f>
        <v/>
      </c>
      <c r="F234" s="25">
        <f>IF(C234="","",IFERROR(INDEX(tbl_Finance[Client],MATCH(C234&amp;"",tbl_Finance[Job Number],0)),""))</f>
        <v/>
      </c>
      <c r="G234" s="28">
        <f>IF(C234="","",COUNTIFS(tbl_Finance[Job Number],C234&amp;"",tbl_Finance[Ex GST],"&lt;&gt;"))</f>
        <v/>
      </c>
      <c r="H234" s="27">
        <f>IF(C234="","",SUMIFS(tbl_Finance[Ex GST],tbl_Finance[Job Number],C234&amp;""))</f>
        <v/>
      </c>
      <c r="I234" s="27">
        <f>IF(C234="","",SUMIFS(tbl_Finance[Ex GST],tbl_Finance[Job Number],C234&amp;"",tbl_Finance[Xero Invoice No],"&lt;&gt;"))</f>
        <v/>
      </c>
      <c r="J234" s="27">
        <f>IF(C234="","",H234-I234)</f>
        <v/>
      </c>
      <c r="K234" s="25">
        <f>IF(C234="","",IF(G234=0,"not invoiced yet",SUBSTITUTE(TRIM(IF(COUNTIFS(tbl_Finance[Job Number],C234&amp;"",tbl_Finance[Cost Centre],"ONSITE")&gt;0,"ONSITE ","")&amp;IF(COUNTIFS(tbl_Finance[Job Number],C234&amp;"",tbl_Finance[Cost Centre],"PRODUCTION")&gt;0,"PRODUCTION ","")&amp;IF(COUNTIFS(tbl_Finance[Job Number],C234&amp;"",tbl_Finance[Cost Centre],"VIDEO")&gt;0,"VIDEO ","")&amp;IF(COUNTIFS(tbl_Finance[Job Number],C234&amp;"",tbl_Finance[Cost Centre],"INTEGRATION")&gt;0,"INTEGRATION ","")&amp;IF(COUNTIFS(tbl_Finance[Job Number],C234&amp;"",tbl_Finance[Cost Centre],"CONSULTING")&gt;0,"CONSULTING ","")&amp;IF(COUNTIFS(tbl_Finance[Job Number],C234&amp;"",tbl_Finance[Cost Centre],"CTS")&gt;0,"CTS ",""))," ",", ")))</f>
        <v/>
      </c>
      <c r="L234" s="24" t="n"/>
      <c r="M234" s="25">
        <f>IF(L234="","",HYPERLINK(IF(LEFT(L234,4)="http",L234,set_QwilrBase&amp;L234),"Open quote"))</f>
        <v/>
      </c>
      <c r="N234" s="26" t="n"/>
      <c r="O234" s="26" t="n"/>
      <c r="P234" s="26" t="n"/>
      <c r="Q234" s="25">
        <f>IF(C234="","",IF(N(N234)+N(O234)+N(P234)=0,"Not split",IF(ROUND(N(N234)+N(O234)+N(P234),2)=ROUND(H234,2),"OK","MISMATCH")))</f>
        <v/>
      </c>
      <c r="R234" s="26" t="n"/>
      <c r="S234" s="26" t="n"/>
      <c r="T234" s="26" t="n"/>
      <c r="U234" s="27">
        <f>IF(C234="","",N(R234)+N(S234)+N(T234))</f>
        <v/>
      </c>
      <c r="V234" s="27">
        <f>IF(C234="","",H234-U234)</f>
        <v/>
      </c>
      <c r="W234" s="29">
        <f>IFERROR(V234/H234,"")</f>
        <v/>
      </c>
      <c r="X234" s="24" t="n"/>
    </row>
    <row r="235" ht="15" customHeight="1">
      <c r="A235" s="63">
        <f>IF(C235="","",IFERROR(IF(SUMPRODUCT(MAX((tbl_Finance[Job Number]=C235&amp;"")*(tbl_Finance[Xero Invoice No]&lt;&gt;"")*tbl_Finance[Date]))=0,"",SUMPRODUCT(MAX((tbl_Finance[Job Number]=C235&amp;"")*(tbl_Finance[Xero Invoice No]&lt;&gt;"")*tbl_Finance[Date]))),""))</f>
        <v/>
      </c>
      <c r="B235" s="25">
        <f>IF(C235="","",IF(COUNTIFS(tbl_Finance[Job Number],C235&amp;"",tbl_Finance[Xero Invoice No],"&lt;&gt;")=0,"",IFERROR(IF(COUNTIFS(tbl_Finance[Job Number],C235&amp;"",tbl_Finance[Xero Invoice No],LOOKUP(2,1/((tbl_Finance[Job Number]=C235&amp;"")*(tbl_Finance[Xero Invoice No]&lt;&gt;"")),tbl_Finance[Xero Invoice No]))=COUNTIFS(tbl_Finance[Job Number],C235&amp;"",tbl_Finance[Xero Invoice No],"&lt;&gt;"),LOOKUP(2,1/((tbl_Finance[Job Number]=C235&amp;"")*(tbl_Finance[Xero Invoice No]&lt;&gt;"")),tbl_Finance[Xero Invoice No]),LOOKUP(2,1/((tbl_Finance[Job Number]=C235&amp;"")*(tbl_Finance[Xero Invoice No]&lt;&gt;"")),tbl_Finance[Xero Invoice No])&amp;" +more"),"")))</f>
        <v/>
      </c>
      <c r="C235" s="24" t="n"/>
      <c r="D235" s="25">
        <f>IF(C235="","",IF(COUNTIF(lst_Jobs,C235&amp;"")&gt;0,"OK","CHECK"))</f>
        <v/>
      </c>
      <c r="E235" s="25">
        <f>IF(C235="","",IFERROR(INDEX(lst_JobName,MATCH(C235&amp;"",lst_Jobs,0)),""))</f>
        <v/>
      </c>
      <c r="F235" s="25">
        <f>IF(C235="","",IFERROR(INDEX(tbl_Finance[Client],MATCH(C235&amp;"",tbl_Finance[Job Number],0)),""))</f>
        <v/>
      </c>
      <c r="G235" s="28">
        <f>IF(C235="","",COUNTIFS(tbl_Finance[Job Number],C235&amp;"",tbl_Finance[Ex GST],"&lt;&gt;"))</f>
        <v/>
      </c>
      <c r="H235" s="27">
        <f>IF(C235="","",SUMIFS(tbl_Finance[Ex GST],tbl_Finance[Job Number],C235&amp;""))</f>
        <v/>
      </c>
      <c r="I235" s="27">
        <f>IF(C235="","",SUMIFS(tbl_Finance[Ex GST],tbl_Finance[Job Number],C235&amp;"",tbl_Finance[Xero Invoice No],"&lt;&gt;"))</f>
        <v/>
      </c>
      <c r="J235" s="27">
        <f>IF(C235="","",H235-I235)</f>
        <v/>
      </c>
      <c r="K235" s="25">
        <f>IF(C235="","",IF(G235=0,"not invoiced yet",SUBSTITUTE(TRIM(IF(COUNTIFS(tbl_Finance[Job Number],C235&amp;"",tbl_Finance[Cost Centre],"ONSITE")&gt;0,"ONSITE ","")&amp;IF(COUNTIFS(tbl_Finance[Job Number],C235&amp;"",tbl_Finance[Cost Centre],"PRODUCTION")&gt;0,"PRODUCTION ","")&amp;IF(COUNTIFS(tbl_Finance[Job Number],C235&amp;"",tbl_Finance[Cost Centre],"VIDEO")&gt;0,"VIDEO ","")&amp;IF(COUNTIFS(tbl_Finance[Job Number],C235&amp;"",tbl_Finance[Cost Centre],"INTEGRATION")&gt;0,"INTEGRATION ","")&amp;IF(COUNTIFS(tbl_Finance[Job Number],C235&amp;"",tbl_Finance[Cost Centre],"CONSULTING")&gt;0,"CONSULTING ","")&amp;IF(COUNTIFS(tbl_Finance[Job Number],C235&amp;"",tbl_Finance[Cost Centre],"CTS")&gt;0,"CTS ",""))," ",", ")))</f>
        <v/>
      </c>
      <c r="L235" s="24" t="n"/>
      <c r="M235" s="25">
        <f>IF(L235="","",HYPERLINK(IF(LEFT(L235,4)="http",L235,set_QwilrBase&amp;L235),"Open quote"))</f>
        <v/>
      </c>
      <c r="N235" s="26" t="n"/>
      <c r="O235" s="26" t="n"/>
      <c r="P235" s="26" t="n"/>
      <c r="Q235" s="25">
        <f>IF(C235="","",IF(N(N235)+N(O235)+N(P235)=0,"Not split",IF(ROUND(N(N235)+N(O235)+N(P235),2)=ROUND(H235,2),"OK","MISMATCH")))</f>
        <v/>
      </c>
      <c r="R235" s="26" t="n"/>
      <c r="S235" s="26" t="n"/>
      <c r="T235" s="26" t="n"/>
      <c r="U235" s="27">
        <f>IF(C235="","",N(R235)+N(S235)+N(T235))</f>
        <v/>
      </c>
      <c r="V235" s="27">
        <f>IF(C235="","",H235-U235)</f>
        <v/>
      </c>
      <c r="W235" s="29">
        <f>IFERROR(V235/H235,"")</f>
        <v/>
      </c>
      <c r="X235" s="24" t="n"/>
    </row>
    <row r="236" ht="15" customHeight="1">
      <c r="A236" s="63">
        <f>IF(C236="","",IFERROR(IF(SUMPRODUCT(MAX((tbl_Finance[Job Number]=C236&amp;"")*(tbl_Finance[Xero Invoice No]&lt;&gt;"")*tbl_Finance[Date]))=0,"",SUMPRODUCT(MAX((tbl_Finance[Job Number]=C236&amp;"")*(tbl_Finance[Xero Invoice No]&lt;&gt;"")*tbl_Finance[Date]))),""))</f>
        <v/>
      </c>
      <c r="B236" s="25">
        <f>IF(C236="","",IF(COUNTIFS(tbl_Finance[Job Number],C236&amp;"",tbl_Finance[Xero Invoice No],"&lt;&gt;")=0,"",IFERROR(IF(COUNTIFS(tbl_Finance[Job Number],C236&amp;"",tbl_Finance[Xero Invoice No],LOOKUP(2,1/((tbl_Finance[Job Number]=C236&amp;"")*(tbl_Finance[Xero Invoice No]&lt;&gt;"")),tbl_Finance[Xero Invoice No]))=COUNTIFS(tbl_Finance[Job Number],C236&amp;"",tbl_Finance[Xero Invoice No],"&lt;&gt;"),LOOKUP(2,1/((tbl_Finance[Job Number]=C236&amp;"")*(tbl_Finance[Xero Invoice No]&lt;&gt;"")),tbl_Finance[Xero Invoice No]),LOOKUP(2,1/((tbl_Finance[Job Number]=C236&amp;"")*(tbl_Finance[Xero Invoice No]&lt;&gt;"")),tbl_Finance[Xero Invoice No])&amp;" +more"),"")))</f>
        <v/>
      </c>
      <c r="C236" s="24" t="n"/>
      <c r="D236" s="25">
        <f>IF(C236="","",IF(COUNTIF(lst_Jobs,C236&amp;"")&gt;0,"OK","CHECK"))</f>
        <v/>
      </c>
      <c r="E236" s="25">
        <f>IF(C236="","",IFERROR(INDEX(lst_JobName,MATCH(C236&amp;"",lst_Jobs,0)),""))</f>
        <v/>
      </c>
      <c r="F236" s="25">
        <f>IF(C236="","",IFERROR(INDEX(tbl_Finance[Client],MATCH(C236&amp;"",tbl_Finance[Job Number],0)),""))</f>
        <v/>
      </c>
      <c r="G236" s="28">
        <f>IF(C236="","",COUNTIFS(tbl_Finance[Job Number],C236&amp;"",tbl_Finance[Ex GST],"&lt;&gt;"))</f>
        <v/>
      </c>
      <c r="H236" s="27">
        <f>IF(C236="","",SUMIFS(tbl_Finance[Ex GST],tbl_Finance[Job Number],C236&amp;""))</f>
        <v/>
      </c>
      <c r="I236" s="27">
        <f>IF(C236="","",SUMIFS(tbl_Finance[Ex GST],tbl_Finance[Job Number],C236&amp;"",tbl_Finance[Xero Invoice No],"&lt;&gt;"))</f>
        <v/>
      </c>
      <c r="J236" s="27">
        <f>IF(C236="","",H236-I236)</f>
        <v/>
      </c>
      <c r="K236" s="25">
        <f>IF(C236="","",IF(G236=0,"not invoiced yet",SUBSTITUTE(TRIM(IF(COUNTIFS(tbl_Finance[Job Number],C236&amp;"",tbl_Finance[Cost Centre],"ONSITE")&gt;0,"ONSITE ","")&amp;IF(COUNTIFS(tbl_Finance[Job Number],C236&amp;"",tbl_Finance[Cost Centre],"PRODUCTION")&gt;0,"PRODUCTION ","")&amp;IF(COUNTIFS(tbl_Finance[Job Number],C236&amp;"",tbl_Finance[Cost Centre],"VIDEO")&gt;0,"VIDEO ","")&amp;IF(COUNTIFS(tbl_Finance[Job Number],C236&amp;"",tbl_Finance[Cost Centre],"INTEGRATION")&gt;0,"INTEGRATION ","")&amp;IF(COUNTIFS(tbl_Finance[Job Number],C236&amp;"",tbl_Finance[Cost Centre],"CONSULTING")&gt;0,"CONSULTING ","")&amp;IF(COUNTIFS(tbl_Finance[Job Number],C236&amp;"",tbl_Finance[Cost Centre],"CTS")&gt;0,"CTS ",""))," ",", ")))</f>
        <v/>
      </c>
      <c r="L236" s="24" t="n"/>
      <c r="M236" s="25">
        <f>IF(L236="","",HYPERLINK(IF(LEFT(L236,4)="http",L236,set_QwilrBase&amp;L236),"Open quote"))</f>
        <v/>
      </c>
      <c r="N236" s="26" t="n"/>
      <c r="O236" s="26" t="n"/>
      <c r="P236" s="26" t="n"/>
      <c r="Q236" s="25">
        <f>IF(C236="","",IF(N(N236)+N(O236)+N(P236)=0,"Not split",IF(ROUND(N(N236)+N(O236)+N(P236),2)=ROUND(H236,2),"OK","MISMATCH")))</f>
        <v/>
      </c>
      <c r="R236" s="26" t="n"/>
      <c r="S236" s="26" t="n"/>
      <c r="T236" s="26" t="n"/>
      <c r="U236" s="27">
        <f>IF(C236="","",N(R236)+N(S236)+N(T236))</f>
        <v/>
      </c>
      <c r="V236" s="27">
        <f>IF(C236="","",H236-U236)</f>
        <v/>
      </c>
      <c r="W236" s="29">
        <f>IFERROR(V236/H236,"")</f>
        <v/>
      </c>
      <c r="X236" s="24" t="n"/>
    </row>
    <row r="237" ht="15" customHeight="1">
      <c r="A237" s="63">
        <f>IF(C237="","",IFERROR(IF(SUMPRODUCT(MAX((tbl_Finance[Job Number]=C237&amp;"")*(tbl_Finance[Xero Invoice No]&lt;&gt;"")*tbl_Finance[Date]))=0,"",SUMPRODUCT(MAX((tbl_Finance[Job Number]=C237&amp;"")*(tbl_Finance[Xero Invoice No]&lt;&gt;"")*tbl_Finance[Date]))),""))</f>
        <v/>
      </c>
      <c r="B237" s="25">
        <f>IF(C237="","",IF(COUNTIFS(tbl_Finance[Job Number],C237&amp;"",tbl_Finance[Xero Invoice No],"&lt;&gt;")=0,"",IFERROR(IF(COUNTIFS(tbl_Finance[Job Number],C237&amp;"",tbl_Finance[Xero Invoice No],LOOKUP(2,1/((tbl_Finance[Job Number]=C237&amp;"")*(tbl_Finance[Xero Invoice No]&lt;&gt;"")),tbl_Finance[Xero Invoice No]))=COUNTIFS(tbl_Finance[Job Number],C237&amp;"",tbl_Finance[Xero Invoice No],"&lt;&gt;"),LOOKUP(2,1/((tbl_Finance[Job Number]=C237&amp;"")*(tbl_Finance[Xero Invoice No]&lt;&gt;"")),tbl_Finance[Xero Invoice No]),LOOKUP(2,1/((tbl_Finance[Job Number]=C237&amp;"")*(tbl_Finance[Xero Invoice No]&lt;&gt;"")),tbl_Finance[Xero Invoice No])&amp;" +more"),"")))</f>
        <v/>
      </c>
      <c r="C237" s="24" t="n"/>
      <c r="D237" s="25">
        <f>IF(C237="","",IF(COUNTIF(lst_Jobs,C237&amp;"")&gt;0,"OK","CHECK"))</f>
        <v/>
      </c>
      <c r="E237" s="25">
        <f>IF(C237="","",IFERROR(INDEX(lst_JobName,MATCH(C237&amp;"",lst_Jobs,0)),""))</f>
        <v/>
      </c>
      <c r="F237" s="25">
        <f>IF(C237="","",IFERROR(INDEX(tbl_Finance[Client],MATCH(C237&amp;"",tbl_Finance[Job Number],0)),""))</f>
        <v/>
      </c>
      <c r="G237" s="28">
        <f>IF(C237="","",COUNTIFS(tbl_Finance[Job Number],C237&amp;"",tbl_Finance[Ex GST],"&lt;&gt;"))</f>
        <v/>
      </c>
      <c r="H237" s="27">
        <f>IF(C237="","",SUMIFS(tbl_Finance[Ex GST],tbl_Finance[Job Number],C237&amp;""))</f>
        <v/>
      </c>
      <c r="I237" s="27">
        <f>IF(C237="","",SUMIFS(tbl_Finance[Ex GST],tbl_Finance[Job Number],C237&amp;"",tbl_Finance[Xero Invoice No],"&lt;&gt;"))</f>
        <v/>
      </c>
      <c r="J237" s="27">
        <f>IF(C237="","",H237-I237)</f>
        <v/>
      </c>
      <c r="K237" s="25">
        <f>IF(C237="","",IF(G237=0,"not invoiced yet",SUBSTITUTE(TRIM(IF(COUNTIFS(tbl_Finance[Job Number],C237&amp;"",tbl_Finance[Cost Centre],"ONSITE")&gt;0,"ONSITE ","")&amp;IF(COUNTIFS(tbl_Finance[Job Number],C237&amp;"",tbl_Finance[Cost Centre],"PRODUCTION")&gt;0,"PRODUCTION ","")&amp;IF(COUNTIFS(tbl_Finance[Job Number],C237&amp;"",tbl_Finance[Cost Centre],"VIDEO")&gt;0,"VIDEO ","")&amp;IF(COUNTIFS(tbl_Finance[Job Number],C237&amp;"",tbl_Finance[Cost Centre],"INTEGRATION")&gt;0,"INTEGRATION ","")&amp;IF(COUNTIFS(tbl_Finance[Job Number],C237&amp;"",tbl_Finance[Cost Centre],"CONSULTING")&gt;0,"CONSULTING ","")&amp;IF(COUNTIFS(tbl_Finance[Job Number],C237&amp;"",tbl_Finance[Cost Centre],"CTS")&gt;0,"CTS ",""))," ",", ")))</f>
        <v/>
      </c>
      <c r="L237" s="24" t="n"/>
      <c r="M237" s="25">
        <f>IF(L237="","",HYPERLINK(IF(LEFT(L237,4)="http",L237,set_QwilrBase&amp;L237),"Open quote"))</f>
        <v/>
      </c>
      <c r="N237" s="26" t="n"/>
      <c r="O237" s="26" t="n"/>
      <c r="P237" s="26" t="n"/>
      <c r="Q237" s="25">
        <f>IF(C237="","",IF(N(N237)+N(O237)+N(P237)=0,"Not split",IF(ROUND(N(N237)+N(O237)+N(P237),2)=ROUND(H237,2),"OK","MISMATCH")))</f>
        <v/>
      </c>
      <c r="R237" s="26" t="n"/>
      <c r="S237" s="26" t="n"/>
      <c r="T237" s="26" t="n"/>
      <c r="U237" s="27">
        <f>IF(C237="","",N(R237)+N(S237)+N(T237))</f>
        <v/>
      </c>
      <c r="V237" s="27">
        <f>IF(C237="","",H237-U237)</f>
        <v/>
      </c>
      <c r="W237" s="29">
        <f>IFERROR(V237/H237,"")</f>
        <v/>
      </c>
      <c r="X237" s="24" t="n"/>
    </row>
    <row r="238" ht="15" customHeight="1">
      <c r="A238" s="63">
        <f>IF(C238="","",IFERROR(IF(SUMPRODUCT(MAX((tbl_Finance[Job Number]=C238&amp;"")*(tbl_Finance[Xero Invoice No]&lt;&gt;"")*tbl_Finance[Date]))=0,"",SUMPRODUCT(MAX((tbl_Finance[Job Number]=C238&amp;"")*(tbl_Finance[Xero Invoice No]&lt;&gt;"")*tbl_Finance[Date]))),""))</f>
        <v/>
      </c>
      <c r="B238" s="25">
        <f>IF(C238="","",IF(COUNTIFS(tbl_Finance[Job Number],C238&amp;"",tbl_Finance[Xero Invoice No],"&lt;&gt;")=0,"",IFERROR(IF(COUNTIFS(tbl_Finance[Job Number],C238&amp;"",tbl_Finance[Xero Invoice No],LOOKUP(2,1/((tbl_Finance[Job Number]=C238&amp;"")*(tbl_Finance[Xero Invoice No]&lt;&gt;"")),tbl_Finance[Xero Invoice No]))=COUNTIFS(tbl_Finance[Job Number],C238&amp;"",tbl_Finance[Xero Invoice No],"&lt;&gt;"),LOOKUP(2,1/((tbl_Finance[Job Number]=C238&amp;"")*(tbl_Finance[Xero Invoice No]&lt;&gt;"")),tbl_Finance[Xero Invoice No]),LOOKUP(2,1/((tbl_Finance[Job Number]=C238&amp;"")*(tbl_Finance[Xero Invoice No]&lt;&gt;"")),tbl_Finance[Xero Invoice No])&amp;" +more"),"")))</f>
        <v/>
      </c>
      <c r="C238" s="24" t="n"/>
      <c r="D238" s="25">
        <f>IF(C238="","",IF(COUNTIF(lst_Jobs,C238&amp;"")&gt;0,"OK","CHECK"))</f>
        <v/>
      </c>
      <c r="E238" s="25">
        <f>IF(C238="","",IFERROR(INDEX(lst_JobName,MATCH(C238&amp;"",lst_Jobs,0)),""))</f>
        <v/>
      </c>
      <c r="F238" s="25">
        <f>IF(C238="","",IFERROR(INDEX(tbl_Finance[Client],MATCH(C238&amp;"",tbl_Finance[Job Number],0)),""))</f>
        <v/>
      </c>
      <c r="G238" s="28">
        <f>IF(C238="","",COUNTIFS(tbl_Finance[Job Number],C238&amp;"",tbl_Finance[Ex GST],"&lt;&gt;"))</f>
        <v/>
      </c>
      <c r="H238" s="27">
        <f>IF(C238="","",SUMIFS(tbl_Finance[Ex GST],tbl_Finance[Job Number],C238&amp;""))</f>
        <v/>
      </c>
      <c r="I238" s="27">
        <f>IF(C238="","",SUMIFS(tbl_Finance[Ex GST],tbl_Finance[Job Number],C238&amp;"",tbl_Finance[Xero Invoice No],"&lt;&gt;"))</f>
        <v/>
      </c>
      <c r="J238" s="27">
        <f>IF(C238="","",H238-I238)</f>
        <v/>
      </c>
      <c r="K238" s="25">
        <f>IF(C238="","",IF(G238=0,"not invoiced yet",SUBSTITUTE(TRIM(IF(COUNTIFS(tbl_Finance[Job Number],C238&amp;"",tbl_Finance[Cost Centre],"ONSITE")&gt;0,"ONSITE ","")&amp;IF(COUNTIFS(tbl_Finance[Job Number],C238&amp;"",tbl_Finance[Cost Centre],"PRODUCTION")&gt;0,"PRODUCTION ","")&amp;IF(COUNTIFS(tbl_Finance[Job Number],C238&amp;"",tbl_Finance[Cost Centre],"VIDEO")&gt;0,"VIDEO ","")&amp;IF(COUNTIFS(tbl_Finance[Job Number],C238&amp;"",tbl_Finance[Cost Centre],"INTEGRATION")&gt;0,"INTEGRATION ","")&amp;IF(COUNTIFS(tbl_Finance[Job Number],C238&amp;"",tbl_Finance[Cost Centre],"CONSULTING")&gt;0,"CONSULTING ","")&amp;IF(COUNTIFS(tbl_Finance[Job Number],C238&amp;"",tbl_Finance[Cost Centre],"CTS")&gt;0,"CTS ",""))," ",", ")))</f>
        <v/>
      </c>
      <c r="L238" s="24" t="n"/>
      <c r="M238" s="25">
        <f>IF(L238="","",HYPERLINK(IF(LEFT(L238,4)="http",L238,set_QwilrBase&amp;L238),"Open quote"))</f>
        <v/>
      </c>
      <c r="N238" s="26" t="n"/>
      <c r="O238" s="26" t="n"/>
      <c r="P238" s="26" t="n"/>
      <c r="Q238" s="25">
        <f>IF(C238="","",IF(N(N238)+N(O238)+N(P238)=0,"Not split",IF(ROUND(N(N238)+N(O238)+N(P238),2)=ROUND(H238,2),"OK","MISMATCH")))</f>
        <v/>
      </c>
      <c r="R238" s="26" t="n"/>
      <c r="S238" s="26" t="n"/>
      <c r="T238" s="26" t="n"/>
      <c r="U238" s="27">
        <f>IF(C238="","",N(R238)+N(S238)+N(T238))</f>
        <v/>
      </c>
      <c r="V238" s="27">
        <f>IF(C238="","",H238-U238)</f>
        <v/>
      </c>
      <c r="W238" s="29">
        <f>IFERROR(V238/H238,"")</f>
        <v/>
      </c>
      <c r="X238" s="24" t="n"/>
    </row>
    <row r="239" ht="15" customHeight="1">
      <c r="A239" s="63">
        <f>IF(C239="","",IFERROR(IF(SUMPRODUCT(MAX((tbl_Finance[Job Number]=C239&amp;"")*(tbl_Finance[Xero Invoice No]&lt;&gt;"")*tbl_Finance[Date]))=0,"",SUMPRODUCT(MAX((tbl_Finance[Job Number]=C239&amp;"")*(tbl_Finance[Xero Invoice No]&lt;&gt;"")*tbl_Finance[Date]))),""))</f>
        <v/>
      </c>
      <c r="B239" s="25">
        <f>IF(C239="","",IF(COUNTIFS(tbl_Finance[Job Number],C239&amp;"",tbl_Finance[Xero Invoice No],"&lt;&gt;")=0,"",IFERROR(IF(COUNTIFS(tbl_Finance[Job Number],C239&amp;"",tbl_Finance[Xero Invoice No],LOOKUP(2,1/((tbl_Finance[Job Number]=C239&amp;"")*(tbl_Finance[Xero Invoice No]&lt;&gt;"")),tbl_Finance[Xero Invoice No]))=COUNTIFS(tbl_Finance[Job Number],C239&amp;"",tbl_Finance[Xero Invoice No],"&lt;&gt;"),LOOKUP(2,1/((tbl_Finance[Job Number]=C239&amp;"")*(tbl_Finance[Xero Invoice No]&lt;&gt;"")),tbl_Finance[Xero Invoice No]),LOOKUP(2,1/((tbl_Finance[Job Number]=C239&amp;"")*(tbl_Finance[Xero Invoice No]&lt;&gt;"")),tbl_Finance[Xero Invoice No])&amp;" +more"),"")))</f>
        <v/>
      </c>
      <c r="C239" s="24" t="n"/>
      <c r="D239" s="25">
        <f>IF(C239="","",IF(COUNTIF(lst_Jobs,C239&amp;"")&gt;0,"OK","CHECK"))</f>
        <v/>
      </c>
      <c r="E239" s="25">
        <f>IF(C239="","",IFERROR(INDEX(lst_JobName,MATCH(C239&amp;"",lst_Jobs,0)),""))</f>
        <v/>
      </c>
      <c r="F239" s="25">
        <f>IF(C239="","",IFERROR(INDEX(tbl_Finance[Client],MATCH(C239&amp;"",tbl_Finance[Job Number],0)),""))</f>
        <v/>
      </c>
      <c r="G239" s="28">
        <f>IF(C239="","",COUNTIFS(tbl_Finance[Job Number],C239&amp;"",tbl_Finance[Ex GST],"&lt;&gt;"))</f>
        <v/>
      </c>
      <c r="H239" s="27">
        <f>IF(C239="","",SUMIFS(tbl_Finance[Ex GST],tbl_Finance[Job Number],C239&amp;""))</f>
        <v/>
      </c>
      <c r="I239" s="27">
        <f>IF(C239="","",SUMIFS(tbl_Finance[Ex GST],tbl_Finance[Job Number],C239&amp;"",tbl_Finance[Xero Invoice No],"&lt;&gt;"))</f>
        <v/>
      </c>
      <c r="J239" s="27">
        <f>IF(C239="","",H239-I239)</f>
        <v/>
      </c>
      <c r="K239" s="25">
        <f>IF(C239="","",IF(G239=0,"not invoiced yet",SUBSTITUTE(TRIM(IF(COUNTIFS(tbl_Finance[Job Number],C239&amp;"",tbl_Finance[Cost Centre],"ONSITE")&gt;0,"ONSITE ","")&amp;IF(COUNTIFS(tbl_Finance[Job Number],C239&amp;"",tbl_Finance[Cost Centre],"PRODUCTION")&gt;0,"PRODUCTION ","")&amp;IF(COUNTIFS(tbl_Finance[Job Number],C239&amp;"",tbl_Finance[Cost Centre],"VIDEO")&gt;0,"VIDEO ","")&amp;IF(COUNTIFS(tbl_Finance[Job Number],C239&amp;"",tbl_Finance[Cost Centre],"INTEGRATION")&gt;0,"INTEGRATION ","")&amp;IF(COUNTIFS(tbl_Finance[Job Number],C239&amp;"",tbl_Finance[Cost Centre],"CONSULTING")&gt;0,"CONSULTING ","")&amp;IF(COUNTIFS(tbl_Finance[Job Number],C239&amp;"",tbl_Finance[Cost Centre],"CTS")&gt;0,"CTS ",""))," ",", ")))</f>
        <v/>
      </c>
      <c r="L239" s="24" t="n"/>
      <c r="M239" s="25">
        <f>IF(L239="","",HYPERLINK(IF(LEFT(L239,4)="http",L239,set_QwilrBase&amp;L239),"Open quote"))</f>
        <v/>
      </c>
      <c r="N239" s="26" t="n"/>
      <c r="O239" s="26" t="n"/>
      <c r="P239" s="26" t="n"/>
      <c r="Q239" s="25">
        <f>IF(C239="","",IF(N(N239)+N(O239)+N(P239)=0,"Not split",IF(ROUND(N(N239)+N(O239)+N(P239),2)=ROUND(H239,2),"OK","MISMATCH")))</f>
        <v/>
      </c>
      <c r="R239" s="26" t="n"/>
      <c r="S239" s="26" t="n"/>
      <c r="T239" s="26" t="n"/>
      <c r="U239" s="27">
        <f>IF(C239="","",N(R239)+N(S239)+N(T239))</f>
        <v/>
      </c>
      <c r="V239" s="27">
        <f>IF(C239="","",H239-U239)</f>
        <v/>
      </c>
      <c r="W239" s="29">
        <f>IFERROR(V239/H239,"")</f>
        <v/>
      </c>
      <c r="X239" s="24" t="n"/>
    </row>
    <row r="240" ht="15" customHeight="1">
      <c r="A240" s="63">
        <f>IF(C240="","",IFERROR(IF(SUMPRODUCT(MAX((tbl_Finance[Job Number]=C240&amp;"")*(tbl_Finance[Xero Invoice No]&lt;&gt;"")*tbl_Finance[Date]))=0,"",SUMPRODUCT(MAX((tbl_Finance[Job Number]=C240&amp;"")*(tbl_Finance[Xero Invoice No]&lt;&gt;"")*tbl_Finance[Date]))),""))</f>
        <v/>
      </c>
      <c r="B240" s="25">
        <f>IF(C240="","",IF(COUNTIFS(tbl_Finance[Job Number],C240&amp;"",tbl_Finance[Xero Invoice No],"&lt;&gt;")=0,"",IFERROR(IF(COUNTIFS(tbl_Finance[Job Number],C240&amp;"",tbl_Finance[Xero Invoice No],LOOKUP(2,1/((tbl_Finance[Job Number]=C240&amp;"")*(tbl_Finance[Xero Invoice No]&lt;&gt;"")),tbl_Finance[Xero Invoice No]))=COUNTIFS(tbl_Finance[Job Number],C240&amp;"",tbl_Finance[Xero Invoice No],"&lt;&gt;"),LOOKUP(2,1/((tbl_Finance[Job Number]=C240&amp;"")*(tbl_Finance[Xero Invoice No]&lt;&gt;"")),tbl_Finance[Xero Invoice No]),LOOKUP(2,1/((tbl_Finance[Job Number]=C240&amp;"")*(tbl_Finance[Xero Invoice No]&lt;&gt;"")),tbl_Finance[Xero Invoice No])&amp;" +more"),"")))</f>
        <v/>
      </c>
      <c r="C240" s="24" t="n"/>
      <c r="D240" s="25">
        <f>IF(C240="","",IF(COUNTIF(lst_Jobs,C240&amp;"")&gt;0,"OK","CHECK"))</f>
        <v/>
      </c>
      <c r="E240" s="25">
        <f>IF(C240="","",IFERROR(INDEX(lst_JobName,MATCH(C240&amp;"",lst_Jobs,0)),""))</f>
        <v/>
      </c>
      <c r="F240" s="25">
        <f>IF(C240="","",IFERROR(INDEX(tbl_Finance[Client],MATCH(C240&amp;"",tbl_Finance[Job Number],0)),""))</f>
        <v/>
      </c>
      <c r="G240" s="28">
        <f>IF(C240="","",COUNTIFS(tbl_Finance[Job Number],C240&amp;"",tbl_Finance[Ex GST],"&lt;&gt;"))</f>
        <v/>
      </c>
      <c r="H240" s="27">
        <f>IF(C240="","",SUMIFS(tbl_Finance[Ex GST],tbl_Finance[Job Number],C240&amp;""))</f>
        <v/>
      </c>
      <c r="I240" s="27">
        <f>IF(C240="","",SUMIFS(tbl_Finance[Ex GST],tbl_Finance[Job Number],C240&amp;"",tbl_Finance[Xero Invoice No],"&lt;&gt;"))</f>
        <v/>
      </c>
      <c r="J240" s="27">
        <f>IF(C240="","",H240-I240)</f>
        <v/>
      </c>
      <c r="K240" s="25">
        <f>IF(C240="","",IF(G240=0,"not invoiced yet",SUBSTITUTE(TRIM(IF(COUNTIFS(tbl_Finance[Job Number],C240&amp;"",tbl_Finance[Cost Centre],"ONSITE")&gt;0,"ONSITE ","")&amp;IF(COUNTIFS(tbl_Finance[Job Number],C240&amp;"",tbl_Finance[Cost Centre],"PRODUCTION")&gt;0,"PRODUCTION ","")&amp;IF(COUNTIFS(tbl_Finance[Job Number],C240&amp;"",tbl_Finance[Cost Centre],"VIDEO")&gt;0,"VIDEO ","")&amp;IF(COUNTIFS(tbl_Finance[Job Number],C240&amp;"",tbl_Finance[Cost Centre],"INTEGRATION")&gt;0,"INTEGRATION ","")&amp;IF(COUNTIFS(tbl_Finance[Job Number],C240&amp;"",tbl_Finance[Cost Centre],"CONSULTING")&gt;0,"CONSULTING ","")&amp;IF(COUNTIFS(tbl_Finance[Job Number],C240&amp;"",tbl_Finance[Cost Centre],"CTS")&gt;0,"CTS ",""))," ",", ")))</f>
        <v/>
      </c>
      <c r="L240" s="24" t="n"/>
      <c r="M240" s="25">
        <f>IF(L240="","",HYPERLINK(IF(LEFT(L240,4)="http",L240,set_QwilrBase&amp;L240),"Open quote"))</f>
        <v/>
      </c>
      <c r="N240" s="26" t="n"/>
      <c r="O240" s="26" t="n"/>
      <c r="P240" s="26" t="n"/>
      <c r="Q240" s="25">
        <f>IF(C240="","",IF(N(N240)+N(O240)+N(P240)=0,"Not split",IF(ROUND(N(N240)+N(O240)+N(P240),2)=ROUND(H240,2),"OK","MISMATCH")))</f>
        <v/>
      </c>
      <c r="R240" s="26" t="n"/>
      <c r="S240" s="26" t="n"/>
      <c r="T240" s="26" t="n"/>
      <c r="U240" s="27">
        <f>IF(C240="","",N(R240)+N(S240)+N(T240))</f>
        <v/>
      </c>
      <c r="V240" s="27">
        <f>IF(C240="","",H240-U240)</f>
        <v/>
      </c>
      <c r="W240" s="29">
        <f>IFERROR(V240/H240,"")</f>
        <v/>
      </c>
      <c r="X240" s="24" t="n"/>
    </row>
    <row r="241" ht="15" customHeight="1">
      <c r="A241" s="63">
        <f>IF(C241="","",IFERROR(IF(SUMPRODUCT(MAX((tbl_Finance[Job Number]=C241&amp;"")*(tbl_Finance[Xero Invoice No]&lt;&gt;"")*tbl_Finance[Date]))=0,"",SUMPRODUCT(MAX((tbl_Finance[Job Number]=C241&amp;"")*(tbl_Finance[Xero Invoice No]&lt;&gt;"")*tbl_Finance[Date]))),""))</f>
        <v/>
      </c>
      <c r="B241" s="25">
        <f>IF(C241="","",IF(COUNTIFS(tbl_Finance[Job Number],C241&amp;"",tbl_Finance[Xero Invoice No],"&lt;&gt;")=0,"",IFERROR(IF(COUNTIFS(tbl_Finance[Job Number],C241&amp;"",tbl_Finance[Xero Invoice No],LOOKUP(2,1/((tbl_Finance[Job Number]=C241&amp;"")*(tbl_Finance[Xero Invoice No]&lt;&gt;"")),tbl_Finance[Xero Invoice No]))=COUNTIFS(tbl_Finance[Job Number],C241&amp;"",tbl_Finance[Xero Invoice No],"&lt;&gt;"),LOOKUP(2,1/((tbl_Finance[Job Number]=C241&amp;"")*(tbl_Finance[Xero Invoice No]&lt;&gt;"")),tbl_Finance[Xero Invoice No]),LOOKUP(2,1/((tbl_Finance[Job Number]=C241&amp;"")*(tbl_Finance[Xero Invoice No]&lt;&gt;"")),tbl_Finance[Xero Invoice No])&amp;" +more"),"")))</f>
        <v/>
      </c>
      <c r="C241" s="24" t="n"/>
      <c r="D241" s="25">
        <f>IF(C241="","",IF(COUNTIF(lst_Jobs,C241&amp;"")&gt;0,"OK","CHECK"))</f>
        <v/>
      </c>
      <c r="E241" s="25">
        <f>IF(C241="","",IFERROR(INDEX(lst_JobName,MATCH(C241&amp;"",lst_Jobs,0)),""))</f>
        <v/>
      </c>
      <c r="F241" s="25">
        <f>IF(C241="","",IFERROR(INDEX(tbl_Finance[Client],MATCH(C241&amp;"",tbl_Finance[Job Number],0)),""))</f>
        <v/>
      </c>
      <c r="G241" s="28">
        <f>IF(C241="","",COUNTIFS(tbl_Finance[Job Number],C241&amp;"",tbl_Finance[Ex GST],"&lt;&gt;"))</f>
        <v/>
      </c>
      <c r="H241" s="27">
        <f>IF(C241="","",SUMIFS(tbl_Finance[Ex GST],tbl_Finance[Job Number],C241&amp;""))</f>
        <v/>
      </c>
      <c r="I241" s="27">
        <f>IF(C241="","",SUMIFS(tbl_Finance[Ex GST],tbl_Finance[Job Number],C241&amp;"",tbl_Finance[Xero Invoice No],"&lt;&gt;"))</f>
        <v/>
      </c>
      <c r="J241" s="27">
        <f>IF(C241="","",H241-I241)</f>
        <v/>
      </c>
      <c r="K241" s="25">
        <f>IF(C241="","",IF(G241=0,"not invoiced yet",SUBSTITUTE(TRIM(IF(COUNTIFS(tbl_Finance[Job Number],C241&amp;"",tbl_Finance[Cost Centre],"ONSITE")&gt;0,"ONSITE ","")&amp;IF(COUNTIFS(tbl_Finance[Job Number],C241&amp;"",tbl_Finance[Cost Centre],"PRODUCTION")&gt;0,"PRODUCTION ","")&amp;IF(COUNTIFS(tbl_Finance[Job Number],C241&amp;"",tbl_Finance[Cost Centre],"VIDEO")&gt;0,"VIDEO ","")&amp;IF(COUNTIFS(tbl_Finance[Job Number],C241&amp;"",tbl_Finance[Cost Centre],"INTEGRATION")&gt;0,"INTEGRATION ","")&amp;IF(COUNTIFS(tbl_Finance[Job Number],C241&amp;"",tbl_Finance[Cost Centre],"CONSULTING")&gt;0,"CONSULTING ","")&amp;IF(COUNTIFS(tbl_Finance[Job Number],C241&amp;"",tbl_Finance[Cost Centre],"CTS")&gt;0,"CTS ",""))," ",", ")))</f>
        <v/>
      </c>
      <c r="L241" s="24" t="n"/>
      <c r="M241" s="25">
        <f>IF(L241="","",HYPERLINK(IF(LEFT(L241,4)="http",L241,set_QwilrBase&amp;L241),"Open quote"))</f>
        <v/>
      </c>
      <c r="N241" s="26" t="n"/>
      <c r="O241" s="26" t="n"/>
      <c r="P241" s="26" t="n"/>
      <c r="Q241" s="25">
        <f>IF(C241="","",IF(N(N241)+N(O241)+N(P241)=0,"Not split",IF(ROUND(N(N241)+N(O241)+N(P241),2)=ROUND(H241,2),"OK","MISMATCH")))</f>
        <v/>
      </c>
      <c r="R241" s="26" t="n"/>
      <c r="S241" s="26" t="n"/>
      <c r="T241" s="26" t="n"/>
      <c r="U241" s="27">
        <f>IF(C241="","",N(R241)+N(S241)+N(T241))</f>
        <v/>
      </c>
      <c r="V241" s="27">
        <f>IF(C241="","",H241-U241)</f>
        <v/>
      </c>
      <c r="W241" s="29">
        <f>IFERROR(V241/H241,"")</f>
        <v/>
      </c>
      <c r="X241" s="24" t="n"/>
    </row>
    <row r="242" ht="15" customHeight="1">
      <c r="A242" s="63">
        <f>IF(C242="","",IFERROR(IF(SUMPRODUCT(MAX((tbl_Finance[Job Number]=C242&amp;"")*(tbl_Finance[Xero Invoice No]&lt;&gt;"")*tbl_Finance[Date]))=0,"",SUMPRODUCT(MAX((tbl_Finance[Job Number]=C242&amp;"")*(tbl_Finance[Xero Invoice No]&lt;&gt;"")*tbl_Finance[Date]))),""))</f>
        <v/>
      </c>
      <c r="B242" s="25">
        <f>IF(C242="","",IF(COUNTIFS(tbl_Finance[Job Number],C242&amp;"",tbl_Finance[Xero Invoice No],"&lt;&gt;")=0,"",IFERROR(IF(COUNTIFS(tbl_Finance[Job Number],C242&amp;"",tbl_Finance[Xero Invoice No],LOOKUP(2,1/((tbl_Finance[Job Number]=C242&amp;"")*(tbl_Finance[Xero Invoice No]&lt;&gt;"")),tbl_Finance[Xero Invoice No]))=COUNTIFS(tbl_Finance[Job Number],C242&amp;"",tbl_Finance[Xero Invoice No],"&lt;&gt;"),LOOKUP(2,1/((tbl_Finance[Job Number]=C242&amp;"")*(tbl_Finance[Xero Invoice No]&lt;&gt;"")),tbl_Finance[Xero Invoice No]),LOOKUP(2,1/((tbl_Finance[Job Number]=C242&amp;"")*(tbl_Finance[Xero Invoice No]&lt;&gt;"")),tbl_Finance[Xero Invoice No])&amp;" +more"),"")))</f>
        <v/>
      </c>
      <c r="C242" s="24" t="n"/>
      <c r="D242" s="25">
        <f>IF(C242="","",IF(COUNTIF(lst_Jobs,C242&amp;"")&gt;0,"OK","CHECK"))</f>
        <v/>
      </c>
      <c r="E242" s="25">
        <f>IF(C242="","",IFERROR(INDEX(lst_JobName,MATCH(C242&amp;"",lst_Jobs,0)),""))</f>
        <v/>
      </c>
      <c r="F242" s="25">
        <f>IF(C242="","",IFERROR(INDEX(tbl_Finance[Client],MATCH(C242&amp;"",tbl_Finance[Job Number],0)),""))</f>
        <v/>
      </c>
      <c r="G242" s="28">
        <f>IF(C242="","",COUNTIFS(tbl_Finance[Job Number],C242&amp;"",tbl_Finance[Ex GST],"&lt;&gt;"))</f>
        <v/>
      </c>
      <c r="H242" s="27">
        <f>IF(C242="","",SUMIFS(tbl_Finance[Ex GST],tbl_Finance[Job Number],C242&amp;""))</f>
        <v/>
      </c>
      <c r="I242" s="27">
        <f>IF(C242="","",SUMIFS(tbl_Finance[Ex GST],tbl_Finance[Job Number],C242&amp;"",tbl_Finance[Xero Invoice No],"&lt;&gt;"))</f>
        <v/>
      </c>
      <c r="J242" s="27">
        <f>IF(C242="","",H242-I242)</f>
        <v/>
      </c>
      <c r="K242" s="25">
        <f>IF(C242="","",IF(G242=0,"not invoiced yet",SUBSTITUTE(TRIM(IF(COUNTIFS(tbl_Finance[Job Number],C242&amp;"",tbl_Finance[Cost Centre],"ONSITE")&gt;0,"ONSITE ","")&amp;IF(COUNTIFS(tbl_Finance[Job Number],C242&amp;"",tbl_Finance[Cost Centre],"PRODUCTION")&gt;0,"PRODUCTION ","")&amp;IF(COUNTIFS(tbl_Finance[Job Number],C242&amp;"",tbl_Finance[Cost Centre],"VIDEO")&gt;0,"VIDEO ","")&amp;IF(COUNTIFS(tbl_Finance[Job Number],C242&amp;"",tbl_Finance[Cost Centre],"INTEGRATION")&gt;0,"INTEGRATION ","")&amp;IF(COUNTIFS(tbl_Finance[Job Number],C242&amp;"",tbl_Finance[Cost Centre],"CONSULTING")&gt;0,"CONSULTING ","")&amp;IF(COUNTIFS(tbl_Finance[Job Number],C242&amp;"",tbl_Finance[Cost Centre],"CTS")&gt;0,"CTS ",""))," ",", ")))</f>
        <v/>
      </c>
      <c r="L242" s="24" t="n"/>
      <c r="M242" s="25">
        <f>IF(L242="","",HYPERLINK(IF(LEFT(L242,4)="http",L242,set_QwilrBase&amp;L242),"Open quote"))</f>
        <v/>
      </c>
      <c r="N242" s="26" t="n"/>
      <c r="O242" s="26" t="n"/>
      <c r="P242" s="26" t="n"/>
      <c r="Q242" s="25">
        <f>IF(C242="","",IF(N(N242)+N(O242)+N(P242)=0,"Not split",IF(ROUND(N(N242)+N(O242)+N(P242),2)=ROUND(H242,2),"OK","MISMATCH")))</f>
        <v/>
      </c>
      <c r="R242" s="26" t="n"/>
      <c r="S242" s="26" t="n"/>
      <c r="T242" s="26" t="n"/>
      <c r="U242" s="27">
        <f>IF(C242="","",N(R242)+N(S242)+N(T242))</f>
        <v/>
      </c>
      <c r="V242" s="27">
        <f>IF(C242="","",H242-U242)</f>
        <v/>
      </c>
      <c r="W242" s="29">
        <f>IFERROR(V242/H242,"")</f>
        <v/>
      </c>
      <c r="X242" s="24" t="n"/>
    </row>
    <row r="243" ht="15" customHeight="1">
      <c r="A243" s="63">
        <f>IF(C243="","",IFERROR(IF(SUMPRODUCT(MAX((tbl_Finance[Job Number]=C243&amp;"")*(tbl_Finance[Xero Invoice No]&lt;&gt;"")*tbl_Finance[Date]))=0,"",SUMPRODUCT(MAX((tbl_Finance[Job Number]=C243&amp;"")*(tbl_Finance[Xero Invoice No]&lt;&gt;"")*tbl_Finance[Date]))),""))</f>
        <v/>
      </c>
      <c r="B243" s="25">
        <f>IF(C243="","",IF(COUNTIFS(tbl_Finance[Job Number],C243&amp;"",tbl_Finance[Xero Invoice No],"&lt;&gt;")=0,"",IFERROR(IF(COUNTIFS(tbl_Finance[Job Number],C243&amp;"",tbl_Finance[Xero Invoice No],LOOKUP(2,1/((tbl_Finance[Job Number]=C243&amp;"")*(tbl_Finance[Xero Invoice No]&lt;&gt;"")),tbl_Finance[Xero Invoice No]))=COUNTIFS(tbl_Finance[Job Number],C243&amp;"",tbl_Finance[Xero Invoice No],"&lt;&gt;"),LOOKUP(2,1/((tbl_Finance[Job Number]=C243&amp;"")*(tbl_Finance[Xero Invoice No]&lt;&gt;"")),tbl_Finance[Xero Invoice No]),LOOKUP(2,1/((tbl_Finance[Job Number]=C243&amp;"")*(tbl_Finance[Xero Invoice No]&lt;&gt;"")),tbl_Finance[Xero Invoice No])&amp;" +more"),"")))</f>
        <v/>
      </c>
      <c r="C243" s="24" t="n"/>
      <c r="D243" s="25">
        <f>IF(C243="","",IF(COUNTIF(lst_Jobs,C243&amp;"")&gt;0,"OK","CHECK"))</f>
        <v/>
      </c>
      <c r="E243" s="25">
        <f>IF(C243="","",IFERROR(INDEX(lst_JobName,MATCH(C243&amp;"",lst_Jobs,0)),""))</f>
        <v/>
      </c>
      <c r="F243" s="25">
        <f>IF(C243="","",IFERROR(INDEX(tbl_Finance[Client],MATCH(C243&amp;"",tbl_Finance[Job Number],0)),""))</f>
        <v/>
      </c>
      <c r="G243" s="28">
        <f>IF(C243="","",COUNTIFS(tbl_Finance[Job Number],C243&amp;"",tbl_Finance[Ex GST],"&lt;&gt;"))</f>
        <v/>
      </c>
      <c r="H243" s="27">
        <f>IF(C243="","",SUMIFS(tbl_Finance[Ex GST],tbl_Finance[Job Number],C243&amp;""))</f>
        <v/>
      </c>
      <c r="I243" s="27">
        <f>IF(C243="","",SUMIFS(tbl_Finance[Ex GST],tbl_Finance[Job Number],C243&amp;"",tbl_Finance[Xero Invoice No],"&lt;&gt;"))</f>
        <v/>
      </c>
      <c r="J243" s="27">
        <f>IF(C243="","",H243-I243)</f>
        <v/>
      </c>
      <c r="K243" s="25">
        <f>IF(C243="","",IF(G243=0,"not invoiced yet",SUBSTITUTE(TRIM(IF(COUNTIFS(tbl_Finance[Job Number],C243&amp;"",tbl_Finance[Cost Centre],"ONSITE")&gt;0,"ONSITE ","")&amp;IF(COUNTIFS(tbl_Finance[Job Number],C243&amp;"",tbl_Finance[Cost Centre],"PRODUCTION")&gt;0,"PRODUCTION ","")&amp;IF(COUNTIFS(tbl_Finance[Job Number],C243&amp;"",tbl_Finance[Cost Centre],"VIDEO")&gt;0,"VIDEO ","")&amp;IF(COUNTIFS(tbl_Finance[Job Number],C243&amp;"",tbl_Finance[Cost Centre],"INTEGRATION")&gt;0,"INTEGRATION ","")&amp;IF(COUNTIFS(tbl_Finance[Job Number],C243&amp;"",tbl_Finance[Cost Centre],"CONSULTING")&gt;0,"CONSULTING ","")&amp;IF(COUNTIFS(tbl_Finance[Job Number],C243&amp;"",tbl_Finance[Cost Centre],"CTS")&gt;0,"CTS ",""))," ",", ")))</f>
        <v/>
      </c>
      <c r="L243" s="24" t="n"/>
      <c r="M243" s="25">
        <f>IF(L243="","",HYPERLINK(IF(LEFT(L243,4)="http",L243,set_QwilrBase&amp;L243),"Open quote"))</f>
        <v/>
      </c>
      <c r="N243" s="26" t="n"/>
      <c r="O243" s="26" t="n"/>
      <c r="P243" s="26" t="n"/>
      <c r="Q243" s="25">
        <f>IF(C243="","",IF(N(N243)+N(O243)+N(P243)=0,"Not split",IF(ROUND(N(N243)+N(O243)+N(P243),2)=ROUND(H243,2),"OK","MISMATCH")))</f>
        <v/>
      </c>
      <c r="R243" s="26" t="n"/>
      <c r="S243" s="26" t="n"/>
      <c r="T243" s="26" t="n"/>
      <c r="U243" s="27">
        <f>IF(C243="","",N(R243)+N(S243)+N(T243))</f>
        <v/>
      </c>
      <c r="V243" s="27">
        <f>IF(C243="","",H243-U243)</f>
        <v/>
      </c>
      <c r="W243" s="29">
        <f>IFERROR(V243/H243,"")</f>
        <v/>
      </c>
      <c r="X243" s="24" t="n"/>
    </row>
    <row r="244" ht="15" customHeight="1">
      <c r="A244" s="63">
        <f>IF(C244="","",IFERROR(IF(SUMPRODUCT(MAX((tbl_Finance[Job Number]=C244&amp;"")*(tbl_Finance[Xero Invoice No]&lt;&gt;"")*tbl_Finance[Date]))=0,"",SUMPRODUCT(MAX((tbl_Finance[Job Number]=C244&amp;"")*(tbl_Finance[Xero Invoice No]&lt;&gt;"")*tbl_Finance[Date]))),""))</f>
        <v/>
      </c>
      <c r="B244" s="25">
        <f>IF(C244="","",IF(COUNTIFS(tbl_Finance[Job Number],C244&amp;"",tbl_Finance[Xero Invoice No],"&lt;&gt;")=0,"",IFERROR(IF(COUNTIFS(tbl_Finance[Job Number],C244&amp;"",tbl_Finance[Xero Invoice No],LOOKUP(2,1/((tbl_Finance[Job Number]=C244&amp;"")*(tbl_Finance[Xero Invoice No]&lt;&gt;"")),tbl_Finance[Xero Invoice No]))=COUNTIFS(tbl_Finance[Job Number],C244&amp;"",tbl_Finance[Xero Invoice No],"&lt;&gt;"),LOOKUP(2,1/((tbl_Finance[Job Number]=C244&amp;"")*(tbl_Finance[Xero Invoice No]&lt;&gt;"")),tbl_Finance[Xero Invoice No]),LOOKUP(2,1/((tbl_Finance[Job Number]=C244&amp;"")*(tbl_Finance[Xero Invoice No]&lt;&gt;"")),tbl_Finance[Xero Invoice No])&amp;" +more"),"")))</f>
        <v/>
      </c>
      <c r="C244" s="24" t="n"/>
      <c r="D244" s="25">
        <f>IF(C244="","",IF(COUNTIF(lst_Jobs,C244&amp;"")&gt;0,"OK","CHECK"))</f>
        <v/>
      </c>
      <c r="E244" s="25">
        <f>IF(C244="","",IFERROR(INDEX(lst_JobName,MATCH(C244&amp;"",lst_Jobs,0)),""))</f>
        <v/>
      </c>
      <c r="F244" s="25">
        <f>IF(C244="","",IFERROR(INDEX(tbl_Finance[Client],MATCH(C244&amp;"",tbl_Finance[Job Number],0)),""))</f>
        <v/>
      </c>
      <c r="G244" s="28">
        <f>IF(C244="","",COUNTIFS(tbl_Finance[Job Number],C244&amp;"",tbl_Finance[Ex GST],"&lt;&gt;"))</f>
        <v/>
      </c>
      <c r="H244" s="27">
        <f>IF(C244="","",SUMIFS(tbl_Finance[Ex GST],tbl_Finance[Job Number],C244&amp;""))</f>
        <v/>
      </c>
      <c r="I244" s="27">
        <f>IF(C244="","",SUMIFS(tbl_Finance[Ex GST],tbl_Finance[Job Number],C244&amp;"",tbl_Finance[Xero Invoice No],"&lt;&gt;"))</f>
        <v/>
      </c>
      <c r="J244" s="27">
        <f>IF(C244="","",H244-I244)</f>
        <v/>
      </c>
      <c r="K244" s="25">
        <f>IF(C244="","",IF(G244=0,"not invoiced yet",SUBSTITUTE(TRIM(IF(COUNTIFS(tbl_Finance[Job Number],C244&amp;"",tbl_Finance[Cost Centre],"ONSITE")&gt;0,"ONSITE ","")&amp;IF(COUNTIFS(tbl_Finance[Job Number],C244&amp;"",tbl_Finance[Cost Centre],"PRODUCTION")&gt;0,"PRODUCTION ","")&amp;IF(COUNTIFS(tbl_Finance[Job Number],C244&amp;"",tbl_Finance[Cost Centre],"VIDEO")&gt;0,"VIDEO ","")&amp;IF(COUNTIFS(tbl_Finance[Job Number],C244&amp;"",tbl_Finance[Cost Centre],"INTEGRATION")&gt;0,"INTEGRATION ","")&amp;IF(COUNTIFS(tbl_Finance[Job Number],C244&amp;"",tbl_Finance[Cost Centre],"CONSULTING")&gt;0,"CONSULTING ","")&amp;IF(COUNTIFS(tbl_Finance[Job Number],C244&amp;"",tbl_Finance[Cost Centre],"CTS")&gt;0,"CTS ",""))," ",", ")))</f>
        <v/>
      </c>
      <c r="L244" s="24" t="n"/>
      <c r="M244" s="25">
        <f>IF(L244="","",HYPERLINK(IF(LEFT(L244,4)="http",L244,set_QwilrBase&amp;L244),"Open quote"))</f>
        <v/>
      </c>
      <c r="N244" s="26" t="n"/>
      <c r="O244" s="26" t="n"/>
      <c r="P244" s="26" t="n"/>
      <c r="Q244" s="25">
        <f>IF(C244="","",IF(N(N244)+N(O244)+N(P244)=0,"Not split",IF(ROUND(N(N244)+N(O244)+N(P244),2)=ROUND(H244,2),"OK","MISMATCH")))</f>
        <v/>
      </c>
      <c r="R244" s="26" t="n"/>
      <c r="S244" s="26" t="n"/>
      <c r="T244" s="26" t="n"/>
      <c r="U244" s="27">
        <f>IF(C244="","",N(R244)+N(S244)+N(T244))</f>
        <v/>
      </c>
      <c r="V244" s="27">
        <f>IF(C244="","",H244-U244)</f>
        <v/>
      </c>
      <c r="W244" s="29">
        <f>IFERROR(V244/H244,"")</f>
        <v/>
      </c>
      <c r="X244" s="24" t="n"/>
    </row>
    <row r="245" ht="15" customHeight="1">
      <c r="A245" s="63">
        <f>IF(C245="","",IFERROR(IF(SUMPRODUCT(MAX((tbl_Finance[Job Number]=C245&amp;"")*(tbl_Finance[Xero Invoice No]&lt;&gt;"")*tbl_Finance[Date]))=0,"",SUMPRODUCT(MAX((tbl_Finance[Job Number]=C245&amp;"")*(tbl_Finance[Xero Invoice No]&lt;&gt;"")*tbl_Finance[Date]))),""))</f>
        <v/>
      </c>
      <c r="B245" s="25">
        <f>IF(C245="","",IF(COUNTIFS(tbl_Finance[Job Number],C245&amp;"",tbl_Finance[Xero Invoice No],"&lt;&gt;")=0,"",IFERROR(IF(COUNTIFS(tbl_Finance[Job Number],C245&amp;"",tbl_Finance[Xero Invoice No],LOOKUP(2,1/((tbl_Finance[Job Number]=C245&amp;"")*(tbl_Finance[Xero Invoice No]&lt;&gt;"")),tbl_Finance[Xero Invoice No]))=COUNTIFS(tbl_Finance[Job Number],C245&amp;"",tbl_Finance[Xero Invoice No],"&lt;&gt;"),LOOKUP(2,1/((tbl_Finance[Job Number]=C245&amp;"")*(tbl_Finance[Xero Invoice No]&lt;&gt;"")),tbl_Finance[Xero Invoice No]),LOOKUP(2,1/((tbl_Finance[Job Number]=C245&amp;"")*(tbl_Finance[Xero Invoice No]&lt;&gt;"")),tbl_Finance[Xero Invoice No])&amp;" +more"),"")))</f>
        <v/>
      </c>
      <c r="C245" s="24" t="n"/>
      <c r="D245" s="25">
        <f>IF(C245="","",IF(COUNTIF(lst_Jobs,C245&amp;"")&gt;0,"OK","CHECK"))</f>
        <v/>
      </c>
      <c r="E245" s="25">
        <f>IF(C245="","",IFERROR(INDEX(lst_JobName,MATCH(C245&amp;"",lst_Jobs,0)),""))</f>
        <v/>
      </c>
      <c r="F245" s="25">
        <f>IF(C245="","",IFERROR(INDEX(tbl_Finance[Client],MATCH(C245&amp;"",tbl_Finance[Job Number],0)),""))</f>
        <v/>
      </c>
      <c r="G245" s="28">
        <f>IF(C245="","",COUNTIFS(tbl_Finance[Job Number],C245&amp;"",tbl_Finance[Ex GST],"&lt;&gt;"))</f>
        <v/>
      </c>
      <c r="H245" s="27">
        <f>IF(C245="","",SUMIFS(tbl_Finance[Ex GST],tbl_Finance[Job Number],C245&amp;""))</f>
        <v/>
      </c>
      <c r="I245" s="27">
        <f>IF(C245="","",SUMIFS(tbl_Finance[Ex GST],tbl_Finance[Job Number],C245&amp;"",tbl_Finance[Xero Invoice No],"&lt;&gt;"))</f>
        <v/>
      </c>
      <c r="J245" s="27">
        <f>IF(C245="","",H245-I245)</f>
        <v/>
      </c>
      <c r="K245" s="25">
        <f>IF(C245="","",IF(G245=0,"not invoiced yet",SUBSTITUTE(TRIM(IF(COUNTIFS(tbl_Finance[Job Number],C245&amp;"",tbl_Finance[Cost Centre],"ONSITE")&gt;0,"ONSITE ","")&amp;IF(COUNTIFS(tbl_Finance[Job Number],C245&amp;"",tbl_Finance[Cost Centre],"PRODUCTION")&gt;0,"PRODUCTION ","")&amp;IF(COUNTIFS(tbl_Finance[Job Number],C245&amp;"",tbl_Finance[Cost Centre],"VIDEO")&gt;0,"VIDEO ","")&amp;IF(COUNTIFS(tbl_Finance[Job Number],C245&amp;"",tbl_Finance[Cost Centre],"INTEGRATION")&gt;0,"INTEGRATION ","")&amp;IF(COUNTIFS(tbl_Finance[Job Number],C245&amp;"",tbl_Finance[Cost Centre],"CONSULTING")&gt;0,"CONSULTING ","")&amp;IF(COUNTIFS(tbl_Finance[Job Number],C245&amp;"",tbl_Finance[Cost Centre],"CTS")&gt;0,"CTS ",""))," ",", ")))</f>
        <v/>
      </c>
      <c r="L245" s="24" t="n"/>
      <c r="M245" s="25">
        <f>IF(L245="","",HYPERLINK(IF(LEFT(L245,4)="http",L245,set_QwilrBase&amp;L245),"Open quote"))</f>
        <v/>
      </c>
      <c r="N245" s="26" t="n"/>
      <c r="O245" s="26" t="n"/>
      <c r="P245" s="26" t="n"/>
      <c r="Q245" s="25">
        <f>IF(C245="","",IF(N(N245)+N(O245)+N(P245)=0,"Not split",IF(ROUND(N(N245)+N(O245)+N(P245),2)=ROUND(H245,2),"OK","MISMATCH")))</f>
        <v/>
      </c>
      <c r="R245" s="26" t="n"/>
      <c r="S245" s="26" t="n"/>
      <c r="T245" s="26" t="n"/>
      <c r="U245" s="27">
        <f>IF(C245="","",N(R245)+N(S245)+N(T245))</f>
        <v/>
      </c>
      <c r="V245" s="27">
        <f>IF(C245="","",H245-U245)</f>
        <v/>
      </c>
      <c r="W245" s="29">
        <f>IFERROR(V245/H245,"")</f>
        <v/>
      </c>
      <c r="X245" s="24" t="n"/>
    </row>
    <row r="246" ht="15" customHeight="1">
      <c r="A246" s="63">
        <f>IF(C246="","",IFERROR(IF(SUMPRODUCT(MAX((tbl_Finance[Job Number]=C246&amp;"")*(tbl_Finance[Xero Invoice No]&lt;&gt;"")*tbl_Finance[Date]))=0,"",SUMPRODUCT(MAX((tbl_Finance[Job Number]=C246&amp;"")*(tbl_Finance[Xero Invoice No]&lt;&gt;"")*tbl_Finance[Date]))),""))</f>
        <v/>
      </c>
      <c r="B246" s="25">
        <f>IF(C246="","",IF(COUNTIFS(tbl_Finance[Job Number],C246&amp;"",tbl_Finance[Xero Invoice No],"&lt;&gt;")=0,"",IFERROR(IF(COUNTIFS(tbl_Finance[Job Number],C246&amp;"",tbl_Finance[Xero Invoice No],LOOKUP(2,1/((tbl_Finance[Job Number]=C246&amp;"")*(tbl_Finance[Xero Invoice No]&lt;&gt;"")),tbl_Finance[Xero Invoice No]))=COUNTIFS(tbl_Finance[Job Number],C246&amp;"",tbl_Finance[Xero Invoice No],"&lt;&gt;"),LOOKUP(2,1/((tbl_Finance[Job Number]=C246&amp;"")*(tbl_Finance[Xero Invoice No]&lt;&gt;"")),tbl_Finance[Xero Invoice No]),LOOKUP(2,1/((tbl_Finance[Job Number]=C246&amp;"")*(tbl_Finance[Xero Invoice No]&lt;&gt;"")),tbl_Finance[Xero Invoice No])&amp;" +more"),"")))</f>
        <v/>
      </c>
      <c r="C246" s="24" t="n"/>
      <c r="D246" s="25">
        <f>IF(C246="","",IF(COUNTIF(lst_Jobs,C246&amp;"")&gt;0,"OK","CHECK"))</f>
        <v/>
      </c>
      <c r="E246" s="25">
        <f>IF(C246="","",IFERROR(INDEX(lst_JobName,MATCH(C246&amp;"",lst_Jobs,0)),""))</f>
        <v/>
      </c>
      <c r="F246" s="25">
        <f>IF(C246="","",IFERROR(INDEX(tbl_Finance[Client],MATCH(C246&amp;"",tbl_Finance[Job Number],0)),""))</f>
        <v/>
      </c>
      <c r="G246" s="28">
        <f>IF(C246="","",COUNTIFS(tbl_Finance[Job Number],C246&amp;"",tbl_Finance[Ex GST],"&lt;&gt;"))</f>
        <v/>
      </c>
      <c r="H246" s="27">
        <f>IF(C246="","",SUMIFS(tbl_Finance[Ex GST],tbl_Finance[Job Number],C246&amp;""))</f>
        <v/>
      </c>
      <c r="I246" s="27">
        <f>IF(C246="","",SUMIFS(tbl_Finance[Ex GST],tbl_Finance[Job Number],C246&amp;"",tbl_Finance[Xero Invoice No],"&lt;&gt;"))</f>
        <v/>
      </c>
      <c r="J246" s="27">
        <f>IF(C246="","",H246-I246)</f>
        <v/>
      </c>
      <c r="K246" s="25">
        <f>IF(C246="","",IF(G246=0,"not invoiced yet",SUBSTITUTE(TRIM(IF(COUNTIFS(tbl_Finance[Job Number],C246&amp;"",tbl_Finance[Cost Centre],"ONSITE")&gt;0,"ONSITE ","")&amp;IF(COUNTIFS(tbl_Finance[Job Number],C246&amp;"",tbl_Finance[Cost Centre],"PRODUCTION")&gt;0,"PRODUCTION ","")&amp;IF(COUNTIFS(tbl_Finance[Job Number],C246&amp;"",tbl_Finance[Cost Centre],"VIDEO")&gt;0,"VIDEO ","")&amp;IF(COUNTIFS(tbl_Finance[Job Number],C246&amp;"",tbl_Finance[Cost Centre],"INTEGRATION")&gt;0,"INTEGRATION ","")&amp;IF(COUNTIFS(tbl_Finance[Job Number],C246&amp;"",tbl_Finance[Cost Centre],"CONSULTING")&gt;0,"CONSULTING ","")&amp;IF(COUNTIFS(tbl_Finance[Job Number],C246&amp;"",tbl_Finance[Cost Centre],"CTS")&gt;0,"CTS ",""))," ",", ")))</f>
        <v/>
      </c>
      <c r="L246" s="24" t="n"/>
      <c r="M246" s="25">
        <f>IF(L246="","",HYPERLINK(IF(LEFT(L246,4)="http",L246,set_QwilrBase&amp;L246),"Open quote"))</f>
        <v/>
      </c>
      <c r="N246" s="26" t="n"/>
      <c r="O246" s="26" t="n"/>
      <c r="P246" s="26" t="n"/>
      <c r="Q246" s="25">
        <f>IF(C246="","",IF(N(N246)+N(O246)+N(P246)=0,"Not split",IF(ROUND(N(N246)+N(O246)+N(P246),2)=ROUND(H246,2),"OK","MISMATCH")))</f>
        <v/>
      </c>
      <c r="R246" s="26" t="n"/>
      <c r="S246" s="26" t="n"/>
      <c r="T246" s="26" t="n"/>
      <c r="U246" s="27">
        <f>IF(C246="","",N(R246)+N(S246)+N(T246))</f>
        <v/>
      </c>
      <c r="V246" s="27">
        <f>IF(C246="","",H246-U246)</f>
        <v/>
      </c>
      <c r="W246" s="29">
        <f>IFERROR(V246/H246,"")</f>
        <v/>
      </c>
      <c r="X246" s="24" t="n"/>
    </row>
    <row r="247" ht="15" customHeight="1">
      <c r="A247" s="63">
        <f>IF(C247="","",IFERROR(IF(SUMPRODUCT(MAX((tbl_Finance[Job Number]=C247&amp;"")*(tbl_Finance[Xero Invoice No]&lt;&gt;"")*tbl_Finance[Date]))=0,"",SUMPRODUCT(MAX((tbl_Finance[Job Number]=C247&amp;"")*(tbl_Finance[Xero Invoice No]&lt;&gt;"")*tbl_Finance[Date]))),""))</f>
        <v/>
      </c>
      <c r="B247" s="25">
        <f>IF(C247="","",IF(COUNTIFS(tbl_Finance[Job Number],C247&amp;"",tbl_Finance[Xero Invoice No],"&lt;&gt;")=0,"",IFERROR(IF(COUNTIFS(tbl_Finance[Job Number],C247&amp;"",tbl_Finance[Xero Invoice No],LOOKUP(2,1/((tbl_Finance[Job Number]=C247&amp;"")*(tbl_Finance[Xero Invoice No]&lt;&gt;"")),tbl_Finance[Xero Invoice No]))=COUNTIFS(tbl_Finance[Job Number],C247&amp;"",tbl_Finance[Xero Invoice No],"&lt;&gt;"),LOOKUP(2,1/((tbl_Finance[Job Number]=C247&amp;"")*(tbl_Finance[Xero Invoice No]&lt;&gt;"")),tbl_Finance[Xero Invoice No]),LOOKUP(2,1/((tbl_Finance[Job Number]=C247&amp;"")*(tbl_Finance[Xero Invoice No]&lt;&gt;"")),tbl_Finance[Xero Invoice No])&amp;" +more"),"")))</f>
        <v/>
      </c>
      <c r="C247" s="24" t="n"/>
      <c r="D247" s="25">
        <f>IF(C247="","",IF(COUNTIF(lst_Jobs,C247&amp;"")&gt;0,"OK","CHECK"))</f>
        <v/>
      </c>
      <c r="E247" s="25">
        <f>IF(C247="","",IFERROR(INDEX(lst_JobName,MATCH(C247&amp;"",lst_Jobs,0)),""))</f>
        <v/>
      </c>
      <c r="F247" s="25">
        <f>IF(C247="","",IFERROR(INDEX(tbl_Finance[Client],MATCH(C247&amp;"",tbl_Finance[Job Number],0)),""))</f>
        <v/>
      </c>
      <c r="G247" s="28">
        <f>IF(C247="","",COUNTIFS(tbl_Finance[Job Number],C247&amp;"",tbl_Finance[Ex GST],"&lt;&gt;"))</f>
        <v/>
      </c>
      <c r="H247" s="27">
        <f>IF(C247="","",SUMIFS(tbl_Finance[Ex GST],tbl_Finance[Job Number],C247&amp;""))</f>
        <v/>
      </c>
      <c r="I247" s="27">
        <f>IF(C247="","",SUMIFS(tbl_Finance[Ex GST],tbl_Finance[Job Number],C247&amp;"",tbl_Finance[Xero Invoice No],"&lt;&gt;"))</f>
        <v/>
      </c>
      <c r="J247" s="27">
        <f>IF(C247="","",H247-I247)</f>
        <v/>
      </c>
      <c r="K247" s="25">
        <f>IF(C247="","",IF(G247=0,"not invoiced yet",SUBSTITUTE(TRIM(IF(COUNTIFS(tbl_Finance[Job Number],C247&amp;"",tbl_Finance[Cost Centre],"ONSITE")&gt;0,"ONSITE ","")&amp;IF(COUNTIFS(tbl_Finance[Job Number],C247&amp;"",tbl_Finance[Cost Centre],"PRODUCTION")&gt;0,"PRODUCTION ","")&amp;IF(COUNTIFS(tbl_Finance[Job Number],C247&amp;"",tbl_Finance[Cost Centre],"VIDEO")&gt;0,"VIDEO ","")&amp;IF(COUNTIFS(tbl_Finance[Job Number],C247&amp;"",tbl_Finance[Cost Centre],"INTEGRATION")&gt;0,"INTEGRATION ","")&amp;IF(COUNTIFS(tbl_Finance[Job Number],C247&amp;"",tbl_Finance[Cost Centre],"CONSULTING")&gt;0,"CONSULTING ","")&amp;IF(COUNTIFS(tbl_Finance[Job Number],C247&amp;"",tbl_Finance[Cost Centre],"CTS")&gt;0,"CTS ",""))," ",", ")))</f>
        <v/>
      </c>
      <c r="L247" s="24" t="n"/>
      <c r="M247" s="25">
        <f>IF(L247="","",HYPERLINK(IF(LEFT(L247,4)="http",L247,set_QwilrBase&amp;L247),"Open quote"))</f>
        <v/>
      </c>
      <c r="N247" s="26" t="n"/>
      <c r="O247" s="26" t="n"/>
      <c r="P247" s="26" t="n"/>
      <c r="Q247" s="25">
        <f>IF(C247="","",IF(N(N247)+N(O247)+N(P247)=0,"Not split",IF(ROUND(N(N247)+N(O247)+N(P247),2)=ROUND(H247,2),"OK","MISMATCH")))</f>
        <v/>
      </c>
      <c r="R247" s="26" t="n"/>
      <c r="S247" s="26" t="n"/>
      <c r="T247" s="26" t="n"/>
      <c r="U247" s="27">
        <f>IF(C247="","",N(R247)+N(S247)+N(T247))</f>
        <v/>
      </c>
      <c r="V247" s="27">
        <f>IF(C247="","",H247-U247)</f>
        <v/>
      </c>
      <c r="W247" s="29">
        <f>IFERROR(V247/H247,"")</f>
        <v/>
      </c>
      <c r="X247" s="24" t="n"/>
    </row>
    <row r="248" ht="15" customHeight="1">
      <c r="A248" s="63">
        <f>IF(C248="","",IFERROR(IF(SUMPRODUCT(MAX((tbl_Finance[Job Number]=C248&amp;"")*(tbl_Finance[Xero Invoice No]&lt;&gt;"")*tbl_Finance[Date]))=0,"",SUMPRODUCT(MAX((tbl_Finance[Job Number]=C248&amp;"")*(tbl_Finance[Xero Invoice No]&lt;&gt;"")*tbl_Finance[Date]))),""))</f>
        <v/>
      </c>
      <c r="B248" s="25">
        <f>IF(C248="","",IF(COUNTIFS(tbl_Finance[Job Number],C248&amp;"",tbl_Finance[Xero Invoice No],"&lt;&gt;")=0,"",IFERROR(IF(COUNTIFS(tbl_Finance[Job Number],C248&amp;"",tbl_Finance[Xero Invoice No],LOOKUP(2,1/((tbl_Finance[Job Number]=C248&amp;"")*(tbl_Finance[Xero Invoice No]&lt;&gt;"")),tbl_Finance[Xero Invoice No]))=COUNTIFS(tbl_Finance[Job Number],C248&amp;"",tbl_Finance[Xero Invoice No],"&lt;&gt;"),LOOKUP(2,1/((tbl_Finance[Job Number]=C248&amp;"")*(tbl_Finance[Xero Invoice No]&lt;&gt;"")),tbl_Finance[Xero Invoice No]),LOOKUP(2,1/((tbl_Finance[Job Number]=C248&amp;"")*(tbl_Finance[Xero Invoice No]&lt;&gt;"")),tbl_Finance[Xero Invoice No])&amp;" +more"),"")))</f>
        <v/>
      </c>
      <c r="C248" s="24" t="n"/>
      <c r="D248" s="25">
        <f>IF(C248="","",IF(COUNTIF(lst_Jobs,C248&amp;"")&gt;0,"OK","CHECK"))</f>
        <v/>
      </c>
      <c r="E248" s="25">
        <f>IF(C248="","",IFERROR(INDEX(lst_JobName,MATCH(C248&amp;"",lst_Jobs,0)),""))</f>
        <v/>
      </c>
      <c r="F248" s="25">
        <f>IF(C248="","",IFERROR(INDEX(tbl_Finance[Client],MATCH(C248&amp;"",tbl_Finance[Job Number],0)),""))</f>
        <v/>
      </c>
      <c r="G248" s="28">
        <f>IF(C248="","",COUNTIFS(tbl_Finance[Job Number],C248&amp;"",tbl_Finance[Ex GST],"&lt;&gt;"))</f>
        <v/>
      </c>
      <c r="H248" s="27">
        <f>IF(C248="","",SUMIFS(tbl_Finance[Ex GST],tbl_Finance[Job Number],C248&amp;""))</f>
        <v/>
      </c>
      <c r="I248" s="27">
        <f>IF(C248="","",SUMIFS(tbl_Finance[Ex GST],tbl_Finance[Job Number],C248&amp;"",tbl_Finance[Xero Invoice No],"&lt;&gt;"))</f>
        <v/>
      </c>
      <c r="J248" s="27">
        <f>IF(C248="","",H248-I248)</f>
        <v/>
      </c>
      <c r="K248" s="25">
        <f>IF(C248="","",IF(G248=0,"not invoiced yet",SUBSTITUTE(TRIM(IF(COUNTIFS(tbl_Finance[Job Number],C248&amp;"",tbl_Finance[Cost Centre],"ONSITE")&gt;0,"ONSITE ","")&amp;IF(COUNTIFS(tbl_Finance[Job Number],C248&amp;"",tbl_Finance[Cost Centre],"PRODUCTION")&gt;0,"PRODUCTION ","")&amp;IF(COUNTIFS(tbl_Finance[Job Number],C248&amp;"",tbl_Finance[Cost Centre],"VIDEO")&gt;0,"VIDEO ","")&amp;IF(COUNTIFS(tbl_Finance[Job Number],C248&amp;"",tbl_Finance[Cost Centre],"INTEGRATION")&gt;0,"INTEGRATION ","")&amp;IF(COUNTIFS(tbl_Finance[Job Number],C248&amp;"",tbl_Finance[Cost Centre],"CONSULTING")&gt;0,"CONSULTING ","")&amp;IF(COUNTIFS(tbl_Finance[Job Number],C248&amp;"",tbl_Finance[Cost Centre],"CTS")&gt;0,"CTS ",""))," ",", ")))</f>
        <v/>
      </c>
      <c r="L248" s="24" t="n"/>
      <c r="M248" s="25">
        <f>IF(L248="","",HYPERLINK(IF(LEFT(L248,4)="http",L248,set_QwilrBase&amp;L248),"Open quote"))</f>
        <v/>
      </c>
      <c r="N248" s="26" t="n"/>
      <c r="O248" s="26" t="n"/>
      <c r="P248" s="26" t="n"/>
      <c r="Q248" s="25">
        <f>IF(C248="","",IF(N(N248)+N(O248)+N(P248)=0,"Not split",IF(ROUND(N(N248)+N(O248)+N(P248),2)=ROUND(H248,2),"OK","MISMATCH")))</f>
        <v/>
      </c>
      <c r="R248" s="26" t="n"/>
      <c r="S248" s="26" t="n"/>
      <c r="T248" s="26" t="n"/>
      <c r="U248" s="27">
        <f>IF(C248="","",N(R248)+N(S248)+N(T248))</f>
        <v/>
      </c>
      <c r="V248" s="27">
        <f>IF(C248="","",H248-U248)</f>
        <v/>
      </c>
      <c r="W248" s="29">
        <f>IFERROR(V248/H248,"")</f>
        <v/>
      </c>
      <c r="X248" s="24" t="n"/>
    </row>
    <row r="249" ht="15" customHeight="1">
      <c r="A249" s="63">
        <f>IF(C249="","",IFERROR(IF(SUMPRODUCT(MAX((tbl_Finance[Job Number]=C249&amp;"")*(tbl_Finance[Xero Invoice No]&lt;&gt;"")*tbl_Finance[Date]))=0,"",SUMPRODUCT(MAX((tbl_Finance[Job Number]=C249&amp;"")*(tbl_Finance[Xero Invoice No]&lt;&gt;"")*tbl_Finance[Date]))),""))</f>
        <v/>
      </c>
      <c r="B249" s="25">
        <f>IF(C249="","",IF(COUNTIFS(tbl_Finance[Job Number],C249&amp;"",tbl_Finance[Xero Invoice No],"&lt;&gt;")=0,"",IFERROR(IF(COUNTIFS(tbl_Finance[Job Number],C249&amp;"",tbl_Finance[Xero Invoice No],LOOKUP(2,1/((tbl_Finance[Job Number]=C249&amp;"")*(tbl_Finance[Xero Invoice No]&lt;&gt;"")),tbl_Finance[Xero Invoice No]))=COUNTIFS(tbl_Finance[Job Number],C249&amp;"",tbl_Finance[Xero Invoice No],"&lt;&gt;"),LOOKUP(2,1/((tbl_Finance[Job Number]=C249&amp;"")*(tbl_Finance[Xero Invoice No]&lt;&gt;"")),tbl_Finance[Xero Invoice No]),LOOKUP(2,1/((tbl_Finance[Job Number]=C249&amp;"")*(tbl_Finance[Xero Invoice No]&lt;&gt;"")),tbl_Finance[Xero Invoice No])&amp;" +more"),"")))</f>
        <v/>
      </c>
      <c r="C249" s="24" t="n"/>
      <c r="D249" s="25">
        <f>IF(C249="","",IF(COUNTIF(lst_Jobs,C249&amp;"")&gt;0,"OK","CHECK"))</f>
        <v/>
      </c>
      <c r="E249" s="25">
        <f>IF(C249="","",IFERROR(INDEX(lst_JobName,MATCH(C249&amp;"",lst_Jobs,0)),""))</f>
        <v/>
      </c>
      <c r="F249" s="25">
        <f>IF(C249="","",IFERROR(INDEX(tbl_Finance[Client],MATCH(C249&amp;"",tbl_Finance[Job Number],0)),""))</f>
        <v/>
      </c>
      <c r="G249" s="28">
        <f>IF(C249="","",COUNTIFS(tbl_Finance[Job Number],C249&amp;"",tbl_Finance[Ex GST],"&lt;&gt;"))</f>
        <v/>
      </c>
      <c r="H249" s="27">
        <f>IF(C249="","",SUMIFS(tbl_Finance[Ex GST],tbl_Finance[Job Number],C249&amp;""))</f>
        <v/>
      </c>
      <c r="I249" s="27">
        <f>IF(C249="","",SUMIFS(tbl_Finance[Ex GST],tbl_Finance[Job Number],C249&amp;"",tbl_Finance[Xero Invoice No],"&lt;&gt;"))</f>
        <v/>
      </c>
      <c r="J249" s="27">
        <f>IF(C249="","",H249-I249)</f>
        <v/>
      </c>
      <c r="K249" s="25">
        <f>IF(C249="","",IF(G249=0,"not invoiced yet",SUBSTITUTE(TRIM(IF(COUNTIFS(tbl_Finance[Job Number],C249&amp;"",tbl_Finance[Cost Centre],"ONSITE")&gt;0,"ONSITE ","")&amp;IF(COUNTIFS(tbl_Finance[Job Number],C249&amp;"",tbl_Finance[Cost Centre],"PRODUCTION")&gt;0,"PRODUCTION ","")&amp;IF(COUNTIFS(tbl_Finance[Job Number],C249&amp;"",tbl_Finance[Cost Centre],"VIDEO")&gt;0,"VIDEO ","")&amp;IF(COUNTIFS(tbl_Finance[Job Number],C249&amp;"",tbl_Finance[Cost Centre],"INTEGRATION")&gt;0,"INTEGRATION ","")&amp;IF(COUNTIFS(tbl_Finance[Job Number],C249&amp;"",tbl_Finance[Cost Centre],"CONSULTING")&gt;0,"CONSULTING ","")&amp;IF(COUNTIFS(tbl_Finance[Job Number],C249&amp;"",tbl_Finance[Cost Centre],"CTS")&gt;0,"CTS ",""))," ",", ")))</f>
        <v/>
      </c>
      <c r="L249" s="24" t="n"/>
      <c r="M249" s="25">
        <f>IF(L249="","",HYPERLINK(IF(LEFT(L249,4)="http",L249,set_QwilrBase&amp;L249),"Open quote"))</f>
        <v/>
      </c>
      <c r="N249" s="26" t="n"/>
      <c r="O249" s="26" t="n"/>
      <c r="P249" s="26" t="n"/>
      <c r="Q249" s="25">
        <f>IF(C249="","",IF(N(N249)+N(O249)+N(P249)=0,"Not split",IF(ROUND(N(N249)+N(O249)+N(P249),2)=ROUND(H249,2),"OK","MISMATCH")))</f>
        <v/>
      </c>
      <c r="R249" s="26" t="n"/>
      <c r="S249" s="26" t="n"/>
      <c r="T249" s="26" t="n"/>
      <c r="U249" s="27">
        <f>IF(C249="","",N(R249)+N(S249)+N(T249))</f>
        <v/>
      </c>
      <c r="V249" s="27">
        <f>IF(C249="","",H249-U249)</f>
        <v/>
      </c>
      <c r="W249" s="29">
        <f>IFERROR(V249/H249,"")</f>
        <v/>
      </c>
      <c r="X249" s="24" t="n"/>
    </row>
    <row r="250" ht="15" customHeight="1">
      <c r="A250" s="63">
        <f>IF(C250="","",IFERROR(IF(SUMPRODUCT(MAX((tbl_Finance[Job Number]=C250&amp;"")*(tbl_Finance[Xero Invoice No]&lt;&gt;"")*tbl_Finance[Date]))=0,"",SUMPRODUCT(MAX((tbl_Finance[Job Number]=C250&amp;"")*(tbl_Finance[Xero Invoice No]&lt;&gt;"")*tbl_Finance[Date]))),""))</f>
        <v/>
      </c>
      <c r="B250" s="25">
        <f>IF(C250="","",IF(COUNTIFS(tbl_Finance[Job Number],C250&amp;"",tbl_Finance[Xero Invoice No],"&lt;&gt;")=0,"",IFERROR(IF(COUNTIFS(tbl_Finance[Job Number],C250&amp;"",tbl_Finance[Xero Invoice No],LOOKUP(2,1/((tbl_Finance[Job Number]=C250&amp;"")*(tbl_Finance[Xero Invoice No]&lt;&gt;"")),tbl_Finance[Xero Invoice No]))=COUNTIFS(tbl_Finance[Job Number],C250&amp;"",tbl_Finance[Xero Invoice No],"&lt;&gt;"),LOOKUP(2,1/((tbl_Finance[Job Number]=C250&amp;"")*(tbl_Finance[Xero Invoice No]&lt;&gt;"")),tbl_Finance[Xero Invoice No]),LOOKUP(2,1/((tbl_Finance[Job Number]=C250&amp;"")*(tbl_Finance[Xero Invoice No]&lt;&gt;"")),tbl_Finance[Xero Invoice No])&amp;" +more"),"")))</f>
        <v/>
      </c>
      <c r="C250" s="24" t="n"/>
      <c r="D250" s="25">
        <f>IF(C250="","",IF(COUNTIF(lst_Jobs,C250&amp;"")&gt;0,"OK","CHECK"))</f>
        <v/>
      </c>
      <c r="E250" s="25">
        <f>IF(C250="","",IFERROR(INDEX(lst_JobName,MATCH(C250&amp;"",lst_Jobs,0)),""))</f>
        <v/>
      </c>
      <c r="F250" s="25">
        <f>IF(C250="","",IFERROR(INDEX(tbl_Finance[Client],MATCH(C250&amp;"",tbl_Finance[Job Number],0)),""))</f>
        <v/>
      </c>
      <c r="G250" s="28">
        <f>IF(C250="","",COUNTIFS(tbl_Finance[Job Number],C250&amp;"",tbl_Finance[Ex GST],"&lt;&gt;"))</f>
        <v/>
      </c>
      <c r="H250" s="27">
        <f>IF(C250="","",SUMIFS(tbl_Finance[Ex GST],tbl_Finance[Job Number],C250&amp;""))</f>
        <v/>
      </c>
      <c r="I250" s="27">
        <f>IF(C250="","",SUMIFS(tbl_Finance[Ex GST],tbl_Finance[Job Number],C250&amp;"",tbl_Finance[Xero Invoice No],"&lt;&gt;"))</f>
        <v/>
      </c>
      <c r="J250" s="27">
        <f>IF(C250="","",H250-I250)</f>
        <v/>
      </c>
      <c r="K250" s="25">
        <f>IF(C250="","",IF(G250=0,"not invoiced yet",SUBSTITUTE(TRIM(IF(COUNTIFS(tbl_Finance[Job Number],C250&amp;"",tbl_Finance[Cost Centre],"ONSITE")&gt;0,"ONSITE ","")&amp;IF(COUNTIFS(tbl_Finance[Job Number],C250&amp;"",tbl_Finance[Cost Centre],"PRODUCTION")&gt;0,"PRODUCTION ","")&amp;IF(COUNTIFS(tbl_Finance[Job Number],C250&amp;"",tbl_Finance[Cost Centre],"VIDEO")&gt;0,"VIDEO ","")&amp;IF(COUNTIFS(tbl_Finance[Job Number],C250&amp;"",tbl_Finance[Cost Centre],"INTEGRATION")&gt;0,"INTEGRATION ","")&amp;IF(COUNTIFS(tbl_Finance[Job Number],C250&amp;"",tbl_Finance[Cost Centre],"CONSULTING")&gt;0,"CONSULTING ","")&amp;IF(COUNTIFS(tbl_Finance[Job Number],C250&amp;"",tbl_Finance[Cost Centre],"CTS")&gt;0,"CTS ",""))," ",", ")))</f>
        <v/>
      </c>
      <c r="L250" s="24" t="n"/>
      <c r="M250" s="25">
        <f>IF(L250="","",HYPERLINK(IF(LEFT(L250,4)="http",L250,set_QwilrBase&amp;L250),"Open quote"))</f>
        <v/>
      </c>
      <c r="N250" s="26" t="n"/>
      <c r="O250" s="26" t="n"/>
      <c r="P250" s="26" t="n"/>
      <c r="Q250" s="25">
        <f>IF(C250="","",IF(N(N250)+N(O250)+N(P250)=0,"Not split",IF(ROUND(N(N250)+N(O250)+N(P250),2)=ROUND(H250,2),"OK","MISMATCH")))</f>
        <v/>
      </c>
      <c r="R250" s="26" t="n"/>
      <c r="S250" s="26" t="n"/>
      <c r="T250" s="26" t="n"/>
      <c r="U250" s="27">
        <f>IF(C250="","",N(R250)+N(S250)+N(T250))</f>
        <v/>
      </c>
      <c r="V250" s="27">
        <f>IF(C250="","",H250-U250)</f>
        <v/>
      </c>
      <c r="W250" s="29">
        <f>IFERROR(V250/H250,"")</f>
        <v/>
      </c>
      <c r="X250" s="24" t="n"/>
    </row>
    <row r="251" ht="15" customHeight="1">
      <c r="A251" s="63">
        <f>IF(C251="","",IFERROR(IF(SUMPRODUCT(MAX((tbl_Finance[Job Number]=C251&amp;"")*(tbl_Finance[Xero Invoice No]&lt;&gt;"")*tbl_Finance[Date]))=0,"",SUMPRODUCT(MAX((tbl_Finance[Job Number]=C251&amp;"")*(tbl_Finance[Xero Invoice No]&lt;&gt;"")*tbl_Finance[Date]))),""))</f>
        <v/>
      </c>
      <c r="B251" s="25">
        <f>IF(C251="","",IF(COUNTIFS(tbl_Finance[Job Number],C251&amp;"",tbl_Finance[Xero Invoice No],"&lt;&gt;")=0,"",IFERROR(IF(COUNTIFS(tbl_Finance[Job Number],C251&amp;"",tbl_Finance[Xero Invoice No],LOOKUP(2,1/((tbl_Finance[Job Number]=C251&amp;"")*(tbl_Finance[Xero Invoice No]&lt;&gt;"")),tbl_Finance[Xero Invoice No]))=COUNTIFS(tbl_Finance[Job Number],C251&amp;"",tbl_Finance[Xero Invoice No],"&lt;&gt;"),LOOKUP(2,1/((tbl_Finance[Job Number]=C251&amp;"")*(tbl_Finance[Xero Invoice No]&lt;&gt;"")),tbl_Finance[Xero Invoice No]),LOOKUP(2,1/((tbl_Finance[Job Number]=C251&amp;"")*(tbl_Finance[Xero Invoice No]&lt;&gt;"")),tbl_Finance[Xero Invoice No])&amp;" +more"),"")))</f>
        <v/>
      </c>
      <c r="C251" s="24" t="n"/>
      <c r="D251" s="25">
        <f>IF(C251="","",IF(COUNTIF(lst_Jobs,C251&amp;"")&gt;0,"OK","CHECK"))</f>
        <v/>
      </c>
      <c r="E251" s="25">
        <f>IF(C251="","",IFERROR(INDEX(lst_JobName,MATCH(C251&amp;"",lst_Jobs,0)),""))</f>
        <v/>
      </c>
      <c r="F251" s="25">
        <f>IF(C251="","",IFERROR(INDEX(tbl_Finance[Client],MATCH(C251&amp;"",tbl_Finance[Job Number],0)),""))</f>
        <v/>
      </c>
      <c r="G251" s="28">
        <f>IF(C251="","",COUNTIFS(tbl_Finance[Job Number],C251&amp;"",tbl_Finance[Ex GST],"&lt;&gt;"))</f>
        <v/>
      </c>
      <c r="H251" s="27">
        <f>IF(C251="","",SUMIFS(tbl_Finance[Ex GST],tbl_Finance[Job Number],C251&amp;""))</f>
        <v/>
      </c>
      <c r="I251" s="27">
        <f>IF(C251="","",SUMIFS(tbl_Finance[Ex GST],tbl_Finance[Job Number],C251&amp;"",tbl_Finance[Xero Invoice No],"&lt;&gt;"))</f>
        <v/>
      </c>
      <c r="J251" s="27">
        <f>IF(C251="","",H251-I251)</f>
        <v/>
      </c>
      <c r="K251" s="25">
        <f>IF(C251="","",IF(G251=0,"not invoiced yet",SUBSTITUTE(TRIM(IF(COUNTIFS(tbl_Finance[Job Number],C251&amp;"",tbl_Finance[Cost Centre],"ONSITE")&gt;0,"ONSITE ","")&amp;IF(COUNTIFS(tbl_Finance[Job Number],C251&amp;"",tbl_Finance[Cost Centre],"PRODUCTION")&gt;0,"PRODUCTION ","")&amp;IF(COUNTIFS(tbl_Finance[Job Number],C251&amp;"",tbl_Finance[Cost Centre],"VIDEO")&gt;0,"VIDEO ","")&amp;IF(COUNTIFS(tbl_Finance[Job Number],C251&amp;"",tbl_Finance[Cost Centre],"INTEGRATION")&gt;0,"INTEGRATION ","")&amp;IF(COUNTIFS(tbl_Finance[Job Number],C251&amp;"",tbl_Finance[Cost Centre],"CONSULTING")&gt;0,"CONSULTING ","")&amp;IF(COUNTIFS(tbl_Finance[Job Number],C251&amp;"",tbl_Finance[Cost Centre],"CTS")&gt;0,"CTS ",""))," ",", ")))</f>
        <v/>
      </c>
      <c r="L251" s="24" t="n"/>
      <c r="M251" s="25">
        <f>IF(L251="","",HYPERLINK(IF(LEFT(L251,4)="http",L251,set_QwilrBase&amp;L251),"Open quote"))</f>
        <v/>
      </c>
      <c r="N251" s="26" t="n"/>
      <c r="O251" s="26" t="n"/>
      <c r="P251" s="26" t="n"/>
      <c r="Q251" s="25">
        <f>IF(C251="","",IF(N(N251)+N(O251)+N(P251)=0,"Not split",IF(ROUND(N(N251)+N(O251)+N(P251),2)=ROUND(H251,2),"OK","MISMATCH")))</f>
        <v/>
      </c>
      <c r="R251" s="26" t="n"/>
      <c r="S251" s="26" t="n"/>
      <c r="T251" s="26" t="n"/>
      <c r="U251" s="27">
        <f>IF(C251="","",N(R251)+N(S251)+N(T251))</f>
        <v/>
      </c>
      <c r="V251" s="27">
        <f>IF(C251="","",H251-U251)</f>
        <v/>
      </c>
      <c r="W251" s="29">
        <f>IFERROR(V251/H251,"")</f>
        <v/>
      </c>
      <c r="X251" s="24" t="n"/>
    </row>
    <row r="252" ht="15" customHeight="1">
      <c r="A252" s="63">
        <f>IF(C252="","",IFERROR(IF(SUMPRODUCT(MAX((tbl_Finance[Job Number]=C252&amp;"")*(tbl_Finance[Xero Invoice No]&lt;&gt;"")*tbl_Finance[Date]))=0,"",SUMPRODUCT(MAX((tbl_Finance[Job Number]=C252&amp;"")*(tbl_Finance[Xero Invoice No]&lt;&gt;"")*tbl_Finance[Date]))),""))</f>
        <v/>
      </c>
      <c r="B252" s="25">
        <f>IF(C252="","",IF(COUNTIFS(tbl_Finance[Job Number],C252&amp;"",tbl_Finance[Xero Invoice No],"&lt;&gt;")=0,"",IFERROR(IF(COUNTIFS(tbl_Finance[Job Number],C252&amp;"",tbl_Finance[Xero Invoice No],LOOKUP(2,1/((tbl_Finance[Job Number]=C252&amp;"")*(tbl_Finance[Xero Invoice No]&lt;&gt;"")),tbl_Finance[Xero Invoice No]))=COUNTIFS(tbl_Finance[Job Number],C252&amp;"",tbl_Finance[Xero Invoice No],"&lt;&gt;"),LOOKUP(2,1/((tbl_Finance[Job Number]=C252&amp;"")*(tbl_Finance[Xero Invoice No]&lt;&gt;"")),tbl_Finance[Xero Invoice No]),LOOKUP(2,1/((tbl_Finance[Job Number]=C252&amp;"")*(tbl_Finance[Xero Invoice No]&lt;&gt;"")),tbl_Finance[Xero Invoice No])&amp;" +more"),"")))</f>
        <v/>
      </c>
      <c r="C252" s="24" t="n"/>
      <c r="D252" s="25">
        <f>IF(C252="","",IF(COUNTIF(lst_Jobs,C252&amp;"")&gt;0,"OK","CHECK"))</f>
        <v/>
      </c>
      <c r="E252" s="25">
        <f>IF(C252="","",IFERROR(INDEX(lst_JobName,MATCH(C252&amp;"",lst_Jobs,0)),""))</f>
        <v/>
      </c>
      <c r="F252" s="25">
        <f>IF(C252="","",IFERROR(INDEX(tbl_Finance[Client],MATCH(C252&amp;"",tbl_Finance[Job Number],0)),""))</f>
        <v/>
      </c>
      <c r="G252" s="28">
        <f>IF(C252="","",COUNTIFS(tbl_Finance[Job Number],C252&amp;"",tbl_Finance[Ex GST],"&lt;&gt;"))</f>
        <v/>
      </c>
      <c r="H252" s="27">
        <f>IF(C252="","",SUMIFS(tbl_Finance[Ex GST],tbl_Finance[Job Number],C252&amp;""))</f>
        <v/>
      </c>
      <c r="I252" s="27">
        <f>IF(C252="","",SUMIFS(tbl_Finance[Ex GST],tbl_Finance[Job Number],C252&amp;"",tbl_Finance[Xero Invoice No],"&lt;&gt;"))</f>
        <v/>
      </c>
      <c r="J252" s="27">
        <f>IF(C252="","",H252-I252)</f>
        <v/>
      </c>
      <c r="K252" s="25">
        <f>IF(C252="","",IF(G252=0,"not invoiced yet",SUBSTITUTE(TRIM(IF(COUNTIFS(tbl_Finance[Job Number],C252&amp;"",tbl_Finance[Cost Centre],"ONSITE")&gt;0,"ONSITE ","")&amp;IF(COUNTIFS(tbl_Finance[Job Number],C252&amp;"",tbl_Finance[Cost Centre],"PRODUCTION")&gt;0,"PRODUCTION ","")&amp;IF(COUNTIFS(tbl_Finance[Job Number],C252&amp;"",tbl_Finance[Cost Centre],"VIDEO")&gt;0,"VIDEO ","")&amp;IF(COUNTIFS(tbl_Finance[Job Number],C252&amp;"",tbl_Finance[Cost Centre],"INTEGRATION")&gt;0,"INTEGRATION ","")&amp;IF(COUNTIFS(tbl_Finance[Job Number],C252&amp;"",tbl_Finance[Cost Centre],"CONSULTING")&gt;0,"CONSULTING ","")&amp;IF(COUNTIFS(tbl_Finance[Job Number],C252&amp;"",tbl_Finance[Cost Centre],"CTS")&gt;0,"CTS ",""))," ",", ")))</f>
        <v/>
      </c>
      <c r="L252" s="24" t="n"/>
      <c r="M252" s="25">
        <f>IF(L252="","",HYPERLINK(IF(LEFT(L252,4)="http",L252,set_QwilrBase&amp;L252),"Open quote"))</f>
        <v/>
      </c>
      <c r="N252" s="26" t="n"/>
      <c r="O252" s="26" t="n"/>
      <c r="P252" s="26" t="n"/>
      <c r="Q252" s="25">
        <f>IF(C252="","",IF(N(N252)+N(O252)+N(P252)=0,"Not split",IF(ROUND(N(N252)+N(O252)+N(P252),2)=ROUND(H252,2),"OK","MISMATCH")))</f>
        <v/>
      </c>
      <c r="R252" s="26" t="n"/>
      <c r="S252" s="26" t="n"/>
      <c r="T252" s="26" t="n"/>
      <c r="U252" s="27">
        <f>IF(C252="","",N(R252)+N(S252)+N(T252))</f>
        <v/>
      </c>
      <c r="V252" s="27">
        <f>IF(C252="","",H252-U252)</f>
        <v/>
      </c>
      <c r="W252" s="29">
        <f>IFERROR(V252/H252,"")</f>
        <v/>
      </c>
      <c r="X252" s="24" t="n"/>
    </row>
    <row r="253" ht="15" customHeight="1">
      <c r="A253" s="63">
        <f>IF(C253="","",IFERROR(IF(SUMPRODUCT(MAX((tbl_Finance[Job Number]=C253&amp;"")*(tbl_Finance[Xero Invoice No]&lt;&gt;"")*tbl_Finance[Date]))=0,"",SUMPRODUCT(MAX((tbl_Finance[Job Number]=C253&amp;"")*(tbl_Finance[Xero Invoice No]&lt;&gt;"")*tbl_Finance[Date]))),""))</f>
        <v/>
      </c>
      <c r="B253" s="25">
        <f>IF(C253="","",IF(COUNTIFS(tbl_Finance[Job Number],C253&amp;"",tbl_Finance[Xero Invoice No],"&lt;&gt;")=0,"",IFERROR(IF(COUNTIFS(tbl_Finance[Job Number],C253&amp;"",tbl_Finance[Xero Invoice No],LOOKUP(2,1/((tbl_Finance[Job Number]=C253&amp;"")*(tbl_Finance[Xero Invoice No]&lt;&gt;"")),tbl_Finance[Xero Invoice No]))=COUNTIFS(tbl_Finance[Job Number],C253&amp;"",tbl_Finance[Xero Invoice No],"&lt;&gt;"),LOOKUP(2,1/((tbl_Finance[Job Number]=C253&amp;"")*(tbl_Finance[Xero Invoice No]&lt;&gt;"")),tbl_Finance[Xero Invoice No]),LOOKUP(2,1/((tbl_Finance[Job Number]=C253&amp;"")*(tbl_Finance[Xero Invoice No]&lt;&gt;"")),tbl_Finance[Xero Invoice No])&amp;" +more"),"")))</f>
        <v/>
      </c>
      <c r="C253" s="24" t="n"/>
      <c r="D253" s="25">
        <f>IF(C253="","",IF(COUNTIF(lst_Jobs,C253&amp;"")&gt;0,"OK","CHECK"))</f>
        <v/>
      </c>
      <c r="E253" s="25">
        <f>IF(C253="","",IFERROR(INDEX(lst_JobName,MATCH(C253&amp;"",lst_Jobs,0)),""))</f>
        <v/>
      </c>
      <c r="F253" s="25">
        <f>IF(C253="","",IFERROR(INDEX(tbl_Finance[Client],MATCH(C253&amp;"",tbl_Finance[Job Number],0)),""))</f>
        <v/>
      </c>
      <c r="G253" s="28">
        <f>IF(C253="","",COUNTIFS(tbl_Finance[Job Number],C253&amp;"",tbl_Finance[Ex GST],"&lt;&gt;"))</f>
        <v/>
      </c>
      <c r="H253" s="27">
        <f>IF(C253="","",SUMIFS(tbl_Finance[Ex GST],tbl_Finance[Job Number],C253&amp;""))</f>
        <v/>
      </c>
      <c r="I253" s="27">
        <f>IF(C253="","",SUMIFS(tbl_Finance[Ex GST],tbl_Finance[Job Number],C253&amp;"",tbl_Finance[Xero Invoice No],"&lt;&gt;"))</f>
        <v/>
      </c>
      <c r="J253" s="27">
        <f>IF(C253="","",H253-I253)</f>
        <v/>
      </c>
      <c r="K253" s="25">
        <f>IF(C253="","",IF(G253=0,"not invoiced yet",SUBSTITUTE(TRIM(IF(COUNTIFS(tbl_Finance[Job Number],C253&amp;"",tbl_Finance[Cost Centre],"ONSITE")&gt;0,"ONSITE ","")&amp;IF(COUNTIFS(tbl_Finance[Job Number],C253&amp;"",tbl_Finance[Cost Centre],"PRODUCTION")&gt;0,"PRODUCTION ","")&amp;IF(COUNTIFS(tbl_Finance[Job Number],C253&amp;"",tbl_Finance[Cost Centre],"VIDEO")&gt;0,"VIDEO ","")&amp;IF(COUNTIFS(tbl_Finance[Job Number],C253&amp;"",tbl_Finance[Cost Centre],"INTEGRATION")&gt;0,"INTEGRATION ","")&amp;IF(COUNTIFS(tbl_Finance[Job Number],C253&amp;"",tbl_Finance[Cost Centre],"CONSULTING")&gt;0,"CONSULTING ","")&amp;IF(COUNTIFS(tbl_Finance[Job Number],C253&amp;"",tbl_Finance[Cost Centre],"CTS")&gt;0,"CTS ",""))," ",", ")))</f>
        <v/>
      </c>
      <c r="L253" s="24" t="n"/>
      <c r="M253" s="25">
        <f>IF(L253="","",HYPERLINK(IF(LEFT(L253,4)="http",L253,set_QwilrBase&amp;L253),"Open quote"))</f>
        <v/>
      </c>
      <c r="N253" s="26" t="n"/>
      <c r="O253" s="26" t="n"/>
      <c r="P253" s="26" t="n"/>
      <c r="Q253" s="25">
        <f>IF(C253="","",IF(N(N253)+N(O253)+N(P253)=0,"Not split",IF(ROUND(N(N253)+N(O253)+N(P253),2)=ROUND(H253,2),"OK","MISMATCH")))</f>
        <v/>
      </c>
      <c r="R253" s="26" t="n"/>
      <c r="S253" s="26" t="n"/>
      <c r="T253" s="26" t="n"/>
      <c r="U253" s="27">
        <f>IF(C253="","",N(R253)+N(S253)+N(T253))</f>
        <v/>
      </c>
      <c r="V253" s="27">
        <f>IF(C253="","",H253-U253)</f>
        <v/>
      </c>
      <c r="W253" s="29">
        <f>IFERROR(V253/H253,"")</f>
        <v/>
      </c>
      <c r="X253" s="24" t="n"/>
    </row>
    <row r="254" ht="15" customHeight="1">
      <c r="A254" s="63">
        <f>IF(C254="","",IFERROR(IF(SUMPRODUCT(MAX((tbl_Finance[Job Number]=C254&amp;"")*(tbl_Finance[Xero Invoice No]&lt;&gt;"")*tbl_Finance[Date]))=0,"",SUMPRODUCT(MAX((tbl_Finance[Job Number]=C254&amp;"")*(tbl_Finance[Xero Invoice No]&lt;&gt;"")*tbl_Finance[Date]))),""))</f>
        <v/>
      </c>
      <c r="B254" s="25">
        <f>IF(C254="","",IF(COUNTIFS(tbl_Finance[Job Number],C254&amp;"",tbl_Finance[Xero Invoice No],"&lt;&gt;")=0,"",IFERROR(IF(COUNTIFS(tbl_Finance[Job Number],C254&amp;"",tbl_Finance[Xero Invoice No],LOOKUP(2,1/((tbl_Finance[Job Number]=C254&amp;"")*(tbl_Finance[Xero Invoice No]&lt;&gt;"")),tbl_Finance[Xero Invoice No]))=COUNTIFS(tbl_Finance[Job Number],C254&amp;"",tbl_Finance[Xero Invoice No],"&lt;&gt;"),LOOKUP(2,1/((tbl_Finance[Job Number]=C254&amp;"")*(tbl_Finance[Xero Invoice No]&lt;&gt;"")),tbl_Finance[Xero Invoice No]),LOOKUP(2,1/((tbl_Finance[Job Number]=C254&amp;"")*(tbl_Finance[Xero Invoice No]&lt;&gt;"")),tbl_Finance[Xero Invoice No])&amp;" +more"),"")))</f>
        <v/>
      </c>
      <c r="C254" s="24" t="n"/>
      <c r="D254" s="25">
        <f>IF(C254="","",IF(COUNTIF(lst_Jobs,C254&amp;"")&gt;0,"OK","CHECK"))</f>
        <v/>
      </c>
      <c r="E254" s="25">
        <f>IF(C254="","",IFERROR(INDEX(lst_JobName,MATCH(C254&amp;"",lst_Jobs,0)),""))</f>
        <v/>
      </c>
      <c r="F254" s="25">
        <f>IF(C254="","",IFERROR(INDEX(tbl_Finance[Client],MATCH(C254&amp;"",tbl_Finance[Job Number],0)),""))</f>
        <v/>
      </c>
      <c r="G254" s="28">
        <f>IF(C254="","",COUNTIFS(tbl_Finance[Job Number],C254&amp;"",tbl_Finance[Ex GST],"&lt;&gt;"))</f>
        <v/>
      </c>
      <c r="H254" s="27">
        <f>IF(C254="","",SUMIFS(tbl_Finance[Ex GST],tbl_Finance[Job Number],C254&amp;""))</f>
        <v/>
      </c>
      <c r="I254" s="27">
        <f>IF(C254="","",SUMIFS(tbl_Finance[Ex GST],tbl_Finance[Job Number],C254&amp;"",tbl_Finance[Xero Invoice No],"&lt;&gt;"))</f>
        <v/>
      </c>
      <c r="J254" s="27">
        <f>IF(C254="","",H254-I254)</f>
        <v/>
      </c>
      <c r="K254" s="25">
        <f>IF(C254="","",IF(G254=0,"not invoiced yet",SUBSTITUTE(TRIM(IF(COUNTIFS(tbl_Finance[Job Number],C254&amp;"",tbl_Finance[Cost Centre],"ONSITE")&gt;0,"ONSITE ","")&amp;IF(COUNTIFS(tbl_Finance[Job Number],C254&amp;"",tbl_Finance[Cost Centre],"PRODUCTION")&gt;0,"PRODUCTION ","")&amp;IF(COUNTIFS(tbl_Finance[Job Number],C254&amp;"",tbl_Finance[Cost Centre],"VIDEO")&gt;0,"VIDEO ","")&amp;IF(COUNTIFS(tbl_Finance[Job Number],C254&amp;"",tbl_Finance[Cost Centre],"INTEGRATION")&gt;0,"INTEGRATION ","")&amp;IF(COUNTIFS(tbl_Finance[Job Number],C254&amp;"",tbl_Finance[Cost Centre],"CONSULTING")&gt;0,"CONSULTING ","")&amp;IF(COUNTIFS(tbl_Finance[Job Number],C254&amp;"",tbl_Finance[Cost Centre],"CTS")&gt;0,"CTS ",""))," ",", ")))</f>
        <v/>
      </c>
      <c r="L254" s="24" t="n"/>
      <c r="M254" s="25">
        <f>IF(L254="","",HYPERLINK(IF(LEFT(L254,4)="http",L254,set_QwilrBase&amp;L254),"Open quote"))</f>
        <v/>
      </c>
      <c r="N254" s="26" t="n"/>
      <c r="O254" s="26" t="n"/>
      <c r="P254" s="26" t="n"/>
      <c r="Q254" s="25">
        <f>IF(C254="","",IF(N(N254)+N(O254)+N(P254)=0,"Not split",IF(ROUND(N(N254)+N(O254)+N(P254),2)=ROUND(H254,2),"OK","MISMATCH")))</f>
        <v/>
      </c>
      <c r="R254" s="26" t="n"/>
      <c r="S254" s="26" t="n"/>
      <c r="T254" s="26" t="n"/>
      <c r="U254" s="27">
        <f>IF(C254="","",N(R254)+N(S254)+N(T254))</f>
        <v/>
      </c>
      <c r="V254" s="27">
        <f>IF(C254="","",H254-U254)</f>
        <v/>
      </c>
      <c r="W254" s="29">
        <f>IFERROR(V254/H254,"")</f>
        <v/>
      </c>
      <c r="X254" s="24" t="n"/>
    </row>
    <row r="255" ht="15" customHeight="1">
      <c r="A255" s="63">
        <f>IF(C255="","",IFERROR(IF(SUMPRODUCT(MAX((tbl_Finance[Job Number]=C255&amp;"")*(tbl_Finance[Xero Invoice No]&lt;&gt;"")*tbl_Finance[Date]))=0,"",SUMPRODUCT(MAX((tbl_Finance[Job Number]=C255&amp;"")*(tbl_Finance[Xero Invoice No]&lt;&gt;"")*tbl_Finance[Date]))),""))</f>
        <v/>
      </c>
      <c r="B255" s="25">
        <f>IF(C255="","",IF(COUNTIFS(tbl_Finance[Job Number],C255&amp;"",tbl_Finance[Xero Invoice No],"&lt;&gt;")=0,"",IFERROR(IF(COUNTIFS(tbl_Finance[Job Number],C255&amp;"",tbl_Finance[Xero Invoice No],LOOKUP(2,1/((tbl_Finance[Job Number]=C255&amp;"")*(tbl_Finance[Xero Invoice No]&lt;&gt;"")),tbl_Finance[Xero Invoice No]))=COUNTIFS(tbl_Finance[Job Number],C255&amp;"",tbl_Finance[Xero Invoice No],"&lt;&gt;"),LOOKUP(2,1/((tbl_Finance[Job Number]=C255&amp;"")*(tbl_Finance[Xero Invoice No]&lt;&gt;"")),tbl_Finance[Xero Invoice No]),LOOKUP(2,1/((tbl_Finance[Job Number]=C255&amp;"")*(tbl_Finance[Xero Invoice No]&lt;&gt;"")),tbl_Finance[Xero Invoice No])&amp;" +more"),"")))</f>
        <v/>
      </c>
      <c r="C255" s="24" t="n"/>
      <c r="D255" s="25">
        <f>IF(C255="","",IF(COUNTIF(lst_Jobs,C255&amp;"")&gt;0,"OK","CHECK"))</f>
        <v/>
      </c>
      <c r="E255" s="25">
        <f>IF(C255="","",IFERROR(INDEX(lst_JobName,MATCH(C255&amp;"",lst_Jobs,0)),""))</f>
        <v/>
      </c>
      <c r="F255" s="25">
        <f>IF(C255="","",IFERROR(INDEX(tbl_Finance[Client],MATCH(C255&amp;"",tbl_Finance[Job Number],0)),""))</f>
        <v/>
      </c>
      <c r="G255" s="28">
        <f>IF(C255="","",COUNTIFS(tbl_Finance[Job Number],C255&amp;"",tbl_Finance[Ex GST],"&lt;&gt;"))</f>
        <v/>
      </c>
      <c r="H255" s="27">
        <f>IF(C255="","",SUMIFS(tbl_Finance[Ex GST],tbl_Finance[Job Number],C255&amp;""))</f>
        <v/>
      </c>
      <c r="I255" s="27">
        <f>IF(C255="","",SUMIFS(tbl_Finance[Ex GST],tbl_Finance[Job Number],C255&amp;"",tbl_Finance[Xero Invoice No],"&lt;&gt;"))</f>
        <v/>
      </c>
      <c r="J255" s="27">
        <f>IF(C255="","",H255-I255)</f>
        <v/>
      </c>
      <c r="K255" s="25">
        <f>IF(C255="","",IF(G255=0,"not invoiced yet",SUBSTITUTE(TRIM(IF(COUNTIFS(tbl_Finance[Job Number],C255&amp;"",tbl_Finance[Cost Centre],"ONSITE")&gt;0,"ONSITE ","")&amp;IF(COUNTIFS(tbl_Finance[Job Number],C255&amp;"",tbl_Finance[Cost Centre],"PRODUCTION")&gt;0,"PRODUCTION ","")&amp;IF(COUNTIFS(tbl_Finance[Job Number],C255&amp;"",tbl_Finance[Cost Centre],"VIDEO")&gt;0,"VIDEO ","")&amp;IF(COUNTIFS(tbl_Finance[Job Number],C255&amp;"",tbl_Finance[Cost Centre],"INTEGRATION")&gt;0,"INTEGRATION ","")&amp;IF(COUNTIFS(tbl_Finance[Job Number],C255&amp;"",tbl_Finance[Cost Centre],"CONSULTING")&gt;0,"CONSULTING ","")&amp;IF(COUNTIFS(tbl_Finance[Job Number],C255&amp;"",tbl_Finance[Cost Centre],"CTS")&gt;0,"CTS ",""))," ",", ")))</f>
        <v/>
      </c>
      <c r="L255" s="24" t="n"/>
      <c r="M255" s="25">
        <f>IF(L255="","",HYPERLINK(IF(LEFT(L255,4)="http",L255,set_QwilrBase&amp;L255),"Open quote"))</f>
        <v/>
      </c>
      <c r="N255" s="26" t="n"/>
      <c r="O255" s="26" t="n"/>
      <c r="P255" s="26" t="n"/>
      <c r="Q255" s="25">
        <f>IF(C255="","",IF(N(N255)+N(O255)+N(P255)=0,"Not split",IF(ROUND(N(N255)+N(O255)+N(P255),2)=ROUND(H255,2),"OK","MISMATCH")))</f>
        <v/>
      </c>
      <c r="R255" s="26" t="n"/>
      <c r="S255" s="26" t="n"/>
      <c r="T255" s="26" t="n"/>
      <c r="U255" s="27">
        <f>IF(C255="","",N(R255)+N(S255)+N(T255))</f>
        <v/>
      </c>
      <c r="V255" s="27">
        <f>IF(C255="","",H255-U255)</f>
        <v/>
      </c>
      <c r="W255" s="29">
        <f>IFERROR(V255/H255,"")</f>
        <v/>
      </c>
      <c r="X255" s="24" t="n"/>
    </row>
    <row r="256" ht="15" customHeight="1">
      <c r="A256" s="63">
        <f>IF(C256="","",IFERROR(IF(SUMPRODUCT(MAX((tbl_Finance[Job Number]=C256&amp;"")*(tbl_Finance[Xero Invoice No]&lt;&gt;"")*tbl_Finance[Date]))=0,"",SUMPRODUCT(MAX((tbl_Finance[Job Number]=C256&amp;"")*(tbl_Finance[Xero Invoice No]&lt;&gt;"")*tbl_Finance[Date]))),""))</f>
        <v/>
      </c>
      <c r="B256" s="25">
        <f>IF(C256="","",IF(COUNTIFS(tbl_Finance[Job Number],C256&amp;"",tbl_Finance[Xero Invoice No],"&lt;&gt;")=0,"",IFERROR(IF(COUNTIFS(tbl_Finance[Job Number],C256&amp;"",tbl_Finance[Xero Invoice No],LOOKUP(2,1/((tbl_Finance[Job Number]=C256&amp;"")*(tbl_Finance[Xero Invoice No]&lt;&gt;"")),tbl_Finance[Xero Invoice No]))=COUNTIFS(tbl_Finance[Job Number],C256&amp;"",tbl_Finance[Xero Invoice No],"&lt;&gt;"),LOOKUP(2,1/((tbl_Finance[Job Number]=C256&amp;"")*(tbl_Finance[Xero Invoice No]&lt;&gt;"")),tbl_Finance[Xero Invoice No]),LOOKUP(2,1/((tbl_Finance[Job Number]=C256&amp;"")*(tbl_Finance[Xero Invoice No]&lt;&gt;"")),tbl_Finance[Xero Invoice No])&amp;" +more"),"")))</f>
        <v/>
      </c>
      <c r="C256" s="24" t="n"/>
      <c r="D256" s="25">
        <f>IF(C256="","",IF(COUNTIF(lst_Jobs,C256&amp;"")&gt;0,"OK","CHECK"))</f>
        <v/>
      </c>
      <c r="E256" s="25">
        <f>IF(C256="","",IFERROR(INDEX(lst_JobName,MATCH(C256&amp;"",lst_Jobs,0)),""))</f>
        <v/>
      </c>
      <c r="F256" s="25">
        <f>IF(C256="","",IFERROR(INDEX(tbl_Finance[Client],MATCH(C256&amp;"",tbl_Finance[Job Number],0)),""))</f>
        <v/>
      </c>
      <c r="G256" s="28">
        <f>IF(C256="","",COUNTIFS(tbl_Finance[Job Number],C256&amp;"",tbl_Finance[Ex GST],"&lt;&gt;"))</f>
        <v/>
      </c>
      <c r="H256" s="27">
        <f>IF(C256="","",SUMIFS(tbl_Finance[Ex GST],tbl_Finance[Job Number],C256&amp;""))</f>
        <v/>
      </c>
      <c r="I256" s="27">
        <f>IF(C256="","",SUMIFS(tbl_Finance[Ex GST],tbl_Finance[Job Number],C256&amp;"",tbl_Finance[Xero Invoice No],"&lt;&gt;"))</f>
        <v/>
      </c>
      <c r="J256" s="27">
        <f>IF(C256="","",H256-I256)</f>
        <v/>
      </c>
      <c r="K256" s="25">
        <f>IF(C256="","",IF(G256=0,"not invoiced yet",SUBSTITUTE(TRIM(IF(COUNTIFS(tbl_Finance[Job Number],C256&amp;"",tbl_Finance[Cost Centre],"ONSITE")&gt;0,"ONSITE ","")&amp;IF(COUNTIFS(tbl_Finance[Job Number],C256&amp;"",tbl_Finance[Cost Centre],"PRODUCTION")&gt;0,"PRODUCTION ","")&amp;IF(COUNTIFS(tbl_Finance[Job Number],C256&amp;"",tbl_Finance[Cost Centre],"VIDEO")&gt;0,"VIDEO ","")&amp;IF(COUNTIFS(tbl_Finance[Job Number],C256&amp;"",tbl_Finance[Cost Centre],"INTEGRATION")&gt;0,"INTEGRATION ","")&amp;IF(COUNTIFS(tbl_Finance[Job Number],C256&amp;"",tbl_Finance[Cost Centre],"CONSULTING")&gt;0,"CONSULTING ","")&amp;IF(COUNTIFS(tbl_Finance[Job Number],C256&amp;"",tbl_Finance[Cost Centre],"CTS")&gt;0,"CTS ",""))," ",", ")))</f>
        <v/>
      </c>
      <c r="L256" s="24" t="n"/>
      <c r="M256" s="25">
        <f>IF(L256="","",HYPERLINK(IF(LEFT(L256,4)="http",L256,set_QwilrBase&amp;L256),"Open quote"))</f>
        <v/>
      </c>
      <c r="N256" s="26" t="n"/>
      <c r="O256" s="26" t="n"/>
      <c r="P256" s="26" t="n"/>
      <c r="Q256" s="25">
        <f>IF(C256="","",IF(N(N256)+N(O256)+N(P256)=0,"Not split",IF(ROUND(N(N256)+N(O256)+N(P256),2)=ROUND(H256,2),"OK","MISMATCH")))</f>
        <v/>
      </c>
      <c r="R256" s="26" t="n"/>
      <c r="S256" s="26" t="n"/>
      <c r="T256" s="26" t="n"/>
      <c r="U256" s="27">
        <f>IF(C256="","",N(R256)+N(S256)+N(T256))</f>
        <v/>
      </c>
      <c r="V256" s="27">
        <f>IF(C256="","",H256-U256)</f>
        <v/>
      </c>
      <c r="W256" s="29">
        <f>IFERROR(V256/H256,"")</f>
        <v/>
      </c>
      <c r="X256" s="24" t="n"/>
    </row>
    <row r="257" ht="15" customHeight="1">
      <c r="A257" s="63">
        <f>IF(C257="","",IFERROR(IF(SUMPRODUCT(MAX((tbl_Finance[Job Number]=C257&amp;"")*(tbl_Finance[Xero Invoice No]&lt;&gt;"")*tbl_Finance[Date]))=0,"",SUMPRODUCT(MAX((tbl_Finance[Job Number]=C257&amp;"")*(tbl_Finance[Xero Invoice No]&lt;&gt;"")*tbl_Finance[Date]))),""))</f>
        <v/>
      </c>
      <c r="B257" s="25">
        <f>IF(C257="","",IF(COUNTIFS(tbl_Finance[Job Number],C257&amp;"",tbl_Finance[Xero Invoice No],"&lt;&gt;")=0,"",IFERROR(IF(COUNTIFS(tbl_Finance[Job Number],C257&amp;"",tbl_Finance[Xero Invoice No],LOOKUP(2,1/((tbl_Finance[Job Number]=C257&amp;"")*(tbl_Finance[Xero Invoice No]&lt;&gt;"")),tbl_Finance[Xero Invoice No]))=COUNTIFS(tbl_Finance[Job Number],C257&amp;"",tbl_Finance[Xero Invoice No],"&lt;&gt;"),LOOKUP(2,1/((tbl_Finance[Job Number]=C257&amp;"")*(tbl_Finance[Xero Invoice No]&lt;&gt;"")),tbl_Finance[Xero Invoice No]),LOOKUP(2,1/((tbl_Finance[Job Number]=C257&amp;"")*(tbl_Finance[Xero Invoice No]&lt;&gt;"")),tbl_Finance[Xero Invoice No])&amp;" +more"),"")))</f>
        <v/>
      </c>
      <c r="C257" s="24" t="n"/>
      <c r="D257" s="25">
        <f>IF(C257="","",IF(COUNTIF(lst_Jobs,C257&amp;"")&gt;0,"OK","CHECK"))</f>
        <v/>
      </c>
      <c r="E257" s="25">
        <f>IF(C257="","",IFERROR(INDEX(lst_JobName,MATCH(C257&amp;"",lst_Jobs,0)),""))</f>
        <v/>
      </c>
      <c r="F257" s="25">
        <f>IF(C257="","",IFERROR(INDEX(tbl_Finance[Client],MATCH(C257&amp;"",tbl_Finance[Job Number],0)),""))</f>
        <v/>
      </c>
      <c r="G257" s="28">
        <f>IF(C257="","",COUNTIFS(tbl_Finance[Job Number],C257&amp;"",tbl_Finance[Ex GST],"&lt;&gt;"))</f>
        <v/>
      </c>
      <c r="H257" s="27">
        <f>IF(C257="","",SUMIFS(tbl_Finance[Ex GST],tbl_Finance[Job Number],C257&amp;""))</f>
        <v/>
      </c>
      <c r="I257" s="27">
        <f>IF(C257="","",SUMIFS(tbl_Finance[Ex GST],tbl_Finance[Job Number],C257&amp;"",tbl_Finance[Xero Invoice No],"&lt;&gt;"))</f>
        <v/>
      </c>
      <c r="J257" s="27">
        <f>IF(C257="","",H257-I257)</f>
        <v/>
      </c>
      <c r="K257" s="25">
        <f>IF(C257="","",IF(G257=0,"not invoiced yet",SUBSTITUTE(TRIM(IF(COUNTIFS(tbl_Finance[Job Number],C257&amp;"",tbl_Finance[Cost Centre],"ONSITE")&gt;0,"ONSITE ","")&amp;IF(COUNTIFS(tbl_Finance[Job Number],C257&amp;"",tbl_Finance[Cost Centre],"PRODUCTION")&gt;0,"PRODUCTION ","")&amp;IF(COUNTIFS(tbl_Finance[Job Number],C257&amp;"",tbl_Finance[Cost Centre],"VIDEO")&gt;0,"VIDEO ","")&amp;IF(COUNTIFS(tbl_Finance[Job Number],C257&amp;"",tbl_Finance[Cost Centre],"INTEGRATION")&gt;0,"INTEGRATION ","")&amp;IF(COUNTIFS(tbl_Finance[Job Number],C257&amp;"",tbl_Finance[Cost Centre],"CONSULTING")&gt;0,"CONSULTING ","")&amp;IF(COUNTIFS(tbl_Finance[Job Number],C257&amp;"",tbl_Finance[Cost Centre],"CTS")&gt;0,"CTS ",""))," ",", ")))</f>
        <v/>
      </c>
      <c r="L257" s="24" t="n"/>
      <c r="M257" s="25">
        <f>IF(L257="","",HYPERLINK(IF(LEFT(L257,4)="http",L257,set_QwilrBase&amp;L257),"Open quote"))</f>
        <v/>
      </c>
      <c r="N257" s="26" t="n"/>
      <c r="O257" s="26" t="n"/>
      <c r="P257" s="26" t="n"/>
      <c r="Q257" s="25">
        <f>IF(C257="","",IF(N(N257)+N(O257)+N(P257)=0,"Not split",IF(ROUND(N(N257)+N(O257)+N(P257),2)=ROUND(H257,2),"OK","MISMATCH")))</f>
        <v/>
      </c>
      <c r="R257" s="26" t="n"/>
      <c r="S257" s="26" t="n"/>
      <c r="T257" s="26" t="n"/>
      <c r="U257" s="27">
        <f>IF(C257="","",N(R257)+N(S257)+N(T257))</f>
        <v/>
      </c>
      <c r="V257" s="27">
        <f>IF(C257="","",H257-U257)</f>
        <v/>
      </c>
      <c r="W257" s="29">
        <f>IFERROR(V257/H257,"")</f>
        <v/>
      </c>
      <c r="X257" s="24" t="n"/>
    </row>
    <row r="258" ht="15" customHeight="1">
      <c r="A258" s="63">
        <f>IF(C258="","",IFERROR(IF(SUMPRODUCT(MAX((tbl_Finance[Job Number]=C258&amp;"")*(tbl_Finance[Xero Invoice No]&lt;&gt;"")*tbl_Finance[Date]))=0,"",SUMPRODUCT(MAX((tbl_Finance[Job Number]=C258&amp;"")*(tbl_Finance[Xero Invoice No]&lt;&gt;"")*tbl_Finance[Date]))),""))</f>
        <v/>
      </c>
      <c r="B258" s="25">
        <f>IF(C258="","",IF(COUNTIFS(tbl_Finance[Job Number],C258&amp;"",tbl_Finance[Xero Invoice No],"&lt;&gt;")=0,"",IFERROR(IF(COUNTIFS(tbl_Finance[Job Number],C258&amp;"",tbl_Finance[Xero Invoice No],LOOKUP(2,1/((tbl_Finance[Job Number]=C258&amp;"")*(tbl_Finance[Xero Invoice No]&lt;&gt;"")),tbl_Finance[Xero Invoice No]))=COUNTIFS(tbl_Finance[Job Number],C258&amp;"",tbl_Finance[Xero Invoice No],"&lt;&gt;"),LOOKUP(2,1/((tbl_Finance[Job Number]=C258&amp;"")*(tbl_Finance[Xero Invoice No]&lt;&gt;"")),tbl_Finance[Xero Invoice No]),LOOKUP(2,1/((tbl_Finance[Job Number]=C258&amp;"")*(tbl_Finance[Xero Invoice No]&lt;&gt;"")),tbl_Finance[Xero Invoice No])&amp;" +more"),"")))</f>
        <v/>
      </c>
      <c r="C258" s="24" t="n"/>
      <c r="D258" s="25">
        <f>IF(C258="","",IF(COUNTIF(lst_Jobs,C258&amp;"")&gt;0,"OK","CHECK"))</f>
        <v/>
      </c>
      <c r="E258" s="25">
        <f>IF(C258="","",IFERROR(INDEX(lst_JobName,MATCH(C258&amp;"",lst_Jobs,0)),""))</f>
        <v/>
      </c>
      <c r="F258" s="25">
        <f>IF(C258="","",IFERROR(INDEX(tbl_Finance[Client],MATCH(C258&amp;"",tbl_Finance[Job Number],0)),""))</f>
        <v/>
      </c>
      <c r="G258" s="28">
        <f>IF(C258="","",COUNTIFS(tbl_Finance[Job Number],C258&amp;"",tbl_Finance[Ex GST],"&lt;&gt;"))</f>
        <v/>
      </c>
      <c r="H258" s="27">
        <f>IF(C258="","",SUMIFS(tbl_Finance[Ex GST],tbl_Finance[Job Number],C258&amp;""))</f>
        <v/>
      </c>
      <c r="I258" s="27">
        <f>IF(C258="","",SUMIFS(tbl_Finance[Ex GST],tbl_Finance[Job Number],C258&amp;"",tbl_Finance[Xero Invoice No],"&lt;&gt;"))</f>
        <v/>
      </c>
      <c r="J258" s="27">
        <f>IF(C258="","",H258-I258)</f>
        <v/>
      </c>
      <c r="K258" s="25">
        <f>IF(C258="","",IF(G258=0,"not invoiced yet",SUBSTITUTE(TRIM(IF(COUNTIFS(tbl_Finance[Job Number],C258&amp;"",tbl_Finance[Cost Centre],"ONSITE")&gt;0,"ONSITE ","")&amp;IF(COUNTIFS(tbl_Finance[Job Number],C258&amp;"",tbl_Finance[Cost Centre],"PRODUCTION")&gt;0,"PRODUCTION ","")&amp;IF(COUNTIFS(tbl_Finance[Job Number],C258&amp;"",tbl_Finance[Cost Centre],"VIDEO")&gt;0,"VIDEO ","")&amp;IF(COUNTIFS(tbl_Finance[Job Number],C258&amp;"",tbl_Finance[Cost Centre],"INTEGRATION")&gt;0,"INTEGRATION ","")&amp;IF(COUNTIFS(tbl_Finance[Job Number],C258&amp;"",tbl_Finance[Cost Centre],"CONSULTING")&gt;0,"CONSULTING ","")&amp;IF(COUNTIFS(tbl_Finance[Job Number],C258&amp;"",tbl_Finance[Cost Centre],"CTS")&gt;0,"CTS ",""))," ",", ")))</f>
        <v/>
      </c>
      <c r="L258" s="24" t="n"/>
      <c r="M258" s="25">
        <f>IF(L258="","",HYPERLINK(IF(LEFT(L258,4)="http",L258,set_QwilrBase&amp;L258),"Open quote"))</f>
        <v/>
      </c>
      <c r="N258" s="26" t="n"/>
      <c r="O258" s="26" t="n"/>
      <c r="P258" s="26" t="n"/>
      <c r="Q258" s="25">
        <f>IF(C258="","",IF(N(N258)+N(O258)+N(P258)=0,"Not split",IF(ROUND(N(N258)+N(O258)+N(P258),2)=ROUND(H258,2),"OK","MISMATCH")))</f>
        <v/>
      </c>
      <c r="R258" s="26" t="n"/>
      <c r="S258" s="26" t="n"/>
      <c r="T258" s="26" t="n"/>
      <c r="U258" s="27">
        <f>IF(C258="","",N(R258)+N(S258)+N(T258))</f>
        <v/>
      </c>
      <c r="V258" s="27">
        <f>IF(C258="","",H258-U258)</f>
        <v/>
      </c>
      <c r="W258" s="29">
        <f>IFERROR(V258/H258,"")</f>
        <v/>
      </c>
      <c r="X258" s="24" t="n"/>
    </row>
    <row r="259" ht="15" customHeight="1">
      <c r="A259" s="63">
        <f>IF(C259="","",IFERROR(IF(SUMPRODUCT(MAX((tbl_Finance[Job Number]=C259&amp;"")*(tbl_Finance[Xero Invoice No]&lt;&gt;"")*tbl_Finance[Date]))=0,"",SUMPRODUCT(MAX((tbl_Finance[Job Number]=C259&amp;"")*(tbl_Finance[Xero Invoice No]&lt;&gt;"")*tbl_Finance[Date]))),""))</f>
        <v/>
      </c>
      <c r="B259" s="25">
        <f>IF(C259="","",IF(COUNTIFS(tbl_Finance[Job Number],C259&amp;"",tbl_Finance[Xero Invoice No],"&lt;&gt;")=0,"",IFERROR(IF(COUNTIFS(tbl_Finance[Job Number],C259&amp;"",tbl_Finance[Xero Invoice No],LOOKUP(2,1/((tbl_Finance[Job Number]=C259&amp;"")*(tbl_Finance[Xero Invoice No]&lt;&gt;"")),tbl_Finance[Xero Invoice No]))=COUNTIFS(tbl_Finance[Job Number],C259&amp;"",tbl_Finance[Xero Invoice No],"&lt;&gt;"),LOOKUP(2,1/((tbl_Finance[Job Number]=C259&amp;"")*(tbl_Finance[Xero Invoice No]&lt;&gt;"")),tbl_Finance[Xero Invoice No]),LOOKUP(2,1/((tbl_Finance[Job Number]=C259&amp;"")*(tbl_Finance[Xero Invoice No]&lt;&gt;"")),tbl_Finance[Xero Invoice No])&amp;" +more"),"")))</f>
        <v/>
      </c>
      <c r="C259" s="24" t="n"/>
      <c r="D259" s="25">
        <f>IF(C259="","",IF(COUNTIF(lst_Jobs,C259&amp;"")&gt;0,"OK","CHECK"))</f>
        <v/>
      </c>
      <c r="E259" s="25">
        <f>IF(C259="","",IFERROR(INDEX(lst_JobName,MATCH(C259&amp;"",lst_Jobs,0)),""))</f>
        <v/>
      </c>
      <c r="F259" s="25">
        <f>IF(C259="","",IFERROR(INDEX(tbl_Finance[Client],MATCH(C259&amp;"",tbl_Finance[Job Number],0)),""))</f>
        <v/>
      </c>
      <c r="G259" s="28">
        <f>IF(C259="","",COUNTIFS(tbl_Finance[Job Number],C259&amp;"",tbl_Finance[Ex GST],"&lt;&gt;"))</f>
        <v/>
      </c>
      <c r="H259" s="27">
        <f>IF(C259="","",SUMIFS(tbl_Finance[Ex GST],tbl_Finance[Job Number],C259&amp;""))</f>
        <v/>
      </c>
      <c r="I259" s="27">
        <f>IF(C259="","",SUMIFS(tbl_Finance[Ex GST],tbl_Finance[Job Number],C259&amp;"",tbl_Finance[Xero Invoice No],"&lt;&gt;"))</f>
        <v/>
      </c>
      <c r="J259" s="27">
        <f>IF(C259="","",H259-I259)</f>
        <v/>
      </c>
      <c r="K259" s="25">
        <f>IF(C259="","",IF(G259=0,"not invoiced yet",SUBSTITUTE(TRIM(IF(COUNTIFS(tbl_Finance[Job Number],C259&amp;"",tbl_Finance[Cost Centre],"ONSITE")&gt;0,"ONSITE ","")&amp;IF(COUNTIFS(tbl_Finance[Job Number],C259&amp;"",tbl_Finance[Cost Centre],"PRODUCTION")&gt;0,"PRODUCTION ","")&amp;IF(COUNTIFS(tbl_Finance[Job Number],C259&amp;"",tbl_Finance[Cost Centre],"VIDEO")&gt;0,"VIDEO ","")&amp;IF(COUNTIFS(tbl_Finance[Job Number],C259&amp;"",tbl_Finance[Cost Centre],"INTEGRATION")&gt;0,"INTEGRATION ","")&amp;IF(COUNTIFS(tbl_Finance[Job Number],C259&amp;"",tbl_Finance[Cost Centre],"CONSULTING")&gt;0,"CONSULTING ","")&amp;IF(COUNTIFS(tbl_Finance[Job Number],C259&amp;"",tbl_Finance[Cost Centre],"CTS")&gt;0,"CTS ",""))," ",", ")))</f>
        <v/>
      </c>
      <c r="L259" s="24" t="n"/>
      <c r="M259" s="25">
        <f>IF(L259="","",HYPERLINK(IF(LEFT(L259,4)="http",L259,set_QwilrBase&amp;L259),"Open quote"))</f>
        <v/>
      </c>
      <c r="N259" s="26" t="n"/>
      <c r="O259" s="26" t="n"/>
      <c r="P259" s="26" t="n"/>
      <c r="Q259" s="25">
        <f>IF(C259="","",IF(N(N259)+N(O259)+N(P259)=0,"Not split",IF(ROUND(N(N259)+N(O259)+N(P259),2)=ROUND(H259,2),"OK","MISMATCH")))</f>
        <v/>
      </c>
      <c r="R259" s="26" t="n"/>
      <c r="S259" s="26" t="n"/>
      <c r="T259" s="26" t="n"/>
      <c r="U259" s="27">
        <f>IF(C259="","",N(R259)+N(S259)+N(T259))</f>
        <v/>
      </c>
      <c r="V259" s="27">
        <f>IF(C259="","",H259-U259)</f>
        <v/>
      </c>
      <c r="W259" s="29">
        <f>IFERROR(V259/H259,"")</f>
        <v/>
      </c>
      <c r="X259" s="24" t="n"/>
    </row>
    <row r="260" ht="15" customHeight="1">
      <c r="A260" s="63">
        <f>IF(C260="","",IFERROR(IF(SUMPRODUCT(MAX((tbl_Finance[Job Number]=C260&amp;"")*(tbl_Finance[Xero Invoice No]&lt;&gt;"")*tbl_Finance[Date]))=0,"",SUMPRODUCT(MAX((tbl_Finance[Job Number]=C260&amp;"")*(tbl_Finance[Xero Invoice No]&lt;&gt;"")*tbl_Finance[Date]))),""))</f>
        <v/>
      </c>
      <c r="B260" s="25">
        <f>IF(C260="","",IF(COUNTIFS(tbl_Finance[Job Number],C260&amp;"",tbl_Finance[Xero Invoice No],"&lt;&gt;")=0,"",IFERROR(IF(COUNTIFS(tbl_Finance[Job Number],C260&amp;"",tbl_Finance[Xero Invoice No],LOOKUP(2,1/((tbl_Finance[Job Number]=C260&amp;"")*(tbl_Finance[Xero Invoice No]&lt;&gt;"")),tbl_Finance[Xero Invoice No]))=COUNTIFS(tbl_Finance[Job Number],C260&amp;"",tbl_Finance[Xero Invoice No],"&lt;&gt;"),LOOKUP(2,1/((tbl_Finance[Job Number]=C260&amp;"")*(tbl_Finance[Xero Invoice No]&lt;&gt;"")),tbl_Finance[Xero Invoice No]),LOOKUP(2,1/((tbl_Finance[Job Number]=C260&amp;"")*(tbl_Finance[Xero Invoice No]&lt;&gt;"")),tbl_Finance[Xero Invoice No])&amp;" +more"),"")))</f>
        <v/>
      </c>
      <c r="C260" s="24" t="n"/>
      <c r="D260" s="25">
        <f>IF(C260="","",IF(COUNTIF(lst_Jobs,C260&amp;"")&gt;0,"OK","CHECK"))</f>
        <v/>
      </c>
      <c r="E260" s="25">
        <f>IF(C260="","",IFERROR(INDEX(lst_JobName,MATCH(C260&amp;"",lst_Jobs,0)),""))</f>
        <v/>
      </c>
      <c r="F260" s="25">
        <f>IF(C260="","",IFERROR(INDEX(tbl_Finance[Client],MATCH(C260&amp;"",tbl_Finance[Job Number],0)),""))</f>
        <v/>
      </c>
      <c r="G260" s="28">
        <f>IF(C260="","",COUNTIFS(tbl_Finance[Job Number],C260&amp;"",tbl_Finance[Ex GST],"&lt;&gt;"))</f>
        <v/>
      </c>
      <c r="H260" s="27">
        <f>IF(C260="","",SUMIFS(tbl_Finance[Ex GST],tbl_Finance[Job Number],C260&amp;""))</f>
        <v/>
      </c>
      <c r="I260" s="27">
        <f>IF(C260="","",SUMIFS(tbl_Finance[Ex GST],tbl_Finance[Job Number],C260&amp;"",tbl_Finance[Xero Invoice No],"&lt;&gt;"))</f>
        <v/>
      </c>
      <c r="J260" s="27">
        <f>IF(C260="","",H260-I260)</f>
        <v/>
      </c>
      <c r="K260" s="25">
        <f>IF(C260="","",IF(G260=0,"not invoiced yet",SUBSTITUTE(TRIM(IF(COUNTIFS(tbl_Finance[Job Number],C260&amp;"",tbl_Finance[Cost Centre],"ONSITE")&gt;0,"ONSITE ","")&amp;IF(COUNTIFS(tbl_Finance[Job Number],C260&amp;"",tbl_Finance[Cost Centre],"PRODUCTION")&gt;0,"PRODUCTION ","")&amp;IF(COUNTIFS(tbl_Finance[Job Number],C260&amp;"",tbl_Finance[Cost Centre],"VIDEO")&gt;0,"VIDEO ","")&amp;IF(COUNTIFS(tbl_Finance[Job Number],C260&amp;"",tbl_Finance[Cost Centre],"INTEGRATION")&gt;0,"INTEGRATION ","")&amp;IF(COUNTIFS(tbl_Finance[Job Number],C260&amp;"",tbl_Finance[Cost Centre],"CONSULTING")&gt;0,"CONSULTING ","")&amp;IF(COUNTIFS(tbl_Finance[Job Number],C260&amp;"",tbl_Finance[Cost Centre],"CTS")&gt;0,"CTS ",""))," ",", ")))</f>
        <v/>
      </c>
      <c r="L260" s="24" t="n"/>
      <c r="M260" s="25">
        <f>IF(L260="","",HYPERLINK(IF(LEFT(L260,4)="http",L260,set_QwilrBase&amp;L260),"Open quote"))</f>
        <v/>
      </c>
      <c r="N260" s="26" t="n"/>
      <c r="O260" s="26" t="n"/>
      <c r="P260" s="26" t="n"/>
      <c r="Q260" s="25">
        <f>IF(C260="","",IF(N(N260)+N(O260)+N(P260)=0,"Not split",IF(ROUND(N(N260)+N(O260)+N(P260),2)=ROUND(H260,2),"OK","MISMATCH")))</f>
        <v/>
      </c>
      <c r="R260" s="26" t="n"/>
      <c r="S260" s="26" t="n"/>
      <c r="T260" s="26" t="n"/>
      <c r="U260" s="27">
        <f>IF(C260="","",N(R260)+N(S260)+N(T260))</f>
        <v/>
      </c>
      <c r="V260" s="27">
        <f>IF(C260="","",H260-U260)</f>
        <v/>
      </c>
      <c r="W260" s="29">
        <f>IFERROR(V260/H260,"")</f>
        <v/>
      </c>
      <c r="X260" s="24" t="n"/>
    </row>
    <row r="261" ht="15" customHeight="1">
      <c r="A261" s="63">
        <f>IF(C261="","",IFERROR(IF(SUMPRODUCT(MAX((tbl_Finance[Job Number]=C261&amp;"")*(tbl_Finance[Xero Invoice No]&lt;&gt;"")*tbl_Finance[Date]))=0,"",SUMPRODUCT(MAX((tbl_Finance[Job Number]=C261&amp;"")*(tbl_Finance[Xero Invoice No]&lt;&gt;"")*tbl_Finance[Date]))),""))</f>
        <v/>
      </c>
      <c r="B261" s="25">
        <f>IF(C261="","",IF(COUNTIFS(tbl_Finance[Job Number],C261&amp;"",tbl_Finance[Xero Invoice No],"&lt;&gt;")=0,"",IFERROR(IF(COUNTIFS(tbl_Finance[Job Number],C261&amp;"",tbl_Finance[Xero Invoice No],LOOKUP(2,1/((tbl_Finance[Job Number]=C261&amp;"")*(tbl_Finance[Xero Invoice No]&lt;&gt;"")),tbl_Finance[Xero Invoice No]))=COUNTIFS(tbl_Finance[Job Number],C261&amp;"",tbl_Finance[Xero Invoice No],"&lt;&gt;"),LOOKUP(2,1/((tbl_Finance[Job Number]=C261&amp;"")*(tbl_Finance[Xero Invoice No]&lt;&gt;"")),tbl_Finance[Xero Invoice No]),LOOKUP(2,1/((tbl_Finance[Job Number]=C261&amp;"")*(tbl_Finance[Xero Invoice No]&lt;&gt;"")),tbl_Finance[Xero Invoice No])&amp;" +more"),"")))</f>
        <v/>
      </c>
      <c r="C261" s="24" t="n"/>
      <c r="D261" s="25">
        <f>IF(C261="","",IF(COUNTIF(lst_Jobs,C261&amp;"")&gt;0,"OK","CHECK"))</f>
        <v/>
      </c>
      <c r="E261" s="25">
        <f>IF(C261="","",IFERROR(INDEX(lst_JobName,MATCH(C261&amp;"",lst_Jobs,0)),""))</f>
        <v/>
      </c>
      <c r="F261" s="25">
        <f>IF(C261="","",IFERROR(INDEX(tbl_Finance[Client],MATCH(C261&amp;"",tbl_Finance[Job Number],0)),""))</f>
        <v/>
      </c>
      <c r="G261" s="28">
        <f>IF(C261="","",COUNTIFS(tbl_Finance[Job Number],C261&amp;"",tbl_Finance[Ex GST],"&lt;&gt;"))</f>
        <v/>
      </c>
      <c r="H261" s="27">
        <f>IF(C261="","",SUMIFS(tbl_Finance[Ex GST],tbl_Finance[Job Number],C261&amp;""))</f>
        <v/>
      </c>
      <c r="I261" s="27">
        <f>IF(C261="","",SUMIFS(tbl_Finance[Ex GST],tbl_Finance[Job Number],C261&amp;"",tbl_Finance[Xero Invoice No],"&lt;&gt;"))</f>
        <v/>
      </c>
      <c r="J261" s="27">
        <f>IF(C261="","",H261-I261)</f>
        <v/>
      </c>
      <c r="K261" s="25">
        <f>IF(C261="","",IF(G261=0,"not invoiced yet",SUBSTITUTE(TRIM(IF(COUNTIFS(tbl_Finance[Job Number],C261&amp;"",tbl_Finance[Cost Centre],"ONSITE")&gt;0,"ONSITE ","")&amp;IF(COUNTIFS(tbl_Finance[Job Number],C261&amp;"",tbl_Finance[Cost Centre],"PRODUCTION")&gt;0,"PRODUCTION ","")&amp;IF(COUNTIFS(tbl_Finance[Job Number],C261&amp;"",tbl_Finance[Cost Centre],"VIDEO")&gt;0,"VIDEO ","")&amp;IF(COUNTIFS(tbl_Finance[Job Number],C261&amp;"",tbl_Finance[Cost Centre],"INTEGRATION")&gt;0,"INTEGRATION ","")&amp;IF(COUNTIFS(tbl_Finance[Job Number],C261&amp;"",tbl_Finance[Cost Centre],"CONSULTING")&gt;0,"CONSULTING ","")&amp;IF(COUNTIFS(tbl_Finance[Job Number],C261&amp;"",tbl_Finance[Cost Centre],"CTS")&gt;0,"CTS ",""))," ",", ")))</f>
        <v/>
      </c>
      <c r="L261" s="24" t="n"/>
      <c r="M261" s="25">
        <f>IF(L261="","",HYPERLINK(IF(LEFT(L261,4)="http",L261,set_QwilrBase&amp;L261),"Open quote"))</f>
        <v/>
      </c>
      <c r="N261" s="26" t="n"/>
      <c r="O261" s="26" t="n"/>
      <c r="P261" s="26" t="n"/>
      <c r="Q261" s="25">
        <f>IF(C261="","",IF(N(N261)+N(O261)+N(P261)=0,"Not split",IF(ROUND(N(N261)+N(O261)+N(P261),2)=ROUND(H261,2),"OK","MISMATCH")))</f>
        <v/>
      </c>
      <c r="R261" s="26" t="n"/>
      <c r="S261" s="26" t="n"/>
      <c r="T261" s="26" t="n"/>
      <c r="U261" s="27">
        <f>IF(C261="","",N(R261)+N(S261)+N(T261))</f>
        <v/>
      </c>
      <c r="V261" s="27">
        <f>IF(C261="","",H261-U261)</f>
        <v/>
      </c>
      <c r="W261" s="29">
        <f>IFERROR(V261/H261,"")</f>
        <v/>
      </c>
      <c r="X261" s="24" t="n"/>
    </row>
    <row r="262" ht="15" customHeight="1">
      <c r="A262" s="63">
        <f>IF(C262="","",IFERROR(IF(SUMPRODUCT(MAX((tbl_Finance[Job Number]=C262&amp;"")*(tbl_Finance[Xero Invoice No]&lt;&gt;"")*tbl_Finance[Date]))=0,"",SUMPRODUCT(MAX((tbl_Finance[Job Number]=C262&amp;"")*(tbl_Finance[Xero Invoice No]&lt;&gt;"")*tbl_Finance[Date]))),""))</f>
        <v/>
      </c>
      <c r="B262" s="25">
        <f>IF(C262="","",IF(COUNTIFS(tbl_Finance[Job Number],C262&amp;"",tbl_Finance[Xero Invoice No],"&lt;&gt;")=0,"",IFERROR(IF(COUNTIFS(tbl_Finance[Job Number],C262&amp;"",tbl_Finance[Xero Invoice No],LOOKUP(2,1/((tbl_Finance[Job Number]=C262&amp;"")*(tbl_Finance[Xero Invoice No]&lt;&gt;"")),tbl_Finance[Xero Invoice No]))=COUNTIFS(tbl_Finance[Job Number],C262&amp;"",tbl_Finance[Xero Invoice No],"&lt;&gt;"),LOOKUP(2,1/((tbl_Finance[Job Number]=C262&amp;"")*(tbl_Finance[Xero Invoice No]&lt;&gt;"")),tbl_Finance[Xero Invoice No]),LOOKUP(2,1/((tbl_Finance[Job Number]=C262&amp;"")*(tbl_Finance[Xero Invoice No]&lt;&gt;"")),tbl_Finance[Xero Invoice No])&amp;" +more"),"")))</f>
        <v/>
      </c>
      <c r="C262" s="24" t="n"/>
      <c r="D262" s="25">
        <f>IF(C262="","",IF(COUNTIF(lst_Jobs,C262&amp;"")&gt;0,"OK","CHECK"))</f>
        <v/>
      </c>
      <c r="E262" s="25">
        <f>IF(C262="","",IFERROR(INDEX(lst_JobName,MATCH(C262&amp;"",lst_Jobs,0)),""))</f>
        <v/>
      </c>
      <c r="F262" s="25">
        <f>IF(C262="","",IFERROR(INDEX(tbl_Finance[Client],MATCH(C262&amp;"",tbl_Finance[Job Number],0)),""))</f>
        <v/>
      </c>
      <c r="G262" s="28">
        <f>IF(C262="","",COUNTIFS(tbl_Finance[Job Number],C262&amp;"",tbl_Finance[Ex GST],"&lt;&gt;"))</f>
        <v/>
      </c>
      <c r="H262" s="27">
        <f>IF(C262="","",SUMIFS(tbl_Finance[Ex GST],tbl_Finance[Job Number],C262&amp;""))</f>
        <v/>
      </c>
      <c r="I262" s="27">
        <f>IF(C262="","",SUMIFS(tbl_Finance[Ex GST],tbl_Finance[Job Number],C262&amp;"",tbl_Finance[Xero Invoice No],"&lt;&gt;"))</f>
        <v/>
      </c>
      <c r="J262" s="27">
        <f>IF(C262="","",H262-I262)</f>
        <v/>
      </c>
      <c r="K262" s="25">
        <f>IF(C262="","",IF(G262=0,"not invoiced yet",SUBSTITUTE(TRIM(IF(COUNTIFS(tbl_Finance[Job Number],C262&amp;"",tbl_Finance[Cost Centre],"ONSITE")&gt;0,"ONSITE ","")&amp;IF(COUNTIFS(tbl_Finance[Job Number],C262&amp;"",tbl_Finance[Cost Centre],"PRODUCTION")&gt;0,"PRODUCTION ","")&amp;IF(COUNTIFS(tbl_Finance[Job Number],C262&amp;"",tbl_Finance[Cost Centre],"VIDEO")&gt;0,"VIDEO ","")&amp;IF(COUNTIFS(tbl_Finance[Job Number],C262&amp;"",tbl_Finance[Cost Centre],"INTEGRATION")&gt;0,"INTEGRATION ","")&amp;IF(COUNTIFS(tbl_Finance[Job Number],C262&amp;"",tbl_Finance[Cost Centre],"CONSULTING")&gt;0,"CONSULTING ","")&amp;IF(COUNTIFS(tbl_Finance[Job Number],C262&amp;"",tbl_Finance[Cost Centre],"CTS")&gt;0,"CTS ",""))," ",", ")))</f>
        <v/>
      </c>
      <c r="L262" s="24" t="n"/>
      <c r="M262" s="25">
        <f>IF(L262="","",HYPERLINK(IF(LEFT(L262,4)="http",L262,set_QwilrBase&amp;L262),"Open quote"))</f>
        <v/>
      </c>
      <c r="N262" s="26" t="n"/>
      <c r="O262" s="26" t="n"/>
      <c r="P262" s="26" t="n"/>
      <c r="Q262" s="25">
        <f>IF(C262="","",IF(N(N262)+N(O262)+N(P262)=0,"Not split",IF(ROUND(N(N262)+N(O262)+N(P262),2)=ROUND(H262,2),"OK","MISMATCH")))</f>
        <v/>
      </c>
      <c r="R262" s="26" t="n"/>
      <c r="S262" s="26" t="n"/>
      <c r="T262" s="26" t="n"/>
      <c r="U262" s="27">
        <f>IF(C262="","",N(R262)+N(S262)+N(T262))</f>
        <v/>
      </c>
      <c r="V262" s="27">
        <f>IF(C262="","",H262-U262)</f>
        <v/>
      </c>
      <c r="W262" s="29">
        <f>IFERROR(V262/H262,"")</f>
        <v/>
      </c>
      <c r="X262" s="24" t="n"/>
    </row>
    <row r="263" ht="15" customHeight="1">
      <c r="A263" s="63">
        <f>IF(C263="","",IFERROR(IF(SUMPRODUCT(MAX((tbl_Finance[Job Number]=C263&amp;"")*(tbl_Finance[Xero Invoice No]&lt;&gt;"")*tbl_Finance[Date]))=0,"",SUMPRODUCT(MAX((tbl_Finance[Job Number]=C263&amp;"")*(tbl_Finance[Xero Invoice No]&lt;&gt;"")*tbl_Finance[Date]))),""))</f>
        <v/>
      </c>
      <c r="B263" s="25">
        <f>IF(C263="","",IF(COUNTIFS(tbl_Finance[Job Number],C263&amp;"",tbl_Finance[Xero Invoice No],"&lt;&gt;")=0,"",IFERROR(IF(COUNTIFS(tbl_Finance[Job Number],C263&amp;"",tbl_Finance[Xero Invoice No],LOOKUP(2,1/((tbl_Finance[Job Number]=C263&amp;"")*(tbl_Finance[Xero Invoice No]&lt;&gt;"")),tbl_Finance[Xero Invoice No]))=COUNTIFS(tbl_Finance[Job Number],C263&amp;"",tbl_Finance[Xero Invoice No],"&lt;&gt;"),LOOKUP(2,1/((tbl_Finance[Job Number]=C263&amp;"")*(tbl_Finance[Xero Invoice No]&lt;&gt;"")),tbl_Finance[Xero Invoice No]),LOOKUP(2,1/((tbl_Finance[Job Number]=C263&amp;"")*(tbl_Finance[Xero Invoice No]&lt;&gt;"")),tbl_Finance[Xero Invoice No])&amp;" +more"),"")))</f>
        <v/>
      </c>
      <c r="C263" s="24" t="n"/>
      <c r="D263" s="25">
        <f>IF(C263="","",IF(COUNTIF(lst_Jobs,C263&amp;"")&gt;0,"OK","CHECK"))</f>
        <v/>
      </c>
      <c r="E263" s="25">
        <f>IF(C263="","",IFERROR(INDEX(lst_JobName,MATCH(C263&amp;"",lst_Jobs,0)),""))</f>
        <v/>
      </c>
      <c r="F263" s="25">
        <f>IF(C263="","",IFERROR(INDEX(tbl_Finance[Client],MATCH(C263&amp;"",tbl_Finance[Job Number],0)),""))</f>
        <v/>
      </c>
      <c r="G263" s="28">
        <f>IF(C263="","",COUNTIFS(tbl_Finance[Job Number],C263&amp;"",tbl_Finance[Ex GST],"&lt;&gt;"))</f>
        <v/>
      </c>
      <c r="H263" s="27">
        <f>IF(C263="","",SUMIFS(tbl_Finance[Ex GST],tbl_Finance[Job Number],C263&amp;""))</f>
        <v/>
      </c>
      <c r="I263" s="27">
        <f>IF(C263="","",SUMIFS(tbl_Finance[Ex GST],tbl_Finance[Job Number],C263&amp;"",tbl_Finance[Xero Invoice No],"&lt;&gt;"))</f>
        <v/>
      </c>
      <c r="J263" s="27">
        <f>IF(C263="","",H263-I263)</f>
        <v/>
      </c>
      <c r="K263" s="25">
        <f>IF(C263="","",IF(G263=0,"not invoiced yet",SUBSTITUTE(TRIM(IF(COUNTIFS(tbl_Finance[Job Number],C263&amp;"",tbl_Finance[Cost Centre],"ONSITE")&gt;0,"ONSITE ","")&amp;IF(COUNTIFS(tbl_Finance[Job Number],C263&amp;"",tbl_Finance[Cost Centre],"PRODUCTION")&gt;0,"PRODUCTION ","")&amp;IF(COUNTIFS(tbl_Finance[Job Number],C263&amp;"",tbl_Finance[Cost Centre],"VIDEO")&gt;0,"VIDEO ","")&amp;IF(COUNTIFS(tbl_Finance[Job Number],C263&amp;"",tbl_Finance[Cost Centre],"INTEGRATION")&gt;0,"INTEGRATION ","")&amp;IF(COUNTIFS(tbl_Finance[Job Number],C263&amp;"",tbl_Finance[Cost Centre],"CONSULTING")&gt;0,"CONSULTING ","")&amp;IF(COUNTIFS(tbl_Finance[Job Number],C263&amp;"",tbl_Finance[Cost Centre],"CTS")&gt;0,"CTS ",""))," ",", ")))</f>
        <v/>
      </c>
      <c r="L263" s="24" t="n"/>
      <c r="M263" s="25">
        <f>IF(L263="","",HYPERLINK(IF(LEFT(L263,4)="http",L263,set_QwilrBase&amp;L263),"Open quote"))</f>
        <v/>
      </c>
      <c r="N263" s="26" t="n"/>
      <c r="O263" s="26" t="n"/>
      <c r="P263" s="26" t="n"/>
      <c r="Q263" s="25">
        <f>IF(C263="","",IF(N(N263)+N(O263)+N(P263)=0,"Not split",IF(ROUND(N(N263)+N(O263)+N(P263),2)=ROUND(H263,2),"OK","MISMATCH")))</f>
        <v/>
      </c>
      <c r="R263" s="26" t="n"/>
      <c r="S263" s="26" t="n"/>
      <c r="T263" s="26" t="n"/>
      <c r="U263" s="27">
        <f>IF(C263="","",N(R263)+N(S263)+N(T263))</f>
        <v/>
      </c>
      <c r="V263" s="27">
        <f>IF(C263="","",H263-U263)</f>
        <v/>
      </c>
      <c r="W263" s="29">
        <f>IFERROR(V263/H263,"")</f>
        <v/>
      </c>
      <c r="X263" s="24" t="n"/>
    </row>
    <row r="264" ht="15" customHeight="1">
      <c r="A264" s="63">
        <f>IF(C264="","",IFERROR(IF(SUMPRODUCT(MAX((tbl_Finance[Job Number]=C264&amp;"")*(tbl_Finance[Xero Invoice No]&lt;&gt;"")*tbl_Finance[Date]))=0,"",SUMPRODUCT(MAX((tbl_Finance[Job Number]=C264&amp;"")*(tbl_Finance[Xero Invoice No]&lt;&gt;"")*tbl_Finance[Date]))),""))</f>
        <v/>
      </c>
      <c r="B264" s="25">
        <f>IF(C264="","",IF(COUNTIFS(tbl_Finance[Job Number],C264&amp;"",tbl_Finance[Xero Invoice No],"&lt;&gt;")=0,"",IFERROR(IF(COUNTIFS(tbl_Finance[Job Number],C264&amp;"",tbl_Finance[Xero Invoice No],LOOKUP(2,1/((tbl_Finance[Job Number]=C264&amp;"")*(tbl_Finance[Xero Invoice No]&lt;&gt;"")),tbl_Finance[Xero Invoice No]))=COUNTIFS(tbl_Finance[Job Number],C264&amp;"",tbl_Finance[Xero Invoice No],"&lt;&gt;"),LOOKUP(2,1/((tbl_Finance[Job Number]=C264&amp;"")*(tbl_Finance[Xero Invoice No]&lt;&gt;"")),tbl_Finance[Xero Invoice No]),LOOKUP(2,1/((tbl_Finance[Job Number]=C264&amp;"")*(tbl_Finance[Xero Invoice No]&lt;&gt;"")),tbl_Finance[Xero Invoice No])&amp;" +more"),"")))</f>
        <v/>
      </c>
      <c r="C264" s="24" t="n"/>
      <c r="D264" s="25">
        <f>IF(C264="","",IF(COUNTIF(lst_Jobs,C264&amp;"")&gt;0,"OK","CHECK"))</f>
        <v/>
      </c>
      <c r="E264" s="25">
        <f>IF(C264="","",IFERROR(INDEX(lst_JobName,MATCH(C264&amp;"",lst_Jobs,0)),""))</f>
        <v/>
      </c>
      <c r="F264" s="25">
        <f>IF(C264="","",IFERROR(INDEX(tbl_Finance[Client],MATCH(C264&amp;"",tbl_Finance[Job Number],0)),""))</f>
        <v/>
      </c>
      <c r="G264" s="28">
        <f>IF(C264="","",COUNTIFS(tbl_Finance[Job Number],C264&amp;"",tbl_Finance[Ex GST],"&lt;&gt;"))</f>
        <v/>
      </c>
      <c r="H264" s="27">
        <f>IF(C264="","",SUMIFS(tbl_Finance[Ex GST],tbl_Finance[Job Number],C264&amp;""))</f>
        <v/>
      </c>
      <c r="I264" s="27">
        <f>IF(C264="","",SUMIFS(tbl_Finance[Ex GST],tbl_Finance[Job Number],C264&amp;"",tbl_Finance[Xero Invoice No],"&lt;&gt;"))</f>
        <v/>
      </c>
      <c r="J264" s="27">
        <f>IF(C264="","",H264-I264)</f>
        <v/>
      </c>
      <c r="K264" s="25">
        <f>IF(C264="","",IF(G264=0,"not invoiced yet",SUBSTITUTE(TRIM(IF(COUNTIFS(tbl_Finance[Job Number],C264&amp;"",tbl_Finance[Cost Centre],"ONSITE")&gt;0,"ONSITE ","")&amp;IF(COUNTIFS(tbl_Finance[Job Number],C264&amp;"",tbl_Finance[Cost Centre],"PRODUCTION")&gt;0,"PRODUCTION ","")&amp;IF(COUNTIFS(tbl_Finance[Job Number],C264&amp;"",tbl_Finance[Cost Centre],"VIDEO")&gt;0,"VIDEO ","")&amp;IF(COUNTIFS(tbl_Finance[Job Number],C264&amp;"",tbl_Finance[Cost Centre],"INTEGRATION")&gt;0,"INTEGRATION ","")&amp;IF(COUNTIFS(tbl_Finance[Job Number],C264&amp;"",tbl_Finance[Cost Centre],"CONSULTING")&gt;0,"CONSULTING ","")&amp;IF(COUNTIFS(tbl_Finance[Job Number],C264&amp;"",tbl_Finance[Cost Centre],"CTS")&gt;0,"CTS ",""))," ",", ")))</f>
        <v/>
      </c>
      <c r="L264" s="24" t="n"/>
      <c r="M264" s="25">
        <f>IF(L264="","",HYPERLINK(IF(LEFT(L264,4)="http",L264,set_QwilrBase&amp;L264),"Open quote"))</f>
        <v/>
      </c>
      <c r="N264" s="26" t="n"/>
      <c r="O264" s="26" t="n"/>
      <c r="P264" s="26" t="n"/>
      <c r="Q264" s="25">
        <f>IF(C264="","",IF(N(N264)+N(O264)+N(P264)=0,"Not split",IF(ROUND(N(N264)+N(O264)+N(P264),2)=ROUND(H264,2),"OK","MISMATCH")))</f>
        <v/>
      </c>
      <c r="R264" s="26" t="n"/>
      <c r="S264" s="26" t="n"/>
      <c r="T264" s="26" t="n"/>
      <c r="U264" s="27">
        <f>IF(C264="","",N(R264)+N(S264)+N(T264))</f>
        <v/>
      </c>
      <c r="V264" s="27">
        <f>IF(C264="","",H264-U264)</f>
        <v/>
      </c>
      <c r="W264" s="29">
        <f>IFERROR(V264/H264,"")</f>
        <v/>
      </c>
      <c r="X264" s="24" t="n"/>
    </row>
    <row r="265" ht="15" customHeight="1">
      <c r="A265" s="63">
        <f>IF(C265="","",IFERROR(IF(SUMPRODUCT(MAX((tbl_Finance[Job Number]=C265&amp;"")*(tbl_Finance[Xero Invoice No]&lt;&gt;"")*tbl_Finance[Date]))=0,"",SUMPRODUCT(MAX((tbl_Finance[Job Number]=C265&amp;"")*(tbl_Finance[Xero Invoice No]&lt;&gt;"")*tbl_Finance[Date]))),""))</f>
        <v/>
      </c>
      <c r="B265" s="25">
        <f>IF(C265="","",IF(COUNTIFS(tbl_Finance[Job Number],C265&amp;"",tbl_Finance[Xero Invoice No],"&lt;&gt;")=0,"",IFERROR(IF(COUNTIFS(tbl_Finance[Job Number],C265&amp;"",tbl_Finance[Xero Invoice No],LOOKUP(2,1/((tbl_Finance[Job Number]=C265&amp;"")*(tbl_Finance[Xero Invoice No]&lt;&gt;"")),tbl_Finance[Xero Invoice No]))=COUNTIFS(tbl_Finance[Job Number],C265&amp;"",tbl_Finance[Xero Invoice No],"&lt;&gt;"),LOOKUP(2,1/((tbl_Finance[Job Number]=C265&amp;"")*(tbl_Finance[Xero Invoice No]&lt;&gt;"")),tbl_Finance[Xero Invoice No]),LOOKUP(2,1/((tbl_Finance[Job Number]=C265&amp;"")*(tbl_Finance[Xero Invoice No]&lt;&gt;"")),tbl_Finance[Xero Invoice No])&amp;" +more"),"")))</f>
        <v/>
      </c>
      <c r="C265" s="24" t="n"/>
      <c r="D265" s="25">
        <f>IF(C265="","",IF(COUNTIF(lst_Jobs,C265&amp;"")&gt;0,"OK","CHECK"))</f>
        <v/>
      </c>
      <c r="E265" s="25">
        <f>IF(C265="","",IFERROR(INDEX(lst_JobName,MATCH(C265&amp;"",lst_Jobs,0)),""))</f>
        <v/>
      </c>
      <c r="F265" s="25">
        <f>IF(C265="","",IFERROR(INDEX(tbl_Finance[Client],MATCH(C265&amp;"",tbl_Finance[Job Number],0)),""))</f>
        <v/>
      </c>
      <c r="G265" s="28">
        <f>IF(C265="","",COUNTIFS(tbl_Finance[Job Number],C265&amp;"",tbl_Finance[Ex GST],"&lt;&gt;"))</f>
        <v/>
      </c>
      <c r="H265" s="27">
        <f>IF(C265="","",SUMIFS(tbl_Finance[Ex GST],tbl_Finance[Job Number],C265&amp;""))</f>
        <v/>
      </c>
      <c r="I265" s="27">
        <f>IF(C265="","",SUMIFS(tbl_Finance[Ex GST],tbl_Finance[Job Number],C265&amp;"",tbl_Finance[Xero Invoice No],"&lt;&gt;"))</f>
        <v/>
      </c>
      <c r="J265" s="27">
        <f>IF(C265="","",H265-I265)</f>
        <v/>
      </c>
      <c r="K265" s="25">
        <f>IF(C265="","",IF(G265=0,"not invoiced yet",SUBSTITUTE(TRIM(IF(COUNTIFS(tbl_Finance[Job Number],C265&amp;"",tbl_Finance[Cost Centre],"ONSITE")&gt;0,"ONSITE ","")&amp;IF(COUNTIFS(tbl_Finance[Job Number],C265&amp;"",tbl_Finance[Cost Centre],"PRODUCTION")&gt;0,"PRODUCTION ","")&amp;IF(COUNTIFS(tbl_Finance[Job Number],C265&amp;"",tbl_Finance[Cost Centre],"VIDEO")&gt;0,"VIDEO ","")&amp;IF(COUNTIFS(tbl_Finance[Job Number],C265&amp;"",tbl_Finance[Cost Centre],"INTEGRATION")&gt;0,"INTEGRATION ","")&amp;IF(COUNTIFS(tbl_Finance[Job Number],C265&amp;"",tbl_Finance[Cost Centre],"CONSULTING")&gt;0,"CONSULTING ","")&amp;IF(COUNTIFS(tbl_Finance[Job Number],C265&amp;"",tbl_Finance[Cost Centre],"CTS")&gt;0,"CTS ",""))," ",", ")))</f>
        <v/>
      </c>
      <c r="L265" s="24" t="n"/>
      <c r="M265" s="25">
        <f>IF(L265="","",HYPERLINK(IF(LEFT(L265,4)="http",L265,set_QwilrBase&amp;L265),"Open quote"))</f>
        <v/>
      </c>
      <c r="N265" s="26" t="n"/>
      <c r="O265" s="26" t="n"/>
      <c r="P265" s="26" t="n"/>
      <c r="Q265" s="25">
        <f>IF(C265="","",IF(N(N265)+N(O265)+N(P265)=0,"Not split",IF(ROUND(N(N265)+N(O265)+N(P265),2)=ROUND(H265,2),"OK","MISMATCH")))</f>
        <v/>
      </c>
      <c r="R265" s="26" t="n"/>
      <c r="S265" s="26" t="n"/>
      <c r="T265" s="26" t="n"/>
      <c r="U265" s="27">
        <f>IF(C265="","",N(R265)+N(S265)+N(T265))</f>
        <v/>
      </c>
      <c r="V265" s="27">
        <f>IF(C265="","",H265-U265)</f>
        <v/>
      </c>
      <c r="W265" s="29">
        <f>IFERROR(V265/H265,"")</f>
        <v/>
      </c>
      <c r="X265" s="24" t="n"/>
    </row>
    <row r="266" ht="15" customHeight="1">
      <c r="A266" s="63">
        <f>IF(C266="","",IFERROR(IF(SUMPRODUCT(MAX((tbl_Finance[Job Number]=C266&amp;"")*(tbl_Finance[Xero Invoice No]&lt;&gt;"")*tbl_Finance[Date]))=0,"",SUMPRODUCT(MAX((tbl_Finance[Job Number]=C266&amp;"")*(tbl_Finance[Xero Invoice No]&lt;&gt;"")*tbl_Finance[Date]))),""))</f>
        <v/>
      </c>
      <c r="B266" s="25">
        <f>IF(C266="","",IF(COUNTIFS(tbl_Finance[Job Number],C266&amp;"",tbl_Finance[Xero Invoice No],"&lt;&gt;")=0,"",IFERROR(IF(COUNTIFS(tbl_Finance[Job Number],C266&amp;"",tbl_Finance[Xero Invoice No],LOOKUP(2,1/((tbl_Finance[Job Number]=C266&amp;"")*(tbl_Finance[Xero Invoice No]&lt;&gt;"")),tbl_Finance[Xero Invoice No]))=COUNTIFS(tbl_Finance[Job Number],C266&amp;"",tbl_Finance[Xero Invoice No],"&lt;&gt;"),LOOKUP(2,1/((tbl_Finance[Job Number]=C266&amp;"")*(tbl_Finance[Xero Invoice No]&lt;&gt;"")),tbl_Finance[Xero Invoice No]),LOOKUP(2,1/((tbl_Finance[Job Number]=C266&amp;"")*(tbl_Finance[Xero Invoice No]&lt;&gt;"")),tbl_Finance[Xero Invoice No])&amp;" +more"),"")))</f>
        <v/>
      </c>
      <c r="C266" s="24" t="n"/>
      <c r="D266" s="25">
        <f>IF(C266="","",IF(COUNTIF(lst_Jobs,C266&amp;"")&gt;0,"OK","CHECK"))</f>
        <v/>
      </c>
      <c r="E266" s="25">
        <f>IF(C266="","",IFERROR(INDEX(lst_JobName,MATCH(C266&amp;"",lst_Jobs,0)),""))</f>
        <v/>
      </c>
      <c r="F266" s="25">
        <f>IF(C266="","",IFERROR(INDEX(tbl_Finance[Client],MATCH(C266&amp;"",tbl_Finance[Job Number],0)),""))</f>
        <v/>
      </c>
      <c r="G266" s="28">
        <f>IF(C266="","",COUNTIFS(tbl_Finance[Job Number],C266&amp;"",tbl_Finance[Ex GST],"&lt;&gt;"))</f>
        <v/>
      </c>
      <c r="H266" s="27">
        <f>IF(C266="","",SUMIFS(tbl_Finance[Ex GST],tbl_Finance[Job Number],C266&amp;""))</f>
        <v/>
      </c>
      <c r="I266" s="27">
        <f>IF(C266="","",SUMIFS(tbl_Finance[Ex GST],tbl_Finance[Job Number],C266&amp;"",tbl_Finance[Xero Invoice No],"&lt;&gt;"))</f>
        <v/>
      </c>
      <c r="J266" s="27">
        <f>IF(C266="","",H266-I266)</f>
        <v/>
      </c>
      <c r="K266" s="25">
        <f>IF(C266="","",IF(G266=0,"not invoiced yet",SUBSTITUTE(TRIM(IF(COUNTIFS(tbl_Finance[Job Number],C266&amp;"",tbl_Finance[Cost Centre],"ONSITE")&gt;0,"ONSITE ","")&amp;IF(COUNTIFS(tbl_Finance[Job Number],C266&amp;"",tbl_Finance[Cost Centre],"PRODUCTION")&gt;0,"PRODUCTION ","")&amp;IF(COUNTIFS(tbl_Finance[Job Number],C266&amp;"",tbl_Finance[Cost Centre],"VIDEO")&gt;0,"VIDEO ","")&amp;IF(COUNTIFS(tbl_Finance[Job Number],C266&amp;"",tbl_Finance[Cost Centre],"INTEGRATION")&gt;0,"INTEGRATION ","")&amp;IF(COUNTIFS(tbl_Finance[Job Number],C266&amp;"",tbl_Finance[Cost Centre],"CONSULTING")&gt;0,"CONSULTING ","")&amp;IF(COUNTIFS(tbl_Finance[Job Number],C266&amp;"",tbl_Finance[Cost Centre],"CTS")&gt;0,"CTS ",""))," ",", ")))</f>
        <v/>
      </c>
      <c r="L266" s="24" t="n"/>
      <c r="M266" s="25">
        <f>IF(L266="","",HYPERLINK(IF(LEFT(L266,4)="http",L266,set_QwilrBase&amp;L266),"Open quote"))</f>
        <v/>
      </c>
      <c r="N266" s="26" t="n"/>
      <c r="O266" s="26" t="n"/>
      <c r="P266" s="26" t="n"/>
      <c r="Q266" s="25">
        <f>IF(C266="","",IF(N(N266)+N(O266)+N(P266)=0,"Not split",IF(ROUND(N(N266)+N(O266)+N(P266),2)=ROUND(H266,2),"OK","MISMATCH")))</f>
        <v/>
      </c>
      <c r="R266" s="26" t="n"/>
      <c r="S266" s="26" t="n"/>
      <c r="T266" s="26" t="n"/>
      <c r="U266" s="27">
        <f>IF(C266="","",N(R266)+N(S266)+N(T266))</f>
        <v/>
      </c>
      <c r="V266" s="27">
        <f>IF(C266="","",H266-U266)</f>
        <v/>
      </c>
      <c r="W266" s="29">
        <f>IFERROR(V266/H266,"")</f>
        <v/>
      </c>
      <c r="X266" s="24" t="n"/>
    </row>
    <row r="267" ht="15" customHeight="1">
      <c r="A267" s="63">
        <f>IF(C267="","",IFERROR(IF(SUMPRODUCT(MAX((tbl_Finance[Job Number]=C267&amp;"")*(tbl_Finance[Xero Invoice No]&lt;&gt;"")*tbl_Finance[Date]))=0,"",SUMPRODUCT(MAX((tbl_Finance[Job Number]=C267&amp;"")*(tbl_Finance[Xero Invoice No]&lt;&gt;"")*tbl_Finance[Date]))),""))</f>
        <v/>
      </c>
      <c r="B267" s="25">
        <f>IF(C267="","",IF(COUNTIFS(tbl_Finance[Job Number],C267&amp;"",tbl_Finance[Xero Invoice No],"&lt;&gt;")=0,"",IFERROR(IF(COUNTIFS(tbl_Finance[Job Number],C267&amp;"",tbl_Finance[Xero Invoice No],LOOKUP(2,1/((tbl_Finance[Job Number]=C267&amp;"")*(tbl_Finance[Xero Invoice No]&lt;&gt;"")),tbl_Finance[Xero Invoice No]))=COUNTIFS(tbl_Finance[Job Number],C267&amp;"",tbl_Finance[Xero Invoice No],"&lt;&gt;"),LOOKUP(2,1/((tbl_Finance[Job Number]=C267&amp;"")*(tbl_Finance[Xero Invoice No]&lt;&gt;"")),tbl_Finance[Xero Invoice No]),LOOKUP(2,1/((tbl_Finance[Job Number]=C267&amp;"")*(tbl_Finance[Xero Invoice No]&lt;&gt;"")),tbl_Finance[Xero Invoice No])&amp;" +more"),"")))</f>
        <v/>
      </c>
      <c r="C267" s="24" t="n"/>
      <c r="D267" s="25">
        <f>IF(C267="","",IF(COUNTIF(lst_Jobs,C267&amp;"")&gt;0,"OK","CHECK"))</f>
        <v/>
      </c>
      <c r="E267" s="25">
        <f>IF(C267="","",IFERROR(INDEX(lst_JobName,MATCH(C267&amp;"",lst_Jobs,0)),""))</f>
        <v/>
      </c>
      <c r="F267" s="25">
        <f>IF(C267="","",IFERROR(INDEX(tbl_Finance[Client],MATCH(C267&amp;"",tbl_Finance[Job Number],0)),""))</f>
        <v/>
      </c>
      <c r="G267" s="28">
        <f>IF(C267="","",COUNTIFS(tbl_Finance[Job Number],C267&amp;"",tbl_Finance[Ex GST],"&lt;&gt;"))</f>
        <v/>
      </c>
      <c r="H267" s="27">
        <f>IF(C267="","",SUMIFS(tbl_Finance[Ex GST],tbl_Finance[Job Number],C267&amp;""))</f>
        <v/>
      </c>
      <c r="I267" s="27">
        <f>IF(C267="","",SUMIFS(tbl_Finance[Ex GST],tbl_Finance[Job Number],C267&amp;"",tbl_Finance[Xero Invoice No],"&lt;&gt;"))</f>
        <v/>
      </c>
      <c r="J267" s="27">
        <f>IF(C267="","",H267-I267)</f>
        <v/>
      </c>
      <c r="K267" s="25">
        <f>IF(C267="","",IF(G267=0,"not invoiced yet",SUBSTITUTE(TRIM(IF(COUNTIFS(tbl_Finance[Job Number],C267&amp;"",tbl_Finance[Cost Centre],"ONSITE")&gt;0,"ONSITE ","")&amp;IF(COUNTIFS(tbl_Finance[Job Number],C267&amp;"",tbl_Finance[Cost Centre],"PRODUCTION")&gt;0,"PRODUCTION ","")&amp;IF(COUNTIFS(tbl_Finance[Job Number],C267&amp;"",tbl_Finance[Cost Centre],"VIDEO")&gt;0,"VIDEO ","")&amp;IF(COUNTIFS(tbl_Finance[Job Number],C267&amp;"",tbl_Finance[Cost Centre],"INTEGRATION")&gt;0,"INTEGRATION ","")&amp;IF(COUNTIFS(tbl_Finance[Job Number],C267&amp;"",tbl_Finance[Cost Centre],"CONSULTING")&gt;0,"CONSULTING ","")&amp;IF(COUNTIFS(tbl_Finance[Job Number],C267&amp;"",tbl_Finance[Cost Centre],"CTS")&gt;0,"CTS ",""))," ",", ")))</f>
        <v/>
      </c>
      <c r="L267" s="24" t="n"/>
      <c r="M267" s="25">
        <f>IF(L267="","",HYPERLINK(IF(LEFT(L267,4)="http",L267,set_QwilrBase&amp;L267),"Open quote"))</f>
        <v/>
      </c>
      <c r="N267" s="26" t="n"/>
      <c r="O267" s="26" t="n"/>
      <c r="P267" s="26" t="n"/>
      <c r="Q267" s="25">
        <f>IF(C267="","",IF(N(N267)+N(O267)+N(P267)=0,"Not split",IF(ROUND(N(N267)+N(O267)+N(P267),2)=ROUND(H267,2),"OK","MISMATCH")))</f>
        <v/>
      </c>
      <c r="R267" s="26" t="n"/>
      <c r="S267" s="26" t="n"/>
      <c r="T267" s="26" t="n"/>
      <c r="U267" s="27">
        <f>IF(C267="","",N(R267)+N(S267)+N(T267))</f>
        <v/>
      </c>
      <c r="V267" s="27">
        <f>IF(C267="","",H267-U267)</f>
        <v/>
      </c>
      <c r="W267" s="29">
        <f>IFERROR(V267/H267,"")</f>
        <v/>
      </c>
      <c r="X267" s="24" t="n"/>
    </row>
    <row r="268" ht="15" customHeight="1">
      <c r="A268" s="63">
        <f>IF(C268="","",IFERROR(IF(SUMPRODUCT(MAX((tbl_Finance[Job Number]=C268&amp;"")*(tbl_Finance[Xero Invoice No]&lt;&gt;"")*tbl_Finance[Date]))=0,"",SUMPRODUCT(MAX((tbl_Finance[Job Number]=C268&amp;"")*(tbl_Finance[Xero Invoice No]&lt;&gt;"")*tbl_Finance[Date]))),""))</f>
        <v/>
      </c>
      <c r="B268" s="25">
        <f>IF(C268="","",IF(COUNTIFS(tbl_Finance[Job Number],C268&amp;"",tbl_Finance[Xero Invoice No],"&lt;&gt;")=0,"",IFERROR(IF(COUNTIFS(tbl_Finance[Job Number],C268&amp;"",tbl_Finance[Xero Invoice No],LOOKUP(2,1/((tbl_Finance[Job Number]=C268&amp;"")*(tbl_Finance[Xero Invoice No]&lt;&gt;"")),tbl_Finance[Xero Invoice No]))=COUNTIFS(tbl_Finance[Job Number],C268&amp;"",tbl_Finance[Xero Invoice No],"&lt;&gt;"),LOOKUP(2,1/((tbl_Finance[Job Number]=C268&amp;"")*(tbl_Finance[Xero Invoice No]&lt;&gt;"")),tbl_Finance[Xero Invoice No]),LOOKUP(2,1/((tbl_Finance[Job Number]=C268&amp;"")*(tbl_Finance[Xero Invoice No]&lt;&gt;"")),tbl_Finance[Xero Invoice No])&amp;" +more"),"")))</f>
        <v/>
      </c>
      <c r="C268" s="24" t="n"/>
      <c r="D268" s="25">
        <f>IF(C268="","",IF(COUNTIF(lst_Jobs,C268&amp;"")&gt;0,"OK","CHECK"))</f>
        <v/>
      </c>
      <c r="E268" s="25">
        <f>IF(C268="","",IFERROR(INDEX(lst_JobName,MATCH(C268&amp;"",lst_Jobs,0)),""))</f>
        <v/>
      </c>
      <c r="F268" s="25">
        <f>IF(C268="","",IFERROR(INDEX(tbl_Finance[Client],MATCH(C268&amp;"",tbl_Finance[Job Number],0)),""))</f>
        <v/>
      </c>
      <c r="G268" s="28">
        <f>IF(C268="","",COUNTIFS(tbl_Finance[Job Number],C268&amp;"",tbl_Finance[Ex GST],"&lt;&gt;"))</f>
        <v/>
      </c>
      <c r="H268" s="27">
        <f>IF(C268="","",SUMIFS(tbl_Finance[Ex GST],tbl_Finance[Job Number],C268&amp;""))</f>
        <v/>
      </c>
      <c r="I268" s="27">
        <f>IF(C268="","",SUMIFS(tbl_Finance[Ex GST],tbl_Finance[Job Number],C268&amp;"",tbl_Finance[Xero Invoice No],"&lt;&gt;"))</f>
        <v/>
      </c>
      <c r="J268" s="27">
        <f>IF(C268="","",H268-I268)</f>
        <v/>
      </c>
      <c r="K268" s="25">
        <f>IF(C268="","",IF(G268=0,"not invoiced yet",SUBSTITUTE(TRIM(IF(COUNTIFS(tbl_Finance[Job Number],C268&amp;"",tbl_Finance[Cost Centre],"ONSITE")&gt;0,"ONSITE ","")&amp;IF(COUNTIFS(tbl_Finance[Job Number],C268&amp;"",tbl_Finance[Cost Centre],"PRODUCTION")&gt;0,"PRODUCTION ","")&amp;IF(COUNTIFS(tbl_Finance[Job Number],C268&amp;"",tbl_Finance[Cost Centre],"VIDEO")&gt;0,"VIDEO ","")&amp;IF(COUNTIFS(tbl_Finance[Job Number],C268&amp;"",tbl_Finance[Cost Centre],"INTEGRATION")&gt;0,"INTEGRATION ","")&amp;IF(COUNTIFS(tbl_Finance[Job Number],C268&amp;"",tbl_Finance[Cost Centre],"CONSULTING")&gt;0,"CONSULTING ","")&amp;IF(COUNTIFS(tbl_Finance[Job Number],C268&amp;"",tbl_Finance[Cost Centre],"CTS")&gt;0,"CTS ",""))," ",", ")))</f>
        <v/>
      </c>
      <c r="L268" s="24" t="n"/>
      <c r="M268" s="25">
        <f>IF(L268="","",HYPERLINK(IF(LEFT(L268,4)="http",L268,set_QwilrBase&amp;L268),"Open quote"))</f>
        <v/>
      </c>
      <c r="N268" s="26" t="n"/>
      <c r="O268" s="26" t="n"/>
      <c r="P268" s="26" t="n"/>
      <c r="Q268" s="25">
        <f>IF(C268="","",IF(N(N268)+N(O268)+N(P268)=0,"Not split",IF(ROUND(N(N268)+N(O268)+N(P268),2)=ROUND(H268,2),"OK","MISMATCH")))</f>
        <v/>
      </c>
      <c r="R268" s="26" t="n"/>
      <c r="S268" s="26" t="n"/>
      <c r="T268" s="26" t="n"/>
      <c r="U268" s="27">
        <f>IF(C268="","",N(R268)+N(S268)+N(T268))</f>
        <v/>
      </c>
      <c r="V268" s="27">
        <f>IF(C268="","",H268-U268)</f>
        <v/>
      </c>
      <c r="W268" s="29">
        <f>IFERROR(V268/H268,"")</f>
        <v/>
      </c>
      <c r="X268" s="24" t="n"/>
    </row>
    <row r="269" ht="15" customHeight="1">
      <c r="A269" s="63">
        <f>IF(C269="","",IFERROR(IF(SUMPRODUCT(MAX((tbl_Finance[Job Number]=C269&amp;"")*(tbl_Finance[Xero Invoice No]&lt;&gt;"")*tbl_Finance[Date]))=0,"",SUMPRODUCT(MAX((tbl_Finance[Job Number]=C269&amp;"")*(tbl_Finance[Xero Invoice No]&lt;&gt;"")*tbl_Finance[Date]))),""))</f>
        <v/>
      </c>
      <c r="B269" s="25">
        <f>IF(C269="","",IF(COUNTIFS(tbl_Finance[Job Number],C269&amp;"",tbl_Finance[Xero Invoice No],"&lt;&gt;")=0,"",IFERROR(IF(COUNTIFS(tbl_Finance[Job Number],C269&amp;"",tbl_Finance[Xero Invoice No],LOOKUP(2,1/((tbl_Finance[Job Number]=C269&amp;"")*(tbl_Finance[Xero Invoice No]&lt;&gt;"")),tbl_Finance[Xero Invoice No]))=COUNTIFS(tbl_Finance[Job Number],C269&amp;"",tbl_Finance[Xero Invoice No],"&lt;&gt;"),LOOKUP(2,1/((tbl_Finance[Job Number]=C269&amp;"")*(tbl_Finance[Xero Invoice No]&lt;&gt;"")),tbl_Finance[Xero Invoice No]),LOOKUP(2,1/((tbl_Finance[Job Number]=C269&amp;"")*(tbl_Finance[Xero Invoice No]&lt;&gt;"")),tbl_Finance[Xero Invoice No])&amp;" +more"),"")))</f>
        <v/>
      </c>
      <c r="C269" s="24" t="n"/>
      <c r="D269" s="25">
        <f>IF(C269="","",IF(COUNTIF(lst_Jobs,C269&amp;"")&gt;0,"OK","CHECK"))</f>
        <v/>
      </c>
      <c r="E269" s="25">
        <f>IF(C269="","",IFERROR(INDEX(lst_JobName,MATCH(C269&amp;"",lst_Jobs,0)),""))</f>
        <v/>
      </c>
      <c r="F269" s="25">
        <f>IF(C269="","",IFERROR(INDEX(tbl_Finance[Client],MATCH(C269&amp;"",tbl_Finance[Job Number],0)),""))</f>
        <v/>
      </c>
      <c r="G269" s="28">
        <f>IF(C269="","",COUNTIFS(tbl_Finance[Job Number],C269&amp;"",tbl_Finance[Ex GST],"&lt;&gt;"))</f>
        <v/>
      </c>
      <c r="H269" s="27">
        <f>IF(C269="","",SUMIFS(tbl_Finance[Ex GST],tbl_Finance[Job Number],C269&amp;""))</f>
        <v/>
      </c>
      <c r="I269" s="27">
        <f>IF(C269="","",SUMIFS(tbl_Finance[Ex GST],tbl_Finance[Job Number],C269&amp;"",tbl_Finance[Xero Invoice No],"&lt;&gt;"))</f>
        <v/>
      </c>
      <c r="J269" s="27">
        <f>IF(C269="","",H269-I269)</f>
        <v/>
      </c>
      <c r="K269" s="25">
        <f>IF(C269="","",IF(G269=0,"not invoiced yet",SUBSTITUTE(TRIM(IF(COUNTIFS(tbl_Finance[Job Number],C269&amp;"",tbl_Finance[Cost Centre],"ONSITE")&gt;0,"ONSITE ","")&amp;IF(COUNTIFS(tbl_Finance[Job Number],C269&amp;"",tbl_Finance[Cost Centre],"PRODUCTION")&gt;0,"PRODUCTION ","")&amp;IF(COUNTIFS(tbl_Finance[Job Number],C269&amp;"",tbl_Finance[Cost Centre],"VIDEO")&gt;0,"VIDEO ","")&amp;IF(COUNTIFS(tbl_Finance[Job Number],C269&amp;"",tbl_Finance[Cost Centre],"INTEGRATION")&gt;0,"INTEGRATION ","")&amp;IF(COUNTIFS(tbl_Finance[Job Number],C269&amp;"",tbl_Finance[Cost Centre],"CONSULTING")&gt;0,"CONSULTING ","")&amp;IF(COUNTIFS(tbl_Finance[Job Number],C269&amp;"",tbl_Finance[Cost Centre],"CTS")&gt;0,"CTS ",""))," ",", ")))</f>
        <v/>
      </c>
      <c r="L269" s="24" t="n"/>
      <c r="M269" s="25">
        <f>IF(L269="","",HYPERLINK(IF(LEFT(L269,4)="http",L269,set_QwilrBase&amp;L269),"Open quote"))</f>
        <v/>
      </c>
      <c r="N269" s="26" t="n"/>
      <c r="O269" s="26" t="n"/>
      <c r="P269" s="26" t="n"/>
      <c r="Q269" s="25">
        <f>IF(C269="","",IF(N(N269)+N(O269)+N(P269)=0,"Not split",IF(ROUND(N(N269)+N(O269)+N(P269),2)=ROUND(H269,2),"OK","MISMATCH")))</f>
        <v/>
      </c>
      <c r="R269" s="26" t="n"/>
      <c r="S269" s="26" t="n"/>
      <c r="T269" s="26" t="n"/>
      <c r="U269" s="27">
        <f>IF(C269="","",N(R269)+N(S269)+N(T269))</f>
        <v/>
      </c>
      <c r="V269" s="27">
        <f>IF(C269="","",H269-U269)</f>
        <v/>
      </c>
      <c r="W269" s="29">
        <f>IFERROR(V269/H269,"")</f>
        <v/>
      </c>
      <c r="X269" s="24" t="n"/>
    </row>
    <row r="270" ht="15" customHeight="1">
      <c r="A270" s="63">
        <f>IF(C270="","",IFERROR(IF(SUMPRODUCT(MAX((tbl_Finance[Job Number]=C270&amp;"")*(tbl_Finance[Xero Invoice No]&lt;&gt;"")*tbl_Finance[Date]))=0,"",SUMPRODUCT(MAX((tbl_Finance[Job Number]=C270&amp;"")*(tbl_Finance[Xero Invoice No]&lt;&gt;"")*tbl_Finance[Date]))),""))</f>
        <v/>
      </c>
      <c r="B270" s="25">
        <f>IF(C270="","",IF(COUNTIFS(tbl_Finance[Job Number],C270&amp;"",tbl_Finance[Xero Invoice No],"&lt;&gt;")=0,"",IFERROR(IF(COUNTIFS(tbl_Finance[Job Number],C270&amp;"",tbl_Finance[Xero Invoice No],LOOKUP(2,1/((tbl_Finance[Job Number]=C270&amp;"")*(tbl_Finance[Xero Invoice No]&lt;&gt;"")),tbl_Finance[Xero Invoice No]))=COUNTIFS(tbl_Finance[Job Number],C270&amp;"",tbl_Finance[Xero Invoice No],"&lt;&gt;"),LOOKUP(2,1/((tbl_Finance[Job Number]=C270&amp;"")*(tbl_Finance[Xero Invoice No]&lt;&gt;"")),tbl_Finance[Xero Invoice No]),LOOKUP(2,1/((tbl_Finance[Job Number]=C270&amp;"")*(tbl_Finance[Xero Invoice No]&lt;&gt;"")),tbl_Finance[Xero Invoice No])&amp;" +more"),"")))</f>
        <v/>
      </c>
      <c r="C270" s="24" t="n"/>
      <c r="D270" s="25">
        <f>IF(C270="","",IF(COUNTIF(lst_Jobs,C270&amp;"")&gt;0,"OK","CHECK"))</f>
        <v/>
      </c>
      <c r="E270" s="25">
        <f>IF(C270="","",IFERROR(INDEX(lst_JobName,MATCH(C270&amp;"",lst_Jobs,0)),""))</f>
        <v/>
      </c>
      <c r="F270" s="25">
        <f>IF(C270="","",IFERROR(INDEX(tbl_Finance[Client],MATCH(C270&amp;"",tbl_Finance[Job Number],0)),""))</f>
        <v/>
      </c>
      <c r="G270" s="28">
        <f>IF(C270="","",COUNTIFS(tbl_Finance[Job Number],C270&amp;"",tbl_Finance[Ex GST],"&lt;&gt;"))</f>
        <v/>
      </c>
      <c r="H270" s="27">
        <f>IF(C270="","",SUMIFS(tbl_Finance[Ex GST],tbl_Finance[Job Number],C270&amp;""))</f>
        <v/>
      </c>
      <c r="I270" s="27">
        <f>IF(C270="","",SUMIFS(tbl_Finance[Ex GST],tbl_Finance[Job Number],C270&amp;"",tbl_Finance[Xero Invoice No],"&lt;&gt;"))</f>
        <v/>
      </c>
      <c r="J270" s="27">
        <f>IF(C270="","",H270-I270)</f>
        <v/>
      </c>
      <c r="K270" s="25">
        <f>IF(C270="","",IF(G270=0,"not invoiced yet",SUBSTITUTE(TRIM(IF(COUNTIFS(tbl_Finance[Job Number],C270&amp;"",tbl_Finance[Cost Centre],"ONSITE")&gt;0,"ONSITE ","")&amp;IF(COUNTIFS(tbl_Finance[Job Number],C270&amp;"",tbl_Finance[Cost Centre],"PRODUCTION")&gt;0,"PRODUCTION ","")&amp;IF(COUNTIFS(tbl_Finance[Job Number],C270&amp;"",tbl_Finance[Cost Centre],"VIDEO")&gt;0,"VIDEO ","")&amp;IF(COUNTIFS(tbl_Finance[Job Number],C270&amp;"",tbl_Finance[Cost Centre],"INTEGRATION")&gt;0,"INTEGRATION ","")&amp;IF(COUNTIFS(tbl_Finance[Job Number],C270&amp;"",tbl_Finance[Cost Centre],"CONSULTING")&gt;0,"CONSULTING ","")&amp;IF(COUNTIFS(tbl_Finance[Job Number],C270&amp;"",tbl_Finance[Cost Centre],"CTS")&gt;0,"CTS ",""))," ",", ")))</f>
        <v/>
      </c>
      <c r="L270" s="24" t="n"/>
      <c r="M270" s="25">
        <f>IF(L270="","",HYPERLINK(IF(LEFT(L270,4)="http",L270,set_QwilrBase&amp;L270),"Open quote"))</f>
        <v/>
      </c>
      <c r="N270" s="26" t="n"/>
      <c r="O270" s="26" t="n"/>
      <c r="P270" s="26" t="n"/>
      <c r="Q270" s="25">
        <f>IF(C270="","",IF(N(N270)+N(O270)+N(P270)=0,"Not split",IF(ROUND(N(N270)+N(O270)+N(P270),2)=ROUND(H270,2),"OK","MISMATCH")))</f>
        <v/>
      </c>
      <c r="R270" s="26" t="n"/>
      <c r="S270" s="26" t="n"/>
      <c r="T270" s="26" t="n"/>
      <c r="U270" s="27">
        <f>IF(C270="","",N(R270)+N(S270)+N(T270))</f>
        <v/>
      </c>
      <c r="V270" s="27">
        <f>IF(C270="","",H270-U270)</f>
        <v/>
      </c>
      <c r="W270" s="29">
        <f>IFERROR(V270/H270,"")</f>
        <v/>
      </c>
      <c r="X270" s="24" t="n"/>
    </row>
    <row r="271" ht="15" customHeight="1">
      <c r="A271" s="63">
        <f>IF(C271="","",IFERROR(IF(SUMPRODUCT(MAX((tbl_Finance[Job Number]=C271&amp;"")*(tbl_Finance[Xero Invoice No]&lt;&gt;"")*tbl_Finance[Date]))=0,"",SUMPRODUCT(MAX((tbl_Finance[Job Number]=C271&amp;"")*(tbl_Finance[Xero Invoice No]&lt;&gt;"")*tbl_Finance[Date]))),""))</f>
        <v/>
      </c>
      <c r="B271" s="25">
        <f>IF(C271="","",IF(COUNTIFS(tbl_Finance[Job Number],C271&amp;"",tbl_Finance[Xero Invoice No],"&lt;&gt;")=0,"",IFERROR(IF(COUNTIFS(tbl_Finance[Job Number],C271&amp;"",tbl_Finance[Xero Invoice No],LOOKUP(2,1/((tbl_Finance[Job Number]=C271&amp;"")*(tbl_Finance[Xero Invoice No]&lt;&gt;"")),tbl_Finance[Xero Invoice No]))=COUNTIFS(tbl_Finance[Job Number],C271&amp;"",tbl_Finance[Xero Invoice No],"&lt;&gt;"),LOOKUP(2,1/((tbl_Finance[Job Number]=C271&amp;"")*(tbl_Finance[Xero Invoice No]&lt;&gt;"")),tbl_Finance[Xero Invoice No]),LOOKUP(2,1/((tbl_Finance[Job Number]=C271&amp;"")*(tbl_Finance[Xero Invoice No]&lt;&gt;"")),tbl_Finance[Xero Invoice No])&amp;" +more"),"")))</f>
        <v/>
      </c>
      <c r="C271" s="24" t="n"/>
      <c r="D271" s="25">
        <f>IF(C271="","",IF(COUNTIF(lst_Jobs,C271&amp;"")&gt;0,"OK","CHECK"))</f>
        <v/>
      </c>
      <c r="E271" s="25">
        <f>IF(C271="","",IFERROR(INDEX(lst_JobName,MATCH(C271&amp;"",lst_Jobs,0)),""))</f>
        <v/>
      </c>
      <c r="F271" s="25">
        <f>IF(C271="","",IFERROR(INDEX(tbl_Finance[Client],MATCH(C271&amp;"",tbl_Finance[Job Number],0)),""))</f>
        <v/>
      </c>
      <c r="G271" s="28">
        <f>IF(C271="","",COUNTIFS(tbl_Finance[Job Number],C271&amp;"",tbl_Finance[Ex GST],"&lt;&gt;"))</f>
        <v/>
      </c>
      <c r="H271" s="27">
        <f>IF(C271="","",SUMIFS(tbl_Finance[Ex GST],tbl_Finance[Job Number],C271&amp;""))</f>
        <v/>
      </c>
      <c r="I271" s="27">
        <f>IF(C271="","",SUMIFS(tbl_Finance[Ex GST],tbl_Finance[Job Number],C271&amp;"",tbl_Finance[Xero Invoice No],"&lt;&gt;"))</f>
        <v/>
      </c>
      <c r="J271" s="27">
        <f>IF(C271="","",H271-I271)</f>
        <v/>
      </c>
      <c r="K271" s="25">
        <f>IF(C271="","",IF(G271=0,"not invoiced yet",SUBSTITUTE(TRIM(IF(COUNTIFS(tbl_Finance[Job Number],C271&amp;"",tbl_Finance[Cost Centre],"ONSITE")&gt;0,"ONSITE ","")&amp;IF(COUNTIFS(tbl_Finance[Job Number],C271&amp;"",tbl_Finance[Cost Centre],"PRODUCTION")&gt;0,"PRODUCTION ","")&amp;IF(COUNTIFS(tbl_Finance[Job Number],C271&amp;"",tbl_Finance[Cost Centre],"VIDEO")&gt;0,"VIDEO ","")&amp;IF(COUNTIFS(tbl_Finance[Job Number],C271&amp;"",tbl_Finance[Cost Centre],"INTEGRATION")&gt;0,"INTEGRATION ","")&amp;IF(COUNTIFS(tbl_Finance[Job Number],C271&amp;"",tbl_Finance[Cost Centre],"CONSULTING")&gt;0,"CONSULTING ","")&amp;IF(COUNTIFS(tbl_Finance[Job Number],C271&amp;"",tbl_Finance[Cost Centre],"CTS")&gt;0,"CTS ",""))," ",", ")))</f>
        <v/>
      </c>
      <c r="L271" s="24" t="n"/>
      <c r="M271" s="25">
        <f>IF(L271="","",HYPERLINK(IF(LEFT(L271,4)="http",L271,set_QwilrBase&amp;L271),"Open quote"))</f>
        <v/>
      </c>
      <c r="N271" s="26" t="n"/>
      <c r="O271" s="26" t="n"/>
      <c r="P271" s="26" t="n"/>
      <c r="Q271" s="25">
        <f>IF(C271="","",IF(N(N271)+N(O271)+N(P271)=0,"Not split",IF(ROUND(N(N271)+N(O271)+N(P271),2)=ROUND(H271,2),"OK","MISMATCH")))</f>
        <v/>
      </c>
      <c r="R271" s="26" t="n"/>
      <c r="S271" s="26" t="n"/>
      <c r="T271" s="26" t="n"/>
      <c r="U271" s="27">
        <f>IF(C271="","",N(R271)+N(S271)+N(T271))</f>
        <v/>
      </c>
      <c r="V271" s="27">
        <f>IF(C271="","",H271-U271)</f>
        <v/>
      </c>
      <c r="W271" s="29">
        <f>IFERROR(V271/H271,"")</f>
        <v/>
      </c>
      <c r="X271" s="24" t="n"/>
    </row>
    <row r="272" ht="15" customHeight="1">
      <c r="A272" s="63">
        <f>IF(C272="","",IFERROR(IF(SUMPRODUCT(MAX((tbl_Finance[Job Number]=C272&amp;"")*(tbl_Finance[Xero Invoice No]&lt;&gt;"")*tbl_Finance[Date]))=0,"",SUMPRODUCT(MAX((tbl_Finance[Job Number]=C272&amp;"")*(tbl_Finance[Xero Invoice No]&lt;&gt;"")*tbl_Finance[Date]))),""))</f>
        <v/>
      </c>
      <c r="B272" s="25">
        <f>IF(C272="","",IF(COUNTIFS(tbl_Finance[Job Number],C272&amp;"",tbl_Finance[Xero Invoice No],"&lt;&gt;")=0,"",IFERROR(IF(COUNTIFS(tbl_Finance[Job Number],C272&amp;"",tbl_Finance[Xero Invoice No],LOOKUP(2,1/((tbl_Finance[Job Number]=C272&amp;"")*(tbl_Finance[Xero Invoice No]&lt;&gt;"")),tbl_Finance[Xero Invoice No]))=COUNTIFS(tbl_Finance[Job Number],C272&amp;"",tbl_Finance[Xero Invoice No],"&lt;&gt;"),LOOKUP(2,1/((tbl_Finance[Job Number]=C272&amp;"")*(tbl_Finance[Xero Invoice No]&lt;&gt;"")),tbl_Finance[Xero Invoice No]),LOOKUP(2,1/((tbl_Finance[Job Number]=C272&amp;"")*(tbl_Finance[Xero Invoice No]&lt;&gt;"")),tbl_Finance[Xero Invoice No])&amp;" +more"),"")))</f>
        <v/>
      </c>
      <c r="C272" s="24" t="n"/>
      <c r="D272" s="25">
        <f>IF(C272="","",IF(COUNTIF(lst_Jobs,C272&amp;"")&gt;0,"OK","CHECK"))</f>
        <v/>
      </c>
      <c r="E272" s="25">
        <f>IF(C272="","",IFERROR(INDEX(lst_JobName,MATCH(C272&amp;"",lst_Jobs,0)),""))</f>
        <v/>
      </c>
      <c r="F272" s="25">
        <f>IF(C272="","",IFERROR(INDEX(tbl_Finance[Client],MATCH(C272&amp;"",tbl_Finance[Job Number],0)),""))</f>
        <v/>
      </c>
      <c r="G272" s="28">
        <f>IF(C272="","",COUNTIFS(tbl_Finance[Job Number],C272&amp;"",tbl_Finance[Ex GST],"&lt;&gt;"))</f>
        <v/>
      </c>
      <c r="H272" s="27">
        <f>IF(C272="","",SUMIFS(tbl_Finance[Ex GST],tbl_Finance[Job Number],C272&amp;""))</f>
        <v/>
      </c>
      <c r="I272" s="27">
        <f>IF(C272="","",SUMIFS(tbl_Finance[Ex GST],tbl_Finance[Job Number],C272&amp;"",tbl_Finance[Xero Invoice No],"&lt;&gt;"))</f>
        <v/>
      </c>
      <c r="J272" s="27">
        <f>IF(C272="","",H272-I272)</f>
        <v/>
      </c>
      <c r="K272" s="25">
        <f>IF(C272="","",IF(G272=0,"not invoiced yet",SUBSTITUTE(TRIM(IF(COUNTIFS(tbl_Finance[Job Number],C272&amp;"",tbl_Finance[Cost Centre],"ONSITE")&gt;0,"ONSITE ","")&amp;IF(COUNTIFS(tbl_Finance[Job Number],C272&amp;"",tbl_Finance[Cost Centre],"PRODUCTION")&gt;0,"PRODUCTION ","")&amp;IF(COUNTIFS(tbl_Finance[Job Number],C272&amp;"",tbl_Finance[Cost Centre],"VIDEO")&gt;0,"VIDEO ","")&amp;IF(COUNTIFS(tbl_Finance[Job Number],C272&amp;"",tbl_Finance[Cost Centre],"INTEGRATION")&gt;0,"INTEGRATION ","")&amp;IF(COUNTIFS(tbl_Finance[Job Number],C272&amp;"",tbl_Finance[Cost Centre],"CONSULTING")&gt;0,"CONSULTING ","")&amp;IF(COUNTIFS(tbl_Finance[Job Number],C272&amp;"",tbl_Finance[Cost Centre],"CTS")&gt;0,"CTS ",""))," ",", ")))</f>
        <v/>
      </c>
      <c r="L272" s="24" t="n"/>
      <c r="M272" s="25">
        <f>IF(L272="","",HYPERLINK(IF(LEFT(L272,4)="http",L272,set_QwilrBase&amp;L272),"Open quote"))</f>
        <v/>
      </c>
      <c r="N272" s="26" t="n"/>
      <c r="O272" s="26" t="n"/>
      <c r="P272" s="26" t="n"/>
      <c r="Q272" s="25">
        <f>IF(C272="","",IF(N(N272)+N(O272)+N(P272)=0,"Not split",IF(ROUND(N(N272)+N(O272)+N(P272),2)=ROUND(H272,2),"OK","MISMATCH")))</f>
        <v/>
      </c>
      <c r="R272" s="26" t="n"/>
      <c r="S272" s="26" t="n"/>
      <c r="T272" s="26" t="n"/>
      <c r="U272" s="27">
        <f>IF(C272="","",N(R272)+N(S272)+N(T272))</f>
        <v/>
      </c>
      <c r="V272" s="27">
        <f>IF(C272="","",H272-U272)</f>
        <v/>
      </c>
      <c r="W272" s="29">
        <f>IFERROR(V272/H272,"")</f>
        <v/>
      </c>
      <c r="X272" s="24" t="n"/>
    </row>
    <row r="273" ht="15" customHeight="1">
      <c r="A273" s="63">
        <f>IF(C273="","",IFERROR(IF(SUMPRODUCT(MAX((tbl_Finance[Job Number]=C273&amp;"")*(tbl_Finance[Xero Invoice No]&lt;&gt;"")*tbl_Finance[Date]))=0,"",SUMPRODUCT(MAX((tbl_Finance[Job Number]=C273&amp;"")*(tbl_Finance[Xero Invoice No]&lt;&gt;"")*tbl_Finance[Date]))),""))</f>
        <v/>
      </c>
      <c r="B273" s="25">
        <f>IF(C273="","",IF(COUNTIFS(tbl_Finance[Job Number],C273&amp;"",tbl_Finance[Xero Invoice No],"&lt;&gt;")=0,"",IFERROR(IF(COUNTIFS(tbl_Finance[Job Number],C273&amp;"",tbl_Finance[Xero Invoice No],LOOKUP(2,1/((tbl_Finance[Job Number]=C273&amp;"")*(tbl_Finance[Xero Invoice No]&lt;&gt;"")),tbl_Finance[Xero Invoice No]))=COUNTIFS(tbl_Finance[Job Number],C273&amp;"",tbl_Finance[Xero Invoice No],"&lt;&gt;"),LOOKUP(2,1/((tbl_Finance[Job Number]=C273&amp;"")*(tbl_Finance[Xero Invoice No]&lt;&gt;"")),tbl_Finance[Xero Invoice No]),LOOKUP(2,1/((tbl_Finance[Job Number]=C273&amp;"")*(tbl_Finance[Xero Invoice No]&lt;&gt;"")),tbl_Finance[Xero Invoice No])&amp;" +more"),"")))</f>
        <v/>
      </c>
      <c r="C273" s="24" t="n"/>
      <c r="D273" s="25">
        <f>IF(C273="","",IF(COUNTIF(lst_Jobs,C273&amp;"")&gt;0,"OK","CHECK"))</f>
        <v/>
      </c>
      <c r="E273" s="25">
        <f>IF(C273="","",IFERROR(INDEX(lst_JobName,MATCH(C273&amp;"",lst_Jobs,0)),""))</f>
        <v/>
      </c>
      <c r="F273" s="25">
        <f>IF(C273="","",IFERROR(INDEX(tbl_Finance[Client],MATCH(C273&amp;"",tbl_Finance[Job Number],0)),""))</f>
        <v/>
      </c>
      <c r="G273" s="28">
        <f>IF(C273="","",COUNTIFS(tbl_Finance[Job Number],C273&amp;"",tbl_Finance[Ex GST],"&lt;&gt;"))</f>
        <v/>
      </c>
      <c r="H273" s="27">
        <f>IF(C273="","",SUMIFS(tbl_Finance[Ex GST],tbl_Finance[Job Number],C273&amp;""))</f>
        <v/>
      </c>
      <c r="I273" s="27">
        <f>IF(C273="","",SUMIFS(tbl_Finance[Ex GST],tbl_Finance[Job Number],C273&amp;"",tbl_Finance[Xero Invoice No],"&lt;&gt;"))</f>
        <v/>
      </c>
      <c r="J273" s="27">
        <f>IF(C273="","",H273-I273)</f>
        <v/>
      </c>
      <c r="K273" s="25">
        <f>IF(C273="","",IF(G273=0,"not invoiced yet",SUBSTITUTE(TRIM(IF(COUNTIFS(tbl_Finance[Job Number],C273&amp;"",tbl_Finance[Cost Centre],"ONSITE")&gt;0,"ONSITE ","")&amp;IF(COUNTIFS(tbl_Finance[Job Number],C273&amp;"",tbl_Finance[Cost Centre],"PRODUCTION")&gt;0,"PRODUCTION ","")&amp;IF(COUNTIFS(tbl_Finance[Job Number],C273&amp;"",tbl_Finance[Cost Centre],"VIDEO")&gt;0,"VIDEO ","")&amp;IF(COUNTIFS(tbl_Finance[Job Number],C273&amp;"",tbl_Finance[Cost Centre],"INTEGRATION")&gt;0,"INTEGRATION ","")&amp;IF(COUNTIFS(tbl_Finance[Job Number],C273&amp;"",tbl_Finance[Cost Centre],"CONSULTING")&gt;0,"CONSULTING ","")&amp;IF(COUNTIFS(tbl_Finance[Job Number],C273&amp;"",tbl_Finance[Cost Centre],"CTS")&gt;0,"CTS ",""))," ",", ")))</f>
        <v/>
      </c>
      <c r="L273" s="24" t="n"/>
      <c r="M273" s="25">
        <f>IF(L273="","",HYPERLINK(IF(LEFT(L273,4)="http",L273,set_QwilrBase&amp;L273),"Open quote"))</f>
        <v/>
      </c>
      <c r="N273" s="26" t="n"/>
      <c r="O273" s="26" t="n"/>
      <c r="P273" s="26" t="n"/>
      <c r="Q273" s="25">
        <f>IF(C273="","",IF(N(N273)+N(O273)+N(P273)=0,"Not split",IF(ROUND(N(N273)+N(O273)+N(P273),2)=ROUND(H273,2),"OK","MISMATCH")))</f>
        <v/>
      </c>
      <c r="R273" s="26" t="n"/>
      <c r="S273" s="26" t="n"/>
      <c r="T273" s="26" t="n"/>
      <c r="U273" s="27">
        <f>IF(C273="","",N(R273)+N(S273)+N(T273))</f>
        <v/>
      </c>
      <c r="V273" s="27">
        <f>IF(C273="","",H273-U273)</f>
        <v/>
      </c>
      <c r="W273" s="29">
        <f>IFERROR(V273/H273,"")</f>
        <v/>
      </c>
      <c r="X273" s="24" t="n"/>
    </row>
    <row r="274" ht="15" customHeight="1">
      <c r="A274" s="63">
        <f>IF(C274="","",IFERROR(IF(SUMPRODUCT(MAX((tbl_Finance[Job Number]=C274&amp;"")*(tbl_Finance[Xero Invoice No]&lt;&gt;"")*tbl_Finance[Date]))=0,"",SUMPRODUCT(MAX((tbl_Finance[Job Number]=C274&amp;"")*(tbl_Finance[Xero Invoice No]&lt;&gt;"")*tbl_Finance[Date]))),""))</f>
        <v/>
      </c>
      <c r="B274" s="25">
        <f>IF(C274="","",IF(COUNTIFS(tbl_Finance[Job Number],C274&amp;"",tbl_Finance[Xero Invoice No],"&lt;&gt;")=0,"",IFERROR(IF(COUNTIFS(tbl_Finance[Job Number],C274&amp;"",tbl_Finance[Xero Invoice No],LOOKUP(2,1/((tbl_Finance[Job Number]=C274&amp;"")*(tbl_Finance[Xero Invoice No]&lt;&gt;"")),tbl_Finance[Xero Invoice No]))=COUNTIFS(tbl_Finance[Job Number],C274&amp;"",tbl_Finance[Xero Invoice No],"&lt;&gt;"),LOOKUP(2,1/((tbl_Finance[Job Number]=C274&amp;"")*(tbl_Finance[Xero Invoice No]&lt;&gt;"")),tbl_Finance[Xero Invoice No]),LOOKUP(2,1/((tbl_Finance[Job Number]=C274&amp;"")*(tbl_Finance[Xero Invoice No]&lt;&gt;"")),tbl_Finance[Xero Invoice No])&amp;" +more"),"")))</f>
        <v/>
      </c>
      <c r="C274" s="24" t="n"/>
      <c r="D274" s="25">
        <f>IF(C274="","",IF(COUNTIF(lst_Jobs,C274&amp;"")&gt;0,"OK","CHECK"))</f>
        <v/>
      </c>
      <c r="E274" s="25">
        <f>IF(C274="","",IFERROR(INDEX(lst_JobName,MATCH(C274&amp;"",lst_Jobs,0)),""))</f>
        <v/>
      </c>
      <c r="F274" s="25">
        <f>IF(C274="","",IFERROR(INDEX(tbl_Finance[Client],MATCH(C274&amp;"",tbl_Finance[Job Number],0)),""))</f>
        <v/>
      </c>
      <c r="G274" s="28">
        <f>IF(C274="","",COUNTIFS(tbl_Finance[Job Number],C274&amp;"",tbl_Finance[Ex GST],"&lt;&gt;"))</f>
        <v/>
      </c>
      <c r="H274" s="27">
        <f>IF(C274="","",SUMIFS(tbl_Finance[Ex GST],tbl_Finance[Job Number],C274&amp;""))</f>
        <v/>
      </c>
      <c r="I274" s="27">
        <f>IF(C274="","",SUMIFS(tbl_Finance[Ex GST],tbl_Finance[Job Number],C274&amp;"",tbl_Finance[Xero Invoice No],"&lt;&gt;"))</f>
        <v/>
      </c>
      <c r="J274" s="27">
        <f>IF(C274="","",H274-I274)</f>
        <v/>
      </c>
      <c r="K274" s="25">
        <f>IF(C274="","",IF(G274=0,"not invoiced yet",SUBSTITUTE(TRIM(IF(COUNTIFS(tbl_Finance[Job Number],C274&amp;"",tbl_Finance[Cost Centre],"ONSITE")&gt;0,"ONSITE ","")&amp;IF(COUNTIFS(tbl_Finance[Job Number],C274&amp;"",tbl_Finance[Cost Centre],"PRODUCTION")&gt;0,"PRODUCTION ","")&amp;IF(COUNTIFS(tbl_Finance[Job Number],C274&amp;"",tbl_Finance[Cost Centre],"VIDEO")&gt;0,"VIDEO ","")&amp;IF(COUNTIFS(tbl_Finance[Job Number],C274&amp;"",tbl_Finance[Cost Centre],"INTEGRATION")&gt;0,"INTEGRATION ","")&amp;IF(COUNTIFS(tbl_Finance[Job Number],C274&amp;"",tbl_Finance[Cost Centre],"CONSULTING")&gt;0,"CONSULTING ","")&amp;IF(COUNTIFS(tbl_Finance[Job Number],C274&amp;"",tbl_Finance[Cost Centre],"CTS")&gt;0,"CTS ",""))," ",", ")))</f>
        <v/>
      </c>
      <c r="L274" s="24" t="n"/>
      <c r="M274" s="25">
        <f>IF(L274="","",HYPERLINK(IF(LEFT(L274,4)="http",L274,set_QwilrBase&amp;L274),"Open quote"))</f>
        <v/>
      </c>
      <c r="N274" s="26" t="n"/>
      <c r="O274" s="26" t="n"/>
      <c r="P274" s="26" t="n"/>
      <c r="Q274" s="25">
        <f>IF(C274="","",IF(N(N274)+N(O274)+N(P274)=0,"Not split",IF(ROUND(N(N274)+N(O274)+N(P274),2)=ROUND(H274,2),"OK","MISMATCH")))</f>
        <v/>
      </c>
      <c r="R274" s="26" t="n"/>
      <c r="S274" s="26" t="n"/>
      <c r="T274" s="26" t="n"/>
      <c r="U274" s="27">
        <f>IF(C274="","",N(R274)+N(S274)+N(T274))</f>
        <v/>
      </c>
      <c r="V274" s="27">
        <f>IF(C274="","",H274-U274)</f>
        <v/>
      </c>
      <c r="W274" s="29">
        <f>IFERROR(V274/H274,"")</f>
        <v/>
      </c>
      <c r="X274" s="24" t="n"/>
    </row>
    <row r="275" ht="15" customHeight="1">
      <c r="A275" s="63">
        <f>IF(C275="","",IFERROR(IF(SUMPRODUCT(MAX((tbl_Finance[Job Number]=C275&amp;"")*(tbl_Finance[Xero Invoice No]&lt;&gt;"")*tbl_Finance[Date]))=0,"",SUMPRODUCT(MAX((tbl_Finance[Job Number]=C275&amp;"")*(tbl_Finance[Xero Invoice No]&lt;&gt;"")*tbl_Finance[Date]))),""))</f>
        <v/>
      </c>
      <c r="B275" s="25">
        <f>IF(C275="","",IF(COUNTIFS(tbl_Finance[Job Number],C275&amp;"",tbl_Finance[Xero Invoice No],"&lt;&gt;")=0,"",IFERROR(IF(COUNTIFS(tbl_Finance[Job Number],C275&amp;"",tbl_Finance[Xero Invoice No],LOOKUP(2,1/((tbl_Finance[Job Number]=C275&amp;"")*(tbl_Finance[Xero Invoice No]&lt;&gt;"")),tbl_Finance[Xero Invoice No]))=COUNTIFS(tbl_Finance[Job Number],C275&amp;"",tbl_Finance[Xero Invoice No],"&lt;&gt;"),LOOKUP(2,1/((tbl_Finance[Job Number]=C275&amp;"")*(tbl_Finance[Xero Invoice No]&lt;&gt;"")),tbl_Finance[Xero Invoice No]),LOOKUP(2,1/((tbl_Finance[Job Number]=C275&amp;"")*(tbl_Finance[Xero Invoice No]&lt;&gt;"")),tbl_Finance[Xero Invoice No])&amp;" +more"),"")))</f>
        <v/>
      </c>
      <c r="C275" s="24" t="n"/>
      <c r="D275" s="25">
        <f>IF(C275="","",IF(COUNTIF(lst_Jobs,C275&amp;"")&gt;0,"OK","CHECK"))</f>
        <v/>
      </c>
      <c r="E275" s="25">
        <f>IF(C275="","",IFERROR(INDEX(lst_JobName,MATCH(C275&amp;"",lst_Jobs,0)),""))</f>
        <v/>
      </c>
      <c r="F275" s="25">
        <f>IF(C275="","",IFERROR(INDEX(tbl_Finance[Client],MATCH(C275&amp;"",tbl_Finance[Job Number],0)),""))</f>
        <v/>
      </c>
      <c r="G275" s="28">
        <f>IF(C275="","",COUNTIFS(tbl_Finance[Job Number],C275&amp;"",tbl_Finance[Ex GST],"&lt;&gt;"))</f>
        <v/>
      </c>
      <c r="H275" s="27">
        <f>IF(C275="","",SUMIFS(tbl_Finance[Ex GST],tbl_Finance[Job Number],C275&amp;""))</f>
        <v/>
      </c>
      <c r="I275" s="27">
        <f>IF(C275="","",SUMIFS(tbl_Finance[Ex GST],tbl_Finance[Job Number],C275&amp;"",tbl_Finance[Xero Invoice No],"&lt;&gt;"))</f>
        <v/>
      </c>
      <c r="J275" s="27">
        <f>IF(C275="","",H275-I275)</f>
        <v/>
      </c>
      <c r="K275" s="25">
        <f>IF(C275="","",IF(G275=0,"not invoiced yet",SUBSTITUTE(TRIM(IF(COUNTIFS(tbl_Finance[Job Number],C275&amp;"",tbl_Finance[Cost Centre],"ONSITE")&gt;0,"ONSITE ","")&amp;IF(COUNTIFS(tbl_Finance[Job Number],C275&amp;"",tbl_Finance[Cost Centre],"PRODUCTION")&gt;0,"PRODUCTION ","")&amp;IF(COUNTIFS(tbl_Finance[Job Number],C275&amp;"",tbl_Finance[Cost Centre],"VIDEO")&gt;0,"VIDEO ","")&amp;IF(COUNTIFS(tbl_Finance[Job Number],C275&amp;"",tbl_Finance[Cost Centre],"INTEGRATION")&gt;0,"INTEGRATION ","")&amp;IF(COUNTIFS(tbl_Finance[Job Number],C275&amp;"",tbl_Finance[Cost Centre],"CONSULTING")&gt;0,"CONSULTING ","")&amp;IF(COUNTIFS(tbl_Finance[Job Number],C275&amp;"",tbl_Finance[Cost Centre],"CTS")&gt;0,"CTS ",""))," ",", ")))</f>
        <v/>
      </c>
      <c r="L275" s="24" t="n"/>
      <c r="M275" s="25">
        <f>IF(L275="","",HYPERLINK(IF(LEFT(L275,4)="http",L275,set_QwilrBase&amp;L275),"Open quote"))</f>
        <v/>
      </c>
      <c r="N275" s="26" t="n"/>
      <c r="O275" s="26" t="n"/>
      <c r="P275" s="26" t="n"/>
      <c r="Q275" s="25">
        <f>IF(C275="","",IF(N(N275)+N(O275)+N(P275)=0,"Not split",IF(ROUND(N(N275)+N(O275)+N(P275),2)=ROUND(H275,2),"OK","MISMATCH")))</f>
        <v/>
      </c>
      <c r="R275" s="26" t="n"/>
      <c r="S275" s="26" t="n"/>
      <c r="T275" s="26" t="n"/>
      <c r="U275" s="27">
        <f>IF(C275="","",N(R275)+N(S275)+N(T275))</f>
        <v/>
      </c>
      <c r="V275" s="27">
        <f>IF(C275="","",H275-U275)</f>
        <v/>
      </c>
      <c r="W275" s="29">
        <f>IFERROR(V275/H275,"")</f>
        <v/>
      </c>
      <c r="X275" s="24" t="n"/>
    </row>
    <row r="276" ht="15" customHeight="1">
      <c r="A276" s="63">
        <f>IF(C276="","",IFERROR(IF(SUMPRODUCT(MAX((tbl_Finance[Job Number]=C276&amp;"")*(tbl_Finance[Xero Invoice No]&lt;&gt;"")*tbl_Finance[Date]))=0,"",SUMPRODUCT(MAX((tbl_Finance[Job Number]=C276&amp;"")*(tbl_Finance[Xero Invoice No]&lt;&gt;"")*tbl_Finance[Date]))),""))</f>
        <v/>
      </c>
      <c r="B276" s="25">
        <f>IF(C276="","",IF(COUNTIFS(tbl_Finance[Job Number],C276&amp;"",tbl_Finance[Xero Invoice No],"&lt;&gt;")=0,"",IFERROR(IF(COUNTIFS(tbl_Finance[Job Number],C276&amp;"",tbl_Finance[Xero Invoice No],LOOKUP(2,1/((tbl_Finance[Job Number]=C276&amp;"")*(tbl_Finance[Xero Invoice No]&lt;&gt;"")),tbl_Finance[Xero Invoice No]))=COUNTIFS(tbl_Finance[Job Number],C276&amp;"",tbl_Finance[Xero Invoice No],"&lt;&gt;"),LOOKUP(2,1/((tbl_Finance[Job Number]=C276&amp;"")*(tbl_Finance[Xero Invoice No]&lt;&gt;"")),tbl_Finance[Xero Invoice No]),LOOKUP(2,1/((tbl_Finance[Job Number]=C276&amp;"")*(tbl_Finance[Xero Invoice No]&lt;&gt;"")),tbl_Finance[Xero Invoice No])&amp;" +more"),"")))</f>
        <v/>
      </c>
      <c r="C276" s="24" t="n"/>
      <c r="D276" s="25">
        <f>IF(C276="","",IF(COUNTIF(lst_Jobs,C276&amp;"")&gt;0,"OK","CHECK"))</f>
        <v/>
      </c>
      <c r="E276" s="25">
        <f>IF(C276="","",IFERROR(INDEX(lst_JobName,MATCH(C276&amp;"",lst_Jobs,0)),""))</f>
        <v/>
      </c>
      <c r="F276" s="25">
        <f>IF(C276="","",IFERROR(INDEX(tbl_Finance[Client],MATCH(C276&amp;"",tbl_Finance[Job Number],0)),""))</f>
        <v/>
      </c>
      <c r="G276" s="28">
        <f>IF(C276="","",COUNTIFS(tbl_Finance[Job Number],C276&amp;"",tbl_Finance[Ex GST],"&lt;&gt;"))</f>
        <v/>
      </c>
      <c r="H276" s="27">
        <f>IF(C276="","",SUMIFS(tbl_Finance[Ex GST],tbl_Finance[Job Number],C276&amp;""))</f>
        <v/>
      </c>
      <c r="I276" s="27">
        <f>IF(C276="","",SUMIFS(tbl_Finance[Ex GST],tbl_Finance[Job Number],C276&amp;"",tbl_Finance[Xero Invoice No],"&lt;&gt;"))</f>
        <v/>
      </c>
      <c r="J276" s="27">
        <f>IF(C276="","",H276-I276)</f>
        <v/>
      </c>
      <c r="K276" s="25">
        <f>IF(C276="","",IF(G276=0,"not invoiced yet",SUBSTITUTE(TRIM(IF(COUNTIFS(tbl_Finance[Job Number],C276&amp;"",tbl_Finance[Cost Centre],"ONSITE")&gt;0,"ONSITE ","")&amp;IF(COUNTIFS(tbl_Finance[Job Number],C276&amp;"",tbl_Finance[Cost Centre],"PRODUCTION")&gt;0,"PRODUCTION ","")&amp;IF(COUNTIFS(tbl_Finance[Job Number],C276&amp;"",tbl_Finance[Cost Centre],"VIDEO")&gt;0,"VIDEO ","")&amp;IF(COUNTIFS(tbl_Finance[Job Number],C276&amp;"",tbl_Finance[Cost Centre],"INTEGRATION")&gt;0,"INTEGRATION ","")&amp;IF(COUNTIFS(tbl_Finance[Job Number],C276&amp;"",tbl_Finance[Cost Centre],"CONSULTING")&gt;0,"CONSULTING ","")&amp;IF(COUNTIFS(tbl_Finance[Job Number],C276&amp;"",tbl_Finance[Cost Centre],"CTS")&gt;0,"CTS ",""))," ",", ")))</f>
        <v/>
      </c>
      <c r="L276" s="24" t="n"/>
      <c r="M276" s="25">
        <f>IF(L276="","",HYPERLINK(IF(LEFT(L276,4)="http",L276,set_QwilrBase&amp;L276),"Open quote"))</f>
        <v/>
      </c>
      <c r="N276" s="26" t="n"/>
      <c r="O276" s="26" t="n"/>
      <c r="P276" s="26" t="n"/>
      <c r="Q276" s="25">
        <f>IF(C276="","",IF(N(N276)+N(O276)+N(P276)=0,"Not split",IF(ROUND(N(N276)+N(O276)+N(P276),2)=ROUND(H276,2),"OK","MISMATCH")))</f>
        <v/>
      </c>
      <c r="R276" s="26" t="n"/>
      <c r="S276" s="26" t="n"/>
      <c r="T276" s="26" t="n"/>
      <c r="U276" s="27">
        <f>IF(C276="","",N(R276)+N(S276)+N(T276))</f>
        <v/>
      </c>
      <c r="V276" s="27">
        <f>IF(C276="","",H276-U276)</f>
        <v/>
      </c>
      <c r="W276" s="29">
        <f>IFERROR(V276/H276,"")</f>
        <v/>
      </c>
      <c r="X276" s="24" t="n"/>
    </row>
    <row r="277" ht="15" customHeight="1">
      <c r="A277" s="63">
        <f>IF(C277="","",IFERROR(IF(SUMPRODUCT(MAX((tbl_Finance[Job Number]=C277&amp;"")*(tbl_Finance[Xero Invoice No]&lt;&gt;"")*tbl_Finance[Date]))=0,"",SUMPRODUCT(MAX((tbl_Finance[Job Number]=C277&amp;"")*(tbl_Finance[Xero Invoice No]&lt;&gt;"")*tbl_Finance[Date]))),""))</f>
        <v/>
      </c>
      <c r="B277" s="25">
        <f>IF(C277="","",IF(COUNTIFS(tbl_Finance[Job Number],C277&amp;"",tbl_Finance[Xero Invoice No],"&lt;&gt;")=0,"",IFERROR(IF(COUNTIFS(tbl_Finance[Job Number],C277&amp;"",tbl_Finance[Xero Invoice No],LOOKUP(2,1/((tbl_Finance[Job Number]=C277&amp;"")*(tbl_Finance[Xero Invoice No]&lt;&gt;"")),tbl_Finance[Xero Invoice No]))=COUNTIFS(tbl_Finance[Job Number],C277&amp;"",tbl_Finance[Xero Invoice No],"&lt;&gt;"),LOOKUP(2,1/((tbl_Finance[Job Number]=C277&amp;"")*(tbl_Finance[Xero Invoice No]&lt;&gt;"")),tbl_Finance[Xero Invoice No]),LOOKUP(2,1/((tbl_Finance[Job Number]=C277&amp;"")*(tbl_Finance[Xero Invoice No]&lt;&gt;"")),tbl_Finance[Xero Invoice No])&amp;" +more"),"")))</f>
        <v/>
      </c>
      <c r="C277" s="24" t="n"/>
      <c r="D277" s="25">
        <f>IF(C277="","",IF(COUNTIF(lst_Jobs,C277&amp;"")&gt;0,"OK","CHECK"))</f>
        <v/>
      </c>
      <c r="E277" s="25">
        <f>IF(C277="","",IFERROR(INDEX(lst_JobName,MATCH(C277&amp;"",lst_Jobs,0)),""))</f>
        <v/>
      </c>
      <c r="F277" s="25">
        <f>IF(C277="","",IFERROR(INDEX(tbl_Finance[Client],MATCH(C277&amp;"",tbl_Finance[Job Number],0)),""))</f>
        <v/>
      </c>
      <c r="G277" s="28">
        <f>IF(C277="","",COUNTIFS(tbl_Finance[Job Number],C277&amp;"",tbl_Finance[Ex GST],"&lt;&gt;"))</f>
        <v/>
      </c>
      <c r="H277" s="27">
        <f>IF(C277="","",SUMIFS(tbl_Finance[Ex GST],tbl_Finance[Job Number],C277&amp;""))</f>
        <v/>
      </c>
      <c r="I277" s="27">
        <f>IF(C277="","",SUMIFS(tbl_Finance[Ex GST],tbl_Finance[Job Number],C277&amp;"",tbl_Finance[Xero Invoice No],"&lt;&gt;"))</f>
        <v/>
      </c>
      <c r="J277" s="27">
        <f>IF(C277="","",H277-I277)</f>
        <v/>
      </c>
      <c r="K277" s="25">
        <f>IF(C277="","",IF(G277=0,"not invoiced yet",SUBSTITUTE(TRIM(IF(COUNTIFS(tbl_Finance[Job Number],C277&amp;"",tbl_Finance[Cost Centre],"ONSITE")&gt;0,"ONSITE ","")&amp;IF(COUNTIFS(tbl_Finance[Job Number],C277&amp;"",tbl_Finance[Cost Centre],"PRODUCTION")&gt;0,"PRODUCTION ","")&amp;IF(COUNTIFS(tbl_Finance[Job Number],C277&amp;"",tbl_Finance[Cost Centre],"VIDEO")&gt;0,"VIDEO ","")&amp;IF(COUNTIFS(tbl_Finance[Job Number],C277&amp;"",tbl_Finance[Cost Centre],"INTEGRATION")&gt;0,"INTEGRATION ","")&amp;IF(COUNTIFS(tbl_Finance[Job Number],C277&amp;"",tbl_Finance[Cost Centre],"CONSULTING")&gt;0,"CONSULTING ","")&amp;IF(COUNTIFS(tbl_Finance[Job Number],C277&amp;"",tbl_Finance[Cost Centre],"CTS")&gt;0,"CTS ",""))," ",", ")))</f>
        <v/>
      </c>
      <c r="L277" s="24" t="n"/>
      <c r="M277" s="25">
        <f>IF(L277="","",HYPERLINK(IF(LEFT(L277,4)="http",L277,set_QwilrBase&amp;L277),"Open quote"))</f>
        <v/>
      </c>
      <c r="N277" s="26" t="n"/>
      <c r="O277" s="26" t="n"/>
      <c r="P277" s="26" t="n"/>
      <c r="Q277" s="25">
        <f>IF(C277="","",IF(N(N277)+N(O277)+N(P277)=0,"Not split",IF(ROUND(N(N277)+N(O277)+N(P277),2)=ROUND(H277,2),"OK","MISMATCH")))</f>
        <v/>
      </c>
      <c r="R277" s="26" t="n"/>
      <c r="S277" s="26" t="n"/>
      <c r="T277" s="26" t="n"/>
      <c r="U277" s="27">
        <f>IF(C277="","",N(R277)+N(S277)+N(T277))</f>
        <v/>
      </c>
      <c r="V277" s="27">
        <f>IF(C277="","",H277-U277)</f>
        <v/>
      </c>
      <c r="W277" s="29">
        <f>IFERROR(V277/H277,"")</f>
        <v/>
      </c>
      <c r="X277" s="24" t="n"/>
    </row>
    <row r="278" ht="15" customHeight="1">
      <c r="A278" s="63">
        <f>IF(C278="","",IFERROR(IF(SUMPRODUCT(MAX((tbl_Finance[Job Number]=C278&amp;"")*(tbl_Finance[Xero Invoice No]&lt;&gt;"")*tbl_Finance[Date]))=0,"",SUMPRODUCT(MAX((tbl_Finance[Job Number]=C278&amp;"")*(tbl_Finance[Xero Invoice No]&lt;&gt;"")*tbl_Finance[Date]))),""))</f>
        <v/>
      </c>
      <c r="B278" s="25">
        <f>IF(C278="","",IF(COUNTIFS(tbl_Finance[Job Number],C278&amp;"",tbl_Finance[Xero Invoice No],"&lt;&gt;")=0,"",IFERROR(IF(COUNTIFS(tbl_Finance[Job Number],C278&amp;"",tbl_Finance[Xero Invoice No],LOOKUP(2,1/((tbl_Finance[Job Number]=C278&amp;"")*(tbl_Finance[Xero Invoice No]&lt;&gt;"")),tbl_Finance[Xero Invoice No]))=COUNTIFS(tbl_Finance[Job Number],C278&amp;"",tbl_Finance[Xero Invoice No],"&lt;&gt;"),LOOKUP(2,1/((tbl_Finance[Job Number]=C278&amp;"")*(tbl_Finance[Xero Invoice No]&lt;&gt;"")),tbl_Finance[Xero Invoice No]),LOOKUP(2,1/((tbl_Finance[Job Number]=C278&amp;"")*(tbl_Finance[Xero Invoice No]&lt;&gt;"")),tbl_Finance[Xero Invoice No])&amp;" +more"),"")))</f>
        <v/>
      </c>
      <c r="C278" s="24" t="n"/>
      <c r="D278" s="25">
        <f>IF(C278="","",IF(COUNTIF(lst_Jobs,C278&amp;"")&gt;0,"OK","CHECK"))</f>
        <v/>
      </c>
      <c r="E278" s="25">
        <f>IF(C278="","",IFERROR(INDEX(lst_JobName,MATCH(C278&amp;"",lst_Jobs,0)),""))</f>
        <v/>
      </c>
      <c r="F278" s="25">
        <f>IF(C278="","",IFERROR(INDEX(tbl_Finance[Client],MATCH(C278&amp;"",tbl_Finance[Job Number],0)),""))</f>
        <v/>
      </c>
      <c r="G278" s="28">
        <f>IF(C278="","",COUNTIFS(tbl_Finance[Job Number],C278&amp;"",tbl_Finance[Ex GST],"&lt;&gt;"))</f>
        <v/>
      </c>
      <c r="H278" s="27">
        <f>IF(C278="","",SUMIFS(tbl_Finance[Ex GST],tbl_Finance[Job Number],C278&amp;""))</f>
        <v/>
      </c>
      <c r="I278" s="27">
        <f>IF(C278="","",SUMIFS(tbl_Finance[Ex GST],tbl_Finance[Job Number],C278&amp;"",tbl_Finance[Xero Invoice No],"&lt;&gt;"))</f>
        <v/>
      </c>
      <c r="J278" s="27">
        <f>IF(C278="","",H278-I278)</f>
        <v/>
      </c>
      <c r="K278" s="25">
        <f>IF(C278="","",IF(G278=0,"not invoiced yet",SUBSTITUTE(TRIM(IF(COUNTIFS(tbl_Finance[Job Number],C278&amp;"",tbl_Finance[Cost Centre],"ONSITE")&gt;0,"ONSITE ","")&amp;IF(COUNTIFS(tbl_Finance[Job Number],C278&amp;"",tbl_Finance[Cost Centre],"PRODUCTION")&gt;0,"PRODUCTION ","")&amp;IF(COUNTIFS(tbl_Finance[Job Number],C278&amp;"",tbl_Finance[Cost Centre],"VIDEO")&gt;0,"VIDEO ","")&amp;IF(COUNTIFS(tbl_Finance[Job Number],C278&amp;"",tbl_Finance[Cost Centre],"INTEGRATION")&gt;0,"INTEGRATION ","")&amp;IF(COUNTIFS(tbl_Finance[Job Number],C278&amp;"",tbl_Finance[Cost Centre],"CONSULTING")&gt;0,"CONSULTING ","")&amp;IF(COUNTIFS(tbl_Finance[Job Number],C278&amp;"",tbl_Finance[Cost Centre],"CTS")&gt;0,"CTS ",""))," ",", ")))</f>
        <v/>
      </c>
      <c r="L278" s="24" t="n"/>
      <c r="M278" s="25">
        <f>IF(L278="","",HYPERLINK(IF(LEFT(L278,4)="http",L278,set_QwilrBase&amp;L278),"Open quote"))</f>
        <v/>
      </c>
      <c r="N278" s="26" t="n"/>
      <c r="O278" s="26" t="n"/>
      <c r="P278" s="26" t="n"/>
      <c r="Q278" s="25">
        <f>IF(C278="","",IF(N(N278)+N(O278)+N(P278)=0,"Not split",IF(ROUND(N(N278)+N(O278)+N(P278),2)=ROUND(H278,2),"OK","MISMATCH")))</f>
        <v/>
      </c>
      <c r="R278" s="26" t="n"/>
      <c r="S278" s="26" t="n"/>
      <c r="T278" s="26" t="n"/>
      <c r="U278" s="27">
        <f>IF(C278="","",N(R278)+N(S278)+N(T278))</f>
        <v/>
      </c>
      <c r="V278" s="27">
        <f>IF(C278="","",H278-U278)</f>
        <v/>
      </c>
      <c r="W278" s="29">
        <f>IFERROR(V278/H278,"")</f>
        <v/>
      </c>
      <c r="X278" s="24" t="n"/>
    </row>
    <row r="279" ht="15" customHeight="1">
      <c r="A279" s="63">
        <f>IF(C279="","",IFERROR(IF(SUMPRODUCT(MAX((tbl_Finance[Job Number]=C279&amp;"")*(tbl_Finance[Xero Invoice No]&lt;&gt;"")*tbl_Finance[Date]))=0,"",SUMPRODUCT(MAX((tbl_Finance[Job Number]=C279&amp;"")*(tbl_Finance[Xero Invoice No]&lt;&gt;"")*tbl_Finance[Date]))),""))</f>
        <v/>
      </c>
      <c r="B279" s="25">
        <f>IF(C279="","",IF(COUNTIFS(tbl_Finance[Job Number],C279&amp;"",tbl_Finance[Xero Invoice No],"&lt;&gt;")=0,"",IFERROR(IF(COUNTIFS(tbl_Finance[Job Number],C279&amp;"",tbl_Finance[Xero Invoice No],LOOKUP(2,1/((tbl_Finance[Job Number]=C279&amp;"")*(tbl_Finance[Xero Invoice No]&lt;&gt;"")),tbl_Finance[Xero Invoice No]))=COUNTIFS(tbl_Finance[Job Number],C279&amp;"",tbl_Finance[Xero Invoice No],"&lt;&gt;"),LOOKUP(2,1/((tbl_Finance[Job Number]=C279&amp;"")*(tbl_Finance[Xero Invoice No]&lt;&gt;"")),tbl_Finance[Xero Invoice No]),LOOKUP(2,1/((tbl_Finance[Job Number]=C279&amp;"")*(tbl_Finance[Xero Invoice No]&lt;&gt;"")),tbl_Finance[Xero Invoice No])&amp;" +more"),"")))</f>
        <v/>
      </c>
      <c r="C279" s="24" t="n"/>
      <c r="D279" s="25">
        <f>IF(C279="","",IF(COUNTIF(lst_Jobs,C279&amp;"")&gt;0,"OK","CHECK"))</f>
        <v/>
      </c>
      <c r="E279" s="25">
        <f>IF(C279="","",IFERROR(INDEX(lst_JobName,MATCH(C279&amp;"",lst_Jobs,0)),""))</f>
        <v/>
      </c>
      <c r="F279" s="25">
        <f>IF(C279="","",IFERROR(INDEX(tbl_Finance[Client],MATCH(C279&amp;"",tbl_Finance[Job Number],0)),""))</f>
        <v/>
      </c>
      <c r="G279" s="28">
        <f>IF(C279="","",COUNTIFS(tbl_Finance[Job Number],C279&amp;"",tbl_Finance[Ex GST],"&lt;&gt;"))</f>
        <v/>
      </c>
      <c r="H279" s="27">
        <f>IF(C279="","",SUMIFS(tbl_Finance[Ex GST],tbl_Finance[Job Number],C279&amp;""))</f>
        <v/>
      </c>
      <c r="I279" s="27">
        <f>IF(C279="","",SUMIFS(tbl_Finance[Ex GST],tbl_Finance[Job Number],C279&amp;"",tbl_Finance[Xero Invoice No],"&lt;&gt;"))</f>
        <v/>
      </c>
      <c r="J279" s="27">
        <f>IF(C279="","",H279-I279)</f>
        <v/>
      </c>
      <c r="K279" s="25">
        <f>IF(C279="","",IF(G279=0,"not invoiced yet",SUBSTITUTE(TRIM(IF(COUNTIFS(tbl_Finance[Job Number],C279&amp;"",tbl_Finance[Cost Centre],"ONSITE")&gt;0,"ONSITE ","")&amp;IF(COUNTIFS(tbl_Finance[Job Number],C279&amp;"",tbl_Finance[Cost Centre],"PRODUCTION")&gt;0,"PRODUCTION ","")&amp;IF(COUNTIFS(tbl_Finance[Job Number],C279&amp;"",tbl_Finance[Cost Centre],"VIDEO")&gt;0,"VIDEO ","")&amp;IF(COUNTIFS(tbl_Finance[Job Number],C279&amp;"",tbl_Finance[Cost Centre],"INTEGRATION")&gt;0,"INTEGRATION ","")&amp;IF(COUNTIFS(tbl_Finance[Job Number],C279&amp;"",tbl_Finance[Cost Centre],"CONSULTING")&gt;0,"CONSULTING ","")&amp;IF(COUNTIFS(tbl_Finance[Job Number],C279&amp;"",tbl_Finance[Cost Centre],"CTS")&gt;0,"CTS ",""))," ",", ")))</f>
        <v/>
      </c>
      <c r="L279" s="24" t="n"/>
      <c r="M279" s="25">
        <f>IF(L279="","",HYPERLINK(IF(LEFT(L279,4)="http",L279,set_QwilrBase&amp;L279),"Open quote"))</f>
        <v/>
      </c>
      <c r="N279" s="26" t="n"/>
      <c r="O279" s="26" t="n"/>
      <c r="P279" s="26" t="n"/>
      <c r="Q279" s="25">
        <f>IF(C279="","",IF(N(N279)+N(O279)+N(P279)=0,"Not split",IF(ROUND(N(N279)+N(O279)+N(P279),2)=ROUND(H279,2),"OK","MISMATCH")))</f>
        <v/>
      </c>
      <c r="R279" s="26" t="n"/>
      <c r="S279" s="26" t="n"/>
      <c r="T279" s="26" t="n"/>
      <c r="U279" s="27">
        <f>IF(C279="","",N(R279)+N(S279)+N(T279))</f>
        <v/>
      </c>
      <c r="V279" s="27">
        <f>IF(C279="","",H279-U279)</f>
        <v/>
      </c>
      <c r="W279" s="29">
        <f>IFERROR(V279/H279,"")</f>
        <v/>
      </c>
      <c r="X279" s="24" t="n"/>
    </row>
    <row r="280" ht="15" customHeight="1">
      <c r="A280" s="63">
        <f>IF(C280="","",IFERROR(IF(SUMPRODUCT(MAX((tbl_Finance[Job Number]=C280&amp;"")*(tbl_Finance[Xero Invoice No]&lt;&gt;"")*tbl_Finance[Date]))=0,"",SUMPRODUCT(MAX((tbl_Finance[Job Number]=C280&amp;"")*(tbl_Finance[Xero Invoice No]&lt;&gt;"")*tbl_Finance[Date]))),""))</f>
        <v/>
      </c>
      <c r="B280" s="25">
        <f>IF(C280="","",IF(COUNTIFS(tbl_Finance[Job Number],C280&amp;"",tbl_Finance[Xero Invoice No],"&lt;&gt;")=0,"",IFERROR(IF(COUNTIFS(tbl_Finance[Job Number],C280&amp;"",tbl_Finance[Xero Invoice No],LOOKUP(2,1/((tbl_Finance[Job Number]=C280&amp;"")*(tbl_Finance[Xero Invoice No]&lt;&gt;"")),tbl_Finance[Xero Invoice No]))=COUNTIFS(tbl_Finance[Job Number],C280&amp;"",tbl_Finance[Xero Invoice No],"&lt;&gt;"),LOOKUP(2,1/((tbl_Finance[Job Number]=C280&amp;"")*(tbl_Finance[Xero Invoice No]&lt;&gt;"")),tbl_Finance[Xero Invoice No]),LOOKUP(2,1/((tbl_Finance[Job Number]=C280&amp;"")*(tbl_Finance[Xero Invoice No]&lt;&gt;"")),tbl_Finance[Xero Invoice No])&amp;" +more"),"")))</f>
        <v/>
      </c>
      <c r="C280" s="24" t="n"/>
      <c r="D280" s="25">
        <f>IF(C280="","",IF(COUNTIF(lst_Jobs,C280&amp;"")&gt;0,"OK","CHECK"))</f>
        <v/>
      </c>
      <c r="E280" s="25">
        <f>IF(C280="","",IFERROR(INDEX(lst_JobName,MATCH(C280&amp;"",lst_Jobs,0)),""))</f>
        <v/>
      </c>
      <c r="F280" s="25">
        <f>IF(C280="","",IFERROR(INDEX(tbl_Finance[Client],MATCH(C280&amp;"",tbl_Finance[Job Number],0)),""))</f>
        <v/>
      </c>
      <c r="G280" s="28">
        <f>IF(C280="","",COUNTIFS(tbl_Finance[Job Number],C280&amp;"",tbl_Finance[Ex GST],"&lt;&gt;"))</f>
        <v/>
      </c>
      <c r="H280" s="27">
        <f>IF(C280="","",SUMIFS(tbl_Finance[Ex GST],tbl_Finance[Job Number],C280&amp;""))</f>
        <v/>
      </c>
      <c r="I280" s="27">
        <f>IF(C280="","",SUMIFS(tbl_Finance[Ex GST],tbl_Finance[Job Number],C280&amp;"",tbl_Finance[Xero Invoice No],"&lt;&gt;"))</f>
        <v/>
      </c>
      <c r="J280" s="27">
        <f>IF(C280="","",H280-I280)</f>
        <v/>
      </c>
      <c r="K280" s="25">
        <f>IF(C280="","",IF(G280=0,"not invoiced yet",SUBSTITUTE(TRIM(IF(COUNTIFS(tbl_Finance[Job Number],C280&amp;"",tbl_Finance[Cost Centre],"ONSITE")&gt;0,"ONSITE ","")&amp;IF(COUNTIFS(tbl_Finance[Job Number],C280&amp;"",tbl_Finance[Cost Centre],"PRODUCTION")&gt;0,"PRODUCTION ","")&amp;IF(COUNTIFS(tbl_Finance[Job Number],C280&amp;"",tbl_Finance[Cost Centre],"VIDEO")&gt;0,"VIDEO ","")&amp;IF(COUNTIFS(tbl_Finance[Job Number],C280&amp;"",tbl_Finance[Cost Centre],"INTEGRATION")&gt;0,"INTEGRATION ","")&amp;IF(COUNTIFS(tbl_Finance[Job Number],C280&amp;"",tbl_Finance[Cost Centre],"CONSULTING")&gt;0,"CONSULTING ","")&amp;IF(COUNTIFS(tbl_Finance[Job Number],C280&amp;"",tbl_Finance[Cost Centre],"CTS")&gt;0,"CTS ",""))," ",", ")))</f>
        <v/>
      </c>
      <c r="L280" s="24" t="n"/>
      <c r="M280" s="25">
        <f>IF(L280="","",HYPERLINK(IF(LEFT(L280,4)="http",L280,set_QwilrBase&amp;L280),"Open quote"))</f>
        <v/>
      </c>
      <c r="N280" s="26" t="n"/>
      <c r="O280" s="26" t="n"/>
      <c r="P280" s="26" t="n"/>
      <c r="Q280" s="25">
        <f>IF(C280="","",IF(N(N280)+N(O280)+N(P280)=0,"Not split",IF(ROUND(N(N280)+N(O280)+N(P280),2)=ROUND(H280,2),"OK","MISMATCH")))</f>
        <v/>
      </c>
      <c r="R280" s="26" t="n"/>
      <c r="S280" s="26" t="n"/>
      <c r="T280" s="26" t="n"/>
      <c r="U280" s="27">
        <f>IF(C280="","",N(R280)+N(S280)+N(T280))</f>
        <v/>
      </c>
      <c r="V280" s="27">
        <f>IF(C280="","",H280-U280)</f>
        <v/>
      </c>
      <c r="W280" s="29">
        <f>IFERROR(V280/H280,"")</f>
        <v/>
      </c>
      <c r="X280" s="24" t="n"/>
    </row>
    <row r="281" ht="15" customHeight="1">
      <c r="A281" s="63">
        <f>IF(C281="","",IFERROR(IF(SUMPRODUCT(MAX((tbl_Finance[Job Number]=C281&amp;"")*(tbl_Finance[Xero Invoice No]&lt;&gt;"")*tbl_Finance[Date]))=0,"",SUMPRODUCT(MAX((tbl_Finance[Job Number]=C281&amp;"")*(tbl_Finance[Xero Invoice No]&lt;&gt;"")*tbl_Finance[Date]))),""))</f>
        <v/>
      </c>
      <c r="B281" s="25">
        <f>IF(C281="","",IF(COUNTIFS(tbl_Finance[Job Number],C281&amp;"",tbl_Finance[Xero Invoice No],"&lt;&gt;")=0,"",IFERROR(IF(COUNTIFS(tbl_Finance[Job Number],C281&amp;"",tbl_Finance[Xero Invoice No],LOOKUP(2,1/((tbl_Finance[Job Number]=C281&amp;"")*(tbl_Finance[Xero Invoice No]&lt;&gt;"")),tbl_Finance[Xero Invoice No]))=COUNTIFS(tbl_Finance[Job Number],C281&amp;"",tbl_Finance[Xero Invoice No],"&lt;&gt;"),LOOKUP(2,1/((tbl_Finance[Job Number]=C281&amp;"")*(tbl_Finance[Xero Invoice No]&lt;&gt;"")),tbl_Finance[Xero Invoice No]),LOOKUP(2,1/((tbl_Finance[Job Number]=C281&amp;"")*(tbl_Finance[Xero Invoice No]&lt;&gt;"")),tbl_Finance[Xero Invoice No])&amp;" +more"),"")))</f>
        <v/>
      </c>
      <c r="C281" s="24" t="n"/>
      <c r="D281" s="25">
        <f>IF(C281="","",IF(COUNTIF(lst_Jobs,C281&amp;"")&gt;0,"OK","CHECK"))</f>
        <v/>
      </c>
      <c r="E281" s="25">
        <f>IF(C281="","",IFERROR(INDEX(lst_JobName,MATCH(C281&amp;"",lst_Jobs,0)),""))</f>
        <v/>
      </c>
      <c r="F281" s="25">
        <f>IF(C281="","",IFERROR(INDEX(tbl_Finance[Client],MATCH(C281&amp;"",tbl_Finance[Job Number],0)),""))</f>
        <v/>
      </c>
      <c r="G281" s="28">
        <f>IF(C281="","",COUNTIFS(tbl_Finance[Job Number],C281&amp;"",tbl_Finance[Ex GST],"&lt;&gt;"))</f>
        <v/>
      </c>
      <c r="H281" s="27">
        <f>IF(C281="","",SUMIFS(tbl_Finance[Ex GST],tbl_Finance[Job Number],C281&amp;""))</f>
        <v/>
      </c>
      <c r="I281" s="27">
        <f>IF(C281="","",SUMIFS(tbl_Finance[Ex GST],tbl_Finance[Job Number],C281&amp;"",tbl_Finance[Xero Invoice No],"&lt;&gt;"))</f>
        <v/>
      </c>
      <c r="J281" s="27">
        <f>IF(C281="","",H281-I281)</f>
        <v/>
      </c>
      <c r="K281" s="25">
        <f>IF(C281="","",IF(G281=0,"not invoiced yet",SUBSTITUTE(TRIM(IF(COUNTIFS(tbl_Finance[Job Number],C281&amp;"",tbl_Finance[Cost Centre],"ONSITE")&gt;0,"ONSITE ","")&amp;IF(COUNTIFS(tbl_Finance[Job Number],C281&amp;"",tbl_Finance[Cost Centre],"PRODUCTION")&gt;0,"PRODUCTION ","")&amp;IF(COUNTIFS(tbl_Finance[Job Number],C281&amp;"",tbl_Finance[Cost Centre],"VIDEO")&gt;0,"VIDEO ","")&amp;IF(COUNTIFS(tbl_Finance[Job Number],C281&amp;"",tbl_Finance[Cost Centre],"INTEGRATION")&gt;0,"INTEGRATION ","")&amp;IF(COUNTIFS(tbl_Finance[Job Number],C281&amp;"",tbl_Finance[Cost Centre],"CONSULTING")&gt;0,"CONSULTING ","")&amp;IF(COUNTIFS(tbl_Finance[Job Number],C281&amp;"",tbl_Finance[Cost Centre],"CTS")&gt;0,"CTS ",""))," ",", ")))</f>
        <v/>
      </c>
      <c r="L281" s="24" t="n"/>
      <c r="M281" s="25">
        <f>IF(L281="","",HYPERLINK(IF(LEFT(L281,4)="http",L281,set_QwilrBase&amp;L281),"Open quote"))</f>
        <v/>
      </c>
      <c r="N281" s="26" t="n"/>
      <c r="O281" s="26" t="n"/>
      <c r="P281" s="26" t="n"/>
      <c r="Q281" s="25">
        <f>IF(C281="","",IF(N(N281)+N(O281)+N(P281)=0,"Not split",IF(ROUND(N(N281)+N(O281)+N(P281),2)=ROUND(H281,2),"OK","MISMATCH")))</f>
        <v/>
      </c>
      <c r="R281" s="26" t="n"/>
      <c r="S281" s="26" t="n"/>
      <c r="T281" s="26" t="n"/>
      <c r="U281" s="27">
        <f>IF(C281="","",N(R281)+N(S281)+N(T281))</f>
        <v/>
      </c>
      <c r="V281" s="27">
        <f>IF(C281="","",H281-U281)</f>
        <v/>
      </c>
      <c r="W281" s="29">
        <f>IFERROR(V281/H281,"")</f>
        <v/>
      </c>
      <c r="X281" s="24" t="n"/>
    </row>
    <row r="282" ht="15" customHeight="1">
      <c r="A282" s="63">
        <f>IF(C282="","",IFERROR(IF(SUMPRODUCT(MAX((tbl_Finance[Job Number]=C282&amp;"")*(tbl_Finance[Xero Invoice No]&lt;&gt;"")*tbl_Finance[Date]))=0,"",SUMPRODUCT(MAX((tbl_Finance[Job Number]=C282&amp;"")*(tbl_Finance[Xero Invoice No]&lt;&gt;"")*tbl_Finance[Date]))),""))</f>
        <v/>
      </c>
      <c r="B282" s="25">
        <f>IF(C282="","",IF(COUNTIFS(tbl_Finance[Job Number],C282&amp;"",tbl_Finance[Xero Invoice No],"&lt;&gt;")=0,"",IFERROR(IF(COUNTIFS(tbl_Finance[Job Number],C282&amp;"",tbl_Finance[Xero Invoice No],LOOKUP(2,1/((tbl_Finance[Job Number]=C282&amp;"")*(tbl_Finance[Xero Invoice No]&lt;&gt;"")),tbl_Finance[Xero Invoice No]))=COUNTIFS(tbl_Finance[Job Number],C282&amp;"",tbl_Finance[Xero Invoice No],"&lt;&gt;"),LOOKUP(2,1/((tbl_Finance[Job Number]=C282&amp;"")*(tbl_Finance[Xero Invoice No]&lt;&gt;"")),tbl_Finance[Xero Invoice No]),LOOKUP(2,1/((tbl_Finance[Job Number]=C282&amp;"")*(tbl_Finance[Xero Invoice No]&lt;&gt;"")),tbl_Finance[Xero Invoice No])&amp;" +more"),"")))</f>
        <v/>
      </c>
      <c r="C282" s="24" t="n"/>
      <c r="D282" s="25">
        <f>IF(C282="","",IF(COUNTIF(lst_Jobs,C282&amp;"")&gt;0,"OK","CHECK"))</f>
        <v/>
      </c>
      <c r="E282" s="25">
        <f>IF(C282="","",IFERROR(INDEX(lst_JobName,MATCH(C282&amp;"",lst_Jobs,0)),""))</f>
        <v/>
      </c>
      <c r="F282" s="25">
        <f>IF(C282="","",IFERROR(INDEX(tbl_Finance[Client],MATCH(C282&amp;"",tbl_Finance[Job Number],0)),""))</f>
        <v/>
      </c>
      <c r="G282" s="28">
        <f>IF(C282="","",COUNTIFS(tbl_Finance[Job Number],C282&amp;"",tbl_Finance[Ex GST],"&lt;&gt;"))</f>
        <v/>
      </c>
      <c r="H282" s="27">
        <f>IF(C282="","",SUMIFS(tbl_Finance[Ex GST],tbl_Finance[Job Number],C282&amp;""))</f>
        <v/>
      </c>
      <c r="I282" s="27">
        <f>IF(C282="","",SUMIFS(tbl_Finance[Ex GST],tbl_Finance[Job Number],C282&amp;"",tbl_Finance[Xero Invoice No],"&lt;&gt;"))</f>
        <v/>
      </c>
      <c r="J282" s="27">
        <f>IF(C282="","",H282-I282)</f>
        <v/>
      </c>
      <c r="K282" s="25">
        <f>IF(C282="","",IF(G282=0,"not invoiced yet",SUBSTITUTE(TRIM(IF(COUNTIFS(tbl_Finance[Job Number],C282&amp;"",tbl_Finance[Cost Centre],"ONSITE")&gt;0,"ONSITE ","")&amp;IF(COUNTIFS(tbl_Finance[Job Number],C282&amp;"",tbl_Finance[Cost Centre],"PRODUCTION")&gt;0,"PRODUCTION ","")&amp;IF(COUNTIFS(tbl_Finance[Job Number],C282&amp;"",tbl_Finance[Cost Centre],"VIDEO")&gt;0,"VIDEO ","")&amp;IF(COUNTIFS(tbl_Finance[Job Number],C282&amp;"",tbl_Finance[Cost Centre],"INTEGRATION")&gt;0,"INTEGRATION ","")&amp;IF(COUNTIFS(tbl_Finance[Job Number],C282&amp;"",tbl_Finance[Cost Centre],"CONSULTING")&gt;0,"CONSULTING ","")&amp;IF(COUNTIFS(tbl_Finance[Job Number],C282&amp;"",tbl_Finance[Cost Centre],"CTS")&gt;0,"CTS ",""))," ",", ")))</f>
        <v/>
      </c>
      <c r="L282" s="24" t="n"/>
      <c r="M282" s="25">
        <f>IF(L282="","",HYPERLINK(IF(LEFT(L282,4)="http",L282,set_QwilrBase&amp;L282),"Open quote"))</f>
        <v/>
      </c>
      <c r="N282" s="26" t="n"/>
      <c r="O282" s="26" t="n"/>
      <c r="P282" s="26" t="n"/>
      <c r="Q282" s="25">
        <f>IF(C282="","",IF(N(N282)+N(O282)+N(P282)=0,"Not split",IF(ROUND(N(N282)+N(O282)+N(P282),2)=ROUND(H282,2),"OK","MISMATCH")))</f>
        <v/>
      </c>
      <c r="R282" s="26" t="n"/>
      <c r="S282" s="26" t="n"/>
      <c r="T282" s="26" t="n"/>
      <c r="U282" s="27">
        <f>IF(C282="","",N(R282)+N(S282)+N(T282))</f>
        <v/>
      </c>
      <c r="V282" s="27">
        <f>IF(C282="","",H282-U282)</f>
        <v/>
      </c>
      <c r="W282" s="29">
        <f>IFERROR(V282/H282,"")</f>
        <v/>
      </c>
      <c r="X282" s="24" t="n"/>
    </row>
    <row r="283" ht="15" customHeight="1">
      <c r="A283" s="63">
        <f>IF(C283="","",IFERROR(IF(SUMPRODUCT(MAX((tbl_Finance[Job Number]=C283&amp;"")*(tbl_Finance[Xero Invoice No]&lt;&gt;"")*tbl_Finance[Date]))=0,"",SUMPRODUCT(MAX((tbl_Finance[Job Number]=C283&amp;"")*(tbl_Finance[Xero Invoice No]&lt;&gt;"")*tbl_Finance[Date]))),""))</f>
        <v/>
      </c>
      <c r="B283" s="25">
        <f>IF(C283="","",IF(COUNTIFS(tbl_Finance[Job Number],C283&amp;"",tbl_Finance[Xero Invoice No],"&lt;&gt;")=0,"",IFERROR(IF(COUNTIFS(tbl_Finance[Job Number],C283&amp;"",tbl_Finance[Xero Invoice No],LOOKUP(2,1/((tbl_Finance[Job Number]=C283&amp;"")*(tbl_Finance[Xero Invoice No]&lt;&gt;"")),tbl_Finance[Xero Invoice No]))=COUNTIFS(tbl_Finance[Job Number],C283&amp;"",tbl_Finance[Xero Invoice No],"&lt;&gt;"),LOOKUP(2,1/((tbl_Finance[Job Number]=C283&amp;"")*(tbl_Finance[Xero Invoice No]&lt;&gt;"")),tbl_Finance[Xero Invoice No]),LOOKUP(2,1/((tbl_Finance[Job Number]=C283&amp;"")*(tbl_Finance[Xero Invoice No]&lt;&gt;"")),tbl_Finance[Xero Invoice No])&amp;" +more"),"")))</f>
        <v/>
      </c>
      <c r="C283" s="24" t="n"/>
      <c r="D283" s="25">
        <f>IF(C283="","",IF(COUNTIF(lst_Jobs,C283&amp;"")&gt;0,"OK","CHECK"))</f>
        <v/>
      </c>
      <c r="E283" s="25">
        <f>IF(C283="","",IFERROR(INDEX(lst_JobName,MATCH(C283&amp;"",lst_Jobs,0)),""))</f>
        <v/>
      </c>
      <c r="F283" s="25">
        <f>IF(C283="","",IFERROR(INDEX(tbl_Finance[Client],MATCH(C283&amp;"",tbl_Finance[Job Number],0)),""))</f>
        <v/>
      </c>
      <c r="G283" s="28">
        <f>IF(C283="","",COUNTIFS(tbl_Finance[Job Number],C283&amp;"",tbl_Finance[Ex GST],"&lt;&gt;"))</f>
        <v/>
      </c>
      <c r="H283" s="27">
        <f>IF(C283="","",SUMIFS(tbl_Finance[Ex GST],tbl_Finance[Job Number],C283&amp;""))</f>
        <v/>
      </c>
      <c r="I283" s="27">
        <f>IF(C283="","",SUMIFS(tbl_Finance[Ex GST],tbl_Finance[Job Number],C283&amp;"",tbl_Finance[Xero Invoice No],"&lt;&gt;"))</f>
        <v/>
      </c>
      <c r="J283" s="27">
        <f>IF(C283="","",H283-I283)</f>
        <v/>
      </c>
      <c r="K283" s="25">
        <f>IF(C283="","",IF(G283=0,"not invoiced yet",SUBSTITUTE(TRIM(IF(COUNTIFS(tbl_Finance[Job Number],C283&amp;"",tbl_Finance[Cost Centre],"ONSITE")&gt;0,"ONSITE ","")&amp;IF(COUNTIFS(tbl_Finance[Job Number],C283&amp;"",tbl_Finance[Cost Centre],"PRODUCTION")&gt;0,"PRODUCTION ","")&amp;IF(COUNTIFS(tbl_Finance[Job Number],C283&amp;"",tbl_Finance[Cost Centre],"VIDEO")&gt;0,"VIDEO ","")&amp;IF(COUNTIFS(tbl_Finance[Job Number],C283&amp;"",tbl_Finance[Cost Centre],"INTEGRATION")&gt;0,"INTEGRATION ","")&amp;IF(COUNTIFS(tbl_Finance[Job Number],C283&amp;"",tbl_Finance[Cost Centre],"CONSULTING")&gt;0,"CONSULTING ","")&amp;IF(COUNTIFS(tbl_Finance[Job Number],C283&amp;"",tbl_Finance[Cost Centre],"CTS")&gt;0,"CTS ",""))," ",", ")))</f>
        <v/>
      </c>
      <c r="L283" s="24" t="n"/>
      <c r="M283" s="25">
        <f>IF(L283="","",HYPERLINK(IF(LEFT(L283,4)="http",L283,set_QwilrBase&amp;L283),"Open quote"))</f>
        <v/>
      </c>
      <c r="N283" s="26" t="n"/>
      <c r="O283" s="26" t="n"/>
      <c r="P283" s="26" t="n"/>
      <c r="Q283" s="25">
        <f>IF(C283="","",IF(N(N283)+N(O283)+N(P283)=0,"Not split",IF(ROUND(N(N283)+N(O283)+N(P283),2)=ROUND(H283,2),"OK","MISMATCH")))</f>
        <v/>
      </c>
      <c r="R283" s="26" t="n"/>
      <c r="S283" s="26" t="n"/>
      <c r="T283" s="26" t="n"/>
      <c r="U283" s="27">
        <f>IF(C283="","",N(R283)+N(S283)+N(T283))</f>
        <v/>
      </c>
      <c r="V283" s="27">
        <f>IF(C283="","",H283-U283)</f>
        <v/>
      </c>
      <c r="W283" s="29">
        <f>IFERROR(V283/H283,"")</f>
        <v/>
      </c>
      <c r="X283" s="24" t="n"/>
    </row>
    <row r="284" ht="15" customHeight="1">
      <c r="A284" s="63">
        <f>IF(C284="","",IFERROR(IF(SUMPRODUCT(MAX((tbl_Finance[Job Number]=C284&amp;"")*(tbl_Finance[Xero Invoice No]&lt;&gt;"")*tbl_Finance[Date]))=0,"",SUMPRODUCT(MAX((tbl_Finance[Job Number]=C284&amp;"")*(tbl_Finance[Xero Invoice No]&lt;&gt;"")*tbl_Finance[Date]))),""))</f>
        <v/>
      </c>
      <c r="B284" s="25">
        <f>IF(C284="","",IF(COUNTIFS(tbl_Finance[Job Number],C284&amp;"",tbl_Finance[Xero Invoice No],"&lt;&gt;")=0,"",IFERROR(IF(COUNTIFS(tbl_Finance[Job Number],C284&amp;"",tbl_Finance[Xero Invoice No],LOOKUP(2,1/((tbl_Finance[Job Number]=C284&amp;"")*(tbl_Finance[Xero Invoice No]&lt;&gt;"")),tbl_Finance[Xero Invoice No]))=COUNTIFS(tbl_Finance[Job Number],C284&amp;"",tbl_Finance[Xero Invoice No],"&lt;&gt;"),LOOKUP(2,1/((tbl_Finance[Job Number]=C284&amp;"")*(tbl_Finance[Xero Invoice No]&lt;&gt;"")),tbl_Finance[Xero Invoice No]),LOOKUP(2,1/((tbl_Finance[Job Number]=C284&amp;"")*(tbl_Finance[Xero Invoice No]&lt;&gt;"")),tbl_Finance[Xero Invoice No])&amp;" +more"),"")))</f>
        <v/>
      </c>
      <c r="C284" s="24" t="n"/>
      <c r="D284" s="25">
        <f>IF(C284="","",IF(COUNTIF(lst_Jobs,C284&amp;"")&gt;0,"OK","CHECK"))</f>
        <v/>
      </c>
      <c r="E284" s="25">
        <f>IF(C284="","",IFERROR(INDEX(lst_JobName,MATCH(C284&amp;"",lst_Jobs,0)),""))</f>
        <v/>
      </c>
      <c r="F284" s="25">
        <f>IF(C284="","",IFERROR(INDEX(tbl_Finance[Client],MATCH(C284&amp;"",tbl_Finance[Job Number],0)),""))</f>
        <v/>
      </c>
      <c r="G284" s="28">
        <f>IF(C284="","",COUNTIFS(tbl_Finance[Job Number],C284&amp;"",tbl_Finance[Ex GST],"&lt;&gt;"))</f>
        <v/>
      </c>
      <c r="H284" s="27">
        <f>IF(C284="","",SUMIFS(tbl_Finance[Ex GST],tbl_Finance[Job Number],C284&amp;""))</f>
        <v/>
      </c>
      <c r="I284" s="27">
        <f>IF(C284="","",SUMIFS(tbl_Finance[Ex GST],tbl_Finance[Job Number],C284&amp;"",tbl_Finance[Xero Invoice No],"&lt;&gt;"))</f>
        <v/>
      </c>
      <c r="J284" s="27">
        <f>IF(C284="","",H284-I284)</f>
        <v/>
      </c>
      <c r="K284" s="25">
        <f>IF(C284="","",IF(G284=0,"not invoiced yet",SUBSTITUTE(TRIM(IF(COUNTIFS(tbl_Finance[Job Number],C284&amp;"",tbl_Finance[Cost Centre],"ONSITE")&gt;0,"ONSITE ","")&amp;IF(COUNTIFS(tbl_Finance[Job Number],C284&amp;"",tbl_Finance[Cost Centre],"PRODUCTION")&gt;0,"PRODUCTION ","")&amp;IF(COUNTIFS(tbl_Finance[Job Number],C284&amp;"",tbl_Finance[Cost Centre],"VIDEO")&gt;0,"VIDEO ","")&amp;IF(COUNTIFS(tbl_Finance[Job Number],C284&amp;"",tbl_Finance[Cost Centre],"INTEGRATION")&gt;0,"INTEGRATION ","")&amp;IF(COUNTIFS(tbl_Finance[Job Number],C284&amp;"",tbl_Finance[Cost Centre],"CONSULTING")&gt;0,"CONSULTING ","")&amp;IF(COUNTIFS(tbl_Finance[Job Number],C284&amp;"",tbl_Finance[Cost Centre],"CTS")&gt;0,"CTS ",""))," ",", ")))</f>
        <v/>
      </c>
      <c r="L284" s="24" t="n"/>
      <c r="M284" s="25">
        <f>IF(L284="","",HYPERLINK(IF(LEFT(L284,4)="http",L284,set_QwilrBase&amp;L284),"Open quote"))</f>
        <v/>
      </c>
      <c r="N284" s="26" t="n"/>
      <c r="O284" s="26" t="n"/>
      <c r="P284" s="26" t="n"/>
      <c r="Q284" s="25">
        <f>IF(C284="","",IF(N(N284)+N(O284)+N(P284)=0,"Not split",IF(ROUND(N(N284)+N(O284)+N(P284),2)=ROUND(H284,2),"OK","MISMATCH")))</f>
        <v/>
      </c>
      <c r="R284" s="26" t="n"/>
      <c r="S284" s="26" t="n"/>
      <c r="T284" s="26" t="n"/>
      <c r="U284" s="27">
        <f>IF(C284="","",N(R284)+N(S284)+N(T284))</f>
        <v/>
      </c>
      <c r="V284" s="27">
        <f>IF(C284="","",H284-U284)</f>
        <v/>
      </c>
      <c r="W284" s="29">
        <f>IFERROR(V284/H284,"")</f>
        <v/>
      </c>
      <c r="X284" s="24" t="n"/>
    </row>
    <row r="285" ht="15" customHeight="1">
      <c r="A285" s="63">
        <f>IF(C285="","",IFERROR(IF(SUMPRODUCT(MAX((tbl_Finance[Job Number]=C285&amp;"")*(tbl_Finance[Xero Invoice No]&lt;&gt;"")*tbl_Finance[Date]))=0,"",SUMPRODUCT(MAX((tbl_Finance[Job Number]=C285&amp;"")*(tbl_Finance[Xero Invoice No]&lt;&gt;"")*tbl_Finance[Date]))),""))</f>
        <v/>
      </c>
      <c r="B285" s="25">
        <f>IF(C285="","",IF(COUNTIFS(tbl_Finance[Job Number],C285&amp;"",tbl_Finance[Xero Invoice No],"&lt;&gt;")=0,"",IFERROR(IF(COUNTIFS(tbl_Finance[Job Number],C285&amp;"",tbl_Finance[Xero Invoice No],LOOKUP(2,1/((tbl_Finance[Job Number]=C285&amp;"")*(tbl_Finance[Xero Invoice No]&lt;&gt;"")),tbl_Finance[Xero Invoice No]))=COUNTIFS(tbl_Finance[Job Number],C285&amp;"",tbl_Finance[Xero Invoice No],"&lt;&gt;"),LOOKUP(2,1/((tbl_Finance[Job Number]=C285&amp;"")*(tbl_Finance[Xero Invoice No]&lt;&gt;"")),tbl_Finance[Xero Invoice No]),LOOKUP(2,1/((tbl_Finance[Job Number]=C285&amp;"")*(tbl_Finance[Xero Invoice No]&lt;&gt;"")),tbl_Finance[Xero Invoice No])&amp;" +more"),"")))</f>
        <v/>
      </c>
      <c r="C285" s="24" t="n"/>
      <c r="D285" s="25">
        <f>IF(C285="","",IF(COUNTIF(lst_Jobs,C285&amp;"")&gt;0,"OK","CHECK"))</f>
        <v/>
      </c>
      <c r="E285" s="25">
        <f>IF(C285="","",IFERROR(INDEX(lst_JobName,MATCH(C285&amp;"",lst_Jobs,0)),""))</f>
        <v/>
      </c>
      <c r="F285" s="25">
        <f>IF(C285="","",IFERROR(INDEX(tbl_Finance[Client],MATCH(C285&amp;"",tbl_Finance[Job Number],0)),""))</f>
        <v/>
      </c>
      <c r="G285" s="28">
        <f>IF(C285="","",COUNTIFS(tbl_Finance[Job Number],C285&amp;"",tbl_Finance[Ex GST],"&lt;&gt;"))</f>
        <v/>
      </c>
      <c r="H285" s="27">
        <f>IF(C285="","",SUMIFS(tbl_Finance[Ex GST],tbl_Finance[Job Number],C285&amp;""))</f>
        <v/>
      </c>
      <c r="I285" s="27">
        <f>IF(C285="","",SUMIFS(tbl_Finance[Ex GST],tbl_Finance[Job Number],C285&amp;"",tbl_Finance[Xero Invoice No],"&lt;&gt;"))</f>
        <v/>
      </c>
      <c r="J285" s="27">
        <f>IF(C285="","",H285-I285)</f>
        <v/>
      </c>
      <c r="K285" s="25">
        <f>IF(C285="","",IF(G285=0,"not invoiced yet",SUBSTITUTE(TRIM(IF(COUNTIFS(tbl_Finance[Job Number],C285&amp;"",tbl_Finance[Cost Centre],"ONSITE")&gt;0,"ONSITE ","")&amp;IF(COUNTIFS(tbl_Finance[Job Number],C285&amp;"",tbl_Finance[Cost Centre],"PRODUCTION")&gt;0,"PRODUCTION ","")&amp;IF(COUNTIFS(tbl_Finance[Job Number],C285&amp;"",tbl_Finance[Cost Centre],"VIDEO")&gt;0,"VIDEO ","")&amp;IF(COUNTIFS(tbl_Finance[Job Number],C285&amp;"",tbl_Finance[Cost Centre],"INTEGRATION")&gt;0,"INTEGRATION ","")&amp;IF(COUNTIFS(tbl_Finance[Job Number],C285&amp;"",tbl_Finance[Cost Centre],"CONSULTING")&gt;0,"CONSULTING ","")&amp;IF(COUNTIFS(tbl_Finance[Job Number],C285&amp;"",tbl_Finance[Cost Centre],"CTS")&gt;0,"CTS ",""))," ",", ")))</f>
        <v/>
      </c>
      <c r="L285" s="24" t="n"/>
      <c r="M285" s="25">
        <f>IF(L285="","",HYPERLINK(IF(LEFT(L285,4)="http",L285,set_QwilrBase&amp;L285),"Open quote"))</f>
        <v/>
      </c>
      <c r="N285" s="26" t="n"/>
      <c r="O285" s="26" t="n"/>
      <c r="P285" s="26" t="n"/>
      <c r="Q285" s="25">
        <f>IF(C285="","",IF(N(N285)+N(O285)+N(P285)=0,"Not split",IF(ROUND(N(N285)+N(O285)+N(P285),2)=ROUND(H285,2),"OK","MISMATCH")))</f>
        <v/>
      </c>
      <c r="R285" s="26" t="n"/>
      <c r="S285" s="26" t="n"/>
      <c r="T285" s="26" t="n"/>
      <c r="U285" s="27">
        <f>IF(C285="","",N(R285)+N(S285)+N(T285))</f>
        <v/>
      </c>
      <c r="V285" s="27">
        <f>IF(C285="","",H285-U285)</f>
        <v/>
      </c>
      <c r="W285" s="29">
        <f>IFERROR(V285/H285,"")</f>
        <v/>
      </c>
      <c r="X285" s="24" t="n"/>
    </row>
    <row r="286" ht="15" customHeight="1">
      <c r="A286" s="63">
        <f>IF(C286="","",IFERROR(IF(SUMPRODUCT(MAX((tbl_Finance[Job Number]=C286&amp;"")*(tbl_Finance[Xero Invoice No]&lt;&gt;"")*tbl_Finance[Date]))=0,"",SUMPRODUCT(MAX((tbl_Finance[Job Number]=C286&amp;"")*(tbl_Finance[Xero Invoice No]&lt;&gt;"")*tbl_Finance[Date]))),""))</f>
        <v/>
      </c>
      <c r="B286" s="25">
        <f>IF(C286="","",IF(COUNTIFS(tbl_Finance[Job Number],C286&amp;"",tbl_Finance[Xero Invoice No],"&lt;&gt;")=0,"",IFERROR(IF(COUNTIFS(tbl_Finance[Job Number],C286&amp;"",tbl_Finance[Xero Invoice No],LOOKUP(2,1/((tbl_Finance[Job Number]=C286&amp;"")*(tbl_Finance[Xero Invoice No]&lt;&gt;"")),tbl_Finance[Xero Invoice No]))=COUNTIFS(tbl_Finance[Job Number],C286&amp;"",tbl_Finance[Xero Invoice No],"&lt;&gt;"),LOOKUP(2,1/((tbl_Finance[Job Number]=C286&amp;"")*(tbl_Finance[Xero Invoice No]&lt;&gt;"")),tbl_Finance[Xero Invoice No]),LOOKUP(2,1/((tbl_Finance[Job Number]=C286&amp;"")*(tbl_Finance[Xero Invoice No]&lt;&gt;"")),tbl_Finance[Xero Invoice No])&amp;" +more"),"")))</f>
        <v/>
      </c>
      <c r="C286" s="24" t="n"/>
      <c r="D286" s="25">
        <f>IF(C286="","",IF(COUNTIF(lst_Jobs,C286&amp;"")&gt;0,"OK","CHECK"))</f>
        <v/>
      </c>
      <c r="E286" s="25">
        <f>IF(C286="","",IFERROR(INDEX(lst_JobName,MATCH(C286&amp;"",lst_Jobs,0)),""))</f>
        <v/>
      </c>
      <c r="F286" s="25">
        <f>IF(C286="","",IFERROR(INDEX(tbl_Finance[Client],MATCH(C286&amp;"",tbl_Finance[Job Number],0)),""))</f>
        <v/>
      </c>
      <c r="G286" s="28">
        <f>IF(C286="","",COUNTIFS(tbl_Finance[Job Number],C286&amp;"",tbl_Finance[Ex GST],"&lt;&gt;"))</f>
        <v/>
      </c>
      <c r="H286" s="27">
        <f>IF(C286="","",SUMIFS(tbl_Finance[Ex GST],tbl_Finance[Job Number],C286&amp;""))</f>
        <v/>
      </c>
      <c r="I286" s="27">
        <f>IF(C286="","",SUMIFS(tbl_Finance[Ex GST],tbl_Finance[Job Number],C286&amp;"",tbl_Finance[Xero Invoice No],"&lt;&gt;"))</f>
        <v/>
      </c>
      <c r="J286" s="27">
        <f>IF(C286="","",H286-I286)</f>
        <v/>
      </c>
      <c r="K286" s="25">
        <f>IF(C286="","",IF(G286=0,"not invoiced yet",SUBSTITUTE(TRIM(IF(COUNTIFS(tbl_Finance[Job Number],C286&amp;"",tbl_Finance[Cost Centre],"ONSITE")&gt;0,"ONSITE ","")&amp;IF(COUNTIFS(tbl_Finance[Job Number],C286&amp;"",tbl_Finance[Cost Centre],"PRODUCTION")&gt;0,"PRODUCTION ","")&amp;IF(COUNTIFS(tbl_Finance[Job Number],C286&amp;"",tbl_Finance[Cost Centre],"VIDEO")&gt;0,"VIDEO ","")&amp;IF(COUNTIFS(tbl_Finance[Job Number],C286&amp;"",tbl_Finance[Cost Centre],"INTEGRATION")&gt;0,"INTEGRATION ","")&amp;IF(COUNTIFS(tbl_Finance[Job Number],C286&amp;"",tbl_Finance[Cost Centre],"CONSULTING")&gt;0,"CONSULTING ","")&amp;IF(COUNTIFS(tbl_Finance[Job Number],C286&amp;"",tbl_Finance[Cost Centre],"CTS")&gt;0,"CTS ",""))," ",", ")))</f>
        <v/>
      </c>
      <c r="L286" s="24" t="n"/>
      <c r="M286" s="25">
        <f>IF(L286="","",HYPERLINK(IF(LEFT(L286,4)="http",L286,set_QwilrBase&amp;L286),"Open quote"))</f>
        <v/>
      </c>
      <c r="N286" s="26" t="n"/>
      <c r="O286" s="26" t="n"/>
      <c r="P286" s="26" t="n"/>
      <c r="Q286" s="25">
        <f>IF(C286="","",IF(N(N286)+N(O286)+N(P286)=0,"Not split",IF(ROUND(N(N286)+N(O286)+N(P286),2)=ROUND(H286,2),"OK","MISMATCH")))</f>
        <v/>
      </c>
      <c r="R286" s="26" t="n"/>
      <c r="S286" s="26" t="n"/>
      <c r="T286" s="26" t="n"/>
      <c r="U286" s="27">
        <f>IF(C286="","",N(R286)+N(S286)+N(T286))</f>
        <v/>
      </c>
      <c r="V286" s="27">
        <f>IF(C286="","",H286-U286)</f>
        <v/>
      </c>
      <c r="W286" s="29">
        <f>IFERROR(V286/H286,"")</f>
        <v/>
      </c>
      <c r="X286" s="24" t="n"/>
    </row>
    <row r="287" ht="15" customHeight="1">
      <c r="A287" s="63">
        <f>IF(C287="","",IFERROR(IF(SUMPRODUCT(MAX((tbl_Finance[Job Number]=C287&amp;"")*(tbl_Finance[Xero Invoice No]&lt;&gt;"")*tbl_Finance[Date]))=0,"",SUMPRODUCT(MAX((tbl_Finance[Job Number]=C287&amp;"")*(tbl_Finance[Xero Invoice No]&lt;&gt;"")*tbl_Finance[Date]))),""))</f>
        <v/>
      </c>
      <c r="B287" s="25">
        <f>IF(C287="","",IF(COUNTIFS(tbl_Finance[Job Number],C287&amp;"",tbl_Finance[Xero Invoice No],"&lt;&gt;")=0,"",IFERROR(IF(COUNTIFS(tbl_Finance[Job Number],C287&amp;"",tbl_Finance[Xero Invoice No],LOOKUP(2,1/((tbl_Finance[Job Number]=C287&amp;"")*(tbl_Finance[Xero Invoice No]&lt;&gt;"")),tbl_Finance[Xero Invoice No]))=COUNTIFS(tbl_Finance[Job Number],C287&amp;"",tbl_Finance[Xero Invoice No],"&lt;&gt;"),LOOKUP(2,1/((tbl_Finance[Job Number]=C287&amp;"")*(tbl_Finance[Xero Invoice No]&lt;&gt;"")),tbl_Finance[Xero Invoice No]),LOOKUP(2,1/((tbl_Finance[Job Number]=C287&amp;"")*(tbl_Finance[Xero Invoice No]&lt;&gt;"")),tbl_Finance[Xero Invoice No])&amp;" +more"),"")))</f>
        <v/>
      </c>
      <c r="C287" s="24" t="n"/>
      <c r="D287" s="25">
        <f>IF(C287="","",IF(COUNTIF(lst_Jobs,C287&amp;"")&gt;0,"OK","CHECK"))</f>
        <v/>
      </c>
      <c r="E287" s="25">
        <f>IF(C287="","",IFERROR(INDEX(lst_JobName,MATCH(C287&amp;"",lst_Jobs,0)),""))</f>
        <v/>
      </c>
      <c r="F287" s="25">
        <f>IF(C287="","",IFERROR(INDEX(tbl_Finance[Client],MATCH(C287&amp;"",tbl_Finance[Job Number],0)),""))</f>
        <v/>
      </c>
      <c r="G287" s="28">
        <f>IF(C287="","",COUNTIFS(tbl_Finance[Job Number],C287&amp;"",tbl_Finance[Ex GST],"&lt;&gt;"))</f>
        <v/>
      </c>
      <c r="H287" s="27">
        <f>IF(C287="","",SUMIFS(tbl_Finance[Ex GST],tbl_Finance[Job Number],C287&amp;""))</f>
        <v/>
      </c>
      <c r="I287" s="27">
        <f>IF(C287="","",SUMIFS(tbl_Finance[Ex GST],tbl_Finance[Job Number],C287&amp;"",tbl_Finance[Xero Invoice No],"&lt;&gt;"))</f>
        <v/>
      </c>
      <c r="J287" s="27">
        <f>IF(C287="","",H287-I287)</f>
        <v/>
      </c>
      <c r="K287" s="25">
        <f>IF(C287="","",IF(G287=0,"not invoiced yet",SUBSTITUTE(TRIM(IF(COUNTIFS(tbl_Finance[Job Number],C287&amp;"",tbl_Finance[Cost Centre],"ONSITE")&gt;0,"ONSITE ","")&amp;IF(COUNTIFS(tbl_Finance[Job Number],C287&amp;"",tbl_Finance[Cost Centre],"PRODUCTION")&gt;0,"PRODUCTION ","")&amp;IF(COUNTIFS(tbl_Finance[Job Number],C287&amp;"",tbl_Finance[Cost Centre],"VIDEO")&gt;0,"VIDEO ","")&amp;IF(COUNTIFS(tbl_Finance[Job Number],C287&amp;"",tbl_Finance[Cost Centre],"INTEGRATION")&gt;0,"INTEGRATION ","")&amp;IF(COUNTIFS(tbl_Finance[Job Number],C287&amp;"",tbl_Finance[Cost Centre],"CONSULTING")&gt;0,"CONSULTING ","")&amp;IF(COUNTIFS(tbl_Finance[Job Number],C287&amp;"",tbl_Finance[Cost Centre],"CTS")&gt;0,"CTS ",""))," ",", ")))</f>
        <v/>
      </c>
      <c r="L287" s="24" t="n"/>
      <c r="M287" s="25">
        <f>IF(L287="","",HYPERLINK(IF(LEFT(L287,4)="http",L287,set_QwilrBase&amp;L287),"Open quote"))</f>
        <v/>
      </c>
      <c r="N287" s="26" t="n"/>
      <c r="O287" s="26" t="n"/>
      <c r="P287" s="26" t="n"/>
      <c r="Q287" s="25">
        <f>IF(C287="","",IF(N(N287)+N(O287)+N(P287)=0,"Not split",IF(ROUND(N(N287)+N(O287)+N(P287),2)=ROUND(H287,2),"OK","MISMATCH")))</f>
        <v/>
      </c>
      <c r="R287" s="26" t="n"/>
      <c r="S287" s="26" t="n"/>
      <c r="T287" s="26" t="n"/>
      <c r="U287" s="27">
        <f>IF(C287="","",N(R287)+N(S287)+N(T287))</f>
        <v/>
      </c>
      <c r="V287" s="27">
        <f>IF(C287="","",H287-U287)</f>
        <v/>
      </c>
      <c r="W287" s="29">
        <f>IFERROR(V287/H287,"")</f>
        <v/>
      </c>
      <c r="X287" s="24" t="n"/>
    </row>
    <row r="288" ht="15" customHeight="1">
      <c r="A288" s="63">
        <f>IF(C288="","",IFERROR(IF(SUMPRODUCT(MAX((tbl_Finance[Job Number]=C288&amp;"")*(tbl_Finance[Xero Invoice No]&lt;&gt;"")*tbl_Finance[Date]))=0,"",SUMPRODUCT(MAX((tbl_Finance[Job Number]=C288&amp;"")*(tbl_Finance[Xero Invoice No]&lt;&gt;"")*tbl_Finance[Date]))),""))</f>
        <v/>
      </c>
      <c r="B288" s="25">
        <f>IF(C288="","",IF(COUNTIFS(tbl_Finance[Job Number],C288&amp;"",tbl_Finance[Xero Invoice No],"&lt;&gt;")=0,"",IFERROR(IF(COUNTIFS(tbl_Finance[Job Number],C288&amp;"",tbl_Finance[Xero Invoice No],LOOKUP(2,1/((tbl_Finance[Job Number]=C288&amp;"")*(tbl_Finance[Xero Invoice No]&lt;&gt;"")),tbl_Finance[Xero Invoice No]))=COUNTIFS(tbl_Finance[Job Number],C288&amp;"",tbl_Finance[Xero Invoice No],"&lt;&gt;"),LOOKUP(2,1/((tbl_Finance[Job Number]=C288&amp;"")*(tbl_Finance[Xero Invoice No]&lt;&gt;"")),tbl_Finance[Xero Invoice No]),LOOKUP(2,1/((tbl_Finance[Job Number]=C288&amp;"")*(tbl_Finance[Xero Invoice No]&lt;&gt;"")),tbl_Finance[Xero Invoice No])&amp;" +more"),"")))</f>
        <v/>
      </c>
      <c r="C288" s="24" t="n"/>
      <c r="D288" s="25">
        <f>IF(C288="","",IF(COUNTIF(lst_Jobs,C288&amp;"")&gt;0,"OK","CHECK"))</f>
        <v/>
      </c>
      <c r="E288" s="25">
        <f>IF(C288="","",IFERROR(INDEX(lst_JobName,MATCH(C288&amp;"",lst_Jobs,0)),""))</f>
        <v/>
      </c>
      <c r="F288" s="25">
        <f>IF(C288="","",IFERROR(INDEX(tbl_Finance[Client],MATCH(C288&amp;"",tbl_Finance[Job Number],0)),""))</f>
        <v/>
      </c>
      <c r="G288" s="28">
        <f>IF(C288="","",COUNTIFS(tbl_Finance[Job Number],C288&amp;"",tbl_Finance[Ex GST],"&lt;&gt;"))</f>
        <v/>
      </c>
      <c r="H288" s="27">
        <f>IF(C288="","",SUMIFS(tbl_Finance[Ex GST],tbl_Finance[Job Number],C288&amp;""))</f>
        <v/>
      </c>
      <c r="I288" s="27">
        <f>IF(C288="","",SUMIFS(tbl_Finance[Ex GST],tbl_Finance[Job Number],C288&amp;"",tbl_Finance[Xero Invoice No],"&lt;&gt;"))</f>
        <v/>
      </c>
      <c r="J288" s="27">
        <f>IF(C288="","",H288-I288)</f>
        <v/>
      </c>
      <c r="K288" s="25">
        <f>IF(C288="","",IF(G288=0,"not invoiced yet",SUBSTITUTE(TRIM(IF(COUNTIFS(tbl_Finance[Job Number],C288&amp;"",tbl_Finance[Cost Centre],"ONSITE")&gt;0,"ONSITE ","")&amp;IF(COUNTIFS(tbl_Finance[Job Number],C288&amp;"",tbl_Finance[Cost Centre],"PRODUCTION")&gt;0,"PRODUCTION ","")&amp;IF(COUNTIFS(tbl_Finance[Job Number],C288&amp;"",tbl_Finance[Cost Centre],"VIDEO")&gt;0,"VIDEO ","")&amp;IF(COUNTIFS(tbl_Finance[Job Number],C288&amp;"",tbl_Finance[Cost Centre],"INTEGRATION")&gt;0,"INTEGRATION ","")&amp;IF(COUNTIFS(tbl_Finance[Job Number],C288&amp;"",tbl_Finance[Cost Centre],"CONSULTING")&gt;0,"CONSULTING ","")&amp;IF(COUNTIFS(tbl_Finance[Job Number],C288&amp;"",tbl_Finance[Cost Centre],"CTS")&gt;0,"CTS ",""))," ",", ")))</f>
        <v/>
      </c>
      <c r="L288" s="24" t="n"/>
      <c r="M288" s="25">
        <f>IF(L288="","",HYPERLINK(IF(LEFT(L288,4)="http",L288,set_QwilrBase&amp;L288),"Open quote"))</f>
        <v/>
      </c>
      <c r="N288" s="26" t="n"/>
      <c r="O288" s="26" t="n"/>
      <c r="P288" s="26" t="n"/>
      <c r="Q288" s="25">
        <f>IF(C288="","",IF(N(N288)+N(O288)+N(P288)=0,"Not split",IF(ROUND(N(N288)+N(O288)+N(P288),2)=ROUND(H288,2),"OK","MISMATCH")))</f>
        <v/>
      </c>
      <c r="R288" s="26" t="n"/>
      <c r="S288" s="26" t="n"/>
      <c r="T288" s="26" t="n"/>
      <c r="U288" s="27">
        <f>IF(C288="","",N(R288)+N(S288)+N(T288))</f>
        <v/>
      </c>
      <c r="V288" s="27">
        <f>IF(C288="","",H288-U288)</f>
        <v/>
      </c>
      <c r="W288" s="29">
        <f>IFERROR(V288/H288,"")</f>
        <v/>
      </c>
      <c r="X288" s="24" t="n"/>
    </row>
    <row r="289" ht="15" customHeight="1">
      <c r="A289" s="63">
        <f>IF(C289="","",IFERROR(IF(SUMPRODUCT(MAX((tbl_Finance[Job Number]=C289&amp;"")*(tbl_Finance[Xero Invoice No]&lt;&gt;"")*tbl_Finance[Date]))=0,"",SUMPRODUCT(MAX((tbl_Finance[Job Number]=C289&amp;"")*(tbl_Finance[Xero Invoice No]&lt;&gt;"")*tbl_Finance[Date]))),""))</f>
        <v/>
      </c>
      <c r="B289" s="25">
        <f>IF(C289="","",IF(COUNTIFS(tbl_Finance[Job Number],C289&amp;"",tbl_Finance[Xero Invoice No],"&lt;&gt;")=0,"",IFERROR(IF(COUNTIFS(tbl_Finance[Job Number],C289&amp;"",tbl_Finance[Xero Invoice No],LOOKUP(2,1/((tbl_Finance[Job Number]=C289&amp;"")*(tbl_Finance[Xero Invoice No]&lt;&gt;"")),tbl_Finance[Xero Invoice No]))=COUNTIFS(tbl_Finance[Job Number],C289&amp;"",tbl_Finance[Xero Invoice No],"&lt;&gt;"),LOOKUP(2,1/((tbl_Finance[Job Number]=C289&amp;"")*(tbl_Finance[Xero Invoice No]&lt;&gt;"")),tbl_Finance[Xero Invoice No]),LOOKUP(2,1/((tbl_Finance[Job Number]=C289&amp;"")*(tbl_Finance[Xero Invoice No]&lt;&gt;"")),tbl_Finance[Xero Invoice No])&amp;" +more"),"")))</f>
        <v/>
      </c>
      <c r="C289" s="24" t="n"/>
      <c r="D289" s="25">
        <f>IF(C289="","",IF(COUNTIF(lst_Jobs,C289&amp;"")&gt;0,"OK","CHECK"))</f>
        <v/>
      </c>
      <c r="E289" s="25">
        <f>IF(C289="","",IFERROR(INDEX(lst_JobName,MATCH(C289&amp;"",lst_Jobs,0)),""))</f>
        <v/>
      </c>
      <c r="F289" s="25">
        <f>IF(C289="","",IFERROR(INDEX(tbl_Finance[Client],MATCH(C289&amp;"",tbl_Finance[Job Number],0)),""))</f>
        <v/>
      </c>
      <c r="G289" s="28">
        <f>IF(C289="","",COUNTIFS(tbl_Finance[Job Number],C289&amp;"",tbl_Finance[Ex GST],"&lt;&gt;"))</f>
        <v/>
      </c>
      <c r="H289" s="27">
        <f>IF(C289="","",SUMIFS(tbl_Finance[Ex GST],tbl_Finance[Job Number],C289&amp;""))</f>
        <v/>
      </c>
      <c r="I289" s="27">
        <f>IF(C289="","",SUMIFS(tbl_Finance[Ex GST],tbl_Finance[Job Number],C289&amp;"",tbl_Finance[Xero Invoice No],"&lt;&gt;"))</f>
        <v/>
      </c>
      <c r="J289" s="27">
        <f>IF(C289="","",H289-I289)</f>
        <v/>
      </c>
      <c r="K289" s="25">
        <f>IF(C289="","",IF(G289=0,"not invoiced yet",SUBSTITUTE(TRIM(IF(COUNTIFS(tbl_Finance[Job Number],C289&amp;"",tbl_Finance[Cost Centre],"ONSITE")&gt;0,"ONSITE ","")&amp;IF(COUNTIFS(tbl_Finance[Job Number],C289&amp;"",tbl_Finance[Cost Centre],"PRODUCTION")&gt;0,"PRODUCTION ","")&amp;IF(COUNTIFS(tbl_Finance[Job Number],C289&amp;"",tbl_Finance[Cost Centre],"VIDEO")&gt;0,"VIDEO ","")&amp;IF(COUNTIFS(tbl_Finance[Job Number],C289&amp;"",tbl_Finance[Cost Centre],"INTEGRATION")&gt;0,"INTEGRATION ","")&amp;IF(COUNTIFS(tbl_Finance[Job Number],C289&amp;"",tbl_Finance[Cost Centre],"CONSULTING")&gt;0,"CONSULTING ","")&amp;IF(COUNTIFS(tbl_Finance[Job Number],C289&amp;"",tbl_Finance[Cost Centre],"CTS")&gt;0,"CTS ",""))," ",", ")))</f>
        <v/>
      </c>
      <c r="L289" s="24" t="n"/>
      <c r="M289" s="25">
        <f>IF(L289="","",HYPERLINK(IF(LEFT(L289,4)="http",L289,set_QwilrBase&amp;L289),"Open quote"))</f>
        <v/>
      </c>
      <c r="N289" s="26" t="n"/>
      <c r="O289" s="26" t="n"/>
      <c r="P289" s="26" t="n"/>
      <c r="Q289" s="25">
        <f>IF(C289="","",IF(N(N289)+N(O289)+N(P289)=0,"Not split",IF(ROUND(N(N289)+N(O289)+N(P289),2)=ROUND(H289,2),"OK","MISMATCH")))</f>
        <v/>
      </c>
      <c r="R289" s="26" t="n"/>
      <c r="S289" s="26" t="n"/>
      <c r="T289" s="26" t="n"/>
      <c r="U289" s="27">
        <f>IF(C289="","",N(R289)+N(S289)+N(T289))</f>
        <v/>
      </c>
      <c r="V289" s="27">
        <f>IF(C289="","",H289-U289)</f>
        <v/>
      </c>
      <c r="W289" s="29">
        <f>IFERROR(V289/H289,"")</f>
        <v/>
      </c>
      <c r="X289" s="24" t="n"/>
    </row>
    <row r="290" ht="15" customHeight="1">
      <c r="A290" s="63">
        <f>IF(C290="","",IFERROR(IF(SUMPRODUCT(MAX((tbl_Finance[Job Number]=C290&amp;"")*(tbl_Finance[Xero Invoice No]&lt;&gt;"")*tbl_Finance[Date]))=0,"",SUMPRODUCT(MAX((tbl_Finance[Job Number]=C290&amp;"")*(tbl_Finance[Xero Invoice No]&lt;&gt;"")*tbl_Finance[Date]))),""))</f>
        <v/>
      </c>
      <c r="B290" s="25">
        <f>IF(C290="","",IF(COUNTIFS(tbl_Finance[Job Number],C290&amp;"",tbl_Finance[Xero Invoice No],"&lt;&gt;")=0,"",IFERROR(IF(COUNTIFS(tbl_Finance[Job Number],C290&amp;"",tbl_Finance[Xero Invoice No],LOOKUP(2,1/((tbl_Finance[Job Number]=C290&amp;"")*(tbl_Finance[Xero Invoice No]&lt;&gt;"")),tbl_Finance[Xero Invoice No]))=COUNTIFS(tbl_Finance[Job Number],C290&amp;"",tbl_Finance[Xero Invoice No],"&lt;&gt;"),LOOKUP(2,1/((tbl_Finance[Job Number]=C290&amp;"")*(tbl_Finance[Xero Invoice No]&lt;&gt;"")),tbl_Finance[Xero Invoice No]),LOOKUP(2,1/((tbl_Finance[Job Number]=C290&amp;"")*(tbl_Finance[Xero Invoice No]&lt;&gt;"")),tbl_Finance[Xero Invoice No])&amp;" +more"),"")))</f>
        <v/>
      </c>
      <c r="C290" s="24" t="n"/>
      <c r="D290" s="25">
        <f>IF(C290="","",IF(COUNTIF(lst_Jobs,C290&amp;"")&gt;0,"OK","CHECK"))</f>
        <v/>
      </c>
      <c r="E290" s="25">
        <f>IF(C290="","",IFERROR(INDEX(lst_JobName,MATCH(C290&amp;"",lst_Jobs,0)),""))</f>
        <v/>
      </c>
      <c r="F290" s="25">
        <f>IF(C290="","",IFERROR(INDEX(tbl_Finance[Client],MATCH(C290&amp;"",tbl_Finance[Job Number],0)),""))</f>
        <v/>
      </c>
      <c r="G290" s="28">
        <f>IF(C290="","",COUNTIFS(tbl_Finance[Job Number],C290&amp;"",tbl_Finance[Ex GST],"&lt;&gt;"))</f>
        <v/>
      </c>
      <c r="H290" s="27">
        <f>IF(C290="","",SUMIFS(tbl_Finance[Ex GST],tbl_Finance[Job Number],C290&amp;""))</f>
        <v/>
      </c>
      <c r="I290" s="27">
        <f>IF(C290="","",SUMIFS(tbl_Finance[Ex GST],tbl_Finance[Job Number],C290&amp;"",tbl_Finance[Xero Invoice No],"&lt;&gt;"))</f>
        <v/>
      </c>
      <c r="J290" s="27">
        <f>IF(C290="","",H290-I290)</f>
        <v/>
      </c>
      <c r="K290" s="25">
        <f>IF(C290="","",IF(G290=0,"not invoiced yet",SUBSTITUTE(TRIM(IF(COUNTIFS(tbl_Finance[Job Number],C290&amp;"",tbl_Finance[Cost Centre],"ONSITE")&gt;0,"ONSITE ","")&amp;IF(COUNTIFS(tbl_Finance[Job Number],C290&amp;"",tbl_Finance[Cost Centre],"PRODUCTION")&gt;0,"PRODUCTION ","")&amp;IF(COUNTIFS(tbl_Finance[Job Number],C290&amp;"",tbl_Finance[Cost Centre],"VIDEO")&gt;0,"VIDEO ","")&amp;IF(COUNTIFS(tbl_Finance[Job Number],C290&amp;"",tbl_Finance[Cost Centre],"INTEGRATION")&gt;0,"INTEGRATION ","")&amp;IF(COUNTIFS(tbl_Finance[Job Number],C290&amp;"",tbl_Finance[Cost Centre],"CONSULTING")&gt;0,"CONSULTING ","")&amp;IF(COUNTIFS(tbl_Finance[Job Number],C290&amp;"",tbl_Finance[Cost Centre],"CTS")&gt;0,"CTS ",""))," ",", ")))</f>
        <v/>
      </c>
      <c r="L290" s="24" t="n"/>
      <c r="M290" s="25">
        <f>IF(L290="","",HYPERLINK(IF(LEFT(L290,4)="http",L290,set_QwilrBase&amp;L290),"Open quote"))</f>
        <v/>
      </c>
      <c r="N290" s="26" t="n"/>
      <c r="O290" s="26" t="n"/>
      <c r="P290" s="26" t="n"/>
      <c r="Q290" s="25">
        <f>IF(C290="","",IF(N(N290)+N(O290)+N(P290)=0,"Not split",IF(ROUND(N(N290)+N(O290)+N(P290),2)=ROUND(H290,2),"OK","MISMATCH")))</f>
        <v/>
      </c>
      <c r="R290" s="26" t="n"/>
      <c r="S290" s="26" t="n"/>
      <c r="T290" s="26" t="n"/>
      <c r="U290" s="27">
        <f>IF(C290="","",N(R290)+N(S290)+N(T290))</f>
        <v/>
      </c>
      <c r="V290" s="27">
        <f>IF(C290="","",H290-U290)</f>
        <v/>
      </c>
      <c r="W290" s="29">
        <f>IFERROR(V290/H290,"")</f>
        <v/>
      </c>
      <c r="X290" s="24" t="n"/>
    </row>
    <row r="291" ht="15" customHeight="1">
      <c r="A291" s="63">
        <f>IF(C291="","",IFERROR(IF(SUMPRODUCT(MAX((tbl_Finance[Job Number]=C291&amp;"")*(tbl_Finance[Xero Invoice No]&lt;&gt;"")*tbl_Finance[Date]))=0,"",SUMPRODUCT(MAX((tbl_Finance[Job Number]=C291&amp;"")*(tbl_Finance[Xero Invoice No]&lt;&gt;"")*tbl_Finance[Date]))),""))</f>
        <v/>
      </c>
      <c r="B291" s="25">
        <f>IF(C291="","",IF(COUNTIFS(tbl_Finance[Job Number],C291&amp;"",tbl_Finance[Xero Invoice No],"&lt;&gt;")=0,"",IFERROR(IF(COUNTIFS(tbl_Finance[Job Number],C291&amp;"",tbl_Finance[Xero Invoice No],LOOKUP(2,1/((tbl_Finance[Job Number]=C291&amp;"")*(tbl_Finance[Xero Invoice No]&lt;&gt;"")),tbl_Finance[Xero Invoice No]))=COUNTIFS(tbl_Finance[Job Number],C291&amp;"",tbl_Finance[Xero Invoice No],"&lt;&gt;"),LOOKUP(2,1/((tbl_Finance[Job Number]=C291&amp;"")*(tbl_Finance[Xero Invoice No]&lt;&gt;"")),tbl_Finance[Xero Invoice No]),LOOKUP(2,1/((tbl_Finance[Job Number]=C291&amp;"")*(tbl_Finance[Xero Invoice No]&lt;&gt;"")),tbl_Finance[Xero Invoice No])&amp;" +more"),"")))</f>
        <v/>
      </c>
      <c r="C291" s="24" t="n"/>
      <c r="D291" s="25">
        <f>IF(C291="","",IF(COUNTIF(lst_Jobs,C291&amp;"")&gt;0,"OK","CHECK"))</f>
        <v/>
      </c>
      <c r="E291" s="25">
        <f>IF(C291="","",IFERROR(INDEX(lst_JobName,MATCH(C291&amp;"",lst_Jobs,0)),""))</f>
        <v/>
      </c>
      <c r="F291" s="25">
        <f>IF(C291="","",IFERROR(INDEX(tbl_Finance[Client],MATCH(C291&amp;"",tbl_Finance[Job Number],0)),""))</f>
        <v/>
      </c>
      <c r="G291" s="28">
        <f>IF(C291="","",COUNTIFS(tbl_Finance[Job Number],C291&amp;"",tbl_Finance[Ex GST],"&lt;&gt;"))</f>
        <v/>
      </c>
      <c r="H291" s="27">
        <f>IF(C291="","",SUMIFS(tbl_Finance[Ex GST],tbl_Finance[Job Number],C291&amp;""))</f>
        <v/>
      </c>
      <c r="I291" s="27">
        <f>IF(C291="","",SUMIFS(tbl_Finance[Ex GST],tbl_Finance[Job Number],C291&amp;"",tbl_Finance[Xero Invoice No],"&lt;&gt;"))</f>
        <v/>
      </c>
      <c r="J291" s="27">
        <f>IF(C291="","",H291-I291)</f>
        <v/>
      </c>
      <c r="K291" s="25">
        <f>IF(C291="","",IF(G291=0,"not invoiced yet",SUBSTITUTE(TRIM(IF(COUNTIFS(tbl_Finance[Job Number],C291&amp;"",tbl_Finance[Cost Centre],"ONSITE")&gt;0,"ONSITE ","")&amp;IF(COUNTIFS(tbl_Finance[Job Number],C291&amp;"",tbl_Finance[Cost Centre],"PRODUCTION")&gt;0,"PRODUCTION ","")&amp;IF(COUNTIFS(tbl_Finance[Job Number],C291&amp;"",tbl_Finance[Cost Centre],"VIDEO")&gt;0,"VIDEO ","")&amp;IF(COUNTIFS(tbl_Finance[Job Number],C291&amp;"",tbl_Finance[Cost Centre],"INTEGRATION")&gt;0,"INTEGRATION ","")&amp;IF(COUNTIFS(tbl_Finance[Job Number],C291&amp;"",tbl_Finance[Cost Centre],"CONSULTING")&gt;0,"CONSULTING ","")&amp;IF(COUNTIFS(tbl_Finance[Job Number],C291&amp;"",tbl_Finance[Cost Centre],"CTS")&gt;0,"CTS ",""))," ",", ")))</f>
        <v/>
      </c>
      <c r="L291" s="24" t="n"/>
      <c r="M291" s="25">
        <f>IF(L291="","",HYPERLINK(IF(LEFT(L291,4)="http",L291,set_QwilrBase&amp;L291),"Open quote"))</f>
        <v/>
      </c>
      <c r="N291" s="26" t="n"/>
      <c r="O291" s="26" t="n"/>
      <c r="P291" s="26" t="n"/>
      <c r="Q291" s="25">
        <f>IF(C291="","",IF(N(N291)+N(O291)+N(P291)=0,"Not split",IF(ROUND(N(N291)+N(O291)+N(P291),2)=ROUND(H291,2),"OK","MISMATCH")))</f>
        <v/>
      </c>
      <c r="R291" s="26" t="n"/>
      <c r="S291" s="26" t="n"/>
      <c r="T291" s="26" t="n"/>
      <c r="U291" s="27">
        <f>IF(C291="","",N(R291)+N(S291)+N(T291))</f>
        <v/>
      </c>
      <c r="V291" s="27">
        <f>IF(C291="","",H291-U291)</f>
        <v/>
      </c>
      <c r="W291" s="29">
        <f>IFERROR(V291/H291,"")</f>
        <v/>
      </c>
      <c r="X291" s="24" t="n"/>
    </row>
    <row r="292" ht="15" customHeight="1">
      <c r="A292" s="63">
        <f>IF(C292="","",IFERROR(IF(SUMPRODUCT(MAX((tbl_Finance[Job Number]=C292&amp;"")*(tbl_Finance[Xero Invoice No]&lt;&gt;"")*tbl_Finance[Date]))=0,"",SUMPRODUCT(MAX((tbl_Finance[Job Number]=C292&amp;"")*(tbl_Finance[Xero Invoice No]&lt;&gt;"")*tbl_Finance[Date]))),""))</f>
        <v/>
      </c>
      <c r="B292" s="25">
        <f>IF(C292="","",IF(COUNTIFS(tbl_Finance[Job Number],C292&amp;"",tbl_Finance[Xero Invoice No],"&lt;&gt;")=0,"",IFERROR(IF(COUNTIFS(tbl_Finance[Job Number],C292&amp;"",tbl_Finance[Xero Invoice No],LOOKUP(2,1/((tbl_Finance[Job Number]=C292&amp;"")*(tbl_Finance[Xero Invoice No]&lt;&gt;"")),tbl_Finance[Xero Invoice No]))=COUNTIFS(tbl_Finance[Job Number],C292&amp;"",tbl_Finance[Xero Invoice No],"&lt;&gt;"),LOOKUP(2,1/((tbl_Finance[Job Number]=C292&amp;"")*(tbl_Finance[Xero Invoice No]&lt;&gt;"")),tbl_Finance[Xero Invoice No]),LOOKUP(2,1/((tbl_Finance[Job Number]=C292&amp;"")*(tbl_Finance[Xero Invoice No]&lt;&gt;"")),tbl_Finance[Xero Invoice No])&amp;" +more"),"")))</f>
        <v/>
      </c>
      <c r="C292" s="24" t="n"/>
      <c r="D292" s="25">
        <f>IF(C292="","",IF(COUNTIF(lst_Jobs,C292&amp;"")&gt;0,"OK","CHECK"))</f>
        <v/>
      </c>
      <c r="E292" s="25">
        <f>IF(C292="","",IFERROR(INDEX(lst_JobName,MATCH(C292&amp;"",lst_Jobs,0)),""))</f>
        <v/>
      </c>
      <c r="F292" s="25">
        <f>IF(C292="","",IFERROR(INDEX(tbl_Finance[Client],MATCH(C292&amp;"",tbl_Finance[Job Number],0)),""))</f>
        <v/>
      </c>
      <c r="G292" s="28">
        <f>IF(C292="","",COUNTIFS(tbl_Finance[Job Number],C292&amp;"",tbl_Finance[Ex GST],"&lt;&gt;"))</f>
        <v/>
      </c>
      <c r="H292" s="27">
        <f>IF(C292="","",SUMIFS(tbl_Finance[Ex GST],tbl_Finance[Job Number],C292&amp;""))</f>
        <v/>
      </c>
      <c r="I292" s="27">
        <f>IF(C292="","",SUMIFS(tbl_Finance[Ex GST],tbl_Finance[Job Number],C292&amp;"",tbl_Finance[Xero Invoice No],"&lt;&gt;"))</f>
        <v/>
      </c>
      <c r="J292" s="27">
        <f>IF(C292="","",H292-I292)</f>
        <v/>
      </c>
      <c r="K292" s="25">
        <f>IF(C292="","",IF(G292=0,"not invoiced yet",SUBSTITUTE(TRIM(IF(COUNTIFS(tbl_Finance[Job Number],C292&amp;"",tbl_Finance[Cost Centre],"ONSITE")&gt;0,"ONSITE ","")&amp;IF(COUNTIFS(tbl_Finance[Job Number],C292&amp;"",tbl_Finance[Cost Centre],"PRODUCTION")&gt;0,"PRODUCTION ","")&amp;IF(COUNTIFS(tbl_Finance[Job Number],C292&amp;"",tbl_Finance[Cost Centre],"VIDEO")&gt;0,"VIDEO ","")&amp;IF(COUNTIFS(tbl_Finance[Job Number],C292&amp;"",tbl_Finance[Cost Centre],"INTEGRATION")&gt;0,"INTEGRATION ","")&amp;IF(COUNTIFS(tbl_Finance[Job Number],C292&amp;"",tbl_Finance[Cost Centre],"CONSULTING")&gt;0,"CONSULTING ","")&amp;IF(COUNTIFS(tbl_Finance[Job Number],C292&amp;"",tbl_Finance[Cost Centre],"CTS")&gt;0,"CTS ",""))," ",", ")))</f>
        <v/>
      </c>
      <c r="L292" s="24" t="n"/>
      <c r="M292" s="25">
        <f>IF(L292="","",HYPERLINK(IF(LEFT(L292,4)="http",L292,set_QwilrBase&amp;L292),"Open quote"))</f>
        <v/>
      </c>
      <c r="N292" s="26" t="n"/>
      <c r="O292" s="26" t="n"/>
      <c r="P292" s="26" t="n"/>
      <c r="Q292" s="25">
        <f>IF(C292="","",IF(N(N292)+N(O292)+N(P292)=0,"Not split",IF(ROUND(N(N292)+N(O292)+N(P292),2)=ROUND(H292,2),"OK","MISMATCH")))</f>
        <v/>
      </c>
      <c r="R292" s="26" t="n"/>
      <c r="S292" s="26" t="n"/>
      <c r="T292" s="26" t="n"/>
      <c r="U292" s="27">
        <f>IF(C292="","",N(R292)+N(S292)+N(T292))</f>
        <v/>
      </c>
      <c r="V292" s="27">
        <f>IF(C292="","",H292-U292)</f>
        <v/>
      </c>
      <c r="W292" s="29">
        <f>IFERROR(V292/H292,"")</f>
        <v/>
      </c>
      <c r="X292" s="24" t="n"/>
    </row>
    <row r="293" ht="15" customHeight="1">
      <c r="A293" s="63">
        <f>IF(C293="","",IFERROR(IF(SUMPRODUCT(MAX((tbl_Finance[Job Number]=C293&amp;"")*(tbl_Finance[Xero Invoice No]&lt;&gt;"")*tbl_Finance[Date]))=0,"",SUMPRODUCT(MAX((tbl_Finance[Job Number]=C293&amp;"")*(tbl_Finance[Xero Invoice No]&lt;&gt;"")*tbl_Finance[Date]))),""))</f>
        <v/>
      </c>
      <c r="B293" s="25">
        <f>IF(C293="","",IF(COUNTIFS(tbl_Finance[Job Number],C293&amp;"",tbl_Finance[Xero Invoice No],"&lt;&gt;")=0,"",IFERROR(IF(COUNTIFS(tbl_Finance[Job Number],C293&amp;"",tbl_Finance[Xero Invoice No],LOOKUP(2,1/((tbl_Finance[Job Number]=C293&amp;"")*(tbl_Finance[Xero Invoice No]&lt;&gt;"")),tbl_Finance[Xero Invoice No]))=COUNTIFS(tbl_Finance[Job Number],C293&amp;"",tbl_Finance[Xero Invoice No],"&lt;&gt;"),LOOKUP(2,1/((tbl_Finance[Job Number]=C293&amp;"")*(tbl_Finance[Xero Invoice No]&lt;&gt;"")),tbl_Finance[Xero Invoice No]),LOOKUP(2,1/((tbl_Finance[Job Number]=C293&amp;"")*(tbl_Finance[Xero Invoice No]&lt;&gt;"")),tbl_Finance[Xero Invoice No])&amp;" +more"),"")))</f>
        <v/>
      </c>
      <c r="C293" s="24" t="n"/>
      <c r="D293" s="25">
        <f>IF(C293="","",IF(COUNTIF(lst_Jobs,C293&amp;"")&gt;0,"OK","CHECK"))</f>
        <v/>
      </c>
      <c r="E293" s="25">
        <f>IF(C293="","",IFERROR(INDEX(lst_JobName,MATCH(C293&amp;"",lst_Jobs,0)),""))</f>
        <v/>
      </c>
      <c r="F293" s="25">
        <f>IF(C293="","",IFERROR(INDEX(tbl_Finance[Client],MATCH(C293&amp;"",tbl_Finance[Job Number],0)),""))</f>
        <v/>
      </c>
      <c r="G293" s="28">
        <f>IF(C293="","",COUNTIFS(tbl_Finance[Job Number],C293&amp;"",tbl_Finance[Ex GST],"&lt;&gt;"))</f>
        <v/>
      </c>
      <c r="H293" s="27">
        <f>IF(C293="","",SUMIFS(tbl_Finance[Ex GST],tbl_Finance[Job Number],C293&amp;""))</f>
        <v/>
      </c>
      <c r="I293" s="27">
        <f>IF(C293="","",SUMIFS(tbl_Finance[Ex GST],tbl_Finance[Job Number],C293&amp;"",tbl_Finance[Xero Invoice No],"&lt;&gt;"))</f>
        <v/>
      </c>
      <c r="J293" s="27">
        <f>IF(C293="","",H293-I293)</f>
        <v/>
      </c>
      <c r="K293" s="25">
        <f>IF(C293="","",IF(G293=0,"not invoiced yet",SUBSTITUTE(TRIM(IF(COUNTIFS(tbl_Finance[Job Number],C293&amp;"",tbl_Finance[Cost Centre],"ONSITE")&gt;0,"ONSITE ","")&amp;IF(COUNTIFS(tbl_Finance[Job Number],C293&amp;"",tbl_Finance[Cost Centre],"PRODUCTION")&gt;0,"PRODUCTION ","")&amp;IF(COUNTIFS(tbl_Finance[Job Number],C293&amp;"",tbl_Finance[Cost Centre],"VIDEO")&gt;0,"VIDEO ","")&amp;IF(COUNTIFS(tbl_Finance[Job Number],C293&amp;"",tbl_Finance[Cost Centre],"INTEGRATION")&gt;0,"INTEGRATION ","")&amp;IF(COUNTIFS(tbl_Finance[Job Number],C293&amp;"",tbl_Finance[Cost Centre],"CONSULTING")&gt;0,"CONSULTING ","")&amp;IF(COUNTIFS(tbl_Finance[Job Number],C293&amp;"",tbl_Finance[Cost Centre],"CTS")&gt;0,"CTS ",""))," ",", ")))</f>
        <v/>
      </c>
      <c r="L293" s="24" t="n"/>
      <c r="M293" s="25">
        <f>IF(L293="","",HYPERLINK(IF(LEFT(L293,4)="http",L293,set_QwilrBase&amp;L293),"Open quote"))</f>
        <v/>
      </c>
      <c r="N293" s="26" t="n"/>
      <c r="O293" s="26" t="n"/>
      <c r="P293" s="26" t="n"/>
      <c r="Q293" s="25">
        <f>IF(C293="","",IF(N(N293)+N(O293)+N(P293)=0,"Not split",IF(ROUND(N(N293)+N(O293)+N(P293),2)=ROUND(H293,2),"OK","MISMATCH")))</f>
        <v/>
      </c>
      <c r="R293" s="26" t="n"/>
      <c r="S293" s="26" t="n"/>
      <c r="T293" s="26" t="n"/>
      <c r="U293" s="27">
        <f>IF(C293="","",N(R293)+N(S293)+N(T293))</f>
        <v/>
      </c>
      <c r="V293" s="27">
        <f>IF(C293="","",H293-U293)</f>
        <v/>
      </c>
      <c r="W293" s="29">
        <f>IFERROR(V293/H293,"")</f>
        <v/>
      </c>
      <c r="X293" s="24" t="n"/>
    </row>
    <row r="294" ht="15" customHeight="1">
      <c r="A294" s="63">
        <f>IF(C294="","",IFERROR(IF(SUMPRODUCT(MAX((tbl_Finance[Job Number]=C294&amp;"")*(tbl_Finance[Xero Invoice No]&lt;&gt;"")*tbl_Finance[Date]))=0,"",SUMPRODUCT(MAX((tbl_Finance[Job Number]=C294&amp;"")*(tbl_Finance[Xero Invoice No]&lt;&gt;"")*tbl_Finance[Date]))),""))</f>
        <v/>
      </c>
      <c r="B294" s="25">
        <f>IF(C294="","",IF(COUNTIFS(tbl_Finance[Job Number],C294&amp;"",tbl_Finance[Xero Invoice No],"&lt;&gt;")=0,"",IFERROR(IF(COUNTIFS(tbl_Finance[Job Number],C294&amp;"",tbl_Finance[Xero Invoice No],LOOKUP(2,1/((tbl_Finance[Job Number]=C294&amp;"")*(tbl_Finance[Xero Invoice No]&lt;&gt;"")),tbl_Finance[Xero Invoice No]))=COUNTIFS(tbl_Finance[Job Number],C294&amp;"",tbl_Finance[Xero Invoice No],"&lt;&gt;"),LOOKUP(2,1/((tbl_Finance[Job Number]=C294&amp;"")*(tbl_Finance[Xero Invoice No]&lt;&gt;"")),tbl_Finance[Xero Invoice No]),LOOKUP(2,1/((tbl_Finance[Job Number]=C294&amp;"")*(tbl_Finance[Xero Invoice No]&lt;&gt;"")),tbl_Finance[Xero Invoice No])&amp;" +more"),"")))</f>
        <v/>
      </c>
      <c r="C294" s="24" t="n"/>
      <c r="D294" s="25">
        <f>IF(C294="","",IF(COUNTIF(lst_Jobs,C294&amp;"")&gt;0,"OK","CHECK"))</f>
        <v/>
      </c>
      <c r="E294" s="25">
        <f>IF(C294="","",IFERROR(INDEX(lst_JobName,MATCH(C294&amp;"",lst_Jobs,0)),""))</f>
        <v/>
      </c>
      <c r="F294" s="25">
        <f>IF(C294="","",IFERROR(INDEX(tbl_Finance[Client],MATCH(C294&amp;"",tbl_Finance[Job Number],0)),""))</f>
        <v/>
      </c>
      <c r="G294" s="28">
        <f>IF(C294="","",COUNTIFS(tbl_Finance[Job Number],C294&amp;"",tbl_Finance[Ex GST],"&lt;&gt;"))</f>
        <v/>
      </c>
      <c r="H294" s="27">
        <f>IF(C294="","",SUMIFS(tbl_Finance[Ex GST],tbl_Finance[Job Number],C294&amp;""))</f>
        <v/>
      </c>
      <c r="I294" s="27">
        <f>IF(C294="","",SUMIFS(tbl_Finance[Ex GST],tbl_Finance[Job Number],C294&amp;"",tbl_Finance[Xero Invoice No],"&lt;&gt;"))</f>
        <v/>
      </c>
      <c r="J294" s="27">
        <f>IF(C294="","",H294-I294)</f>
        <v/>
      </c>
      <c r="K294" s="25">
        <f>IF(C294="","",IF(G294=0,"not invoiced yet",SUBSTITUTE(TRIM(IF(COUNTIFS(tbl_Finance[Job Number],C294&amp;"",tbl_Finance[Cost Centre],"ONSITE")&gt;0,"ONSITE ","")&amp;IF(COUNTIFS(tbl_Finance[Job Number],C294&amp;"",tbl_Finance[Cost Centre],"PRODUCTION")&gt;0,"PRODUCTION ","")&amp;IF(COUNTIFS(tbl_Finance[Job Number],C294&amp;"",tbl_Finance[Cost Centre],"VIDEO")&gt;0,"VIDEO ","")&amp;IF(COUNTIFS(tbl_Finance[Job Number],C294&amp;"",tbl_Finance[Cost Centre],"INTEGRATION")&gt;0,"INTEGRATION ","")&amp;IF(COUNTIFS(tbl_Finance[Job Number],C294&amp;"",tbl_Finance[Cost Centre],"CONSULTING")&gt;0,"CONSULTING ","")&amp;IF(COUNTIFS(tbl_Finance[Job Number],C294&amp;"",tbl_Finance[Cost Centre],"CTS")&gt;0,"CTS ",""))," ",", ")))</f>
        <v/>
      </c>
      <c r="L294" s="24" t="n"/>
      <c r="M294" s="25">
        <f>IF(L294="","",HYPERLINK(IF(LEFT(L294,4)="http",L294,set_QwilrBase&amp;L294),"Open quote"))</f>
        <v/>
      </c>
      <c r="N294" s="26" t="n"/>
      <c r="O294" s="26" t="n"/>
      <c r="P294" s="26" t="n"/>
      <c r="Q294" s="25">
        <f>IF(C294="","",IF(N(N294)+N(O294)+N(P294)=0,"Not split",IF(ROUND(N(N294)+N(O294)+N(P294),2)=ROUND(H294,2),"OK","MISMATCH")))</f>
        <v/>
      </c>
      <c r="R294" s="26" t="n"/>
      <c r="S294" s="26" t="n"/>
      <c r="T294" s="26" t="n"/>
      <c r="U294" s="27">
        <f>IF(C294="","",N(R294)+N(S294)+N(T294))</f>
        <v/>
      </c>
      <c r="V294" s="27">
        <f>IF(C294="","",H294-U294)</f>
        <v/>
      </c>
      <c r="W294" s="29">
        <f>IFERROR(V294/H294,"")</f>
        <v/>
      </c>
      <c r="X294" s="24" t="n"/>
    </row>
    <row r="295" ht="15" customHeight="1">
      <c r="A295" s="63">
        <f>IF(C295="","",IFERROR(IF(SUMPRODUCT(MAX((tbl_Finance[Job Number]=C295&amp;"")*(tbl_Finance[Xero Invoice No]&lt;&gt;"")*tbl_Finance[Date]))=0,"",SUMPRODUCT(MAX((tbl_Finance[Job Number]=C295&amp;"")*(tbl_Finance[Xero Invoice No]&lt;&gt;"")*tbl_Finance[Date]))),""))</f>
        <v/>
      </c>
      <c r="B295" s="25">
        <f>IF(C295="","",IF(COUNTIFS(tbl_Finance[Job Number],C295&amp;"",tbl_Finance[Xero Invoice No],"&lt;&gt;")=0,"",IFERROR(IF(COUNTIFS(tbl_Finance[Job Number],C295&amp;"",tbl_Finance[Xero Invoice No],LOOKUP(2,1/((tbl_Finance[Job Number]=C295&amp;"")*(tbl_Finance[Xero Invoice No]&lt;&gt;"")),tbl_Finance[Xero Invoice No]))=COUNTIFS(tbl_Finance[Job Number],C295&amp;"",tbl_Finance[Xero Invoice No],"&lt;&gt;"),LOOKUP(2,1/((tbl_Finance[Job Number]=C295&amp;"")*(tbl_Finance[Xero Invoice No]&lt;&gt;"")),tbl_Finance[Xero Invoice No]),LOOKUP(2,1/((tbl_Finance[Job Number]=C295&amp;"")*(tbl_Finance[Xero Invoice No]&lt;&gt;"")),tbl_Finance[Xero Invoice No])&amp;" +more"),"")))</f>
        <v/>
      </c>
      <c r="C295" s="24" t="n"/>
      <c r="D295" s="25">
        <f>IF(C295="","",IF(COUNTIF(lst_Jobs,C295&amp;"")&gt;0,"OK","CHECK"))</f>
        <v/>
      </c>
      <c r="E295" s="25">
        <f>IF(C295="","",IFERROR(INDEX(lst_JobName,MATCH(C295&amp;"",lst_Jobs,0)),""))</f>
        <v/>
      </c>
      <c r="F295" s="25">
        <f>IF(C295="","",IFERROR(INDEX(tbl_Finance[Client],MATCH(C295&amp;"",tbl_Finance[Job Number],0)),""))</f>
        <v/>
      </c>
      <c r="G295" s="28">
        <f>IF(C295="","",COUNTIFS(tbl_Finance[Job Number],C295&amp;"",tbl_Finance[Ex GST],"&lt;&gt;"))</f>
        <v/>
      </c>
      <c r="H295" s="27">
        <f>IF(C295="","",SUMIFS(tbl_Finance[Ex GST],tbl_Finance[Job Number],C295&amp;""))</f>
        <v/>
      </c>
      <c r="I295" s="27">
        <f>IF(C295="","",SUMIFS(tbl_Finance[Ex GST],tbl_Finance[Job Number],C295&amp;"",tbl_Finance[Xero Invoice No],"&lt;&gt;"))</f>
        <v/>
      </c>
      <c r="J295" s="27">
        <f>IF(C295="","",H295-I295)</f>
        <v/>
      </c>
      <c r="K295" s="25">
        <f>IF(C295="","",IF(G295=0,"not invoiced yet",SUBSTITUTE(TRIM(IF(COUNTIFS(tbl_Finance[Job Number],C295&amp;"",tbl_Finance[Cost Centre],"ONSITE")&gt;0,"ONSITE ","")&amp;IF(COUNTIFS(tbl_Finance[Job Number],C295&amp;"",tbl_Finance[Cost Centre],"PRODUCTION")&gt;0,"PRODUCTION ","")&amp;IF(COUNTIFS(tbl_Finance[Job Number],C295&amp;"",tbl_Finance[Cost Centre],"VIDEO")&gt;0,"VIDEO ","")&amp;IF(COUNTIFS(tbl_Finance[Job Number],C295&amp;"",tbl_Finance[Cost Centre],"INTEGRATION")&gt;0,"INTEGRATION ","")&amp;IF(COUNTIFS(tbl_Finance[Job Number],C295&amp;"",tbl_Finance[Cost Centre],"CONSULTING")&gt;0,"CONSULTING ","")&amp;IF(COUNTIFS(tbl_Finance[Job Number],C295&amp;"",tbl_Finance[Cost Centre],"CTS")&gt;0,"CTS ",""))," ",", ")))</f>
        <v/>
      </c>
      <c r="L295" s="24" t="n"/>
      <c r="M295" s="25">
        <f>IF(L295="","",HYPERLINK(IF(LEFT(L295,4)="http",L295,set_QwilrBase&amp;L295),"Open quote"))</f>
        <v/>
      </c>
      <c r="N295" s="26" t="n"/>
      <c r="O295" s="26" t="n"/>
      <c r="P295" s="26" t="n"/>
      <c r="Q295" s="25">
        <f>IF(C295="","",IF(N(N295)+N(O295)+N(P295)=0,"Not split",IF(ROUND(N(N295)+N(O295)+N(P295),2)=ROUND(H295,2),"OK","MISMATCH")))</f>
        <v/>
      </c>
      <c r="R295" s="26" t="n"/>
      <c r="S295" s="26" t="n"/>
      <c r="T295" s="26" t="n"/>
      <c r="U295" s="27">
        <f>IF(C295="","",N(R295)+N(S295)+N(T295))</f>
        <v/>
      </c>
      <c r="V295" s="27">
        <f>IF(C295="","",H295-U295)</f>
        <v/>
      </c>
      <c r="W295" s="29">
        <f>IFERROR(V295/H295,"")</f>
        <v/>
      </c>
      <c r="X295" s="24" t="n"/>
    </row>
    <row r="296" ht="15" customHeight="1">
      <c r="A296" s="63">
        <f>IF(C296="","",IFERROR(IF(SUMPRODUCT(MAX((tbl_Finance[Job Number]=C296&amp;"")*(tbl_Finance[Xero Invoice No]&lt;&gt;"")*tbl_Finance[Date]))=0,"",SUMPRODUCT(MAX((tbl_Finance[Job Number]=C296&amp;"")*(tbl_Finance[Xero Invoice No]&lt;&gt;"")*tbl_Finance[Date]))),""))</f>
        <v/>
      </c>
      <c r="B296" s="25">
        <f>IF(C296="","",IF(COUNTIFS(tbl_Finance[Job Number],C296&amp;"",tbl_Finance[Xero Invoice No],"&lt;&gt;")=0,"",IFERROR(IF(COUNTIFS(tbl_Finance[Job Number],C296&amp;"",tbl_Finance[Xero Invoice No],LOOKUP(2,1/((tbl_Finance[Job Number]=C296&amp;"")*(tbl_Finance[Xero Invoice No]&lt;&gt;"")),tbl_Finance[Xero Invoice No]))=COUNTIFS(tbl_Finance[Job Number],C296&amp;"",tbl_Finance[Xero Invoice No],"&lt;&gt;"),LOOKUP(2,1/((tbl_Finance[Job Number]=C296&amp;"")*(tbl_Finance[Xero Invoice No]&lt;&gt;"")),tbl_Finance[Xero Invoice No]),LOOKUP(2,1/((tbl_Finance[Job Number]=C296&amp;"")*(tbl_Finance[Xero Invoice No]&lt;&gt;"")),tbl_Finance[Xero Invoice No])&amp;" +more"),"")))</f>
        <v/>
      </c>
      <c r="C296" s="24" t="n"/>
      <c r="D296" s="25">
        <f>IF(C296="","",IF(COUNTIF(lst_Jobs,C296&amp;"")&gt;0,"OK","CHECK"))</f>
        <v/>
      </c>
      <c r="E296" s="25">
        <f>IF(C296="","",IFERROR(INDEX(lst_JobName,MATCH(C296&amp;"",lst_Jobs,0)),""))</f>
        <v/>
      </c>
      <c r="F296" s="25">
        <f>IF(C296="","",IFERROR(INDEX(tbl_Finance[Client],MATCH(C296&amp;"",tbl_Finance[Job Number],0)),""))</f>
        <v/>
      </c>
      <c r="G296" s="28">
        <f>IF(C296="","",COUNTIFS(tbl_Finance[Job Number],C296&amp;"",tbl_Finance[Ex GST],"&lt;&gt;"))</f>
        <v/>
      </c>
      <c r="H296" s="27">
        <f>IF(C296="","",SUMIFS(tbl_Finance[Ex GST],tbl_Finance[Job Number],C296&amp;""))</f>
        <v/>
      </c>
      <c r="I296" s="27">
        <f>IF(C296="","",SUMIFS(tbl_Finance[Ex GST],tbl_Finance[Job Number],C296&amp;"",tbl_Finance[Xero Invoice No],"&lt;&gt;"))</f>
        <v/>
      </c>
      <c r="J296" s="27">
        <f>IF(C296="","",H296-I296)</f>
        <v/>
      </c>
      <c r="K296" s="25">
        <f>IF(C296="","",IF(G296=0,"not invoiced yet",SUBSTITUTE(TRIM(IF(COUNTIFS(tbl_Finance[Job Number],C296&amp;"",tbl_Finance[Cost Centre],"ONSITE")&gt;0,"ONSITE ","")&amp;IF(COUNTIFS(tbl_Finance[Job Number],C296&amp;"",tbl_Finance[Cost Centre],"PRODUCTION")&gt;0,"PRODUCTION ","")&amp;IF(COUNTIFS(tbl_Finance[Job Number],C296&amp;"",tbl_Finance[Cost Centre],"VIDEO")&gt;0,"VIDEO ","")&amp;IF(COUNTIFS(tbl_Finance[Job Number],C296&amp;"",tbl_Finance[Cost Centre],"INTEGRATION")&gt;0,"INTEGRATION ","")&amp;IF(COUNTIFS(tbl_Finance[Job Number],C296&amp;"",tbl_Finance[Cost Centre],"CONSULTING")&gt;0,"CONSULTING ","")&amp;IF(COUNTIFS(tbl_Finance[Job Number],C296&amp;"",tbl_Finance[Cost Centre],"CTS")&gt;0,"CTS ",""))," ",", ")))</f>
        <v/>
      </c>
      <c r="L296" s="24" t="n"/>
      <c r="M296" s="25">
        <f>IF(L296="","",HYPERLINK(IF(LEFT(L296,4)="http",L296,set_QwilrBase&amp;L296),"Open quote"))</f>
        <v/>
      </c>
      <c r="N296" s="26" t="n"/>
      <c r="O296" s="26" t="n"/>
      <c r="P296" s="26" t="n"/>
      <c r="Q296" s="25">
        <f>IF(C296="","",IF(N(N296)+N(O296)+N(P296)=0,"Not split",IF(ROUND(N(N296)+N(O296)+N(P296),2)=ROUND(H296,2),"OK","MISMATCH")))</f>
        <v/>
      </c>
      <c r="R296" s="26" t="n"/>
      <c r="S296" s="26" t="n"/>
      <c r="T296" s="26" t="n"/>
      <c r="U296" s="27">
        <f>IF(C296="","",N(R296)+N(S296)+N(T296))</f>
        <v/>
      </c>
      <c r="V296" s="27">
        <f>IF(C296="","",H296-U296)</f>
        <v/>
      </c>
      <c r="W296" s="29">
        <f>IFERROR(V296/H296,"")</f>
        <v/>
      </c>
      <c r="X296" s="24" t="n"/>
    </row>
    <row r="297" ht="15" customHeight="1">
      <c r="A297" s="63">
        <f>IF(C297="","",IFERROR(IF(SUMPRODUCT(MAX((tbl_Finance[Job Number]=C297&amp;"")*(tbl_Finance[Xero Invoice No]&lt;&gt;"")*tbl_Finance[Date]))=0,"",SUMPRODUCT(MAX((tbl_Finance[Job Number]=C297&amp;"")*(tbl_Finance[Xero Invoice No]&lt;&gt;"")*tbl_Finance[Date]))),""))</f>
        <v/>
      </c>
      <c r="B297" s="25">
        <f>IF(C297="","",IF(COUNTIFS(tbl_Finance[Job Number],C297&amp;"",tbl_Finance[Xero Invoice No],"&lt;&gt;")=0,"",IFERROR(IF(COUNTIFS(tbl_Finance[Job Number],C297&amp;"",tbl_Finance[Xero Invoice No],LOOKUP(2,1/((tbl_Finance[Job Number]=C297&amp;"")*(tbl_Finance[Xero Invoice No]&lt;&gt;"")),tbl_Finance[Xero Invoice No]))=COUNTIFS(tbl_Finance[Job Number],C297&amp;"",tbl_Finance[Xero Invoice No],"&lt;&gt;"),LOOKUP(2,1/((tbl_Finance[Job Number]=C297&amp;"")*(tbl_Finance[Xero Invoice No]&lt;&gt;"")),tbl_Finance[Xero Invoice No]),LOOKUP(2,1/((tbl_Finance[Job Number]=C297&amp;"")*(tbl_Finance[Xero Invoice No]&lt;&gt;"")),tbl_Finance[Xero Invoice No])&amp;" +more"),"")))</f>
        <v/>
      </c>
      <c r="C297" s="24" t="n"/>
      <c r="D297" s="25">
        <f>IF(C297="","",IF(COUNTIF(lst_Jobs,C297&amp;"")&gt;0,"OK","CHECK"))</f>
        <v/>
      </c>
      <c r="E297" s="25">
        <f>IF(C297="","",IFERROR(INDEX(lst_JobName,MATCH(C297&amp;"",lst_Jobs,0)),""))</f>
        <v/>
      </c>
      <c r="F297" s="25">
        <f>IF(C297="","",IFERROR(INDEX(tbl_Finance[Client],MATCH(C297&amp;"",tbl_Finance[Job Number],0)),""))</f>
        <v/>
      </c>
      <c r="G297" s="28">
        <f>IF(C297="","",COUNTIFS(tbl_Finance[Job Number],C297&amp;"",tbl_Finance[Ex GST],"&lt;&gt;"))</f>
        <v/>
      </c>
      <c r="H297" s="27">
        <f>IF(C297="","",SUMIFS(tbl_Finance[Ex GST],tbl_Finance[Job Number],C297&amp;""))</f>
        <v/>
      </c>
      <c r="I297" s="27">
        <f>IF(C297="","",SUMIFS(tbl_Finance[Ex GST],tbl_Finance[Job Number],C297&amp;"",tbl_Finance[Xero Invoice No],"&lt;&gt;"))</f>
        <v/>
      </c>
      <c r="J297" s="27">
        <f>IF(C297="","",H297-I297)</f>
        <v/>
      </c>
      <c r="K297" s="25">
        <f>IF(C297="","",IF(G297=0,"not invoiced yet",SUBSTITUTE(TRIM(IF(COUNTIFS(tbl_Finance[Job Number],C297&amp;"",tbl_Finance[Cost Centre],"ONSITE")&gt;0,"ONSITE ","")&amp;IF(COUNTIFS(tbl_Finance[Job Number],C297&amp;"",tbl_Finance[Cost Centre],"PRODUCTION")&gt;0,"PRODUCTION ","")&amp;IF(COUNTIFS(tbl_Finance[Job Number],C297&amp;"",tbl_Finance[Cost Centre],"VIDEO")&gt;0,"VIDEO ","")&amp;IF(COUNTIFS(tbl_Finance[Job Number],C297&amp;"",tbl_Finance[Cost Centre],"INTEGRATION")&gt;0,"INTEGRATION ","")&amp;IF(COUNTIFS(tbl_Finance[Job Number],C297&amp;"",tbl_Finance[Cost Centre],"CONSULTING")&gt;0,"CONSULTING ","")&amp;IF(COUNTIFS(tbl_Finance[Job Number],C297&amp;"",tbl_Finance[Cost Centre],"CTS")&gt;0,"CTS ",""))," ",", ")))</f>
        <v/>
      </c>
      <c r="L297" s="24" t="n"/>
      <c r="M297" s="25">
        <f>IF(L297="","",HYPERLINK(IF(LEFT(L297,4)="http",L297,set_QwilrBase&amp;L297),"Open quote"))</f>
        <v/>
      </c>
      <c r="N297" s="26" t="n"/>
      <c r="O297" s="26" t="n"/>
      <c r="P297" s="26" t="n"/>
      <c r="Q297" s="25">
        <f>IF(C297="","",IF(N(N297)+N(O297)+N(P297)=0,"Not split",IF(ROUND(N(N297)+N(O297)+N(P297),2)=ROUND(H297,2),"OK","MISMATCH")))</f>
        <v/>
      </c>
      <c r="R297" s="26" t="n"/>
      <c r="S297" s="26" t="n"/>
      <c r="T297" s="26" t="n"/>
      <c r="U297" s="27">
        <f>IF(C297="","",N(R297)+N(S297)+N(T297))</f>
        <v/>
      </c>
      <c r="V297" s="27">
        <f>IF(C297="","",H297-U297)</f>
        <v/>
      </c>
      <c r="W297" s="29">
        <f>IFERROR(V297/H297,"")</f>
        <v/>
      </c>
      <c r="X297" s="24" t="n"/>
    </row>
    <row r="298" ht="15" customHeight="1">
      <c r="A298" s="63">
        <f>IF(C298="","",IFERROR(IF(SUMPRODUCT(MAX((tbl_Finance[Job Number]=C298&amp;"")*(tbl_Finance[Xero Invoice No]&lt;&gt;"")*tbl_Finance[Date]))=0,"",SUMPRODUCT(MAX((tbl_Finance[Job Number]=C298&amp;"")*(tbl_Finance[Xero Invoice No]&lt;&gt;"")*tbl_Finance[Date]))),""))</f>
        <v/>
      </c>
      <c r="B298" s="25">
        <f>IF(C298="","",IF(COUNTIFS(tbl_Finance[Job Number],C298&amp;"",tbl_Finance[Xero Invoice No],"&lt;&gt;")=0,"",IFERROR(IF(COUNTIFS(tbl_Finance[Job Number],C298&amp;"",tbl_Finance[Xero Invoice No],LOOKUP(2,1/((tbl_Finance[Job Number]=C298&amp;"")*(tbl_Finance[Xero Invoice No]&lt;&gt;"")),tbl_Finance[Xero Invoice No]))=COUNTIFS(tbl_Finance[Job Number],C298&amp;"",tbl_Finance[Xero Invoice No],"&lt;&gt;"),LOOKUP(2,1/((tbl_Finance[Job Number]=C298&amp;"")*(tbl_Finance[Xero Invoice No]&lt;&gt;"")),tbl_Finance[Xero Invoice No]),LOOKUP(2,1/((tbl_Finance[Job Number]=C298&amp;"")*(tbl_Finance[Xero Invoice No]&lt;&gt;"")),tbl_Finance[Xero Invoice No])&amp;" +more"),"")))</f>
        <v/>
      </c>
      <c r="C298" s="24" t="n"/>
      <c r="D298" s="25">
        <f>IF(C298="","",IF(COUNTIF(lst_Jobs,C298&amp;"")&gt;0,"OK","CHECK"))</f>
        <v/>
      </c>
      <c r="E298" s="25">
        <f>IF(C298="","",IFERROR(INDEX(lst_JobName,MATCH(C298&amp;"",lst_Jobs,0)),""))</f>
        <v/>
      </c>
      <c r="F298" s="25">
        <f>IF(C298="","",IFERROR(INDEX(tbl_Finance[Client],MATCH(C298&amp;"",tbl_Finance[Job Number],0)),""))</f>
        <v/>
      </c>
      <c r="G298" s="28">
        <f>IF(C298="","",COUNTIFS(tbl_Finance[Job Number],C298&amp;"",tbl_Finance[Ex GST],"&lt;&gt;"))</f>
        <v/>
      </c>
      <c r="H298" s="27">
        <f>IF(C298="","",SUMIFS(tbl_Finance[Ex GST],tbl_Finance[Job Number],C298&amp;""))</f>
        <v/>
      </c>
      <c r="I298" s="27">
        <f>IF(C298="","",SUMIFS(tbl_Finance[Ex GST],tbl_Finance[Job Number],C298&amp;"",tbl_Finance[Xero Invoice No],"&lt;&gt;"))</f>
        <v/>
      </c>
      <c r="J298" s="27">
        <f>IF(C298="","",H298-I298)</f>
        <v/>
      </c>
      <c r="K298" s="25">
        <f>IF(C298="","",IF(G298=0,"not invoiced yet",SUBSTITUTE(TRIM(IF(COUNTIFS(tbl_Finance[Job Number],C298&amp;"",tbl_Finance[Cost Centre],"ONSITE")&gt;0,"ONSITE ","")&amp;IF(COUNTIFS(tbl_Finance[Job Number],C298&amp;"",tbl_Finance[Cost Centre],"PRODUCTION")&gt;0,"PRODUCTION ","")&amp;IF(COUNTIFS(tbl_Finance[Job Number],C298&amp;"",tbl_Finance[Cost Centre],"VIDEO")&gt;0,"VIDEO ","")&amp;IF(COUNTIFS(tbl_Finance[Job Number],C298&amp;"",tbl_Finance[Cost Centre],"INTEGRATION")&gt;0,"INTEGRATION ","")&amp;IF(COUNTIFS(tbl_Finance[Job Number],C298&amp;"",tbl_Finance[Cost Centre],"CONSULTING")&gt;0,"CONSULTING ","")&amp;IF(COUNTIFS(tbl_Finance[Job Number],C298&amp;"",tbl_Finance[Cost Centre],"CTS")&gt;0,"CTS ",""))," ",", ")))</f>
        <v/>
      </c>
      <c r="L298" s="24" t="n"/>
      <c r="M298" s="25">
        <f>IF(L298="","",HYPERLINK(IF(LEFT(L298,4)="http",L298,set_QwilrBase&amp;L298),"Open quote"))</f>
        <v/>
      </c>
      <c r="N298" s="26" t="n"/>
      <c r="O298" s="26" t="n"/>
      <c r="P298" s="26" t="n"/>
      <c r="Q298" s="25">
        <f>IF(C298="","",IF(N(N298)+N(O298)+N(P298)=0,"Not split",IF(ROUND(N(N298)+N(O298)+N(P298),2)=ROUND(H298,2),"OK","MISMATCH")))</f>
        <v/>
      </c>
      <c r="R298" s="26" t="n"/>
      <c r="S298" s="26" t="n"/>
      <c r="T298" s="26" t="n"/>
      <c r="U298" s="27">
        <f>IF(C298="","",N(R298)+N(S298)+N(T298))</f>
        <v/>
      </c>
      <c r="V298" s="27">
        <f>IF(C298="","",H298-U298)</f>
        <v/>
      </c>
      <c r="W298" s="29">
        <f>IFERROR(V298/H298,"")</f>
        <v/>
      </c>
      <c r="X298" s="24" t="n"/>
    </row>
    <row r="299" ht="15" customHeight="1">
      <c r="A299" s="63">
        <f>IF(C299="","",IFERROR(IF(SUMPRODUCT(MAX((tbl_Finance[Job Number]=C299&amp;"")*(tbl_Finance[Xero Invoice No]&lt;&gt;"")*tbl_Finance[Date]))=0,"",SUMPRODUCT(MAX((tbl_Finance[Job Number]=C299&amp;"")*(tbl_Finance[Xero Invoice No]&lt;&gt;"")*tbl_Finance[Date]))),""))</f>
        <v/>
      </c>
      <c r="B299" s="25">
        <f>IF(C299="","",IF(COUNTIFS(tbl_Finance[Job Number],C299&amp;"",tbl_Finance[Xero Invoice No],"&lt;&gt;")=0,"",IFERROR(IF(COUNTIFS(tbl_Finance[Job Number],C299&amp;"",tbl_Finance[Xero Invoice No],LOOKUP(2,1/((tbl_Finance[Job Number]=C299&amp;"")*(tbl_Finance[Xero Invoice No]&lt;&gt;"")),tbl_Finance[Xero Invoice No]))=COUNTIFS(tbl_Finance[Job Number],C299&amp;"",tbl_Finance[Xero Invoice No],"&lt;&gt;"),LOOKUP(2,1/((tbl_Finance[Job Number]=C299&amp;"")*(tbl_Finance[Xero Invoice No]&lt;&gt;"")),tbl_Finance[Xero Invoice No]),LOOKUP(2,1/((tbl_Finance[Job Number]=C299&amp;"")*(tbl_Finance[Xero Invoice No]&lt;&gt;"")),tbl_Finance[Xero Invoice No])&amp;" +more"),"")))</f>
        <v/>
      </c>
      <c r="C299" s="24" t="n"/>
      <c r="D299" s="25">
        <f>IF(C299="","",IF(COUNTIF(lst_Jobs,C299&amp;"")&gt;0,"OK","CHECK"))</f>
        <v/>
      </c>
      <c r="E299" s="25">
        <f>IF(C299="","",IFERROR(INDEX(lst_JobName,MATCH(C299&amp;"",lst_Jobs,0)),""))</f>
        <v/>
      </c>
      <c r="F299" s="25">
        <f>IF(C299="","",IFERROR(INDEX(tbl_Finance[Client],MATCH(C299&amp;"",tbl_Finance[Job Number],0)),""))</f>
        <v/>
      </c>
      <c r="G299" s="28">
        <f>IF(C299="","",COUNTIFS(tbl_Finance[Job Number],C299&amp;"",tbl_Finance[Ex GST],"&lt;&gt;"))</f>
        <v/>
      </c>
      <c r="H299" s="27">
        <f>IF(C299="","",SUMIFS(tbl_Finance[Ex GST],tbl_Finance[Job Number],C299&amp;""))</f>
        <v/>
      </c>
      <c r="I299" s="27">
        <f>IF(C299="","",SUMIFS(tbl_Finance[Ex GST],tbl_Finance[Job Number],C299&amp;"",tbl_Finance[Xero Invoice No],"&lt;&gt;"))</f>
        <v/>
      </c>
      <c r="J299" s="27">
        <f>IF(C299="","",H299-I299)</f>
        <v/>
      </c>
      <c r="K299" s="25">
        <f>IF(C299="","",IF(G299=0,"not invoiced yet",SUBSTITUTE(TRIM(IF(COUNTIFS(tbl_Finance[Job Number],C299&amp;"",tbl_Finance[Cost Centre],"ONSITE")&gt;0,"ONSITE ","")&amp;IF(COUNTIFS(tbl_Finance[Job Number],C299&amp;"",tbl_Finance[Cost Centre],"PRODUCTION")&gt;0,"PRODUCTION ","")&amp;IF(COUNTIFS(tbl_Finance[Job Number],C299&amp;"",tbl_Finance[Cost Centre],"VIDEO")&gt;0,"VIDEO ","")&amp;IF(COUNTIFS(tbl_Finance[Job Number],C299&amp;"",tbl_Finance[Cost Centre],"INTEGRATION")&gt;0,"INTEGRATION ","")&amp;IF(COUNTIFS(tbl_Finance[Job Number],C299&amp;"",tbl_Finance[Cost Centre],"CONSULTING")&gt;0,"CONSULTING ","")&amp;IF(COUNTIFS(tbl_Finance[Job Number],C299&amp;"",tbl_Finance[Cost Centre],"CTS")&gt;0,"CTS ",""))," ",", ")))</f>
        <v/>
      </c>
      <c r="L299" s="24" t="n"/>
      <c r="M299" s="25">
        <f>IF(L299="","",HYPERLINK(IF(LEFT(L299,4)="http",L299,set_QwilrBase&amp;L299),"Open quote"))</f>
        <v/>
      </c>
      <c r="N299" s="26" t="n"/>
      <c r="O299" s="26" t="n"/>
      <c r="P299" s="26" t="n"/>
      <c r="Q299" s="25">
        <f>IF(C299="","",IF(N(N299)+N(O299)+N(P299)=0,"Not split",IF(ROUND(N(N299)+N(O299)+N(P299),2)=ROUND(H299,2),"OK","MISMATCH")))</f>
        <v/>
      </c>
      <c r="R299" s="26" t="n"/>
      <c r="S299" s="26" t="n"/>
      <c r="T299" s="26" t="n"/>
      <c r="U299" s="27">
        <f>IF(C299="","",N(R299)+N(S299)+N(T299))</f>
        <v/>
      </c>
      <c r="V299" s="27">
        <f>IF(C299="","",H299-U299)</f>
        <v/>
      </c>
      <c r="W299" s="29">
        <f>IFERROR(V299/H299,"")</f>
        <v/>
      </c>
      <c r="X299" s="24" t="n"/>
    </row>
    <row r="300" ht="15" customHeight="1">
      <c r="A300" s="63">
        <f>IF(C300="","",IFERROR(IF(SUMPRODUCT(MAX((tbl_Finance[Job Number]=C300&amp;"")*(tbl_Finance[Xero Invoice No]&lt;&gt;"")*tbl_Finance[Date]))=0,"",SUMPRODUCT(MAX((tbl_Finance[Job Number]=C300&amp;"")*(tbl_Finance[Xero Invoice No]&lt;&gt;"")*tbl_Finance[Date]))),""))</f>
        <v/>
      </c>
      <c r="B300" s="25">
        <f>IF(C300="","",IF(COUNTIFS(tbl_Finance[Job Number],C300&amp;"",tbl_Finance[Xero Invoice No],"&lt;&gt;")=0,"",IFERROR(IF(COUNTIFS(tbl_Finance[Job Number],C300&amp;"",tbl_Finance[Xero Invoice No],LOOKUP(2,1/((tbl_Finance[Job Number]=C300&amp;"")*(tbl_Finance[Xero Invoice No]&lt;&gt;"")),tbl_Finance[Xero Invoice No]))=COUNTIFS(tbl_Finance[Job Number],C300&amp;"",tbl_Finance[Xero Invoice No],"&lt;&gt;"),LOOKUP(2,1/((tbl_Finance[Job Number]=C300&amp;"")*(tbl_Finance[Xero Invoice No]&lt;&gt;"")),tbl_Finance[Xero Invoice No]),LOOKUP(2,1/((tbl_Finance[Job Number]=C300&amp;"")*(tbl_Finance[Xero Invoice No]&lt;&gt;"")),tbl_Finance[Xero Invoice No])&amp;" +more"),"")))</f>
        <v/>
      </c>
      <c r="C300" s="24" t="n"/>
      <c r="D300" s="25">
        <f>IF(C300="","",IF(COUNTIF(lst_Jobs,C300&amp;"")&gt;0,"OK","CHECK"))</f>
        <v/>
      </c>
      <c r="E300" s="25">
        <f>IF(C300="","",IFERROR(INDEX(lst_JobName,MATCH(C300&amp;"",lst_Jobs,0)),""))</f>
        <v/>
      </c>
      <c r="F300" s="25">
        <f>IF(C300="","",IFERROR(INDEX(tbl_Finance[Client],MATCH(C300&amp;"",tbl_Finance[Job Number],0)),""))</f>
        <v/>
      </c>
      <c r="G300" s="28">
        <f>IF(C300="","",COUNTIFS(tbl_Finance[Job Number],C300&amp;"",tbl_Finance[Ex GST],"&lt;&gt;"))</f>
        <v/>
      </c>
      <c r="H300" s="27">
        <f>IF(C300="","",SUMIFS(tbl_Finance[Ex GST],tbl_Finance[Job Number],C300&amp;""))</f>
        <v/>
      </c>
      <c r="I300" s="27">
        <f>IF(C300="","",SUMIFS(tbl_Finance[Ex GST],tbl_Finance[Job Number],C300&amp;"",tbl_Finance[Xero Invoice No],"&lt;&gt;"))</f>
        <v/>
      </c>
      <c r="J300" s="27">
        <f>IF(C300="","",H300-I300)</f>
        <v/>
      </c>
      <c r="K300" s="25">
        <f>IF(C300="","",IF(G300=0,"not invoiced yet",SUBSTITUTE(TRIM(IF(COUNTIFS(tbl_Finance[Job Number],C300&amp;"",tbl_Finance[Cost Centre],"ONSITE")&gt;0,"ONSITE ","")&amp;IF(COUNTIFS(tbl_Finance[Job Number],C300&amp;"",tbl_Finance[Cost Centre],"PRODUCTION")&gt;0,"PRODUCTION ","")&amp;IF(COUNTIFS(tbl_Finance[Job Number],C300&amp;"",tbl_Finance[Cost Centre],"VIDEO")&gt;0,"VIDEO ","")&amp;IF(COUNTIFS(tbl_Finance[Job Number],C300&amp;"",tbl_Finance[Cost Centre],"INTEGRATION")&gt;0,"INTEGRATION ","")&amp;IF(COUNTIFS(tbl_Finance[Job Number],C300&amp;"",tbl_Finance[Cost Centre],"CONSULTING")&gt;0,"CONSULTING ","")&amp;IF(COUNTIFS(tbl_Finance[Job Number],C300&amp;"",tbl_Finance[Cost Centre],"CTS")&gt;0,"CTS ",""))," ",", ")))</f>
        <v/>
      </c>
      <c r="L300" s="24" t="n"/>
      <c r="M300" s="25">
        <f>IF(L300="","",HYPERLINK(IF(LEFT(L300,4)="http",L300,set_QwilrBase&amp;L300),"Open quote"))</f>
        <v/>
      </c>
      <c r="N300" s="26" t="n"/>
      <c r="O300" s="26" t="n"/>
      <c r="P300" s="26" t="n"/>
      <c r="Q300" s="25">
        <f>IF(C300="","",IF(N(N300)+N(O300)+N(P300)=0,"Not split",IF(ROUND(N(N300)+N(O300)+N(P300),2)=ROUND(H300,2),"OK","MISMATCH")))</f>
        <v/>
      </c>
      <c r="R300" s="26" t="n"/>
      <c r="S300" s="26" t="n"/>
      <c r="T300" s="26" t="n"/>
      <c r="U300" s="27">
        <f>IF(C300="","",N(R300)+N(S300)+N(T300))</f>
        <v/>
      </c>
      <c r="V300" s="27">
        <f>IF(C300="","",H300-U300)</f>
        <v/>
      </c>
      <c r="W300" s="29">
        <f>IFERROR(V300/H300,"")</f>
        <v/>
      </c>
      <c r="X300" s="24" t="n"/>
    </row>
    <row r="301" ht="15" customHeight="1">
      <c r="A301" s="63">
        <f>IF(C301="","",IFERROR(IF(SUMPRODUCT(MAX((tbl_Finance[Job Number]=C301&amp;"")*(tbl_Finance[Xero Invoice No]&lt;&gt;"")*tbl_Finance[Date]))=0,"",SUMPRODUCT(MAX((tbl_Finance[Job Number]=C301&amp;"")*(tbl_Finance[Xero Invoice No]&lt;&gt;"")*tbl_Finance[Date]))),""))</f>
        <v/>
      </c>
      <c r="B301" s="25">
        <f>IF(C301="","",IF(COUNTIFS(tbl_Finance[Job Number],C301&amp;"",tbl_Finance[Xero Invoice No],"&lt;&gt;")=0,"",IFERROR(IF(COUNTIFS(tbl_Finance[Job Number],C301&amp;"",tbl_Finance[Xero Invoice No],LOOKUP(2,1/((tbl_Finance[Job Number]=C301&amp;"")*(tbl_Finance[Xero Invoice No]&lt;&gt;"")),tbl_Finance[Xero Invoice No]))=COUNTIFS(tbl_Finance[Job Number],C301&amp;"",tbl_Finance[Xero Invoice No],"&lt;&gt;"),LOOKUP(2,1/((tbl_Finance[Job Number]=C301&amp;"")*(tbl_Finance[Xero Invoice No]&lt;&gt;"")),tbl_Finance[Xero Invoice No]),LOOKUP(2,1/((tbl_Finance[Job Number]=C301&amp;"")*(tbl_Finance[Xero Invoice No]&lt;&gt;"")),tbl_Finance[Xero Invoice No])&amp;" +more"),"")))</f>
        <v/>
      </c>
      <c r="C301" s="24" t="n"/>
      <c r="D301" s="25">
        <f>IF(C301="","",IF(COUNTIF(lst_Jobs,C301&amp;"")&gt;0,"OK","CHECK"))</f>
        <v/>
      </c>
      <c r="E301" s="25">
        <f>IF(C301="","",IFERROR(INDEX(lst_JobName,MATCH(C301&amp;"",lst_Jobs,0)),""))</f>
        <v/>
      </c>
      <c r="F301" s="25">
        <f>IF(C301="","",IFERROR(INDEX(tbl_Finance[Client],MATCH(C301&amp;"",tbl_Finance[Job Number],0)),""))</f>
        <v/>
      </c>
      <c r="G301" s="28">
        <f>IF(C301="","",COUNTIFS(tbl_Finance[Job Number],C301&amp;"",tbl_Finance[Ex GST],"&lt;&gt;"))</f>
        <v/>
      </c>
      <c r="H301" s="27">
        <f>IF(C301="","",SUMIFS(tbl_Finance[Ex GST],tbl_Finance[Job Number],C301&amp;""))</f>
        <v/>
      </c>
      <c r="I301" s="27">
        <f>IF(C301="","",SUMIFS(tbl_Finance[Ex GST],tbl_Finance[Job Number],C301&amp;"",tbl_Finance[Xero Invoice No],"&lt;&gt;"))</f>
        <v/>
      </c>
      <c r="J301" s="27">
        <f>IF(C301="","",H301-I301)</f>
        <v/>
      </c>
      <c r="K301" s="25">
        <f>IF(C301="","",IF(G301=0,"not invoiced yet",SUBSTITUTE(TRIM(IF(COUNTIFS(tbl_Finance[Job Number],C301&amp;"",tbl_Finance[Cost Centre],"ONSITE")&gt;0,"ONSITE ","")&amp;IF(COUNTIFS(tbl_Finance[Job Number],C301&amp;"",tbl_Finance[Cost Centre],"PRODUCTION")&gt;0,"PRODUCTION ","")&amp;IF(COUNTIFS(tbl_Finance[Job Number],C301&amp;"",tbl_Finance[Cost Centre],"VIDEO")&gt;0,"VIDEO ","")&amp;IF(COUNTIFS(tbl_Finance[Job Number],C301&amp;"",tbl_Finance[Cost Centre],"INTEGRATION")&gt;0,"INTEGRATION ","")&amp;IF(COUNTIFS(tbl_Finance[Job Number],C301&amp;"",tbl_Finance[Cost Centre],"CONSULTING")&gt;0,"CONSULTING ","")&amp;IF(COUNTIFS(tbl_Finance[Job Number],C301&amp;"",tbl_Finance[Cost Centre],"CTS")&gt;0,"CTS ",""))," ",", ")))</f>
        <v/>
      </c>
      <c r="L301" s="24" t="n"/>
      <c r="M301" s="25">
        <f>IF(L301="","",HYPERLINK(IF(LEFT(L301,4)="http",L301,set_QwilrBase&amp;L301),"Open quote"))</f>
        <v/>
      </c>
      <c r="N301" s="26" t="n"/>
      <c r="O301" s="26" t="n"/>
      <c r="P301" s="26" t="n"/>
      <c r="Q301" s="25">
        <f>IF(C301="","",IF(N(N301)+N(O301)+N(P301)=0,"Not split",IF(ROUND(N(N301)+N(O301)+N(P301),2)=ROUND(H301,2),"OK","MISMATCH")))</f>
        <v/>
      </c>
      <c r="R301" s="26" t="n"/>
      <c r="S301" s="26" t="n"/>
      <c r="T301" s="26" t="n"/>
      <c r="U301" s="27">
        <f>IF(C301="","",N(R301)+N(S301)+N(T301))</f>
        <v/>
      </c>
      <c r="V301" s="27">
        <f>IF(C301="","",H301-U301)</f>
        <v/>
      </c>
      <c r="W301" s="29">
        <f>IFERROR(V301/H301,"")</f>
        <v/>
      </c>
      <c r="X301" s="24" t="n"/>
    </row>
    <row r="302" ht="15" customHeight="1">
      <c r="A302" s="63">
        <f>IF(C302="","",IFERROR(IF(SUMPRODUCT(MAX((tbl_Finance[Job Number]=C302&amp;"")*(tbl_Finance[Xero Invoice No]&lt;&gt;"")*tbl_Finance[Date]))=0,"",SUMPRODUCT(MAX((tbl_Finance[Job Number]=C302&amp;"")*(tbl_Finance[Xero Invoice No]&lt;&gt;"")*tbl_Finance[Date]))),""))</f>
        <v/>
      </c>
      <c r="B302" s="25">
        <f>IF(C302="","",IF(COUNTIFS(tbl_Finance[Job Number],C302&amp;"",tbl_Finance[Xero Invoice No],"&lt;&gt;")=0,"",IFERROR(IF(COUNTIFS(tbl_Finance[Job Number],C302&amp;"",tbl_Finance[Xero Invoice No],LOOKUP(2,1/((tbl_Finance[Job Number]=C302&amp;"")*(tbl_Finance[Xero Invoice No]&lt;&gt;"")),tbl_Finance[Xero Invoice No]))=COUNTIFS(tbl_Finance[Job Number],C302&amp;"",tbl_Finance[Xero Invoice No],"&lt;&gt;"),LOOKUP(2,1/((tbl_Finance[Job Number]=C302&amp;"")*(tbl_Finance[Xero Invoice No]&lt;&gt;"")),tbl_Finance[Xero Invoice No]),LOOKUP(2,1/((tbl_Finance[Job Number]=C302&amp;"")*(tbl_Finance[Xero Invoice No]&lt;&gt;"")),tbl_Finance[Xero Invoice No])&amp;" +more"),"")))</f>
        <v/>
      </c>
      <c r="C302" s="24" t="n"/>
      <c r="D302" s="25">
        <f>IF(C302="","",IF(COUNTIF(lst_Jobs,C302&amp;"")&gt;0,"OK","CHECK"))</f>
        <v/>
      </c>
      <c r="E302" s="25">
        <f>IF(C302="","",IFERROR(INDEX(lst_JobName,MATCH(C302&amp;"",lst_Jobs,0)),""))</f>
        <v/>
      </c>
      <c r="F302" s="25">
        <f>IF(C302="","",IFERROR(INDEX(tbl_Finance[Client],MATCH(C302&amp;"",tbl_Finance[Job Number],0)),""))</f>
        <v/>
      </c>
      <c r="G302" s="28">
        <f>IF(C302="","",COUNTIFS(tbl_Finance[Job Number],C302&amp;"",tbl_Finance[Ex GST],"&lt;&gt;"))</f>
        <v/>
      </c>
      <c r="H302" s="27">
        <f>IF(C302="","",SUMIFS(tbl_Finance[Ex GST],tbl_Finance[Job Number],C302&amp;""))</f>
        <v/>
      </c>
      <c r="I302" s="27">
        <f>IF(C302="","",SUMIFS(tbl_Finance[Ex GST],tbl_Finance[Job Number],C302&amp;"",tbl_Finance[Xero Invoice No],"&lt;&gt;"))</f>
        <v/>
      </c>
      <c r="J302" s="27">
        <f>IF(C302="","",H302-I302)</f>
        <v/>
      </c>
      <c r="K302" s="25">
        <f>IF(C302="","",IF(G302=0,"not invoiced yet",SUBSTITUTE(TRIM(IF(COUNTIFS(tbl_Finance[Job Number],C302&amp;"",tbl_Finance[Cost Centre],"ONSITE")&gt;0,"ONSITE ","")&amp;IF(COUNTIFS(tbl_Finance[Job Number],C302&amp;"",tbl_Finance[Cost Centre],"PRODUCTION")&gt;0,"PRODUCTION ","")&amp;IF(COUNTIFS(tbl_Finance[Job Number],C302&amp;"",tbl_Finance[Cost Centre],"VIDEO")&gt;0,"VIDEO ","")&amp;IF(COUNTIFS(tbl_Finance[Job Number],C302&amp;"",tbl_Finance[Cost Centre],"INTEGRATION")&gt;0,"INTEGRATION ","")&amp;IF(COUNTIFS(tbl_Finance[Job Number],C302&amp;"",tbl_Finance[Cost Centre],"CONSULTING")&gt;0,"CONSULTING ","")&amp;IF(COUNTIFS(tbl_Finance[Job Number],C302&amp;"",tbl_Finance[Cost Centre],"CTS")&gt;0,"CTS ",""))," ",", ")))</f>
        <v/>
      </c>
      <c r="L302" s="24" t="n"/>
      <c r="M302" s="25">
        <f>IF(L302="","",HYPERLINK(IF(LEFT(L302,4)="http",L302,set_QwilrBase&amp;L302),"Open quote"))</f>
        <v/>
      </c>
      <c r="N302" s="26" t="n"/>
      <c r="O302" s="26" t="n"/>
      <c r="P302" s="26" t="n"/>
      <c r="Q302" s="25">
        <f>IF(C302="","",IF(N(N302)+N(O302)+N(P302)=0,"Not split",IF(ROUND(N(N302)+N(O302)+N(P302),2)=ROUND(H302,2),"OK","MISMATCH")))</f>
        <v/>
      </c>
      <c r="R302" s="26" t="n"/>
      <c r="S302" s="26" t="n"/>
      <c r="T302" s="26" t="n"/>
      <c r="U302" s="27">
        <f>IF(C302="","",N(R302)+N(S302)+N(T302))</f>
        <v/>
      </c>
      <c r="V302" s="27">
        <f>IF(C302="","",H302-U302)</f>
        <v/>
      </c>
      <c r="W302" s="29">
        <f>IFERROR(V302/H302,"")</f>
        <v/>
      </c>
      <c r="X302" s="24" t="n"/>
    </row>
    <row r="303" ht="15" customHeight="1">
      <c r="A303" s="63">
        <f>IF(C303="","",IFERROR(IF(SUMPRODUCT(MAX((tbl_Finance[Job Number]=C303&amp;"")*(tbl_Finance[Xero Invoice No]&lt;&gt;"")*tbl_Finance[Date]))=0,"",SUMPRODUCT(MAX((tbl_Finance[Job Number]=C303&amp;"")*(tbl_Finance[Xero Invoice No]&lt;&gt;"")*tbl_Finance[Date]))),""))</f>
        <v/>
      </c>
      <c r="B303" s="25">
        <f>IF(C303="","",IF(COUNTIFS(tbl_Finance[Job Number],C303&amp;"",tbl_Finance[Xero Invoice No],"&lt;&gt;")=0,"",IFERROR(IF(COUNTIFS(tbl_Finance[Job Number],C303&amp;"",tbl_Finance[Xero Invoice No],LOOKUP(2,1/((tbl_Finance[Job Number]=C303&amp;"")*(tbl_Finance[Xero Invoice No]&lt;&gt;"")),tbl_Finance[Xero Invoice No]))=COUNTIFS(tbl_Finance[Job Number],C303&amp;"",tbl_Finance[Xero Invoice No],"&lt;&gt;"),LOOKUP(2,1/((tbl_Finance[Job Number]=C303&amp;"")*(tbl_Finance[Xero Invoice No]&lt;&gt;"")),tbl_Finance[Xero Invoice No]),LOOKUP(2,1/((tbl_Finance[Job Number]=C303&amp;"")*(tbl_Finance[Xero Invoice No]&lt;&gt;"")),tbl_Finance[Xero Invoice No])&amp;" +more"),"")))</f>
        <v/>
      </c>
      <c r="C303" s="24" t="n"/>
      <c r="D303" s="25">
        <f>IF(C303="","",IF(COUNTIF(lst_Jobs,C303&amp;"")&gt;0,"OK","CHECK"))</f>
        <v/>
      </c>
      <c r="E303" s="25">
        <f>IF(C303="","",IFERROR(INDEX(lst_JobName,MATCH(C303&amp;"",lst_Jobs,0)),""))</f>
        <v/>
      </c>
      <c r="F303" s="25">
        <f>IF(C303="","",IFERROR(INDEX(tbl_Finance[Client],MATCH(C303&amp;"",tbl_Finance[Job Number],0)),""))</f>
        <v/>
      </c>
      <c r="G303" s="28">
        <f>IF(C303="","",COUNTIFS(tbl_Finance[Job Number],C303&amp;"",tbl_Finance[Ex GST],"&lt;&gt;"))</f>
        <v/>
      </c>
      <c r="H303" s="27">
        <f>IF(C303="","",SUMIFS(tbl_Finance[Ex GST],tbl_Finance[Job Number],C303&amp;""))</f>
        <v/>
      </c>
      <c r="I303" s="27">
        <f>IF(C303="","",SUMIFS(tbl_Finance[Ex GST],tbl_Finance[Job Number],C303&amp;"",tbl_Finance[Xero Invoice No],"&lt;&gt;"))</f>
        <v/>
      </c>
      <c r="J303" s="27">
        <f>IF(C303="","",H303-I303)</f>
        <v/>
      </c>
      <c r="K303" s="25">
        <f>IF(C303="","",IF(G303=0,"not invoiced yet",SUBSTITUTE(TRIM(IF(COUNTIFS(tbl_Finance[Job Number],C303&amp;"",tbl_Finance[Cost Centre],"ONSITE")&gt;0,"ONSITE ","")&amp;IF(COUNTIFS(tbl_Finance[Job Number],C303&amp;"",tbl_Finance[Cost Centre],"PRODUCTION")&gt;0,"PRODUCTION ","")&amp;IF(COUNTIFS(tbl_Finance[Job Number],C303&amp;"",tbl_Finance[Cost Centre],"VIDEO")&gt;0,"VIDEO ","")&amp;IF(COUNTIFS(tbl_Finance[Job Number],C303&amp;"",tbl_Finance[Cost Centre],"INTEGRATION")&gt;0,"INTEGRATION ","")&amp;IF(COUNTIFS(tbl_Finance[Job Number],C303&amp;"",tbl_Finance[Cost Centre],"CONSULTING")&gt;0,"CONSULTING ","")&amp;IF(COUNTIFS(tbl_Finance[Job Number],C303&amp;"",tbl_Finance[Cost Centre],"CTS")&gt;0,"CTS ",""))," ",", ")))</f>
        <v/>
      </c>
      <c r="L303" s="24" t="n"/>
      <c r="M303" s="25">
        <f>IF(L303="","",HYPERLINK(IF(LEFT(L303,4)="http",L303,set_QwilrBase&amp;L303),"Open quote"))</f>
        <v/>
      </c>
      <c r="N303" s="26" t="n"/>
      <c r="O303" s="26" t="n"/>
      <c r="P303" s="26" t="n"/>
      <c r="Q303" s="25">
        <f>IF(C303="","",IF(N(N303)+N(O303)+N(P303)=0,"Not split",IF(ROUND(N(N303)+N(O303)+N(P303),2)=ROUND(H303,2),"OK","MISMATCH")))</f>
        <v/>
      </c>
      <c r="R303" s="26" t="n"/>
      <c r="S303" s="26" t="n"/>
      <c r="T303" s="26" t="n"/>
      <c r="U303" s="27">
        <f>IF(C303="","",N(R303)+N(S303)+N(T303))</f>
        <v/>
      </c>
      <c r="V303" s="27">
        <f>IF(C303="","",H303-U303)</f>
        <v/>
      </c>
      <c r="W303" s="29">
        <f>IFERROR(V303/H303,"")</f>
        <v/>
      </c>
      <c r="X303" s="24" t="n"/>
    </row>
    <row r="304" ht="15" customHeight="1">
      <c r="A304" s="63">
        <f>IF(C304="","",IFERROR(IF(SUMPRODUCT(MAX((tbl_Finance[Job Number]=C304&amp;"")*(tbl_Finance[Xero Invoice No]&lt;&gt;"")*tbl_Finance[Date]))=0,"",SUMPRODUCT(MAX((tbl_Finance[Job Number]=C304&amp;"")*(tbl_Finance[Xero Invoice No]&lt;&gt;"")*tbl_Finance[Date]))),""))</f>
        <v/>
      </c>
      <c r="B304" s="25">
        <f>IF(C304="","",IF(COUNTIFS(tbl_Finance[Job Number],C304&amp;"",tbl_Finance[Xero Invoice No],"&lt;&gt;")=0,"",IFERROR(IF(COUNTIFS(tbl_Finance[Job Number],C304&amp;"",tbl_Finance[Xero Invoice No],LOOKUP(2,1/((tbl_Finance[Job Number]=C304&amp;"")*(tbl_Finance[Xero Invoice No]&lt;&gt;"")),tbl_Finance[Xero Invoice No]))=COUNTIFS(tbl_Finance[Job Number],C304&amp;"",tbl_Finance[Xero Invoice No],"&lt;&gt;"),LOOKUP(2,1/((tbl_Finance[Job Number]=C304&amp;"")*(tbl_Finance[Xero Invoice No]&lt;&gt;"")),tbl_Finance[Xero Invoice No]),LOOKUP(2,1/((tbl_Finance[Job Number]=C304&amp;"")*(tbl_Finance[Xero Invoice No]&lt;&gt;"")),tbl_Finance[Xero Invoice No])&amp;" +more"),"")))</f>
        <v/>
      </c>
      <c r="C304" s="24" t="n"/>
      <c r="D304" s="25">
        <f>IF(C304="","",IF(COUNTIF(lst_Jobs,C304&amp;"")&gt;0,"OK","CHECK"))</f>
        <v/>
      </c>
      <c r="E304" s="25">
        <f>IF(C304="","",IFERROR(INDEX(lst_JobName,MATCH(C304&amp;"",lst_Jobs,0)),""))</f>
        <v/>
      </c>
      <c r="F304" s="25">
        <f>IF(C304="","",IFERROR(INDEX(tbl_Finance[Client],MATCH(C304&amp;"",tbl_Finance[Job Number],0)),""))</f>
        <v/>
      </c>
      <c r="G304" s="28">
        <f>IF(C304="","",COUNTIFS(tbl_Finance[Job Number],C304&amp;"",tbl_Finance[Ex GST],"&lt;&gt;"))</f>
        <v/>
      </c>
      <c r="H304" s="27">
        <f>IF(C304="","",SUMIFS(tbl_Finance[Ex GST],tbl_Finance[Job Number],C304&amp;""))</f>
        <v/>
      </c>
      <c r="I304" s="27">
        <f>IF(C304="","",SUMIFS(tbl_Finance[Ex GST],tbl_Finance[Job Number],C304&amp;"",tbl_Finance[Xero Invoice No],"&lt;&gt;"))</f>
        <v/>
      </c>
      <c r="J304" s="27">
        <f>IF(C304="","",H304-I304)</f>
        <v/>
      </c>
      <c r="K304" s="25">
        <f>IF(C304="","",IF(G304=0,"not invoiced yet",SUBSTITUTE(TRIM(IF(COUNTIFS(tbl_Finance[Job Number],C304&amp;"",tbl_Finance[Cost Centre],"ONSITE")&gt;0,"ONSITE ","")&amp;IF(COUNTIFS(tbl_Finance[Job Number],C304&amp;"",tbl_Finance[Cost Centre],"PRODUCTION")&gt;0,"PRODUCTION ","")&amp;IF(COUNTIFS(tbl_Finance[Job Number],C304&amp;"",tbl_Finance[Cost Centre],"VIDEO")&gt;0,"VIDEO ","")&amp;IF(COUNTIFS(tbl_Finance[Job Number],C304&amp;"",tbl_Finance[Cost Centre],"INTEGRATION")&gt;0,"INTEGRATION ","")&amp;IF(COUNTIFS(tbl_Finance[Job Number],C304&amp;"",tbl_Finance[Cost Centre],"CONSULTING")&gt;0,"CONSULTING ","")&amp;IF(COUNTIFS(tbl_Finance[Job Number],C304&amp;"",tbl_Finance[Cost Centre],"CTS")&gt;0,"CTS ",""))," ",", ")))</f>
        <v/>
      </c>
      <c r="L304" s="24" t="n"/>
      <c r="M304" s="25">
        <f>IF(L304="","",HYPERLINK(IF(LEFT(L304,4)="http",L304,set_QwilrBase&amp;L304),"Open quote"))</f>
        <v/>
      </c>
      <c r="N304" s="26" t="n"/>
      <c r="O304" s="26" t="n"/>
      <c r="P304" s="26" t="n"/>
      <c r="Q304" s="25">
        <f>IF(C304="","",IF(N(N304)+N(O304)+N(P304)=0,"Not split",IF(ROUND(N(N304)+N(O304)+N(P304),2)=ROUND(H304,2),"OK","MISMATCH")))</f>
        <v/>
      </c>
      <c r="R304" s="26" t="n"/>
      <c r="S304" s="26" t="n"/>
      <c r="T304" s="26" t="n"/>
      <c r="U304" s="27">
        <f>IF(C304="","",N(R304)+N(S304)+N(T304))</f>
        <v/>
      </c>
      <c r="V304" s="27">
        <f>IF(C304="","",H304-U304)</f>
        <v/>
      </c>
      <c r="W304" s="29">
        <f>IFERROR(V304/H304,"")</f>
        <v/>
      </c>
      <c r="X304" s="24" t="n"/>
    </row>
    <row r="305" ht="15" customHeight="1">
      <c r="A305" s="63">
        <f>IF(C305="","",IFERROR(IF(SUMPRODUCT(MAX((tbl_Finance[Job Number]=C305&amp;"")*(tbl_Finance[Xero Invoice No]&lt;&gt;"")*tbl_Finance[Date]))=0,"",SUMPRODUCT(MAX((tbl_Finance[Job Number]=C305&amp;"")*(tbl_Finance[Xero Invoice No]&lt;&gt;"")*tbl_Finance[Date]))),""))</f>
        <v/>
      </c>
      <c r="B305" s="25">
        <f>IF(C305="","",IF(COUNTIFS(tbl_Finance[Job Number],C305&amp;"",tbl_Finance[Xero Invoice No],"&lt;&gt;")=0,"",IFERROR(IF(COUNTIFS(tbl_Finance[Job Number],C305&amp;"",tbl_Finance[Xero Invoice No],LOOKUP(2,1/((tbl_Finance[Job Number]=C305&amp;"")*(tbl_Finance[Xero Invoice No]&lt;&gt;"")),tbl_Finance[Xero Invoice No]))=COUNTIFS(tbl_Finance[Job Number],C305&amp;"",tbl_Finance[Xero Invoice No],"&lt;&gt;"),LOOKUP(2,1/((tbl_Finance[Job Number]=C305&amp;"")*(tbl_Finance[Xero Invoice No]&lt;&gt;"")),tbl_Finance[Xero Invoice No]),LOOKUP(2,1/((tbl_Finance[Job Number]=C305&amp;"")*(tbl_Finance[Xero Invoice No]&lt;&gt;"")),tbl_Finance[Xero Invoice No])&amp;" +more"),"")))</f>
        <v/>
      </c>
      <c r="C305" s="24" t="n"/>
      <c r="D305" s="25">
        <f>IF(C305="","",IF(COUNTIF(lst_Jobs,C305&amp;"")&gt;0,"OK","CHECK"))</f>
        <v/>
      </c>
      <c r="E305" s="25">
        <f>IF(C305="","",IFERROR(INDEX(lst_JobName,MATCH(C305&amp;"",lst_Jobs,0)),""))</f>
        <v/>
      </c>
      <c r="F305" s="25">
        <f>IF(C305="","",IFERROR(INDEX(tbl_Finance[Client],MATCH(C305&amp;"",tbl_Finance[Job Number],0)),""))</f>
        <v/>
      </c>
      <c r="G305" s="28">
        <f>IF(C305="","",COUNTIFS(tbl_Finance[Job Number],C305&amp;"",tbl_Finance[Ex GST],"&lt;&gt;"))</f>
        <v/>
      </c>
      <c r="H305" s="27">
        <f>IF(C305="","",SUMIFS(tbl_Finance[Ex GST],tbl_Finance[Job Number],C305&amp;""))</f>
        <v/>
      </c>
      <c r="I305" s="27">
        <f>IF(C305="","",SUMIFS(tbl_Finance[Ex GST],tbl_Finance[Job Number],C305&amp;"",tbl_Finance[Xero Invoice No],"&lt;&gt;"))</f>
        <v/>
      </c>
      <c r="J305" s="27">
        <f>IF(C305="","",H305-I305)</f>
        <v/>
      </c>
      <c r="K305" s="25">
        <f>IF(C305="","",IF(G305=0,"not invoiced yet",SUBSTITUTE(TRIM(IF(COUNTIFS(tbl_Finance[Job Number],C305&amp;"",tbl_Finance[Cost Centre],"ONSITE")&gt;0,"ONSITE ","")&amp;IF(COUNTIFS(tbl_Finance[Job Number],C305&amp;"",tbl_Finance[Cost Centre],"PRODUCTION")&gt;0,"PRODUCTION ","")&amp;IF(COUNTIFS(tbl_Finance[Job Number],C305&amp;"",tbl_Finance[Cost Centre],"VIDEO")&gt;0,"VIDEO ","")&amp;IF(COUNTIFS(tbl_Finance[Job Number],C305&amp;"",tbl_Finance[Cost Centre],"INTEGRATION")&gt;0,"INTEGRATION ","")&amp;IF(COUNTIFS(tbl_Finance[Job Number],C305&amp;"",tbl_Finance[Cost Centre],"CONSULTING")&gt;0,"CONSULTING ","")&amp;IF(COUNTIFS(tbl_Finance[Job Number],C305&amp;"",tbl_Finance[Cost Centre],"CTS")&gt;0,"CTS ",""))," ",", ")))</f>
        <v/>
      </c>
      <c r="L305" s="24" t="n"/>
      <c r="M305" s="25">
        <f>IF(L305="","",HYPERLINK(IF(LEFT(L305,4)="http",L305,set_QwilrBase&amp;L305),"Open quote"))</f>
        <v/>
      </c>
      <c r="N305" s="26" t="n"/>
      <c r="O305" s="26" t="n"/>
      <c r="P305" s="26" t="n"/>
      <c r="Q305" s="25">
        <f>IF(C305="","",IF(N(N305)+N(O305)+N(P305)=0,"Not split",IF(ROUND(N(N305)+N(O305)+N(P305),2)=ROUND(H305,2),"OK","MISMATCH")))</f>
        <v/>
      </c>
      <c r="R305" s="26" t="n"/>
      <c r="S305" s="26" t="n"/>
      <c r="T305" s="26" t="n"/>
      <c r="U305" s="27">
        <f>IF(C305="","",N(R305)+N(S305)+N(T305))</f>
        <v/>
      </c>
      <c r="V305" s="27">
        <f>IF(C305="","",H305-U305)</f>
        <v/>
      </c>
      <c r="W305" s="29">
        <f>IFERROR(V305/H305,"")</f>
        <v/>
      </c>
      <c r="X305" s="24" t="n"/>
    </row>
    <row r="306" ht="15" customHeight="1">
      <c r="A306" s="63">
        <f>IF(C306="","",IFERROR(IF(SUMPRODUCT(MAX((tbl_Finance[Job Number]=C306&amp;"")*(tbl_Finance[Xero Invoice No]&lt;&gt;"")*tbl_Finance[Date]))=0,"",SUMPRODUCT(MAX((tbl_Finance[Job Number]=C306&amp;"")*(tbl_Finance[Xero Invoice No]&lt;&gt;"")*tbl_Finance[Date]))),""))</f>
        <v/>
      </c>
      <c r="B306" s="25">
        <f>IF(C306="","",IF(COUNTIFS(tbl_Finance[Job Number],C306&amp;"",tbl_Finance[Xero Invoice No],"&lt;&gt;")=0,"",IFERROR(IF(COUNTIFS(tbl_Finance[Job Number],C306&amp;"",tbl_Finance[Xero Invoice No],LOOKUP(2,1/((tbl_Finance[Job Number]=C306&amp;"")*(tbl_Finance[Xero Invoice No]&lt;&gt;"")),tbl_Finance[Xero Invoice No]))=COUNTIFS(tbl_Finance[Job Number],C306&amp;"",tbl_Finance[Xero Invoice No],"&lt;&gt;"),LOOKUP(2,1/((tbl_Finance[Job Number]=C306&amp;"")*(tbl_Finance[Xero Invoice No]&lt;&gt;"")),tbl_Finance[Xero Invoice No]),LOOKUP(2,1/((tbl_Finance[Job Number]=C306&amp;"")*(tbl_Finance[Xero Invoice No]&lt;&gt;"")),tbl_Finance[Xero Invoice No])&amp;" +more"),"")))</f>
        <v/>
      </c>
      <c r="C306" s="24" t="n"/>
      <c r="D306" s="25">
        <f>IF(C306="","",IF(COUNTIF(lst_Jobs,C306&amp;"")&gt;0,"OK","CHECK"))</f>
        <v/>
      </c>
      <c r="E306" s="25">
        <f>IF(C306="","",IFERROR(INDEX(lst_JobName,MATCH(C306&amp;"",lst_Jobs,0)),""))</f>
        <v/>
      </c>
      <c r="F306" s="25">
        <f>IF(C306="","",IFERROR(INDEX(tbl_Finance[Client],MATCH(C306&amp;"",tbl_Finance[Job Number],0)),""))</f>
        <v/>
      </c>
      <c r="G306" s="28">
        <f>IF(C306="","",COUNTIFS(tbl_Finance[Job Number],C306&amp;"",tbl_Finance[Ex GST],"&lt;&gt;"))</f>
        <v/>
      </c>
      <c r="H306" s="27">
        <f>IF(C306="","",SUMIFS(tbl_Finance[Ex GST],tbl_Finance[Job Number],C306&amp;""))</f>
        <v/>
      </c>
      <c r="I306" s="27">
        <f>IF(C306="","",SUMIFS(tbl_Finance[Ex GST],tbl_Finance[Job Number],C306&amp;"",tbl_Finance[Xero Invoice No],"&lt;&gt;"))</f>
        <v/>
      </c>
      <c r="J306" s="27">
        <f>IF(C306="","",H306-I306)</f>
        <v/>
      </c>
      <c r="K306" s="25">
        <f>IF(C306="","",IF(G306=0,"not invoiced yet",SUBSTITUTE(TRIM(IF(COUNTIFS(tbl_Finance[Job Number],C306&amp;"",tbl_Finance[Cost Centre],"ONSITE")&gt;0,"ONSITE ","")&amp;IF(COUNTIFS(tbl_Finance[Job Number],C306&amp;"",tbl_Finance[Cost Centre],"PRODUCTION")&gt;0,"PRODUCTION ","")&amp;IF(COUNTIFS(tbl_Finance[Job Number],C306&amp;"",tbl_Finance[Cost Centre],"VIDEO")&gt;0,"VIDEO ","")&amp;IF(COUNTIFS(tbl_Finance[Job Number],C306&amp;"",tbl_Finance[Cost Centre],"INTEGRATION")&gt;0,"INTEGRATION ","")&amp;IF(COUNTIFS(tbl_Finance[Job Number],C306&amp;"",tbl_Finance[Cost Centre],"CONSULTING")&gt;0,"CONSULTING ","")&amp;IF(COUNTIFS(tbl_Finance[Job Number],C306&amp;"",tbl_Finance[Cost Centre],"CTS")&gt;0,"CTS ",""))," ",", ")))</f>
        <v/>
      </c>
      <c r="L306" s="24" t="n"/>
      <c r="M306" s="25">
        <f>IF(L306="","",HYPERLINK(IF(LEFT(L306,4)="http",L306,set_QwilrBase&amp;L306),"Open quote"))</f>
        <v/>
      </c>
      <c r="N306" s="26" t="n"/>
      <c r="O306" s="26" t="n"/>
      <c r="P306" s="26" t="n"/>
      <c r="Q306" s="25">
        <f>IF(C306="","",IF(N(N306)+N(O306)+N(P306)=0,"Not split",IF(ROUND(N(N306)+N(O306)+N(P306),2)=ROUND(H306,2),"OK","MISMATCH")))</f>
        <v/>
      </c>
      <c r="R306" s="26" t="n"/>
      <c r="S306" s="26" t="n"/>
      <c r="T306" s="26" t="n"/>
      <c r="U306" s="27">
        <f>IF(C306="","",N(R306)+N(S306)+N(T306))</f>
        <v/>
      </c>
      <c r="V306" s="27">
        <f>IF(C306="","",H306-U306)</f>
        <v/>
      </c>
      <c r="W306" s="29">
        <f>IFERROR(V306/H306,"")</f>
        <v/>
      </c>
      <c r="X306" s="24" t="n"/>
    </row>
    <row r="307" ht="15" customHeight="1">
      <c r="A307" s="63">
        <f>IF(C307="","",IFERROR(IF(SUMPRODUCT(MAX((tbl_Finance[Job Number]=C307&amp;"")*(tbl_Finance[Xero Invoice No]&lt;&gt;"")*tbl_Finance[Date]))=0,"",SUMPRODUCT(MAX((tbl_Finance[Job Number]=C307&amp;"")*(tbl_Finance[Xero Invoice No]&lt;&gt;"")*tbl_Finance[Date]))),""))</f>
        <v/>
      </c>
      <c r="B307" s="25">
        <f>IF(C307="","",IF(COUNTIFS(tbl_Finance[Job Number],C307&amp;"",tbl_Finance[Xero Invoice No],"&lt;&gt;")=0,"",IFERROR(IF(COUNTIFS(tbl_Finance[Job Number],C307&amp;"",tbl_Finance[Xero Invoice No],LOOKUP(2,1/((tbl_Finance[Job Number]=C307&amp;"")*(tbl_Finance[Xero Invoice No]&lt;&gt;"")),tbl_Finance[Xero Invoice No]))=COUNTIFS(tbl_Finance[Job Number],C307&amp;"",tbl_Finance[Xero Invoice No],"&lt;&gt;"),LOOKUP(2,1/((tbl_Finance[Job Number]=C307&amp;"")*(tbl_Finance[Xero Invoice No]&lt;&gt;"")),tbl_Finance[Xero Invoice No]),LOOKUP(2,1/((tbl_Finance[Job Number]=C307&amp;"")*(tbl_Finance[Xero Invoice No]&lt;&gt;"")),tbl_Finance[Xero Invoice No])&amp;" +more"),"")))</f>
        <v/>
      </c>
      <c r="C307" s="24" t="n"/>
      <c r="D307" s="25">
        <f>IF(C307="","",IF(COUNTIF(lst_Jobs,C307&amp;"")&gt;0,"OK","CHECK"))</f>
        <v/>
      </c>
      <c r="E307" s="25">
        <f>IF(C307="","",IFERROR(INDEX(lst_JobName,MATCH(C307&amp;"",lst_Jobs,0)),""))</f>
        <v/>
      </c>
      <c r="F307" s="25">
        <f>IF(C307="","",IFERROR(INDEX(tbl_Finance[Client],MATCH(C307&amp;"",tbl_Finance[Job Number],0)),""))</f>
        <v/>
      </c>
      <c r="G307" s="28">
        <f>IF(C307="","",COUNTIFS(tbl_Finance[Job Number],C307&amp;"",tbl_Finance[Ex GST],"&lt;&gt;"))</f>
        <v/>
      </c>
      <c r="H307" s="27">
        <f>IF(C307="","",SUMIFS(tbl_Finance[Ex GST],tbl_Finance[Job Number],C307&amp;""))</f>
        <v/>
      </c>
      <c r="I307" s="27">
        <f>IF(C307="","",SUMIFS(tbl_Finance[Ex GST],tbl_Finance[Job Number],C307&amp;"",tbl_Finance[Xero Invoice No],"&lt;&gt;"))</f>
        <v/>
      </c>
      <c r="J307" s="27">
        <f>IF(C307="","",H307-I307)</f>
        <v/>
      </c>
      <c r="K307" s="25">
        <f>IF(C307="","",IF(G307=0,"not invoiced yet",SUBSTITUTE(TRIM(IF(COUNTIFS(tbl_Finance[Job Number],C307&amp;"",tbl_Finance[Cost Centre],"ONSITE")&gt;0,"ONSITE ","")&amp;IF(COUNTIFS(tbl_Finance[Job Number],C307&amp;"",tbl_Finance[Cost Centre],"PRODUCTION")&gt;0,"PRODUCTION ","")&amp;IF(COUNTIFS(tbl_Finance[Job Number],C307&amp;"",tbl_Finance[Cost Centre],"VIDEO")&gt;0,"VIDEO ","")&amp;IF(COUNTIFS(tbl_Finance[Job Number],C307&amp;"",tbl_Finance[Cost Centre],"INTEGRATION")&gt;0,"INTEGRATION ","")&amp;IF(COUNTIFS(tbl_Finance[Job Number],C307&amp;"",tbl_Finance[Cost Centre],"CONSULTING")&gt;0,"CONSULTING ","")&amp;IF(COUNTIFS(tbl_Finance[Job Number],C307&amp;"",tbl_Finance[Cost Centre],"CTS")&gt;0,"CTS ",""))," ",", ")))</f>
        <v/>
      </c>
      <c r="L307" s="24" t="n"/>
      <c r="M307" s="25">
        <f>IF(L307="","",HYPERLINK(IF(LEFT(L307,4)="http",L307,set_QwilrBase&amp;L307),"Open quote"))</f>
        <v/>
      </c>
      <c r="N307" s="26" t="n"/>
      <c r="O307" s="26" t="n"/>
      <c r="P307" s="26" t="n"/>
      <c r="Q307" s="25">
        <f>IF(C307="","",IF(N(N307)+N(O307)+N(P307)=0,"Not split",IF(ROUND(N(N307)+N(O307)+N(P307),2)=ROUND(H307,2),"OK","MISMATCH")))</f>
        <v/>
      </c>
      <c r="R307" s="26" t="n"/>
      <c r="S307" s="26" t="n"/>
      <c r="T307" s="26" t="n"/>
      <c r="U307" s="27">
        <f>IF(C307="","",N(R307)+N(S307)+N(T307))</f>
        <v/>
      </c>
      <c r="V307" s="27">
        <f>IF(C307="","",H307-U307)</f>
        <v/>
      </c>
      <c r="W307" s="29">
        <f>IFERROR(V307/H307,"")</f>
        <v/>
      </c>
      <c r="X307" s="24" t="n"/>
    </row>
    <row r="308" ht="15" customHeight="1">
      <c r="A308" s="63">
        <f>IF(C308="","",IFERROR(IF(SUMPRODUCT(MAX((tbl_Finance[Job Number]=C308&amp;"")*(tbl_Finance[Xero Invoice No]&lt;&gt;"")*tbl_Finance[Date]))=0,"",SUMPRODUCT(MAX((tbl_Finance[Job Number]=C308&amp;"")*(tbl_Finance[Xero Invoice No]&lt;&gt;"")*tbl_Finance[Date]))),""))</f>
        <v/>
      </c>
      <c r="B308" s="25">
        <f>IF(C308="","",IF(COUNTIFS(tbl_Finance[Job Number],C308&amp;"",tbl_Finance[Xero Invoice No],"&lt;&gt;")=0,"",IFERROR(IF(COUNTIFS(tbl_Finance[Job Number],C308&amp;"",tbl_Finance[Xero Invoice No],LOOKUP(2,1/((tbl_Finance[Job Number]=C308&amp;"")*(tbl_Finance[Xero Invoice No]&lt;&gt;"")),tbl_Finance[Xero Invoice No]))=COUNTIFS(tbl_Finance[Job Number],C308&amp;"",tbl_Finance[Xero Invoice No],"&lt;&gt;"),LOOKUP(2,1/((tbl_Finance[Job Number]=C308&amp;"")*(tbl_Finance[Xero Invoice No]&lt;&gt;"")),tbl_Finance[Xero Invoice No]),LOOKUP(2,1/((tbl_Finance[Job Number]=C308&amp;"")*(tbl_Finance[Xero Invoice No]&lt;&gt;"")),tbl_Finance[Xero Invoice No])&amp;" +more"),"")))</f>
        <v/>
      </c>
      <c r="C308" s="24" t="n"/>
      <c r="D308" s="25">
        <f>IF(C308="","",IF(COUNTIF(lst_Jobs,C308&amp;"")&gt;0,"OK","CHECK"))</f>
        <v/>
      </c>
      <c r="E308" s="25">
        <f>IF(C308="","",IFERROR(INDEX(lst_JobName,MATCH(C308&amp;"",lst_Jobs,0)),""))</f>
        <v/>
      </c>
      <c r="F308" s="25">
        <f>IF(C308="","",IFERROR(INDEX(tbl_Finance[Client],MATCH(C308&amp;"",tbl_Finance[Job Number],0)),""))</f>
        <v/>
      </c>
      <c r="G308" s="28">
        <f>IF(C308="","",COUNTIFS(tbl_Finance[Job Number],C308&amp;"",tbl_Finance[Ex GST],"&lt;&gt;"))</f>
        <v/>
      </c>
      <c r="H308" s="27">
        <f>IF(C308="","",SUMIFS(tbl_Finance[Ex GST],tbl_Finance[Job Number],C308&amp;""))</f>
        <v/>
      </c>
      <c r="I308" s="27">
        <f>IF(C308="","",SUMIFS(tbl_Finance[Ex GST],tbl_Finance[Job Number],C308&amp;"",tbl_Finance[Xero Invoice No],"&lt;&gt;"))</f>
        <v/>
      </c>
      <c r="J308" s="27">
        <f>IF(C308="","",H308-I308)</f>
        <v/>
      </c>
      <c r="K308" s="25">
        <f>IF(C308="","",IF(G308=0,"not invoiced yet",SUBSTITUTE(TRIM(IF(COUNTIFS(tbl_Finance[Job Number],C308&amp;"",tbl_Finance[Cost Centre],"ONSITE")&gt;0,"ONSITE ","")&amp;IF(COUNTIFS(tbl_Finance[Job Number],C308&amp;"",tbl_Finance[Cost Centre],"PRODUCTION")&gt;0,"PRODUCTION ","")&amp;IF(COUNTIFS(tbl_Finance[Job Number],C308&amp;"",tbl_Finance[Cost Centre],"VIDEO")&gt;0,"VIDEO ","")&amp;IF(COUNTIFS(tbl_Finance[Job Number],C308&amp;"",tbl_Finance[Cost Centre],"INTEGRATION")&gt;0,"INTEGRATION ","")&amp;IF(COUNTIFS(tbl_Finance[Job Number],C308&amp;"",tbl_Finance[Cost Centre],"CONSULTING")&gt;0,"CONSULTING ","")&amp;IF(COUNTIFS(tbl_Finance[Job Number],C308&amp;"",tbl_Finance[Cost Centre],"CTS")&gt;0,"CTS ",""))," ",", ")))</f>
        <v/>
      </c>
      <c r="L308" s="24" t="n"/>
      <c r="M308" s="25">
        <f>IF(L308="","",HYPERLINK(IF(LEFT(L308,4)="http",L308,set_QwilrBase&amp;L308),"Open quote"))</f>
        <v/>
      </c>
      <c r="N308" s="26" t="n"/>
      <c r="O308" s="26" t="n"/>
      <c r="P308" s="26" t="n"/>
      <c r="Q308" s="25">
        <f>IF(C308="","",IF(N(N308)+N(O308)+N(P308)=0,"Not split",IF(ROUND(N(N308)+N(O308)+N(P308),2)=ROUND(H308,2),"OK","MISMATCH")))</f>
        <v/>
      </c>
      <c r="R308" s="26" t="n"/>
      <c r="S308" s="26" t="n"/>
      <c r="T308" s="26" t="n"/>
      <c r="U308" s="27">
        <f>IF(C308="","",N(R308)+N(S308)+N(T308))</f>
        <v/>
      </c>
      <c r="V308" s="27">
        <f>IF(C308="","",H308-U308)</f>
        <v/>
      </c>
      <c r="W308" s="29">
        <f>IFERROR(V308/H308,"")</f>
        <v/>
      </c>
      <c r="X308" s="24" t="n"/>
    </row>
    <row r="309" ht="15" customHeight="1">
      <c r="A309" s="63">
        <f>IF(C309="","",IFERROR(IF(SUMPRODUCT(MAX((tbl_Finance[Job Number]=C309&amp;"")*(tbl_Finance[Xero Invoice No]&lt;&gt;"")*tbl_Finance[Date]))=0,"",SUMPRODUCT(MAX((tbl_Finance[Job Number]=C309&amp;"")*(tbl_Finance[Xero Invoice No]&lt;&gt;"")*tbl_Finance[Date]))),""))</f>
        <v/>
      </c>
      <c r="B309" s="25">
        <f>IF(C309="","",IF(COUNTIFS(tbl_Finance[Job Number],C309&amp;"",tbl_Finance[Xero Invoice No],"&lt;&gt;")=0,"",IFERROR(IF(COUNTIFS(tbl_Finance[Job Number],C309&amp;"",tbl_Finance[Xero Invoice No],LOOKUP(2,1/((tbl_Finance[Job Number]=C309&amp;"")*(tbl_Finance[Xero Invoice No]&lt;&gt;"")),tbl_Finance[Xero Invoice No]))=COUNTIFS(tbl_Finance[Job Number],C309&amp;"",tbl_Finance[Xero Invoice No],"&lt;&gt;"),LOOKUP(2,1/((tbl_Finance[Job Number]=C309&amp;"")*(tbl_Finance[Xero Invoice No]&lt;&gt;"")),tbl_Finance[Xero Invoice No]),LOOKUP(2,1/((tbl_Finance[Job Number]=C309&amp;"")*(tbl_Finance[Xero Invoice No]&lt;&gt;"")),tbl_Finance[Xero Invoice No])&amp;" +more"),"")))</f>
        <v/>
      </c>
      <c r="C309" s="24" t="n"/>
      <c r="D309" s="25">
        <f>IF(C309="","",IF(COUNTIF(lst_Jobs,C309&amp;"")&gt;0,"OK","CHECK"))</f>
        <v/>
      </c>
      <c r="E309" s="25">
        <f>IF(C309="","",IFERROR(INDEX(lst_JobName,MATCH(C309&amp;"",lst_Jobs,0)),""))</f>
        <v/>
      </c>
      <c r="F309" s="25">
        <f>IF(C309="","",IFERROR(INDEX(tbl_Finance[Client],MATCH(C309&amp;"",tbl_Finance[Job Number],0)),""))</f>
        <v/>
      </c>
      <c r="G309" s="28">
        <f>IF(C309="","",COUNTIFS(tbl_Finance[Job Number],C309&amp;"",tbl_Finance[Ex GST],"&lt;&gt;"))</f>
        <v/>
      </c>
      <c r="H309" s="27">
        <f>IF(C309="","",SUMIFS(tbl_Finance[Ex GST],tbl_Finance[Job Number],C309&amp;""))</f>
        <v/>
      </c>
      <c r="I309" s="27">
        <f>IF(C309="","",SUMIFS(tbl_Finance[Ex GST],tbl_Finance[Job Number],C309&amp;"",tbl_Finance[Xero Invoice No],"&lt;&gt;"))</f>
        <v/>
      </c>
      <c r="J309" s="27">
        <f>IF(C309="","",H309-I309)</f>
        <v/>
      </c>
      <c r="K309" s="25">
        <f>IF(C309="","",IF(G309=0,"not invoiced yet",SUBSTITUTE(TRIM(IF(COUNTIFS(tbl_Finance[Job Number],C309&amp;"",tbl_Finance[Cost Centre],"ONSITE")&gt;0,"ONSITE ","")&amp;IF(COUNTIFS(tbl_Finance[Job Number],C309&amp;"",tbl_Finance[Cost Centre],"PRODUCTION")&gt;0,"PRODUCTION ","")&amp;IF(COUNTIFS(tbl_Finance[Job Number],C309&amp;"",tbl_Finance[Cost Centre],"VIDEO")&gt;0,"VIDEO ","")&amp;IF(COUNTIFS(tbl_Finance[Job Number],C309&amp;"",tbl_Finance[Cost Centre],"INTEGRATION")&gt;0,"INTEGRATION ","")&amp;IF(COUNTIFS(tbl_Finance[Job Number],C309&amp;"",tbl_Finance[Cost Centre],"CONSULTING")&gt;0,"CONSULTING ","")&amp;IF(COUNTIFS(tbl_Finance[Job Number],C309&amp;"",tbl_Finance[Cost Centre],"CTS")&gt;0,"CTS ",""))," ",", ")))</f>
        <v/>
      </c>
      <c r="L309" s="24" t="n"/>
      <c r="M309" s="25">
        <f>IF(L309="","",HYPERLINK(IF(LEFT(L309,4)="http",L309,set_QwilrBase&amp;L309),"Open quote"))</f>
        <v/>
      </c>
      <c r="N309" s="26" t="n"/>
      <c r="O309" s="26" t="n"/>
      <c r="P309" s="26" t="n"/>
      <c r="Q309" s="25">
        <f>IF(C309="","",IF(N(N309)+N(O309)+N(P309)=0,"Not split",IF(ROUND(N(N309)+N(O309)+N(P309),2)=ROUND(H309,2),"OK","MISMATCH")))</f>
        <v/>
      </c>
      <c r="R309" s="26" t="n"/>
      <c r="S309" s="26" t="n"/>
      <c r="T309" s="26" t="n"/>
      <c r="U309" s="27">
        <f>IF(C309="","",N(R309)+N(S309)+N(T309))</f>
        <v/>
      </c>
      <c r="V309" s="27">
        <f>IF(C309="","",H309-U309)</f>
        <v/>
      </c>
      <c r="W309" s="29">
        <f>IFERROR(V309/H309,"")</f>
        <v/>
      </c>
      <c r="X309" s="24" t="n"/>
    </row>
    <row r="310" ht="15" customHeight="1">
      <c r="A310" s="63">
        <f>IF(C310="","",IFERROR(IF(SUMPRODUCT(MAX((tbl_Finance[Job Number]=C310&amp;"")*(tbl_Finance[Xero Invoice No]&lt;&gt;"")*tbl_Finance[Date]))=0,"",SUMPRODUCT(MAX((tbl_Finance[Job Number]=C310&amp;"")*(tbl_Finance[Xero Invoice No]&lt;&gt;"")*tbl_Finance[Date]))),""))</f>
        <v/>
      </c>
      <c r="B310" s="25">
        <f>IF(C310="","",IF(COUNTIFS(tbl_Finance[Job Number],C310&amp;"",tbl_Finance[Xero Invoice No],"&lt;&gt;")=0,"",IFERROR(IF(COUNTIFS(tbl_Finance[Job Number],C310&amp;"",tbl_Finance[Xero Invoice No],LOOKUP(2,1/((tbl_Finance[Job Number]=C310&amp;"")*(tbl_Finance[Xero Invoice No]&lt;&gt;"")),tbl_Finance[Xero Invoice No]))=COUNTIFS(tbl_Finance[Job Number],C310&amp;"",tbl_Finance[Xero Invoice No],"&lt;&gt;"),LOOKUP(2,1/((tbl_Finance[Job Number]=C310&amp;"")*(tbl_Finance[Xero Invoice No]&lt;&gt;"")),tbl_Finance[Xero Invoice No]),LOOKUP(2,1/((tbl_Finance[Job Number]=C310&amp;"")*(tbl_Finance[Xero Invoice No]&lt;&gt;"")),tbl_Finance[Xero Invoice No])&amp;" +more"),"")))</f>
        <v/>
      </c>
      <c r="C310" s="24" t="n"/>
      <c r="D310" s="25">
        <f>IF(C310="","",IF(COUNTIF(lst_Jobs,C310&amp;"")&gt;0,"OK","CHECK"))</f>
        <v/>
      </c>
      <c r="E310" s="25">
        <f>IF(C310="","",IFERROR(INDEX(lst_JobName,MATCH(C310&amp;"",lst_Jobs,0)),""))</f>
        <v/>
      </c>
      <c r="F310" s="25">
        <f>IF(C310="","",IFERROR(INDEX(tbl_Finance[Client],MATCH(C310&amp;"",tbl_Finance[Job Number],0)),""))</f>
        <v/>
      </c>
      <c r="G310" s="28">
        <f>IF(C310="","",COUNTIFS(tbl_Finance[Job Number],C310&amp;"",tbl_Finance[Ex GST],"&lt;&gt;"))</f>
        <v/>
      </c>
      <c r="H310" s="27">
        <f>IF(C310="","",SUMIFS(tbl_Finance[Ex GST],tbl_Finance[Job Number],C310&amp;""))</f>
        <v/>
      </c>
      <c r="I310" s="27">
        <f>IF(C310="","",SUMIFS(tbl_Finance[Ex GST],tbl_Finance[Job Number],C310&amp;"",tbl_Finance[Xero Invoice No],"&lt;&gt;"))</f>
        <v/>
      </c>
      <c r="J310" s="27">
        <f>IF(C310="","",H310-I310)</f>
        <v/>
      </c>
      <c r="K310" s="25">
        <f>IF(C310="","",IF(G310=0,"not invoiced yet",SUBSTITUTE(TRIM(IF(COUNTIFS(tbl_Finance[Job Number],C310&amp;"",tbl_Finance[Cost Centre],"ONSITE")&gt;0,"ONSITE ","")&amp;IF(COUNTIFS(tbl_Finance[Job Number],C310&amp;"",tbl_Finance[Cost Centre],"PRODUCTION")&gt;0,"PRODUCTION ","")&amp;IF(COUNTIFS(tbl_Finance[Job Number],C310&amp;"",tbl_Finance[Cost Centre],"VIDEO")&gt;0,"VIDEO ","")&amp;IF(COUNTIFS(tbl_Finance[Job Number],C310&amp;"",tbl_Finance[Cost Centre],"INTEGRATION")&gt;0,"INTEGRATION ","")&amp;IF(COUNTIFS(tbl_Finance[Job Number],C310&amp;"",tbl_Finance[Cost Centre],"CONSULTING")&gt;0,"CONSULTING ","")&amp;IF(COUNTIFS(tbl_Finance[Job Number],C310&amp;"",tbl_Finance[Cost Centre],"CTS")&gt;0,"CTS ",""))," ",", ")))</f>
        <v/>
      </c>
      <c r="L310" s="24" t="n"/>
      <c r="M310" s="25">
        <f>IF(L310="","",HYPERLINK(IF(LEFT(L310,4)="http",L310,set_QwilrBase&amp;L310),"Open quote"))</f>
        <v/>
      </c>
      <c r="N310" s="26" t="n"/>
      <c r="O310" s="26" t="n"/>
      <c r="P310" s="26" t="n"/>
      <c r="Q310" s="25">
        <f>IF(C310="","",IF(N(N310)+N(O310)+N(P310)=0,"Not split",IF(ROUND(N(N310)+N(O310)+N(P310),2)=ROUND(H310,2),"OK","MISMATCH")))</f>
        <v/>
      </c>
      <c r="R310" s="26" t="n"/>
      <c r="S310" s="26" t="n"/>
      <c r="T310" s="26" t="n"/>
      <c r="U310" s="27">
        <f>IF(C310="","",N(R310)+N(S310)+N(T310))</f>
        <v/>
      </c>
      <c r="V310" s="27">
        <f>IF(C310="","",H310-U310)</f>
        <v/>
      </c>
      <c r="W310" s="29">
        <f>IFERROR(V310/H310,"")</f>
        <v/>
      </c>
      <c r="X310" s="24" t="n"/>
    </row>
    <row r="311" ht="15" customHeight="1">
      <c r="A311" s="63">
        <f>IF(C311="","",IFERROR(IF(SUMPRODUCT(MAX((tbl_Finance[Job Number]=C311&amp;"")*(tbl_Finance[Xero Invoice No]&lt;&gt;"")*tbl_Finance[Date]))=0,"",SUMPRODUCT(MAX((tbl_Finance[Job Number]=C311&amp;"")*(tbl_Finance[Xero Invoice No]&lt;&gt;"")*tbl_Finance[Date]))),""))</f>
        <v/>
      </c>
      <c r="B311" s="25">
        <f>IF(C311="","",IF(COUNTIFS(tbl_Finance[Job Number],C311&amp;"",tbl_Finance[Xero Invoice No],"&lt;&gt;")=0,"",IFERROR(IF(COUNTIFS(tbl_Finance[Job Number],C311&amp;"",tbl_Finance[Xero Invoice No],LOOKUP(2,1/((tbl_Finance[Job Number]=C311&amp;"")*(tbl_Finance[Xero Invoice No]&lt;&gt;"")),tbl_Finance[Xero Invoice No]))=COUNTIFS(tbl_Finance[Job Number],C311&amp;"",tbl_Finance[Xero Invoice No],"&lt;&gt;"),LOOKUP(2,1/((tbl_Finance[Job Number]=C311&amp;"")*(tbl_Finance[Xero Invoice No]&lt;&gt;"")),tbl_Finance[Xero Invoice No]),LOOKUP(2,1/((tbl_Finance[Job Number]=C311&amp;"")*(tbl_Finance[Xero Invoice No]&lt;&gt;"")),tbl_Finance[Xero Invoice No])&amp;" +more"),"")))</f>
        <v/>
      </c>
      <c r="C311" s="24" t="n"/>
      <c r="D311" s="25">
        <f>IF(C311="","",IF(COUNTIF(lst_Jobs,C311&amp;"")&gt;0,"OK","CHECK"))</f>
        <v/>
      </c>
      <c r="E311" s="25">
        <f>IF(C311="","",IFERROR(INDEX(lst_JobName,MATCH(C311&amp;"",lst_Jobs,0)),""))</f>
        <v/>
      </c>
      <c r="F311" s="25">
        <f>IF(C311="","",IFERROR(INDEX(tbl_Finance[Client],MATCH(C311&amp;"",tbl_Finance[Job Number],0)),""))</f>
        <v/>
      </c>
      <c r="G311" s="28">
        <f>IF(C311="","",COUNTIFS(tbl_Finance[Job Number],C311&amp;"",tbl_Finance[Ex GST],"&lt;&gt;"))</f>
        <v/>
      </c>
      <c r="H311" s="27">
        <f>IF(C311="","",SUMIFS(tbl_Finance[Ex GST],tbl_Finance[Job Number],C311&amp;""))</f>
        <v/>
      </c>
      <c r="I311" s="27">
        <f>IF(C311="","",SUMIFS(tbl_Finance[Ex GST],tbl_Finance[Job Number],C311&amp;"",tbl_Finance[Xero Invoice No],"&lt;&gt;"))</f>
        <v/>
      </c>
      <c r="J311" s="27">
        <f>IF(C311="","",H311-I311)</f>
        <v/>
      </c>
      <c r="K311" s="25">
        <f>IF(C311="","",IF(G311=0,"not invoiced yet",SUBSTITUTE(TRIM(IF(COUNTIFS(tbl_Finance[Job Number],C311&amp;"",tbl_Finance[Cost Centre],"ONSITE")&gt;0,"ONSITE ","")&amp;IF(COUNTIFS(tbl_Finance[Job Number],C311&amp;"",tbl_Finance[Cost Centre],"PRODUCTION")&gt;0,"PRODUCTION ","")&amp;IF(COUNTIFS(tbl_Finance[Job Number],C311&amp;"",tbl_Finance[Cost Centre],"VIDEO")&gt;0,"VIDEO ","")&amp;IF(COUNTIFS(tbl_Finance[Job Number],C311&amp;"",tbl_Finance[Cost Centre],"INTEGRATION")&gt;0,"INTEGRATION ","")&amp;IF(COUNTIFS(tbl_Finance[Job Number],C311&amp;"",tbl_Finance[Cost Centre],"CONSULTING")&gt;0,"CONSULTING ","")&amp;IF(COUNTIFS(tbl_Finance[Job Number],C311&amp;"",tbl_Finance[Cost Centre],"CTS")&gt;0,"CTS ",""))," ",", ")))</f>
        <v/>
      </c>
      <c r="L311" s="24" t="n"/>
      <c r="M311" s="25">
        <f>IF(L311="","",HYPERLINK(IF(LEFT(L311,4)="http",L311,set_QwilrBase&amp;L311),"Open quote"))</f>
        <v/>
      </c>
      <c r="N311" s="26" t="n"/>
      <c r="O311" s="26" t="n"/>
      <c r="P311" s="26" t="n"/>
      <c r="Q311" s="25">
        <f>IF(C311="","",IF(N(N311)+N(O311)+N(P311)=0,"Not split",IF(ROUND(N(N311)+N(O311)+N(P311),2)=ROUND(H311,2),"OK","MISMATCH")))</f>
        <v/>
      </c>
      <c r="R311" s="26" t="n"/>
      <c r="S311" s="26" t="n"/>
      <c r="T311" s="26" t="n"/>
      <c r="U311" s="27">
        <f>IF(C311="","",N(R311)+N(S311)+N(T311))</f>
        <v/>
      </c>
      <c r="V311" s="27">
        <f>IF(C311="","",H311-U311)</f>
        <v/>
      </c>
      <c r="W311" s="29">
        <f>IFERROR(V311/H311,"")</f>
        <v/>
      </c>
      <c r="X311" s="24" t="n"/>
    </row>
    <row r="312" ht="15" customHeight="1">
      <c r="A312" s="63">
        <f>IF(C312="","",IFERROR(IF(SUMPRODUCT(MAX((tbl_Finance[Job Number]=C312&amp;"")*(tbl_Finance[Xero Invoice No]&lt;&gt;"")*tbl_Finance[Date]))=0,"",SUMPRODUCT(MAX((tbl_Finance[Job Number]=C312&amp;"")*(tbl_Finance[Xero Invoice No]&lt;&gt;"")*tbl_Finance[Date]))),""))</f>
        <v/>
      </c>
      <c r="B312" s="25">
        <f>IF(C312="","",IF(COUNTIFS(tbl_Finance[Job Number],C312&amp;"",tbl_Finance[Xero Invoice No],"&lt;&gt;")=0,"",IFERROR(IF(COUNTIFS(tbl_Finance[Job Number],C312&amp;"",tbl_Finance[Xero Invoice No],LOOKUP(2,1/((tbl_Finance[Job Number]=C312&amp;"")*(tbl_Finance[Xero Invoice No]&lt;&gt;"")),tbl_Finance[Xero Invoice No]))=COUNTIFS(tbl_Finance[Job Number],C312&amp;"",tbl_Finance[Xero Invoice No],"&lt;&gt;"),LOOKUP(2,1/((tbl_Finance[Job Number]=C312&amp;"")*(tbl_Finance[Xero Invoice No]&lt;&gt;"")),tbl_Finance[Xero Invoice No]),LOOKUP(2,1/((tbl_Finance[Job Number]=C312&amp;"")*(tbl_Finance[Xero Invoice No]&lt;&gt;"")),tbl_Finance[Xero Invoice No])&amp;" +more"),"")))</f>
        <v/>
      </c>
      <c r="C312" s="24" t="n"/>
      <c r="D312" s="25">
        <f>IF(C312="","",IF(COUNTIF(lst_Jobs,C312&amp;"")&gt;0,"OK","CHECK"))</f>
        <v/>
      </c>
      <c r="E312" s="25">
        <f>IF(C312="","",IFERROR(INDEX(lst_JobName,MATCH(C312&amp;"",lst_Jobs,0)),""))</f>
        <v/>
      </c>
      <c r="F312" s="25">
        <f>IF(C312="","",IFERROR(INDEX(tbl_Finance[Client],MATCH(C312&amp;"",tbl_Finance[Job Number],0)),""))</f>
        <v/>
      </c>
      <c r="G312" s="28">
        <f>IF(C312="","",COUNTIFS(tbl_Finance[Job Number],C312&amp;"",tbl_Finance[Ex GST],"&lt;&gt;"))</f>
        <v/>
      </c>
      <c r="H312" s="27">
        <f>IF(C312="","",SUMIFS(tbl_Finance[Ex GST],tbl_Finance[Job Number],C312&amp;""))</f>
        <v/>
      </c>
      <c r="I312" s="27">
        <f>IF(C312="","",SUMIFS(tbl_Finance[Ex GST],tbl_Finance[Job Number],C312&amp;"",tbl_Finance[Xero Invoice No],"&lt;&gt;"))</f>
        <v/>
      </c>
      <c r="J312" s="27">
        <f>IF(C312="","",H312-I312)</f>
        <v/>
      </c>
      <c r="K312" s="25">
        <f>IF(C312="","",IF(G312=0,"not invoiced yet",SUBSTITUTE(TRIM(IF(COUNTIFS(tbl_Finance[Job Number],C312&amp;"",tbl_Finance[Cost Centre],"ONSITE")&gt;0,"ONSITE ","")&amp;IF(COUNTIFS(tbl_Finance[Job Number],C312&amp;"",tbl_Finance[Cost Centre],"PRODUCTION")&gt;0,"PRODUCTION ","")&amp;IF(COUNTIFS(tbl_Finance[Job Number],C312&amp;"",tbl_Finance[Cost Centre],"VIDEO")&gt;0,"VIDEO ","")&amp;IF(COUNTIFS(tbl_Finance[Job Number],C312&amp;"",tbl_Finance[Cost Centre],"INTEGRATION")&gt;0,"INTEGRATION ","")&amp;IF(COUNTIFS(tbl_Finance[Job Number],C312&amp;"",tbl_Finance[Cost Centre],"CONSULTING")&gt;0,"CONSULTING ","")&amp;IF(COUNTIFS(tbl_Finance[Job Number],C312&amp;"",tbl_Finance[Cost Centre],"CTS")&gt;0,"CTS ",""))," ",", ")))</f>
        <v/>
      </c>
      <c r="L312" s="24" t="n"/>
      <c r="M312" s="25">
        <f>IF(L312="","",HYPERLINK(IF(LEFT(L312,4)="http",L312,set_QwilrBase&amp;L312),"Open quote"))</f>
        <v/>
      </c>
      <c r="N312" s="26" t="n"/>
      <c r="O312" s="26" t="n"/>
      <c r="P312" s="26" t="n"/>
      <c r="Q312" s="25">
        <f>IF(C312="","",IF(N(N312)+N(O312)+N(P312)=0,"Not split",IF(ROUND(N(N312)+N(O312)+N(P312),2)=ROUND(H312,2),"OK","MISMATCH")))</f>
        <v/>
      </c>
      <c r="R312" s="26" t="n"/>
      <c r="S312" s="26" t="n"/>
      <c r="T312" s="26" t="n"/>
      <c r="U312" s="27">
        <f>IF(C312="","",N(R312)+N(S312)+N(T312))</f>
        <v/>
      </c>
      <c r="V312" s="27">
        <f>IF(C312="","",H312-U312)</f>
        <v/>
      </c>
      <c r="W312" s="29">
        <f>IFERROR(V312/H312,"")</f>
        <v/>
      </c>
      <c r="X312" s="24" t="n"/>
    </row>
    <row r="313" ht="15" customHeight="1">
      <c r="A313" s="63">
        <f>IF(C313="","",IFERROR(IF(SUMPRODUCT(MAX((tbl_Finance[Job Number]=C313&amp;"")*(tbl_Finance[Xero Invoice No]&lt;&gt;"")*tbl_Finance[Date]))=0,"",SUMPRODUCT(MAX((tbl_Finance[Job Number]=C313&amp;"")*(tbl_Finance[Xero Invoice No]&lt;&gt;"")*tbl_Finance[Date]))),""))</f>
        <v/>
      </c>
      <c r="B313" s="25">
        <f>IF(C313="","",IF(COUNTIFS(tbl_Finance[Job Number],C313&amp;"",tbl_Finance[Xero Invoice No],"&lt;&gt;")=0,"",IFERROR(IF(COUNTIFS(tbl_Finance[Job Number],C313&amp;"",tbl_Finance[Xero Invoice No],LOOKUP(2,1/((tbl_Finance[Job Number]=C313&amp;"")*(tbl_Finance[Xero Invoice No]&lt;&gt;"")),tbl_Finance[Xero Invoice No]))=COUNTIFS(tbl_Finance[Job Number],C313&amp;"",tbl_Finance[Xero Invoice No],"&lt;&gt;"),LOOKUP(2,1/((tbl_Finance[Job Number]=C313&amp;"")*(tbl_Finance[Xero Invoice No]&lt;&gt;"")),tbl_Finance[Xero Invoice No]),LOOKUP(2,1/((tbl_Finance[Job Number]=C313&amp;"")*(tbl_Finance[Xero Invoice No]&lt;&gt;"")),tbl_Finance[Xero Invoice No])&amp;" +more"),"")))</f>
        <v/>
      </c>
      <c r="C313" s="24" t="n"/>
      <c r="D313" s="25">
        <f>IF(C313="","",IF(COUNTIF(lst_Jobs,C313&amp;"")&gt;0,"OK","CHECK"))</f>
        <v/>
      </c>
      <c r="E313" s="25">
        <f>IF(C313="","",IFERROR(INDEX(lst_JobName,MATCH(C313&amp;"",lst_Jobs,0)),""))</f>
        <v/>
      </c>
      <c r="F313" s="25">
        <f>IF(C313="","",IFERROR(INDEX(tbl_Finance[Client],MATCH(C313&amp;"",tbl_Finance[Job Number],0)),""))</f>
        <v/>
      </c>
      <c r="G313" s="28">
        <f>IF(C313="","",COUNTIFS(tbl_Finance[Job Number],C313&amp;"",tbl_Finance[Ex GST],"&lt;&gt;"))</f>
        <v/>
      </c>
      <c r="H313" s="27">
        <f>IF(C313="","",SUMIFS(tbl_Finance[Ex GST],tbl_Finance[Job Number],C313&amp;""))</f>
        <v/>
      </c>
      <c r="I313" s="27">
        <f>IF(C313="","",SUMIFS(tbl_Finance[Ex GST],tbl_Finance[Job Number],C313&amp;"",tbl_Finance[Xero Invoice No],"&lt;&gt;"))</f>
        <v/>
      </c>
      <c r="J313" s="27">
        <f>IF(C313="","",H313-I313)</f>
        <v/>
      </c>
      <c r="K313" s="25">
        <f>IF(C313="","",IF(G313=0,"not invoiced yet",SUBSTITUTE(TRIM(IF(COUNTIFS(tbl_Finance[Job Number],C313&amp;"",tbl_Finance[Cost Centre],"ONSITE")&gt;0,"ONSITE ","")&amp;IF(COUNTIFS(tbl_Finance[Job Number],C313&amp;"",tbl_Finance[Cost Centre],"PRODUCTION")&gt;0,"PRODUCTION ","")&amp;IF(COUNTIFS(tbl_Finance[Job Number],C313&amp;"",tbl_Finance[Cost Centre],"VIDEO")&gt;0,"VIDEO ","")&amp;IF(COUNTIFS(tbl_Finance[Job Number],C313&amp;"",tbl_Finance[Cost Centre],"INTEGRATION")&gt;0,"INTEGRATION ","")&amp;IF(COUNTIFS(tbl_Finance[Job Number],C313&amp;"",tbl_Finance[Cost Centre],"CONSULTING")&gt;0,"CONSULTING ","")&amp;IF(COUNTIFS(tbl_Finance[Job Number],C313&amp;"",tbl_Finance[Cost Centre],"CTS")&gt;0,"CTS ",""))," ",", ")))</f>
        <v/>
      </c>
      <c r="L313" s="24" t="n"/>
      <c r="M313" s="25">
        <f>IF(L313="","",HYPERLINK(IF(LEFT(L313,4)="http",L313,set_QwilrBase&amp;L313),"Open quote"))</f>
        <v/>
      </c>
      <c r="N313" s="26" t="n"/>
      <c r="O313" s="26" t="n"/>
      <c r="P313" s="26" t="n"/>
      <c r="Q313" s="25">
        <f>IF(C313="","",IF(N(N313)+N(O313)+N(P313)=0,"Not split",IF(ROUND(N(N313)+N(O313)+N(P313),2)=ROUND(H313,2),"OK","MISMATCH")))</f>
        <v/>
      </c>
      <c r="R313" s="26" t="n"/>
      <c r="S313" s="26" t="n"/>
      <c r="T313" s="26" t="n"/>
      <c r="U313" s="27">
        <f>IF(C313="","",N(R313)+N(S313)+N(T313))</f>
        <v/>
      </c>
      <c r="V313" s="27">
        <f>IF(C313="","",H313-U313)</f>
        <v/>
      </c>
      <c r="W313" s="29">
        <f>IFERROR(V313/H313,"")</f>
        <v/>
      </c>
      <c r="X313" s="24" t="n"/>
    </row>
    <row r="314" ht="15" customHeight="1">
      <c r="A314" s="63">
        <f>IF(C314="","",IFERROR(IF(SUMPRODUCT(MAX((tbl_Finance[Job Number]=C314&amp;"")*(tbl_Finance[Xero Invoice No]&lt;&gt;"")*tbl_Finance[Date]))=0,"",SUMPRODUCT(MAX((tbl_Finance[Job Number]=C314&amp;"")*(tbl_Finance[Xero Invoice No]&lt;&gt;"")*tbl_Finance[Date]))),""))</f>
        <v/>
      </c>
      <c r="B314" s="25">
        <f>IF(C314="","",IF(COUNTIFS(tbl_Finance[Job Number],C314&amp;"",tbl_Finance[Xero Invoice No],"&lt;&gt;")=0,"",IFERROR(IF(COUNTIFS(tbl_Finance[Job Number],C314&amp;"",tbl_Finance[Xero Invoice No],LOOKUP(2,1/((tbl_Finance[Job Number]=C314&amp;"")*(tbl_Finance[Xero Invoice No]&lt;&gt;"")),tbl_Finance[Xero Invoice No]))=COUNTIFS(tbl_Finance[Job Number],C314&amp;"",tbl_Finance[Xero Invoice No],"&lt;&gt;"),LOOKUP(2,1/((tbl_Finance[Job Number]=C314&amp;"")*(tbl_Finance[Xero Invoice No]&lt;&gt;"")),tbl_Finance[Xero Invoice No]),LOOKUP(2,1/((tbl_Finance[Job Number]=C314&amp;"")*(tbl_Finance[Xero Invoice No]&lt;&gt;"")),tbl_Finance[Xero Invoice No])&amp;" +more"),"")))</f>
        <v/>
      </c>
      <c r="C314" s="24" t="n"/>
      <c r="D314" s="25">
        <f>IF(C314="","",IF(COUNTIF(lst_Jobs,C314&amp;"")&gt;0,"OK","CHECK"))</f>
        <v/>
      </c>
      <c r="E314" s="25">
        <f>IF(C314="","",IFERROR(INDEX(lst_JobName,MATCH(C314&amp;"",lst_Jobs,0)),""))</f>
        <v/>
      </c>
      <c r="F314" s="25">
        <f>IF(C314="","",IFERROR(INDEX(tbl_Finance[Client],MATCH(C314&amp;"",tbl_Finance[Job Number],0)),""))</f>
        <v/>
      </c>
      <c r="G314" s="28">
        <f>IF(C314="","",COUNTIFS(tbl_Finance[Job Number],C314&amp;"",tbl_Finance[Ex GST],"&lt;&gt;"))</f>
        <v/>
      </c>
      <c r="H314" s="27">
        <f>IF(C314="","",SUMIFS(tbl_Finance[Ex GST],tbl_Finance[Job Number],C314&amp;""))</f>
        <v/>
      </c>
      <c r="I314" s="27">
        <f>IF(C314="","",SUMIFS(tbl_Finance[Ex GST],tbl_Finance[Job Number],C314&amp;"",tbl_Finance[Xero Invoice No],"&lt;&gt;"))</f>
        <v/>
      </c>
      <c r="J314" s="27">
        <f>IF(C314="","",H314-I314)</f>
        <v/>
      </c>
      <c r="K314" s="25">
        <f>IF(C314="","",IF(G314=0,"not invoiced yet",SUBSTITUTE(TRIM(IF(COUNTIFS(tbl_Finance[Job Number],C314&amp;"",tbl_Finance[Cost Centre],"ONSITE")&gt;0,"ONSITE ","")&amp;IF(COUNTIFS(tbl_Finance[Job Number],C314&amp;"",tbl_Finance[Cost Centre],"PRODUCTION")&gt;0,"PRODUCTION ","")&amp;IF(COUNTIFS(tbl_Finance[Job Number],C314&amp;"",tbl_Finance[Cost Centre],"VIDEO")&gt;0,"VIDEO ","")&amp;IF(COUNTIFS(tbl_Finance[Job Number],C314&amp;"",tbl_Finance[Cost Centre],"INTEGRATION")&gt;0,"INTEGRATION ","")&amp;IF(COUNTIFS(tbl_Finance[Job Number],C314&amp;"",tbl_Finance[Cost Centre],"CONSULTING")&gt;0,"CONSULTING ","")&amp;IF(COUNTIFS(tbl_Finance[Job Number],C314&amp;"",tbl_Finance[Cost Centre],"CTS")&gt;0,"CTS ",""))," ",", ")))</f>
        <v/>
      </c>
      <c r="L314" s="24" t="n"/>
      <c r="M314" s="25">
        <f>IF(L314="","",HYPERLINK(IF(LEFT(L314,4)="http",L314,set_QwilrBase&amp;L314),"Open quote"))</f>
        <v/>
      </c>
      <c r="N314" s="26" t="n"/>
      <c r="O314" s="26" t="n"/>
      <c r="P314" s="26" t="n"/>
      <c r="Q314" s="25">
        <f>IF(C314="","",IF(N(N314)+N(O314)+N(P314)=0,"Not split",IF(ROUND(N(N314)+N(O314)+N(P314),2)=ROUND(H314,2),"OK","MISMATCH")))</f>
        <v/>
      </c>
      <c r="R314" s="26" t="n"/>
      <c r="S314" s="26" t="n"/>
      <c r="T314" s="26" t="n"/>
      <c r="U314" s="27">
        <f>IF(C314="","",N(R314)+N(S314)+N(T314))</f>
        <v/>
      </c>
      <c r="V314" s="27">
        <f>IF(C314="","",H314-U314)</f>
        <v/>
      </c>
      <c r="W314" s="29">
        <f>IFERROR(V314/H314,"")</f>
        <v/>
      </c>
      <c r="X314" s="24" t="n"/>
    </row>
    <row r="315" ht="15" customHeight="1">
      <c r="A315" s="63">
        <f>IF(C315="","",IFERROR(IF(SUMPRODUCT(MAX((tbl_Finance[Job Number]=C315&amp;"")*(tbl_Finance[Xero Invoice No]&lt;&gt;"")*tbl_Finance[Date]))=0,"",SUMPRODUCT(MAX((tbl_Finance[Job Number]=C315&amp;"")*(tbl_Finance[Xero Invoice No]&lt;&gt;"")*tbl_Finance[Date]))),""))</f>
        <v/>
      </c>
      <c r="B315" s="25">
        <f>IF(C315="","",IF(COUNTIFS(tbl_Finance[Job Number],C315&amp;"",tbl_Finance[Xero Invoice No],"&lt;&gt;")=0,"",IFERROR(IF(COUNTIFS(tbl_Finance[Job Number],C315&amp;"",tbl_Finance[Xero Invoice No],LOOKUP(2,1/((tbl_Finance[Job Number]=C315&amp;"")*(tbl_Finance[Xero Invoice No]&lt;&gt;"")),tbl_Finance[Xero Invoice No]))=COUNTIFS(tbl_Finance[Job Number],C315&amp;"",tbl_Finance[Xero Invoice No],"&lt;&gt;"),LOOKUP(2,1/((tbl_Finance[Job Number]=C315&amp;"")*(tbl_Finance[Xero Invoice No]&lt;&gt;"")),tbl_Finance[Xero Invoice No]),LOOKUP(2,1/((tbl_Finance[Job Number]=C315&amp;"")*(tbl_Finance[Xero Invoice No]&lt;&gt;"")),tbl_Finance[Xero Invoice No])&amp;" +more"),"")))</f>
        <v/>
      </c>
      <c r="C315" s="24" t="n"/>
      <c r="D315" s="25">
        <f>IF(C315="","",IF(COUNTIF(lst_Jobs,C315&amp;"")&gt;0,"OK","CHECK"))</f>
        <v/>
      </c>
      <c r="E315" s="25">
        <f>IF(C315="","",IFERROR(INDEX(lst_JobName,MATCH(C315&amp;"",lst_Jobs,0)),""))</f>
        <v/>
      </c>
      <c r="F315" s="25">
        <f>IF(C315="","",IFERROR(INDEX(tbl_Finance[Client],MATCH(C315&amp;"",tbl_Finance[Job Number],0)),""))</f>
        <v/>
      </c>
      <c r="G315" s="28">
        <f>IF(C315="","",COUNTIFS(tbl_Finance[Job Number],C315&amp;"",tbl_Finance[Ex GST],"&lt;&gt;"))</f>
        <v/>
      </c>
      <c r="H315" s="27">
        <f>IF(C315="","",SUMIFS(tbl_Finance[Ex GST],tbl_Finance[Job Number],C315&amp;""))</f>
        <v/>
      </c>
      <c r="I315" s="27">
        <f>IF(C315="","",SUMIFS(tbl_Finance[Ex GST],tbl_Finance[Job Number],C315&amp;"",tbl_Finance[Xero Invoice No],"&lt;&gt;"))</f>
        <v/>
      </c>
      <c r="J315" s="27">
        <f>IF(C315="","",H315-I315)</f>
        <v/>
      </c>
      <c r="K315" s="25">
        <f>IF(C315="","",IF(G315=0,"not invoiced yet",SUBSTITUTE(TRIM(IF(COUNTIFS(tbl_Finance[Job Number],C315&amp;"",tbl_Finance[Cost Centre],"ONSITE")&gt;0,"ONSITE ","")&amp;IF(COUNTIFS(tbl_Finance[Job Number],C315&amp;"",tbl_Finance[Cost Centre],"PRODUCTION")&gt;0,"PRODUCTION ","")&amp;IF(COUNTIFS(tbl_Finance[Job Number],C315&amp;"",tbl_Finance[Cost Centre],"VIDEO")&gt;0,"VIDEO ","")&amp;IF(COUNTIFS(tbl_Finance[Job Number],C315&amp;"",tbl_Finance[Cost Centre],"INTEGRATION")&gt;0,"INTEGRATION ","")&amp;IF(COUNTIFS(tbl_Finance[Job Number],C315&amp;"",tbl_Finance[Cost Centre],"CONSULTING")&gt;0,"CONSULTING ","")&amp;IF(COUNTIFS(tbl_Finance[Job Number],C315&amp;"",tbl_Finance[Cost Centre],"CTS")&gt;0,"CTS ",""))," ",", ")))</f>
        <v/>
      </c>
      <c r="L315" s="24" t="n"/>
      <c r="M315" s="25">
        <f>IF(L315="","",HYPERLINK(IF(LEFT(L315,4)="http",L315,set_QwilrBase&amp;L315),"Open quote"))</f>
        <v/>
      </c>
      <c r="N315" s="26" t="n"/>
      <c r="O315" s="26" t="n"/>
      <c r="P315" s="26" t="n"/>
      <c r="Q315" s="25">
        <f>IF(C315="","",IF(N(N315)+N(O315)+N(P315)=0,"Not split",IF(ROUND(N(N315)+N(O315)+N(P315),2)=ROUND(H315,2),"OK","MISMATCH")))</f>
        <v/>
      </c>
      <c r="R315" s="26" t="n"/>
      <c r="S315" s="26" t="n"/>
      <c r="T315" s="26" t="n"/>
      <c r="U315" s="27">
        <f>IF(C315="","",N(R315)+N(S315)+N(T315))</f>
        <v/>
      </c>
      <c r="V315" s="27">
        <f>IF(C315="","",H315-U315)</f>
        <v/>
      </c>
      <c r="W315" s="29">
        <f>IFERROR(V315/H315,"")</f>
        <v/>
      </c>
      <c r="X315" s="24" t="n"/>
    </row>
    <row r="316" ht="15" customHeight="1">
      <c r="A316" s="63">
        <f>IF(C316="","",IFERROR(IF(SUMPRODUCT(MAX((tbl_Finance[Job Number]=C316&amp;"")*(tbl_Finance[Xero Invoice No]&lt;&gt;"")*tbl_Finance[Date]))=0,"",SUMPRODUCT(MAX((tbl_Finance[Job Number]=C316&amp;"")*(tbl_Finance[Xero Invoice No]&lt;&gt;"")*tbl_Finance[Date]))),""))</f>
        <v/>
      </c>
      <c r="B316" s="25">
        <f>IF(C316="","",IF(COUNTIFS(tbl_Finance[Job Number],C316&amp;"",tbl_Finance[Xero Invoice No],"&lt;&gt;")=0,"",IFERROR(IF(COUNTIFS(tbl_Finance[Job Number],C316&amp;"",tbl_Finance[Xero Invoice No],LOOKUP(2,1/((tbl_Finance[Job Number]=C316&amp;"")*(tbl_Finance[Xero Invoice No]&lt;&gt;"")),tbl_Finance[Xero Invoice No]))=COUNTIFS(tbl_Finance[Job Number],C316&amp;"",tbl_Finance[Xero Invoice No],"&lt;&gt;"),LOOKUP(2,1/((tbl_Finance[Job Number]=C316&amp;"")*(tbl_Finance[Xero Invoice No]&lt;&gt;"")),tbl_Finance[Xero Invoice No]),LOOKUP(2,1/((tbl_Finance[Job Number]=C316&amp;"")*(tbl_Finance[Xero Invoice No]&lt;&gt;"")),tbl_Finance[Xero Invoice No])&amp;" +more"),"")))</f>
        <v/>
      </c>
      <c r="C316" s="24" t="n"/>
      <c r="D316" s="25">
        <f>IF(C316="","",IF(COUNTIF(lst_Jobs,C316&amp;"")&gt;0,"OK","CHECK"))</f>
        <v/>
      </c>
      <c r="E316" s="25">
        <f>IF(C316="","",IFERROR(INDEX(lst_JobName,MATCH(C316&amp;"",lst_Jobs,0)),""))</f>
        <v/>
      </c>
      <c r="F316" s="25">
        <f>IF(C316="","",IFERROR(INDEX(tbl_Finance[Client],MATCH(C316&amp;"",tbl_Finance[Job Number],0)),""))</f>
        <v/>
      </c>
      <c r="G316" s="28">
        <f>IF(C316="","",COUNTIFS(tbl_Finance[Job Number],C316&amp;"",tbl_Finance[Ex GST],"&lt;&gt;"))</f>
        <v/>
      </c>
      <c r="H316" s="27">
        <f>IF(C316="","",SUMIFS(tbl_Finance[Ex GST],tbl_Finance[Job Number],C316&amp;""))</f>
        <v/>
      </c>
      <c r="I316" s="27">
        <f>IF(C316="","",SUMIFS(tbl_Finance[Ex GST],tbl_Finance[Job Number],C316&amp;"",tbl_Finance[Xero Invoice No],"&lt;&gt;"))</f>
        <v/>
      </c>
      <c r="J316" s="27">
        <f>IF(C316="","",H316-I316)</f>
        <v/>
      </c>
      <c r="K316" s="25">
        <f>IF(C316="","",IF(G316=0,"not invoiced yet",SUBSTITUTE(TRIM(IF(COUNTIFS(tbl_Finance[Job Number],C316&amp;"",tbl_Finance[Cost Centre],"ONSITE")&gt;0,"ONSITE ","")&amp;IF(COUNTIFS(tbl_Finance[Job Number],C316&amp;"",tbl_Finance[Cost Centre],"PRODUCTION")&gt;0,"PRODUCTION ","")&amp;IF(COUNTIFS(tbl_Finance[Job Number],C316&amp;"",tbl_Finance[Cost Centre],"VIDEO")&gt;0,"VIDEO ","")&amp;IF(COUNTIFS(tbl_Finance[Job Number],C316&amp;"",tbl_Finance[Cost Centre],"INTEGRATION")&gt;0,"INTEGRATION ","")&amp;IF(COUNTIFS(tbl_Finance[Job Number],C316&amp;"",tbl_Finance[Cost Centre],"CONSULTING")&gt;0,"CONSULTING ","")&amp;IF(COUNTIFS(tbl_Finance[Job Number],C316&amp;"",tbl_Finance[Cost Centre],"CTS")&gt;0,"CTS ",""))," ",", ")))</f>
        <v/>
      </c>
      <c r="L316" s="24" t="n"/>
      <c r="M316" s="25">
        <f>IF(L316="","",HYPERLINK(IF(LEFT(L316,4)="http",L316,set_QwilrBase&amp;L316),"Open quote"))</f>
        <v/>
      </c>
      <c r="N316" s="26" t="n"/>
      <c r="O316" s="26" t="n"/>
      <c r="P316" s="26" t="n"/>
      <c r="Q316" s="25">
        <f>IF(C316="","",IF(N(N316)+N(O316)+N(P316)=0,"Not split",IF(ROUND(N(N316)+N(O316)+N(P316),2)=ROUND(H316,2),"OK","MISMATCH")))</f>
        <v/>
      </c>
      <c r="R316" s="26" t="n"/>
      <c r="S316" s="26" t="n"/>
      <c r="T316" s="26" t="n"/>
      <c r="U316" s="27">
        <f>IF(C316="","",N(R316)+N(S316)+N(T316))</f>
        <v/>
      </c>
      <c r="V316" s="27">
        <f>IF(C316="","",H316-U316)</f>
        <v/>
      </c>
      <c r="W316" s="29">
        <f>IFERROR(V316/H316,"")</f>
        <v/>
      </c>
      <c r="X316" s="24" t="n"/>
    </row>
    <row r="317" ht="15" customHeight="1">
      <c r="A317" s="63">
        <f>IF(C317="","",IFERROR(IF(SUMPRODUCT(MAX((tbl_Finance[Job Number]=C317&amp;"")*(tbl_Finance[Xero Invoice No]&lt;&gt;"")*tbl_Finance[Date]))=0,"",SUMPRODUCT(MAX((tbl_Finance[Job Number]=C317&amp;"")*(tbl_Finance[Xero Invoice No]&lt;&gt;"")*tbl_Finance[Date]))),""))</f>
        <v/>
      </c>
      <c r="B317" s="25">
        <f>IF(C317="","",IF(COUNTIFS(tbl_Finance[Job Number],C317&amp;"",tbl_Finance[Xero Invoice No],"&lt;&gt;")=0,"",IFERROR(IF(COUNTIFS(tbl_Finance[Job Number],C317&amp;"",tbl_Finance[Xero Invoice No],LOOKUP(2,1/((tbl_Finance[Job Number]=C317&amp;"")*(tbl_Finance[Xero Invoice No]&lt;&gt;"")),tbl_Finance[Xero Invoice No]))=COUNTIFS(tbl_Finance[Job Number],C317&amp;"",tbl_Finance[Xero Invoice No],"&lt;&gt;"),LOOKUP(2,1/((tbl_Finance[Job Number]=C317&amp;"")*(tbl_Finance[Xero Invoice No]&lt;&gt;"")),tbl_Finance[Xero Invoice No]),LOOKUP(2,1/((tbl_Finance[Job Number]=C317&amp;"")*(tbl_Finance[Xero Invoice No]&lt;&gt;"")),tbl_Finance[Xero Invoice No])&amp;" +more"),"")))</f>
        <v/>
      </c>
      <c r="C317" s="24" t="n"/>
      <c r="D317" s="25">
        <f>IF(C317="","",IF(COUNTIF(lst_Jobs,C317&amp;"")&gt;0,"OK","CHECK"))</f>
        <v/>
      </c>
      <c r="E317" s="25">
        <f>IF(C317="","",IFERROR(INDEX(lst_JobName,MATCH(C317&amp;"",lst_Jobs,0)),""))</f>
        <v/>
      </c>
      <c r="F317" s="25">
        <f>IF(C317="","",IFERROR(INDEX(tbl_Finance[Client],MATCH(C317&amp;"",tbl_Finance[Job Number],0)),""))</f>
        <v/>
      </c>
      <c r="G317" s="28">
        <f>IF(C317="","",COUNTIFS(tbl_Finance[Job Number],C317&amp;"",tbl_Finance[Ex GST],"&lt;&gt;"))</f>
        <v/>
      </c>
      <c r="H317" s="27">
        <f>IF(C317="","",SUMIFS(tbl_Finance[Ex GST],tbl_Finance[Job Number],C317&amp;""))</f>
        <v/>
      </c>
      <c r="I317" s="27">
        <f>IF(C317="","",SUMIFS(tbl_Finance[Ex GST],tbl_Finance[Job Number],C317&amp;"",tbl_Finance[Xero Invoice No],"&lt;&gt;"))</f>
        <v/>
      </c>
      <c r="J317" s="27">
        <f>IF(C317="","",H317-I317)</f>
        <v/>
      </c>
      <c r="K317" s="25">
        <f>IF(C317="","",IF(G317=0,"not invoiced yet",SUBSTITUTE(TRIM(IF(COUNTIFS(tbl_Finance[Job Number],C317&amp;"",tbl_Finance[Cost Centre],"ONSITE")&gt;0,"ONSITE ","")&amp;IF(COUNTIFS(tbl_Finance[Job Number],C317&amp;"",tbl_Finance[Cost Centre],"PRODUCTION")&gt;0,"PRODUCTION ","")&amp;IF(COUNTIFS(tbl_Finance[Job Number],C317&amp;"",tbl_Finance[Cost Centre],"VIDEO")&gt;0,"VIDEO ","")&amp;IF(COUNTIFS(tbl_Finance[Job Number],C317&amp;"",tbl_Finance[Cost Centre],"INTEGRATION")&gt;0,"INTEGRATION ","")&amp;IF(COUNTIFS(tbl_Finance[Job Number],C317&amp;"",tbl_Finance[Cost Centre],"CONSULTING")&gt;0,"CONSULTING ","")&amp;IF(COUNTIFS(tbl_Finance[Job Number],C317&amp;"",tbl_Finance[Cost Centre],"CTS")&gt;0,"CTS ",""))," ",", ")))</f>
        <v/>
      </c>
      <c r="L317" s="24" t="n"/>
      <c r="M317" s="25">
        <f>IF(L317="","",HYPERLINK(IF(LEFT(L317,4)="http",L317,set_QwilrBase&amp;L317),"Open quote"))</f>
        <v/>
      </c>
      <c r="N317" s="26" t="n"/>
      <c r="O317" s="26" t="n"/>
      <c r="P317" s="26" t="n"/>
      <c r="Q317" s="25">
        <f>IF(C317="","",IF(N(N317)+N(O317)+N(P317)=0,"Not split",IF(ROUND(N(N317)+N(O317)+N(P317),2)=ROUND(H317,2),"OK","MISMATCH")))</f>
        <v/>
      </c>
      <c r="R317" s="26" t="n"/>
      <c r="S317" s="26" t="n"/>
      <c r="T317" s="26" t="n"/>
      <c r="U317" s="27">
        <f>IF(C317="","",N(R317)+N(S317)+N(T317))</f>
        <v/>
      </c>
      <c r="V317" s="27">
        <f>IF(C317="","",H317-U317)</f>
        <v/>
      </c>
      <c r="W317" s="29">
        <f>IFERROR(V317/H317,"")</f>
        <v/>
      </c>
      <c r="X317" s="24" t="n"/>
    </row>
    <row r="318" ht="15" customHeight="1">
      <c r="A318" s="63">
        <f>IF(C318="","",IFERROR(IF(SUMPRODUCT(MAX((tbl_Finance[Job Number]=C318&amp;"")*(tbl_Finance[Xero Invoice No]&lt;&gt;"")*tbl_Finance[Date]))=0,"",SUMPRODUCT(MAX((tbl_Finance[Job Number]=C318&amp;"")*(tbl_Finance[Xero Invoice No]&lt;&gt;"")*tbl_Finance[Date]))),""))</f>
        <v/>
      </c>
      <c r="B318" s="25">
        <f>IF(C318="","",IF(COUNTIFS(tbl_Finance[Job Number],C318&amp;"",tbl_Finance[Xero Invoice No],"&lt;&gt;")=0,"",IFERROR(IF(COUNTIFS(tbl_Finance[Job Number],C318&amp;"",tbl_Finance[Xero Invoice No],LOOKUP(2,1/((tbl_Finance[Job Number]=C318&amp;"")*(tbl_Finance[Xero Invoice No]&lt;&gt;"")),tbl_Finance[Xero Invoice No]))=COUNTIFS(tbl_Finance[Job Number],C318&amp;"",tbl_Finance[Xero Invoice No],"&lt;&gt;"),LOOKUP(2,1/((tbl_Finance[Job Number]=C318&amp;"")*(tbl_Finance[Xero Invoice No]&lt;&gt;"")),tbl_Finance[Xero Invoice No]),LOOKUP(2,1/((tbl_Finance[Job Number]=C318&amp;"")*(tbl_Finance[Xero Invoice No]&lt;&gt;"")),tbl_Finance[Xero Invoice No])&amp;" +more"),"")))</f>
        <v/>
      </c>
      <c r="C318" s="24" t="n"/>
      <c r="D318" s="25">
        <f>IF(C318="","",IF(COUNTIF(lst_Jobs,C318&amp;"")&gt;0,"OK","CHECK"))</f>
        <v/>
      </c>
      <c r="E318" s="25">
        <f>IF(C318="","",IFERROR(INDEX(lst_JobName,MATCH(C318&amp;"",lst_Jobs,0)),""))</f>
        <v/>
      </c>
      <c r="F318" s="25">
        <f>IF(C318="","",IFERROR(INDEX(tbl_Finance[Client],MATCH(C318&amp;"",tbl_Finance[Job Number],0)),""))</f>
        <v/>
      </c>
      <c r="G318" s="28">
        <f>IF(C318="","",COUNTIFS(tbl_Finance[Job Number],C318&amp;"",tbl_Finance[Ex GST],"&lt;&gt;"))</f>
        <v/>
      </c>
      <c r="H318" s="27">
        <f>IF(C318="","",SUMIFS(tbl_Finance[Ex GST],tbl_Finance[Job Number],C318&amp;""))</f>
        <v/>
      </c>
      <c r="I318" s="27">
        <f>IF(C318="","",SUMIFS(tbl_Finance[Ex GST],tbl_Finance[Job Number],C318&amp;"",tbl_Finance[Xero Invoice No],"&lt;&gt;"))</f>
        <v/>
      </c>
      <c r="J318" s="27">
        <f>IF(C318="","",H318-I318)</f>
        <v/>
      </c>
      <c r="K318" s="25">
        <f>IF(C318="","",IF(G318=0,"not invoiced yet",SUBSTITUTE(TRIM(IF(COUNTIFS(tbl_Finance[Job Number],C318&amp;"",tbl_Finance[Cost Centre],"ONSITE")&gt;0,"ONSITE ","")&amp;IF(COUNTIFS(tbl_Finance[Job Number],C318&amp;"",tbl_Finance[Cost Centre],"PRODUCTION")&gt;0,"PRODUCTION ","")&amp;IF(COUNTIFS(tbl_Finance[Job Number],C318&amp;"",tbl_Finance[Cost Centre],"VIDEO")&gt;0,"VIDEO ","")&amp;IF(COUNTIFS(tbl_Finance[Job Number],C318&amp;"",tbl_Finance[Cost Centre],"INTEGRATION")&gt;0,"INTEGRATION ","")&amp;IF(COUNTIFS(tbl_Finance[Job Number],C318&amp;"",tbl_Finance[Cost Centre],"CONSULTING")&gt;0,"CONSULTING ","")&amp;IF(COUNTIFS(tbl_Finance[Job Number],C318&amp;"",tbl_Finance[Cost Centre],"CTS")&gt;0,"CTS ",""))," ",", ")))</f>
        <v/>
      </c>
      <c r="L318" s="24" t="n"/>
      <c r="M318" s="25">
        <f>IF(L318="","",HYPERLINK(IF(LEFT(L318,4)="http",L318,set_QwilrBase&amp;L318),"Open quote"))</f>
        <v/>
      </c>
      <c r="N318" s="26" t="n"/>
      <c r="O318" s="26" t="n"/>
      <c r="P318" s="26" t="n"/>
      <c r="Q318" s="25">
        <f>IF(C318="","",IF(N(N318)+N(O318)+N(P318)=0,"Not split",IF(ROUND(N(N318)+N(O318)+N(P318),2)=ROUND(H318,2),"OK","MISMATCH")))</f>
        <v/>
      </c>
      <c r="R318" s="26" t="n"/>
      <c r="S318" s="26" t="n"/>
      <c r="T318" s="26" t="n"/>
      <c r="U318" s="27">
        <f>IF(C318="","",N(R318)+N(S318)+N(T318))</f>
        <v/>
      </c>
      <c r="V318" s="27">
        <f>IF(C318="","",H318-U318)</f>
        <v/>
      </c>
      <c r="W318" s="29">
        <f>IFERROR(V318/H318,"")</f>
        <v/>
      </c>
      <c r="X318" s="24" t="n"/>
    </row>
    <row r="319" ht="15" customHeight="1">
      <c r="A319" s="63">
        <f>IF(C319="","",IFERROR(IF(SUMPRODUCT(MAX((tbl_Finance[Job Number]=C319&amp;"")*(tbl_Finance[Xero Invoice No]&lt;&gt;"")*tbl_Finance[Date]))=0,"",SUMPRODUCT(MAX((tbl_Finance[Job Number]=C319&amp;"")*(tbl_Finance[Xero Invoice No]&lt;&gt;"")*tbl_Finance[Date]))),""))</f>
        <v/>
      </c>
      <c r="B319" s="25">
        <f>IF(C319="","",IF(COUNTIFS(tbl_Finance[Job Number],C319&amp;"",tbl_Finance[Xero Invoice No],"&lt;&gt;")=0,"",IFERROR(IF(COUNTIFS(tbl_Finance[Job Number],C319&amp;"",tbl_Finance[Xero Invoice No],LOOKUP(2,1/((tbl_Finance[Job Number]=C319&amp;"")*(tbl_Finance[Xero Invoice No]&lt;&gt;"")),tbl_Finance[Xero Invoice No]))=COUNTIFS(tbl_Finance[Job Number],C319&amp;"",tbl_Finance[Xero Invoice No],"&lt;&gt;"),LOOKUP(2,1/((tbl_Finance[Job Number]=C319&amp;"")*(tbl_Finance[Xero Invoice No]&lt;&gt;"")),tbl_Finance[Xero Invoice No]),LOOKUP(2,1/((tbl_Finance[Job Number]=C319&amp;"")*(tbl_Finance[Xero Invoice No]&lt;&gt;"")),tbl_Finance[Xero Invoice No])&amp;" +more"),"")))</f>
        <v/>
      </c>
      <c r="C319" s="24" t="n"/>
      <c r="D319" s="25">
        <f>IF(C319="","",IF(COUNTIF(lst_Jobs,C319&amp;"")&gt;0,"OK","CHECK"))</f>
        <v/>
      </c>
      <c r="E319" s="25">
        <f>IF(C319="","",IFERROR(INDEX(lst_JobName,MATCH(C319&amp;"",lst_Jobs,0)),""))</f>
        <v/>
      </c>
      <c r="F319" s="25">
        <f>IF(C319="","",IFERROR(INDEX(tbl_Finance[Client],MATCH(C319&amp;"",tbl_Finance[Job Number],0)),""))</f>
        <v/>
      </c>
      <c r="G319" s="28">
        <f>IF(C319="","",COUNTIFS(tbl_Finance[Job Number],C319&amp;"",tbl_Finance[Ex GST],"&lt;&gt;"))</f>
        <v/>
      </c>
      <c r="H319" s="27">
        <f>IF(C319="","",SUMIFS(tbl_Finance[Ex GST],tbl_Finance[Job Number],C319&amp;""))</f>
        <v/>
      </c>
      <c r="I319" s="27">
        <f>IF(C319="","",SUMIFS(tbl_Finance[Ex GST],tbl_Finance[Job Number],C319&amp;"",tbl_Finance[Xero Invoice No],"&lt;&gt;"))</f>
        <v/>
      </c>
      <c r="J319" s="27">
        <f>IF(C319="","",H319-I319)</f>
        <v/>
      </c>
      <c r="K319" s="25">
        <f>IF(C319="","",IF(G319=0,"not invoiced yet",SUBSTITUTE(TRIM(IF(COUNTIFS(tbl_Finance[Job Number],C319&amp;"",tbl_Finance[Cost Centre],"ONSITE")&gt;0,"ONSITE ","")&amp;IF(COUNTIFS(tbl_Finance[Job Number],C319&amp;"",tbl_Finance[Cost Centre],"PRODUCTION")&gt;0,"PRODUCTION ","")&amp;IF(COUNTIFS(tbl_Finance[Job Number],C319&amp;"",tbl_Finance[Cost Centre],"VIDEO")&gt;0,"VIDEO ","")&amp;IF(COUNTIFS(tbl_Finance[Job Number],C319&amp;"",tbl_Finance[Cost Centre],"INTEGRATION")&gt;0,"INTEGRATION ","")&amp;IF(COUNTIFS(tbl_Finance[Job Number],C319&amp;"",tbl_Finance[Cost Centre],"CONSULTING")&gt;0,"CONSULTING ","")&amp;IF(COUNTIFS(tbl_Finance[Job Number],C319&amp;"",tbl_Finance[Cost Centre],"CTS")&gt;0,"CTS ",""))," ",", ")))</f>
        <v/>
      </c>
      <c r="L319" s="24" t="n"/>
      <c r="M319" s="25">
        <f>IF(L319="","",HYPERLINK(IF(LEFT(L319,4)="http",L319,set_QwilrBase&amp;L319),"Open quote"))</f>
        <v/>
      </c>
      <c r="N319" s="26" t="n"/>
      <c r="O319" s="26" t="n"/>
      <c r="P319" s="26" t="n"/>
      <c r="Q319" s="25">
        <f>IF(C319="","",IF(N(N319)+N(O319)+N(P319)=0,"Not split",IF(ROUND(N(N319)+N(O319)+N(P319),2)=ROUND(H319,2),"OK","MISMATCH")))</f>
        <v/>
      </c>
      <c r="R319" s="26" t="n"/>
      <c r="S319" s="26" t="n"/>
      <c r="T319" s="26" t="n"/>
      <c r="U319" s="27">
        <f>IF(C319="","",N(R319)+N(S319)+N(T319))</f>
        <v/>
      </c>
      <c r="V319" s="27">
        <f>IF(C319="","",H319-U319)</f>
        <v/>
      </c>
      <c r="W319" s="29">
        <f>IFERROR(V319/H319,"")</f>
        <v/>
      </c>
      <c r="X319" s="24" t="n"/>
    </row>
    <row r="320" ht="15" customHeight="1">
      <c r="A320" s="63">
        <f>IF(C320="","",IFERROR(IF(SUMPRODUCT(MAX((tbl_Finance[Job Number]=C320&amp;"")*(tbl_Finance[Xero Invoice No]&lt;&gt;"")*tbl_Finance[Date]))=0,"",SUMPRODUCT(MAX((tbl_Finance[Job Number]=C320&amp;"")*(tbl_Finance[Xero Invoice No]&lt;&gt;"")*tbl_Finance[Date]))),""))</f>
        <v/>
      </c>
      <c r="B320" s="25">
        <f>IF(C320="","",IF(COUNTIFS(tbl_Finance[Job Number],C320&amp;"",tbl_Finance[Xero Invoice No],"&lt;&gt;")=0,"",IFERROR(IF(COUNTIFS(tbl_Finance[Job Number],C320&amp;"",tbl_Finance[Xero Invoice No],LOOKUP(2,1/((tbl_Finance[Job Number]=C320&amp;"")*(tbl_Finance[Xero Invoice No]&lt;&gt;"")),tbl_Finance[Xero Invoice No]))=COUNTIFS(tbl_Finance[Job Number],C320&amp;"",tbl_Finance[Xero Invoice No],"&lt;&gt;"),LOOKUP(2,1/((tbl_Finance[Job Number]=C320&amp;"")*(tbl_Finance[Xero Invoice No]&lt;&gt;"")),tbl_Finance[Xero Invoice No]),LOOKUP(2,1/((tbl_Finance[Job Number]=C320&amp;"")*(tbl_Finance[Xero Invoice No]&lt;&gt;"")),tbl_Finance[Xero Invoice No])&amp;" +more"),"")))</f>
        <v/>
      </c>
      <c r="C320" s="24" t="n"/>
      <c r="D320" s="25">
        <f>IF(C320="","",IF(COUNTIF(lst_Jobs,C320&amp;"")&gt;0,"OK","CHECK"))</f>
        <v/>
      </c>
      <c r="E320" s="25">
        <f>IF(C320="","",IFERROR(INDEX(lst_JobName,MATCH(C320&amp;"",lst_Jobs,0)),""))</f>
        <v/>
      </c>
      <c r="F320" s="25">
        <f>IF(C320="","",IFERROR(INDEX(tbl_Finance[Client],MATCH(C320&amp;"",tbl_Finance[Job Number],0)),""))</f>
        <v/>
      </c>
      <c r="G320" s="28">
        <f>IF(C320="","",COUNTIFS(tbl_Finance[Job Number],C320&amp;"",tbl_Finance[Ex GST],"&lt;&gt;"))</f>
        <v/>
      </c>
      <c r="H320" s="27">
        <f>IF(C320="","",SUMIFS(tbl_Finance[Ex GST],tbl_Finance[Job Number],C320&amp;""))</f>
        <v/>
      </c>
      <c r="I320" s="27">
        <f>IF(C320="","",SUMIFS(tbl_Finance[Ex GST],tbl_Finance[Job Number],C320&amp;"",tbl_Finance[Xero Invoice No],"&lt;&gt;"))</f>
        <v/>
      </c>
      <c r="J320" s="27">
        <f>IF(C320="","",H320-I320)</f>
        <v/>
      </c>
      <c r="K320" s="25">
        <f>IF(C320="","",IF(G320=0,"not invoiced yet",SUBSTITUTE(TRIM(IF(COUNTIFS(tbl_Finance[Job Number],C320&amp;"",tbl_Finance[Cost Centre],"ONSITE")&gt;0,"ONSITE ","")&amp;IF(COUNTIFS(tbl_Finance[Job Number],C320&amp;"",tbl_Finance[Cost Centre],"PRODUCTION")&gt;0,"PRODUCTION ","")&amp;IF(COUNTIFS(tbl_Finance[Job Number],C320&amp;"",tbl_Finance[Cost Centre],"VIDEO")&gt;0,"VIDEO ","")&amp;IF(COUNTIFS(tbl_Finance[Job Number],C320&amp;"",tbl_Finance[Cost Centre],"INTEGRATION")&gt;0,"INTEGRATION ","")&amp;IF(COUNTIFS(tbl_Finance[Job Number],C320&amp;"",tbl_Finance[Cost Centre],"CONSULTING")&gt;0,"CONSULTING ","")&amp;IF(COUNTIFS(tbl_Finance[Job Number],C320&amp;"",tbl_Finance[Cost Centre],"CTS")&gt;0,"CTS ",""))," ",", ")))</f>
        <v/>
      </c>
      <c r="L320" s="24" t="n"/>
      <c r="M320" s="25">
        <f>IF(L320="","",HYPERLINK(IF(LEFT(L320,4)="http",L320,set_QwilrBase&amp;L320),"Open quote"))</f>
        <v/>
      </c>
      <c r="N320" s="26" t="n"/>
      <c r="O320" s="26" t="n"/>
      <c r="P320" s="26" t="n"/>
      <c r="Q320" s="25">
        <f>IF(C320="","",IF(N(N320)+N(O320)+N(P320)=0,"Not split",IF(ROUND(N(N320)+N(O320)+N(P320),2)=ROUND(H320,2),"OK","MISMATCH")))</f>
        <v/>
      </c>
      <c r="R320" s="26" t="n"/>
      <c r="S320" s="26" t="n"/>
      <c r="T320" s="26" t="n"/>
      <c r="U320" s="27">
        <f>IF(C320="","",N(R320)+N(S320)+N(T320))</f>
        <v/>
      </c>
      <c r="V320" s="27">
        <f>IF(C320="","",H320-U320)</f>
        <v/>
      </c>
      <c r="W320" s="29">
        <f>IFERROR(V320/H320,"")</f>
        <v/>
      </c>
      <c r="X320" s="24" t="n"/>
    </row>
    <row r="321" ht="15" customHeight="1">
      <c r="A321" s="63">
        <f>IF(C321="","",IFERROR(IF(SUMPRODUCT(MAX((tbl_Finance[Job Number]=C321&amp;"")*(tbl_Finance[Xero Invoice No]&lt;&gt;"")*tbl_Finance[Date]))=0,"",SUMPRODUCT(MAX((tbl_Finance[Job Number]=C321&amp;"")*(tbl_Finance[Xero Invoice No]&lt;&gt;"")*tbl_Finance[Date]))),""))</f>
        <v/>
      </c>
      <c r="B321" s="25">
        <f>IF(C321="","",IF(COUNTIFS(tbl_Finance[Job Number],C321&amp;"",tbl_Finance[Xero Invoice No],"&lt;&gt;")=0,"",IFERROR(IF(COUNTIFS(tbl_Finance[Job Number],C321&amp;"",tbl_Finance[Xero Invoice No],LOOKUP(2,1/((tbl_Finance[Job Number]=C321&amp;"")*(tbl_Finance[Xero Invoice No]&lt;&gt;"")),tbl_Finance[Xero Invoice No]))=COUNTIFS(tbl_Finance[Job Number],C321&amp;"",tbl_Finance[Xero Invoice No],"&lt;&gt;"),LOOKUP(2,1/((tbl_Finance[Job Number]=C321&amp;"")*(tbl_Finance[Xero Invoice No]&lt;&gt;"")),tbl_Finance[Xero Invoice No]),LOOKUP(2,1/((tbl_Finance[Job Number]=C321&amp;"")*(tbl_Finance[Xero Invoice No]&lt;&gt;"")),tbl_Finance[Xero Invoice No])&amp;" +more"),"")))</f>
        <v/>
      </c>
      <c r="C321" s="24" t="n"/>
      <c r="D321" s="25">
        <f>IF(C321="","",IF(COUNTIF(lst_Jobs,C321&amp;"")&gt;0,"OK","CHECK"))</f>
        <v/>
      </c>
      <c r="E321" s="25">
        <f>IF(C321="","",IFERROR(INDEX(lst_JobName,MATCH(C321&amp;"",lst_Jobs,0)),""))</f>
        <v/>
      </c>
      <c r="F321" s="25">
        <f>IF(C321="","",IFERROR(INDEX(tbl_Finance[Client],MATCH(C321&amp;"",tbl_Finance[Job Number],0)),""))</f>
        <v/>
      </c>
      <c r="G321" s="28">
        <f>IF(C321="","",COUNTIFS(tbl_Finance[Job Number],C321&amp;"",tbl_Finance[Ex GST],"&lt;&gt;"))</f>
        <v/>
      </c>
      <c r="H321" s="27">
        <f>IF(C321="","",SUMIFS(tbl_Finance[Ex GST],tbl_Finance[Job Number],C321&amp;""))</f>
        <v/>
      </c>
      <c r="I321" s="27">
        <f>IF(C321="","",SUMIFS(tbl_Finance[Ex GST],tbl_Finance[Job Number],C321&amp;"",tbl_Finance[Xero Invoice No],"&lt;&gt;"))</f>
        <v/>
      </c>
      <c r="J321" s="27">
        <f>IF(C321="","",H321-I321)</f>
        <v/>
      </c>
      <c r="K321" s="25">
        <f>IF(C321="","",IF(G321=0,"not invoiced yet",SUBSTITUTE(TRIM(IF(COUNTIFS(tbl_Finance[Job Number],C321&amp;"",tbl_Finance[Cost Centre],"ONSITE")&gt;0,"ONSITE ","")&amp;IF(COUNTIFS(tbl_Finance[Job Number],C321&amp;"",tbl_Finance[Cost Centre],"PRODUCTION")&gt;0,"PRODUCTION ","")&amp;IF(COUNTIFS(tbl_Finance[Job Number],C321&amp;"",tbl_Finance[Cost Centre],"VIDEO")&gt;0,"VIDEO ","")&amp;IF(COUNTIFS(tbl_Finance[Job Number],C321&amp;"",tbl_Finance[Cost Centre],"INTEGRATION")&gt;0,"INTEGRATION ","")&amp;IF(COUNTIFS(tbl_Finance[Job Number],C321&amp;"",tbl_Finance[Cost Centre],"CONSULTING")&gt;0,"CONSULTING ","")&amp;IF(COUNTIFS(tbl_Finance[Job Number],C321&amp;"",tbl_Finance[Cost Centre],"CTS")&gt;0,"CTS ",""))," ",", ")))</f>
        <v/>
      </c>
      <c r="L321" s="24" t="n"/>
      <c r="M321" s="25">
        <f>IF(L321="","",HYPERLINK(IF(LEFT(L321,4)="http",L321,set_QwilrBase&amp;L321),"Open quote"))</f>
        <v/>
      </c>
      <c r="N321" s="26" t="n"/>
      <c r="O321" s="26" t="n"/>
      <c r="P321" s="26" t="n"/>
      <c r="Q321" s="25">
        <f>IF(C321="","",IF(N(N321)+N(O321)+N(P321)=0,"Not split",IF(ROUND(N(N321)+N(O321)+N(P321),2)=ROUND(H321,2),"OK","MISMATCH")))</f>
        <v/>
      </c>
      <c r="R321" s="26" t="n"/>
      <c r="S321" s="26" t="n"/>
      <c r="T321" s="26" t="n"/>
      <c r="U321" s="27">
        <f>IF(C321="","",N(R321)+N(S321)+N(T321))</f>
        <v/>
      </c>
      <c r="V321" s="27">
        <f>IF(C321="","",H321-U321)</f>
        <v/>
      </c>
      <c r="W321" s="29">
        <f>IFERROR(V321/H321,"")</f>
        <v/>
      </c>
      <c r="X321" s="24" t="n"/>
    </row>
    <row r="322" ht="15" customHeight="1">
      <c r="A322" s="63">
        <f>IF(C322="","",IFERROR(IF(SUMPRODUCT(MAX((tbl_Finance[Job Number]=C322&amp;"")*(tbl_Finance[Xero Invoice No]&lt;&gt;"")*tbl_Finance[Date]))=0,"",SUMPRODUCT(MAX((tbl_Finance[Job Number]=C322&amp;"")*(tbl_Finance[Xero Invoice No]&lt;&gt;"")*tbl_Finance[Date]))),""))</f>
        <v/>
      </c>
      <c r="B322" s="25">
        <f>IF(C322="","",IF(COUNTIFS(tbl_Finance[Job Number],C322&amp;"",tbl_Finance[Xero Invoice No],"&lt;&gt;")=0,"",IFERROR(IF(COUNTIFS(tbl_Finance[Job Number],C322&amp;"",tbl_Finance[Xero Invoice No],LOOKUP(2,1/((tbl_Finance[Job Number]=C322&amp;"")*(tbl_Finance[Xero Invoice No]&lt;&gt;"")),tbl_Finance[Xero Invoice No]))=COUNTIFS(tbl_Finance[Job Number],C322&amp;"",tbl_Finance[Xero Invoice No],"&lt;&gt;"),LOOKUP(2,1/((tbl_Finance[Job Number]=C322&amp;"")*(tbl_Finance[Xero Invoice No]&lt;&gt;"")),tbl_Finance[Xero Invoice No]),LOOKUP(2,1/((tbl_Finance[Job Number]=C322&amp;"")*(tbl_Finance[Xero Invoice No]&lt;&gt;"")),tbl_Finance[Xero Invoice No])&amp;" +more"),"")))</f>
        <v/>
      </c>
      <c r="C322" s="24" t="n"/>
      <c r="D322" s="25">
        <f>IF(C322="","",IF(COUNTIF(lst_Jobs,C322&amp;"")&gt;0,"OK","CHECK"))</f>
        <v/>
      </c>
      <c r="E322" s="25">
        <f>IF(C322="","",IFERROR(INDEX(lst_JobName,MATCH(C322&amp;"",lst_Jobs,0)),""))</f>
        <v/>
      </c>
      <c r="F322" s="25">
        <f>IF(C322="","",IFERROR(INDEX(tbl_Finance[Client],MATCH(C322&amp;"",tbl_Finance[Job Number],0)),""))</f>
        <v/>
      </c>
      <c r="G322" s="28">
        <f>IF(C322="","",COUNTIFS(tbl_Finance[Job Number],C322&amp;"",tbl_Finance[Ex GST],"&lt;&gt;"))</f>
        <v/>
      </c>
      <c r="H322" s="27">
        <f>IF(C322="","",SUMIFS(tbl_Finance[Ex GST],tbl_Finance[Job Number],C322&amp;""))</f>
        <v/>
      </c>
      <c r="I322" s="27">
        <f>IF(C322="","",SUMIFS(tbl_Finance[Ex GST],tbl_Finance[Job Number],C322&amp;"",tbl_Finance[Xero Invoice No],"&lt;&gt;"))</f>
        <v/>
      </c>
      <c r="J322" s="27">
        <f>IF(C322="","",H322-I322)</f>
        <v/>
      </c>
      <c r="K322" s="25">
        <f>IF(C322="","",IF(G322=0,"not invoiced yet",SUBSTITUTE(TRIM(IF(COUNTIFS(tbl_Finance[Job Number],C322&amp;"",tbl_Finance[Cost Centre],"ONSITE")&gt;0,"ONSITE ","")&amp;IF(COUNTIFS(tbl_Finance[Job Number],C322&amp;"",tbl_Finance[Cost Centre],"PRODUCTION")&gt;0,"PRODUCTION ","")&amp;IF(COUNTIFS(tbl_Finance[Job Number],C322&amp;"",tbl_Finance[Cost Centre],"VIDEO")&gt;0,"VIDEO ","")&amp;IF(COUNTIFS(tbl_Finance[Job Number],C322&amp;"",tbl_Finance[Cost Centre],"INTEGRATION")&gt;0,"INTEGRATION ","")&amp;IF(COUNTIFS(tbl_Finance[Job Number],C322&amp;"",tbl_Finance[Cost Centre],"CONSULTING")&gt;0,"CONSULTING ","")&amp;IF(COUNTIFS(tbl_Finance[Job Number],C322&amp;"",tbl_Finance[Cost Centre],"CTS")&gt;0,"CTS ",""))," ",", ")))</f>
        <v/>
      </c>
      <c r="L322" s="24" t="n"/>
      <c r="M322" s="25">
        <f>IF(L322="","",HYPERLINK(IF(LEFT(L322,4)="http",L322,set_QwilrBase&amp;L322),"Open quote"))</f>
        <v/>
      </c>
      <c r="N322" s="26" t="n"/>
      <c r="O322" s="26" t="n"/>
      <c r="P322" s="26" t="n"/>
      <c r="Q322" s="25">
        <f>IF(C322="","",IF(N(N322)+N(O322)+N(P322)=0,"Not split",IF(ROUND(N(N322)+N(O322)+N(P322),2)=ROUND(H322,2),"OK","MISMATCH")))</f>
        <v/>
      </c>
      <c r="R322" s="26" t="n"/>
      <c r="S322" s="26" t="n"/>
      <c r="T322" s="26" t="n"/>
      <c r="U322" s="27">
        <f>IF(C322="","",N(R322)+N(S322)+N(T322))</f>
        <v/>
      </c>
      <c r="V322" s="27">
        <f>IF(C322="","",H322-U322)</f>
        <v/>
      </c>
      <c r="W322" s="29">
        <f>IFERROR(V322/H322,"")</f>
        <v/>
      </c>
      <c r="X322" s="24" t="n"/>
    </row>
    <row r="323" ht="15" customHeight="1">
      <c r="A323" s="63">
        <f>IF(C323="","",IFERROR(IF(SUMPRODUCT(MAX((tbl_Finance[Job Number]=C323&amp;"")*(tbl_Finance[Xero Invoice No]&lt;&gt;"")*tbl_Finance[Date]))=0,"",SUMPRODUCT(MAX((tbl_Finance[Job Number]=C323&amp;"")*(tbl_Finance[Xero Invoice No]&lt;&gt;"")*tbl_Finance[Date]))),""))</f>
        <v/>
      </c>
      <c r="B323" s="25">
        <f>IF(C323="","",IF(COUNTIFS(tbl_Finance[Job Number],C323&amp;"",tbl_Finance[Xero Invoice No],"&lt;&gt;")=0,"",IFERROR(IF(COUNTIFS(tbl_Finance[Job Number],C323&amp;"",tbl_Finance[Xero Invoice No],LOOKUP(2,1/((tbl_Finance[Job Number]=C323&amp;"")*(tbl_Finance[Xero Invoice No]&lt;&gt;"")),tbl_Finance[Xero Invoice No]))=COUNTIFS(tbl_Finance[Job Number],C323&amp;"",tbl_Finance[Xero Invoice No],"&lt;&gt;"),LOOKUP(2,1/((tbl_Finance[Job Number]=C323&amp;"")*(tbl_Finance[Xero Invoice No]&lt;&gt;"")),tbl_Finance[Xero Invoice No]),LOOKUP(2,1/((tbl_Finance[Job Number]=C323&amp;"")*(tbl_Finance[Xero Invoice No]&lt;&gt;"")),tbl_Finance[Xero Invoice No])&amp;" +more"),"")))</f>
        <v/>
      </c>
      <c r="C323" s="24" t="n"/>
      <c r="D323" s="25">
        <f>IF(C323="","",IF(COUNTIF(lst_Jobs,C323&amp;"")&gt;0,"OK","CHECK"))</f>
        <v/>
      </c>
      <c r="E323" s="25">
        <f>IF(C323="","",IFERROR(INDEX(lst_JobName,MATCH(C323&amp;"",lst_Jobs,0)),""))</f>
        <v/>
      </c>
      <c r="F323" s="25">
        <f>IF(C323="","",IFERROR(INDEX(tbl_Finance[Client],MATCH(C323&amp;"",tbl_Finance[Job Number],0)),""))</f>
        <v/>
      </c>
      <c r="G323" s="28">
        <f>IF(C323="","",COUNTIFS(tbl_Finance[Job Number],C323&amp;"",tbl_Finance[Ex GST],"&lt;&gt;"))</f>
        <v/>
      </c>
      <c r="H323" s="27">
        <f>IF(C323="","",SUMIFS(tbl_Finance[Ex GST],tbl_Finance[Job Number],C323&amp;""))</f>
        <v/>
      </c>
      <c r="I323" s="27">
        <f>IF(C323="","",SUMIFS(tbl_Finance[Ex GST],tbl_Finance[Job Number],C323&amp;"",tbl_Finance[Xero Invoice No],"&lt;&gt;"))</f>
        <v/>
      </c>
      <c r="J323" s="27">
        <f>IF(C323="","",H323-I323)</f>
        <v/>
      </c>
      <c r="K323" s="25">
        <f>IF(C323="","",IF(G323=0,"not invoiced yet",SUBSTITUTE(TRIM(IF(COUNTIFS(tbl_Finance[Job Number],C323&amp;"",tbl_Finance[Cost Centre],"ONSITE")&gt;0,"ONSITE ","")&amp;IF(COUNTIFS(tbl_Finance[Job Number],C323&amp;"",tbl_Finance[Cost Centre],"PRODUCTION")&gt;0,"PRODUCTION ","")&amp;IF(COUNTIFS(tbl_Finance[Job Number],C323&amp;"",tbl_Finance[Cost Centre],"VIDEO")&gt;0,"VIDEO ","")&amp;IF(COUNTIFS(tbl_Finance[Job Number],C323&amp;"",tbl_Finance[Cost Centre],"INTEGRATION")&gt;0,"INTEGRATION ","")&amp;IF(COUNTIFS(tbl_Finance[Job Number],C323&amp;"",tbl_Finance[Cost Centre],"CONSULTING")&gt;0,"CONSULTING ","")&amp;IF(COUNTIFS(tbl_Finance[Job Number],C323&amp;"",tbl_Finance[Cost Centre],"CTS")&gt;0,"CTS ",""))," ",", ")))</f>
        <v/>
      </c>
      <c r="L323" s="24" t="n"/>
      <c r="M323" s="25">
        <f>IF(L323="","",HYPERLINK(IF(LEFT(L323,4)="http",L323,set_QwilrBase&amp;L323),"Open quote"))</f>
        <v/>
      </c>
      <c r="N323" s="26" t="n"/>
      <c r="O323" s="26" t="n"/>
      <c r="P323" s="26" t="n"/>
      <c r="Q323" s="25">
        <f>IF(C323="","",IF(N(N323)+N(O323)+N(P323)=0,"Not split",IF(ROUND(N(N323)+N(O323)+N(P323),2)=ROUND(H323,2),"OK","MISMATCH")))</f>
        <v/>
      </c>
      <c r="R323" s="26" t="n"/>
      <c r="S323" s="26" t="n"/>
      <c r="T323" s="26" t="n"/>
      <c r="U323" s="27">
        <f>IF(C323="","",N(R323)+N(S323)+N(T323))</f>
        <v/>
      </c>
      <c r="V323" s="27">
        <f>IF(C323="","",H323-U323)</f>
        <v/>
      </c>
      <c r="W323" s="29">
        <f>IFERROR(V323/H323,"")</f>
        <v/>
      </c>
      <c r="X323" s="24" t="n"/>
    </row>
    <row r="324" ht="15" customHeight="1">
      <c r="A324" s="63">
        <f>IF(C324="","",IFERROR(IF(SUMPRODUCT(MAX((tbl_Finance[Job Number]=C324&amp;"")*(tbl_Finance[Xero Invoice No]&lt;&gt;"")*tbl_Finance[Date]))=0,"",SUMPRODUCT(MAX((tbl_Finance[Job Number]=C324&amp;"")*(tbl_Finance[Xero Invoice No]&lt;&gt;"")*tbl_Finance[Date]))),""))</f>
        <v/>
      </c>
      <c r="B324" s="25">
        <f>IF(C324="","",IF(COUNTIFS(tbl_Finance[Job Number],C324&amp;"",tbl_Finance[Xero Invoice No],"&lt;&gt;")=0,"",IFERROR(IF(COUNTIFS(tbl_Finance[Job Number],C324&amp;"",tbl_Finance[Xero Invoice No],LOOKUP(2,1/((tbl_Finance[Job Number]=C324&amp;"")*(tbl_Finance[Xero Invoice No]&lt;&gt;"")),tbl_Finance[Xero Invoice No]))=COUNTIFS(tbl_Finance[Job Number],C324&amp;"",tbl_Finance[Xero Invoice No],"&lt;&gt;"),LOOKUP(2,1/((tbl_Finance[Job Number]=C324&amp;"")*(tbl_Finance[Xero Invoice No]&lt;&gt;"")),tbl_Finance[Xero Invoice No]),LOOKUP(2,1/((tbl_Finance[Job Number]=C324&amp;"")*(tbl_Finance[Xero Invoice No]&lt;&gt;"")),tbl_Finance[Xero Invoice No])&amp;" +more"),"")))</f>
        <v/>
      </c>
      <c r="C324" s="24" t="n"/>
      <c r="D324" s="25">
        <f>IF(C324="","",IF(COUNTIF(lst_Jobs,C324&amp;"")&gt;0,"OK","CHECK"))</f>
        <v/>
      </c>
      <c r="E324" s="25">
        <f>IF(C324="","",IFERROR(INDEX(lst_JobName,MATCH(C324&amp;"",lst_Jobs,0)),""))</f>
        <v/>
      </c>
      <c r="F324" s="25">
        <f>IF(C324="","",IFERROR(INDEX(tbl_Finance[Client],MATCH(C324&amp;"",tbl_Finance[Job Number],0)),""))</f>
        <v/>
      </c>
      <c r="G324" s="28">
        <f>IF(C324="","",COUNTIFS(tbl_Finance[Job Number],C324&amp;"",tbl_Finance[Ex GST],"&lt;&gt;"))</f>
        <v/>
      </c>
      <c r="H324" s="27">
        <f>IF(C324="","",SUMIFS(tbl_Finance[Ex GST],tbl_Finance[Job Number],C324&amp;""))</f>
        <v/>
      </c>
      <c r="I324" s="27">
        <f>IF(C324="","",SUMIFS(tbl_Finance[Ex GST],tbl_Finance[Job Number],C324&amp;"",tbl_Finance[Xero Invoice No],"&lt;&gt;"))</f>
        <v/>
      </c>
      <c r="J324" s="27">
        <f>IF(C324="","",H324-I324)</f>
        <v/>
      </c>
      <c r="K324" s="25">
        <f>IF(C324="","",IF(G324=0,"not invoiced yet",SUBSTITUTE(TRIM(IF(COUNTIFS(tbl_Finance[Job Number],C324&amp;"",tbl_Finance[Cost Centre],"ONSITE")&gt;0,"ONSITE ","")&amp;IF(COUNTIFS(tbl_Finance[Job Number],C324&amp;"",tbl_Finance[Cost Centre],"PRODUCTION")&gt;0,"PRODUCTION ","")&amp;IF(COUNTIFS(tbl_Finance[Job Number],C324&amp;"",tbl_Finance[Cost Centre],"VIDEO")&gt;0,"VIDEO ","")&amp;IF(COUNTIFS(tbl_Finance[Job Number],C324&amp;"",tbl_Finance[Cost Centre],"INTEGRATION")&gt;0,"INTEGRATION ","")&amp;IF(COUNTIFS(tbl_Finance[Job Number],C324&amp;"",tbl_Finance[Cost Centre],"CONSULTING")&gt;0,"CONSULTING ","")&amp;IF(COUNTIFS(tbl_Finance[Job Number],C324&amp;"",tbl_Finance[Cost Centre],"CTS")&gt;0,"CTS ",""))," ",", ")))</f>
        <v/>
      </c>
      <c r="L324" s="24" t="n"/>
      <c r="M324" s="25">
        <f>IF(L324="","",HYPERLINK(IF(LEFT(L324,4)="http",L324,set_QwilrBase&amp;L324),"Open quote"))</f>
        <v/>
      </c>
      <c r="N324" s="26" t="n"/>
      <c r="O324" s="26" t="n"/>
      <c r="P324" s="26" t="n"/>
      <c r="Q324" s="25">
        <f>IF(C324="","",IF(N(N324)+N(O324)+N(P324)=0,"Not split",IF(ROUND(N(N324)+N(O324)+N(P324),2)=ROUND(H324,2),"OK","MISMATCH")))</f>
        <v/>
      </c>
      <c r="R324" s="26" t="n"/>
      <c r="S324" s="26" t="n"/>
      <c r="T324" s="26" t="n"/>
      <c r="U324" s="27">
        <f>IF(C324="","",N(R324)+N(S324)+N(T324))</f>
        <v/>
      </c>
      <c r="V324" s="27">
        <f>IF(C324="","",H324-U324)</f>
        <v/>
      </c>
      <c r="W324" s="29">
        <f>IFERROR(V324/H324,"")</f>
        <v/>
      </c>
      <c r="X324" s="24" t="n"/>
    </row>
    <row r="325" ht="15" customHeight="1">
      <c r="A325" s="63">
        <f>IF(C325="","",IFERROR(IF(SUMPRODUCT(MAX((tbl_Finance[Job Number]=C325&amp;"")*(tbl_Finance[Xero Invoice No]&lt;&gt;"")*tbl_Finance[Date]))=0,"",SUMPRODUCT(MAX((tbl_Finance[Job Number]=C325&amp;"")*(tbl_Finance[Xero Invoice No]&lt;&gt;"")*tbl_Finance[Date]))),""))</f>
        <v/>
      </c>
      <c r="B325" s="25">
        <f>IF(C325="","",IF(COUNTIFS(tbl_Finance[Job Number],C325&amp;"",tbl_Finance[Xero Invoice No],"&lt;&gt;")=0,"",IFERROR(IF(COUNTIFS(tbl_Finance[Job Number],C325&amp;"",tbl_Finance[Xero Invoice No],LOOKUP(2,1/((tbl_Finance[Job Number]=C325&amp;"")*(tbl_Finance[Xero Invoice No]&lt;&gt;"")),tbl_Finance[Xero Invoice No]))=COUNTIFS(tbl_Finance[Job Number],C325&amp;"",tbl_Finance[Xero Invoice No],"&lt;&gt;"),LOOKUP(2,1/((tbl_Finance[Job Number]=C325&amp;"")*(tbl_Finance[Xero Invoice No]&lt;&gt;"")),tbl_Finance[Xero Invoice No]),LOOKUP(2,1/((tbl_Finance[Job Number]=C325&amp;"")*(tbl_Finance[Xero Invoice No]&lt;&gt;"")),tbl_Finance[Xero Invoice No])&amp;" +more"),"")))</f>
        <v/>
      </c>
      <c r="C325" s="24" t="n"/>
      <c r="D325" s="25">
        <f>IF(C325="","",IF(COUNTIF(lst_Jobs,C325&amp;"")&gt;0,"OK","CHECK"))</f>
        <v/>
      </c>
      <c r="E325" s="25">
        <f>IF(C325="","",IFERROR(INDEX(lst_JobName,MATCH(C325&amp;"",lst_Jobs,0)),""))</f>
        <v/>
      </c>
      <c r="F325" s="25">
        <f>IF(C325="","",IFERROR(INDEX(tbl_Finance[Client],MATCH(C325&amp;"",tbl_Finance[Job Number],0)),""))</f>
        <v/>
      </c>
      <c r="G325" s="28">
        <f>IF(C325="","",COUNTIFS(tbl_Finance[Job Number],C325&amp;"",tbl_Finance[Ex GST],"&lt;&gt;"))</f>
        <v/>
      </c>
      <c r="H325" s="27">
        <f>IF(C325="","",SUMIFS(tbl_Finance[Ex GST],tbl_Finance[Job Number],C325&amp;""))</f>
        <v/>
      </c>
      <c r="I325" s="27">
        <f>IF(C325="","",SUMIFS(tbl_Finance[Ex GST],tbl_Finance[Job Number],C325&amp;"",tbl_Finance[Xero Invoice No],"&lt;&gt;"))</f>
        <v/>
      </c>
      <c r="J325" s="27">
        <f>IF(C325="","",H325-I325)</f>
        <v/>
      </c>
      <c r="K325" s="25">
        <f>IF(C325="","",IF(G325=0,"not invoiced yet",SUBSTITUTE(TRIM(IF(COUNTIFS(tbl_Finance[Job Number],C325&amp;"",tbl_Finance[Cost Centre],"ONSITE")&gt;0,"ONSITE ","")&amp;IF(COUNTIFS(tbl_Finance[Job Number],C325&amp;"",tbl_Finance[Cost Centre],"PRODUCTION")&gt;0,"PRODUCTION ","")&amp;IF(COUNTIFS(tbl_Finance[Job Number],C325&amp;"",tbl_Finance[Cost Centre],"VIDEO")&gt;0,"VIDEO ","")&amp;IF(COUNTIFS(tbl_Finance[Job Number],C325&amp;"",tbl_Finance[Cost Centre],"INTEGRATION")&gt;0,"INTEGRATION ","")&amp;IF(COUNTIFS(tbl_Finance[Job Number],C325&amp;"",tbl_Finance[Cost Centre],"CONSULTING")&gt;0,"CONSULTING ","")&amp;IF(COUNTIFS(tbl_Finance[Job Number],C325&amp;"",tbl_Finance[Cost Centre],"CTS")&gt;0,"CTS ",""))," ",", ")))</f>
        <v/>
      </c>
      <c r="L325" s="24" t="n"/>
      <c r="M325" s="25">
        <f>IF(L325="","",HYPERLINK(IF(LEFT(L325,4)="http",L325,set_QwilrBase&amp;L325),"Open quote"))</f>
        <v/>
      </c>
      <c r="N325" s="26" t="n"/>
      <c r="O325" s="26" t="n"/>
      <c r="P325" s="26" t="n"/>
      <c r="Q325" s="25">
        <f>IF(C325="","",IF(N(N325)+N(O325)+N(P325)=0,"Not split",IF(ROUND(N(N325)+N(O325)+N(P325),2)=ROUND(H325,2),"OK","MISMATCH")))</f>
        <v/>
      </c>
      <c r="R325" s="26" t="n"/>
      <c r="S325" s="26" t="n"/>
      <c r="T325" s="26" t="n"/>
      <c r="U325" s="27">
        <f>IF(C325="","",N(R325)+N(S325)+N(T325))</f>
        <v/>
      </c>
      <c r="V325" s="27">
        <f>IF(C325="","",H325-U325)</f>
        <v/>
      </c>
      <c r="W325" s="29">
        <f>IFERROR(V325/H325,"")</f>
        <v/>
      </c>
      <c r="X325" s="24" t="n"/>
    </row>
    <row r="326" ht="15" customHeight="1">
      <c r="A326" s="63">
        <f>IF(C326="","",IFERROR(IF(SUMPRODUCT(MAX((tbl_Finance[Job Number]=C326&amp;"")*(tbl_Finance[Xero Invoice No]&lt;&gt;"")*tbl_Finance[Date]))=0,"",SUMPRODUCT(MAX((tbl_Finance[Job Number]=C326&amp;"")*(tbl_Finance[Xero Invoice No]&lt;&gt;"")*tbl_Finance[Date]))),""))</f>
        <v/>
      </c>
      <c r="B326" s="25">
        <f>IF(C326="","",IF(COUNTIFS(tbl_Finance[Job Number],C326&amp;"",tbl_Finance[Xero Invoice No],"&lt;&gt;")=0,"",IFERROR(IF(COUNTIFS(tbl_Finance[Job Number],C326&amp;"",tbl_Finance[Xero Invoice No],LOOKUP(2,1/((tbl_Finance[Job Number]=C326&amp;"")*(tbl_Finance[Xero Invoice No]&lt;&gt;"")),tbl_Finance[Xero Invoice No]))=COUNTIFS(tbl_Finance[Job Number],C326&amp;"",tbl_Finance[Xero Invoice No],"&lt;&gt;"),LOOKUP(2,1/((tbl_Finance[Job Number]=C326&amp;"")*(tbl_Finance[Xero Invoice No]&lt;&gt;"")),tbl_Finance[Xero Invoice No]),LOOKUP(2,1/((tbl_Finance[Job Number]=C326&amp;"")*(tbl_Finance[Xero Invoice No]&lt;&gt;"")),tbl_Finance[Xero Invoice No])&amp;" +more"),"")))</f>
        <v/>
      </c>
      <c r="C326" s="24" t="n"/>
      <c r="D326" s="25">
        <f>IF(C326="","",IF(COUNTIF(lst_Jobs,C326&amp;"")&gt;0,"OK","CHECK"))</f>
        <v/>
      </c>
      <c r="E326" s="25">
        <f>IF(C326="","",IFERROR(INDEX(lst_JobName,MATCH(C326&amp;"",lst_Jobs,0)),""))</f>
        <v/>
      </c>
      <c r="F326" s="25">
        <f>IF(C326="","",IFERROR(INDEX(tbl_Finance[Client],MATCH(C326&amp;"",tbl_Finance[Job Number],0)),""))</f>
        <v/>
      </c>
      <c r="G326" s="28">
        <f>IF(C326="","",COUNTIFS(tbl_Finance[Job Number],C326&amp;"",tbl_Finance[Ex GST],"&lt;&gt;"))</f>
        <v/>
      </c>
      <c r="H326" s="27">
        <f>IF(C326="","",SUMIFS(tbl_Finance[Ex GST],tbl_Finance[Job Number],C326&amp;""))</f>
        <v/>
      </c>
      <c r="I326" s="27">
        <f>IF(C326="","",SUMIFS(tbl_Finance[Ex GST],tbl_Finance[Job Number],C326&amp;"",tbl_Finance[Xero Invoice No],"&lt;&gt;"))</f>
        <v/>
      </c>
      <c r="J326" s="27">
        <f>IF(C326="","",H326-I326)</f>
        <v/>
      </c>
      <c r="K326" s="25">
        <f>IF(C326="","",IF(G326=0,"not invoiced yet",SUBSTITUTE(TRIM(IF(COUNTIFS(tbl_Finance[Job Number],C326&amp;"",tbl_Finance[Cost Centre],"ONSITE")&gt;0,"ONSITE ","")&amp;IF(COUNTIFS(tbl_Finance[Job Number],C326&amp;"",tbl_Finance[Cost Centre],"PRODUCTION")&gt;0,"PRODUCTION ","")&amp;IF(COUNTIFS(tbl_Finance[Job Number],C326&amp;"",tbl_Finance[Cost Centre],"VIDEO")&gt;0,"VIDEO ","")&amp;IF(COUNTIFS(tbl_Finance[Job Number],C326&amp;"",tbl_Finance[Cost Centre],"INTEGRATION")&gt;0,"INTEGRATION ","")&amp;IF(COUNTIFS(tbl_Finance[Job Number],C326&amp;"",tbl_Finance[Cost Centre],"CONSULTING")&gt;0,"CONSULTING ","")&amp;IF(COUNTIFS(tbl_Finance[Job Number],C326&amp;"",tbl_Finance[Cost Centre],"CTS")&gt;0,"CTS ",""))," ",", ")))</f>
        <v/>
      </c>
      <c r="L326" s="24" t="n"/>
      <c r="M326" s="25">
        <f>IF(L326="","",HYPERLINK(IF(LEFT(L326,4)="http",L326,set_QwilrBase&amp;L326),"Open quote"))</f>
        <v/>
      </c>
      <c r="N326" s="26" t="n"/>
      <c r="O326" s="26" t="n"/>
      <c r="P326" s="26" t="n"/>
      <c r="Q326" s="25">
        <f>IF(C326="","",IF(N(N326)+N(O326)+N(P326)=0,"Not split",IF(ROUND(N(N326)+N(O326)+N(P326),2)=ROUND(H326,2),"OK","MISMATCH")))</f>
        <v/>
      </c>
      <c r="R326" s="26" t="n"/>
      <c r="S326" s="26" t="n"/>
      <c r="T326" s="26" t="n"/>
      <c r="U326" s="27">
        <f>IF(C326="","",N(R326)+N(S326)+N(T326))</f>
        <v/>
      </c>
      <c r="V326" s="27">
        <f>IF(C326="","",H326-U326)</f>
        <v/>
      </c>
      <c r="W326" s="29">
        <f>IFERROR(V326/H326,"")</f>
        <v/>
      </c>
      <c r="X326" s="24" t="n"/>
    </row>
    <row r="327" ht="15" customHeight="1">
      <c r="A327" s="63">
        <f>IF(C327="","",IFERROR(IF(SUMPRODUCT(MAX((tbl_Finance[Job Number]=C327&amp;"")*(tbl_Finance[Xero Invoice No]&lt;&gt;"")*tbl_Finance[Date]))=0,"",SUMPRODUCT(MAX((tbl_Finance[Job Number]=C327&amp;"")*(tbl_Finance[Xero Invoice No]&lt;&gt;"")*tbl_Finance[Date]))),""))</f>
        <v/>
      </c>
      <c r="B327" s="25">
        <f>IF(C327="","",IF(COUNTIFS(tbl_Finance[Job Number],C327&amp;"",tbl_Finance[Xero Invoice No],"&lt;&gt;")=0,"",IFERROR(IF(COUNTIFS(tbl_Finance[Job Number],C327&amp;"",tbl_Finance[Xero Invoice No],LOOKUP(2,1/((tbl_Finance[Job Number]=C327&amp;"")*(tbl_Finance[Xero Invoice No]&lt;&gt;"")),tbl_Finance[Xero Invoice No]))=COUNTIFS(tbl_Finance[Job Number],C327&amp;"",tbl_Finance[Xero Invoice No],"&lt;&gt;"),LOOKUP(2,1/((tbl_Finance[Job Number]=C327&amp;"")*(tbl_Finance[Xero Invoice No]&lt;&gt;"")),tbl_Finance[Xero Invoice No]),LOOKUP(2,1/((tbl_Finance[Job Number]=C327&amp;"")*(tbl_Finance[Xero Invoice No]&lt;&gt;"")),tbl_Finance[Xero Invoice No])&amp;" +more"),"")))</f>
        <v/>
      </c>
      <c r="C327" s="24" t="n"/>
      <c r="D327" s="25">
        <f>IF(C327="","",IF(COUNTIF(lst_Jobs,C327&amp;"")&gt;0,"OK","CHECK"))</f>
        <v/>
      </c>
      <c r="E327" s="25">
        <f>IF(C327="","",IFERROR(INDEX(lst_JobName,MATCH(C327&amp;"",lst_Jobs,0)),""))</f>
        <v/>
      </c>
      <c r="F327" s="25">
        <f>IF(C327="","",IFERROR(INDEX(tbl_Finance[Client],MATCH(C327&amp;"",tbl_Finance[Job Number],0)),""))</f>
        <v/>
      </c>
      <c r="G327" s="28">
        <f>IF(C327="","",COUNTIFS(tbl_Finance[Job Number],C327&amp;"",tbl_Finance[Ex GST],"&lt;&gt;"))</f>
        <v/>
      </c>
      <c r="H327" s="27">
        <f>IF(C327="","",SUMIFS(tbl_Finance[Ex GST],tbl_Finance[Job Number],C327&amp;""))</f>
        <v/>
      </c>
      <c r="I327" s="27">
        <f>IF(C327="","",SUMIFS(tbl_Finance[Ex GST],tbl_Finance[Job Number],C327&amp;"",tbl_Finance[Xero Invoice No],"&lt;&gt;"))</f>
        <v/>
      </c>
      <c r="J327" s="27">
        <f>IF(C327="","",H327-I327)</f>
        <v/>
      </c>
      <c r="K327" s="25">
        <f>IF(C327="","",IF(G327=0,"not invoiced yet",SUBSTITUTE(TRIM(IF(COUNTIFS(tbl_Finance[Job Number],C327&amp;"",tbl_Finance[Cost Centre],"ONSITE")&gt;0,"ONSITE ","")&amp;IF(COUNTIFS(tbl_Finance[Job Number],C327&amp;"",tbl_Finance[Cost Centre],"PRODUCTION")&gt;0,"PRODUCTION ","")&amp;IF(COUNTIFS(tbl_Finance[Job Number],C327&amp;"",tbl_Finance[Cost Centre],"VIDEO")&gt;0,"VIDEO ","")&amp;IF(COUNTIFS(tbl_Finance[Job Number],C327&amp;"",tbl_Finance[Cost Centre],"INTEGRATION")&gt;0,"INTEGRATION ","")&amp;IF(COUNTIFS(tbl_Finance[Job Number],C327&amp;"",tbl_Finance[Cost Centre],"CONSULTING")&gt;0,"CONSULTING ","")&amp;IF(COUNTIFS(tbl_Finance[Job Number],C327&amp;"",tbl_Finance[Cost Centre],"CTS")&gt;0,"CTS ",""))," ",", ")))</f>
        <v/>
      </c>
      <c r="L327" s="24" t="n"/>
      <c r="M327" s="25">
        <f>IF(L327="","",HYPERLINK(IF(LEFT(L327,4)="http",L327,set_QwilrBase&amp;L327),"Open quote"))</f>
        <v/>
      </c>
      <c r="N327" s="26" t="n"/>
      <c r="O327" s="26" t="n"/>
      <c r="P327" s="26" t="n"/>
      <c r="Q327" s="25">
        <f>IF(C327="","",IF(N(N327)+N(O327)+N(P327)=0,"Not split",IF(ROUND(N(N327)+N(O327)+N(P327),2)=ROUND(H327,2),"OK","MISMATCH")))</f>
        <v/>
      </c>
      <c r="R327" s="26" t="n"/>
      <c r="S327" s="26" t="n"/>
      <c r="T327" s="26" t="n"/>
      <c r="U327" s="27">
        <f>IF(C327="","",N(R327)+N(S327)+N(T327))</f>
        <v/>
      </c>
      <c r="V327" s="27">
        <f>IF(C327="","",H327-U327)</f>
        <v/>
      </c>
      <c r="W327" s="29">
        <f>IFERROR(V327/H327,"")</f>
        <v/>
      </c>
      <c r="X327" s="24" t="n"/>
    </row>
    <row r="328" ht="15" customHeight="1">
      <c r="A328" s="63">
        <f>IF(C328="","",IFERROR(IF(SUMPRODUCT(MAX((tbl_Finance[Job Number]=C328&amp;"")*(tbl_Finance[Xero Invoice No]&lt;&gt;"")*tbl_Finance[Date]))=0,"",SUMPRODUCT(MAX((tbl_Finance[Job Number]=C328&amp;"")*(tbl_Finance[Xero Invoice No]&lt;&gt;"")*tbl_Finance[Date]))),""))</f>
        <v/>
      </c>
      <c r="B328" s="25">
        <f>IF(C328="","",IF(COUNTIFS(tbl_Finance[Job Number],C328&amp;"",tbl_Finance[Xero Invoice No],"&lt;&gt;")=0,"",IFERROR(IF(COUNTIFS(tbl_Finance[Job Number],C328&amp;"",tbl_Finance[Xero Invoice No],LOOKUP(2,1/((tbl_Finance[Job Number]=C328&amp;"")*(tbl_Finance[Xero Invoice No]&lt;&gt;"")),tbl_Finance[Xero Invoice No]))=COUNTIFS(tbl_Finance[Job Number],C328&amp;"",tbl_Finance[Xero Invoice No],"&lt;&gt;"),LOOKUP(2,1/((tbl_Finance[Job Number]=C328&amp;"")*(tbl_Finance[Xero Invoice No]&lt;&gt;"")),tbl_Finance[Xero Invoice No]),LOOKUP(2,1/((tbl_Finance[Job Number]=C328&amp;"")*(tbl_Finance[Xero Invoice No]&lt;&gt;"")),tbl_Finance[Xero Invoice No])&amp;" +more"),"")))</f>
        <v/>
      </c>
      <c r="C328" s="24" t="n"/>
      <c r="D328" s="25">
        <f>IF(C328="","",IF(COUNTIF(lst_Jobs,C328&amp;"")&gt;0,"OK","CHECK"))</f>
        <v/>
      </c>
      <c r="E328" s="25">
        <f>IF(C328="","",IFERROR(INDEX(lst_JobName,MATCH(C328&amp;"",lst_Jobs,0)),""))</f>
        <v/>
      </c>
      <c r="F328" s="25">
        <f>IF(C328="","",IFERROR(INDEX(tbl_Finance[Client],MATCH(C328&amp;"",tbl_Finance[Job Number],0)),""))</f>
        <v/>
      </c>
      <c r="G328" s="28">
        <f>IF(C328="","",COUNTIFS(tbl_Finance[Job Number],C328&amp;"",tbl_Finance[Ex GST],"&lt;&gt;"))</f>
        <v/>
      </c>
      <c r="H328" s="27">
        <f>IF(C328="","",SUMIFS(tbl_Finance[Ex GST],tbl_Finance[Job Number],C328&amp;""))</f>
        <v/>
      </c>
      <c r="I328" s="27">
        <f>IF(C328="","",SUMIFS(tbl_Finance[Ex GST],tbl_Finance[Job Number],C328&amp;"",tbl_Finance[Xero Invoice No],"&lt;&gt;"))</f>
        <v/>
      </c>
      <c r="J328" s="27">
        <f>IF(C328="","",H328-I328)</f>
        <v/>
      </c>
      <c r="K328" s="25">
        <f>IF(C328="","",IF(G328=0,"not invoiced yet",SUBSTITUTE(TRIM(IF(COUNTIFS(tbl_Finance[Job Number],C328&amp;"",tbl_Finance[Cost Centre],"ONSITE")&gt;0,"ONSITE ","")&amp;IF(COUNTIFS(tbl_Finance[Job Number],C328&amp;"",tbl_Finance[Cost Centre],"PRODUCTION")&gt;0,"PRODUCTION ","")&amp;IF(COUNTIFS(tbl_Finance[Job Number],C328&amp;"",tbl_Finance[Cost Centre],"VIDEO")&gt;0,"VIDEO ","")&amp;IF(COUNTIFS(tbl_Finance[Job Number],C328&amp;"",tbl_Finance[Cost Centre],"INTEGRATION")&gt;0,"INTEGRATION ","")&amp;IF(COUNTIFS(tbl_Finance[Job Number],C328&amp;"",tbl_Finance[Cost Centre],"CONSULTING")&gt;0,"CONSULTING ","")&amp;IF(COUNTIFS(tbl_Finance[Job Number],C328&amp;"",tbl_Finance[Cost Centre],"CTS")&gt;0,"CTS ",""))," ",", ")))</f>
        <v/>
      </c>
      <c r="L328" s="24" t="n"/>
      <c r="M328" s="25">
        <f>IF(L328="","",HYPERLINK(IF(LEFT(L328,4)="http",L328,set_QwilrBase&amp;L328),"Open quote"))</f>
        <v/>
      </c>
      <c r="N328" s="26" t="n"/>
      <c r="O328" s="26" t="n"/>
      <c r="P328" s="26" t="n"/>
      <c r="Q328" s="25">
        <f>IF(C328="","",IF(N(N328)+N(O328)+N(P328)=0,"Not split",IF(ROUND(N(N328)+N(O328)+N(P328),2)=ROUND(H328,2),"OK","MISMATCH")))</f>
        <v/>
      </c>
      <c r="R328" s="26" t="n"/>
      <c r="S328" s="26" t="n"/>
      <c r="T328" s="26" t="n"/>
      <c r="U328" s="27">
        <f>IF(C328="","",N(R328)+N(S328)+N(T328))</f>
        <v/>
      </c>
      <c r="V328" s="27">
        <f>IF(C328="","",H328-U328)</f>
        <v/>
      </c>
      <c r="W328" s="29">
        <f>IFERROR(V328/H328,"")</f>
        <v/>
      </c>
      <c r="X328" s="24" t="n"/>
    </row>
    <row r="329" ht="15" customHeight="1">
      <c r="A329" s="63">
        <f>IF(C329="","",IFERROR(IF(SUMPRODUCT(MAX((tbl_Finance[Job Number]=C329&amp;"")*(tbl_Finance[Xero Invoice No]&lt;&gt;"")*tbl_Finance[Date]))=0,"",SUMPRODUCT(MAX((tbl_Finance[Job Number]=C329&amp;"")*(tbl_Finance[Xero Invoice No]&lt;&gt;"")*tbl_Finance[Date]))),""))</f>
        <v/>
      </c>
      <c r="B329" s="25">
        <f>IF(C329="","",IF(COUNTIFS(tbl_Finance[Job Number],C329&amp;"",tbl_Finance[Xero Invoice No],"&lt;&gt;")=0,"",IFERROR(IF(COUNTIFS(tbl_Finance[Job Number],C329&amp;"",tbl_Finance[Xero Invoice No],LOOKUP(2,1/((tbl_Finance[Job Number]=C329&amp;"")*(tbl_Finance[Xero Invoice No]&lt;&gt;"")),tbl_Finance[Xero Invoice No]))=COUNTIFS(tbl_Finance[Job Number],C329&amp;"",tbl_Finance[Xero Invoice No],"&lt;&gt;"),LOOKUP(2,1/((tbl_Finance[Job Number]=C329&amp;"")*(tbl_Finance[Xero Invoice No]&lt;&gt;"")),tbl_Finance[Xero Invoice No]),LOOKUP(2,1/((tbl_Finance[Job Number]=C329&amp;"")*(tbl_Finance[Xero Invoice No]&lt;&gt;"")),tbl_Finance[Xero Invoice No])&amp;" +more"),"")))</f>
        <v/>
      </c>
      <c r="C329" s="24" t="n"/>
      <c r="D329" s="25">
        <f>IF(C329="","",IF(COUNTIF(lst_Jobs,C329&amp;"")&gt;0,"OK","CHECK"))</f>
        <v/>
      </c>
      <c r="E329" s="25">
        <f>IF(C329="","",IFERROR(INDEX(lst_JobName,MATCH(C329&amp;"",lst_Jobs,0)),""))</f>
        <v/>
      </c>
      <c r="F329" s="25">
        <f>IF(C329="","",IFERROR(INDEX(tbl_Finance[Client],MATCH(C329&amp;"",tbl_Finance[Job Number],0)),""))</f>
        <v/>
      </c>
      <c r="G329" s="28">
        <f>IF(C329="","",COUNTIFS(tbl_Finance[Job Number],C329&amp;"",tbl_Finance[Ex GST],"&lt;&gt;"))</f>
        <v/>
      </c>
      <c r="H329" s="27">
        <f>IF(C329="","",SUMIFS(tbl_Finance[Ex GST],tbl_Finance[Job Number],C329&amp;""))</f>
        <v/>
      </c>
      <c r="I329" s="27">
        <f>IF(C329="","",SUMIFS(tbl_Finance[Ex GST],tbl_Finance[Job Number],C329&amp;"",tbl_Finance[Xero Invoice No],"&lt;&gt;"))</f>
        <v/>
      </c>
      <c r="J329" s="27">
        <f>IF(C329="","",H329-I329)</f>
        <v/>
      </c>
      <c r="K329" s="25">
        <f>IF(C329="","",IF(G329=0,"not invoiced yet",SUBSTITUTE(TRIM(IF(COUNTIFS(tbl_Finance[Job Number],C329&amp;"",tbl_Finance[Cost Centre],"ONSITE")&gt;0,"ONSITE ","")&amp;IF(COUNTIFS(tbl_Finance[Job Number],C329&amp;"",tbl_Finance[Cost Centre],"PRODUCTION")&gt;0,"PRODUCTION ","")&amp;IF(COUNTIFS(tbl_Finance[Job Number],C329&amp;"",tbl_Finance[Cost Centre],"VIDEO")&gt;0,"VIDEO ","")&amp;IF(COUNTIFS(tbl_Finance[Job Number],C329&amp;"",tbl_Finance[Cost Centre],"INTEGRATION")&gt;0,"INTEGRATION ","")&amp;IF(COUNTIFS(tbl_Finance[Job Number],C329&amp;"",tbl_Finance[Cost Centre],"CONSULTING")&gt;0,"CONSULTING ","")&amp;IF(COUNTIFS(tbl_Finance[Job Number],C329&amp;"",tbl_Finance[Cost Centre],"CTS")&gt;0,"CTS ",""))," ",", ")))</f>
        <v/>
      </c>
      <c r="L329" s="24" t="n"/>
      <c r="M329" s="25">
        <f>IF(L329="","",HYPERLINK(IF(LEFT(L329,4)="http",L329,set_QwilrBase&amp;L329),"Open quote"))</f>
        <v/>
      </c>
      <c r="N329" s="26" t="n"/>
      <c r="O329" s="26" t="n"/>
      <c r="P329" s="26" t="n"/>
      <c r="Q329" s="25">
        <f>IF(C329="","",IF(N(N329)+N(O329)+N(P329)=0,"Not split",IF(ROUND(N(N329)+N(O329)+N(P329),2)=ROUND(H329,2),"OK","MISMATCH")))</f>
        <v/>
      </c>
      <c r="R329" s="26" t="n"/>
      <c r="S329" s="26" t="n"/>
      <c r="T329" s="26" t="n"/>
      <c r="U329" s="27">
        <f>IF(C329="","",N(R329)+N(S329)+N(T329))</f>
        <v/>
      </c>
      <c r="V329" s="27">
        <f>IF(C329="","",H329-U329)</f>
        <v/>
      </c>
      <c r="W329" s="29">
        <f>IFERROR(V329/H329,"")</f>
        <v/>
      </c>
      <c r="X329" s="24" t="n"/>
    </row>
    <row r="330" ht="15" customHeight="1">
      <c r="A330" s="63">
        <f>IF(C330="","",IFERROR(IF(SUMPRODUCT(MAX((tbl_Finance[Job Number]=C330&amp;"")*(tbl_Finance[Xero Invoice No]&lt;&gt;"")*tbl_Finance[Date]))=0,"",SUMPRODUCT(MAX((tbl_Finance[Job Number]=C330&amp;"")*(tbl_Finance[Xero Invoice No]&lt;&gt;"")*tbl_Finance[Date]))),""))</f>
        <v/>
      </c>
      <c r="B330" s="25">
        <f>IF(C330="","",IF(COUNTIFS(tbl_Finance[Job Number],C330&amp;"",tbl_Finance[Xero Invoice No],"&lt;&gt;")=0,"",IFERROR(IF(COUNTIFS(tbl_Finance[Job Number],C330&amp;"",tbl_Finance[Xero Invoice No],LOOKUP(2,1/((tbl_Finance[Job Number]=C330&amp;"")*(tbl_Finance[Xero Invoice No]&lt;&gt;"")),tbl_Finance[Xero Invoice No]))=COUNTIFS(tbl_Finance[Job Number],C330&amp;"",tbl_Finance[Xero Invoice No],"&lt;&gt;"),LOOKUP(2,1/((tbl_Finance[Job Number]=C330&amp;"")*(tbl_Finance[Xero Invoice No]&lt;&gt;"")),tbl_Finance[Xero Invoice No]),LOOKUP(2,1/((tbl_Finance[Job Number]=C330&amp;"")*(tbl_Finance[Xero Invoice No]&lt;&gt;"")),tbl_Finance[Xero Invoice No])&amp;" +more"),"")))</f>
        <v/>
      </c>
      <c r="C330" s="24" t="n"/>
      <c r="D330" s="25">
        <f>IF(C330="","",IF(COUNTIF(lst_Jobs,C330&amp;"")&gt;0,"OK","CHECK"))</f>
        <v/>
      </c>
      <c r="E330" s="25">
        <f>IF(C330="","",IFERROR(INDEX(lst_JobName,MATCH(C330&amp;"",lst_Jobs,0)),""))</f>
        <v/>
      </c>
      <c r="F330" s="25">
        <f>IF(C330="","",IFERROR(INDEX(tbl_Finance[Client],MATCH(C330&amp;"",tbl_Finance[Job Number],0)),""))</f>
        <v/>
      </c>
      <c r="G330" s="28">
        <f>IF(C330="","",COUNTIFS(tbl_Finance[Job Number],C330&amp;"",tbl_Finance[Ex GST],"&lt;&gt;"))</f>
        <v/>
      </c>
      <c r="H330" s="27">
        <f>IF(C330="","",SUMIFS(tbl_Finance[Ex GST],tbl_Finance[Job Number],C330&amp;""))</f>
        <v/>
      </c>
      <c r="I330" s="27">
        <f>IF(C330="","",SUMIFS(tbl_Finance[Ex GST],tbl_Finance[Job Number],C330&amp;"",tbl_Finance[Xero Invoice No],"&lt;&gt;"))</f>
        <v/>
      </c>
      <c r="J330" s="27">
        <f>IF(C330="","",H330-I330)</f>
        <v/>
      </c>
      <c r="K330" s="25">
        <f>IF(C330="","",IF(G330=0,"not invoiced yet",SUBSTITUTE(TRIM(IF(COUNTIFS(tbl_Finance[Job Number],C330&amp;"",tbl_Finance[Cost Centre],"ONSITE")&gt;0,"ONSITE ","")&amp;IF(COUNTIFS(tbl_Finance[Job Number],C330&amp;"",tbl_Finance[Cost Centre],"PRODUCTION")&gt;0,"PRODUCTION ","")&amp;IF(COUNTIFS(tbl_Finance[Job Number],C330&amp;"",tbl_Finance[Cost Centre],"VIDEO")&gt;0,"VIDEO ","")&amp;IF(COUNTIFS(tbl_Finance[Job Number],C330&amp;"",tbl_Finance[Cost Centre],"INTEGRATION")&gt;0,"INTEGRATION ","")&amp;IF(COUNTIFS(tbl_Finance[Job Number],C330&amp;"",tbl_Finance[Cost Centre],"CONSULTING")&gt;0,"CONSULTING ","")&amp;IF(COUNTIFS(tbl_Finance[Job Number],C330&amp;"",tbl_Finance[Cost Centre],"CTS")&gt;0,"CTS ",""))," ",", ")))</f>
        <v/>
      </c>
      <c r="L330" s="24" t="n"/>
      <c r="M330" s="25">
        <f>IF(L330="","",HYPERLINK(IF(LEFT(L330,4)="http",L330,set_QwilrBase&amp;L330),"Open quote"))</f>
        <v/>
      </c>
      <c r="N330" s="26" t="n"/>
      <c r="O330" s="26" t="n"/>
      <c r="P330" s="26" t="n"/>
      <c r="Q330" s="25">
        <f>IF(C330="","",IF(N(N330)+N(O330)+N(P330)=0,"Not split",IF(ROUND(N(N330)+N(O330)+N(P330),2)=ROUND(H330,2),"OK","MISMATCH")))</f>
        <v/>
      </c>
      <c r="R330" s="26" t="n"/>
      <c r="S330" s="26" t="n"/>
      <c r="T330" s="26" t="n"/>
      <c r="U330" s="27">
        <f>IF(C330="","",N(R330)+N(S330)+N(T330))</f>
        <v/>
      </c>
      <c r="V330" s="27">
        <f>IF(C330="","",H330-U330)</f>
        <v/>
      </c>
      <c r="W330" s="29">
        <f>IFERROR(V330/H330,"")</f>
        <v/>
      </c>
      <c r="X330" s="24" t="n"/>
    </row>
    <row r="331" ht="15" customHeight="1">
      <c r="A331" s="63">
        <f>IF(C331="","",IFERROR(IF(SUMPRODUCT(MAX((tbl_Finance[Job Number]=C331&amp;"")*(tbl_Finance[Xero Invoice No]&lt;&gt;"")*tbl_Finance[Date]))=0,"",SUMPRODUCT(MAX((tbl_Finance[Job Number]=C331&amp;"")*(tbl_Finance[Xero Invoice No]&lt;&gt;"")*tbl_Finance[Date]))),""))</f>
        <v/>
      </c>
      <c r="B331" s="25">
        <f>IF(C331="","",IF(COUNTIFS(tbl_Finance[Job Number],C331&amp;"",tbl_Finance[Xero Invoice No],"&lt;&gt;")=0,"",IFERROR(IF(COUNTIFS(tbl_Finance[Job Number],C331&amp;"",tbl_Finance[Xero Invoice No],LOOKUP(2,1/((tbl_Finance[Job Number]=C331&amp;"")*(tbl_Finance[Xero Invoice No]&lt;&gt;"")),tbl_Finance[Xero Invoice No]))=COUNTIFS(tbl_Finance[Job Number],C331&amp;"",tbl_Finance[Xero Invoice No],"&lt;&gt;"),LOOKUP(2,1/((tbl_Finance[Job Number]=C331&amp;"")*(tbl_Finance[Xero Invoice No]&lt;&gt;"")),tbl_Finance[Xero Invoice No]),LOOKUP(2,1/((tbl_Finance[Job Number]=C331&amp;"")*(tbl_Finance[Xero Invoice No]&lt;&gt;"")),tbl_Finance[Xero Invoice No])&amp;" +more"),"")))</f>
        <v/>
      </c>
      <c r="C331" s="24" t="n"/>
      <c r="D331" s="25">
        <f>IF(C331="","",IF(COUNTIF(lst_Jobs,C331&amp;"")&gt;0,"OK","CHECK"))</f>
        <v/>
      </c>
      <c r="E331" s="25">
        <f>IF(C331="","",IFERROR(INDEX(lst_JobName,MATCH(C331&amp;"",lst_Jobs,0)),""))</f>
        <v/>
      </c>
      <c r="F331" s="25">
        <f>IF(C331="","",IFERROR(INDEX(tbl_Finance[Client],MATCH(C331&amp;"",tbl_Finance[Job Number],0)),""))</f>
        <v/>
      </c>
      <c r="G331" s="28">
        <f>IF(C331="","",COUNTIFS(tbl_Finance[Job Number],C331&amp;"",tbl_Finance[Ex GST],"&lt;&gt;"))</f>
        <v/>
      </c>
      <c r="H331" s="27">
        <f>IF(C331="","",SUMIFS(tbl_Finance[Ex GST],tbl_Finance[Job Number],C331&amp;""))</f>
        <v/>
      </c>
      <c r="I331" s="27">
        <f>IF(C331="","",SUMIFS(tbl_Finance[Ex GST],tbl_Finance[Job Number],C331&amp;"",tbl_Finance[Xero Invoice No],"&lt;&gt;"))</f>
        <v/>
      </c>
      <c r="J331" s="27">
        <f>IF(C331="","",H331-I331)</f>
        <v/>
      </c>
      <c r="K331" s="25">
        <f>IF(C331="","",IF(G331=0,"not invoiced yet",SUBSTITUTE(TRIM(IF(COUNTIFS(tbl_Finance[Job Number],C331&amp;"",tbl_Finance[Cost Centre],"ONSITE")&gt;0,"ONSITE ","")&amp;IF(COUNTIFS(tbl_Finance[Job Number],C331&amp;"",tbl_Finance[Cost Centre],"PRODUCTION")&gt;0,"PRODUCTION ","")&amp;IF(COUNTIFS(tbl_Finance[Job Number],C331&amp;"",tbl_Finance[Cost Centre],"VIDEO")&gt;0,"VIDEO ","")&amp;IF(COUNTIFS(tbl_Finance[Job Number],C331&amp;"",tbl_Finance[Cost Centre],"INTEGRATION")&gt;0,"INTEGRATION ","")&amp;IF(COUNTIFS(tbl_Finance[Job Number],C331&amp;"",tbl_Finance[Cost Centre],"CONSULTING")&gt;0,"CONSULTING ","")&amp;IF(COUNTIFS(tbl_Finance[Job Number],C331&amp;"",tbl_Finance[Cost Centre],"CTS")&gt;0,"CTS ",""))," ",", ")))</f>
        <v/>
      </c>
      <c r="L331" s="24" t="n"/>
      <c r="M331" s="25">
        <f>IF(L331="","",HYPERLINK(IF(LEFT(L331,4)="http",L331,set_QwilrBase&amp;L331),"Open quote"))</f>
        <v/>
      </c>
      <c r="N331" s="26" t="n"/>
      <c r="O331" s="26" t="n"/>
      <c r="P331" s="26" t="n"/>
      <c r="Q331" s="25">
        <f>IF(C331="","",IF(N(N331)+N(O331)+N(P331)=0,"Not split",IF(ROUND(N(N331)+N(O331)+N(P331),2)=ROUND(H331,2),"OK","MISMATCH")))</f>
        <v/>
      </c>
      <c r="R331" s="26" t="n"/>
      <c r="S331" s="26" t="n"/>
      <c r="T331" s="26" t="n"/>
      <c r="U331" s="27">
        <f>IF(C331="","",N(R331)+N(S331)+N(T331))</f>
        <v/>
      </c>
      <c r="V331" s="27">
        <f>IF(C331="","",H331-U331)</f>
        <v/>
      </c>
      <c r="W331" s="29">
        <f>IFERROR(V331/H331,"")</f>
        <v/>
      </c>
      <c r="X331" s="24" t="n"/>
    </row>
    <row r="332" ht="15" customHeight="1">
      <c r="A332" s="63">
        <f>IF(C332="","",IFERROR(IF(SUMPRODUCT(MAX((tbl_Finance[Job Number]=C332&amp;"")*(tbl_Finance[Xero Invoice No]&lt;&gt;"")*tbl_Finance[Date]))=0,"",SUMPRODUCT(MAX((tbl_Finance[Job Number]=C332&amp;"")*(tbl_Finance[Xero Invoice No]&lt;&gt;"")*tbl_Finance[Date]))),""))</f>
        <v/>
      </c>
      <c r="B332" s="25">
        <f>IF(C332="","",IF(COUNTIFS(tbl_Finance[Job Number],C332&amp;"",tbl_Finance[Xero Invoice No],"&lt;&gt;")=0,"",IFERROR(IF(COUNTIFS(tbl_Finance[Job Number],C332&amp;"",tbl_Finance[Xero Invoice No],LOOKUP(2,1/((tbl_Finance[Job Number]=C332&amp;"")*(tbl_Finance[Xero Invoice No]&lt;&gt;"")),tbl_Finance[Xero Invoice No]))=COUNTIFS(tbl_Finance[Job Number],C332&amp;"",tbl_Finance[Xero Invoice No],"&lt;&gt;"),LOOKUP(2,1/((tbl_Finance[Job Number]=C332&amp;"")*(tbl_Finance[Xero Invoice No]&lt;&gt;"")),tbl_Finance[Xero Invoice No]),LOOKUP(2,1/((tbl_Finance[Job Number]=C332&amp;"")*(tbl_Finance[Xero Invoice No]&lt;&gt;"")),tbl_Finance[Xero Invoice No])&amp;" +more"),"")))</f>
        <v/>
      </c>
      <c r="C332" s="24" t="n"/>
      <c r="D332" s="25">
        <f>IF(C332="","",IF(COUNTIF(lst_Jobs,C332&amp;"")&gt;0,"OK","CHECK"))</f>
        <v/>
      </c>
      <c r="E332" s="25">
        <f>IF(C332="","",IFERROR(INDEX(lst_JobName,MATCH(C332&amp;"",lst_Jobs,0)),""))</f>
        <v/>
      </c>
      <c r="F332" s="25">
        <f>IF(C332="","",IFERROR(INDEX(tbl_Finance[Client],MATCH(C332&amp;"",tbl_Finance[Job Number],0)),""))</f>
        <v/>
      </c>
      <c r="G332" s="28">
        <f>IF(C332="","",COUNTIFS(tbl_Finance[Job Number],C332&amp;"",tbl_Finance[Ex GST],"&lt;&gt;"))</f>
        <v/>
      </c>
      <c r="H332" s="27">
        <f>IF(C332="","",SUMIFS(tbl_Finance[Ex GST],tbl_Finance[Job Number],C332&amp;""))</f>
        <v/>
      </c>
      <c r="I332" s="27">
        <f>IF(C332="","",SUMIFS(tbl_Finance[Ex GST],tbl_Finance[Job Number],C332&amp;"",tbl_Finance[Xero Invoice No],"&lt;&gt;"))</f>
        <v/>
      </c>
      <c r="J332" s="27">
        <f>IF(C332="","",H332-I332)</f>
        <v/>
      </c>
      <c r="K332" s="25">
        <f>IF(C332="","",IF(G332=0,"not invoiced yet",SUBSTITUTE(TRIM(IF(COUNTIFS(tbl_Finance[Job Number],C332&amp;"",tbl_Finance[Cost Centre],"ONSITE")&gt;0,"ONSITE ","")&amp;IF(COUNTIFS(tbl_Finance[Job Number],C332&amp;"",tbl_Finance[Cost Centre],"PRODUCTION")&gt;0,"PRODUCTION ","")&amp;IF(COUNTIFS(tbl_Finance[Job Number],C332&amp;"",tbl_Finance[Cost Centre],"VIDEO")&gt;0,"VIDEO ","")&amp;IF(COUNTIFS(tbl_Finance[Job Number],C332&amp;"",tbl_Finance[Cost Centre],"INTEGRATION")&gt;0,"INTEGRATION ","")&amp;IF(COUNTIFS(tbl_Finance[Job Number],C332&amp;"",tbl_Finance[Cost Centre],"CONSULTING")&gt;0,"CONSULTING ","")&amp;IF(COUNTIFS(tbl_Finance[Job Number],C332&amp;"",tbl_Finance[Cost Centre],"CTS")&gt;0,"CTS ",""))," ",", ")))</f>
        <v/>
      </c>
      <c r="L332" s="24" t="n"/>
      <c r="M332" s="25">
        <f>IF(L332="","",HYPERLINK(IF(LEFT(L332,4)="http",L332,set_QwilrBase&amp;L332),"Open quote"))</f>
        <v/>
      </c>
      <c r="N332" s="26" t="n"/>
      <c r="O332" s="26" t="n"/>
      <c r="P332" s="26" t="n"/>
      <c r="Q332" s="25">
        <f>IF(C332="","",IF(N(N332)+N(O332)+N(P332)=0,"Not split",IF(ROUND(N(N332)+N(O332)+N(P332),2)=ROUND(H332,2),"OK","MISMATCH")))</f>
        <v/>
      </c>
      <c r="R332" s="26" t="n"/>
      <c r="S332" s="26" t="n"/>
      <c r="T332" s="26" t="n"/>
      <c r="U332" s="27">
        <f>IF(C332="","",N(R332)+N(S332)+N(T332))</f>
        <v/>
      </c>
      <c r="V332" s="27">
        <f>IF(C332="","",H332-U332)</f>
        <v/>
      </c>
      <c r="W332" s="29">
        <f>IFERROR(V332/H332,"")</f>
        <v/>
      </c>
      <c r="X332" s="24" t="n"/>
    </row>
    <row r="333" ht="15" customHeight="1">
      <c r="A333" s="63">
        <f>IF(C333="","",IFERROR(IF(SUMPRODUCT(MAX((tbl_Finance[Job Number]=C333&amp;"")*(tbl_Finance[Xero Invoice No]&lt;&gt;"")*tbl_Finance[Date]))=0,"",SUMPRODUCT(MAX((tbl_Finance[Job Number]=C333&amp;"")*(tbl_Finance[Xero Invoice No]&lt;&gt;"")*tbl_Finance[Date]))),""))</f>
        <v/>
      </c>
      <c r="B333" s="25">
        <f>IF(C333="","",IF(COUNTIFS(tbl_Finance[Job Number],C333&amp;"",tbl_Finance[Xero Invoice No],"&lt;&gt;")=0,"",IFERROR(IF(COUNTIFS(tbl_Finance[Job Number],C333&amp;"",tbl_Finance[Xero Invoice No],LOOKUP(2,1/((tbl_Finance[Job Number]=C333&amp;"")*(tbl_Finance[Xero Invoice No]&lt;&gt;"")),tbl_Finance[Xero Invoice No]))=COUNTIFS(tbl_Finance[Job Number],C333&amp;"",tbl_Finance[Xero Invoice No],"&lt;&gt;"),LOOKUP(2,1/((tbl_Finance[Job Number]=C333&amp;"")*(tbl_Finance[Xero Invoice No]&lt;&gt;"")),tbl_Finance[Xero Invoice No]),LOOKUP(2,1/((tbl_Finance[Job Number]=C333&amp;"")*(tbl_Finance[Xero Invoice No]&lt;&gt;"")),tbl_Finance[Xero Invoice No])&amp;" +more"),"")))</f>
        <v/>
      </c>
      <c r="C333" s="24" t="n"/>
      <c r="D333" s="25">
        <f>IF(C333="","",IF(COUNTIF(lst_Jobs,C333&amp;"")&gt;0,"OK","CHECK"))</f>
        <v/>
      </c>
      <c r="E333" s="25">
        <f>IF(C333="","",IFERROR(INDEX(lst_JobName,MATCH(C333&amp;"",lst_Jobs,0)),""))</f>
        <v/>
      </c>
      <c r="F333" s="25">
        <f>IF(C333="","",IFERROR(INDEX(tbl_Finance[Client],MATCH(C333&amp;"",tbl_Finance[Job Number],0)),""))</f>
        <v/>
      </c>
      <c r="G333" s="28">
        <f>IF(C333="","",COUNTIFS(tbl_Finance[Job Number],C333&amp;"",tbl_Finance[Ex GST],"&lt;&gt;"))</f>
        <v/>
      </c>
      <c r="H333" s="27">
        <f>IF(C333="","",SUMIFS(tbl_Finance[Ex GST],tbl_Finance[Job Number],C333&amp;""))</f>
        <v/>
      </c>
      <c r="I333" s="27">
        <f>IF(C333="","",SUMIFS(tbl_Finance[Ex GST],tbl_Finance[Job Number],C333&amp;"",tbl_Finance[Xero Invoice No],"&lt;&gt;"))</f>
        <v/>
      </c>
      <c r="J333" s="27">
        <f>IF(C333="","",H333-I333)</f>
        <v/>
      </c>
      <c r="K333" s="25">
        <f>IF(C333="","",IF(G333=0,"not invoiced yet",SUBSTITUTE(TRIM(IF(COUNTIFS(tbl_Finance[Job Number],C333&amp;"",tbl_Finance[Cost Centre],"ONSITE")&gt;0,"ONSITE ","")&amp;IF(COUNTIFS(tbl_Finance[Job Number],C333&amp;"",tbl_Finance[Cost Centre],"PRODUCTION")&gt;0,"PRODUCTION ","")&amp;IF(COUNTIFS(tbl_Finance[Job Number],C333&amp;"",tbl_Finance[Cost Centre],"VIDEO")&gt;0,"VIDEO ","")&amp;IF(COUNTIFS(tbl_Finance[Job Number],C333&amp;"",tbl_Finance[Cost Centre],"INTEGRATION")&gt;0,"INTEGRATION ","")&amp;IF(COUNTIFS(tbl_Finance[Job Number],C333&amp;"",tbl_Finance[Cost Centre],"CONSULTING")&gt;0,"CONSULTING ","")&amp;IF(COUNTIFS(tbl_Finance[Job Number],C333&amp;"",tbl_Finance[Cost Centre],"CTS")&gt;0,"CTS ",""))," ",", ")))</f>
        <v/>
      </c>
      <c r="L333" s="24" t="n"/>
      <c r="M333" s="25">
        <f>IF(L333="","",HYPERLINK(IF(LEFT(L333,4)="http",L333,set_QwilrBase&amp;L333),"Open quote"))</f>
        <v/>
      </c>
      <c r="N333" s="26" t="n"/>
      <c r="O333" s="26" t="n"/>
      <c r="P333" s="26" t="n"/>
      <c r="Q333" s="25">
        <f>IF(C333="","",IF(N(N333)+N(O333)+N(P333)=0,"Not split",IF(ROUND(N(N333)+N(O333)+N(P333),2)=ROUND(H333,2),"OK","MISMATCH")))</f>
        <v/>
      </c>
      <c r="R333" s="26" t="n"/>
      <c r="S333" s="26" t="n"/>
      <c r="T333" s="26" t="n"/>
      <c r="U333" s="27">
        <f>IF(C333="","",N(R333)+N(S333)+N(T333))</f>
        <v/>
      </c>
      <c r="V333" s="27">
        <f>IF(C333="","",H333-U333)</f>
        <v/>
      </c>
      <c r="W333" s="29">
        <f>IFERROR(V333/H333,"")</f>
        <v/>
      </c>
      <c r="X333" s="24" t="n"/>
    </row>
    <row r="334" ht="15" customHeight="1">
      <c r="A334" s="63">
        <f>IF(C334="","",IFERROR(IF(SUMPRODUCT(MAX((tbl_Finance[Job Number]=C334&amp;"")*(tbl_Finance[Xero Invoice No]&lt;&gt;"")*tbl_Finance[Date]))=0,"",SUMPRODUCT(MAX((tbl_Finance[Job Number]=C334&amp;"")*(tbl_Finance[Xero Invoice No]&lt;&gt;"")*tbl_Finance[Date]))),""))</f>
        <v/>
      </c>
      <c r="B334" s="25">
        <f>IF(C334="","",IF(COUNTIFS(tbl_Finance[Job Number],C334&amp;"",tbl_Finance[Xero Invoice No],"&lt;&gt;")=0,"",IFERROR(IF(COUNTIFS(tbl_Finance[Job Number],C334&amp;"",tbl_Finance[Xero Invoice No],LOOKUP(2,1/((tbl_Finance[Job Number]=C334&amp;"")*(tbl_Finance[Xero Invoice No]&lt;&gt;"")),tbl_Finance[Xero Invoice No]))=COUNTIFS(tbl_Finance[Job Number],C334&amp;"",tbl_Finance[Xero Invoice No],"&lt;&gt;"),LOOKUP(2,1/((tbl_Finance[Job Number]=C334&amp;"")*(tbl_Finance[Xero Invoice No]&lt;&gt;"")),tbl_Finance[Xero Invoice No]),LOOKUP(2,1/((tbl_Finance[Job Number]=C334&amp;"")*(tbl_Finance[Xero Invoice No]&lt;&gt;"")),tbl_Finance[Xero Invoice No])&amp;" +more"),"")))</f>
        <v/>
      </c>
      <c r="C334" s="24" t="n"/>
      <c r="D334" s="25">
        <f>IF(C334="","",IF(COUNTIF(lst_Jobs,C334&amp;"")&gt;0,"OK","CHECK"))</f>
        <v/>
      </c>
      <c r="E334" s="25">
        <f>IF(C334="","",IFERROR(INDEX(lst_JobName,MATCH(C334&amp;"",lst_Jobs,0)),""))</f>
        <v/>
      </c>
      <c r="F334" s="25">
        <f>IF(C334="","",IFERROR(INDEX(tbl_Finance[Client],MATCH(C334&amp;"",tbl_Finance[Job Number],0)),""))</f>
        <v/>
      </c>
      <c r="G334" s="28">
        <f>IF(C334="","",COUNTIFS(tbl_Finance[Job Number],C334&amp;"",tbl_Finance[Ex GST],"&lt;&gt;"))</f>
        <v/>
      </c>
      <c r="H334" s="27">
        <f>IF(C334="","",SUMIFS(tbl_Finance[Ex GST],tbl_Finance[Job Number],C334&amp;""))</f>
        <v/>
      </c>
      <c r="I334" s="27">
        <f>IF(C334="","",SUMIFS(tbl_Finance[Ex GST],tbl_Finance[Job Number],C334&amp;"",tbl_Finance[Xero Invoice No],"&lt;&gt;"))</f>
        <v/>
      </c>
      <c r="J334" s="27">
        <f>IF(C334="","",H334-I334)</f>
        <v/>
      </c>
      <c r="K334" s="25">
        <f>IF(C334="","",IF(G334=0,"not invoiced yet",SUBSTITUTE(TRIM(IF(COUNTIFS(tbl_Finance[Job Number],C334&amp;"",tbl_Finance[Cost Centre],"ONSITE")&gt;0,"ONSITE ","")&amp;IF(COUNTIFS(tbl_Finance[Job Number],C334&amp;"",tbl_Finance[Cost Centre],"PRODUCTION")&gt;0,"PRODUCTION ","")&amp;IF(COUNTIFS(tbl_Finance[Job Number],C334&amp;"",tbl_Finance[Cost Centre],"VIDEO")&gt;0,"VIDEO ","")&amp;IF(COUNTIFS(tbl_Finance[Job Number],C334&amp;"",tbl_Finance[Cost Centre],"INTEGRATION")&gt;0,"INTEGRATION ","")&amp;IF(COUNTIFS(tbl_Finance[Job Number],C334&amp;"",tbl_Finance[Cost Centre],"CONSULTING")&gt;0,"CONSULTING ","")&amp;IF(COUNTIFS(tbl_Finance[Job Number],C334&amp;"",tbl_Finance[Cost Centre],"CTS")&gt;0,"CTS ",""))," ",", ")))</f>
        <v/>
      </c>
      <c r="L334" s="24" t="n"/>
      <c r="M334" s="25">
        <f>IF(L334="","",HYPERLINK(IF(LEFT(L334,4)="http",L334,set_QwilrBase&amp;L334),"Open quote"))</f>
        <v/>
      </c>
      <c r="N334" s="26" t="n"/>
      <c r="O334" s="26" t="n"/>
      <c r="P334" s="26" t="n"/>
      <c r="Q334" s="25">
        <f>IF(C334="","",IF(N(N334)+N(O334)+N(P334)=0,"Not split",IF(ROUND(N(N334)+N(O334)+N(P334),2)=ROUND(H334,2),"OK","MISMATCH")))</f>
        <v/>
      </c>
      <c r="R334" s="26" t="n"/>
      <c r="S334" s="26" t="n"/>
      <c r="T334" s="26" t="n"/>
      <c r="U334" s="27">
        <f>IF(C334="","",N(R334)+N(S334)+N(T334))</f>
        <v/>
      </c>
      <c r="V334" s="27">
        <f>IF(C334="","",H334-U334)</f>
        <v/>
      </c>
      <c r="W334" s="29">
        <f>IFERROR(V334/H334,"")</f>
        <v/>
      </c>
      <c r="X334" s="24" t="n"/>
    </row>
    <row r="335" ht="15" customHeight="1">
      <c r="A335" s="63">
        <f>IF(C335="","",IFERROR(IF(SUMPRODUCT(MAX((tbl_Finance[Job Number]=C335&amp;"")*(tbl_Finance[Xero Invoice No]&lt;&gt;"")*tbl_Finance[Date]))=0,"",SUMPRODUCT(MAX((tbl_Finance[Job Number]=C335&amp;"")*(tbl_Finance[Xero Invoice No]&lt;&gt;"")*tbl_Finance[Date]))),""))</f>
        <v/>
      </c>
      <c r="B335" s="25">
        <f>IF(C335="","",IF(COUNTIFS(tbl_Finance[Job Number],C335&amp;"",tbl_Finance[Xero Invoice No],"&lt;&gt;")=0,"",IFERROR(IF(COUNTIFS(tbl_Finance[Job Number],C335&amp;"",tbl_Finance[Xero Invoice No],LOOKUP(2,1/((tbl_Finance[Job Number]=C335&amp;"")*(tbl_Finance[Xero Invoice No]&lt;&gt;"")),tbl_Finance[Xero Invoice No]))=COUNTIFS(tbl_Finance[Job Number],C335&amp;"",tbl_Finance[Xero Invoice No],"&lt;&gt;"),LOOKUP(2,1/((tbl_Finance[Job Number]=C335&amp;"")*(tbl_Finance[Xero Invoice No]&lt;&gt;"")),tbl_Finance[Xero Invoice No]),LOOKUP(2,1/((tbl_Finance[Job Number]=C335&amp;"")*(tbl_Finance[Xero Invoice No]&lt;&gt;"")),tbl_Finance[Xero Invoice No])&amp;" +more"),"")))</f>
        <v/>
      </c>
      <c r="C335" s="24" t="n"/>
      <c r="D335" s="25">
        <f>IF(C335="","",IF(COUNTIF(lst_Jobs,C335&amp;"")&gt;0,"OK","CHECK"))</f>
        <v/>
      </c>
      <c r="E335" s="25">
        <f>IF(C335="","",IFERROR(INDEX(lst_JobName,MATCH(C335&amp;"",lst_Jobs,0)),""))</f>
        <v/>
      </c>
      <c r="F335" s="25">
        <f>IF(C335="","",IFERROR(INDEX(tbl_Finance[Client],MATCH(C335&amp;"",tbl_Finance[Job Number],0)),""))</f>
        <v/>
      </c>
      <c r="G335" s="28">
        <f>IF(C335="","",COUNTIFS(tbl_Finance[Job Number],C335&amp;"",tbl_Finance[Ex GST],"&lt;&gt;"))</f>
        <v/>
      </c>
      <c r="H335" s="27">
        <f>IF(C335="","",SUMIFS(tbl_Finance[Ex GST],tbl_Finance[Job Number],C335&amp;""))</f>
        <v/>
      </c>
      <c r="I335" s="27">
        <f>IF(C335="","",SUMIFS(tbl_Finance[Ex GST],tbl_Finance[Job Number],C335&amp;"",tbl_Finance[Xero Invoice No],"&lt;&gt;"))</f>
        <v/>
      </c>
      <c r="J335" s="27">
        <f>IF(C335="","",H335-I335)</f>
        <v/>
      </c>
      <c r="K335" s="25">
        <f>IF(C335="","",IF(G335=0,"not invoiced yet",SUBSTITUTE(TRIM(IF(COUNTIFS(tbl_Finance[Job Number],C335&amp;"",tbl_Finance[Cost Centre],"ONSITE")&gt;0,"ONSITE ","")&amp;IF(COUNTIFS(tbl_Finance[Job Number],C335&amp;"",tbl_Finance[Cost Centre],"PRODUCTION")&gt;0,"PRODUCTION ","")&amp;IF(COUNTIFS(tbl_Finance[Job Number],C335&amp;"",tbl_Finance[Cost Centre],"VIDEO")&gt;0,"VIDEO ","")&amp;IF(COUNTIFS(tbl_Finance[Job Number],C335&amp;"",tbl_Finance[Cost Centre],"INTEGRATION")&gt;0,"INTEGRATION ","")&amp;IF(COUNTIFS(tbl_Finance[Job Number],C335&amp;"",tbl_Finance[Cost Centre],"CONSULTING")&gt;0,"CONSULTING ","")&amp;IF(COUNTIFS(tbl_Finance[Job Number],C335&amp;"",tbl_Finance[Cost Centre],"CTS")&gt;0,"CTS ",""))," ",", ")))</f>
        <v/>
      </c>
      <c r="L335" s="24" t="n"/>
      <c r="M335" s="25">
        <f>IF(L335="","",HYPERLINK(IF(LEFT(L335,4)="http",L335,set_QwilrBase&amp;L335),"Open quote"))</f>
        <v/>
      </c>
      <c r="N335" s="26" t="n"/>
      <c r="O335" s="26" t="n"/>
      <c r="P335" s="26" t="n"/>
      <c r="Q335" s="25">
        <f>IF(C335="","",IF(N(N335)+N(O335)+N(P335)=0,"Not split",IF(ROUND(N(N335)+N(O335)+N(P335),2)=ROUND(H335,2),"OK","MISMATCH")))</f>
        <v/>
      </c>
      <c r="R335" s="26" t="n"/>
      <c r="S335" s="26" t="n"/>
      <c r="T335" s="26" t="n"/>
      <c r="U335" s="27">
        <f>IF(C335="","",N(R335)+N(S335)+N(T335))</f>
        <v/>
      </c>
      <c r="V335" s="27">
        <f>IF(C335="","",H335-U335)</f>
        <v/>
      </c>
      <c r="W335" s="29">
        <f>IFERROR(V335/H335,"")</f>
        <v/>
      </c>
      <c r="X335" s="24" t="n"/>
    </row>
    <row r="336" ht="15" customHeight="1">
      <c r="A336" s="63">
        <f>IF(C336="","",IFERROR(IF(SUMPRODUCT(MAX((tbl_Finance[Job Number]=C336&amp;"")*(tbl_Finance[Xero Invoice No]&lt;&gt;"")*tbl_Finance[Date]))=0,"",SUMPRODUCT(MAX((tbl_Finance[Job Number]=C336&amp;"")*(tbl_Finance[Xero Invoice No]&lt;&gt;"")*tbl_Finance[Date]))),""))</f>
        <v/>
      </c>
      <c r="B336" s="25">
        <f>IF(C336="","",IF(COUNTIFS(tbl_Finance[Job Number],C336&amp;"",tbl_Finance[Xero Invoice No],"&lt;&gt;")=0,"",IFERROR(IF(COUNTIFS(tbl_Finance[Job Number],C336&amp;"",tbl_Finance[Xero Invoice No],LOOKUP(2,1/((tbl_Finance[Job Number]=C336&amp;"")*(tbl_Finance[Xero Invoice No]&lt;&gt;"")),tbl_Finance[Xero Invoice No]))=COUNTIFS(tbl_Finance[Job Number],C336&amp;"",tbl_Finance[Xero Invoice No],"&lt;&gt;"),LOOKUP(2,1/((tbl_Finance[Job Number]=C336&amp;"")*(tbl_Finance[Xero Invoice No]&lt;&gt;"")),tbl_Finance[Xero Invoice No]),LOOKUP(2,1/((tbl_Finance[Job Number]=C336&amp;"")*(tbl_Finance[Xero Invoice No]&lt;&gt;"")),tbl_Finance[Xero Invoice No])&amp;" +more"),"")))</f>
        <v/>
      </c>
      <c r="C336" s="24" t="n"/>
      <c r="D336" s="25">
        <f>IF(C336="","",IF(COUNTIF(lst_Jobs,C336&amp;"")&gt;0,"OK","CHECK"))</f>
        <v/>
      </c>
      <c r="E336" s="25">
        <f>IF(C336="","",IFERROR(INDEX(lst_JobName,MATCH(C336&amp;"",lst_Jobs,0)),""))</f>
        <v/>
      </c>
      <c r="F336" s="25">
        <f>IF(C336="","",IFERROR(INDEX(tbl_Finance[Client],MATCH(C336&amp;"",tbl_Finance[Job Number],0)),""))</f>
        <v/>
      </c>
      <c r="G336" s="28">
        <f>IF(C336="","",COUNTIFS(tbl_Finance[Job Number],C336&amp;"",tbl_Finance[Ex GST],"&lt;&gt;"))</f>
        <v/>
      </c>
      <c r="H336" s="27">
        <f>IF(C336="","",SUMIFS(tbl_Finance[Ex GST],tbl_Finance[Job Number],C336&amp;""))</f>
        <v/>
      </c>
      <c r="I336" s="27">
        <f>IF(C336="","",SUMIFS(tbl_Finance[Ex GST],tbl_Finance[Job Number],C336&amp;"",tbl_Finance[Xero Invoice No],"&lt;&gt;"))</f>
        <v/>
      </c>
      <c r="J336" s="27">
        <f>IF(C336="","",H336-I336)</f>
        <v/>
      </c>
      <c r="K336" s="25">
        <f>IF(C336="","",IF(G336=0,"not invoiced yet",SUBSTITUTE(TRIM(IF(COUNTIFS(tbl_Finance[Job Number],C336&amp;"",tbl_Finance[Cost Centre],"ONSITE")&gt;0,"ONSITE ","")&amp;IF(COUNTIFS(tbl_Finance[Job Number],C336&amp;"",tbl_Finance[Cost Centre],"PRODUCTION")&gt;0,"PRODUCTION ","")&amp;IF(COUNTIFS(tbl_Finance[Job Number],C336&amp;"",tbl_Finance[Cost Centre],"VIDEO")&gt;0,"VIDEO ","")&amp;IF(COUNTIFS(tbl_Finance[Job Number],C336&amp;"",tbl_Finance[Cost Centre],"INTEGRATION")&gt;0,"INTEGRATION ","")&amp;IF(COUNTIFS(tbl_Finance[Job Number],C336&amp;"",tbl_Finance[Cost Centre],"CONSULTING")&gt;0,"CONSULTING ","")&amp;IF(COUNTIFS(tbl_Finance[Job Number],C336&amp;"",tbl_Finance[Cost Centre],"CTS")&gt;0,"CTS ",""))," ",", ")))</f>
        <v/>
      </c>
      <c r="L336" s="24" t="n"/>
      <c r="M336" s="25">
        <f>IF(L336="","",HYPERLINK(IF(LEFT(L336,4)="http",L336,set_QwilrBase&amp;L336),"Open quote"))</f>
        <v/>
      </c>
      <c r="N336" s="26" t="n"/>
      <c r="O336" s="26" t="n"/>
      <c r="P336" s="26" t="n"/>
      <c r="Q336" s="25">
        <f>IF(C336="","",IF(N(N336)+N(O336)+N(P336)=0,"Not split",IF(ROUND(N(N336)+N(O336)+N(P336),2)=ROUND(H336,2),"OK","MISMATCH")))</f>
        <v/>
      </c>
      <c r="R336" s="26" t="n"/>
      <c r="S336" s="26" t="n"/>
      <c r="T336" s="26" t="n"/>
      <c r="U336" s="27">
        <f>IF(C336="","",N(R336)+N(S336)+N(T336))</f>
        <v/>
      </c>
      <c r="V336" s="27">
        <f>IF(C336="","",H336-U336)</f>
        <v/>
      </c>
      <c r="W336" s="29">
        <f>IFERROR(V336/H336,"")</f>
        <v/>
      </c>
      <c r="X336" s="24" t="n"/>
    </row>
    <row r="337" ht="15" customHeight="1">
      <c r="A337" s="63">
        <f>IF(C337="","",IFERROR(IF(SUMPRODUCT(MAX((tbl_Finance[Job Number]=C337&amp;"")*(tbl_Finance[Xero Invoice No]&lt;&gt;"")*tbl_Finance[Date]))=0,"",SUMPRODUCT(MAX((tbl_Finance[Job Number]=C337&amp;"")*(tbl_Finance[Xero Invoice No]&lt;&gt;"")*tbl_Finance[Date]))),""))</f>
        <v/>
      </c>
      <c r="B337" s="25">
        <f>IF(C337="","",IF(COUNTIFS(tbl_Finance[Job Number],C337&amp;"",tbl_Finance[Xero Invoice No],"&lt;&gt;")=0,"",IFERROR(IF(COUNTIFS(tbl_Finance[Job Number],C337&amp;"",tbl_Finance[Xero Invoice No],LOOKUP(2,1/((tbl_Finance[Job Number]=C337&amp;"")*(tbl_Finance[Xero Invoice No]&lt;&gt;"")),tbl_Finance[Xero Invoice No]))=COUNTIFS(tbl_Finance[Job Number],C337&amp;"",tbl_Finance[Xero Invoice No],"&lt;&gt;"),LOOKUP(2,1/((tbl_Finance[Job Number]=C337&amp;"")*(tbl_Finance[Xero Invoice No]&lt;&gt;"")),tbl_Finance[Xero Invoice No]),LOOKUP(2,1/((tbl_Finance[Job Number]=C337&amp;"")*(tbl_Finance[Xero Invoice No]&lt;&gt;"")),tbl_Finance[Xero Invoice No])&amp;" +more"),"")))</f>
        <v/>
      </c>
      <c r="C337" s="24" t="n"/>
      <c r="D337" s="25">
        <f>IF(C337="","",IF(COUNTIF(lst_Jobs,C337&amp;"")&gt;0,"OK","CHECK"))</f>
        <v/>
      </c>
      <c r="E337" s="25">
        <f>IF(C337="","",IFERROR(INDEX(lst_JobName,MATCH(C337&amp;"",lst_Jobs,0)),""))</f>
        <v/>
      </c>
      <c r="F337" s="25">
        <f>IF(C337="","",IFERROR(INDEX(tbl_Finance[Client],MATCH(C337&amp;"",tbl_Finance[Job Number],0)),""))</f>
        <v/>
      </c>
      <c r="G337" s="28">
        <f>IF(C337="","",COUNTIFS(tbl_Finance[Job Number],C337&amp;"",tbl_Finance[Ex GST],"&lt;&gt;"))</f>
        <v/>
      </c>
      <c r="H337" s="27">
        <f>IF(C337="","",SUMIFS(tbl_Finance[Ex GST],tbl_Finance[Job Number],C337&amp;""))</f>
        <v/>
      </c>
      <c r="I337" s="27">
        <f>IF(C337="","",SUMIFS(tbl_Finance[Ex GST],tbl_Finance[Job Number],C337&amp;"",tbl_Finance[Xero Invoice No],"&lt;&gt;"))</f>
        <v/>
      </c>
      <c r="J337" s="27">
        <f>IF(C337="","",H337-I337)</f>
        <v/>
      </c>
      <c r="K337" s="25">
        <f>IF(C337="","",IF(G337=0,"not invoiced yet",SUBSTITUTE(TRIM(IF(COUNTIFS(tbl_Finance[Job Number],C337&amp;"",tbl_Finance[Cost Centre],"ONSITE")&gt;0,"ONSITE ","")&amp;IF(COUNTIFS(tbl_Finance[Job Number],C337&amp;"",tbl_Finance[Cost Centre],"PRODUCTION")&gt;0,"PRODUCTION ","")&amp;IF(COUNTIFS(tbl_Finance[Job Number],C337&amp;"",tbl_Finance[Cost Centre],"VIDEO")&gt;0,"VIDEO ","")&amp;IF(COUNTIFS(tbl_Finance[Job Number],C337&amp;"",tbl_Finance[Cost Centre],"INTEGRATION")&gt;0,"INTEGRATION ","")&amp;IF(COUNTIFS(tbl_Finance[Job Number],C337&amp;"",tbl_Finance[Cost Centre],"CONSULTING")&gt;0,"CONSULTING ","")&amp;IF(COUNTIFS(tbl_Finance[Job Number],C337&amp;"",tbl_Finance[Cost Centre],"CTS")&gt;0,"CTS ",""))," ",", ")))</f>
        <v/>
      </c>
      <c r="L337" s="24" t="n"/>
      <c r="M337" s="25">
        <f>IF(L337="","",HYPERLINK(IF(LEFT(L337,4)="http",L337,set_QwilrBase&amp;L337),"Open quote"))</f>
        <v/>
      </c>
      <c r="N337" s="26" t="n"/>
      <c r="O337" s="26" t="n"/>
      <c r="P337" s="26" t="n"/>
      <c r="Q337" s="25">
        <f>IF(C337="","",IF(N(N337)+N(O337)+N(P337)=0,"Not split",IF(ROUND(N(N337)+N(O337)+N(P337),2)=ROUND(H337,2),"OK","MISMATCH")))</f>
        <v/>
      </c>
      <c r="R337" s="26" t="n"/>
      <c r="S337" s="26" t="n"/>
      <c r="T337" s="26" t="n"/>
      <c r="U337" s="27">
        <f>IF(C337="","",N(R337)+N(S337)+N(T337))</f>
        <v/>
      </c>
      <c r="V337" s="27">
        <f>IF(C337="","",H337-U337)</f>
        <v/>
      </c>
      <c r="W337" s="29">
        <f>IFERROR(V337/H337,"")</f>
        <v/>
      </c>
      <c r="X337" s="24" t="n"/>
    </row>
    <row r="338" ht="15" customHeight="1">
      <c r="A338" s="63">
        <f>IF(C338="","",IFERROR(IF(SUMPRODUCT(MAX((tbl_Finance[Job Number]=C338&amp;"")*(tbl_Finance[Xero Invoice No]&lt;&gt;"")*tbl_Finance[Date]))=0,"",SUMPRODUCT(MAX((tbl_Finance[Job Number]=C338&amp;"")*(tbl_Finance[Xero Invoice No]&lt;&gt;"")*tbl_Finance[Date]))),""))</f>
        <v/>
      </c>
      <c r="B338" s="25">
        <f>IF(C338="","",IF(COUNTIFS(tbl_Finance[Job Number],C338&amp;"",tbl_Finance[Xero Invoice No],"&lt;&gt;")=0,"",IFERROR(IF(COUNTIFS(tbl_Finance[Job Number],C338&amp;"",tbl_Finance[Xero Invoice No],LOOKUP(2,1/((tbl_Finance[Job Number]=C338&amp;"")*(tbl_Finance[Xero Invoice No]&lt;&gt;"")),tbl_Finance[Xero Invoice No]))=COUNTIFS(tbl_Finance[Job Number],C338&amp;"",tbl_Finance[Xero Invoice No],"&lt;&gt;"),LOOKUP(2,1/((tbl_Finance[Job Number]=C338&amp;"")*(tbl_Finance[Xero Invoice No]&lt;&gt;"")),tbl_Finance[Xero Invoice No]),LOOKUP(2,1/((tbl_Finance[Job Number]=C338&amp;"")*(tbl_Finance[Xero Invoice No]&lt;&gt;"")),tbl_Finance[Xero Invoice No])&amp;" +more"),"")))</f>
        <v/>
      </c>
      <c r="C338" s="24" t="n"/>
      <c r="D338" s="25">
        <f>IF(C338="","",IF(COUNTIF(lst_Jobs,C338&amp;"")&gt;0,"OK","CHECK"))</f>
        <v/>
      </c>
      <c r="E338" s="25">
        <f>IF(C338="","",IFERROR(INDEX(lst_JobName,MATCH(C338&amp;"",lst_Jobs,0)),""))</f>
        <v/>
      </c>
      <c r="F338" s="25">
        <f>IF(C338="","",IFERROR(INDEX(tbl_Finance[Client],MATCH(C338&amp;"",tbl_Finance[Job Number],0)),""))</f>
        <v/>
      </c>
      <c r="G338" s="28">
        <f>IF(C338="","",COUNTIFS(tbl_Finance[Job Number],C338&amp;"",tbl_Finance[Ex GST],"&lt;&gt;"))</f>
        <v/>
      </c>
      <c r="H338" s="27">
        <f>IF(C338="","",SUMIFS(tbl_Finance[Ex GST],tbl_Finance[Job Number],C338&amp;""))</f>
        <v/>
      </c>
      <c r="I338" s="27">
        <f>IF(C338="","",SUMIFS(tbl_Finance[Ex GST],tbl_Finance[Job Number],C338&amp;"",tbl_Finance[Xero Invoice No],"&lt;&gt;"))</f>
        <v/>
      </c>
      <c r="J338" s="27">
        <f>IF(C338="","",H338-I338)</f>
        <v/>
      </c>
      <c r="K338" s="25">
        <f>IF(C338="","",IF(G338=0,"not invoiced yet",SUBSTITUTE(TRIM(IF(COUNTIFS(tbl_Finance[Job Number],C338&amp;"",tbl_Finance[Cost Centre],"ONSITE")&gt;0,"ONSITE ","")&amp;IF(COUNTIFS(tbl_Finance[Job Number],C338&amp;"",tbl_Finance[Cost Centre],"PRODUCTION")&gt;0,"PRODUCTION ","")&amp;IF(COUNTIFS(tbl_Finance[Job Number],C338&amp;"",tbl_Finance[Cost Centre],"VIDEO")&gt;0,"VIDEO ","")&amp;IF(COUNTIFS(tbl_Finance[Job Number],C338&amp;"",tbl_Finance[Cost Centre],"INTEGRATION")&gt;0,"INTEGRATION ","")&amp;IF(COUNTIFS(tbl_Finance[Job Number],C338&amp;"",tbl_Finance[Cost Centre],"CONSULTING")&gt;0,"CONSULTING ","")&amp;IF(COUNTIFS(tbl_Finance[Job Number],C338&amp;"",tbl_Finance[Cost Centre],"CTS")&gt;0,"CTS ",""))," ",", ")))</f>
        <v/>
      </c>
      <c r="L338" s="24" t="n"/>
      <c r="M338" s="25">
        <f>IF(L338="","",HYPERLINK(IF(LEFT(L338,4)="http",L338,set_QwilrBase&amp;L338),"Open quote"))</f>
        <v/>
      </c>
      <c r="N338" s="26" t="n"/>
      <c r="O338" s="26" t="n"/>
      <c r="P338" s="26" t="n"/>
      <c r="Q338" s="25">
        <f>IF(C338="","",IF(N(N338)+N(O338)+N(P338)=0,"Not split",IF(ROUND(N(N338)+N(O338)+N(P338),2)=ROUND(H338,2),"OK","MISMATCH")))</f>
        <v/>
      </c>
      <c r="R338" s="26" t="n"/>
      <c r="S338" s="26" t="n"/>
      <c r="T338" s="26" t="n"/>
      <c r="U338" s="27">
        <f>IF(C338="","",N(R338)+N(S338)+N(T338))</f>
        <v/>
      </c>
      <c r="V338" s="27">
        <f>IF(C338="","",H338-U338)</f>
        <v/>
      </c>
      <c r="W338" s="29">
        <f>IFERROR(V338/H338,"")</f>
        <v/>
      </c>
      <c r="X338" s="24" t="n"/>
    </row>
    <row r="339" ht="15" customHeight="1">
      <c r="A339" s="63">
        <f>IF(C339="","",IFERROR(IF(SUMPRODUCT(MAX((tbl_Finance[Job Number]=C339&amp;"")*(tbl_Finance[Xero Invoice No]&lt;&gt;"")*tbl_Finance[Date]))=0,"",SUMPRODUCT(MAX((tbl_Finance[Job Number]=C339&amp;"")*(tbl_Finance[Xero Invoice No]&lt;&gt;"")*tbl_Finance[Date]))),""))</f>
        <v/>
      </c>
      <c r="B339" s="25">
        <f>IF(C339="","",IF(COUNTIFS(tbl_Finance[Job Number],C339&amp;"",tbl_Finance[Xero Invoice No],"&lt;&gt;")=0,"",IFERROR(IF(COUNTIFS(tbl_Finance[Job Number],C339&amp;"",tbl_Finance[Xero Invoice No],LOOKUP(2,1/((tbl_Finance[Job Number]=C339&amp;"")*(tbl_Finance[Xero Invoice No]&lt;&gt;"")),tbl_Finance[Xero Invoice No]))=COUNTIFS(tbl_Finance[Job Number],C339&amp;"",tbl_Finance[Xero Invoice No],"&lt;&gt;"),LOOKUP(2,1/((tbl_Finance[Job Number]=C339&amp;"")*(tbl_Finance[Xero Invoice No]&lt;&gt;"")),tbl_Finance[Xero Invoice No]),LOOKUP(2,1/((tbl_Finance[Job Number]=C339&amp;"")*(tbl_Finance[Xero Invoice No]&lt;&gt;"")),tbl_Finance[Xero Invoice No])&amp;" +more"),"")))</f>
        <v/>
      </c>
      <c r="C339" s="24" t="n"/>
      <c r="D339" s="25">
        <f>IF(C339="","",IF(COUNTIF(lst_Jobs,C339&amp;"")&gt;0,"OK","CHECK"))</f>
        <v/>
      </c>
      <c r="E339" s="25">
        <f>IF(C339="","",IFERROR(INDEX(lst_JobName,MATCH(C339&amp;"",lst_Jobs,0)),""))</f>
        <v/>
      </c>
      <c r="F339" s="25">
        <f>IF(C339="","",IFERROR(INDEX(tbl_Finance[Client],MATCH(C339&amp;"",tbl_Finance[Job Number],0)),""))</f>
        <v/>
      </c>
      <c r="G339" s="28">
        <f>IF(C339="","",COUNTIFS(tbl_Finance[Job Number],C339&amp;"",tbl_Finance[Ex GST],"&lt;&gt;"))</f>
        <v/>
      </c>
      <c r="H339" s="27">
        <f>IF(C339="","",SUMIFS(tbl_Finance[Ex GST],tbl_Finance[Job Number],C339&amp;""))</f>
        <v/>
      </c>
      <c r="I339" s="27">
        <f>IF(C339="","",SUMIFS(tbl_Finance[Ex GST],tbl_Finance[Job Number],C339&amp;"",tbl_Finance[Xero Invoice No],"&lt;&gt;"))</f>
        <v/>
      </c>
      <c r="J339" s="27">
        <f>IF(C339="","",H339-I339)</f>
        <v/>
      </c>
      <c r="K339" s="25">
        <f>IF(C339="","",IF(G339=0,"not invoiced yet",SUBSTITUTE(TRIM(IF(COUNTIFS(tbl_Finance[Job Number],C339&amp;"",tbl_Finance[Cost Centre],"ONSITE")&gt;0,"ONSITE ","")&amp;IF(COUNTIFS(tbl_Finance[Job Number],C339&amp;"",tbl_Finance[Cost Centre],"PRODUCTION")&gt;0,"PRODUCTION ","")&amp;IF(COUNTIFS(tbl_Finance[Job Number],C339&amp;"",tbl_Finance[Cost Centre],"VIDEO")&gt;0,"VIDEO ","")&amp;IF(COUNTIFS(tbl_Finance[Job Number],C339&amp;"",tbl_Finance[Cost Centre],"INTEGRATION")&gt;0,"INTEGRATION ","")&amp;IF(COUNTIFS(tbl_Finance[Job Number],C339&amp;"",tbl_Finance[Cost Centre],"CONSULTING")&gt;0,"CONSULTING ","")&amp;IF(COUNTIFS(tbl_Finance[Job Number],C339&amp;"",tbl_Finance[Cost Centre],"CTS")&gt;0,"CTS ",""))," ",", ")))</f>
        <v/>
      </c>
      <c r="L339" s="24" t="n"/>
      <c r="M339" s="25">
        <f>IF(L339="","",HYPERLINK(IF(LEFT(L339,4)="http",L339,set_QwilrBase&amp;L339),"Open quote"))</f>
        <v/>
      </c>
      <c r="N339" s="26" t="n"/>
      <c r="O339" s="26" t="n"/>
      <c r="P339" s="26" t="n"/>
      <c r="Q339" s="25">
        <f>IF(C339="","",IF(N(N339)+N(O339)+N(P339)=0,"Not split",IF(ROUND(N(N339)+N(O339)+N(P339),2)=ROUND(H339,2),"OK","MISMATCH")))</f>
        <v/>
      </c>
      <c r="R339" s="26" t="n"/>
      <c r="S339" s="26" t="n"/>
      <c r="T339" s="26" t="n"/>
      <c r="U339" s="27">
        <f>IF(C339="","",N(R339)+N(S339)+N(T339))</f>
        <v/>
      </c>
      <c r="V339" s="27">
        <f>IF(C339="","",H339-U339)</f>
        <v/>
      </c>
      <c r="W339" s="29">
        <f>IFERROR(V339/H339,"")</f>
        <v/>
      </c>
      <c r="X339" s="24" t="n"/>
    </row>
    <row r="340" ht="15" customHeight="1">
      <c r="A340" s="63">
        <f>IF(C340="","",IFERROR(IF(SUMPRODUCT(MAX((tbl_Finance[Job Number]=C340&amp;"")*(tbl_Finance[Xero Invoice No]&lt;&gt;"")*tbl_Finance[Date]))=0,"",SUMPRODUCT(MAX((tbl_Finance[Job Number]=C340&amp;"")*(tbl_Finance[Xero Invoice No]&lt;&gt;"")*tbl_Finance[Date]))),""))</f>
        <v/>
      </c>
      <c r="B340" s="25">
        <f>IF(C340="","",IF(COUNTIFS(tbl_Finance[Job Number],C340&amp;"",tbl_Finance[Xero Invoice No],"&lt;&gt;")=0,"",IFERROR(IF(COUNTIFS(tbl_Finance[Job Number],C340&amp;"",tbl_Finance[Xero Invoice No],LOOKUP(2,1/((tbl_Finance[Job Number]=C340&amp;"")*(tbl_Finance[Xero Invoice No]&lt;&gt;"")),tbl_Finance[Xero Invoice No]))=COUNTIFS(tbl_Finance[Job Number],C340&amp;"",tbl_Finance[Xero Invoice No],"&lt;&gt;"),LOOKUP(2,1/((tbl_Finance[Job Number]=C340&amp;"")*(tbl_Finance[Xero Invoice No]&lt;&gt;"")),tbl_Finance[Xero Invoice No]),LOOKUP(2,1/((tbl_Finance[Job Number]=C340&amp;"")*(tbl_Finance[Xero Invoice No]&lt;&gt;"")),tbl_Finance[Xero Invoice No])&amp;" +more"),"")))</f>
        <v/>
      </c>
      <c r="C340" s="24" t="n"/>
      <c r="D340" s="25">
        <f>IF(C340="","",IF(COUNTIF(lst_Jobs,C340&amp;"")&gt;0,"OK","CHECK"))</f>
        <v/>
      </c>
      <c r="E340" s="25">
        <f>IF(C340="","",IFERROR(INDEX(lst_JobName,MATCH(C340&amp;"",lst_Jobs,0)),""))</f>
        <v/>
      </c>
      <c r="F340" s="25">
        <f>IF(C340="","",IFERROR(INDEX(tbl_Finance[Client],MATCH(C340&amp;"",tbl_Finance[Job Number],0)),""))</f>
        <v/>
      </c>
      <c r="G340" s="28">
        <f>IF(C340="","",COUNTIFS(tbl_Finance[Job Number],C340&amp;"",tbl_Finance[Ex GST],"&lt;&gt;"))</f>
        <v/>
      </c>
      <c r="H340" s="27">
        <f>IF(C340="","",SUMIFS(tbl_Finance[Ex GST],tbl_Finance[Job Number],C340&amp;""))</f>
        <v/>
      </c>
      <c r="I340" s="27">
        <f>IF(C340="","",SUMIFS(tbl_Finance[Ex GST],tbl_Finance[Job Number],C340&amp;"",tbl_Finance[Xero Invoice No],"&lt;&gt;"))</f>
        <v/>
      </c>
      <c r="J340" s="27">
        <f>IF(C340="","",H340-I340)</f>
        <v/>
      </c>
      <c r="K340" s="25">
        <f>IF(C340="","",IF(G340=0,"not invoiced yet",SUBSTITUTE(TRIM(IF(COUNTIFS(tbl_Finance[Job Number],C340&amp;"",tbl_Finance[Cost Centre],"ONSITE")&gt;0,"ONSITE ","")&amp;IF(COUNTIFS(tbl_Finance[Job Number],C340&amp;"",tbl_Finance[Cost Centre],"PRODUCTION")&gt;0,"PRODUCTION ","")&amp;IF(COUNTIFS(tbl_Finance[Job Number],C340&amp;"",tbl_Finance[Cost Centre],"VIDEO")&gt;0,"VIDEO ","")&amp;IF(COUNTIFS(tbl_Finance[Job Number],C340&amp;"",tbl_Finance[Cost Centre],"INTEGRATION")&gt;0,"INTEGRATION ","")&amp;IF(COUNTIFS(tbl_Finance[Job Number],C340&amp;"",tbl_Finance[Cost Centre],"CONSULTING")&gt;0,"CONSULTING ","")&amp;IF(COUNTIFS(tbl_Finance[Job Number],C340&amp;"",tbl_Finance[Cost Centre],"CTS")&gt;0,"CTS ",""))," ",", ")))</f>
        <v/>
      </c>
      <c r="L340" s="24" t="n"/>
      <c r="M340" s="25">
        <f>IF(L340="","",HYPERLINK(IF(LEFT(L340,4)="http",L340,set_QwilrBase&amp;L340),"Open quote"))</f>
        <v/>
      </c>
      <c r="N340" s="26" t="n"/>
      <c r="O340" s="26" t="n"/>
      <c r="P340" s="26" t="n"/>
      <c r="Q340" s="25">
        <f>IF(C340="","",IF(N(N340)+N(O340)+N(P340)=0,"Not split",IF(ROUND(N(N340)+N(O340)+N(P340),2)=ROUND(H340,2),"OK","MISMATCH")))</f>
        <v/>
      </c>
      <c r="R340" s="26" t="n"/>
      <c r="S340" s="26" t="n"/>
      <c r="T340" s="26" t="n"/>
      <c r="U340" s="27">
        <f>IF(C340="","",N(R340)+N(S340)+N(T340))</f>
        <v/>
      </c>
      <c r="V340" s="27">
        <f>IF(C340="","",H340-U340)</f>
        <v/>
      </c>
      <c r="W340" s="29">
        <f>IFERROR(V340/H340,"")</f>
        <v/>
      </c>
      <c r="X340" s="24" t="n"/>
    </row>
    <row r="341" ht="15" customHeight="1">
      <c r="A341" s="63">
        <f>IF(C341="","",IFERROR(IF(SUMPRODUCT(MAX((tbl_Finance[Job Number]=C341&amp;"")*(tbl_Finance[Xero Invoice No]&lt;&gt;"")*tbl_Finance[Date]))=0,"",SUMPRODUCT(MAX((tbl_Finance[Job Number]=C341&amp;"")*(tbl_Finance[Xero Invoice No]&lt;&gt;"")*tbl_Finance[Date]))),""))</f>
        <v/>
      </c>
      <c r="B341" s="25">
        <f>IF(C341="","",IF(COUNTIFS(tbl_Finance[Job Number],C341&amp;"",tbl_Finance[Xero Invoice No],"&lt;&gt;")=0,"",IFERROR(IF(COUNTIFS(tbl_Finance[Job Number],C341&amp;"",tbl_Finance[Xero Invoice No],LOOKUP(2,1/((tbl_Finance[Job Number]=C341&amp;"")*(tbl_Finance[Xero Invoice No]&lt;&gt;"")),tbl_Finance[Xero Invoice No]))=COUNTIFS(tbl_Finance[Job Number],C341&amp;"",tbl_Finance[Xero Invoice No],"&lt;&gt;"),LOOKUP(2,1/((tbl_Finance[Job Number]=C341&amp;"")*(tbl_Finance[Xero Invoice No]&lt;&gt;"")),tbl_Finance[Xero Invoice No]),LOOKUP(2,1/((tbl_Finance[Job Number]=C341&amp;"")*(tbl_Finance[Xero Invoice No]&lt;&gt;"")),tbl_Finance[Xero Invoice No])&amp;" +more"),"")))</f>
        <v/>
      </c>
      <c r="C341" s="24" t="n"/>
      <c r="D341" s="25">
        <f>IF(C341="","",IF(COUNTIF(lst_Jobs,C341&amp;"")&gt;0,"OK","CHECK"))</f>
        <v/>
      </c>
      <c r="E341" s="25">
        <f>IF(C341="","",IFERROR(INDEX(lst_JobName,MATCH(C341&amp;"",lst_Jobs,0)),""))</f>
        <v/>
      </c>
      <c r="F341" s="25">
        <f>IF(C341="","",IFERROR(INDEX(tbl_Finance[Client],MATCH(C341&amp;"",tbl_Finance[Job Number],0)),""))</f>
        <v/>
      </c>
      <c r="G341" s="28">
        <f>IF(C341="","",COUNTIFS(tbl_Finance[Job Number],C341&amp;"",tbl_Finance[Ex GST],"&lt;&gt;"))</f>
        <v/>
      </c>
      <c r="H341" s="27">
        <f>IF(C341="","",SUMIFS(tbl_Finance[Ex GST],tbl_Finance[Job Number],C341&amp;""))</f>
        <v/>
      </c>
      <c r="I341" s="27">
        <f>IF(C341="","",SUMIFS(tbl_Finance[Ex GST],tbl_Finance[Job Number],C341&amp;"",tbl_Finance[Xero Invoice No],"&lt;&gt;"))</f>
        <v/>
      </c>
      <c r="J341" s="27">
        <f>IF(C341="","",H341-I341)</f>
        <v/>
      </c>
      <c r="K341" s="25">
        <f>IF(C341="","",IF(G341=0,"not invoiced yet",SUBSTITUTE(TRIM(IF(COUNTIFS(tbl_Finance[Job Number],C341&amp;"",tbl_Finance[Cost Centre],"ONSITE")&gt;0,"ONSITE ","")&amp;IF(COUNTIFS(tbl_Finance[Job Number],C341&amp;"",tbl_Finance[Cost Centre],"PRODUCTION")&gt;0,"PRODUCTION ","")&amp;IF(COUNTIFS(tbl_Finance[Job Number],C341&amp;"",tbl_Finance[Cost Centre],"VIDEO")&gt;0,"VIDEO ","")&amp;IF(COUNTIFS(tbl_Finance[Job Number],C341&amp;"",tbl_Finance[Cost Centre],"INTEGRATION")&gt;0,"INTEGRATION ","")&amp;IF(COUNTIFS(tbl_Finance[Job Number],C341&amp;"",tbl_Finance[Cost Centre],"CONSULTING")&gt;0,"CONSULTING ","")&amp;IF(COUNTIFS(tbl_Finance[Job Number],C341&amp;"",tbl_Finance[Cost Centre],"CTS")&gt;0,"CTS ",""))," ",", ")))</f>
        <v/>
      </c>
      <c r="L341" s="24" t="n"/>
      <c r="M341" s="25">
        <f>IF(L341="","",HYPERLINK(IF(LEFT(L341,4)="http",L341,set_QwilrBase&amp;L341),"Open quote"))</f>
        <v/>
      </c>
      <c r="N341" s="26" t="n"/>
      <c r="O341" s="26" t="n"/>
      <c r="P341" s="26" t="n"/>
      <c r="Q341" s="25">
        <f>IF(C341="","",IF(N(N341)+N(O341)+N(P341)=0,"Not split",IF(ROUND(N(N341)+N(O341)+N(P341),2)=ROUND(H341,2),"OK","MISMATCH")))</f>
        <v/>
      </c>
      <c r="R341" s="26" t="n"/>
      <c r="S341" s="26" t="n"/>
      <c r="T341" s="26" t="n"/>
      <c r="U341" s="27">
        <f>IF(C341="","",N(R341)+N(S341)+N(T341))</f>
        <v/>
      </c>
      <c r="V341" s="27">
        <f>IF(C341="","",H341-U341)</f>
        <v/>
      </c>
      <c r="W341" s="29">
        <f>IFERROR(V341/H341,"")</f>
        <v/>
      </c>
      <c r="X341" s="24" t="n"/>
    </row>
    <row r="342" ht="15" customHeight="1">
      <c r="A342" s="63">
        <f>IF(C342="","",IFERROR(IF(SUMPRODUCT(MAX((tbl_Finance[Job Number]=C342&amp;"")*(tbl_Finance[Xero Invoice No]&lt;&gt;"")*tbl_Finance[Date]))=0,"",SUMPRODUCT(MAX((tbl_Finance[Job Number]=C342&amp;"")*(tbl_Finance[Xero Invoice No]&lt;&gt;"")*tbl_Finance[Date]))),""))</f>
        <v/>
      </c>
      <c r="B342" s="25">
        <f>IF(C342="","",IF(COUNTIFS(tbl_Finance[Job Number],C342&amp;"",tbl_Finance[Xero Invoice No],"&lt;&gt;")=0,"",IFERROR(IF(COUNTIFS(tbl_Finance[Job Number],C342&amp;"",tbl_Finance[Xero Invoice No],LOOKUP(2,1/((tbl_Finance[Job Number]=C342&amp;"")*(tbl_Finance[Xero Invoice No]&lt;&gt;"")),tbl_Finance[Xero Invoice No]))=COUNTIFS(tbl_Finance[Job Number],C342&amp;"",tbl_Finance[Xero Invoice No],"&lt;&gt;"),LOOKUP(2,1/((tbl_Finance[Job Number]=C342&amp;"")*(tbl_Finance[Xero Invoice No]&lt;&gt;"")),tbl_Finance[Xero Invoice No]),LOOKUP(2,1/((tbl_Finance[Job Number]=C342&amp;"")*(tbl_Finance[Xero Invoice No]&lt;&gt;"")),tbl_Finance[Xero Invoice No])&amp;" +more"),"")))</f>
        <v/>
      </c>
      <c r="C342" s="24" t="n"/>
      <c r="D342" s="25">
        <f>IF(C342="","",IF(COUNTIF(lst_Jobs,C342&amp;"")&gt;0,"OK","CHECK"))</f>
        <v/>
      </c>
      <c r="E342" s="25">
        <f>IF(C342="","",IFERROR(INDEX(lst_JobName,MATCH(C342&amp;"",lst_Jobs,0)),""))</f>
        <v/>
      </c>
      <c r="F342" s="25">
        <f>IF(C342="","",IFERROR(INDEX(tbl_Finance[Client],MATCH(C342&amp;"",tbl_Finance[Job Number],0)),""))</f>
        <v/>
      </c>
      <c r="G342" s="28">
        <f>IF(C342="","",COUNTIFS(tbl_Finance[Job Number],C342&amp;"",tbl_Finance[Ex GST],"&lt;&gt;"))</f>
        <v/>
      </c>
      <c r="H342" s="27">
        <f>IF(C342="","",SUMIFS(tbl_Finance[Ex GST],tbl_Finance[Job Number],C342&amp;""))</f>
        <v/>
      </c>
      <c r="I342" s="27">
        <f>IF(C342="","",SUMIFS(tbl_Finance[Ex GST],tbl_Finance[Job Number],C342&amp;"",tbl_Finance[Xero Invoice No],"&lt;&gt;"))</f>
        <v/>
      </c>
      <c r="J342" s="27">
        <f>IF(C342="","",H342-I342)</f>
        <v/>
      </c>
      <c r="K342" s="25">
        <f>IF(C342="","",IF(G342=0,"not invoiced yet",SUBSTITUTE(TRIM(IF(COUNTIFS(tbl_Finance[Job Number],C342&amp;"",tbl_Finance[Cost Centre],"ONSITE")&gt;0,"ONSITE ","")&amp;IF(COUNTIFS(tbl_Finance[Job Number],C342&amp;"",tbl_Finance[Cost Centre],"PRODUCTION")&gt;0,"PRODUCTION ","")&amp;IF(COUNTIFS(tbl_Finance[Job Number],C342&amp;"",tbl_Finance[Cost Centre],"VIDEO")&gt;0,"VIDEO ","")&amp;IF(COUNTIFS(tbl_Finance[Job Number],C342&amp;"",tbl_Finance[Cost Centre],"INTEGRATION")&gt;0,"INTEGRATION ","")&amp;IF(COUNTIFS(tbl_Finance[Job Number],C342&amp;"",tbl_Finance[Cost Centre],"CONSULTING")&gt;0,"CONSULTING ","")&amp;IF(COUNTIFS(tbl_Finance[Job Number],C342&amp;"",tbl_Finance[Cost Centre],"CTS")&gt;0,"CTS ",""))," ",", ")))</f>
        <v/>
      </c>
      <c r="L342" s="24" t="n"/>
      <c r="M342" s="25">
        <f>IF(L342="","",HYPERLINK(IF(LEFT(L342,4)="http",L342,set_QwilrBase&amp;L342),"Open quote"))</f>
        <v/>
      </c>
      <c r="N342" s="26" t="n"/>
      <c r="O342" s="26" t="n"/>
      <c r="P342" s="26" t="n"/>
      <c r="Q342" s="25">
        <f>IF(C342="","",IF(N(N342)+N(O342)+N(P342)=0,"Not split",IF(ROUND(N(N342)+N(O342)+N(P342),2)=ROUND(H342,2),"OK","MISMATCH")))</f>
        <v/>
      </c>
      <c r="R342" s="26" t="n"/>
      <c r="S342" s="26" t="n"/>
      <c r="T342" s="26" t="n"/>
      <c r="U342" s="27">
        <f>IF(C342="","",N(R342)+N(S342)+N(T342))</f>
        <v/>
      </c>
      <c r="V342" s="27">
        <f>IF(C342="","",H342-U342)</f>
        <v/>
      </c>
      <c r="W342" s="29">
        <f>IFERROR(V342/H342,"")</f>
        <v/>
      </c>
      <c r="X342" s="24" t="n"/>
    </row>
    <row r="343" ht="15" customHeight="1">
      <c r="A343" s="63">
        <f>IF(C343="","",IFERROR(IF(SUMPRODUCT(MAX((tbl_Finance[Job Number]=C343&amp;"")*(tbl_Finance[Xero Invoice No]&lt;&gt;"")*tbl_Finance[Date]))=0,"",SUMPRODUCT(MAX((tbl_Finance[Job Number]=C343&amp;"")*(tbl_Finance[Xero Invoice No]&lt;&gt;"")*tbl_Finance[Date]))),""))</f>
        <v/>
      </c>
      <c r="B343" s="25">
        <f>IF(C343="","",IF(COUNTIFS(tbl_Finance[Job Number],C343&amp;"",tbl_Finance[Xero Invoice No],"&lt;&gt;")=0,"",IFERROR(IF(COUNTIFS(tbl_Finance[Job Number],C343&amp;"",tbl_Finance[Xero Invoice No],LOOKUP(2,1/((tbl_Finance[Job Number]=C343&amp;"")*(tbl_Finance[Xero Invoice No]&lt;&gt;"")),tbl_Finance[Xero Invoice No]))=COUNTIFS(tbl_Finance[Job Number],C343&amp;"",tbl_Finance[Xero Invoice No],"&lt;&gt;"),LOOKUP(2,1/((tbl_Finance[Job Number]=C343&amp;"")*(tbl_Finance[Xero Invoice No]&lt;&gt;"")),tbl_Finance[Xero Invoice No]),LOOKUP(2,1/((tbl_Finance[Job Number]=C343&amp;"")*(tbl_Finance[Xero Invoice No]&lt;&gt;"")),tbl_Finance[Xero Invoice No])&amp;" +more"),"")))</f>
        <v/>
      </c>
      <c r="C343" s="24" t="n"/>
      <c r="D343" s="25">
        <f>IF(C343="","",IF(COUNTIF(lst_Jobs,C343&amp;"")&gt;0,"OK","CHECK"))</f>
        <v/>
      </c>
      <c r="E343" s="25">
        <f>IF(C343="","",IFERROR(INDEX(lst_JobName,MATCH(C343&amp;"",lst_Jobs,0)),""))</f>
        <v/>
      </c>
      <c r="F343" s="25">
        <f>IF(C343="","",IFERROR(INDEX(tbl_Finance[Client],MATCH(C343&amp;"",tbl_Finance[Job Number],0)),""))</f>
        <v/>
      </c>
      <c r="G343" s="28">
        <f>IF(C343="","",COUNTIFS(tbl_Finance[Job Number],C343&amp;"",tbl_Finance[Ex GST],"&lt;&gt;"))</f>
        <v/>
      </c>
      <c r="H343" s="27">
        <f>IF(C343="","",SUMIFS(tbl_Finance[Ex GST],tbl_Finance[Job Number],C343&amp;""))</f>
        <v/>
      </c>
      <c r="I343" s="27">
        <f>IF(C343="","",SUMIFS(tbl_Finance[Ex GST],tbl_Finance[Job Number],C343&amp;"",tbl_Finance[Xero Invoice No],"&lt;&gt;"))</f>
        <v/>
      </c>
      <c r="J343" s="27">
        <f>IF(C343="","",H343-I343)</f>
        <v/>
      </c>
      <c r="K343" s="25">
        <f>IF(C343="","",IF(G343=0,"not invoiced yet",SUBSTITUTE(TRIM(IF(COUNTIFS(tbl_Finance[Job Number],C343&amp;"",tbl_Finance[Cost Centre],"ONSITE")&gt;0,"ONSITE ","")&amp;IF(COUNTIFS(tbl_Finance[Job Number],C343&amp;"",tbl_Finance[Cost Centre],"PRODUCTION")&gt;0,"PRODUCTION ","")&amp;IF(COUNTIFS(tbl_Finance[Job Number],C343&amp;"",tbl_Finance[Cost Centre],"VIDEO")&gt;0,"VIDEO ","")&amp;IF(COUNTIFS(tbl_Finance[Job Number],C343&amp;"",tbl_Finance[Cost Centre],"INTEGRATION")&gt;0,"INTEGRATION ","")&amp;IF(COUNTIFS(tbl_Finance[Job Number],C343&amp;"",tbl_Finance[Cost Centre],"CONSULTING")&gt;0,"CONSULTING ","")&amp;IF(COUNTIFS(tbl_Finance[Job Number],C343&amp;"",tbl_Finance[Cost Centre],"CTS")&gt;0,"CTS ",""))," ",", ")))</f>
        <v/>
      </c>
      <c r="L343" s="24" t="n"/>
      <c r="M343" s="25">
        <f>IF(L343="","",HYPERLINK(IF(LEFT(L343,4)="http",L343,set_QwilrBase&amp;L343),"Open quote"))</f>
        <v/>
      </c>
      <c r="N343" s="26" t="n"/>
      <c r="O343" s="26" t="n"/>
      <c r="P343" s="26" t="n"/>
      <c r="Q343" s="25">
        <f>IF(C343="","",IF(N(N343)+N(O343)+N(P343)=0,"Not split",IF(ROUND(N(N343)+N(O343)+N(P343),2)=ROUND(H343,2),"OK","MISMATCH")))</f>
        <v/>
      </c>
      <c r="R343" s="26" t="n"/>
      <c r="S343" s="26" t="n"/>
      <c r="T343" s="26" t="n"/>
      <c r="U343" s="27">
        <f>IF(C343="","",N(R343)+N(S343)+N(T343))</f>
        <v/>
      </c>
      <c r="V343" s="27">
        <f>IF(C343="","",H343-U343)</f>
        <v/>
      </c>
      <c r="W343" s="29">
        <f>IFERROR(V343/H343,"")</f>
        <v/>
      </c>
      <c r="X343" s="24" t="n"/>
    </row>
    <row r="344" ht="15" customHeight="1">
      <c r="A344" s="63">
        <f>IF(C344="","",IFERROR(IF(SUMPRODUCT(MAX((tbl_Finance[Job Number]=C344&amp;"")*(tbl_Finance[Xero Invoice No]&lt;&gt;"")*tbl_Finance[Date]))=0,"",SUMPRODUCT(MAX((tbl_Finance[Job Number]=C344&amp;"")*(tbl_Finance[Xero Invoice No]&lt;&gt;"")*tbl_Finance[Date]))),""))</f>
        <v/>
      </c>
      <c r="B344" s="25">
        <f>IF(C344="","",IF(COUNTIFS(tbl_Finance[Job Number],C344&amp;"",tbl_Finance[Xero Invoice No],"&lt;&gt;")=0,"",IFERROR(IF(COUNTIFS(tbl_Finance[Job Number],C344&amp;"",tbl_Finance[Xero Invoice No],LOOKUP(2,1/((tbl_Finance[Job Number]=C344&amp;"")*(tbl_Finance[Xero Invoice No]&lt;&gt;"")),tbl_Finance[Xero Invoice No]))=COUNTIFS(tbl_Finance[Job Number],C344&amp;"",tbl_Finance[Xero Invoice No],"&lt;&gt;"),LOOKUP(2,1/((tbl_Finance[Job Number]=C344&amp;"")*(tbl_Finance[Xero Invoice No]&lt;&gt;"")),tbl_Finance[Xero Invoice No]),LOOKUP(2,1/((tbl_Finance[Job Number]=C344&amp;"")*(tbl_Finance[Xero Invoice No]&lt;&gt;"")),tbl_Finance[Xero Invoice No])&amp;" +more"),"")))</f>
        <v/>
      </c>
      <c r="C344" s="24" t="n"/>
      <c r="D344" s="25">
        <f>IF(C344="","",IF(COUNTIF(lst_Jobs,C344&amp;"")&gt;0,"OK","CHECK"))</f>
        <v/>
      </c>
      <c r="E344" s="25">
        <f>IF(C344="","",IFERROR(INDEX(lst_JobName,MATCH(C344&amp;"",lst_Jobs,0)),""))</f>
        <v/>
      </c>
      <c r="F344" s="25">
        <f>IF(C344="","",IFERROR(INDEX(tbl_Finance[Client],MATCH(C344&amp;"",tbl_Finance[Job Number],0)),""))</f>
        <v/>
      </c>
      <c r="G344" s="28">
        <f>IF(C344="","",COUNTIFS(tbl_Finance[Job Number],C344&amp;"",tbl_Finance[Ex GST],"&lt;&gt;"))</f>
        <v/>
      </c>
      <c r="H344" s="27">
        <f>IF(C344="","",SUMIFS(tbl_Finance[Ex GST],tbl_Finance[Job Number],C344&amp;""))</f>
        <v/>
      </c>
      <c r="I344" s="27">
        <f>IF(C344="","",SUMIFS(tbl_Finance[Ex GST],tbl_Finance[Job Number],C344&amp;"",tbl_Finance[Xero Invoice No],"&lt;&gt;"))</f>
        <v/>
      </c>
      <c r="J344" s="27">
        <f>IF(C344="","",H344-I344)</f>
        <v/>
      </c>
      <c r="K344" s="25">
        <f>IF(C344="","",IF(G344=0,"not invoiced yet",SUBSTITUTE(TRIM(IF(COUNTIFS(tbl_Finance[Job Number],C344&amp;"",tbl_Finance[Cost Centre],"ONSITE")&gt;0,"ONSITE ","")&amp;IF(COUNTIFS(tbl_Finance[Job Number],C344&amp;"",tbl_Finance[Cost Centre],"PRODUCTION")&gt;0,"PRODUCTION ","")&amp;IF(COUNTIFS(tbl_Finance[Job Number],C344&amp;"",tbl_Finance[Cost Centre],"VIDEO")&gt;0,"VIDEO ","")&amp;IF(COUNTIFS(tbl_Finance[Job Number],C344&amp;"",tbl_Finance[Cost Centre],"INTEGRATION")&gt;0,"INTEGRATION ","")&amp;IF(COUNTIFS(tbl_Finance[Job Number],C344&amp;"",tbl_Finance[Cost Centre],"CONSULTING")&gt;0,"CONSULTING ","")&amp;IF(COUNTIFS(tbl_Finance[Job Number],C344&amp;"",tbl_Finance[Cost Centre],"CTS")&gt;0,"CTS ",""))," ",", ")))</f>
        <v/>
      </c>
      <c r="L344" s="24" t="n"/>
      <c r="M344" s="25">
        <f>IF(L344="","",HYPERLINK(IF(LEFT(L344,4)="http",L344,set_QwilrBase&amp;L344),"Open quote"))</f>
        <v/>
      </c>
      <c r="N344" s="26" t="n"/>
      <c r="O344" s="26" t="n"/>
      <c r="P344" s="26" t="n"/>
      <c r="Q344" s="25">
        <f>IF(C344="","",IF(N(N344)+N(O344)+N(P344)=0,"Not split",IF(ROUND(N(N344)+N(O344)+N(P344),2)=ROUND(H344,2),"OK","MISMATCH")))</f>
        <v/>
      </c>
      <c r="R344" s="26" t="n"/>
      <c r="S344" s="26" t="n"/>
      <c r="T344" s="26" t="n"/>
      <c r="U344" s="27">
        <f>IF(C344="","",N(R344)+N(S344)+N(T344))</f>
        <v/>
      </c>
      <c r="V344" s="27">
        <f>IF(C344="","",H344-U344)</f>
        <v/>
      </c>
      <c r="W344" s="29">
        <f>IFERROR(V344/H344,"")</f>
        <v/>
      </c>
      <c r="X344" s="24" t="n"/>
    </row>
    <row r="345" ht="15" customHeight="1">
      <c r="A345" s="63">
        <f>IF(C345="","",IFERROR(IF(SUMPRODUCT(MAX((tbl_Finance[Job Number]=C345&amp;"")*(tbl_Finance[Xero Invoice No]&lt;&gt;"")*tbl_Finance[Date]))=0,"",SUMPRODUCT(MAX((tbl_Finance[Job Number]=C345&amp;"")*(tbl_Finance[Xero Invoice No]&lt;&gt;"")*tbl_Finance[Date]))),""))</f>
        <v/>
      </c>
      <c r="B345" s="25">
        <f>IF(C345="","",IF(COUNTIFS(tbl_Finance[Job Number],C345&amp;"",tbl_Finance[Xero Invoice No],"&lt;&gt;")=0,"",IFERROR(IF(COUNTIFS(tbl_Finance[Job Number],C345&amp;"",tbl_Finance[Xero Invoice No],LOOKUP(2,1/((tbl_Finance[Job Number]=C345&amp;"")*(tbl_Finance[Xero Invoice No]&lt;&gt;"")),tbl_Finance[Xero Invoice No]))=COUNTIFS(tbl_Finance[Job Number],C345&amp;"",tbl_Finance[Xero Invoice No],"&lt;&gt;"),LOOKUP(2,1/((tbl_Finance[Job Number]=C345&amp;"")*(tbl_Finance[Xero Invoice No]&lt;&gt;"")),tbl_Finance[Xero Invoice No]),LOOKUP(2,1/((tbl_Finance[Job Number]=C345&amp;"")*(tbl_Finance[Xero Invoice No]&lt;&gt;"")),tbl_Finance[Xero Invoice No])&amp;" +more"),"")))</f>
        <v/>
      </c>
      <c r="C345" s="24" t="n"/>
      <c r="D345" s="25">
        <f>IF(C345="","",IF(COUNTIF(lst_Jobs,C345&amp;"")&gt;0,"OK","CHECK"))</f>
        <v/>
      </c>
      <c r="E345" s="25">
        <f>IF(C345="","",IFERROR(INDEX(lst_JobName,MATCH(C345&amp;"",lst_Jobs,0)),""))</f>
        <v/>
      </c>
      <c r="F345" s="25">
        <f>IF(C345="","",IFERROR(INDEX(tbl_Finance[Client],MATCH(C345&amp;"",tbl_Finance[Job Number],0)),""))</f>
        <v/>
      </c>
      <c r="G345" s="28">
        <f>IF(C345="","",COUNTIFS(tbl_Finance[Job Number],C345&amp;"",tbl_Finance[Ex GST],"&lt;&gt;"))</f>
        <v/>
      </c>
      <c r="H345" s="27">
        <f>IF(C345="","",SUMIFS(tbl_Finance[Ex GST],tbl_Finance[Job Number],C345&amp;""))</f>
        <v/>
      </c>
      <c r="I345" s="27">
        <f>IF(C345="","",SUMIFS(tbl_Finance[Ex GST],tbl_Finance[Job Number],C345&amp;"",tbl_Finance[Xero Invoice No],"&lt;&gt;"))</f>
        <v/>
      </c>
      <c r="J345" s="27">
        <f>IF(C345="","",H345-I345)</f>
        <v/>
      </c>
      <c r="K345" s="25">
        <f>IF(C345="","",IF(G345=0,"not invoiced yet",SUBSTITUTE(TRIM(IF(COUNTIFS(tbl_Finance[Job Number],C345&amp;"",tbl_Finance[Cost Centre],"ONSITE")&gt;0,"ONSITE ","")&amp;IF(COUNTIFS(tbl_Finance[Job Number],C345&amp;"",tbl_Finance[Cost Centre],"PRODUCTION")&gt;0,"PRODUCTION ","")&amp;IF(COUNTIFS(tbl_Finance[Job Number],C345&amp;"",tbl_Finance[Cost Centre],"VIDEO")&gt;0,"VIDEO ","")&amp;IF(COUNTIFS(tbl_Finance[Job Number],C345&amp;"",tbl_Finance[Cost Centre],"INTEGRATION")&gt;0,"INTEGRATION ","")&amp;IF(COUNTIFS(tbl_Finance[Job Number],C345&amp;"",tbl_Finance[Cost Centre],"CONSULTING")&gt;0,"CONSULTING ","")&amp;IF(COUNTIFS(tbl_Finance[Job Number],C345&amp;"",tbl_Finance[Cost Centre],"CTS")&gt;0,"CTS ",""))," ",", ")))</f>
        <v/>
      </c>
      <c r="L345" s="24" t="n"/>
      <c r="M345" s="25">
        <f>IF(L345="","",HYPERLINK(IF(LEFT(L345,4)="http",L345,set_QwilrBase&amp;L345),"Open quote"))</f>
        <v/>
      </c>
      <c r="N345" s="26" t="n"/>
      <c r="O345" s="26" t="n"/>
      <c r="P345" s="26" t="n"/>
      <c r="Q345" s="25">
        <f>IF(C345="","",IF(N(N345)+N(O345)+N(P345)=0,"Not split",IF(ROUND(N(N345)+N(O345)+N(P345),2)=ROUND(H345,2),"OK","MISMATCH")))</f>
        <v/>
      </c>
      <c r="R345" s="26" t="n"/>
      <c r="S345" s="26" t="n"/>
      <c r="T345" s="26" t="n"/>
      <c r="U345" s="27">
        <f>IF(C345="","",N(R345)+N(S345)+N(T345))</f>
        <v/>
      </c>
      <c r="V345" s="27">
        <f>IF(C345="","",H345-U345)</f>
        <v/>
      </c>
      <c r="W345" s="29">
        <f>IFERROR(V345/H345,"")</f>
        <v/>
      </c>
      <c r="X345" s="24" t="n"/>
    </row>
    <row r="346" ht="15" customHeight="1">
      <c r="A346" s="63">
        <f>IF(C346="","",IFERROR(IF(SUMPRODUCT(MAX((tbl_Finance[Job Number]=C346&amp;"")*(tbl_Finance[Xero Invoice No]&lt;&gt;"")*tbl_Finance[Date]))=0,"",SUMPRODUCT(MAX((tbl_Finance[Job Number]=C346&amp;"")*(tbl_Finance[Xero Invoice No]&lt;&gt;"")*tbl_Finance[Date]))),""))</f>
        <v/>
      </c>
      <c r="B346" s="25">
        <f>IF(C346="","",IF(COUNTIFS(tbl_Finance[Job Number],C346&amp;"",tbl_Finance[Xero Invoice No],"&lt;&gt;")=0,"",IFERROR(IF(COUNTIFS(tbl_Finance[Job Number],C346&amp;"",tbl_Finance[Xero Invoice No],LOOKUP(2,1/((tbl_Finance[Job Number]=C346&amp;"")*(tbl_Finance[Xero Invoice No]&lt;&gt;"")),tbl_Finance[Xero Invoice No]))=COUNTIFS(tbl_Finance[Job Number],C346&amp;"",tbl_Finance[Xero Invoice No],"&lt;&gt;"),LOOKUP(2,1/((tbl_Finance[Job Number]=C346&amp;"")*(tbl_Finance[Xero Invoice No]&lt;&gt;"")),tbl_Finance[Xero Invoice No]),LOOKUP(2,1/((tbl_Finance[Job Number]=C346&amp;"")*(tbl_Finance[Xero Invoice No]&lt;&gt;"")),tbl_Finance[Xero Invoice No])&amp;" +more"),"")))</f>
        <v/>
      </c>
      <c r="C346" s="24" t="n"/>
      <c r="D346" s="25">
        <f>IF(C346="","",IF(COUNTIF(lst_Jobs,C346&amp;"")&gt;0,"OK","CHECK"))</f>
        <v/>
      </c>
      <c r="E346" s="25">
        <f>IF(C346="","",IFERROR(INDEX(lst_JobName,MATCH(C346&amp;"",lst_Jobs,0)),""))</f>
        <v/>
      </c>
      <c r="F346" s="25">
        <f>IF(C346="","",IFERROR(INDEX(tbl_Finance[Client],MATCH(C346&amp;"",tbl_Finance[Job Number],0)),""))</f>
        <v/>
      </c>
      <c r="G346" s="28">
        <f>IF(C346="","",COUNTIFS(tbl_Finance[Job Number],C346&amp;"",tbl_Finance[Ex GST],"&lt;&gt;"))</f>
        <v/>
      </c>
      <c r="H346" s="27">
        <f>IF(C346="","",SUMIFS(tbl_Finance[Ex GST],tbl_Finance[Job Number],C346&amp;""))</f>
        <v/>
      </c>
      <c r="I346" s="27">
        <f>IF(C346="","",SUMIFS(tbl_Finance[Ex GST],tbl_Finance[Job Number],C346&amp;"",tbl_Finance[Xero Invoice No],"&lt;&gt;"))</f>
        <v/>
      </c>
      <c r="J346" s="27">
        <f>IF(C346="","",H346-I346)</f>
        <v/>
      </c>
      <c r="K346" s="25">
        <f>IF(C346="","",IF(G346=0,"not invoiced yet",SUBSTITUTE(TRIM(IF(COUNTIFS(tbl_Finance[Job Number],C346&amp;"",tbl_Finance[Cost Centre],"ONSITE")&gt;0,"ONSITE ","")&amp;IF(COUNTIFS(tbl_Finance[Job Number],C346&amp;"",tbl_Finance[Cost Centre],"PRODUCTION")&gt;0,"PRODUCTION ","")&amp;IF(COUNTIFS(tbl_Finance[Job Number],C346&amp;"",tbl_Finance[Cost Centre],"VIDEO")&gt;0,"VIDEO ","")&amp;IF(COUNTIFS(tbl_Finance[Job Number],C346&amp;"",tbl_Finance[Cost Centre],"INTEGRATION")&gt;0,"INTEGRATION ","")&amp;IF(COUNTIFS(tbl_Finance[Job Number],C346&amp;"",tbl_Finance[Cost Centre],"CONSULTING")&gt;0,"CONSULTING ","")&amp;IF(COUNTIFS(tbl_Finance[Job Number],C346&amp;"",tbl_Finance[Cost Centre],"CTS")&gt;0,"CTS ",""))," ",", ")))</f>
        <v/>
      </c>
      <c r="L346" s="24" t="n"/>
      <c r="M346" s="25">
        <f>IF(L346="","",HYPERLINK(IF(LEFT(L346,4)="http",L346,set_QwilrBase&amp;L346),"Open quote"))</f>
        <v/>
      </c>
      <c r="N346" s="26" t="n"/>
      <c r="O346" s="26" t="n"/>
      <c r="P346" s="26" t="n"/>
      <c r="Q346" s="25">
        <f>IF(C346="","",IF(N(N346)+N(O346)+N(P346)=0,"Not split",IF(ROUND(N(N346)+N(O346)+N(P346),2)=ROUND(H346,2),"OK","MISMATCH")))</f>
        <v/>
      </c>
      <c r="R346" s="26" t="n"/>
      <c r="S346" s="26" t="n"/>
      <c r="T346" s="26" t="n"/>
      <c r="U346" s="27">
        <f>IF(C346="","",N(R346)+N(S346)+N(T346))</f>
        <v/>
      </c>
      <c r="V346" s="27">
        <f>IF(C346="","",H346-U346)</f>
        <v/>
      </c>
      <c r="W346" s="29">
        <f>IFERROR(V346/H346,"")</f>
        <v/>
      </c>
      <c r="X346" s="24" t="n"/>
    </row>
    <row r="347" ht="15" customHeight="1">
      <c r="A347" s="63">
        <f>IF(C347="","",IFERROR(IF(SUMPRODUCT(MAX((tbl_Finance[Job Number]=C347&amp;"")*(tbl_Finance[Xero Invoice No]&lt;&gt;"")*tbl_Finance[Date]))=0,"",SUMPRODUCT(MAX((tbl_Finance[Job Number]=C347&amp;"")*(tbl_Finance[Xero Invoice No]&lt;&gt;"")*tbl_Finance[Date]))),""))</f>
        <v/>
      </c>
      <c r="B347" s="25">
        <f>IF(C347="","",IF(COUNTIFS(tbl_Finance[Job Number],C347&amp;"",tbl_Finance[Xero Invoice No],"&lt;&gt;")=0,"",IFERROR(IF(COUNTIFS(tbl_Finance[Job Number],C347&amp;"",tbl_Finance[Xero Invoice No],LOOKUP(2,1/((tbl_Finance[Job Number]=C347&amp;"")*(tbl_Finance[Xero Invoice No]&lt;&gt;"")),tbl_Finance[Xero Invoice No]))=COUNTIFS(tbl_Finance[Job Number],C347&amp;"",tbl_Finance[Xero Invoice No],"&lt;&gt;"),LOOKUP(2,1/((tbl_Finance[Job Number]=C347&amp;"")*(tbl_Finance[Xero Invoice No]&lt;&gt;"")),tbl_Finance[Xero Invoice No]),LOOKUP(2,1/((tbl_Finance[Job Number]=C347&amp;"")*(tbl_Finance[Xero Invoice No]&lt;&gt;"")),tbl_Finance[Xero Invoice No])&amp;" +more"),"")))</f>
        <v/>
      </c>
      <c r="C347" s="24" t="n"/>
      <c r="D347" s="25">
        <f>IF(C347="","",IF(COUNTIF(lst_Jobs,C347&amp;"")&gt;0,"OK","CHECK"))</f>
        <v/>
      </c>
      <c r="E347" s="25">
        <f>IF(C347="","",IFERROR(INDEX(lst_JobName,MATCH(C347&amp;"",lst_Jobs,0)),""))</f>
        <v/>
      </c>
      <c r="F347" s="25">
        <f>IF(C347="","",IFERROR(INDEX(tbl_Finance[Client],MATCH(C347&amp;"",tbl_Finance[Job Number],0)),""))</f>
        <v/>
      </c>
      <c r="G347" s="28">
        <f>IF(C347="","",COUNTIFS(tbl_Finance[Job Number],C347&amp;"",tbl_Finance[Ex GST],"&lt;&gt;"))</f>
        <v/>
      </c>
      <c r="H347" s="27">
        <f>IF(C347="","",SUMIFS(tbl_Finance[Ex GST],tbl_Finance[Job Number],C347&amp;""))</f>
        <v/>
      </c>
      <c r="I347" s="27">
        <f>IF(C347="","",SUMIFS(tbl_Finance[Ex GST],tbl_Finance[Job Number],C347&amp;"",tbl_Finance[Xero Invoice No],"&lt;&gt;"))</f>
        <v/>
      </c>
      <c r="J347" s="27">
        <f>IF(C347="","",H347-I347)</f>
        <v/>
      </c>
      <c r="K347" s="25">
        <f>IF(C347="","",IF(G347=0,"not invoiced yet",SUBSTITUTE(TRIM(IF(COUNTIFS(tbl_Finance[Job Number],C347&amp;"",tbl_Finance[Cost Centre],"ONSITE")&gt;0,"ONSITE ","")&amp;IF(COUNTIFS(tbl_Finance[Job Number],C347&amp;"",tbl_Finance[Cost Centre],"PRODUCTION")&gt;0,"PRODUCTION ","")&amp;IF(COUNTIFS(tbl_Finance[Job Number],C347&amp;"",tbl_Finance[Cost Centre],"VIDEO")&gt;0,"VIDEO ","")&amp;IF(COUNTIFS(tbl_Finance[Job Number],C347&amp;"",tbl_Finance[Cost Centre],"INTEGRATION")&gt;0,"INTEGRATION ","")&amp;IF(COUNTIFS(tbl_Finance[Job Number],C347&amp;"",tbl_Finance[Cost Centre],"CONSULTING")&gt;0,"CONSULTING ","")&amp;IF(COUNTIFS(tbl_Finance[Job Number],C347&amp;"",tbl_Finance[Cost Centre],"CTS")&gt;0,"CTS ",""))," ",", ")))</f>
        <v/>
      </c>
      <c r="L347" s="24" t="n"/>
      <c r="M347" s="25">
        <f>IF(L347="","",HYPERLINK(IF(LEFT(L347,4)="http",L347,set_QwilrBase&amp;L347),"Open quote"))</f>
        <v/>
      </c>
      <c r="N347" s="26" t="n"/>
      <c r="O347" s="26" t="n"/>
      <c r="P347" s="26" t="n"/>
      <c r="Q347" s="25">
        <f>IF(C347="","",IF(N(N347)+N(O347)+N(P347)=0,"Not split",IF(ROUND(N(N347)+N(O347)+N(P347),2)=ROUND(H347,2),"OK","MISMATCH")))</f>
        <v/>
      </c>
      <c r="R347" s="26" t="n"/>
      <c r="S347" s="26" t="n"/>
      <c r="T347" s="26" t="n"/>
      <c r="U347" s="27">
        <f>IF(C347="","",N(R347)+N(S347)+N(T347))</f>
        <v/>
      </c>
      <c r="V347" s="27">
        <f>IF(C347="","",H347-U347)</f>
        <v/>
      </c>
      <c r="W347" s="29">
        <f>IFERROR(V347/H347,"")</f>
        <v/>
      </c>
      <c r="X347" s="24" t="n"/>
    </row>
    <row r="348" ht="15" customHeight="1">
      <c r="A348" s="63">
        <f>IF(C348="","",IFERROR(IF(SUMPRODUCT(MAX((tbl_Finance[Job Number]=C348&amp;"")*(tbl_Finance[Xero Invoice No]&lt;&gt;"")*tbl_Finance[Date]))=0,"",SUMPRODUCT(MAX((tbl_Finance[Job Number]=C348&amp;"")*(tbl_Finance[Xero Invoice No]&lt;&gt;"")*tbl_Finance[Date]))),""))</f>
        <v/>
      </c>
      <c r="B348" s="25">
        <f>IF(C348="","",IF(COUNTIFS(tbl_Finance[Job Number],C348&amp;"",tbl_Finance[Xero Invoice No],"&lt;&gt;")=0,"",IFERROR(IF(COUNTIFS(tbl_Finance[Job Number],C348&amp;"",tbl_Finance[Xero Invoice No],LOOKUP(2,1/((tbl_Finance[Job Number]=C348&amp;"")*(tbl_Finance[Xero Invoice No]&lt;&gt;"")),tbl_Finance[Xero Invoice No]))=COUNTIFS(tbl_Finance[Job Number],C348&amp;"",tbl_Finance[Xero Invoice No],"&lt;&gt;"),LOOKUP(2,1/((tbl_Finance[Job Number]=C348&amp;"")*(tbl_Finance[Xero Invoice No]&lt;&gt;"")),tbl_Finance[Xero Invoice No]),LOOKUP(2,1/((tbl_Finance[Job Number]=C348&amp;"")*(tbl_Finance[Xero Invoice No]&lt;&gt;"")),tbl_Finance[Xero Invoice No])&amp;" +more"),"")))</f>
        <v/>
      </c>
      <c r="C348" s="24" t="n"/>
      <c r="D348" s="25">
        <f>IF(C348="","",IF(COUNTIF(lst_Jobs,C348&amp;"")&gt;0,"OK","CHECK"))</f>
        <v/>
      </c>
      <c r="E348" s="25">
        <f>IF(C348="","",IFERROR(INDEX(lst_JobName,MATCH(C348&amp;"",lst_Jobs,0)),""))</f>
        <v/>
      </c>
      <c r="F348" s="25">
        <f>IF(C348="","",IFERROR(INDEX(tbl_Finance[Client],MATCH(C348&amp;"",tbl_Finance[Job Number],0)),""))</f>
        <v/>
      </c>
      <c r="G348" s="28">
        <f>IF(C348="","",COUNTIFS(tbl_Finance[Job Number],C348&amp;"",tbl_Finance[Ex GST],"&lt;&gt;"))</f>
        <v/>
      </c>
      <c r="H348" s="27">
        <f>IF(C348="","",SUMIFS(tbl_Finance[Ex GST],tbl_Finance[Job Number],C348&amp;""))</f>
        <v/>
      </c>
      <c r="I348" s="27">
        <f>IF(C348="","",SUMIFS(tbl_Finance[Ex GST],tbl_Finance[Job Number],C348&amp;"",tbl_Finance[Xero Invoice No],"&lt;&gt;"))</f>
        <v/>
      </c>
      <c r="J348" s="27">
        <f>IF(C348="","",H348-I348)</f>
        <v/>
      </c>
      <c r="K348" s="25">
        <f>IF(C348="","",IF(G348=0,"not invoiced yet",SUBSTITUTE(TRIM(IF(COUNTIFS(tbl_Finance[Job Number],C348&amp;"",tbl_Finance[Cost Centre],"ONSITE")&gt;0,"ONSITE ","")&amp;IF(COUNTIFS(tbl_Finance[Job Number],C348&amp;"",tbl_Finance[Cost Centre],"PRODUCTION")&gt;0,"PRODUCTION ","")&amp;IF(COUNTIFS(tbl_Finance[Job Number],C348&amp;"",tbl_Finance[Cost Centre],"VIDEO")&gt;0,"VIDEO ","")&amp;IF(COUNTIFS(tbl_Finance[Job Number],C348&amp;"",tbl_Finance[Cost Centre],"INTEGRATION")&gt;0,"INTEGRATION ","")&amp;IF(COUNTIFS(tbl_Finance[Job Number],C348&amp;"",tbl_Finance[Cost Centre],"CONSULTING")&gt;0,"CONSULTING ","")&amp;IF(COUNTIFS(tbl_Finance[Job Number],C348&amp;"",tbl_Finance[Cost Centre],"CTS")&gt;0,"CTS ",""))," ",", ")))</f>
        <v/>
      </c>
      <c r="L348" s="24" t="n"/>
      <c r="M348" s="25">
        <f>IF(L348="","",HYPERLINK(IF(LEFT(L348,4)="http",L348,set_QwilrBase&amp;L348),"Open quote"))</f>
        <v/>
      </c>
      <c r="N348" s="26" t="n"/>
      <c r="O348" s="26" t="n"/>
      <c r="P348" s="26" t="n"/>
      <c r="Q348" s="25">
        <f>IF(C348="","",IF(N(N348)+N(O348)+N(P348)=0,"Not split",IF(ROUND(N(N348)+N(O348)+N(P348),2)=ROUND(H348,2),"OK","MISMATCH")))</f>
        <v/>
      </c>
      <c r="R348" s="26" t="n"/>
      <c r="S348" s="26" t="n"/>
      <c r="T348" s="26" t="n"/>
      <c r="U348" s="27">
        <f>IF(C348="","",N(R348)+N(S348)+N(T348))</f>
        <v/>
      </c>
      <c r="V348" s="27">
        <f>IF(C348="","",H348-U348)</f>
        <v/>
      </c>
      <c r="W348" s="29">
        <f>IFERROR(V348/H348,"")</f>
        <v/>
      </c>
      <c r="X348" s="24" t="n"/>
    </row>
    <row r="349" ht="15" customHeight="1">
      <c r="A349" s="63">
        <f>IF(C349="","",IFERROR(IF(SUMPRODUCT(MAX((tbl_Finance[Job Number]=C349&amp;"")*(tbl_Finance[Xero Invoice No]&lt;&gt;"")*tbl_Finance[Date]))=0,"",SUMPRODUCT(MAX((tbl_Finance[Job Number]=C349&amp;"")*(tbl_Finance[Xero Invoice No]&lt;&gt;"")*tbl_Finance[Date]))),""))</f>
        <v/>
      </c>
      <c r="B349" s="25">
        <f>IF(C349="","",IF(COUNTIFS(tbl_Finance[Job Number],C349&amp;"",tbl_Finance[Xero Invoice No],"&lt;&gt;")=0,"",IFERROR(IF(COUNTIFS(tbl_Finance[Job Number],C349&amp;"",tbl_Finance[Xero Invoice No],LOOKUP(2,1/((tbl_Finance[Job Number]=C349&amp;"")*(tbl_Finance[Xero Invoice No]&lt;&gt;"")),tbl_Finance[Xero Invoice No]))=COUNTIFS(tbl_Finance[Job Number],C349&amp;"",tbl_Finance[Xero Invoice No],"&lt;&gt;"),LOOKUP(2,1/((tbl_Finance[Job Number]=C349&amp;"")*(tbl_Finance[Xero Invoice No]&lt;&gt;"")),tbl_Finance[Xero Invoice No]),LOOKUP(2,1/((tbl_Finance[Job Number]=C349&amp;"")*(tbl_Finance[Xero Invoice No]&lt;&gt;"")),tbl_Finance[Xero Invoice No])&amp;" +more"),"")))</f>
        <v/>
      </c>
      <c r="C349" s="24" t="n"/>
      <c r="D349" s="25">
        <f>IF(C349="","",IF(COUNTIF(lst_Jobs,C349&amp;"")&gt;0,"OK","CHECK"))</f>
        <v/>
      </c>
      <c r="E349" s="25">
        <f>IF(C349="","",IFERROR(INDEX(lst_JobName,MATCH(C349&amp;"",lst_Jobs,0)),""))</f>
        <v/>
      </c>
      <c r="F349" s="25">
        <f>IF(C349="","",IFERROR(INDEX(tbl_Finance[Client],MATCH(C349&amp;"",tbl_Finance[Job Number],0)),""))</f>
        <v/>
      </c>
      <c r="G349" s="28">
        <f>IF(C349="","",COUNTIFS(tbl_Finance[Job Number],C349&amp;"",tbl_Finance[Ex GST],"&lt;&gt;"))</f>
        <v/>
      </c>
      <c r="H349" s="27">
        <f>IF(C349="","",SUMIFS(tbl_Finance[Ex GST],tbl_Finance[Job Number],C349&amp;""))</f>
        <v/>
      </c>
      <c r="I349" s="27">
        <f>IF(C349="","",SUMIFS(tbl_Finance[Ex GST],tbl_Finance[Job Number],C349&amp;"",tbl_Finance[Xero Invoice No],"&lt;&gt;"))</f>
        <v/>
      </c>
      <c r="J349" s="27">
        <f>IF(C349="","",H349-I349)</f>
        <v/>
      </c>
      <c r="K349" s="25">
        <f>IF(C349="","",IF(G349=0,"not invoiced yet",SUBSTITUTE(TRIM(IF(COUNTIFS(tbl_Finance[Job Number],C349&amp;"",tbl_Finance[Cost Centre],"ONSITE")&gt;0,"ONSITE ","")&amp;IF(COUNTIFS(tbl_Finance[Job Number],C349&amp;"",tbl_Finance[Cost Centre],"PRODUCTION")&gt;0,"PRODUCTION ","")&amp;IF(COUNTIFS(tbl_Finance[Job Number],C349&amp;"",tbl_Finance[Cost Centre],"VIDEO")&gt;0,"VIDEO ","")&amp;IF(COUNTIFS(tbl_Finance[Job Number],C349&amp;"",tbl_Finance[Cost Centre],"INTEGRATION")&gt;0,"INTEGRATION ","")&amp;IF(COUNTIFS(tbl_Finance[Job Number],C349&amp;"",tbl_Finance[Cost Centre],"CONSULTING")&gt;0,"CONSULTING ","")&amp;IF(COUNTIFS(tbl_Finance[Job Number],C349&amp;"",tbl_Finance[Cost Centre],"CTS")&gt;0,"CTS ",""))," ",", ")))</f>
        <v/>
      </c>
      <c r="L349" s="24" t="n"/>
      <c r="M349" s="25">
        <f>IF(L349="","",HYPERLINK(IF(LEFT(L349,4)="http",L349,set_QwilrBase&amp;L349),"Open quote"))</f>
        <v/>
      </c>
      <c r="N349" s="26" t="n"/>
      <c r="O349" s="26" t="n"/>
      <c r="P349" s="26" t="n"/>
      <c r="Q349" s="25">
        <f>IF(C349="","",IF(N(N349)+N(O349)+N(P349)=0,"Not split",IF(ROUND(N(N349)+N(O349)+N(P349),2)=ROUND(H349,2),"OK","MISMATCH")))</f>
        <v/>
      </c>
      <c r="R349" s="26" t="n"/>
      <c r="S349" s="26" t="n"/>
      <c r="T349" s="26" t="n"/>
      <c r="U349" s="27">
        <f>IF(C349="","",N(R349)+N(S349)+N(T349))</f>
        <v/>
      </c>
      <c r="V349" s="27">
        <f>IF(C349="","",H349-U349)</f>
        <v/>
      </c>
      <c r="W349" s="29">
        <f>IFERROR(V349/H349,"")</f>
        <v/>
      </c>
      <c r="X349" s="24" t="n"/>
    </row>
    <row r="350" ht="15" customHeight="1">
      <c r="A350" s="63">
        <f>IF(C350="","",IFERROR(IF(SUMPRODUCT(MAX((tbl_Finance[Job Number]=C350&amp;"")*(tbl_Finance[Xero Invoice No]&lt;&gt;"")*tbl_Finance[Date]))=0,"",SUMPRODUCT(MAX((tbl_Finance[Job Number]=C350&amp;"")*(tbl_Finance[Xero Invoice No]&lt;&gt;"")*tbl_Finance[Date]))),""))</f>
        <v/>
      </c>
      <c r="B350" s="25">
        <f>IF(C350="","",IF(COUNTIFS(tbl_Finance[Job Number],C350&amp;"",tbl_Finance[Xero Invoice No],"&lt;&gt;")=0,"",IFERROR(IF(COUNTIFS(tbl_Finance[Job Number],C350&amp;"",tbl_Finance[Xero Invoice No],LOOKUP(2,1/((tbl_Finance[Job Number]=C350&amp;"")*(tbl_Finance[Xero Invoice No]&lt;&gt;"")),tbl_Finance[Xero Invoice No]))=COUNTIFS(tbl_Finance[Job Number],C350&amp;"",tbl_Finance[Xero Invoice No],"&lt;&gt;"),LOOKUP(2,1/((tbl_Finance[Job Number]=C350&amp;"")*(tbl_Finance[Xero Invoice No]&lt;&gt;"")),tbl_Finance[Xero Invoice No]),LOOKUP(2,1/((tbl_Finance[Job Number]=C350&amp;"")*(tbl_Finance[Xero Invoice No]&lt;&gt;"")),tbl_Finance[Xero Invoice No])&amp;" +more"),"")))</f>
        <v/>
      </c>
      <c r="C350" s="24" t="n"/>
      <c r="D350" s="25">
        <f>IF(C350="","",IF(COUNTIF(lst_Jobs,C350&amp;"")&gt;0,"OK","CHECK"))</f>
        <v/>
      </c>
      <c r="E350" s="25">
        <f>IF(C350="","",IFERROR(INDEX(lst_JobName,MATCH(C350&amp;"",lst_Jobs,0)),""))</f>
        <v/>
      </c>
      <c r="F350" s="25">
        <f>IF(C350="","",IFERROR(INDEX(tbl_Finance[Client],MATCH(C350&amp;"",tbl_Finance[Job Number],0)),""))</f>
        <v/>
      </c>
      <c r="G350" s="28">
        <f>IF(C350="","",COUNTIFS(tbl_Finance[Job Number],C350&amp;"",tbl_Finance[Ex GST],"&lt;&gt;"))</f>
        <v/>
      </c>
      <c r="H350" s="27">
        <f>IF(C350="","",SUMIFS(tbl_Finance[Ex GST],tbl_Finance[Job Number],C350&amp;""))</f>
        <v/>
      </c>
      <c r="I350" s="27">
        <f>IF(C350="","",SUMIFS(tbl_Finance[Ex GST],tbl_Finance[Job Number],C350&amp;"",tbl_Finance[Xero Invoice No],"&lt;&gt;"))</f>
        <v/>
      </c>
      <c r="J350" s="27">
        <f>IF(C350="","",H350-I350)</f>
        <v/>
      </c>
      <c r="K350" s="25">
        <f>IF(C350="","",IF(G350=0,"not invoiced yet",SUBSTITUTE(TRIM(IF(COUNTIFS(tbl_Finance[Job Number],C350&amp;"",tbl_Finance[Cost Centre],"ONSITE")&gt;0,"ONSITE ","")&amp;IF(COUNTIFS(tbl_Finance[Job Number],C350&amp;"",tbl_Finance[Cost Centre],"PRODUCTION")&gt;0,"PRODUCTION ","")&amp;IF(COUNTIFS(tbl_Finance[Job Number],C350&amp;"",tbl_Finance[Cost Centre],"VIDEO")&gt;0,"VIDEO ","")&amp;IF(COUNTIFS(tbl_Finance[Job Number],C350&amp;"",tbl_Finance[Cost Centre],"INTEGRATION")&gt;0,"INTEGRATION ","")&amp;IF(COUNTIFS(tbl_Finance[Job Number],C350&amp;"",tbl_Finance[Cost Centre],"CONSULTING")&gt;0,"CONSULTING ","")&amp;IF(COUNTIFS(tbl_Finance[Job Number],C350&amp;"",tbl_Finance[Cost Centre],"CTS")&gt;0,"CTS ",""))," ",", ")))</f>
        <v/>
      </c>
      <c r="L350" s="24" t="n"/>
      <c r="M350" s="25">
        <f>IF(L350="","",HYPERLINK(IF(LEFT(L350,4)="http",L350,set_QwilrBase&amp;L350),"Open quote"))</f>
        <v/>
      </c>
      <c r="N350" s="26" t="n"/>
      <c r="O350" s="26" t="n"/>
      <c r="P350" s="26" t="n"/>
      <c r="Q350" s="25">
        <f>IF(C350="","",IF(N(N350)+N(O350)+N(P350)=0,"Not split",IF(ROUND(N(N350)+N(O350)+N(P350),2)=ROUND(H350,2),"OK","MISMATCH")))</f>
        <v/>
      </c>
      <c r="R350" s="26" t="n"/>
      <c r="S350" s="26" t="n"/>
      <c r="T350" s="26" t="n"/>
      <c r="U350" s="27">
        <f>IF(C350="","",N(R350)+N(S350)+N(T350))</f>
        <v/>
      </c>
      <c r="V350" s="27">
        <f>IF(C350="","",H350-U350)</f>
        <v/>
      </c>
      <c r="W350" s="29">
        <f>IFERROR(V350/H350,"")</f>
        <v/>
      </c>
      <c r="X350" s="24" t="n"/>
    </row>
    <row r="351" ht="15" customHeight="1">
      <c r="A351" s="63">
        <f>IF(C351="","",IFERROR(IF(SUMPRODUCT(MAX((tbl_Finance[Job Number]=C351&amp;"")*(tbl_Finance[Xero Invoice No]&lt;&gt;"")*tbl_Finance[Date]))=0,"",SUMPRODUCT(MAX((tbl_Finance[Job Number]=C351&amp;"")*(tbl_Finance[Xero Invoice No]&lt;&gt;"")*tbl_Finance[Date]))),""))</f>
        <v/>
      </c>
      <c r="B351" s="25">
        <f>IF(C351="","",IF(COUNTIFS(tbl_Finance[Job Number],C351&amp;"",tbl_Finance[Xero Invoice No],"&lt;&gt;")=0,"",IFERROR(IF(COUNTIFS(tbl_Finance[Job Number],C351&amp;"",tbl_Finance[Xero Invoice No],LOOKUP(2,1/((tbl_Finance[Job Number]=C351&amp;"")*(tbl_Finance[Xero Invoice No]&lt;&gt;"")),tbl_Finance[Xero Invoice No]))=COUNTIFS(tbl_Finance[Job Number],C351&amp;"",tbl_Finance[Xero Invoice No],"&lt;&gt;"),LOOKUP(2,1/((tbl_Finance[Job Number]=C351&amp;"")*(tbl_Finance[Xero Invoice No]&lt;&gt;"")),tbl_Finance[Xero Invoice No]),LOOKUP(2,1/((tbl_Finance[Job Number]=C351&amp;"")*(tbl_Finance[Xero Invoice No]&lt;&gt;"")),tbl_Finance[Xero Invoice No])&amp;" +more"),"")))</f>
        <v/>
      </c>
      <c r="C351" s="24" t="n"/>
      <c r="D351" s="25">
        <f>IF(C351="","",IF(COUNTIF(lst_Jobs,C351&amp;"")&gt;0,"OK","CHECK"))</f>
        <v/>
      </c>
      <c r="E351" s="25">
        <f>IF(C351="","",IFERROR(INDEX(lst_JobName,MATCH(C351&amp;"",lst_Jobs,0)),""))</f>
        <v/>
      </c>
      <c r="F351" s="25">
        <f>IF(C351="","",IFERROR(INDEX(tbl_Finance[Client],MATCH(C351&amp;"",tbl_Finance[Job Number],0)),""))</f>
        <v/>
      </c>
      <c r="G351" s="28">
        <f>IF(C351="","",COUNTIFS(tbl_Finance[Job Number],C351&amp;"",tbl_Finance[Ex GST],"&lt;&gt;"))</f>
        <v/>
      </c>
      <c r="H351" s="27">
        <f>IF(C351="","",SUMIFS(tbl_Finance[Ex GST],tbl_Finance[Job Number],C351&amp;""))</f>
        <v/>
      </c>
      <c r="I351" s="27">
        <f>IF(C351="","",SUMIFS(tbl_Finance[Ex GST],tbl_Finance[Job Number],C351&amp;"",tbl_Finance[Xero Invoice No],"&lt;&gt;"))</f>
        <v/>
      </c>
      <c r="J351" s="27">
        <f>IF(C351="","",H351-I351)</f>
        <v/>
      </c>
      <c r="K351" s="25">
        <f>IF(C351="","",IF(G351=0,"not invoiced yet",SUBSTITUTE(TRIM(IF(COUNTIFS(tbl_Finance[Job Number],C351&amp;"",tbl_Finance[Cost Centre],"ONSITE")&gt;0,"ONSITE ","")&amp;IF(COUNTIFS(tbl_Finance[Job Number],C351&amp;"",tbl_Finance[Cost Centre],"PRODUCTION")&gt;0,"PRODUCTION ","")&amp;IF(COUNTIFS(tbl_Finance[Job Number],C351&amp;"",tbl_Finance[Cost Centre],"VIDEO")&gt;0,"VIDEO ","")&amp;IF(COUNTIFS(tbl_Finance[Job Number],C351&amp;"",tbl_Finance[Cost Centre],"INTEGRATION")&gt;0,"INTEGRATION ","")&amp;IF(COUNTIFS(tbl_Finance[Job Number],C351&amp;"",tbl_Finance[Cost Centre],"CONSULTING")&gt;0,"CONSULTING ","")&amp;IF(COUNTIFS(tbl_Finance[Job Number],C351&amp;"",tbl_Finance[Cost Centre],"CTS")&gt;0,"CTS ",""))," ",", ")))</f>
        <v/>
      </c>
      <c r="L351" s="24" t="n"/>
      <c r="M351" s="25">
        <f>IF(L351="","",HYPERLINK(IF(LEFT(L351,4)="http",L351,set_QwilrBase&amp;L351),"Open quote"))</f>
        <v/>
      </c>
      <c r="N351" s="26" t="n"/>
      <c r="O351" s="26" t="n"/>
      <c r="P351" s="26" t="n"/>
      <c r="Q351" s="25">
        <f>IF(C351="","",IF(N(N351)+N(O351)+N(P351)=0,"Not split",IF(ROUND(N(N351)+N(O351)+N(P351),2)=ROUND(H351,2),"OK","MISMATCH")))</f>
        <v/>
      </c>
      <c r="R351" s="26" t="n"/>
      <c r="S351" s="26" t="n"/>
      <c r="T351" s="26" t="n"/>
      <c r="U351" s="27">
        <f>IF(C351="","",N(R351)+N(S351)+N(T351))</f>
        <v/>
      </c>
      <c r="V351" s="27">
        <f>IF(C351="","",H351-U351)</f>
        <v/>
      </c>
      <c r="W351" s="29">
        <f>IFERROR(V351/H351,"")</f>
        <v/>
      </c>
      <c r="X351" s="24" t="n"/>
    </row>
    <row r="352" ht="15" customHeight="1">
      <c r="A352" s="63">
        <f>IF(C352="","",IFERROR(IF(SUMPRODUCT(MAX((tbl_Finance[Job Number]=C352&amp;"")*(tbl_Finance[Xero Invoice No]&lt;&gt;"")*tbl_Finance[Date]))=0,"",SUMPRODUCT(MAX((tbl_Finance[Job Number]=C352&amp;"")*(tbl_Finance[Xero Invoice No]&lt;&gt;"")*tbl_Finance[Date]))),""))</f>
        <v/>
      </c>
      <c r="B352" s="25">
        <f>IF(C352="","",IF(COUNTIFS(tbl_Finance[Job Number],C352&amp;"",tbl_Finance[Xero Invoice No],"&lt;&gt;")=0,"",IFERROR(IF(COUNTIFS(tbl_Finance[Job Number],C352&amp;"",tbl_Finance[Xero Invoice No],LOOKUP(2,1/((tbl_Finance[Job Number]=C352&amp;"")*(tbl_Finance[Xero Invoice No]&lt;&gt;"")),tbl_Finance[Xero Invoice No]))=COUNTIFS(tbl_Finance[Job Number],C352&amp;"",tbl_Finance[Xero Invoice No],"&lt;&gt;"),LOOKUP(2,1/((tbl_Finance[Job Number]=C352&amp;"")*(tbl_Finance[Xero Invoice No]&lt;&gt;"")),tbl_Finance[Xero Invoice No]),LOOKUP(2,1/((tbl_Finance[Job Number]=C352&amp;"")*(tbl_Finance[Xero Invoice No]&lt;&gt;"")),tbl_Finance[Xero Invoice No])&amp;" +more"),"")))</f>
        <v/>
      </c>
      <c r="C352" s="24" t="n"/>
      <c r="D352" s="25">
        <f>IF(C352="","",IF(COUNTIF(lst_Jobs,C352&amp;"")&gt;0,"OK","CHECK"))</f>
        <v/>
      </c>
      <c r="E352" s="25">
        <f>IF(C352="","",IFERROR(INDEX(lst_JobName,MATCH(C352&amp;"",lst_Jobs,0)),""))</f>
        <v/>
      </c>
      <c r="F352" s="25">
        <f>IF(C352="","",IFERROR(INDEX(tbl_Finance[Client],MATCH(C352&amp;"",tbl_Finance[Job Number],0)),""))</f>
        <v/>
      </c>
      <c r="G352" s="28">
        <f>IF(C352="","",COUNTIFS(tbl_Finance[Job Number],C352&amp;"",tbl_Finance[Ex GST],"&lt;&gt;"))</f>
        <v/>
      </c>
      <c r="H352" s="27">
        <f>IF(C352="","",SUMIFS(tbl_Finance[Ex GST],tbl_Finance[Job Number],C352&amp;""))</f>
        <v/>
      </c>
      <c r="I352" s="27">
        <f>IF(C352="","",SUMIFS(tbl_Finance[Ex GST],tbl_Finance[Job Number],C352&amp;"",tbl_Finance[Xero Invoice No],"&lt;&gt;"))</f>
        <v/>
      </c>
      <c r="J352" s="27">
        <f>IF(C352="","",H352-I352)</f>
        <v/>
      </c>
      <c r="K352" s="25">
        <f>IF(C352="","",IF(G352=0,"not invoiced yet",SUBSTITUTE(TRIM(IF(COUNTIFS(tbl_Finance[Job Number],C352&amp;"",tbl_Finance[Cost Centre],"ONSITE")&gt;0,"ONSITE ","")&amp;IF(COUNTIFS(tbl_Finance[Job Number],C352&amp;"",tbl_Finance[Cost Centre],"PRODUCTION")&gt;0,"PRODUCTION ","")&amp;IF(COUNTIFS(tbl_Finance[Job Number],C352&amp;"",tbl_Finance[Cost Centre],"VIDEO")&gt;0,"VIDEO ","")&amp;IF(COUNTIFS(tbl_Finance[Job Number],C352&amp;"",tbl_Finance[Cost Centre],"INTEGRATION")&gt;0,"INTEGRATION ","")&amp;IF(COUNTIFS(tbl_Finance[Job Number],C352&amp;"",tbl_Finance[Cost Centre],"CONSULTING")&gt;0,"CONSULTING ","")&amp;IF(COUNTIFS(tbl_Finance[Job Number],C352&amp;"",tbl_Finance[Cost Centre],"CTS")&gt;0,"CTS ",""))," ",", ")))</f>
        <v/>
      </c>
      <c r="L352" s="24" t="n"/>
      <c r="M352" s="25">
        <f>IF(L352="","",HYPERLINK(IF(LEFT(L352,4)="http",L352,set_QwilrBase&amp;L352),"Open quote"))</f>
        <v/>
      </c>
      <c r="N352" s="26" t="n"/>
      <c r="O352" s="26" t="n"/>
      <c r="P352" s="26" t="n"/>
      <c r="Q352" s="25">
        <f>IF(C352="","",IF(N(N352)+N(O352)+N(P352)=0,"Not split",IF(ROUND(N(N352)+N(O352)+N(P352),2)=ROUND(H352,2),"OK","MISMATCH")))</f>
        <v/>
      </c>
      <c r="R352" s="26" t="n"/>
      <c r="S352" s="26" t="n"/>
      <c r="T352" s="26" t="n"/>
      <c r="U352" s="27">
        <f>IF(C352="","",N(R352)+N(S352)+N(T352))</f>
        <v/>
      </c>
      <c r="V352" s="27">
        <f>IF(C352="","",H352-U352)</f>
        <v/>
      </c>
      <c r="W352" s="29">
        <f>IFERROR(V352/H352,"")</f>
        <v/>
      </c>
      <c r="X352" s="24" t="n"/>
    </row>
    <row r="353" ht="15" customHeight="1">
      <c r="A353" s="63">
        <f>IF(C353="","",IFERROR(IF(SUMPRODUCT(MAX((tbl_Finance[Job Number]=C353&amp;"")*(tbl_Finance[Xero Invoice No]&lt;&gt;"")*tbl_Finance[Date]))=0,"",SUMPRODUCT(MAX((tbl_Finance[Job Number]=C353&amp;"")*(tbl_Finance[Xero Invoice No]&lt;&gt;"")*tbl_Finance[Date]))),""))</f>
        <v/>
      </c>
      <c r="B353" s="25">
        <f>IF(C353="","",IF(COUNTIFS(tbl_Finance[Job Number],C353&amp;"",tbl_Finance[Xero Invoice No],"&lt;&gt;")=0,"",IFERROR(IF(COUNTIFS(tbl_Finance[Job Number],C353&amp;"",tbl_Finance[Xero Invoice No],LOOKUP(2,1/((tbl_Finance[Job Number]=C353&amp;"")*(tbl_Finance[Xero Invoice No]&lt;&gt;"")),tbl_Finance[Xero Invoice No]))=COUNTIFS(tbl_Finance[Job Number],C353&amp;"",tbl_Finance[Xero Invoice No],"&lt;&gt;"),LOOKUP(2,1/((tbl_Finance[Job Number]=C353&amp;"")*(tbl_Finance[Xero Invoice No]&lt;&gt;"")),tbl_Finance[Xero Invoice No]),LOOKUP(2,1/((tbl_Finance[Job Number]=C353&amp;"")*(tbl_Finance[Xero Invoice No]&lt;&gt;"")),tbl_Finance[Xero Invoice No])&amp;" +more"),"")))</f>
        <v/>
      </c>
      <c r="C353" s="24" t="n"/>
      <c r="D353" s="25">
        <f>IF(C353="","",IF(COUNTIF(lst_Jobs,C353&amp;"")&gt;0,"OK","CHECK"))</f>
        <v/>
      </c>
      <c r="E353" s="25">
        <f>IF(C353="","",IFERROR(INDEX(lst_JobName,MATCH(C353&amp;"",lst_Jobs,0)),""))</f>
        <v/>
      </c>
      <c r="F353" s="25">
        <f>IF(C353="","",IFERROR(INDEX(tbl_Finance[Client],MATCH(C353&amp;"",tbl_Finance[Job Number],0)),""))</f>
        <v/>
      </c>
      <c r="G353" s="28">
        <f>IF(C353="","",COUNTIFS(tbl_Finance[Job Number],C353&amp;"",tbl_Finance[Ex GST],"&lt;&gt;"))</f>
        <v/>
      </c>
      <c r="H353" s="27">
        <f>IF(C353="","",SUMIFS(tbl_Finance[Ex GST],tbl_Finance[Job Number],C353&amp;""))</f>
        <v/>
      </c>
      <c r="I353" s="27">
        <f>IF(C353="","",SUMIFS(tbl_Finance[Ex GST],tbl_Finance[Job Number],C353&amp;"",tbl_Finance[Xero Invoice No],"&lt;&gt;"))</f>
        <v/>
      </c>
      <c r="J353" s="27">
        <f>IF(C353="","",H353-I353)</f>
        <v/>
      </c>
      <c r="K353" s="25">
        <f>IF(C353="","",IF(G353=0,"not invoiced yet",SUBSTITUTE(TRIM(IF(COUNTIFS(tbl_Finance[Job Number],C353&amp;"",tbl_Finance[Cost Centre],"ONSITE")&gt;0,"ONSITE ","")&amp;IF(COUNTIFS(tbl_Finance[Job Number],C353&amp;"",tbl_Finance[Cost Centre],"PRODUCTION")&gt;0,"PRODUCTION ","")&amp;IF(COUNTIFS(tbl_Finance[Job Number],C353&amp;"",tbl_Finance[Cost Centre],"VIDEO")&gt;0,"VIDEO ","")&amp;IF(COUNTIFS(tbl_Finance[Job Number],C353&amp;"",tbl_Finance[Cost Centre],"INTEGRATION")&gt;0,"INTEGRATION ","")&amp;IF(COUNTIFS(tbl_Finance[Job Number],C353&amp;"",tbl_Finance[Cost Centre],"CONSULTING")&gt;0,"CONSULTING ","")&amp;IF(COUNTIFS(tbl_Finance[Job Number],C353&amp;"",tbl_Finance[Cost Centre],"CTS")&gt;0,"CTS ",""))," ",", ")))</f>
        <v/>
      </c>
      <c r="L353" s="24" t="n"/>
      <c r="M353" s="25">
        <f>IF(L353="","",HYPERLINK(IF(LEFT(L353,4)="http",L353,set_QwilrBase&amp;L353),"Open quote"))</f>
        <v/>
      </c>
      <c r="N353" s="26" t="n"/>
      <c r="O353" s="26" t="n"/>
      <c r="P353" s="26" t="n"/>
      <c r="Q353" s="25">
        <f>IF(C353="","",IF(N(N353)+N(O353)+N(P353)=0,"Not split",IF(ROUND(N(N353)+N(O353)+N(P353),2)=ROUND(H353,2),"OK","MISMATCH")))</f>
        <v/>
      </c>
      <c r="R353" s="26" t="n"/>
      <c r="S353" s="26" t="n"/>
      <c r="T353" s="26" t="n"/>
      <c r="U353" s="27">
        <f>IF(C353="","",N(R353)+N(S353)+N(T353))</f>
        <v/>
      </c>
      <c r="V353" s="27">
        <f>IF(C353="","",H353-U353)</f>
        <v/>
      </c>
      <c r="W353" s="29">
        <f>IFERROR(V353/H353,"")</f>
        <v/>
      </c>
      <c r="X353" s="24" t="n"/>
    </row>
    <row r="354" ht="15" customHeight="1">
      <c r="A354" s="63">
        <f>IF(C354="","",IFERROR(IF(SUMPRODUCT(MAX((tbl_Finance[Job Number]=C354&amp;"")*(tbl_Finance[Xero Invoice No]&lt;&gt;"")*tbl_Finance[Date]))=0,"",SUMPRODUCT(MAX((tbl_Finance[Job Number]=C354&amp;"")*(tbl_Finance[Xero Invoice No]&lt;&gt;"")*tbl_Finance[Date]))),""))</f>
        <v/>
      </c>
      <c r="B354" s="25">
        <f>IF(C354="","",IF(COUNTIFS(tbl_Finance[Job Number],C354&amp;"",tbl_Finance[Xero Invoice No],"&lt;&gt;")=0,"",IFERROR(IF(COUNTIFS(tbl_Finance[Job Number],C354&amp;"",tbl_Finance[Xero Invoice No],LOOKUP(2,1/((tbl_Finance[Job Number]=C354&amp;"")*(tbl_Finance[Xero Invoice No]&lt;&gt;"")),tbl_Finance[Xero Invoice No]))=COUNTIFS(tbl_Finance[Job Number],C354&amp;"",tbl_Finance[Xero Invoice No],"&lt;&gt;"),LOOKUP(2,1/((tbl_Finance[Job Number]=C354&amp;"")*(tbl_Finance[Xero Invoice No]&lt;&gt;"")),tbl_Finance[Xero Invoice No]),LOOKUP(2,1/((tbl_Finance[Job Number]=C354&amp;"")*(tbl_Finance[Xero Invoice No]&lt;&gt;"")),tbl_Finance[Xero Invoice No])&amp;" +more"),"")))</f>
        <v/>
      </c>
      <c r="C354" s="24" t="n"/>
      <c r="D354" s="25">
        <f>IF(C354="","",IF(COUNTIF(lst_Jobs,C354&amp;"")&gt;0,"OK","CHECK"))</f>
        <v/>
      </c>
      <c r="E354" s="25">
        <f>IF(C354="","",IFERROR(INDEX(lst_JobName,MATCH(C354&amp;"",lst_Jobs,0)),""))</f>
        <v/>
      </c>
      <c r="F354" s="25">
        <f>IF(C354="","",IFERROR(INDEX(tbl_Finance[Client],MATCH(C354&amp;"",tbl_Finance[Job Number],0)),""))</f>
        <v/>
      </c>
      <c r="G354" s="28">
        <f>IF(C354="","",COUNTIFS(tbl_Finance[Job Number],C354&amp;"",tbl_Finance[Ex GST],"&lt;&gt;"))</f>
        <v/>
      </c>
      <c r="H354" s="27">
        <f>IF(C354="","",SUMIFS(tbl_Finance[Ex GST],tbl_Finance[Job Number],C354&amp;""))</f>
        <v/>
      </c>
      <c r="I354" s="27">
        <f>IF(C354="","",SUMIFS(tbl_Finance[Ex GST],tbl_Finance[Job Number],C354&amp;"",tbl_Finance[Xero Invoice No],"&lt;&gt;"))</f>
        <v/>
      </c>
      <c r="J354" s="27">
        <f>IF(C354="","",H354-I354)</f>
        <v/>
      </c>
      <c r="K354" s="25">
        <f>IF(C354="","",IF(G354=0,"not invoiced yet",SUBSTITUTE(TRIM(IF(COUNTIFS(tbl_Finance[Job Number],C354&amp;"",tbl_Finance[Cost Centre],"ONSITE")&gt;0,"ONSITE ","")&amp;IF(COUNTIFS(tbl_Finance[Job Number],C354&amp;"",tbl_Finance[Cost Centre],"PRODUCTION")&gt;0,"PRODUCTION ","")&amp;IF(COUNTIFS(tbl_Finance[Job Number],C354&amp;"",tbl_Finance[Cost Centre],"VIDEO")&gt;0,"VIDEO ","")&amp;IF(COUNTIFS(tbl_Finance[Job Number],C354&amp;"",tbl_Finance[Cost Centre],"INTEGRATION")&gt;0,"INTEGRATION ","")&amp;IF(COUNTIFS(tbl_Finance[Job Number],C354&amp;"",tbl_Finance[Cost Centre],"CONSULTING")&gt;0,"CONSULTING ","")&amp;IF(COUNTIFS(tbl_Finance[Job Number],C354&amp;"",tbl_Finance[Cost Centre],"CTS")&gt;0,"CTS ",""))," ",", ")))</f>
        <v/>
      </c>
      <c r="L354" s="24" t="n"/>
      <c r="M354" s="25">
        <f>IF(L354="","",HYPERLINK(IF(LEFT(L354,4)="http",L354,set_QwilrBase&amp;L354),"Open quote"))</f>
        <v/>
      </c>
      <c r="N354" s="26" t="n"/>
      <c r="O354" s="26" t="n"/>
      <c r="P354" s="26" t="n"/>
      <c r="Q354" s="25">
        <f>IF(C354="","",IF(N(N354)+N(O354)+N(P354)=0,"Not split",IF(ROUND(N(N354)+N(O354)+N(P354),2)=ROUND(H354,2),"OK","MISMATCH")))</f>
        <v/>
      </c>
      <c r="R354" s="26" t="n"/>
      <c r="S354" s="26" t="n"/>
      <c r="T354" s="26" t="n"/>
      <c r="U354" s="27">
        <f>IF(C354="","",N(R354)+N(S354)+N(T354))</f>
        <v/>
      </c>
      <c r="V354" s="27">
        <f>IF(C354="","",H354-U354)</f>
        <v/>
      </c>
      <c r="W354" s="29">
        <f>IFERROR(V354/H354,"")</f>
        <v/>
      </c>
      <c r="X354" s="24" t="n"/>
    </row>
    <row r="355" ht="15" customHeight="1">
      <c r="A355" s="63">
        <f>IF(C355="","",IFERROR(IF(SUMPRODUCT(MAX((tbl_Finance[Job Number]=C355&amp;"")*(tbl_Finance[Xero Invoice No]&lt;&gt;"")*tbl_Finance[Date]))=0,"",SUMPRODUCT(MAX((tbl_Finance[Job Number]=C355&amp;"")*(tbl_Finance[Xero Invoice No]&lt;&gt;"")*tbl_Finance[Date]))),""))</f>
        <v/>
      </c>
      <c r="B355" s="25">
        <f>IF(C355="","",IF(COUNTIFS(tbl_Finance[Job Number],C355&amp;"",tbl_Finance[Xero Invoice No],"&lt;&gt;")=0,"",IFERROR(IF(COUNTIFS(tbl_Finance[Job Number],C355&amp;"",tbl_Finance[Xero Invoice No],LOOKUP(2,1/((tbl_Finance[Job Number]=C355&amp;"")*(tbl_Finance[Xero Invoice No]&lt;&gt;"")),tbl_Finance[Xero Invoice No]))=COUNTIFS(tbl_Finance[Job Number],C355&amp;"",tbl_Finance[Xero Invoice No],"&lt;&gt;"),LOOKUP(2,1/((tbl_Finance[Job Number]=C355&amp;"")*(tbl_Finance[Xero Invoice No]&lt;&gt;"")),tbl_Finance[Xero Invoice No]),LOOKUP(2,1/((tbl_Finance[Job Number]=C355&amp;"")*(tbl_Finance[Xero Invoice No]&lt;&gt;"")),tbl_Finance[Xero Invoice No])&amp;" +more"),"")))</f>
        <v/>
      </c>
      <c r="C355" s="24" t="n"/>
      <c r="D355" s="25">
        <f>IF(C355="","",IF(COUNTIF(lst_Jobs,C355&amp;"")&gt;0,"OK","CHECK"))</f>
        <v/>
      </c>
      <c r="E355" s="25">
        <f>IF(C355="","",IFERROR(INDEX(lst_JobName,MATCH(C355&amp;"",lst_Jobs,0)),""))</f>
        <v/>
      </c>
      <c r="F355" s="25">
        <f>IF(C355="","",IFERROR(INDEX(tbl_Finance[Client],MATCH(C355&amp;"",tbl_Finance[Job Number],0)),""))</f>
        <v/>
      </c>
      <c r="G355" s="28">
        <f>IF(C355="","",COUNTIFS(tbl_Finance[Job Number],C355&amp;"",tbl_Finance[Ex GST],"&lt;&gt;"))</f>
        <v/>
      </c>
      <c r="H355" s="27">
        <f>IF(C355="","",SUMIFS(tbl_Finance[Ex GST],tbl_Finance[Job Number],C355&amp;""))</f>
        <v/>
      </c>
      <c r="I355" s="27">
        <f>IF(C355="","",SUMIFS(tbl_Finance[Ex GST],tbl_Finance[Job Number],C355&amp;"",tbl_Finance[Xero Invoice No],"&lt;&gt;"))</f>
        <v/>
      </c>
      <c r="J355" s="27">
        <f>IF(C355="","",H355-I355)</f>
        <v/>
      </c>
      <c r="K355" s="25">
        <f>IF(C355="","",IF(G355=0,"not invoiced yet",SUBSTITUTE(TRIM(IF(COUNTIFS(tbl_Finance[Job Number],C355&amp;"",tbl_Finance[Cost Centre],"ONSITE")&gt;0,"ONSITE ","")&amp;IF(COUNTIFS(tbl_Finance[Job Number],C355&amp;"",tbl_Finance[Cost Centre],"PRODUCTION")&gt;0,"PRODUCTION ","")&amp;IF(COUNTIFS(tbl_Finance[Job Number],C355&amp;"",tbl_Finance[Cost Centre],"VIDEO")&gt;0,"VIDEO ","")&amp;IF(COUNTIFS(tbl_Finance[Job Number],C355&amp;"",tbl_Finance[Cost Centre],"INTEGRATION")&gt;0,"INTEGRATION ","")&amp;IF(COUNTIFS(tbl_Finance[Job Number],C355&amp;"",tbl_Finance[Cost Centre],"CONSULTING")&gt;0,"CONSULTING ","")&amp;IF(COUNTIFS(tbl_Finance[Job Number],C355&amp;"",tbl_Finance[Cost Centre],"CTS")&gt;0,"CTS ",""))," ",", ")))</f>
        <v/>
      </c>
      <c r="L355" s="24" t="n"/>
      <c r="M355" s="25">
        <f>IF(L355="","",HYPERLINK(IF(LEFT(L355,4)="http",L355,set_QwilrBase&amp;L355),"Open quote"))</f>
        <v/>
      </c>
      <c r="N355" s="26" t="n"/>
      <c r="O355" s="26" t="n"/>
      <c r="P355" s="26" t="n"/>
      <c r="Q355" s="25">
        <f>IF(C355="","",IF(N(N355)+N(O355)+N(P355)=0,"Not split",IF(ROUND(N(N355)+N(O355)+N(P355),2)=ROUND(H355,2),"OK","MISMATCH")))</f>
        <v/>
      </c>
      <c r="R355" s="26" t="n"/>
      <c r="S355" s="26" t="n"/>
      <c r="T355" s="26" t="n"/>
      <c r="U355" s="27">
        <f>IF(C355="","",N(R355)+N(S355)+N(T355))</f>
        <v/>
      </c>
      <c r="V355" s="27">
        <f>IF(C355="","",H355-U355)</f>
        <v/>
      </c>
      <c r="W355" s="29">
        <f>IFERROR(V355/H355,"")</f>
        <v/>
      </c>
      <c r="X355" s="24" t="n"/>
    </row>
    <row r="356" ht="15" customHeight="1">
      <c r="A356" s="63">
        <f>IF(C356="","",IFERROR(IF(SUMPRODUCT(MAX((tbl_Finance[Job Number]=C356&amp;"")*(tbl_Finance[Xero Invoice No]&lt;&gt;"")*tbl_Finance[Date]))=0,"",SUMPRODUCT(MAX((tbl_Finance[Job Number]=C356&amp;"")*(tbl_Finance[Xero Invoice No]&lt;&gt;"")*tbl_Finance[Date]))),""))</f>
        <v/>
      </c>
      <c r="B356" s="25">
        <f>IF(C356="","",IF(COUNTIFS(tbl_Finance[Job Number],C356&amp;"",tbl_Finance[Xero Invoice No],"&lt;&gt;")=0,"",IFERROR(IF(COUNTIFS(tbl_Finance[Job Number],C356&amp;"",tbl_Finance[Xero Invoice No],LOOKUP(2,1/((tbl_Finance[Job Number]=C356&amp;"")*(tbl_Finance[Xero Invoice No]&lt;&gt;"")),tbl_Finance[Xero Invoice No]))=COUNTIFS(tbl_Finance[Job Number],C356&amp;"",tbl_Finance[Xero Invoice No],"&lt;&gt;"),LOOKUP(2,1/((tbl_Finance[Job Number]=C356&amp;"")*(tbl_Finance[Xero Invoice No]&lt;&gt;"")),tbl_Finance[Xero Invoice No]),LOOKUP(2,1/((tbl_Finance[Job Number]=C356&amp;"")*(tbl_Finance[Xero Invoice No]&lt;&gt;"")),tbl_Finance[Xero Invoice No])&amp;" +more"),"")))</f>
        <v/>
      </c>
      <c r="C356" s="24" t="n"/>
      <c r="D356" s="25">
        <f>IF(C356="","",IF(COUNTIF(lst_Jobs,C356&amp;"")&gt;0,"OK","CHECK"))</f>
        <v/>
      </c>
      <c r="E356" s="25">
        <f>IF(C356="","",IFERROR(INDEX(lst_JobName,MATCH(C356&amp;"",lst_Jobs,0)),""))</f>
        <v/>
      </c>
      <c r="F356" s="25">
        <f>IF(C356="","",IFERROR(INDEX(tbl_Finance[Client],MATCH(C356&amp;"",tbl_Finance[Job Number],0)),""))</f>
        <v/>
      </c>
      <c r="G356" s="28">
        <f>IF(C356="","",COUNTIFS(tbl_Finance[Job Number],C356&amp;"",tbl_Finance[Ex GST],"&lt;&gt;"))</f>
        <v/>
      </c>
      <c r="H356" s="27">
        <f>IF(C356="","",SUMIFS(tbl_Finance[Ex GST],tbl_Finance[Job Number],C356&amp;""))</f>
        <v/>
      </c>
      <c r="I356" s="27">
        <f>IF(C356="","",SUMIFS(tbl_Finance[Ex GST],tbl_Finance[Job Number],C356&amp;"",tbl_Finance[Xero Invoice No],"&lt;&gt;"))</f>
        <v/>
      </c>
      <c r="J356" s="27">
        <f>IF(C356="","",H356-I356)</f>
        <v/>
      </c>
      <c r="K356" s="25">
        <f>IF(C356="","",IF(G356=0,"not invoiced yet",SUBSTITUTE(TRIM(IF(COUNTIFS(tbl_Finance[Job Number],C356&amp;"",tbl_Finance[Cost Centre],"ONSITE")&gt;0,"ONSITE ","")&amp;IF(COUNTIFS(tbl_Finance[Job Number],C356&amp;"",tbl_Finance[Cost Centre],"PRODUCTION")&gt;0,"PRODUCTION ","")&amp;IF(COUNTIFS(tbl_Finance[Job Number],C356&amp;"",tbl_Finance[Cost Centre],"VIDEO")&gt;0,"VIDEO ","")&amp;IF(COUNTIFS(tbl_Finance[Job Number],C356&amp;"",tbl_Finance[Cost Centre],"INTEGRATION")&gt;0,"INTEGRATION ","")&amp;IF(COUNTIFS(tbl_Finance[Job Number],C356&amp;"",tbl_Finance[Cost Centre],"CONSULTING")&gt;0,"CONSULTING ","")&amp;IF(COUNTIFS(tbl_Finance[Job Number],C356&amp;"",tbl_Finance[Cost Centre],"CTS")&gt;0,"CTS ",""))," ",", ")))</f>
        <v/>
      </c>
      <c r="L356" s="24" t="n"/>
      <c r="M356" s="25">
        <f>IF(L356="","",HYPERLINK(IF(LEFT(L356,4)="http",L356,set_QwilrBase&amp;L356),"Open quote"))</f>
        <v/>
      </c>
      <c r="N356" s="26" t="n"/>
      <c r="O356" s="26" t="n"/>
      <c r="P356" s="26" t="n"/>
      <c r="Q356" s="25">
        <f>IF(C356="","",IF(N(N356)+N(O356)+N(P356)=0,"Not split",IF(ROUND(N(N356)+N(O356)+N(P356),2)=ROUND(H356,2),"OK","MISMATCH")))</f>
        <v/>
      </c>
      <c r="R356" s="26" t="n"/>
      <c r="S356" s="26" t="n"/>
      <c r="T356" s="26" t="n"/>
      <c r="U356" s="27">
        <f>IF(C356="","",N(R356)+N(S356)+N(T356))</f>
        <v/>
      </c>
      <c r="V356" s="27">
        <f>IF(C356="","",H356-U356)</f>
        <v/>
      </c>
      <c r="W356" s="29">
        <f>IFERROR(V356/H356,"")</f>
        <v/>
      </c>
      <c r="X356" s="24" t="n"/>
    </row>
    <row r="357" ht="15" customHeight="1">
      <c r="A357" s="63">
        <f>IF(C357="","",IFERROR(IF(SUMPRODUCT(MAX((tbl_Finance[Job Number]=C357&amp;"")*(tbl_Finance[Xero Invoice No]&lt;&gt;"")*tbl_Finance[Date]))=0,"",SUMPRODUCT(MAX((tbl_Finance[Job Number]=C357&amp;"")*(tbl_Finance[Xero Invoice No]&lt;&gt;"")*tbl_Finance[Date]))),""))</f>
        <v/>
      </c>
      <c r="B357" s="25">
        <f>IF(C357="","",IF(COUNTIFS(tbl_Finance[Job Number],C357&amp;"",tbl_Finance[Xero Invoice No],"&lt;&gt;")=0,"",IFERROR(IF(COUNTIFS(tbl_Finance[Job Number],C357&amp;"",tbl_Finance[Xero Invoice No],LOOKUP(2,1/((tbl_Finance[Job Number]=C357&amp;"")*(tbl_Finance[Xero Invoice No]&lt;&gt;"")),tbl_Finance[Xero Invoice No]))=COUNTIFS(tbl_Finance[Job Number],C357&amp;"",tbl_Finance[Xero Invoice No],"&lt;&gt;"),LOOKUP(2,1/((tbl_Finance[Job Number]=C357&amp;"")*(tbl_Finance[Xero Invoice No]&lt;&gt;"")),tbl_Finance[Xero Invoice No]),LOOKUP(2,1/((tbl_Finance[Job Number]=C357&amp;"")*(tbl_Finance[Xero Invoice No]&lt;&gt;"")),tbl_Finance[Xero Invoice No])&amp;" +more"),"")))</f>
        <v/>
      </c>
      <c r="C357" s="24" t="n"/>
      <c r="D357" s="25">
        <f>IF(C357="","",IF(COUNTIF(lst_Jobs,C357&amp;"")&gt;0,"OK","CHECK"))</f>
        <v/>
      </c>
      <c r="E357" s="25">
        <f>IF(C357="","",IFERROR(INDEX(lst_JobName,MATCH(C357&amp;"",lst_Jobs,0)),""))</f>
        <v/>
      </c>
      <c r="F357" s="25">
        <f>IF(C357="","",IFERROR(INDEX(tbl_Finance[Client],MATCH(C357&amp;"",tbl_Finance[Job Number],0)),""))</f>
        <v/>
      </c>
      <c r="G357" s="28">
        <f>IF(C357="","",COUNTIFS(tbl_Finance[Job Number],C357&amp;"",tbl_Finance[Ex GST],"&lt;&gt;"))</f>
        <v/>
      </c>
      <c r="H357" s="27">
        <f>IF(C357="","",SUMIFS(tbl_Finance[Ex GST],tbl_Finance[Job Number],C357&amp;""))</f>
        <v/>
      </c>
      <c r="I357" s="27">
        <f>IF(C357="","",SUMIFS(tbl_Finance[Ex GST],tbl_Finance[Job Number],C357&amp;"",tbl_Finance[Xero Invoice No],"&lt;&gt;"))</f>
        <v/>
      </c>
      <c r="J357" s="27">
        <f>IF(C357="","",H357-I357)</f>
        <v/>
      </c>
      <c r="K357" s="25">
        <f>IF(C357="","",IF(G357=0,"not invoiced yet",SUBSTITUTE(TRIM(IF(COUNTIFS(tbl_Finance[Job Number],C357&amp;"",tbl_Finance[Cost Centre],"ONSITE")&gt;0,"ONSITE ","")&amp;IF(COUNTIFS(tbl_Finance[Job Number],C357&amp;"",tbl_Finance[Cost Centre],"PRODUCTION")&gt;0,"PRODUCTION ","")&amp;IF(COUNTIFS(tbl_Finance[Job Number],C357&amp;"",tbl_Finance[Cost Centre],"VIDEO")&gt;0,"VIDEO ","")&amp;IF(COUNTIFS(tbl_Finance[Job Number],C357&amp;"",tbl_Finance[Cost Centre],"INTEGRATION")&gt;0,"INTEGRATION ","")&amp;IF(COUNTIFS(tbl_Finance[Job Number],C357&amp;"",tbl_Finance[Cost Centre],"CONSULTING")&gt;0,"CONSULTING ","")&amp;IF(COUNTIFS(tbl_Finance[Job Number],C357&amp;"",tbl_Finance[Cost Centre],"CTS")&gt;0,"CTS ",""))," ",", ")))</f>
        <v/>
      </c>
      <c r="L357" s="24" t="n"/>
      <c r="M357" s="25">
        <f>IF(L357="","",HYPERLINK(IF(LEFT(L357,4)="http",L357,set_QwilrBase&amp;L357),"Open quote"))</f>
        <v/>
      </c>
      <c r="N357" s="26" t="n"/>
      <c r="O357" s="26" t="n"/>
      <c r="P357" s="26" t="n"/>
      <c r="Q357" s="25">
        <f>IF(C357="","",IF(N(N357)+N(O357)+N(P357)=0,"Not split",IF(ROUND(N(N357)+N(O357)+N(P357),2)=ROUND(H357,2),"OK","MISMATCH")))</f>
        <v/>
      </c>
      <c r="R357" s="26" t="n"/>
      <c r="S357" s="26" t="n"/>
      <c r="T357" s="26" t="n"/>
      <c r="U357" s="27">
        <f>IF(C357="","",N(R357)+N(S357)+N(T357))</f>
        <v/>
      </c>
      <c r="V357" s="27">
        <f>IF(C357="","",H357-U357)</f>
        <v/>
      </c>
      <c r="W357" s="29">
        <f>IFERROR(V357/H357,"")</f>
        <v/>
      </c>
      <c r="X357" s="24" t="n"/>
    </row>
    <row r="358" ht="15" customHeight="1">
      <c r="A358" s="63">
        <f>IF(C358="","",IFERROR(IF(SUMPRODUCT(MAX((tbl_Finance[Job Number]=C358&amp;"")*(tbl_Finance[Xero Invoice No]&lt;&gt;"")*tbl_Finance[Date]))=0,"",SUMPRODUCT(MAX((tbl_Finance[Job Number]=C358&amp;"")*(tbl_Finance[Xero Invoice No]&lt;&gt;"")*tbl_Finance[Date]))),""))</f>
        <v/>
      </c>
      <c r="B358" s="25">
        <f>IF(C358="","",IF(COUNTIFS(tbl_Finance[Job Number],C358&amp;"",tbl_Finance[Xero Invoice No],"&lt;&gt;")=0,"",IFERROR(IF(COUNTIFS(tbl_Finance[Job Number],C358&amp;"",tbl_Finance[Xero Invoice No],LOOKUP(2,1/((tbl_Finance[Job Number]=C358&amp;"")*(tbl_Finance[Xero Invoice No]&lt;&gt;"")),tbl_Finance[Xero Invoice No]))=COUNTIFS(tbl_Finance[Job Number],C358&amp;"",tbl_Finance[Xero Invoice No],"&lt;&gt;"),LOOKUP(2,1/((tbl_Finance[Job Number]=C358&amp;"")*(tbl_Finance[Xero Invoice No]&lt;&gt;"")),tbl_Finance[Xero Invoice No]),LOOKUP(2,1/((tbl_Finance[Job Number]=C358&amp;"")*(tbl_Finance[Xero Invoice No]&lt;&gt;"")),tbl_Finance[Xero Invoice No])&amp;" +more"),"")))</f>
        <v/>
      </c>
      <c r="C358" s="24" t="n"/>
      <c r="D358" s="25">
        <f>IF(C358="","",IF(COUNTIF(lst_Jobs,C358&amp;"")&gt;0,"OK","CHECK"))</f>
        <v/>
      </c>
      <c r="E358" s="25">
        <f>IF(C358="","",IFERROR(INDEX(lst_JobName,MATCH(C358&amp;"",lst_Jobs,0)),""))</f>
        <v/>
      </c>
      <c r="F358" s="25">
        <f>IF(C358="","",IFERROR(INDEX(tbl_Finance[Client],MATCH(C358&amp;"",tbl_Finance[Job Number],0)),""))</f>
        <v/>
      </c>
      <c r="G358" s="28">
        <f>IF(C358="","",COUNTIFS(tbl_Finance[Job Number],C358&amp;"",tbl_Finance[Ex GST],"&lt;&gt;"))</f>
        <v/>
      </c>
      <c r="H358" s="27">
        <f>IF(C358="","",SUMIFS(tbl_Finance[Ex GST],tbl_Finance[Job Number],C358&amp;""))</f>
        <v/>
      </c>
      <c r="I358" s="27">
        <f>IF(C358="","",SUMIFS(tbl_Finance[Ex GST],tbl_Finance[Job Number],C358&amp;"",tbl_Finance[Xero Invoice No],"&lt;&gt;"))</f>
        <v/>
      </c>
      <c r="J358" s="27">
        <f>IF(C358="","",H358-I358)</f>
        <v/>
      </c>
      <c r="K358" s="25">
        <f>IF(C358="","",IF(G358=0,"not invoiced yet",SUBSTITUTE(TRIM(IF(COUNTIFS(tbl_Finance[Job Number],C358&amp;"",tbl_Finance[Cost Centre],"ONSITE")&gt;0,"ONSITE ","")&amp;IF(COUNTIFS(tbl_Finance[Job Number],C358&amp;"",tbl_Finance[Cost Centre],"PRODUCTION")&gt;0,"PRODUCTION ","")&amp;IF(COUNTIFS(tbl_Finance[Job Number],C358&amp;"",tbl_Finance[Cost Centre],"VIDEO")&gt;0,"VIDEO ","")&amp;IF(COUNTIFS(tbl_Finance[Job Number],C358&amp;"",tbl_Finance[Cost Centre],"INTEGRATION")&gt;0,"INTEGRATION ","")&amp;IF(COUNTIFS(tbl_Finance[Job Number],C358&amp;"",tbl_Finance[Cost Centre],"CONSULTING")&gt;0,"CONSULTING ","")&amp;IF(COUNTIFS(tbl_Finance[Job Number],C358&amp;"",tbl_Finance[Cost Centre],"CTS")&gt;0,"CTS ",""))," ",", ")))</f>
        <v/>
      </c>
      <c r="L358" s="24" t="n"/>
      <c r="M358" s="25">
        <f>IF(L358="","",HYPERLINK(IF(LEFT(L358,4)="http",L358,set_QwilrBase&amp;L358),"Open quote"))</f>
        <v/>
      </c>
      <c r="N358" s="26" t="n"/>
      <c r="O358" s="26" t="n"/>
      <c r="P358" s="26" t="n"/>
      <c r="Q358" s="25">
        <f>IF(C358="","",IF(N(N358)+N(O358)+N(P358)=0,"Not split",IF(ROUND(N(N358)+N(O358)+N(P358),2)=ROUND(H358,2),"OK","MISMATCH")))</f>
        <v/>
      </c>
      <c r="R358" s="26" t="n"/>
      <c r="S358" s="26" t="n"/>
      <c r="T358" s="26" t="n"/>
      <c r="U358" s="27">
        <f>IF(C358="","",N(R358)+N(S358)+N(T358))</f>
        <v/>
      </c>
      <c r="V358" s="27">
        <f>IF(C358="","",H358-U358)</f>
        <v/>
      </c>
      <c r="W358" s="29">
        <f>IFERROR(V358/H358,"")</f>
        <v/>
      </c>
      <c r="X358" s="24" t="n"/>
    </row>
    <row r="359" ht="15" customHeight="1">
      <c r="A359" s="63">
        <f>IF(C359="","",IFERROR(IF(SUMPRODUCT(MAX((tbl_Finance[Job Number]=C359&amp;"")*(tbl_Finance[Xero Invoice No]&lt;&gt;"")*tbl_Finance[Date]))=0,"",SUMPRODUCT(MAX((tbl_Finance[Job Number]=C359&amp;"")*(tbl_Finance[Xero Invoice No]&lt;&gt;"")*tbl_Finance[Date]))),""))</f>
        <v/>
      </c>
      <c r="B359" s="25">
        <f>IF(C359="","",IF(COUNTIFS(tbl_Finance[Job Number],C359&amp;"",tbl_Finance[Xero Invoice No],"&lt;&gt;")=0,"",IFERROR(IF(COUNTIFS(tbl_Finance[Job Number],C359&amp;"",tbl_Finance[Xero Invoice No],LOOKUP(2,1/((tbl_Finance[Job Number]=C359&amp;"")*(tbl_Finance[Xero Invoice No]&lt;&gt;"")),tbl_Finance[Xero Invoice No]))=COUNTIFS(tbl_Finance[Job Number],C359&amp;"",tbl_Finance[Xero Invoice No],"&lt;&gt;"),LOOKUP(2,1/((tbl_Finance[Job Number]=C359&amp;"")*(tbl_Finance[Xero Invoice No]&lt;&gt;"")),tbl_Finance[Xero Invoice No]),LOOKUP(2,1/((tbl_Finance[Job Number]=C359&amp;"")*(tbl_Finance[Xero Invoice No]&lt;&gt;"")),tbl_Finance[Xero Invoice No])&amp;" +more"),"")))</f>
        <v/>
      </c>
      <c r="C359" s="24" t="n"/>
      <c r="D359" s="25">
        <f>IF(C359="","",IF(COUNTIF(lst_Jobs,C359&amp;"")&gt;0,"OK","CHECK"))</f>
        <v/>
      </c>
      <c r="E359" s="25">
        <f>IF(C359="","",IFERROR(INDEX(lst_JobName,MATCH(C359&amp;"",lst_Jobs,0)),""))</f>
        <v/>
      </c>
      <c r="F359" s="25">
        <f>IF(C359="","",IFERROR(INDEX(tbl_Finance[Client],MATCH(C359&amp;"",tbl_Finance[Job Number],0)),""))</f>
        <v/>
      </c>
      <c r="G359" s="28">
        <f>IF(C359="","",COUNTIFS(tbl_Finance[Job Number],C359&amp;"",tbl_Finance[Ex GST],"&lt;&gt;"))</f>
        <v/>
      </c>
      <c r="H359" s="27">
        <f>IF(C359="","",SUMIFS(tbl_Finance[Ex GST],tbl_Finance[Job Number],C359&amp;""))</f>
        <v/>
      </c>
      <c r="I359" s="27">
        <f>IF(C359="","",SUMIFS(tbl_Finance[Ex GST],tbl_Finance[Job Number],C359&amp;"",tbl_Finance[Xero Invoice No],"&lt;&gt;"))</f>
        <v/>
      </c>
      <c r="J359" s="27">
        <f>IF(C359="","",H359-I359)</f>
        <v/>
      </c>
      <c r="K359" s="25">
        <f>IF(C359="","",IF(G359=0,"not invoiced yet",SUBSTITUTE(TRIM(IF(COUNTIFS(tbl_Finance[Job Number],C359&amp;"",tbl_Finance[Cost Centre],"ONSITE")&gt;0,"ONSITE ","")&amp;IF(COUNTIFS(tbl_Finance[Job Number],C359&amp;"",tbl_Finance[Cost Centre],"PRODUCTION")&gt;0,"PRODUCTION ","")&amp;IF(COUNTIFS(tbl_Finance[Job Number],C359&amp;"",tbl_Finance[Cost Centre],"VIDEO")&gt;0,"VIDEO ","")&amp;IF(COUNTIFS(tbl_Finance[Job Number],C359&amp;"",tbl_Finance[Cost Centre],"INTEGRATION")&gt;0,"INTEGRATION ","")&amp;IF(COUNTIFS(tbl_Finance[Job Number],C359&amp;"",tbl_Finance[Cost Centre],"CONSULTING")&gt;0,"CONSULTING ","")&amp;IF(COUNTIFS(tbl_Finance[Job Number],C359&amp;"",tbl_Finance[Cost Centre],"CTS")&gt;0,"CTS ",""))," ",", ")))</f>
        <v/>
      </c>
      <c r="L359" s="24" t="n"/>
      <c r="M359" s="25">
        <f>IF(L359="","",HYPERLINK(IF(LEFT(L359,4)="http",L359,set_QwilrBase&amp;L359),"Open quote"))</f>
        <v/>
      </c>
      <c r="N359" s="26" t="n"/>
      <c r="O359" s="26" t="n"/>
      <c r="P359" s="26" t="n"/>
      <c r="Q359" s="25">
        <f>IF(C359="","",IF(N(N359)+N(O359)+N(P359)=0,"Not split",IF(ROUND(N(N359)+N(O359)+N(P359),2)=ROUND(H359,2),"OK","MISMATCH")))</f>
        <v/>
      </c>
      <c r="R359" s="26" t="n"/>
      <c r="S359" s="26" t="n"/>
      <c r="T359" s="26" t="n"/>
      <c r="U359" s="27">
        <f>IF(C359="","",N(R359)+N(S359)+N(T359))</f>
        <v/>
      </c>
      <c r="V359" s="27">
        <f>IF(C359="","",H359-U359)</f>
        <v/>
      </c>
      <c r="W359" s="29">
        <f>IFERROR(V359/H359,"")</f>
        <v/>
      </c>
      <c r="X359" s="24" t="n"/>
    </row>
    <row r="360" ht="15" customHeight="1">
      <c r="A360" s="63">
        <f>IF(C360="","",IFERROR(IF(SUMPRODUCT(MAX((tbl_Finance[Job Number]=C360&amp;"")*(tbl_Finance[Xero Invoice No]&lt;&gt;"")*tbl_Finance[Date]))=0,"",SUMPRODUCT(MAX((tbl_Finance[Job Number]=C360&amp;"")*(tbl_Finance[Xero Invoice No]&lt;&gt;"")*tbl_Finance[Date]))),""))</f>
        <v/>
      </c>
      <c r="B360" s="25">
        <f>IF(C360="","",IF(COUNTIFS(tbl_Finance[Job Number],C360&amp;"",tbl_Finance[Xero Invoice No],"&lt;&gt;")=0,"",IFERROR(IF(COUNTIFS(tbl_Finance[Job Number],C360&amp;"",tbl_Finance[Xero Invoice No],LOOKUP(2,1/((tbl_Finance[Job Number]=C360&amp;"")*(tbl_Finance[Xero Invoice No]&lt;&gt;"")),tbl_Finance[Xero Invoice No]))=COUNTIFS(tbl_Finance[Job Number],C360&amp;"",tbl_Finance[Xero Invoice No],"&lt;&gt;"),LOOKUP(2,1/((tbl_Finance[Job Number]=C360&amp;"")*(tbl_Finance[Xero Invoice No]&lt;&gt;"")),tbl_Finance[Xero Invoice No]),LOOKUP(2,1/((tbl_Finance[Job Number]=C360&amp;"")*(tbl_Finance[Xero Invoice No]&lt;&gt;"")),tbl_Finance[Xero Invoice No])&amp;" +more"),"")))</f>
        <v/>
      </c>
      <c r="C360" s="24" t="n"/>
      <c r="D360" s="25">
        <f>IF(C360="","",IF(COUNTIF(lst_Jobs,C360&amp;"")&gt;0,"OK","CHECK"))</f>
        <v/>
      </c>
      <c r="E360" s="25">
        <f>IF(C360="","",IFERROR(INDEX(lst_JobName,MATCH(C360&amp;"",lst_Jobs,0)),""))</f>
        <v/>
      </c>
      <c r="F360" s="25">
        <f>IF(C360="","",IFERROR(INDEX(tbl_Finance[Client],MATCH(C360&amp;"",tbl_Finance[Job Number],0)),""))</f>
        <v/>
      </c>
      <c r="G360" s="28">
        <f>IF(C360="","",COUNTIFS(tbl_Finance[Job Number],C360&amp;"",tbl_Finance[Ex GST],"&lt;&gt;"))</f>
        <v/>
      </c>
      <c r="H360" s="27">
        <f>IF(C360="","",SUMIFS(tbl_Finance[Ex GST],tbl_Finance[Job Number],C360&amp;""))</f>
        <v/>
      </c>
      <c r="I360" s="27">
        <f>IF(C360="","",SUMIFS(tbl_Finance[Ex GST],tbl_Finance[Job Number],C360&amp;"",tbl_Finance[Xero Invoice No],"&lt;&gt;"))</f>
        <v/>
      </c>
      <c r="J360" s="27">
        <f>IF(C360="","",H360-I360)</f>
        <v/>
      </c>
      <c r="K360" s="25">
        <f>IF(C360="","",IF(G360=0,"not invoiced yet",SUBSTITUTE(TRIM(IF(COUNTIFS(tbl_Finance[Job Number],C360&amp;"",tbl_Finance[Cost Centre],"ONSITE")&gt;0,"ONSITE ","")&amp;IF(COUNTIFS(tbl_Finance[Job Number],C360&amp;"",tbl_Finance[Cost Centre],"PRODUCTION")&gt;0,"PRODUCTION ","")&amp;IF(COUNTIFS(tbl_Finance[Job Number],C360&amp;"",tbl_Finance[Cost Centre],"VIDEO")&gt;0,"VIDEO ","")&amp;IF(COUNTIFS(tbl_Finance[Job Number],C360&amp;"",tbl_Finance[Cost Centre],"INTEGRATION")&gt;0,"INTEGRATION ","")&amp;IF(COUNTIFS(tbl_Finance[Job Number],C360&amp;"",tbl_Finance[Cost Centre],"CONSULTING")&gt;0,"CONSULTING ","")&amp;IF(COUNTIFS(tbl_Finance[Job Number],C360&amp;"",tbl_Finance[Cost Centre],"CTS")&gt;0,"CTS ",""))," ",", ")))</f>
        <v/>
      </c>
      <c r="L360" s="24" t="n"/>
      <c r="M360" s="25">
        <f>IF(L360="","",HYPERLINK(IF(LEFT(L360,4)="http",L360,set_QwilrBase&amp;L360),"Open quote"))</f>
        <v/>
      </c>
      <c r="N360" s="26" t="n"/>
      <c r="O360" s="26" t="n"/>
      <c r="P360" s="26" t="n"/>
      <c r="Q360" s="25">
        <f>IF(C360="","",IF(N(N360)+N(O360)+N(P360)=0,"Not split",IF(ROUND(N(N360)+N(O360)+N(P360),2)=ROUND(H360,2),"OK","MISMATCH")))</f>
        <v/>
      </c>
      <c r="R360" s="26" t="n"/>
      <c r="S360" s="26" t="n"/>
      <c r="T360" s="26" t="n"/>
      <c r="U360" s="27">
        <f>IF(C360="","",N(R360)+N(S360)+N(T360))</f>
        <v/>
      </c>
      <c r="V360" s="27">
        <f>IF(C360="","",H360-U360)</f>
        <v/>
      </c>
      <c r="W360" s="29">
        <f>IFERROR(V360/H360,"")</f>
        <v/>
      </c>
      <c r="X360" s="24" t="n"/>
    </row>
    <row r="361" ht="15" customHeight="1">
      <c r="A361" s="63">
        <f>IF(C361="","",IFERROR(IF(SUMPRODUCT(MAX((tbl_Finance[Job Number]=C361&amp;"")*(tbl_Finance[Xero Invoice No]&lt;&gt;"")*tbl_Finance[Date]))=0,"",SUMPRODUCT(MAX((tbl_Finance[Job Number]=C361&amp;"")*(tbl_Finance[Xero Invoice No]&lt;&gt;"")*tbl_Finance[Date]))),""))</f>
        <v/>
      </c>
      <c r="B361" s="25">
        <f>IF(C361="","",IF(COUNTIFS(tbl_Finance[Job Number],C361&amp;"",tbl_Finance[Xero Invoice No],"&lt;&gt;")=0,"",IFERROR(IF(COUNTIFS(tbl_Finance[Job Number],C361&amp;"",tbl_Finance[Xero Invoice No],LOOKUP(2,1/((tbl_Finance[Job Number]=C361&amp;"")*(tbl_Finance[Xero Invoice No]&lt;&gt;"")),tbl_Finance[Xero Invoice No]))=COUNTIFS(tbl_Finance[Job Number],C361&amp;"",tbl_Finance[Xero Invoice No],"&lt;&gt;"),LOOKUP(2,1/((tbl_Finance[Job Number]=C361&amp;"")*(tbl_Finance[Xero Invoice No]&lt;&gt;"")),tbl_Finance[Xero Invoice No]),LOOKUP(2,1/((tbl_Finance[Job Number]=C361&amp;"")*(tbl_Finance[Xero Invoice No]&lt;&gt;"")),tbl_Finance[Xero Invoice No])&amp;" +more"),"")))</f>
        <v/>
      </c>
      <c r="C361" s="24" t="n"/>
      <c r="D361" s="25">
        <f>IF(C361="","",IF(COUNTIF(lst_Jobs,C361&amp;"")&gt;0,"OK","CHECK"))</f>
        <v/>
      </c>
      <c r="E361" s="25">
        <f>IF(C361="","",IFERROR(INDEX(lst_JobName,MATCH(C361&amp;"",lst_Jobs,0)),""))</f>
        <v/>
      </c>
      <c r="F361" s="25">
        <f>IF(C361="","",IFERROR(INDEX(tbl_Finance[Client],MATCH(C361&amp;"",tbl_Finance[Job Number],0)),""))</f>
        <v/>
      </c>
      <c r="G361" s="28">
        <f>IF(C361="","",COUNTIFS(tbl_Finance[Job Number],C361&amp;"",tbl_Finance[Ex GST],"&lt;&gt;"))</f>
        <v/>
      </c>
      <c r="H361" s="27">
        <f>IF(C361="","",SUMIFS(tbl_Finance[Ex GST],tbl_Finance[Job Number],C361&amp;""))</f>
        <v/>
      </c>
      <c r="I361" s="27">
        <f>IF(C361="","",SUMIFS(tbl_Finance[Ex GST],tbl_Finance[Job Number],C361&amp;"",tbl_Finance[Xero Invoice No],"&lt;&gt;"))</f>
        <v/>
      </c>
      <c r="J361" s="27">
        <f>IF(C361="","",H361-I361)</f>
        <v/>
      </c>
      <c r="K361" s="25">
        <f>IF(C361="","",IF(G361=0,"not invoiced yet",SUBSTITUTE(TRIM(IF(COUNTIFS(tbl_Finance[Job Number],C361&amp;"",tbl_Finance[Cost Centre],"ONSITE")&gt;0,"ONSITE ","")&amp;IF(COUNTIFS(tbl_Finance[Job Number],C361&amp;"",tbl_Finance[Cost Centre],"PRODUCTION")&gt;0,"PRODUCTION ","")&amp;IF(COUNTIFS(tbl_Finance[Job Number],C361&amp;"",tbl_Finance[Cost Centre],"VIDEO")&gt;0,"VIDEO ","")&amp;IF(COUNTIFS(tbl_Finance[Job Number],C361&amp;"",tbl_Finance[Cost Centre],"INTEGRATION")&gt;0,"INTEGRATION ","")&amp;IF(COUNTIFS(tbl_Finance[Job Number],C361&amp;"",tbl_Finance[Cost Centre],"CONSULTING")&gt;0,"CONSULTING ","")&amp;IF(COUNTIFS(tbl_Finance[Job Number],C361&amp;"",tbl_Finance[Cost Centre],"CTS")&gt;0,"CTS ",""))," ",", ")))</f>
        <v/>
      </c>
      <c r="L361" s="24" t="n"/>
      <c r="M361" s="25">
        <f>IF(L361="","",HYPERLINK(IF(LEFT(L361,4)="http",L361,set_QwilrBase&amp;L361),"Open quote"))</f>
        <v/>
      </c>
      <c r="N361" s="26" t="n"/>
      <c r="O361" s="26" t="n"/>
      <c r="P361" s="26" t="n"/>
      <c r="Q361" s="25">
        <f>IF(C361="","",IF(N(N361)+N(O361)+N(P361)=0,"Not split",IF(ROUND(N(N361)+N(O361)+N(P361),2)=ROUND(H361,2),"OK","MISMATCH")))</f>
        <v/>
      </c>
      <c r="R361" s="26" t="n"/>
      <c r="S361" s="26" t="n"/>
      <c r="T361" s="26" t="n"/>
      <c r="U361" s="27">
        <f>IF(C361="","",N(R361)+N(S361)+N(T361))</f>
        <v/>
      </c>
      <c r="V361" s="27">
        <f>IF(C361="","",H361-U361)</f>
        <v/>
      </c>
      <c r="W361" s="29">
        <f>IFERROR(V361/H361,"")</f>
        <v/>
      </c>
      <c r="X361" s="24" t="n"/>
    </row>
    <row r="362" ht="15" customHeight="1">
      <c r="A362" s="63">
        <f>IF(C362="","",IFERROR(IF(SUMPRODUCT(MAX((tbl_Finance[Job Number]=C362&amp;"")*(tbl_Finance[Xero Invoice No]&lt;&gt;"")*tbl_Finance[Date]))=0,"",SUMPRODUCT(MAX((tbl_Finance[Job Number]=C362&amp;"")*(tbl_Finance[Xero Invoice No]&lt;&gt;"")*tbl_Finance[Date]))),""))</f>
        <v/>
      </c>
      <c r="B362" s="25">
        <f>IF(C362="","",IF(COUNTIFS(tbl_Finance[Job Number],C362&amp;"",tbl_Finance[Xero Invoice No],"&lt;&gt;")=0,"",IFERROR(IF(COUNTIFS(tbl_Finance[Job Number],C362&amp;"",tbl_Finance[Xero Invoice No],LOOKUP(2,1/((tbl_Finance[Job Number]=C362&amp;"")*(tbl_Finance[Xero Invoice No]&lt;&gt;"")),tbl_Finance[Xero Invoice No]))=COUNTIFS(tbl_Finance[Job Number],C362&amp;"",tbl_Finance[Xero Invoice No],"&lt;&gt;"),LOOKUP(2,1/((tbl_Finance[Job Number]=C362&amp;"")*(tbl_Finance[Xero Invoice No]&lt;&gt;"")),tbl_Finance[Xero Invoice No]),LOOKUP(2,1/((tbl_Finance[Job Number]=C362&amp;"")*(tbl_Finance[Xero Invoice No]&lt;&gt;"")),tbl_Finance[Xero Invoice No])&amp;" +more"),"")))</f>
        <v/>
      </c>
      <c r="C362" s="24" t="n"/>
      <c r="D362" s="25">
        <f>IF(C362="","",IF(COUNTIF(lst_Jobs,C362&amp;"")&gt;0,"OK","CHECK"))</f>
        <v/>
      </c>
      <c r="E362" s="25">
        <f>IF(C362="","",IFERROR(INDEX(lst_JobName,MATCH(C362&amp;"",lst_Jobs,0)),""))</f>
        <v/>
      </c>
      <c r="F362" s="25">
        <f>IF(C362="","",IFERROR(INDEX(tbl_Finance[Client],MATCH(C362&amp;"",tbl_Finance[Job Number],0)),""))</f>
        <v/>
      </c>
      <c r="G362" s="28">
        <f>IF(C362="","",COUNTIFS(tbl_Finance[Job Number],C362&amp;"",tbl_Finance[Ex GST],"&lt;&gt;"))</f>
        <v/>
      </c>
      <c r="H362" s="27">
        <f>IF(C362="","",SUMIFS(tbl_Finance[Ex GST],tbl_Finance[Job Number],C362&amp;""))</f>
        <v/>
      </c>
      <c r="I362" s="27">
        <f>IF(C362="","",SUMIFS(tbl_Finance[Ex GST],tbl_Finance[Job Number],C362&amp;"",tbl_Finance[Xero Invoice No],"&lt;&gt;"))</f>
        <v/>
      </c>
      <c r="J362" s="27">
        <f>IF(C362="","",H362-I362)</f>
        <v/>
      </c>
      <c r="K362" s="25">
        <f>IF(C362="","",IF(G362=0,"not invoiced yet",SUBSTITUTE(TRIM(IF(COUNTIFS(tbl_Finance[Job Number],C362&amp;"",tbl_Finance[Cost Centre],"ONSITE")&gt;0,"ONSITE ","")&amp;IF(COUNTIFS(tbl_Finance[Job Number],C362&amp;"",tbl_Finance[Cost Centre],"PRODUCTION")&gt;0,"PRODUCTION ","")&amp;IF(COUNTIFS(tbl_Finance[Job Number],C362&amp;"",tbl_Finance[Cost Centre],"VIDEO")&gt;0,"VIDEO ","")&amp;IF(COUNTIFS(tbl_Finance[Job Number],C362&amp;"",tbl_Finance[Cost Centre],"INTEGRATION")&gt;0,"INTEGRATION ","")&amp;IF(COUNTIFS(tbl_Finance[Job Number],C362&amp;"",tbl_Finance[Cost Centre],"CONSULTING")&gt;0,"CONSULTING ","")&amp;IF(COUNTIFS(tbl_Finance[Job Number],C362&amp;"",tbl_Finance[Cost Centre],"CTS")&gt;0,"CTS ",""))," ",", ")))</f>
        <v/>
      </c>
      <c r="L362" s="24" t="n"/>
      <c r="M362" s="25">
        <f>IF(L362="","",HYPERLINK(IF(LEFT(L362,4)="http",L362,set_QwilrBase&amp;L362),"Open quote"))</f>
        <v/>
      </c>
      <c r="N362" s="26" t="n"/>
      <c r="O362" s="26" t="n"/>
      <c r="P362" s="26" t="n"/>
      <c r="Q362" s="25">
        <f>IF(C362="","",IF(N(N362)+N(O362)+N(P362)=0,"Not split",IF(ROUND(N(N362)+N(O362)+N(P362),2)=ROUND(H362,2),"OK","MISMATCH")))</f>
        <v/>
      </c>
      <c r="R362" s="26" t="n"/>
      <c r="S362" s="26" t="n"/>
      <c r="T362" s="26" t="n"/>
      <c r="U362" s="27">
        <f>IF(C362="","",N(R362)+N(S362)+N(T362))</f>
        <v/>
      </c>
      <c r="V362" s="27">
        <f>IF(C362="","",H362-U362)</f>
        <v/>
      </c>
      <c r="W362" s="29">
        <f>IFERROR(V362/H362,"")</f>
        <v/>
      </c>
      <c r="X362" s="24" t="n"/>
    </row>
    <row r="363" ht="15" customHeight="1">
      <c r="A363" s="63">
        <f>IF(C363="","",IFERROR(IF(SUMPRODUCT(MAX((tbl_Finance[Job Number]=C363&amp;"")*(tbl_Finance[Xero Invoice No]&lt;&gt;"")*tbl_Finance[Date]))=0,"",SUMPRODUCT(MAX((tbl_Finance[Job Number]=C363&amp;"")*(tbl_Finance[Xero Invoice No]&lt;&gt;"")*tbl_Finance[Date]))),""))</f>
        <v/>
      </c>
      <c r="B363" s="25">
        <f>IF(C363="","",IF(COUNTIFS(tbl_Finance[Job Number],C363&amp;"",tbl_Finance[Xero Invoice No],"&lt;&gt;")=0,"",IFERROR(IF(COUNTIFS(tbl_Finance[Job Number],C363&amp;"",tbl_Finance[Xero Invoice No],LOOKUP(2,1/((tbl_Finance[Job Number]=C363&amp;"")*(tbl_Finance[Xero Invoice No]&lt;&gt;"")),tbl_Finance[Xero Invoice No]))=COUNTIFS(tbl_Finance[Job Number],C363&amp;"",tbl_Finance[Xero Invoice No],"&lt;&gt;"),LOOKUP(2,1/((tbl_Finance[Job Number]=C363&amp;"")*(tbl_Finance[Xero Invoice No]&lt;&gt;"")),tbl_Finance[Xero Invoice No]),LOOKUP(2,1/((tbl_Finance[Job Number]=C363&amp;"")*(tbl_Finance[Xero Invoice No]&lt;&gt;"")),tbl_Finance[Xero Invoice No])&amp;" +more"),"")))</f>
        <v/>
      </c>
      <c r="C363" s="24" t="n"/>
      <c r="D363" s="25">
        <f>IF(C363="","",IF(COUNTIF(lst_Jobs,C363&amp;"")&gt;0,"OK","CHECK"))</f>
        <v/>
      </c>
      <c r="E363" s="25">
        <f>IF(C363="","",IFERROR(INDEX(lst_JobName,MATCH(C363&amp;"",lst_Jobs,0)),""))</f>
        <v/>
      </c>
      <c r="F363" s="25">
        <f>IF(C363="","",IFERROR(INDEX(tbl_Finance[Client],MATCH(C363&amp;"",tbl_Finance[Job Number],0)),""))</f>
        <v/>
      </c>
      <c r="G363" s="28">
        <f>IF(C363="","",COUNTIFS(tbl_Finance[Job Number],C363&amp;"",tbl_Finance[Ex GST],"&lt;&gt;"))</f>
        <v/>
      </c>
      <c r="H363" s="27">
        <f>IF(C363="","",SUMIFS(tbl_Finance[Ex GST],tbl_Finance[Job Number],C363&amp;""))</f>
        <v/>
      </c>
      <c r="I363" s="27">
        <f>IF(C363="","",SUMIFS(tbl_Finance[Ex GST],tbl_Finance[Job Number],C363&amp;"",tbl_Finance[Xero Invoice No],"&lt;&gt;"))</f>
        <v/>
      </c>
      <c r="J363" s="27">
        <f>IF(C363="","",H363-I363)</f>
        <v/>
      </c>
      <c r="K363" s="25">
        <f>IF(C363="","",IF(G363=0,"not invoiced yet",SUBSTITUTE(TRIM(IF(COUNTIFS(tbl_Finance[Job Number],C363&amp;"",tbl_Finance[Cost Centre],"ONSITE")&gt;0,"ONSITE ","")&amp;IF(COUNTIFS(tbl_Finance[Job Number],C363&amp;"",tbl_Finance[Cost Centre],"PRODUCTION")&gt;0,"PRODUCTION ","")&amp;IF(COUNTIFS(tbl_Finance[Job Number],C363&amp;"",tbl_Finance[Cost Centre],"VIDEO")&gt;0,"VIDEO ","")&amp;IF(COUNTIFS(tbl_Finance[Job Number],C363&amp;"",tbl_Finance[Cost Centre],"INTEGRATION")&gt;0,"INTEGRATION ","")&amp;IF(COUNTIFS(tbl_Finance[Job Number],C363&amp;"",tbl_Finance[Cost Centre],"CONSULTING")&gt;0,"CONSULTING ","")&amp;IF(COUNTIFS(tbl_Finance[Job Number],C363&amp;"",tbl_Finance[Cost Centre],"CTS")&gt;0,"CTS ",""))," ",", ")))</f>
        <v/>
      </c>
      <c r="L363" s="24" t="n"/>
      <c r="M363" s="25">
        <f>IF(L363="","",HYPERLINK(IF(LEFT(L363,4)="http",L363,set_QwilrBase&amp;L363),"Open quote"))</f>
        <v/>
      </c>
      <c r="N363" s="26" t="n"/>
      <c r="O363" s="26" t="n"/>
      <c r="P363" s="26" t="n"/>
      <c r="Q363" s="25">
        <f>IF(C363="","",IF(N(N363)+N(O363)+N(P363)=0,"Not split",IF(ROUND(N(N363)+N(O363)+N(P363),2)=ROUND(H363,2),"OK","MISMATCH")))</f>
        <v/>
      </c>
      <c r="R363" s="26" t="n"/>
      <c r="S363" s="26" t="n"/>
      <c r="T363" s="26" t="n"/>
      <c r="U363" s="27">
        <f>IF(C363="","",N(R363)+N(S363)+N(T363))</f>
        <v/>
      </c>
      <c r="V363" s="27">
        <f>IF(C363="","",H363-U363)</f>
        <v/>
      </c>
      <c r="W363" s="29">
        <f>IFERROR(V363/H363,"")</f>
        <v/>
      </c>
      <c r="X363" s="24" t="n"/>
    </row>
    <row r="364" ht="15" customHeight="1">
      <c r="A364" s="63">
        <f>IF(C364="","",IFERROR(IF(SUMPRODUCT(MAX((tbl_Finance[Job Number]=C364&amp;"")*(tbl_Finance[Xero Invoice No]&lt;&gt;"")*tbl_Finance[Date]))=0,"",SUMPRODUCT(MAX((tbl_Finance[Job Number]=C364&amp;"")*(tbl_Finance[Xero Invoice No]&lt;&gt;"")*tbl_Finance[Date]))),""))</f>
        <v/>
      </c>
      <c r="B364" s="25">
        <f>IF(C364="","",IF(COUNTIFS(tbl_Finance[Job Number],C364&amp;"",tbl_Finance[Xero Invoice No],"&lt;&gt;")=0,"",IFERROR(IF(COUNTIFS(tbl_Finance[Job Number],C364&amp;"",tbl_Finance[Xero Invoice No],LOOKUP(2,1/((tbl_Finance[Job Number]=C364&amp;"")*(tbl_Finance[Xero Invoice No]&lt;&gt;"")),tbl_Finance[Xero Invoice No]))=COUNTIFS(tbl_Finance[Job Number],C364&amp;"",tbl_Finance[Xero Invoice No],"&lt;&gt;"),LOOKUP(2,1/((tbl_Finance[Job Number]=C364&amp;"")*(tbl_Finance[Xero Invoice No]&lt;&gt;"")),tbl_Finance[Xero Invoice No]),LOOKUP(2,1/((tbl_Finance[Job Number]=C364&amp;"")*(tbl_Finance[Xero Invoice No]&lt;&gt;"")),tbl_Finance[Xero Invoice No])&amp;" +more"),"")))</f>
        <v/>
      </c>
      <c r="C364" s="24" t="n"/>
      <c r="D364" s="25">
        <f>IF(C364="","",IF(COUNTIF(lst_Jobs,C364&amp;"")&gt;0,"OK","CHECK"))</f>
        <v/>
      </c>
      <c r="E364" s="25">
        <f>IF(C364="","",IFERROR(INDEX(lst_JobName,MATCH(C364&amp;"",lst_Jobs,0)),""))</f>
        <v/>
      </c>
      <c r="F364" s="25">
        <f>IF(C364="","",IFERROR(INDEX(tbl_Finance[Client],MATCH(C364&amp;"",tbl_Finance[Job Number],0)),""))</f>
        <v/>
      </c>
      <c r="G364" s="28">
        <f>IF(C364="","",COUNTIFS(tbl_Finance[Job Number],C364&amp;"",tbl_Finance[Ex GST],"&lt;&gt;"))</f>
        <v/>
      </c>
      <c r="H364" s="27">
        <f>IF(C364="","",SUMIFS(tbl_Finance[Ex GST],tbl_Finance[Job Number],C364&amp;""))</f>
        <v/>
      </c>
      <c r="I364" s="27">
        <f>IF(C364="","",SUMIFS(tbl_Finance[Ex GST],tbl_Finance[Job Number],C364&amp;"",tbl_Finance[Xero Invoice No],"&lt;&gt;"))</f>
        <v/>
      </c>
      <c r="J364" s="27">
        <f>IF(C364="","",H364-I364)</f>
        <v/>
      </c>
      <c r="K364" s="25">
        <f>IF(C364="","",IF(G364=0,"not invoiced yet",SUBSTITUTE(TRIM(IF(COUNTIFS(tbl_Finance[Job Number],C364&amp;"",tbl_Finance[Cost Centre],"ONSITE")&gt;0,"ONSITE ","")&amp;IF(COUNTIFS(tbl_Finance[Job Number],C364&amp;"",tbl_Finance[Cost Centre],"PRODUCTION")&gt;0,"PRODUCTION ","")&amp;IF(COUNTIFS(tbl_Finance[Job Number],C364&amp;"",tbl_Finance[Cost Centre],"VIDEO")&gt;0,"VIDEO ","")&amp;IF(COUNTIFS(tbl_Finance[Job Number],C364&amp;"",tbl_Finance[Cost Centre],"INTEGRATION")&gt;0,"INTEGRATION ","")&amp;IF(COUNTIFS(tbl_Finance[Job Number],C364&amp;"",tbl_Finance[Cost Centre],"CONSULTING")&gt;0,"CONSULTING ","")&amp;IF(COUNTIFS(tbl_Finance[Job Number],C364&amp;"",tbl_Finance[Cost Centre],"CTS")&gt;0,"CTS ",""))," ",", ")))</f>
        <v/>
      </c>
      <c r="L364" s="24" t="n"/>
      <c r="M364" s="25">
        <f>IF(L364="","",HYPERLINK(IF(LEFT(L364,4)="http",L364,set_QwilrBase&amp;L364),"Open quote"))</f>
        <v/>
      </c>
      <c r="N364" s="26" t="n"/>
      <c r="O364" s="26" t="n"/>
      <c r="P364" s="26" t="n"/>
      <c r="Q364" s="25">
        <f>IF(C364="","",IF(N(N364)+N(O364)+N(P364)=0,"Not split",IF(ROUND(N(N364)+N(O364)+N(P364),2)=ROUND(H364,2),"OK","MISMATCH")))</f>
        <v/>
      </c>
      <c r="R364" s="26" t="n"/>
      <c r="S364" s="26" t="n"/>
      <c r="T364" s="26" t="n"/>
      <c r="U364" s="27">
        <f>IF(C364="","",N(R364)+N(S364)+N(T364))</f>
        <v/>
      </c>
      <c r="V364" s="27">
        <f>IF(C364="","",H364-U364)</f>
        <v/>
      </c>
      <c r="W364" s="29">
        <f>IFERROR(V364/H364,"")</f>
        <v/>
      </c>
      <c r="X364" s="24" t="n"/>
    </row>
    <row r="365" ht="15" customHeight="1">
      <c r="A365" s="63">
        <f>IF(C365="","",IFERROR(IF(SUMPRODUCT(MAX((tbl_Finance[Job Number]=C365&amp;"")*(tbl_Finance[Xero Invoice No]&lt;&gt;"")*tbl_Finance[Date]))=0,"",SUMPRODUCT(MAX((tbl_Finance[Job Number]=C365&amp;"")*(tbl_Finance[Xero Invoice No]&lt;&gt;"")*tbl_Finance[Date]))),""))</f>
        <v/>
      </c>
      <c r="B365" s="25">
        <f>IF(C365="","",IF(COUNTIFS(tbl_Finance[Job Number],C365&amp;"",tbl_Finance[Xero Invoice No],"&lt;&gt;")=0,"",IFERROR(IF(COUNTIFS(tbl_Finance[Job Number],C365&amp;"",tbl_Finance[Xero Invoice No],LOOKUP(2,1/((tbl_Finance[Job Number]=C365&amp;"")*(tbl_Finance[Xero Invoice No]&lt;&gt;"")),tbl_Finance[Xero Invoice No]))=COUNTIFS(tbl_Finance[Job Number],C365&amp;"",tbl_Finance[Xero Invoice No],"&lt;&gt;"),LOOKUP(2,1/((tbl_Finance[Job Number]=C365&amp;"")*(tbl_Finance[Xero Invoice No]&lt;&gt;"")),tbl_Finance[Xero Invoice No]),LOOKUP(2,1/((tbl_Finance[Job Number]=C365&amp;"")*(tbl_Finance[Xero Invoice No]&lt;&gt;"")),tbl_Finance[Xero Invoice No])&amp;" +more"),"")))</f>
        <v/>
      </c>
      <c r="C365" s="24" t="n"/>
      <c r="D365" s="25">
        <f>IF(C365="","",IF(COUNTIF(lst_Jobs,C365&amp;"")&gt;0,"OK","CHECK"))</f>
        <v/>
      </c>
      <c r="E365" s="25">
        <f>IF(C365="","",IFERROR(INDEX(lst_JobName,MATCH(C365&amp;"",lst_Jobs,0)),""))</f>
        <v/>
      </c>
      <c r="F365" s="25">
        <f>IF(C365="","",IFERROR(INDEX(tbl_Finance[Client],MATCH(C365&amp;"",tbl_Finance[Job Number],0)),""))</f>
        <v/>
      </c>
      <c r="G365" s="28">
        <f>IF(C365="","",COUNTIFS(tbl_Finance[Job Number],C365&amp;"",tbl_Finance[Ex GST],"&lt;&gt;"))</f>
        <v/>
      </c>
      <c r="H365" s="27">
        <f>IF(C365="","",SUMIFS(tbl_Finance[Ex GST],tbl_Finance[Job Number],C365&amp;""))</f>
        <v/>
      </c>
      <c r="I365" s="27">
        <f>IF(C365="","",SUMIFS(tbl_Finance[Ex GST],tbl_Finance[Job Number],C365&amp;"",tbl_Finance[Xero Invoice No],"&lt;&gt;"))</f>
        <v/>
      </c>
      <c r="J365" s="27">
        <f>IF(C365="","",H365-I365)</f>
        <v/>
      </c>
      <c r="K365" s="25">
        <f>IF(C365="","",IF(G365=0,"not invoiced yet",SUBSTITUTE(TRIM(IF(COUNTIFS(tbl_Finance[Job Number],C365&amp;"",tbl_Finance[Cost Centre],"ONSITE")&gt;0,"ONSITE ","")&amp;IF(COUNTIFS(tbl_Finance[Job Number],C365&amp;"",tbl_Finance[Cost Centre],"PRODUCTION")&gt;0,"PRODUCTION ","")&amp;IF(COUNTIFS(tbl_Finance[Job Number],C365&amp;"",tbl_Finance[Cost Centre],"VIDEO")&gt;0,"VIDEO ","")&amp;IF(COUNTIFS(tbl_Finance[Job Number],C365&amp;"",tbl_Finance[Cost Centre],"INTEGRATION")&gt;0,"INTEGRATION ","")&amp;IF(COUNTIFS(tbl_Finance[Job Number],C365&amp;"",tbl_Finance[Cost Centre],"CONSULTING")&gt;0,"CONSULTING ","")&amp;IF(COUNTIFS(tbl_Finance[Job Number],C365&amp;"",tbl_Finance[Cost Centre],"CTS")&gt;0,"CTS ",""))," ",", ")))</f>
        <v/>
      </c>
      <c r="L365" s="24" t="n"/>
      <c r="M365" s="25">
        <f>IF(L365="","",HYPERLINK(IF(LEFT(L365,4)="http",L365,set_QwilrBase&amp;L365),"Open quote"))</f>
        <v/>
      </c>
      <c r="N365" s="26" t="n"/>
      <c r="O365" s="26" t="n"/>
      <c r="P365" s="26" t="n"/>
      <c r="Q365" s="25">
        <f>IF(C365="","",IF(N(N365)+N(O365)+N(P365)=0,"Not split",IF(ROUND(N(N365)+N(O365)+N(P365),2)=ROUND(H365,2),"OK","MISMATCH")))</f>
        <v/>
      </c>
      <c r="R365" s="26" t="n"/>
      <c r="S365" s="26" t="n"/>
      <c r="T365" s="26" t="n"/>
      <c r="U365" s="27">
        <f>IF(C365="","",N(R365)+N(S365)+N(T365))</f>
        <v/>
      </c>
      <c r="V365" s="27">
        <f>IF(C365="","",H365-U365)</f>
        <v/>
      </c>
      <c r="W365" s="29">
        <f>IFERROR(V365/H365,"")</f>
        <v/>
      </c>
      <c r="X365" s="24" t="n"/>
    </row>
    <row r="366" ht="15" customHeight="1">
      <c r="A366" s="63">
        <f>IF(C366="","",IFERROR(IF(SUMPRODUCT(MAX((tbl_Finance[Job Number]=C366&amp;"")*(tbl_Finance[Xero Invoice No]&lt;&gt;"")*tbl_Finance[Date]))=0,"",SUMPRODUCT(MAX((tbl_Finance[Job Number]=C366&amp;"")*(tbl_Finance[Xero Invoice No]&lt;&gt;"")*tbl_Finance[Date]))),""))</f>
        <v/>
      </c>
      <c r="B366" s="25">
        <f>IF(C366="","",IF(COUNTIFS(tbl_Finance[Job Number],C366&amp;"",tbl_Finance[Xero Invoice No],"&lt;&gt;")=0,"",IFERROR(IF(COUNTIFS(tbl_Finance[Job Number],C366&amp;"",tbl_Finance[Xero Invoice No],LOOKUP(2,1/((tbl_Finance[Job Number]=C366&amp;"")*(tbl_Finance[Xero Invoice No]&lt;&gt;"")),tbl_Finance[Xero Invoice No]))=COUNTIFS(tbl_Finance[Job Number],C366&amp;"",tbl_Finance[Xero Invoice No],"&lt;&gt;"),LOOKUP(2,1/((tbl_Finance[Job Number]=C366&amp;"")*(tbl_Finance[Xero Invoice No]&lt;&gt;"")),tbl_Finance[Xero Invoice No]),LOOKUP(2,1/((tbl_Finance[Job Number]=C366&amp;"")*(tbl_Finance[Xero Invoice No]&lt;&gt;"")),tbl_Finance[Xero Invoice No])&amp;" +more"),"")))</f>
        <v/>
      </c>
      <c r="C366" s="24" t="n"/>
      <c r="D366" s="25">
        <f>IF(C366="","",IF(COUNTIF(lst_Jobs,C366&amp;"")&gt;0,"OK","CHECK"))</f>
        <v/>
      </c>
      <c r="E366" s="25">
        <f>IF(C366="","",IFERROR(INDEX(lst_JobName,MATCH(C366&amp;"",lst_Jobs,0)),""))</f>
        <v/>
      </c>
      <c r="F366" s="25">
        <f>IF(C366="","",IFERROR(INDEX(tbl_Finance[Client],MATCH(C366&amp;"",tbl_Finance[Job Number],0)),""))</f>
        <v/>
      </c>
      <c r="G366" s="28">
        <f>IF(C366="","",COUNTIFS(tbl_Finance[Job Number],C366&amp;"",tbl_Finance[Ex GST],"&lt;&gt;"))</f>
        <v/>
      </c>
      <c r="H366" s="27">
        <f>IF(C366="","",SUMIFS(tbl_Finance[Ex GST],tbl_Finance[Job Number],C366&amp;""))</f>
        <v/>
      </c>
      <c r="I366" s="27">
        <f>IF(C366="","",SUMIFS(tbl_Finance[Ex GST],tbl_Finance[Job Number],C366&amp;"",tbl_Finance[Xero Invoice No],"&lt;&gt;"))</f>
        <v/>
      </c>
      <c r="J366" s="27">
        <f>IF(C366="","",H366-I366)</f>
        <v/>
      </c>
      <c r="K366" s="25">
        <f>IF(C366="","",IF(G366=0,"not invoiced yet",SUBSTITUTE(TRIM(IF(COUNTIFS(tbl_Finance[Job Number],C366&amp;"",tbl_Finance[Cost Centre],"ONSITE")&gt;0,"ONSITE ","")&amp;IF(COUNTIFS(tbl_Finance[Job Number],C366&amp;"",tbl_Finance[Cost Centre],"PRODUCTION")&gt;0,"PRODUCTION ","")&amp;IF(COUNTIFS(tbl_Finance[Job Number],C366&amp;"",tbl_Finance[Cost Centre],"VIDEO")&gt;0,"VIDEO ","")&amp;IF(COUNTIFS(tbl_Finance[Job Number],C366&amp;"",tbl_Finance[Cost Centre],"INTEGRATION")&gt;0,"INTEGRATION ","")&amp;IF(COUNTIFS(tbl_Finance[Job Number],C366&amp;"",tbl_Finance[Cost Centre],"CONSULTING")&gt;0,"CONSULTING ","")&amp;IF(COUNTIFS(tbl_Finance[Job Number],C366&amp;"",tbl_Finance[Cost Centre],"CTS")&gt;0,"CTS ",""))," ",", ")))</f>
        <v/>
      </c>
      <c r="L366" s="24" t="n"/>
      <c r="M366" s="25">
        <f>IF(L366="","",HYPERLINK(IF(LEFT(L366,4)="http",L366,set_QwilrBase&amp;L366),"Open quote"))</f>
        <v/>
      </c>
      <c r="N366" s="26" t="n"/>
      <c r="O366" s="26" t="n"/>
      <c r="P366" s="26" t="n"/>
      <c r="Q366" s="25">
        <f>IF(C366="","",IF(N(N366)+N(O366)+N(P366)=0,"Not split",IF(ROUND(N(N366)+N(O366)+N(P366),2)=ROUND(H366,2),"OK","MISMATCH")))</f>
        <v/>
      </c>
      <c r="R366" s="26" t="n"/>
      <c r="S366" s="26" t="n"/>
      <c r="T366" s="26" t="n"/>
      <c r="U366" s="27">
        <f>IF(C366="","",N(R366)+N(S366)+N(T366))</f>
        <v/>
      </c>
      <c r="V366" s="27">
        <f>IF(C366="","",H366-U366)</f>
        <v/>
      </c>
      <c r="W366" s="29">
        <f>IFERROR(V366/H366,"")</f>
        <v/>
      </c>
      <c r="X366" s="24" t="n"/>
    </row>
    <row r="367" ht="15" customHeight="1">
      <c r="A367" s="63">
        <f>IF(C367="","",IFERROR(IF(SUMPRODUCT(MAX((tbl_Finance[Job Number]=C367&amp;"")*(tbl_Finance[Xero Invoice No]&lt;&gt;"")*tbl_Finance[Date]))=0,"",SUMPRODUCT(MAX((tbl_Finance[Job Number]=C367&amp;"")*(tbl_Finance[Xero Invoice No]&lt;&gt;"")*tbl_Finance[Date]))),""))</f>
        <v/>
      </c>
      <c r="B367" s="25">
        <f>IF(C367="","",IF(COUNTIFS(tbl_Finance[Job Number],C367&amp;"",tbl_Finance[Xero Invoice No],"&lt;&gt;")=0,"",IFERROR(IF(COUNTIFS(tbl_Finance[Job Number],C367&amp;"",tbl_Finance[Xero Invoice No],LOOKUP(2,1/((tbl_Finance[Job Number]=C367&amp;"")*(tbl_Finance[Xero Invoice No]&lt;&gt;"")),tbl_Finance[Xero Invoice No]))=COUNTIFS(tbl_Finance[Job Number],C367&amp;"",tbl_Finance[Xero Invoice No],"&lt;&gt;"),LOOKUP(2,1/((tbl_Finance[Job Number]=C367&amp;"")*(tbl_Finance[Xero Invoice No]&lt;&gt;"")),tbl_Finance[Xero Invoice No]),LOOKUP(2,1/((tbl_Finance[Job Number]=C367&amp;"")*(tbl_Finance[Xero Invoice No]&lt;&gt;"")),tbl_Finance[Xero Invoice No])&amp;" +more"),"")))</f>
        <v/>
      </c>
      <c r="C367" s="24" t="n"/>
      <c r="D367" s="25">
        <f>IF(C367="","",IF(COUNTIF(lst_Jobs,C367&amp;"")&gt;0,"OK","CHECK"))</f>
        <v/>
      </c>
      <c r="E367" s="25">
        <f>IF(C367="","",IFERROR(INDEX(lst_JobName,MATCH(C367&amp;"",lst_Jobs,0)),""))</f>
        <v/>
      </c>
      <c r="F367" s="25">
        <f>IF(C367="","",IFERROR(INDEX(tbl_Finance[Client],MATCH(C367&amp;"",tbl_Finance[Job Number],0)),""))</f>
        <v/>
      </c>
      <c r="G367" s="28">
        <f>IF(C367="","",COUNTIFS(tbl_Finance[Job Number],C367&amp;"",tbl_Finance[Ex GST],"&lt;&gt;"))</f>
        <v/>
      </c>
      <c r="H367" s="27">
        <f>IF(C367="","",SUMIFS(tbl_Finance[Ex GST],tbl_Finance[Job Number],C367&amp;""))</f>
        <v/>
      </c>
      <c r="I367" s="27">
        <f>IF(C367="","",SUMIFS(tbl_Finance[Ex GST],tbl_Finance[Job Number],C367&amp;"",tbl_Finance[Xero Invoice No],"&lt;&gt;"))</f>
        <v/>
      </c>
      <c r="J367" s="27">
        <f>IF(C367="","",H367-I367)</f>
        <v/>
      </c>
      <c r="K367" s="25">
        <f>IF(C367="","",IF(G367=0,"not invoiced yet",SUBSTITUTE(TRIM(IF(COUNTIFS(tbl_Finance[Job Number],C367&amp;"",tbl_Finance[Cost Centre],"ONSITE")&gt;0,"ONSITE ","")&amp;IF(COUNTIFS(tbl_Finance[Job Number],C367&amp;"",tbl_Finance[Cost Centre],"PRODUCTION")&gt;0,"PRODUCTION ","")&amp;IF(COUNTIFS(tbl_Finance[Job Number],C367&amp;"",tbl_Finance[Cost Centre],"VIDEO")&gt;0,"VIDEO ","")&amp;IF(COUNTIFS(tbl_Finance[Job Number],C367&amp;"",tbl_Finance[Cost Centre],"INTEGRATION")&gt;0,"INTEGRATION ","")&amp;IF(COUNTIFS(tbl_Finance[Job Number],C367&amp;"",tbl_Finance[Cost Centre],"CONSULTING")&gt;0,"CONSULTING ","")&amp;IF(COUNTIFS(tbl_Finance[Job Number],C367&amp;"",tbl_Finance[Cost Centre],"CTS")&gt;0,"CTS ",""))," ",", ")))</f>
        <v/>
      </c>
      <c r="L367" s="24" t="n"/>
      <c r="M367" s="25">
        <f>IF(L367="","",HYPERLINK(IF(LEFT(L367,4)="http",L367,set_QwilrBase&amp;L367),"Open quote"))</f>
        <v/>
      </c>
      <c r="N367" s="26" t="n"/>
      <c r="O367" s="26" t="n"/>
      <c r="P367" s="26" t="n"/>
      <c r="Q367" s="25">
        <f>IF(C367="","",IF(N(N367)+N(O367)+N(P367)=0,"Not split",IF(ROUND(N(N367)+N(O367)+N(P367),2)=ROUND(H367,2),"OK","MISMATCH")))</f>
        <v/>
      </c>
      <c r="R367" s="26" t="n"/>
      <c r="S367" s="26" t="n"/>
      <c r="T367" s="26" t="n"/>
      <c r="U367" s="27">
        <f>IF(C367="","",N(R367)+N(S367)+N(T367))</f>
        <v/>
      </c>
      <c r="V367" s="27">
        <f>IF(C367="","",H367-U367)</f>
        <v/>
      </c>
      <c r="W367" s="29">
        <f>IFERROR(V367/H367,"")</f>
        <v/>
      </c>
      <c r="X367" s="24" t="n"/>
    </row>
    <row r="368" ht="15" customHeight="1">
      <c r="A368" s="63">
        <f>IF(C368="","",IFERROR(IF(SUMPRODUCT(MAX((tbl_Finance[Job Number]=C368&amp;"")*(tbl_Finance[Xero Invoice No]&lt;&gt;"")*tbl_Finance[Date]))=0,"",SUMPRODUCT(MAX((tbl_Finance[Job Number]=C368&amp;"")*(tbl_Finance[Xero Invoice No]&lt;&gt;"")*tbl_Finance[Date]))),""))</f>
        <v/>
      </c>
      <c r="B368" s="25">
        <f>IF(C368="","",IF(COUNTIFS(tbl_Finance[Job Number],C368&amp;"",tbl_Finance[Xero Invoice No],"&lt;&gt;")=0,"",IFERROR(IF(COUNTIFS(tbl_Finance[Job Number],C368&amp;"",tbl_Finance[Xero Invoice No],LOOKUP(2,1/((tbl_Finance[Job Number]=C368&amp;"")*(tbl_Finance[Xero Invoice No]&lt;&gt;"")),tbl_Finance[Xero Invoice No]))=COUNTIFS(tbl_Finance[Job Number],C368&amp;"",tbl_Finance[Xero Invoice No],"&lt;&gt;"),LOOKUP(2,1/((tbl_Finance[Job Number]=C368&amp;"")*(tbl_Finance[Xero Invoice No]&lt;&gt;"")),tbl_Finance[Xero Invoice No]),LOOKUP(2,1/((tbl_Finance[Job Number]=C368&amp;"")*(tbl_Finance[Xero Invoice No]&lt;&gt;"")),tbl_Finance[Xero Invoice No])&amp;" +more"),"")))</f>
        <v/>
      </c>
      <c r="C368" s="24" t="n"/>
      <c r="D368" s="25">
        <f>IF(C368="","",IF(COUNTIF(lst_Jobs,C368&amp;"")&gt;0,"OK","CHECK"))</f>
        <v/>
      </c>
      <c r="E368" s="25">
        <f>IF(C368="","",IFERROR(INDEX(lst_JobName,MATCH(C368&amp;"",lst_Jobs,0)),""))</f>
        <v/>
      </c>
      <c r="F368" s="25">
        <f>IF(C368="","",IFERROR(INDEX(tbl_Finance[Client],MATCH(C368&amp;"",tbl_Finance[Job Number],0)),""))</f>
        <v/>
      </c>
      <c r="G368" s="28">
        <f>IF(C368="","",COUNTIFS(tbl_Finance[Job Number],C368&amp;"",tbl_Finance[Ex GST],"&lt;&gt;"))</f>
        <v/>
      </c>
      <c r="H368" s="27">
        <f>IF(C368="","",SUMIFS(tbl_Finance[Ex GST],tbl_Finance[Job Number],C368&amp;""))</f>
        <v/>
      </c>
      <c r="I368" s="27">
        <f>IF(C368="","",SUMIFS(tbl_Finance[Ex GST],tbl_Finance[Job Number],C368&amp;"",tbl_Finance[Xero Invoice No],"&lt;&gt;"))</f>
        <v/>
      </c>
      <c r="J368" s="27">
        <f>IF(C368="","",H368-I368)</f>
        <v/>
      </c>
      <c r="K368" s="25">
        <f>IF(C368="","",IF(G368=0,"not invoiced yet",SUBSTITUTE(TRIM(IF(COUNTIFS(tbl_Finance[Job Number],C368&amp;"",tbl_Finance[Cost Centre],"ONSITE")&gt;0,"ONSITE ","")&amp;IF(COUNTIFS(tbl_Finance[Job Number],C368&amp;"",tbl_Finance[Cost Centre],"PRODUCTION")&gt;0,"PRODUCTION ","")&amp;IF(COUNTIFS(tbl_Finance[Job Number],C368&amp;"",tbl_Finance[Cost Centre],"VIDEO")&gt;0,"VIDEO ","")&amp;IF(COUNTIFS(tbl_Finance[Job Number],C368&amp;"",tbl_Finance[Cost Centre],"INTEGRATION")&gt;0,"INTEGRATION ","")&amp;IF(COUNTIFS(tbl_Finance[Job Number],C368&amp;"",tbl_Finance[Cost Centre],"CONSULTING")&gt;0,"CONSULTING ","")&amp;IF(COUNTIFS(tbl_Finance[Job Number],C368&amp;"",tbl_Finance[Cost Centre],"CTS")&gt;0,"CTS ",""))," ",", ")))</f>
        <v/>
      </c>
      <c r="L368" s="24" t="n"/>
      <c r="M368" s="25">
        <f>IF(L368="","",HYPERLINK(IF(LEFT(L368,4)="http",L368,set_QwilrBase&amp;L368),"Open quote"))</f>
        <v/>
      </c>
      <c r="N368" s="26" t="n"/>
      <c r="O368" s="26" t="n"/>
      <c r="P368" s="26" t="n"/>
      <c r="Q368" s="25">
        <f>IF(C368="","",IF(N(N368)+N(O368)+N(P368)=0,"Not split",IF(ROUND(N(N368)+N(O368)+N(P368),2)=ROUND(H368,2),"OK","MISMATCH")))</f>
        <v/>
      </c>
      <c r="R368" s="26" t="n"/>
      <c r="S368" s="26" t="n"/>
      <c r="T368" s="26" t="n"/>
      <c r="U368" s="27">
        <f>IF(C368="","",N(R368)+N(S368)+N(T368))</f>
        <v/>
      </c>
      <c r="V368" s="27">
        <f>IF(C368="","",H368-U368)</f>
        <v/>
      </c>
      <c r="W368" s="29">
        <f>IFERROR(V368/H368,"")</f>
        <v/>
      </c>
      <c r="X368" s="24" t="n"/>
    </row>
    <row r="369" ht="15" customHeight="1">
      <c r="A369" s="63">
        <f>IF(C369="","",IFERROR(IF(SUMPRODUCT(MAX((tbl_Finance[Job Number]=C369&amp;"")*(tbl_Finance[Xero Invoice No]&lt;&gt;"")*tbl_Finance[Date]))=0,"",SUMPRODUCT(MAX((tbl_Finance[Job Number]=C369&amp;"")*(tbl_Finance[Xero Invoice No]&lt;&gt;"")*tbl_Finance[Date]))),""))</f>
        <v/>
      </c>
      <c r="B369" s="25">
        <f>IF(C369="","",IF(COUNTIFS(tbl_Finance[Job Number],C369&amp;"",tbl_Finance[Xero Invoice No],"&lt;&gt;")=0,"",IFERROR(IF(COUNTIFS(tbl_Finance[Job Number],C369&amp;"",tbl_Finance[Xero Invoice No],LOOKUP(2,1/((tbl_Finance[Job Number]=C369&amp;"")*(tbl_Finance[Xero Invoice No]&lt;&gt;"")),tbl_Finance[Xero Invoice No]))=COUNTIFS(tbl_Finance[Job Number],C369&amp;"",tbl_Finance[Xero Invoice No],"&lt;&gt;"),LOOKUP(2,1/((tbl_Finance[Job Number]=C369&amp;"")*(tbl_Finance[Xero Invoice No]&lt;&gt;"")),tbl_Finance[Xero Invoice No]),LOOKUP(2,1/((tbl_Finance[Job Number]=C369&amp;"")*(tbl_Finance[Xero Invoice No]&lt;&gt;"")),tbl_Finance[Xero Invoice No])&amp;" +more"),"")))</f>
        <v/>
      </c>
      <c r="C369" s="24" t="n"/>
      <c r="D369" s="25">
        <f>IF(C369="","",IF(COUNTIF(lst_Jobs,C369&amp;"")&gt;0,"OK","CHECK"))</f>
        <v/>
      </c>
      <c r="E369" s="25">
        <f>IF(C369="","",IFERROR(INDEX(lst_JobName,MATCH(C369&amp;"",lst_Jobs,0)),""))</f>
        <v/>
      </c>
      <c r="F369" s="25">
        <f>IF(C369="","",IFERROR(INDEX(tbl_Finance[Client],MATCH(C369&amp;"",tbl_Finance[Job Number],0)),""))</f>
        <v/>
      </c>
      <c r="G369" s="28">
        <f>IF(C369="","",COUNTIFS(tbl_Finance[Job Number],C369&amp;"",tbl_Finance[Ex GST],"&lt;&gt;"))</f>
        <v/>
      </c>
      <c r="H369" s="27">
        <f>IF(C369="","",SUMIFS(tbl_Finance[Ex GST],tbl_Finance[Job Number],C369&amp;""))</f>
        <v/>
      </c>
      <c r="I369" s="27">
        <f>IF(C369="","",SUMIFS(tbl_Finance[Ex GST],tbl_Finance[Job Number],C369&amp;"",tbl_Finance[Xero Invoice No],"&lt;&gt;"))</f>
        <v/>
      </c>
      <c r="J369" s="27">
        <f>IF(C369="","",H369-I369)</f>
        <v/>
      </c>
      <c r="K369" s="25">
        <f>IF(C369="","",IF(G369=0,"not invoiced yet",SUBSTITUTE(TRIM(IF(COUNTIFS(tbl_Finance[Job Number],C369&amp;"",tbl_Finance[Cost Centre],"ONSITE")&gt;0,"ONSITE ","")&amp;IF(COUNTIFS(tbl_Finance[Job Number],C369&amp;"",tbl_Finance[Cost Centre],"PRODUCTION")&gt;0,"PRODUCTION ","")&amp;IF(COUNTIFS(tbl_Finance[Job Number],C369&amp;"",tbl_Finance[Cost Centre],"VIDEO")&gt;0,"VIDEO ","")&amp;IF(COUNTIFS(tbl_Finance[Job Number],C369&amp;"",tbl_Finance[Cost Centre],"INTEGRATION")&gt;0,"INTEGRATION ","")&amp;IF(COUNTIFS(tbl_Finance[Job Number],C369&amp;"",tbl_Finance[Cost Centre],"CONSULTING")&gt;0,"CONSULTING ","")&amp;IF(COUNTIFS(tbl_Finance[Job Number],C369&amp;"",tbl_Finance[Cost Centre],"CTS")&gt;0,"CTS ",""))," ",", ")))</f>
        <v/>
      </c>
      <c r="L369" s="24" t="n"/>
      <c r="M369" s="25">
        <f>IF(L369="","",HYPERLINK(IF(LEFT(L369,4)="http",L369,set_QwilrBase&amp;L369),"Open quote"))</f>
        <v/>
      </c>
      <c r="N369" s="26" t="n"/>
      <c r="O369" s="26" t="n"/>
      <c r="P369" s="26" t="n"/>
      <c r="Q369" s="25">
        <f>IF(C369="","",IF(N(N369)+N(O369)+N(P369)=0,"Not split",IF(ROUND(N(N369)+N(O369)+N(P369),2)=ROUND(H369,2),"OK","MISMATCH")))</f>
        <v/>
      </c>
      <c r="R369" s="26" t="n"/>
      <c r="S369" s="26" t="n"/>
      <c r="T369" s="26" t="n"/>
      <c r="U369" s="27">
        <f>IF(C369="","",N(R369)+N(S369)+N(T369))</f>
        <v/>
      </c>
      <c r="V369" s="27">
        <f>IF(C369="","",H369-U369)</f>
        <v/>
      </c>
      <c r="W369" s="29">
        <f>IFERROR(V369/H369,"")</f>
        <v/>
      </c>
      <c r="X369" s="24" t="n"/>
    </row>
    <row r="370" ht="15" customHeight="1">
      <c r="A370" s="63">
        <f>IF(C370="","",IFERROR(IF(SUMPRODUCT(MAX((tbl_Finance[Job Number]=C370&amp;"")*(tbl_Finance[Xero Invoice No]&lt;&gt;"")*tbl_Finance[Date]))=0,"",SUMPRODUCT(MAX((tbl_Finance[Job Number]=C370&amp;"")*(tbl_Finance[Xero Invoice No]&lt;&gt;"")*tbl_Finance[Date]))),""))</f>
        <v/>
      </c>
      <c r="B370" s="25">
        <f>IF(C370="","",IF(COUNTIFS(tbl_Finance[Job Number],C370&amp;"",tbl_Finance[Xero Invoice No],"&lt;&gt;")=0,"",IFERROR(IF(COUNTIFS(tbl_Finance[Job Number],C370&amp;"",tbl_Finance[Xero Invoice No],LOOKUP(2,1/((tbl_Finance[Job Number]=C370&amp;"")*(tbl_Finance[Xero Invoice No]&lt;&gt;"")),tbl_Finance[Xero Invoice No]))=COUNTIFS(tbl_Finance[Job Number],C370&amp;"",tbl_Finance[Xero Invoice No],"&lt;&gt;"),LOOKUP(2,1/((tbl_Finance[Job Number]=C370&amp;"")*(tbl_Finance[Xero Invoice No]&lt;&gt;"")),tbl_Finance[Xero Invoice No]),LOOKUP(2,1/((tbl_Finance[Job Number]=C370&amp;"")*(tbl_Finance[Xero Invoice No]&lt;&gt;"")),tbl_Finance[Xero Invoice No])&amp;" +more"),"")))</f>
        <v/>
      </c>
      <c r="C370" s="24" t="n"/>
      <c r="D370" s="25">
        <f>IF(C370="","",IF(COUNTIF(lst_Jobs,C370&amp;"")&gt;0,"OK","CHECK"))</f>
        <v/>
      </c>
      <c r="E370" s="25">
        <f>IF(C370="","",IFERROR(INDEX(lst_JobName,MATCH(C370&amp;"",lst_Jobs,0)),""))</f>
        <v/>
      </c>
      <c r="F370" s="25">
        <f>IF(C370="","",IFERROR(INDEX(tbl_Finance[Client],MATCH(C370&amp;"",tbl_Finance[Job Number],0)),""))</f>
        <v/>
      </c>
      <c r="G370" s="28">
        <f>IF(C370="","",COUNTIFS(tbl_Finance[Job Number],C370&amp;"",tbl_Finance[Ex GST],"&lt;&gt;"))</f>
        <v/>
      </c>
      <c r="H370" s="27">
        <f>IF(C370="","",SUMIFS(tbl_Finance[Ex GST],tbl_Finance[Job Number],C370&amp;""))</f>
        <v/>
      </c>
      <c r="I370" s="27">
        <f>IF(C370="","",SUMIFS(tbl_Finance[Ex GST],tbl_Finance[Job Number],C370&amp;"",tbl_Finance[Xero Invoice No],"&lt;&gt;"))</f>
        <v/>
      </c>
      <c r="J370" s="27">
        <f>IF(C370="","",H370-I370)</f>
        <v/>
      </c>
      <c r="K370" s="25">
        <f>IF(C370="","",IF(G370=0,"not invoiced yet",SUBSTITUTE(TRIM(IF(COUNTIFS(tbl_Finance[Job Number],C370&amp;"",tbl_Finance[Cost Centre],"ONSITE")&gt;0,"ONSITE ","")&amp;IF(COUNTIFS(tbl_Finance[Job Number],C370&amp;"",tbl_Finance[Cost Centre],"PRODUCTION")&gt;0,"PRODUCTION ","")&amp;IF(COUNTIFS(tbl_Finance[Job Number],C370&amp;"",tbl_Finance[Cost Centre],"VIDEO")&gt;0,"VIDEO ","")&amp;IF(COUNTIFS(tbl_Finance[Job Number],C370&amp;"",tbl_Finance[Cost Centre],"INTEGRATION")&gt;0,"INTEGRATION ","")&amp;IF(COUNTIFS(tbl_Finance[Job Number],C370&amp;"",tbl_Finance[Cost Centre],"CONSULTING")&gt;0,"CONSULTING ","")&amp;IF(COUNTIFS(tbl_Finance[Job Number],C370&amp;"",tbl_Finance[Cost Centre],"CTS")&gt;0,"CTS ",""))," ",", ")))</f>
        <v/>
      </c>
      <c r="L370" s="24" t="n"/>
      <c r="M370" s="25">
        <f>IF(L370="","",HYPERLINK(IF(LEFT(L370,4)="http",L370,set_QwilrBase&amp;L370),"Open quote"))</f>
        <v/>
      </c>
      <c r="N370" s="26" t="n"/>
      <c r="O370" s="26" t="n"/>
      <c r="P370" s="26" t="n"/>
      <c r="Q370" s="25">
        <f>IF(C370="","",IF(N(N370)+N(O370)+N(P370)=0,"Not split",IF(ROUND(N(N370)+N(O370)+N(P370),2)=ROUND(H370,2),"OK","MISMATCH")))</f>
        <v/>
      </c>
      <c r="R370" s="26" t="n"/>
      <c r="S370" s="26" t="n"/>
      <c r="T370" s="26" t="n"/>
      <c r="U370" s="27">
        <f>IF(C370="","",N(R370)+N(S370)+N(T370))</f>
        <v/>
      </c>
      <c r="V370" s="27">
        <f>IF(C370="","",H370-U370)</f>
        <v/>
      </c>
      <c r="W370" s="29">
        <f>IFERROR(V370/H370,"")</f>
        <v/>
      </c>
      <c r="X370" s="24" t="n"/>
    </row>
    <row r="371" ht="15" customHeight="1">
      <c r="A371" s="63">
        <f>IF(C371="","",IFERROR(IF(SUMPRODUCT(MAX((tbl_Finance[Job Number]=C371&amp;"")*(tbl_Finance[Xero Invoice No]&lt;&gt;"")*tbl_Finance[Date]))=0,"",SUMPRODUCT(MAX((tbl_Finance[Job Number]=C371&amp;"")*(tbl_Finance[Xero Invoice No]&lt;&gt;"")*tbl_Finance[Date]))),""))</f>
        <v/>
      </c>
      <c r="B371" s="25">
        <f>IF(C371="","",IF(COUNTIFS(tbl_Finance[Job Number],C371&amp;"",tbl_Finance[Xero Invoice No],"&lt;&gt;")=0,"",IFERROR(IF(COUNTIFS(tbl_Finance[Job Number],C371&amp;"",tbl_Finance[Xero Invoice No],LOOKUP(2,1/((tbl_Finance[Job Number]=C371&amp;"")*(tbl_Finance[Xero Invoice No]&lt;&gt;"")),tbl_Finance[Xero Invoice No]))=COUNTIFS(tbl_Finance[Job Number],C371&amp;"",tbl_Finance[Xero Invoice No],"&lt;&gt;"),LOOKUP(2,1/((tbl_Finance[Job Number]=C371&amp;"")*(tbl_Finance[Xero Invoice No]&lt;&gt;"")),tbl_Finance[Xero Invoice No]),LOOKUP(2,1/((tbl_Finance[Job Number]=C371&amp;"")*(tbl_Finance[Xero Invoice No]&lt;&gt;"")),tbl_Finance[Xero Invoice No])&amp;" +more"),"")))</f>
        <v/>
      </c>
      <c r="C371" s="24" t="n"/>
      <c r="D371" s="25">
        <f>IF(C371="","",IF(COUNTIF(lst_Jobs,C371&amp;"")&gt;0,"OK","CHECK"))</f>
        <v/>
      </c>
      <c r="E371" s="25">
        <f>IF(C371="","",IFERROR(INDEX(lst_JobName,MATCH(C371&amp;"",lst_Jobs,0)),""))</f>
        <v/>
      </c>
      <c r="F371" s="25">
        <f>IF(C371="","",IFERROR(INDEX(tbl_Finance[Client],MATCH(C371&amp;"",tbl_Finance[Job Number],0)),""))</f>
        <v/>
      </c>
      <c r="G371" s="28">
        <f>IF(C371="","",COUNTIFS(tbl_Finance[Job Number],C371&amp;"",tbl_Finance[Ex GST],"&lt;&gt;"))</f>
        <v/>
      </c>
      <c r="H371" s="27">
        <f>IF(C371="","",SUMIFS(tbl_Finance[Ex GST],tbl_Finance[Job Number],C371&amp;""))</f>
        <v/>
      </c>
      <c r="I371" s="27">
        <f>IF(C371="","",SUMIFS(tbl_Finance[Ex GST],tbl_Finance[Job Number],C371&amp;"",tbl_Finance[Xero Invoice No],"&lt;&gt;"))</f>
        <v/>
      </c>
      <c r="J371" s="27">
        <f>IF(C371="","",H371-I371)</f>
        <v/>
      </c>
      <c r="K371" s="25">
        <f>IF(C371="","",IF(G371=0,"not invoiced yet",SUBSTITUTE(TRIM(IF(COUNTIFS(tbl_Finance[Job Number],C371&amp;"",tbl_Finance[Cost Centre],"ONSITE")&gt;0,"ONSITE ","")&amp;IF(COUNTIFS(tbl_Finance[Job Number],C371&amp;"",tbl_Finance[Cost Centre],"PRODUCTION")&gt;0,"PRODUCTION ","")&amp;IF(COUNTIFS(tbl_Finance[Job Number],C371&amp;"",tbl_Finance[Cost Centre],"VIDEO")&gt;0,"VIDEO ","")&amp;IF(COUNTIFS(tbl_Finance[Job Number],C371&amp;"",tbl_Finance[Cost Centre],"INTEGRATION")&gt;0,"INTEGRATION ","")&amp;IF(COUNTIFS(tbl_Finance[Job Number],C371&amp;"",tbl_Finance[Cost Centre],"CONSULTING")&gt;0,"CONSULTING ","")&amp;IF(COUNTIFS(tbl_Finance[Job Number],C371&amp;"",tbl_Finance[Cost Centre],"CTS")&gt;0,"CTS ",""))," ",", ")))</f>
        <v/>
      </c>
      <c r="L371" s="24" t="n"/>
      <c r="M371" s="25">
        <f>IF(L371="","",HYPERLINK(IF(LEFT(L371,4)="http",L371,set_QwilrBase&amp;L371),"Open quote"))</f>
        <v/>
      </c>
      <c r="N371" s="26" t="n"/>
      <c r="O371" s="26" t="n"/>
      <c r="P371" s="26" t="n"/>
      <c r="Q371" s="25">
        <f>IF(C371="","",IF(N(N371)+N(O371)+N(P371)=0,"Not split",IF(ROUND(N(N371)+N(O371)+N(P371),2)=ROUND(H371,2),"OK","MISMATCH")))</f>
        <v/>
      </c>
      <c r="R371" s="26" t="n"/>
      <c r="S371" s="26" t="n"/>
      <c r="T371" s="26" t="n"/>
      <c r="U371" s="27">
        <f>IF(C371="","",N(R371)+N(S371)+N(T371))</f>
        <v/>
      </c>
      <c r="V371" s="27">
        <f>IF(C371="","",H371-U371)</f>
        <v/>
      </c>
      <c r="W371" s="29">
        <f>IFERROR(V371/H371,"")</f>
        <v/>
      </c>
      <c r="X371" s="24" t="n"/>
    </row>
    <row r="372" ht="15" customHeight="1">
      <c r="A372" s="63">
        <f>IF(C372="","",IFERROR(IF(SUMPRODUCT(MAX((tbl_Finance[Job Number]=C372&amp;"")*(tbl_Finance[Xero Invoice No]&lt;&gt;"")*tbl_Finance[Date]))=0,"",SUMPRODUCT(MAX((tbl_Finance[Job Number]=C372&amp;"")*(tbl_Finance[Xero Invoice No]&lt;&gt;"")*tbl_Finance[Date]))),""))</f>
        <v/>
      </c>
      <c r="B372" s="25">
        <f>IF(C372="","",IF(COUNTIFS(tbl_Finance[Job Number],C372&amp;"",tbl_Finance[Xero Invoice No],"&lt;&gt;")=0,"",IFERROR(IF(COUNTIFS(tbl_Finance[Job Number],C372&amp;"",tbl_Finance[Xero Invoice No],LOOKUP(2,1/((tbl_Finance[Job Number]=C372&amp;"")*(tbl_Finance[Xero Invoice No]&lt;&gt;"")),tbl_Finance[Xero Invoice No]))=COUNTIFS(tbl_Finance[Job Number],C372&amp;"",tbl_Finance[Xero Invoice No],"&lt;&gt;"),LOOKUP(2,1/((tbl_Finance[Job Number]=C372&amp;"")*(tbl_Finance[Xero Invoice No]&lt;&gt;"")),tbl_Finance[Xero Invoice No]),LOOKUP(2,1/((tbl_Finance[Job Number]=C372&amp;"")*(tbl_Finance[Xero Invoice No]&lt;&gt;"")),tbl_Finance[Xero Invoice No])&amp;" +more"),"")))</f>
        <v/>
      </c>
      <c r="C372" s="24" t="n"/>
      <c r="D372" s="25">
        <f>IF(C372="","",IF(COUNTIF(lst_Jobs,C372&amp;"")&gt;0,"OK","CHECK"))</f>
        <v/>
      </c>
      <c r="E372" s="25">
        <f>IF(C372="","",IFERROR(INDEX(lst_JobName,MATCH(C372&amp;"",lst_Jobs,0)),""))</f>
        <v/>
      </c>
      <c r="F372" s="25">
        <f>IF(C372="","",IFERROR(INDEX(tbl_Finance[Client],MATCH(C372&amp;"",tbl_Finance[Job Number],0)),""))</f>
        <v/>
      </c>
      <c r="G372" s="28">
        <f>IF(C372="","",COUNTIFS(tbl_Finance[Job Number],C372&amp;"",tbl_Finance[Ex GST],"&lt;&gt;"))</f>
        <v/>
      </c>
      <c r="H372" s="27">
        <f>IF(C372="","",SUMIFS(tbl_Finance[Ex GST],tbl_Finance[Job Number],C372&amp;""))</f>
        <v/>
      </c>
      <c r="I372" s="27">
        <f>IF(C372="","",SUMIFS(tbl_Finance[Ex GST],tbl_Finance[Job Number],C372&amp;"",tbl_Finance[Xero Invoice No],"&lt;&gt;"))</f>
        <v/>
      </c>
      <c r="J372" s="27">
        <f>IF(C372="","",H372-I372)</f>
        <v/>
      </c>
      <c r="K372" s="25">
        <f>IF(C372="","",IF(G372=0,"not invoiced yet",SUBSTITUTE(TRIM(IF(COUNTIFS(tbl_Finance[Job Number],C372&amp;"",tbl_Finance[Cost Centre],"ONSITE")&gt;0,"ONSITE ","")&amp;IF(COUNTIFS(tbl_Finance[Job Number],C372&amp;"",tbl_Finance[Cost Centre],"PRODUCTION")&gt;0,"PRODUCTION ","")&amp;IF(COUNTIFS(tbl_Finance[Job Number],C372&amp;"",tbl_Finance[Cost Centre],"VIDEO")&gt;0,"VIDEO ","")&amp;IF(COUNTIFS(tbl_Finance[Job Number],C372&amp;"",tbl_Finance[Cost Centre],"INTEGRATION")&gt;0,"INTEGRATION ","")&amp;IF(COUNTIFS(tbl_Finance[Job Number],C372&amp;"",tbl_Finance[Cost Centre],"CONSULTING")&gt;0,"CONSULTING ","")&amp;IF(COUNTIFS(tbl_Finance[Job Number],C372&amp;"",tbl_Finance[Cost Centre],"CTS")&gt;0,"CTS ",""))," ",", ")))</f>
        <v/>
      </c>
      <c r="L372" s="24" t="n"/>
      <c r="M372" s="25">
        <f>IF(L372="","",HYPERLINK(IF(LEFT(L372,4)="http",L372,set_QwilrBase&amp;L372),"Open quote"))</f>
        <v/>
      </c>
      <c r="N372" s="26" t="n"/>
      <c r="O372" s="26" t="n"/>
      <c r="P372" s="26" t="n"/>
      <c r="Q372" s="25">
        <f>IF(C372="","",IF(N(N372)+N(O372)+N(P372)=0,"Not split",IF(ROUND(N(N372)+N(O372)+N(P372),2)=ROUND(H372,2),"OK","MISMATCH")))</f>
        <v/>
      </c>
      <c r="R372" s="26" t="n"/>
      <c r="S372" s="26" t="n"/>
      <c r="T372" s="26" t="n"/>
      <c r="U372" s="27">
        <f>IF(C372="","",N(R372)+N(S372)+N(T372))</f>
        <v/>
      </c>
      <c r="V372" s="27">
        <f>IF(C372="","",H372-U372)</f>
        <v/>
      </c>
      <c r="W372" s="29">
        <f>IFERROR(V372/H372,"")</f>
        <v/>
      </c>
      <c r="X372" s="24" t="n"/>
    </row>
    <row r="373" ht="15" customHeight="1">
      <c r="A373" s="63">
        <f>IF(C373="","",IFERROR(IF(SUMPRODUCT(MAX((tbl_Finance[Job Number]=C373&amp;"")*(tbl_Finance[Xero Invoice No]&lt;&gt;"")*tbl_Finance[Date]))=0,"",SUMPRODUCT(MAX((tbl_Finance[Job Number]=C373&amp;"")*(tbl_Finance[Xero Invoice No]&lt;&gt;"")*tbl_Finance[Date]))),""))</f>
        <v/>
      </c>
      <c r="B373" s="25">
        <f>IF(C373="","",IF(COUNTIFS(tbl_Finance[Job Number],C373&amp;"",tbl_Finance[Xero Invoice No],"&lt;&gt;")=0,"",IFERROR(IF(COUNTIFS(tbl_Finance[Job Number],C373&amp;"",tbl_Finance[Xero Invoice No],LOOKUP(2,1/((tbl_Finance[Job Number]=C373&amp;"")*(tbl_Finance[Xero Invoice No]&lt;&gt;"")),tbl_Finance[Xero Invoice No]))=COUNTIFS(tbl_Finance[Job Number],C373&amp;"",tbl_Finance[Xero Invoice No],"&lt;&gt;"),LOOKUP(2,1/((tbl_Finance[Job Number]=C373&amp;"")*(tbl_Finance[Xero Invoice No]&lt;&gt;"")),tbl_Finance[Xero Invoice No]),LOOKUP(2,1/((tbl_Finance[Job Number]=C373&amp;"")*(tbl_Finance[Xero Invoice No]&lt;&gt;"")),tbl_Finance[Xero Invoice No])&amp;" +more"),"")))</f>
        <v/>
      </c>
      <c r="C373" s="24" t="n"/>
      <c r="D373" s="25">
        <f>IF(C373="","",IF(COUNTIF(lst_Jobs,C373&amp;"")&gt;0,"OK","CHECK"))</f>
        <v/>
      </c>
      <c r="E373" s="25">
        <f>IF(C373="","",IFERROR(INDEX(lst_JobName,MATCH(C373&amp;"",lst_Jobs,0)),""))</f>
        <v/>
      </c>
      <c r="F373" s="25">
        <f>IF(C373="","",IFERROR(INDEX(tbl_Finance[Client],MATCH(C373&amp;"",tbl_Finance[Job Number],0)),""))</f>
        <v/>
      </c>
      <c r="G373" s="28">
        <f>IF(C373="","",COUNTIFS(tbl_Finance[Job Number],C373&amp;"",tbl_Finance[Ex GST],"&lt;&gt;"))</f>
        <v/>
      </c>
      <c r="H373" s="27">
        <f>IF(C373="","",SUMIFS(tbl_Finance[Ex GST],tbl_Finance[Job Number],C373&amp;""))</f>
        <v/>
      </c>
      <c r="I373" s="27">
        <f>IF(C373="","",SUMIFS(tbl_Finance[Ex GST],tbl_Finance[Job Number],C373&amp;"",tbl_Finance[Xero Invoice No],"&lt;&gt;"))</f>
        <v/>
      </c>
      <c r="J373" s="27">
        <f>IF(C373="","",H373-I373)</f>
        <v/>
      </c>
      <c r="K373" s="25">
        <f>IF(C373="","",IF(G373=0,"not invoiced yet",SUBSTITUTE(TRIM(IF(COUNTIFS(tbl_Finance[Job Number],C373&amp;"",tbl_Finance[Cost Centre],"ONSITE")&gt;0,"ONSITE ","")&amp;IF(COUNTIFS(tbl_Finance[Job Number],C373&amp;"",tbl_Finance[Cost Centre],"PRODUCTION")&gt;0,"PRODUCTION ","")&amp;IF(COUNTIFS(tbl_Finance[Job Number],C373&amp;"",tbl_Finance[Cost Centre],"VIDEO")&gt;0,"VIDEO ","")&amp;IF(COUNTIFS(tbl_Finance[Job Number],C373&amp;"",tbl_Finance[Cost Centre],"INTEGRATION")&gt;0,"INTEGRATION ","")&amp;IF(COUNTIFS(tbl_Finance[Job Number],C373&amp;"",tbl_Finance[Cost Centre],"CONSULTING")&gt;0,"CONSULTING ","")&amp;IF(COUNTIFS(tbl_Finance[Job Number],C373&amp;"",tbl_Finance[Cost Centre],"CTS")&gt;0,"CTS ",""))," ",", ")))</f>
        <v/>
      </c>
      <c r="L373" s="24" t="n"/>
      <c r="M373" s="25">
        <f>IF(L373="","",HYPERLINK(IF(LEFT(L373,4)="http",L373,set_QwilrBase&amp;L373),"Open quote"))</f>
        <v/>
      </c>
      <c r="N373" s="26" t="n"/>
      <c r="O373" s="26" t="n"/>
      <c r="P373" s="26" t="n"/>
      <c r="Q373" s="25">
        <f>IF(C373="","",IF(N(N373)+N(O373)+N(P373)=0,"Not split",IF(ROUND(N(N373)+N(O373)+N(P373),2)=ROUND(H373,2),"OK","MISMATCH")))</f>
        <v/>
      </c>
      <c r="R373" s="26" t="n"/>
      <c r="S373" s="26" t="n"/>
      <c r="T373" s="26" t="n"/>
      <c r="U373" s="27">
        <f>IF(C373="","",N(R373)+N(S373)+N(T373))</f>
        <v/>
      </c>
      <c r="V373" s="27">
        <f>IF(C373="","",H373-U373)</f>
        <v/>
      </c>
      <c r="W373" s="29">
        <f>IFERROR(V373/H373,"")</f>
        <v/>
      </c>
      <c r="X373" s="24" t="n"/>
    </row>
    <row r="374" ht="15" customHeight="1">
      <c r="A374" s="63">
        <f>IF(C374="","",IFERROR(IF(SUMPRODUCT(MAX((tbl_Finance[Job Number]=C374&amp;"")*(tbl_Finance[Xero Invoice No]&lt;&gt;"")*tbl_Finance[Date]))=0,"",SUMPRODUCT(MAX((tbl_Finance[Job Number]=C374&amp;"")*(tbl_Finance[Xero Invoice No]&lt;&gt;"")*tbl_Finance[Date]))),""))</f>
        <v/>
      </c>
      <c r="B374" s="25">
        <f>IF(C374="","",IF(COUNTIFS(tbl_Finance[Job Number],C374&amp;"",tbl_Finance[Xero Invoice No],"&lt;&gt;")=0,"",IFERROR(IF(COUNTIFS(tbl_Finance[Job Number],C374&amp;"",tbl_Finance[Xero Invoice No],LOOKUP(2,1/((tbl_Finance[Job Number]=C374&amp;"")*(tbl_Finance[Xero Invoice No]&lt;&gt;"")),tbl_Finance[Xero Invoice No]))=COUNTIFS(tbl_Finance[Job Number],C374&amp;"",tbl_Finance[Xero Invoice No],"&lt;&gt;"),LOOKUP(2,1/((tbl_Finance[Job Number]=C374&amp;"")*(tbl_Finance[Xero Invoice No]&lt;&gt;"")),tbl_Finance[Xero Invoice No]),LOOKUP(2,1/((tbl_Finance[Job Number]=C374&amp;"")*(tbl_Finance[Xero Invoice No]&lt;&gt;"")),tbl_Finance[Xero Invoice No])&amp;" +more"),"")))</f>
        <v/>
      </c>
      <c r="C374" s="24" t="n"/>
      <c r="D374" s="25">
        <f>IF(C374="","",IF(COUNTIF(lst_Jobs,C374&amp;"")&gt;0,"OK","CHECK"))</f>
        <v/>
      </c>
      <c r="E374" s="25">
        <f>IF(C374="","",IFERROR(INDEX(lst_JobName,MATCH(C374&amp;"",lst_Jobs,0)),""))</f>
        <v/>
      </c>
      <c r="F374" s="25">
        <f>IF(C374="","",IFERROR(INDEX(tbl_Finance[Client],MATCH(C374&amp;"",tbl_Finance[Job Number],0)),""))</f>
        <v/>
      </c>
      <c r="G374" s="28">
        <f>IF(C374="","",COUNTIFS(tbl_Finance[Job Number],C374&amp;"",tbl_Finance[Ex GST],"&lt;&gt;"))</f>
        <v/>
      </c>
      <c r="H374" s="27">
        <f>IF(C374="","",SUMIFS(tbl_Finance[Ex GST],tbl_Finance[Job Number],C374&amp;""))</f>
        <v/>
      </c>
      <c r="I374" s="27">
        <f>IF(C374="","",SUMIFS(tbl_Finance[Ex GST],tbl_Finance[Job Number],C374&amp;"",tbl_Finance[Xero Invoice No],"&lt;&gt;"))</f>
        <v/>
      </c>
      <c r="J374" s="27">
        <f>IF(C374="","",H374-I374)</f>
        <v/>
      </c>
      <c r="K374" s="25">
        <f>IF(C374="","",IF(G374=0,"not invoiced yet",SUBSTITUTE(TRIM(IF(COUNTIFS(tbl_Finance[Job Number],C374&amp;"",tbl_Finance[Cost Centre],"ONSITE")&gt;0,"ONSITE ","")&amp;IF(COUNTIFS(tbl_Finance[Job Number],C374&amp;"",tbl_Finance[Cost Centre],"PRODUCTION")&gt;0,"PRODUCTION ","")&amp;IF(COUNTIFS(tbl_Finance[Job Number],C374&amp;"",tbl_Finance[Cost Centre],"VIDEO")&gt;0,"VIDEO ","")&amp;IF(COUNTIFS(tbl_Finance[Job Number],C374&amp;"",tbl_Finance[Cost Centre],"INTEGRATION")&gt;0,"INTEGRATION ","")&amp;IF(COUNTIFS(tbl_Finance[Job Number],C374&amp;"",tbl_Finance[Cost Centre],"CONSULTING")&gt;0,"CONSULTING ","")&amp;IF(COUNTIFS(tbl_Finance[Job Number],C374&amp;"",tbl_Finance[Cost Centre],"CTS")&gt;0,"CTS ",""))," ",", ")))</f>
        <v/>
      </c>
      <c r="L374" s="24" t="n"/>
      <c r="M374" s="25">
        <f>IF(L374="","",HYPERLINK(IF(LEFT(L374,4)="http",L374,set_QwilrBase&amp;L374),"Open quote"))</f>
        <v/>
      </c>
      <c r="N374" s="26" t="n"/>
      <c r="O374" s="26" t="n"/>
      <c r="P374" s="26" t="n"/>
      <c r="Q374" s="25">
        <f>IF(C374="","",IF(N(N374)+N(O374)+N(P374)=0,"Not split",IF(ROUND(N(N374)+N(O374)+N(P374),2)=ROUND(H374,2),"OK","MISMATCH")))</f>
        <v/>
      </c>
      <c r="R374" s="26" t="n"/>
      <c r="S374" s="26" t="n"/>
      <c r="T374" s="26" t="n"/>
      <c r="U374" s="27">
        <f>IF(C374="","",N(R374)+N(S374)+N(T374))</f>
        <v/>
      </c>
      <c r="V374" s="27">
        <f>IF(C374="","",H374-U374)</f>
        <v/>
      </c>
      <c r="W374" s="29">
        <f>IFERROR(V374/H374,"")</f>
        <v/>
      </c>
      <c r="X374" s="24" t="n"/>
    </row>
    <row r="375" ht="15" customHeight="1">
      <c r="A375" s="63">
        <f>IF(C375="","",IFERROR(IF(SUMPRODUCT(MAX((tbl_Finance[Job Number]=C375&amp;"")*(tbl_Finance[Xero Invoice No]&lt;&gt;"")*tbl_Finance[Date]))=0,"",SUMPRODUCT(MAX((tbl_Finance[Job Number]=C375&amp;"")*(tbl_Finance[Xero Invoice No]&lt;&gt;"")*tbl_Finance[Date]))),""))</f>
        <v/>
      </c>
      <c r="B375" s="25">
        <f>IF(C375="","",IF(COUNTIFS(tbl_Finance[Job Number],C375&amp;"",tbl_Finance[Xero Invoice No],"&lt;&gt;")=0,"",IFERROR(IF(COUNTIFS(tbl_Finance[Job Number],C375&amp;"",tbl_Finance[Xero Invoice No],LOOKUP(2,1/((tbl_Finance[Job Number]=C375&amp;"")*(tbl_Finance[Xero Invoice No]&lt;&gt;"")),tbl_Finance[Xero Invoice No]))=COUNTIFS(tbl_Finance[Job Number],C375&amp;"",tbl_Finance[Xero Invoice No],"&lt;&gt;"),LOOKUP(2,1/((tbl_Finance[Job Number]=C375&amp;"")*(tbl_Finance[Xero Invoice No]&lt;&gt;"")),tbl_Finance[Xero Invoice No]),LOOKUP(2,1/((tbl_Finance[Job Number]=C375&amp;"")*(tbl_Finance[Xero Invoice No]&lt;&gt;"")),tbl_Finance[Xero Invoice No])&amp;" +more"),"")))</f>
        <v/>
      </c>
      <c r="C375" s="24" t="n"/>
      <c r="D375" s="25">
        <f>IF(C375="","",IF(COUNTIF(lst_Jobs,C375&amp;"")&gt;0,"OK","CHECK"))</f>
        <v/>
      </c>
      <c r="E375" s="25">
        <f>IF(C375="","",IFERROR(INDEX(lst_JobName,MATCH(C375&amp;"",lst_Jobs,0)),""))</f>
        <v/>
      </c>
      <c r="F375" s="25">
        <f>IF(C375="","",IFERROR(INDEX(tbl_Finance[Client],MATCH(C375&amp;"",tbl_Finance[Job Number],0)),""))</f>
        <v/>
      </c>
      <c r="G375" s="28">
        <f>IF(C375="","",COUNTIFS(tbl_Finance[Job Number],C375&amp;"",tbl_Finance[Ex GST],"&lt;&gt;"))</f>
        <v/>
      </c>
      <c r="H375" s="27">
        <f>IF(C375="","",SUMIFS(tbl_Finance[Ex GST],tbl_Finance[Job Number],C375&amp;""))</f>
        <v/>
      </c>
      <c r="I375" s="27">
        <f>IF(C375="","",SUMIFS(tbl_Finance[Ex GST],tbl_Finance[Job Number],C375&amp;"",tbl_Finance[Xero Invoice No],"&lt;&gt;"))</f>
        <v/>
      </c>
      <c r="J375" s="27">
        <f>IF(C375="","",H375-I375)</f>
        <v/>
      </c>
      <c r="K375" s="25">
        <f>IF(C375="","",IF(G375=0,"not invoiced yet",SUBSTITUTE(TRIM(IF(COUNTIFS(tbl_Finance[Job Number],C375&amp;"",tbl_Finance[Cost Centre],"ONSITE")&gt;0,"ONSITE ","")&amp;IF(COUNTIFS(tbl_Finance[Job Number],C375&amp;"",tbl_Finance[Cost Centre],"PRODUCTION")&gt;0,"PRODUCTION ","")&amp;IF(COUNTIFS(tbl_Finance[Job Number],C375&amp;"",tbl_Finance[Cost Centre],"VIDEO")&gt;0,"VIDEO ","")&amp;IF(COUNTIFS(tbl_Finance[Job Number],C375&amp;"",tbl_Finance[Cost Centre],"INTEGRATION")&gt;0,"INTEGRATION ","")&amp;IF(COUNTIFS(tbl_Finance[Job Number],C375&amp;"",tbl_Finance[Cost Centre],"CONSULTING")&gt;0,"CONSULTING ","")&amp;IF(COUNTIFS(tbl_Finance[Job Number],C375&amp;"",tbl_Finance[Cost Centre],"CTS")&gt;0,"CTS ",""))," ",", ")))</f>
        <v/>
      </c>
      <c r="L375" s="24" t="n"/>
      <c r="M375" s="25">
        <f>IF(L375="","",HYPERLINK(IF(LEFT(L375,4)="http",L375,set_QwilrBase&amp;L375),"Open quote"))</f>
        <v/>
      </c>
      <c r="N375" s="26" t="n"/>
      <c r="O375" s="26" t="n"/>
      <c r="P375" s="26" t="n"/>
      <c r="Q375" s="25">
        <f>IF(C375="","",IF(N(N375)+N(O375)+N(P375)=0,"Not split",IF(ROUND(N(N375)+N(O375)+N(P375),2)=ROUND(H375,2),"OK","MISMATCH")))</f>
        <v/>
      </c>
      <c r="R375" s="26" t="n"/>
      <c r="S375" s="26" t="n"/>
      <c r="T375" s="26" t="n"/>
      <c r="U375" s="27">
        <f>IF(C375="","",N(R375)+N(S375)+N(T375))</f>
        <v/>
      </c>
      <c r="V375" s="27">
        <f>IF(C375="","",H375-U375)</f>
        <v/>
      </c>
      <c r="W375" s="29">
        <f>IFERROR(V375/H375,"")</f>
        <v/>
      </c>
      <c r="X375" s="24" t="n"/>
    </row>
    <row r="376" ht="15" customHeight="1">
      <c r="A376" s="63">
        <f>IF(C376="","",IFERROR(IF(SUMPRODUCT(MAX((tbl_Finance[Job Number]=C376&amp;"")*(tbl_Finance[Xero Invoice No]&lt;&gt;"")*tbl_Finance[Date]))=0,"",SUMPRODUCT(MAX((tbl_Finance[Job Number]=C376&amp;"")*(tbl_Finance[Xero Invoice No]&lt;&gt;"")*tbl_Finance[Date]))),""))</f>
        <v/>
      </c>
      <c r="B376" s="25">
        <f>IF(C376="","",IF(COUNTIFS(tbl_Finance[Job Number],C376&amp;"",tbl_Finance[Xero Invoice No],"&lt;&gt;")=0,"",IFERROR(IF(COUNTIFS(tbl_Finance[Job Number],C376&amp;"",tbl_Finance[Xero Invoice No],LOOKUP(2,1/((tbl_Finance[Job Number]=C376&amp;"")*(tbl_Finance[Xero Invoice No]&lt;&gt;"")),tbl_Finance[Xero Invoice No]))=COUNTIFS(tbl_Finance[Job Number],C376&amp;"",tbl_Finance[Xero Invoice No],"&lt;&gt;"),LOOKUP(2,1/((tbl_Finance[Job Number]=C376&amp;"")*(tbl_Finance[Xero Invoice No]&lt;&gt;"")),tbl_Finance[Xero Invoice No]),LOOKUP(2,1/((tbl_Finance[Job Number]=C376&amp;"")*(tbl_Finance[Xero Invoice No]&lt;&gt;"")),tbl_Finance[Xero Invoice No])&amp;" +more"),"")))</f>
        <v/>
      </c>
      <c r="C376" s="24" t="n"/>
      <c r="D376" s="25">
        <f>IF(C376="","",IF(COUNTIF(lst_Jobs,C376&amp;"")&gt;0,"OK","CHECK"))</f>
        <v/>
      </c>
      <c r="E376" s="25">
        <f>IF(C376="","",IFERROR(INDEX(lst_JobName,MATCH(C376&amp;"",lst_Jobs,0)),""))</f>
        <v/>
      </c>
      <c r="F376" s="25">
        <f>IF(C376="","",IFERROR(INDEX(tbl_Finance[Client],MATCH(C376&amp;"",tbl_Finance[Job Number],0)),""))</f>
        <v/>
      </c>
      <c r="G376" s="28">
        <f>IF(C376="","",COUNTIFS(tbl_Finance[Job Number],C376&amp;"",tbl_Finance[Ex GST],"&lt;&gt;"))</f>
        <v/>
      </c>
      <c r="H376" s="27">
        <f>IF(C376="","",SUMIFS(tbl_Finance[Ex GST],tbl_Finance[Job Number],C376&amp;""))</f>
        <v/>
      </c>
      <c r="I376" s="27">
        <f>IF(C376="","",SUMIFS(tbl_Finance[Ex GST],tbl_Finance[Job Number],C376&amp;"",tbl_Finance[Xero Invoice No],"&lt;&gt;"))</f>
        <v/>
      </c>
      <c r="J376" s="27">
        <f>IF(C376="","",H376-I376)</f>
        <v/>
      </c>
      <c r="K376" s="25">
        <f>IF(C376="","",IF(G376=0,"not invoiced yet",SUBSTITUTE(TRIM(IF(COUNTIFS(tbl_Finance[Job Number],C376&amp;"",tbl_Finance[Cost Centre],"ONSITE")&gt;0,"ONSITE ","")&amp;IF(COUNTIFS(tbl_Finance[Job Number],C376&amp;"",tbl_Finance[Cost Centre],"PRODUCTION")&gt;0,"PRODUCTION ","")&amp;IF(COUNTIFS(tbl_Finance[Job Number],C376&amp;"",tbl_Finance[Cost Centre],"VIDEO")&gt;0,"VIDEO ","")&amp;IF(COUNTIFS(tbl_Finance[Job Number],C376&amp;"",tbl_Finance[Cost Centre],"INTEGRATION")&gt;0,"INTEGRATION ","")&amp;IF(COUNTIFS(tbl_Finance[Job Number],C376&amp;"",tbl_Finance[Cost Centre],"CONSULTING")&gt;0,"CONSULTING ","")&amp;IF(COUNTIFS(tbl_Finance[Job Number],C376&amp;"",tbl_Finance[Cost Centre],"CTS")&gt;0,"CTS ",""))," ",", ")))</f>
        <v/>
      </c>
      <c r="L376" s="24" t="n"/>
      <c r="M376" s="25">
        <f>IF(L376="","",HYPERLINK(IF(LEFT(L376,4)="http",L376,set_QwilrBase&amp;L376),"Open quote"))</f>
        <v/>
      </c>
      <c r="N376" s="26" t="n"/>
      <c r="O376" s="26" t="n"/>
      <c r="P376" s="26" t="n"/>
      <c r="Q376" s="25">
        <f>IF(C376="","",IF(N(N376)+N(O376)+N(P376)=0,"Not split",IF(ROUND(N(N376)+N(O376)+N(P376),2)=ROUND(H376,2),"OK","MISMATCH")))</f>
        <v/>
      </c>
      <c r="R376" s="26" t="n"/>
      <c r="S376" s="26" t="n"/>
      <c r="T376" s="26" t="n"/>
      <c r="U376" s="27">
        <f>IF(C376="","",N(R376)+N(S376)+N(T376))</f>
        <v/>
      </c>
      <c r="V376" s="27">
        <f>IF(C376="","",H376-U376)</f>
        <v/>
      </c>
      <c r="W376" s="29">
        <f>IFERROR(V376/H376,"")</f>
        <v/>
      </c>
      <c r="X376" s="24" t="n"/>
    </row>
    <row r="377" ht="15" customHeight="1">
      <c r="A377" s="63">
        <f>IF(C377="","",IFERROR(IF(SUMPRODUCT(MAX((tbl_Finance[Job Number]=C377&amp;"")*(tbl_Finance[Xero Invoice No]&lt;&gt;"")*tbl_Finance[Date]))=0,"",SUMPRODUCT(MAX((tbl_Finance[Job Number]=C377&amp;"")*(tbl_Finance[Xero Invoice No]&lt;&gt;"")*tbl_Finance[Date]))),""))</f>
        <v/>
      </c>
      <c r="B377" s="25">
        <f>IF(C377="","",IF(COUNTIFS(tbl_Finance[Job Number],C377&amp;"",tbl_Finance[Xero Invoice No],"&lt;&gt;")=0,"",IFERROR(IF(COUNTIFS(tbl_Finance[Job Number],C377&amp;"",tbl_Finance[Xero Invoice No],LOOKUP(2,1/((tbl_Finance[Job Number]=C377&amp;"")*(tbl_Finance[Xero Invoice No]&lt;&gt;"")),tbl_Finance[Xero Invoice No]))=COUNTIFS(tbl_Finance[Job Number],C377&amp;"",tbl_Finance[Xero Invoice No],"&lt;&gt;"),LOOKUP(2,1/((tbl_Finance[Job Number]=C377&amp;"")*(tbl_Finance[Xero Invoice No]&lt;&gt;"")),tbl_Finance[Xero Invoice No]),LOOKUP(2,1/((tbl_Finance[Job Number]=C377&amp;"")*(tbl_Finance[Xero Invoice No]&lt;&gt;"")),tbl_Finance[Xero Invoice No])&amp;" +more"),"")))</f>
        <v/>
      </c>
      <c r="C377" s="24" t="n"/>
      <c r="D377" s="25">
        <f>IF(C377="","",IF(COUNTIF(lst_Jobs,C377&amp;"")&gt;0,"OK","CHECK"))</f>
        <v/>
      </c>
      <c r="E377" s="25">
        <f>IF(C377="","",IFERROR(INDEX(lst_JobName,MATCH(C377&amp;"",lst_Jobs,0)),""))</f>
        <v/>
      </c>
      <c r="F377" s="25">
        <f>IF(C377="","",IFERROR(INDEX(tbl_Finance[Client],MATCH(C377&amp;"",tbl_Finance[Job Number],0)),""))</f>
        <v/>
      </c>
      <c r="G377" s="28">
        <f>IF(C377="","",COUNTIFS(tbl_Finance[Job Number],C377&amp;"",tbl_Finance[Ex GST],"&lt;&gt;"))</f>
        <v/>
      </c>
      <c r="H377" s="27">
        <f>IF(C377="","",SUMIFS(tbl_Finance[Ex GST],tbl_Finance[Job Number],C377&amp;""))</f>
        <v/>
      </c>
      <c r="I377" s="27">
        <f>IF(C377="","",SUMIFS(tbl_Finance[Ex GST],tbl_Finance[Job Number],C377&amp;"",tbl_Finance[Xero Invoice No],"&lt;&gt;"))</f>
        <v/>
      </c>
      <c r="J377" s="27">
        <f>IF(C377="","",H377-I377)</f>
        <v/>
      </c>
      <c r="K377" s="25">
        <f>IF(C377="","",IF(G377=0,"not invoiced yet",SUBSTITUTE(TRIM(IF(COUNTIFS(tbl_Finance[Job Number],C377&amp;"",tbl_Finance[Cost Centre],"ONSITE")&gt;0,"ONSITE ","")&amp;IF(COUNTIFS(tbl_Finance[Job Number],C377&amp;"",tbl_Finance[Cost Centre],"PRODUCTION")&gt;0,"PRODUCTION ","")&amp;IF(COUNTIFS(tbl_Finance[Job Number],C377&amp;"",tbl_Finance[Cost Centre],"VIDEO")&gt;0,"VIDEO ","")&amp;IF(COUNTIFS(tbl_Finance[Job Number],C377&amp;"",tbl_Finance[Cost Centre],"INTEGRATION")&gt;0,"INTEGRATION ","")&amp;IF(COUNTIFS(tbl_Finance[Job Number],C377&amp;"",tbl_Finance[Cost Centre],"CONSULTING")&gt;0,"CONSULTING ","")&amp;IF(COUNTIFS(tbl_Finance[Job Number],C377&amp;"",tbl_Finance[Cost Centre],"CTS")&gt;0,"CTS ",""))," ",", ")))</f>
        <v/>
      </c>
      <c r="L377" s="24" t="n"/>
      <c r="M377" s="25">
        <f>IF(L377="","",HYPERLINK(IF(LEFT(L377,4)="http",L377,set_QwilrBase&amp;L377),"Open quote"))</f>
        <v/>
      </c>
      <c r="N377" s="26" t="n"/>
      <c r="O377" s="26" t="n"/>
      <c r="P377" s="26" t="n"/>
      <c r="Q377" s="25">
        <f>IF(C377="","",IF(N(N377)+N(O377)+N(P377)=0,"Not split",IF(ROUND(N(N377)+N(O377)+N(P377),2)=ROUND(H377,2),"OK","MISMATCH")))</f>
        <v/>
      </c>
      <c r="R377" s="26" t="n"/>
      <c r="S377" s="26" t="n"/>
      <c r="T377" s="26" t="n"/>
      <c r="U377" s="27">
        <f>IF(C377="","",N(R377)+N(S377)+N(T377))</f>
        <v/>
      </c>
      <c r="V377" s="27">
        <f>IF(C377="","",H377-U377)</f>
        <v/>
      </c>
      <c r="W377" s="29">
        <f>IFERROR(V377/H377,"")</f>
        <v/>
      </c>
      <c r="X377" s="24" t="n"/>
    </row>
    <row r="378" ht="15" customHeight="1">
      <c r="A378" s="63">
        <f>IF(C378="","",IFERROR(IF(SUMPRODUCT(MAX((tbl_Finance[Job Number]=C378&amp;"")*(tbl_Finance[Xero Invoice No]&lt;&gt;"")*tbl_Finance[Date]))=0,"",SUMPRODUCT(MAX((tbl_Finance[Job Number]=C378&amp;"")*(tbl_Finance[Xero Invoice No]&lt;&gt;"")*tbl_Finance[Date]))),""))</f>
        <v/>
      </c>
      <c r="B378" s="25">
        <f>IF(C378="","",IF(COUNTIFS(tbl_Finance[Job Number],C378&amp;"",tbl_Finance[Xero Invoice No],"&lt;&gt;")=0,"",IFERROR(IF(COUNTIFS(tbl_Finance[Job Number],C378&amp;"",tbl_Finance[Xero Invoice No],LOOKUP(2,1/((tbl_Finance[Job Number]=C378&amp;"")*(tbl_Finance[Xero Invoice No]&lt;&gt;"")),tbl_Finance[Xero Invoice No]))=COUNTIFS(tbl_Finance[Job Number],C378&amp;"",tbl_Finance[Xero Invoice No],"&lt;&gt;"),LOOKUP(2,1/((tbl_Finance[Job Number]=C378&amp;"")*(tbl_Finance[Xero Invoice No]&lt;&gt;"")),tbl_Finance[Xero Invoice No]),LOOKUP(2,1/((tbl_Finance[Job Number]=C378&amp;"")*(tbl_Finance[Xero Invoice No]&lt;&gt;"")),tbl_Finance[Xero Invoice No])&amp;" +more"),"")))</f>
        <v/>
      </c>
      <c r="C378" s="24" t="n"/>
      <c r="D378" s="25">
        <f>IF(C378="","",IF(COUNTIF(lst_Jobs,C378&amp;"")&gt;0,"OK","CHECK"))</f>
        <v/>
      </c>
      <c r="E378" s="25">
        <f>IF(C378="","",IFERROR(INDEX(lst_JobName,MATCH(C378&amp;"",lst_Jobs,0)),""))</f>
        <v/>
      </c>
      <c r="F378" s="25">
        <f>IF(C378="","",IFERROR(INDEX(tbl_Finance[Client],MATCH(C378&amp;"",tbl_Finance[Job Number],0)),""))</f>
        <v/>
      </c>
      <c r="G378" s="28">
        <f>IF(C378="","",COUNTIFS(tbl_Finance[Job Number],C378&amp;"",tbl_Finance[Ex GST],"&lt;&gt;"))</f>
        <v/>
      </c>
      <c r="H378" s="27">
        <f>IF(C378="","",SUMIFS(tbl_Finance[Ex GST],tbl_Finance[Job Number],C378&amp;""))</f>
        <v/>
      </c>
      <c r="I378" s="27">
        <f>IF(C378="","",SUMIFS(tbl_Finance[Ex GST],tbl_Finance[Job Number],C378&amp;"",tbl_Finance[Xero Invoice No],"&lt;&gt;"))</f>
        <v/>
      </c>
      <c r="J378" s="27">
        <f>IF(C378="","",H378-I378)</f>
        <v/>
      </c>
      <c r="K378" s="25">
        <f>IF(C378="","",IF(G378=0,"not invoiced yet",SUBSTITUTE(TRIM(IF(COUNTIFS(tbl_Finance[Job Number],C378&amp;"",tbl_Finance[Cost Centre],"ONSITE")&gt;0,"ONSITE ","")&amp;IF(COUNTIFS(tbl_Finance[Job Number],C378&amp;"",tbl_Finance[Cost Centre],"PRODUCTION")&gt;0,"PRODUCTION ","")&amp;IF(COUNTIFS(tbl_Finance[Job Number],C378&amp;"",tbl_Finance[Cost Centre],"VIDEO")&gt;0,"VIDEO ","")&amp;IF(COUNTIFS(tbl_Finance[Job Number],C378&amp;"",tbl_Finance[Cost Centre],"INTEGRATION")&gt;0,"INTEGRATION ","")&amp;IF(COUNTIFS(tbl_Finance[Job Number],C378&amp;"",tbl_Finance[Cost Centre],"CONSULTING")&gt;0,"CONSULTING ","")&amp;IF(COUNTIFS(tbl_Finance[Job Number],C378&amp;"",tbl_Finance[Cost Centre],"CTS")&gt;0,"CTS ",""))," ",", ")))</f>
        <v/>
      </c>
      <c r="L378" s="24" t="n"/>
      <c r="M378" s="25">
        <f>IF(L378="","",HYPERLINK(IF(LEFT(L378,4)="http",L378,set_QwilrBase&amp;L378),"Open quote"))</f>
        <v/>
      </c>
      <c r="N378" s="26" t="n"/>
      <c r="O378" s="26" t="n"/>
      <c r="P378" s="26" t="n"/>
      <c r="Q378" s="25">
        <f>IF(C378="","",IF(N(N378)+N(O378)+N(P378)=0,"Not split",IF(ROUND(N(N378)+N(O378)+N(P378),2)=ROUND(H378,2),"OK","MISMATCH")))</f>
        <v/>
      </c>
      <c r="R378" s="26" t="n"/>
      <c r="S378" s="26" t="n"/>
      <c r="T378" s="26" t="n"/>
      <c r="U378" s="27">
        <f>IF(C378="","",N(R378)+N(S378)+N(T378))</f>
        <v/>
      </c>
      <c r="V378" s="27">
        <f>IF(C378="","",H378-U378)</f>
        <v/>
      </c>
      <c r="W378" s="29">
        <f>IFERROR(V378/H378,"")</f>
        <v/>
      </c>
      <c r="X378" s="24" t="n"/>
    </row>
    <row r="379" ht="15" customHeight="1">
      <c r="A379" s="63">
        <f>IF(C379="","",IFERROR(IF(SUMPRODUCT(MAX((tbl_Finance[Job Number]=C379&amp;"")*(tbl_Finance[Xero Invoice No]&lt;&gt;"")*tbl_Finance[Date]))=0,"",SUMPRODUCT(MAX((tbl_Finance[Job Number]=C379&amp;"")*(tbl_Finance[Xero Invoice No]&lt;&gt;"")*tbl_Finance[Date]))),""))</f>
        <v/>
      </c>
      <c r="B379" s="25">
        <f>IF(C379="","",IF(COUNTIFS(tbl_Finance[Job Number],C379&amp;"",tbl_Finance[Xero Invoice No],"&lt;&gt;")=0,"",IFERROR(IF(COUNTIFS(tbl_Finance[Job Number],C379&amp;"",tbl_Finance[Xero Invoice No],LOOKUP(2,1/((tbl_Finance[Job Number]=C379&amp;"")*(tbl_Finance[Xero Invoice No]&lt;&gt;"")),tbl_Finance[Xero Invoice No]))=COUNTIFS(tbl_Finance[Job Number],C379&amp;"",tbl_Finance[Xero Invoice No],"&lt;&gt;"),LOOKUP(2,1/((tbl_Finance[Job Number]=C379&amp;"")*(tbl_Finance[Xero Invoice No]&lt;&gt;"")),tbl_Finance[Xero Invoice No]),LOOKUP(2,1/((tbl_Finance[Job Number]=C379&amp;"")*(tbl_Finance[Xero Invoice No]&lt;&gt;"")),tbl_Finance[Xero Invoice No])&amp;" +more"),"")))</f>
        <v/>
      </c>
      <c r="C379" s="24" t="n"/>
      <c r="D379" s="25">
        <f>IF(C379="","",IF(COUNTIF(lst_Jobs,C379&amp;"")&gt;0,"OK","CHECK"))</f>
        <v/>
      </c>
      <c r="E379" s="25">
        <f>IF(C379="","",IFERROR(INDEX(lst_JobName,MATCH(C379&amp;"",lst_Jobs,0)),""))</f>
        <v/>
      </c>
      <c r="F379" s="25">
        <f>IF(C379="","",IFERROR(INDEX(tbl_Finance[Client],MATCH(C379&amp;"",tbl_Finance[Job Number],0)),""))</f>
        <v/>
      </c>
      <c r="G379" s="28">
        <f>IF(C379="","",COUNTIFS(tbl_Finance[Job Number],C379&amp;"",tbl_Finance[Ex GST],"&lt;&gt;"))</f>
        <v/>
      </c>
      <c r="H379" s="27">
        <f>IF(C379="","",SUMIFS(tbl_Finance[Ex GST],tbl_Finance[Job Number],C379&amp;""))</f>
        <v/>
      </c>
      <c r="I379" s="27">
        <f>IF(C379="","",SUMIFS(tbl_Finance[Ex GST],tbl_Finance[Job Number],C379&amp;"",tbl_Finance[Xero Invoice No],"&lt;&gt;"))</f>
        <v/>
      </c>
      <c r="J379" s="27">
        <f>IF(C379="","",H379-I379)</f>
        <v/>
      </c>
      <c r="K379" s="25">
        <f>IF(C379="","",IF(G379=0,"not invoiced yet",SUBSTITUTE(TRIM(IF(COUNTIFS(tbl_Finance[Job Number],C379&amp;"",tbl_Finance[Cost Centre],"ONSITE")&gt;0,"ONSITE ","")&amp;IF(COUNTIFS(tbl_Finance[Job Number],C379&amp;"",tbl_Finance[Cost Centre],"PRODUCTION")&gt;0,"PRODUCTION ","")&amp;IF(COUNTIFS(tbl_Finance[Job Number],C379&amp;"",tbl_Finance[Cost Centre],"VIDEO")&gt;0,"VIDEO ","")&amp;IF(COUNTIFS(tbl_Finance[Job Number],C379&amp;"",tbl_Finance[Cost Centre],"INTEGRATION")&gt;0,"INTEGRATION ","")&amp;IF(COUNTIFS(tbl_Finance[Job Number],C379&amp;"",tbl_Finance[Cost Centre],"CONSULTING")&gt;0,"CONSULTING ","")&amp;IF(COUNTIFS(tbl_Finance[Job Number],C379&amp;"",tbl_Finance[Cost Centre],"CTS")&gt;0,"CTS ",""))," ",", ")))</f>
        <v/>
      </c>
      <c r="L379" s="24" t="n"/>
      <c r="M379" s="25">
        <f>IF(L379="","",HYPERLINK(IF(LEFT(L379,4)="http",L379,set_QwilrBase&amp;L379),"Open quote"))</f>
        <v/>
      </c>
      <c r="N379" s="26" t="n"/>
      <c r="O379" s="26" t="n"/>
      <c r="P379" s="26" t="n"/>
      <c r="Q379" s="25">
        <f>IF(C379="","",IF(N(N379)+N(O379)+N(P379)=0,"Not split",IF(ROUND(N(N379)+N(O379)+N(P379),2)=ROUND(H379,2),"OK","MISMATCH")))</f>
        <v/>
      </c>
      <c r="R379" s="26" t="n"/>
      <c r="S379" s="26" t="n"/>
      <c r="T379" s="26" t="n"/>
      <c r="U379" s="27">
        <f>IF(C379="","",N(R379)+N(S379)+N(T379))</f>
        <v/>
      </c>
      <c r="V379" s="27">
        <f>IF(C379="","",H379-U379)</f>
        <v/>
      </c>
      <c r="W379" s="29">
        <f>IFERROR(V379/H379,"")</f>
        <v/>
      </c>
      <c r="X379" s="24" t="n"/>
    </row>
    <row r="380" ht="15" customHeight="1">
      <c r="A380" s="63">
        <f>IF(C380="","",IFERROR(IF(SUMPRODUCT(MAX((tbl_Finance[Job Number]=C380&amp;"")*(tbl_Finance[Xero Invoice No]&lt;&gt;"")*tbl_Finance[Date]))=0,"",SUMPRODUCT(MAX((tbl_Finance[Job Number]=C380&amp;"")*(tbl_Finance[Xero Invoice No]&lt;&gt;"")*tbl_Finance[Date]))),""))</f>
        <v/>
      </c>
      <c r="B380" s="25">
        <f>IF(C380="","",IF(COUNTIFS(tbl_Finance[Job Number],C380&amp;"",tbl_Finance[Xero Invoice No],"&lt;&gt;")=0,"",IFERROR(IF(COUNTIFS(tbl_Finance[Job Number],C380&amp;"",tbl_Finance[Xero Invoice No],LOOKUP(2,1/((tbl_Finance[Job Number]=C380&amp;"")*(tbl_Finance[Xero Invoice No]&lt;&gt;"")),tbl_Finance[Xero Invoice No]))=COUNTIFS(tbl_Finance[Job Number],C380&amp;"",tbl_Finance[Xero Invoice No],"&lt;&gt;"),LOOKUP(2,1/((tbl_Finance[Job Number]=C380&amp;"")*(tbl_Finance[Xero Invoice No]&lt;&gt;"")),tbl_Finance[Xero Invoice No]),LOOKUP(2,1/((tbl_Finance[Job Number]=C380&amp;"")*(tbl_Finance[Xero Invoice No]&lt;&gt;"")),tbl_Finance[Xero Invoice No])&amp;" +more"),"")))</f>
        <v/>
      </c>
      <c r="C380" s="24" t="n"/>
      <c r="D380" s="25">
        <f>IF(C380="","",IF(COUNTIF(lst_Jobs,C380&amp;"")&gt;0,"OK","CHECK"))</f>
        <v/>
      </c>
      <c r="E380" s="25">
        <f>IF(C380="","",IFERROR(INDEX(lst_JobName,MATCH(C380&amp;"",lst_Jobs,0)),""))</f>
        <v/>
      </c>
      <c r="F380" s="25">
        <f>IF(C380="","",IFERROR(INDEX(tbl_Finance[Client],MATCH(C380&amp;"",tbl_Finance[Job Number],0)),""))</f>
        <v/>
      </c>
      <c r="G380" s="28">
        <f>IF(C380="","",COUNTIFS(tbl_Finance[Job Number],C380&amp;"",tbl_Finance[Ex GST],"&lt;&gt;"))</f>
        <v/>
      </c>
      <c r="H380" s="27">
        <f>IF(C380="","",SUMIFS(tbl_Finance[Ex GST],tbl_Finance[Job Number],C380&amp;""))</f>
        <v/>
      </c>
      <c r="I380" s="27">
        <f>IF(C380="","",SUMIFS(tbl_Finance[Ex GST],tbl_Finance[Job Number],C380&amp;"",tbl_Finance[Xero Invoice No],"&lt;&gt;"))</f>
        <v/>
      </c>
      <c r="J380" s="27">
        <f>IF(C380="","",H380-I380)</f>
        <v/>
      </c>
      <c r="K380" s="25">
        <f>IF(C380="","",IF(G380=0,"not invoiced yet",SUBSTITUTE(TRIM(IF(COUNTIFS(tbl_Finance[Job Number],C380&amp;"",tbl_Finance[Cost Centre],"ONSITE")&gt;0,"ONSITE ","")&amp;IF(COUNTIFS(tbl_Finance[Job Number],C380&amp;"",tbl_Finance[Cost Centre],"PRODUCTION")&gt;0,"PRODUCTION ","")&amp;IF(COUNTIFS(tbl_Finance[Job Number],C380&amp;"",tbl_Finance[Cost Centre],"VIDEO")&gt;0,"VIDEO ","")&amp;IF(COUNTIFS(tbl_Finance[Job Number],C380&amp;"",tbl_Finance[Cost Centre],"INTEGRATION")&gt;0,"INTEGRATION ","")&amp;IF(COUNTIFS(tbl_Finance[Job Number],C380&amp;"",tbl_Finance[Cost Centre],"CONSULTING")&gt;0,"CONSULTING ","")&amp;IF(COUNTIFS(tbl_Finance[Job Number],C380&amp;"",tbl_Finance[Cost Centre],"CTS")&gt;0,"CTS ",""))," ",", ")))</f>
        <v/>
      </c>
      <c r="L380" s="24" t="n"/>
      <c r="M380" s="25">
        <f>IF(L380="","",HYPERLINK(IF(LEFT(L380,4)="http",L380,set_QwilrBase&amp;L380),"Open quote"))</f>
        <v/>
      </c>
      <c r="N380" s="26" t="n"/>
      <c r="O380" s="26" t="n"/>
      <c r="P380" s="26" t="n"/>
      <c r="Q380" s="25">
        <f>IF(C380="","",IF(N(N380)+N(O380)+N(P380)=0,"Not split",IF(ROUND(N(N380)+N(O380)+N(P380),2)=ROUND(H380,2),"OK","MISMATCH")))</f>
        <v/>
      </c>
      <c r="R380" s="26" t="n"/>
      <c r="S380" s="26" t="n"/>
      <c r="T380" s="26" t="n"/>
      <c r="U380" s="27">
        <f>IF(C380="","",N(R380)+N(S380)+N(T380))</f>
        <v/>
      </c>
      <c r="V380" s="27">
        <f>IF(C380="","",H380-U380)</f>
        <v/>
      </c>
      <c r="W380" s="29">
        <f>IFERROR(V380/H380,"")</f>
        <v/>
      </c>
      <c r="X380" s="24" t="n"/>
    </row>
    <row r="381" ht="15" customHeight="1">
      <c r="A381" s="63">
        <f>IF(C381="","",IFERROR(IF(SUMPRODUCT(MAX((tbl_Finance[Job Number]=C381&amp;"")*(tbl_Finance[Xero Invoice No]&lt;&gt;"")*tbl_Finance[Date]))=0,"",SUMPRODUCT(MAX((tbl_Finance[Job Number]=C381&amp;"")*(tbl_Finance[Xero Invoice No]&lt;&gt;"")*tbl_Finance[Date]))),""))</f>
        <v/>
      </c>
      <c r="B381" s="25">
        <f>IF(C381="","",IF(COUNTIFS(tbl_Finance[Job Number],C381&amp;"",tbl_Finance[Xero Invoice No],"&lt;&gt;")=0,"",IFERROR(IF(COUNTIFS(tbl_Finance[Job Number],C381&amp;"",tbl_Finance[Xero Invoice No],LOOKUP(2,1/((tbl_Finance[Job Number]=C381&amp;"")*(tbl_Finance[Xero Invoice No]&lt;&gt;"")),tbl_Finance[Xero Invoice No]))=COUNTIFS(tbl_Finance[Job Number],C381&amp;"",tbl_Finance[Xero Invoice No],"&lt;&gt;"),LOOKUP(2,1/((tbl_Finance[Job Number]=C381&amp;"")*(tbl_Finance[Xero Invoice No]&lt;&gt;"")),tbl_Finance[Xero Invoice No]),LOOKUP(2,1/((tbl_Finance[Job Number]=C381&amp;"")*(tbl_Finance[Xero Invoice No]&lt;&gt;"")),tbl_Finance[Xero Invoice No])&amp;" +more"),"")))</f>
        <v/>
      </c>
      <c r="C381" s="24" t="n"/>
      <c r="D381" s="25">
        <f>IF(C381="","",IF(COUNTIF(lst_Jobs,C381&amp;"")&gt;0,"OK","CHECK"))</f>
        <v/>
      </c>
      <c r="E381" s="25">
        <f>IF(C381="","",IFERROR(INDEX(lst_JobName,MATCH(C381&amp;"",lst_Jobs,0)),""))</f>
        <v/>
      </c>
      <c r="F381" s="25">
        <f>IF(C381="","",IFERROR(INDEX(tbl_Finance[Client],MATCH(C381&amp;"",tbl_Finance[Job Number],0)),""))</f>
        <v/>
      </c>
      <c r="G381" s="28">
        <f>IF(C381="","",COUNTIFS(tbl_Finance[Job Number],C381&amp;"",tbl_Finance[Ex GST],"&lt;&gt;"))</f>
        <v/>
      </c>
      <c r="H381" s="27">
        <f>IF(C381="","",SUMIFS(tbl_Finance[Ex GST],tbl_Finance[Job Number],C381&amp;""))</f>
        <v/>
      </c>
      <c r="I381" s="27">
        <f>IF(C381="","",SUMIFS(tbl_Finance[Ex GST],tbl_Finance[Job Number],C381&amp;"",tbl_Finance[Xero Invoice No],"&lt;&gt;"))</f>
        <v/>
      </c>
      <c r="J381" s="27">
        <f>IF(C381="","",H381-I381)</f>
        <v/>
      </c>
      <c r="K381" s="25">
        <f>IF(C381="","",IF(G381=0,"not invoiced yet",SUBSTITUTE(TRIM(IF(COUNTIFS(tbl_Finance[Job Number],C381&amp;"",tbl_Finance[Cost Centre],"ONSITE")&gt;0,"ONSITE ","")&amp;IF(COUNTIFS(tbl_Finance[Job Number],C381&amp;"",tbl_Finance[Cost Centre],"PRODUCTION")&gt;0,"PRODUCTION ","")&amp;IF(COUNTIFS(tbl_Finance[Job Number],C381&amp;"",tbl_Finance[Cost Centre],"VIDEO")&gt;0,"VIDEO ","")&amp;IF(COUNTIFS(tbl_Finance[Job Number],C381&amp;"",tbl_Finance[Cost Centre],"INTEGRATION")&gt;0,"INTEGRATION ","")&amp;IF(COUNTIFS(tbl_Finance[Job Number],C381&amp;"",tbl_Finance[Cost Centre],"CONSULTING")&gt;0,"CONSULTING ","")&amp;IF(COUNTIFS(tbl_Finance[Job Number],C381&amp;"",tbl_Finance[Cost Centre],"CTS")&gt;0,"CTS ",""))," ",", ")))</f>
        <v/>
      </c>
      <c r="L381" s="24" t="n"/>
      <c r="M381" s="25">
        <f>IF(L381="","",HYPERLINK(IF(LEFT(L381,4)="http",L381,set_QwilrBase&amp;L381),"Open quote"))</f>
        <v/>
      </c>
      <c r="N381" s="26" t="n"/>
      <c r="O381" s="26" t="n"/>
      <c r="P381" s="26" t="n"/>
      <c r="Q381" s="25">
        <f>IF(C381="","",IF(N(N381)+N(O381)+N(P381)=0,"Not split",IF(ROUND(N(N381)+N(O381)+N(P381),2)=ROUND(H381,2),"OK","MISMATCH")))</f>
        <v/>
      </c>
      <c r="R381" s="26" t="n"/>
      <c r="S381" s="26" t="n"/>
      <c r="T381" s="26" t="n"/>
      <c r="U381" s="27">
        <f>IF(C381="","",N(R381)+N(S381)+N(T381))</f>
        <v/>
      </c>
      <c r="V381" s="27">
        <f>IF(C381="","",H381-U381)</f>
        <v/>
      </c>
      <c r="W381" s="29">
        <f>IFERROR(V381/H381,"")</f>
        <v/>
      </c>
      <c r="X381" s="24" t="n"/>
    </row>
    <row r="382" ht="15" customHeight="1">
      <c r="A382" s="63">
        <f>IF(C382="","",IFERROR(IF(SUMPRODUCT(MAX((tbl_Finance[Job Number]=C382&amp;"")*(tbl_Finance[Xero Invoice No]&lt;&gt;"")*tbl_Finance[Date]))=0,"",SUMPRODUCT(MAX((tbl_Finance[Job Number]=C382&amp;"")*(tbl_Finance[Xero Invoice No]&lt;&gt;"")*tbl_Finance[Date]))),""))</f>
        <v/>
      </c>
      <c r="B382" s="25">
        <f>IF(C382="","",IF(COUNTIFS(tbl_Finance[Job Number],C382&amp;"",tbl_Finance[Xero Invoice No],"&lt;&gt;")=0,"",IFERROR(IF(COUNTIFS(tbl_Finance[Job Number],C382&amp;"",tbl_Finance[Xero Invoice No],LOOKUP(2,1/((tbl_Finance[Job Number]=C382&amp;"")*(tbl_Finance[Xero Invoice No]&lt;&gt;"")),tbl_Finance[Xero Invoice No]))=COUNTIFS(tbl_Finance[Job Number],C382&amp;"",tbl_Finance[Xero Invoice No],"&lt;&gt;"),LOOKUP(2,1/((tbl_Finance[Job Number]=C382&amp;"")*(tbl_Finance[Xero Invoice No]&lt;&gt;"")),tbl_Finance[Xero Invoice No]),LOOKUP(2,1/((tbl_Finance[Job Number]=C382&amp;"")*(tbl_Finance[Xero Invoice No]&lt;&gt;"")),tbl_Finance[Xero Invoice No])&amp;" +more"),"")))</f>
        <v/>
      </c>
      <c r="C382" s="24" t="n"/>
      <c r="D382" s="25">
        <f>IF(C382="","",IF(COUNTIF(lst_Jobs,C382&amp;"")&gt;0,"OK","CHECK"))</f>
        <v/>
      </c>
      <c r="E382" s="25">
        <f>IF(C382="","",IFERROR(INDEX(lst_JobName,MATCH(C382&amp;"",lst_Jobs,0)),""))</f>
        <v/>
      </c>
      <c r="F382" s="25">
        <f>IF(C382="","",IFERROR(INDEX(tbl_Finance[Client],MATCH(C382&amp;"",tbl_Finance[Job Number],0)),""))</f>
        <v/>
      </c>
      <c r="G382" s="28">
        <f>IF(C382="","",COUNTIFS(tbl_Finance[Job Number],C382&amp;"",tbl_Finance[Ex GST],"&lt;&gt;"))</f>
        <v/>
      </c>
      <c r="H382" s="27">
        <f>IF(C382="","",SUMIFS(tbl_Finance[Ex GST],tbl_Finance[Job Number],C382&amp;""))</f>
        <v/>
      </c>
      <c r="I382" s="27">
        <f>IF(C382="","",SUMIFS(tbl_Finance[Ex GST],tbl_Finance[Job Number],C382&amp;"",tbl_Finance[Xero Invoice No],"&lt;&gt;"))</f>
        <v/>
      </c>
      <c r="J382" s="27">
        <f>IF(C382="","",H382-I382)</f>
        <v/>
      </c>
      <c r="K382" s="25">
        <f>IF(C382="","",IF(G382=0,"not invoiced yet",SUBSTITUTE(TRIM(IF(COUNTIFS(tbl_Finance[Job Number],C382&amp;"",tbl_Finance[Cost Centre],"ONSITE")&gt;0,"ONSITE ","")&amp;IF(COUNTIFS(tbl_Finance[Job Number],C382&amp;"",tbl_Finance[Cost Centre],"PRODUCTION")&gt;0,"PRODUCTION ","")&amp;IF(COUNTIFS(tbl_Finance[Job Number],C382&amp;"",tbl_Finance[Cost Centre],"VIDEO")&gt;0,"VIDEO ","")&amp;IF(COUNTIFS(tbl_Finance[Job Number],C382&amp;"",tbl_Finance[Cost Centre],"INTEGRATION")&gt;0,"INTEGRATION ","")&amp;IF(COUNTIFS(tbl_Finance[Job Number],C382&amp;"",tbl_Finance[Cost Centre],"CONSULTING")&gt;0,"CONSULTING ","")&amp;IF(COUNTIFS(tbl_Finance[Job Number],C382&amp;"",tbl_Finance[Cost Centre],"CTS")&gt;0,"CTS ",""))," ",", ")))</f>
        <v/>
      </c>
      <c r="L382" s="24" t="n"/>
      <c r="M382" s="25">
        <f>IF(L382="","",HYPERLINK(IF(LEFT(L382,4)="http",L382,set_QwilrBase&amp;L382),"Open quote"))</f>
        <v/>
      </c>
      <c r="N382" s="26" t="n"/>
      <c r="O382" s="26" t="n"/>
      <c r="P382" s="26" t="n"/>
      <c r="Q382" s="25">
        <f>IF(C382="","",IF(N(N382)+N(O382)+N(P382)=0,"Not split",IF(ROUND(N(N382)+N(O382)+N(P382),2)=ROUND(H382,2),"OK","MISMATCH")))</f>
        <v/>
      </c>
      <c r="R382" s="26" t="n"/>
      <c r="S382" s="26" t="n"/>
      <c r="T382" s="26" t="n"/>
      <c r="U382" s="27">
        <f>IF(C382="","",N(R382)+N(S382)+N(T382))</f>
        <v/>
      </c>
      <c r="V382" s="27">
        <f>IF(C382="","",H382-U382)</f>
        <v/>
      </c>
      <c r="W382" s="29">
        <f>IFERROR(V382/H382,"")</f>
        <v/>
      </c>
      <c r="X382" s="24" t="n"/>
    </row>
    <row r="383" ht="15" customHeight="1">
      <c r="A383" s="63">
        <f>IF(C383="","",IFERROR(IF(SUMPRODUCT(MAX((tbl_Finance[Job Number]=C383&amp;"")*(tbl_Finance[Xero Invoice No]&lt;&gt;"")*tbl_Finance[Date]))=0,"",SUMPRODUCT(MAX((tbl_Finance[Job Number]=C383&amp;"")*(tbl_Finance[Xero Invoice No]&lt;&gt;"")*tbl_Finance[Date]))),""))</f>
        <v/>
      </c>
      <c r="B383" s="25">
        <f>IF(C383="","",IF(COUNTIFS(tbl_Finance[Job Number],C383&amp;"",tbl_Finance[Xero Invoice No],"&lt;&gt;")=0,"",IFERROR(IF(COUNTIFS(tbl_Finance[Job Number],C383&amp;"",tbl_Finance[Xero Invoice No],LOOKUP(2,1/((tbl_Finance[Job Number]=C383&amp;"")*(tbl_Finance[Xero Invoice No]&lt;&gt;"")),tbl_Finance[Xero Invoice No]))=COUNTIFS(tbl_Finance[Job Number],C383&amp;"",tbl_Finance[Xero Invoice No],"&lt;&gt;"),LOOKUP(2,1/((tbl_Finance[Job Number]=C383&amp;"")*(tbl_Finance[Xero Invoice No]&lt;&gt;"")),tbl_Finance[Xero Invoice No]),LOOKUP(2,1/((tbl_Finance[Job Number]=C383&amp;"")*(tbl_Finance[Xero Invoice No]&lt;&gt;"")),tbl_Finance[Xero Invoice No])&amp;" +more"),"")))</f>
        <v/>
      </c>
      <c r="C383" s="24" t="n"/>
      <c r="D383" s="25">
        <f>IF(C383="","",IF(COUNTIF(lst_Jobs,C383&amp;"")&gt;0,"OK","CHECK"))</f>
        <v/>
      </c>
      <c r="E383" s="25">
        <f>IF(C383="","",IFERROR(INDEX(lst_JobName,MATCH(C383&amp;"",lst_Jobs,0)),""))</f>
        <v/>
      </c>
      <c r="F383" s="25">
        <f>IF(C383="","",IFERROR(INDEX(tbl_Finance[Client],MATCH(C383&amp;"",tbl_Finance[Job Number],0)),""))</f>
        <v/>
      </c>
      <c r="G383" s="28">
        <f>IF(C383="","",COUNTIFS(tbl_Finance[Job Number],C383&amp;"",tbl_Finance[Ex GST],"&lt;&gt;"))</f>
        <v/>
      </c>
      <c r="H383" s="27">
        <f>IF(C383="","",SUMIFS(tbl_Finance[Ex GST],tbl_Finance[Job Number],C383&amp;""))</f>
        <v/>
      </c>
      <c r="I383" s="27">
        <f>IF(C383="","",SUMIFS(tbl_Finance[Ex GST],tbl_Finance[Job Number],C383&amp;"",tbl_Finance[Xero Invoice No],"&lt;&gt;"))</f>
        <v/>
      </c>
      <c r="J383" s="27">
        <f>IF(C383="","",H383-I383)</f>
        <v/>
      </c>
      <c r="K383" s="25">
        <f>IF(C383="","",IF(G383=0,"not invoiced yet",SUBSTITUTE(TRIM(IF(COUNTIFS(tbl_Finance[Job Number],C383&amp;"",tbl_Finance[Cost Centre],"ONSITE")&gt;0,"ONSITE ","")&amp;IF(COUNTIFS(tbl_Finance[Job Number],C383&amp;"",tbl_Finance[Cost Centre],"PRODUCTION")&gt;0,"PRODUCTION ","")&amp;IF(COUNTIFS(tbl_Finance[Job Number],C383&amp;"",tbl_Finance[Cost Centre],"VIDEO")&gt;0,"VIDEO ","")&amp;IF(COUNTIFS(tbl_Finance[Job Number],C383&amp;"",tbl_Finance[Cost Centre],"INTEGRATION")&gt;0,"INTEGRATION ","")&amp;IF(COUNTIFS(tbl_Finance[Job Number],C383&amp;"",tbl_Finance[Cost Centre],"CONSULTING")&gt;0,"CONSULTING ","")&amp;IF(COUNTIFS(tbl_Finance[Job Number],C383&amp;"",tbl_Finance[Cost Centre],"CTS")&gt;0,"CTS ",""))," ",", ")))</f>
        <v/>
      </c>
      <c r="L383" s="24" t="n"/>
      <c r="M383" s="25">
        <f>IF(L383="","",HYPERLINK(IF(LEFT(L383,4)="http",L383,set_QwilrBase&amp;L383),"Open quote"))</f>
        <v/>
      </c>
      <c r="N383" s="26" t="n"/>
      <c r="O383" s="26" t="n"/>
      <c r="P383" s="26" t="n"/>
      <c r="Q383" s="25">
        <f>IF(C383="","",IF(N(N383)+N(O383)+N(P383)=0,"Not split",IF(ROUND(N(N383)+N(O383)+N(P383),2)=ROUND(H383,2),"OK","MISMATCH")))</f>
        <v/>
      </c>
      <c r="R383" s="26" t="n"/>
      <c r="S383" s="26" t="n"/>
      <c r="T383" s="26" t="n"/>
      <c r="U383" s="27">
        <f>IF(C383="","",N(R383)+N(S383)+N(T383))</f>
        <v/>
      </c>
      <c r="V383" s="27">
        <f>IF(C383="","",H383-U383)</f>
        <v/>
      </c>
      <c r="W383" s="29">
        <f>IFERROR(V383/H383,"")</f>
        <v/>
      </c>
      <c r="X383" s="24" t="n"/>
    </row>
    <row r="384" ht="15" customHeight="1">
      <c r="A384" s="63">
        <f>IF(C384="","",IFERROR(IF(SUMPRODUCT(MAX((tbl_Finance[Job Number]=C384&amp;"")*(tbl_Finance[Xero Invoice No]&lt;&gt;"")*tbl_Finance[Date]))=0,"",SUMPRODUCT(MAX((tbl_Finance[Job Number]=C384&amp;"")*(tbl_Finance[Xero Invoice No]&lt;&gt;"")*tbl_Finance[Date]))),""))</f>
        <v/>
      </c>
      <c r="B384" s="25">
        <f>IF(C384="","",IF(COUNTIFS(tbl_Finance[Job Number],C384&amp;"",tbl_Finance[Xero Invoice No],"&lt;&gt;")=0,"",IFERROR(IF(COUNTIFS(tbl_Finance[Job Number],C384&amp;"",tbl_Finance[Xero Invoice No],LOOKUP(2,1/((tbl_Finance[Job Number]=C384&amp;"")*(tbl_Finance[Xero Invoice No]&lt;&gt;"")),tbl_Finance[Xero Invoice No]))=COUNTIFS(tbl_Finance[Job Number],C384&amp;"",tbl_Finance[Xero Invoice No],"&lt;&gt;"),LOOKUP(2,1/((tbl_Finance[Job Number]=C384&amp;"")*(tbl_Finance[Xero Invoice No]&lt;&gt;"")),tbl_Finance[Xero Invoice No]),LOOKUP(2,1/((tbl_Finance[Job Number]=C384&amp;"")*(tbl_Finance[Xero Invoice No]&lt;&gt;"")),tbl_Finance[Xero Invoice No])&amp;" +more"),"")))</f>
        <v/>
      </c>
      <c r="C384" s="24" t="n"/>
      <c r="D384" s="25">
        <f>IF(C384="","",IF(COUNTIF(lst_Jobs,C384&amp;"")&gt;0,"OK","CHECK"))</f>
        <v/>
      </c>
      <c r="E384" s="25">
        <f>IF(C384="","",IFERROR(INDEX(lst_JobName,MATCH(C384&amp;"",lst_Jobs,0)),""))</f>
        <v/>
      </c>
      <c r="F384" s="25">
        <f>IF(C384="","",IFERROR(INDEX(tbl_Finance[Client],MATCH(C384&amp;"",tbl_Finance[Job Number],0)),""))</f>
        <v/>
      </c>
      <c r="G384" s="28">
        <f>IF(C384="","",COUNTIFS(tbl_Finance[Job Number],C384&amp;"",tbl_Finance[Ex GST],"&lt;&gt;"))</f>
        <v/>
      </c>
      <c r="H384" s="27">
        <f>IF(C384="","",SUMIFS(tbl_Finance[Ex GST],tbl_Finance[Job Number],C384&amp;""))</f>
        <v/>
      </c>
      <c r="I384" s="27">
        <f>IF(C384="","",SUMIFS(tbl_Finance[Ex GST],tbl_Finance[Job Number],C384&amp;"",tbl_Finance[Xero Invoice No],"&lt;&gt;"))</f>
        <v/>
      </c>
      <c r="J384" s="27">
        <f>IF(C384="","",H384-I384)</f>
        <v/>
      </c>
      <c r="K384" s="25">
        <f>IF(C384="","",IF(G384=0,"not invoiced yet",SUBSTITUTE(TRIM(IF(COUNTIFS(tbl_Finance[Job Number],C384&amp;"",tbl_Finance[Cost Centre],"ONSITE")&gt;0,"ONSITE ","")&amp;IF(COUNTIFS(tbl_Finance[Job Number],C384&amp;"",tbl_Finance[Cost Centre],"PRODUCTION")&gt;0,"PRODUCTION ","")&amp;IF(COUNTIFS(tbl_Finance[Job Number],C384&amp;"",tbl_Finance[Cost Centre],"VIDEO")&gt;0,"VIDEO ","")&amp;IF(COUNTIFS(tbl_Finance[Job Number],C384&amp;"",tbl_Finance[Cost Centre],"INTEGRATION")&gt;0,"INTEGRATION ","")&amp;IF(COUNTIFS(tbl_Finance[Job Number],C384&amp;"",tbl_Finance[Cost Centre],"CONSULTING")&gt;0,"CONSULTING ","")&amp;IF(COUNTIFS(tbl_Finance[Job Number],C384&amp;"",tbl_Finance[Cost Centre],"CTS")&gt;0,"CTS ",""))," ",", ")))</f>
        <v/>
      </c>
      <c r="L384" s="24" t="n"/>
      <c r="M384" s="25">
        <f>IF(L384="","",HYPERLINK(IF(LEFT(L384,4)="http",L384,set_QwilrBase&amp;L384),"Open quote"))</f>
        <v/>
      </c>
      <c r="N384" s="26" t="n"/>
      <c r="O384" s="26" t="n"/>
      <c r="P384" s="26" t="n"/>
      <c r="Q384" s="25">
        <f>IF(C384="","",IF(N(N384)+N(O384)+N(P384)=0,"Not split",IF(ROUND(N(N384)+N(O384)+N(P384),2)=ROUND(H384,2),"OK","MISMATCH")))</f>
        <v/>
      </c>
      <c r="R384" s="26" t="n"/>
      <c r="S384" s="26" t="n"/>
      <c r="T384" s="26" t="n"/>
      <c r="U384" s="27">
        <f>IF(C384="","",N(R384)+N(S384)+N(T384))</f>
        <v/>
      </c>
      <c r="V384" s="27">
        <f>IF(C384="","",H384-U384)</f>
        <v/>
      </c>
      <c r="W384" s="29">
        <f>IFERROR(V384/H384,"")</f>
        <v/>
      </c>
      <c r="X384" s="24" t="n"/>
    </row>
    <row r="385" ht="15" customHeight="1">
      <c r="A385" s="63">
        <f>IF(C385="","",IFERROR(IF(SUMPRODUCT(MAX((tbl_Finance[Job Number]=C385&amp;"")*(tbl_Finance[Xero Invoice No]&lt;&gt;"")*tbl_Finance[Date]))=0,"",SUMPRODUCT(MAX((tbl_Finance[Job Number]=C385&amp;"")*(tbl_Finance[Xero Invoice No]&lt;&gt;"")*tbl_Finance[Date]))),""))</f>
        <v/>
      </c>
      <c r="B385" s="25">
        <f>IF(C385="","",IF(COUNTIFS(tbl_Finance[Job Number],C385&amp;"",tbl_Finance[Xero Invoice No],"&lt;&gt;")=0,"",IFERROR(IF(COUNTIFS(tbl_Finance[Job Number],C385&amp;"",tbl_Finance[Xero Invoice No],LOOKUP(2,1/((tbl_Finance[Job Number]=C385&amp;"")*(tbl_Finance[Xero Invoice No]&lt;&gt;"")),tbl_Finance[Xero Invoice No]))=COUNTIFS(tbl_Finance[Job Number],C385&amp;"",tbl_Finance[Xero Invoice No],"&lt;&gt;"),LOOKUP(2,1/((tbl_Finance[Job Number]=C385&amp;"")*(tbl_Finance[Xero Invoice No]&lt;&gt;"")),tbl_Finance[Xero Invoice No]),LOOKUP(2,1/((tbl_Finance[Job Number]=C385&amp;"")*(tbl_Finance[Xero Invoice No]&lt;&gt;"")),tbl_Finance[Xero Invoice No])&amp;" +more"),"")))</f>
        <v/>
      </c>
      <c r="C385" s="24" t="n"/>
      <c r="D385" s="25">
        <f>IF(C385="","",IF(COUNTIF(lst_Jobs,C385&amp;"")&gt;0,"OK","CHECK"))</f>
        <v/>
      </c>
      <c r="E385" s="25">
        <f>IF(C385="","",IFERROR(INDEX(lst_JobName,MATCH(C385&amp;"",lst_Jobs,0)),""))</f>
        <v/>
      </c>
      <c r="F385" s="25">
        <f>IF(C385="","",IFERROR(INDEX(tbl_Finance[Client],MATCH(C385&amp;"",tbl_Finance[Job Number],0)),""))</f>
        <v/>
      </c>
      <c r="G385" s="28">
        <f>IF(C385="","",COUNTIFS(tbl_Finance[Job Number],C385&amp;"",tbl_Finance[Ex GST],"&lt;&gt;"))</f>
        <v/>
      </c>
      <c r="H385" s="27">
        <f>IF(C385="","",SUMIFS(tbl_Finance[Ex GST],tbl_Finance[Job Number],C385&amp;""))</f>
        <v/>
      </c>
      <c r="I385" s="27">
        <f>IF(C385="","",SUMIFS(tbl_Finance[Ex GST],tbl_Finance[Job Number],C385&amp;"",tbl_Finance[Xero Invoice No],"&lt;&gt;"))</f>
        <v/>
      </c>
      <c r="J385" s="27">
        <f>IF(C385="","",H385-I385)</f>
        <v/>
      </c>
      <c r="K385" s="25">
        <f>IF(C385="","",IF(G385=0,"not invoiced yet",SUBSTITUTE(TRIM(IF(COUNTIFS(tbl_Finance[Job Number],C385&amp;"",tbl_Finance[Cost Centre],"ONSITE")&gt;0,"ONSITE ","")&amp;IF(COUNTIFS(tbl_Finance[Job Number],C385&amp;"",tbl_Finance[Cost Centre],"PRODUCTION")&gt;0,"PRODUCTION ","")&amp;IF(COUNTIFS(tbl_Finance[Job Number],C385&amp;"",tbl_Finance[Cost Centre],"VIDEO")&gt;0,"VIDEO ","")&amp;IF(COUNTIFS(tbl_Finance[Job Number],C385&amp;"",tbl_Finance[Cost Centre],"INTEGRATION")&gt;0,"INTEGRATION ","")&amp;IF(COUNTIFS(tbl_Finance[Job Number],C385&amp;"",tbl_Finance[Cost Centre],"CONSULTING")&gt;0,"CONSULTING ","")&amp;IF(COUNTIFS(tbl_Finance[Job Number],C385&amp;"",tbl_Finance[Cost Centre],"CTS")&gt;0,"CTS ",""))," ",", ")))</f>
        <v/>
      </c>
      <c r="L385" s="24" t="n"/>
      <c r="M385" s="25">
        <f>IF(L385="","",HYPERLINK(IF(LEFT(L385,4)="http",L385,set_QwilrBase&amp;L385),"Open quote"))</f>
        <v/>
      </c>
      <c r="N385" s="26" t="n"/>
      <c r="O385" s="26" t="n"/>
      <c r="P385" s="26" t="n"/>
      <c r="Q385" s="25">
        <f>IF(C385="","",IF(N(N385)+N(O385)+N(P385)=0,"Not split",IF(ROUND(N(N385)+N(O385)+N(P385),2)=ROUND(H385,2),"OK","MISMATCH")))</f>
        <v/>
      </c>
      <c r="R385" s="26" t="n"/>
      <c r="S385" s="26" t="n"/>
      <c r="T385" s="26" t="n"/>
      <c r="U385" s="27">
        <f>IF(C385="","",N(R385)+N(S385)+N(T385))</f>
        <v/>
      </c>
      <c r="V385" s="27">
        <f>IF(C385="","",H385-U385)</f>
        <v/>
      </c>
      <c r="W385" s="29">
        <f>IFERROR(V385/H385,"")</f>
        <v/>
      </c>
      <c r="X385" s="24" t="n"/>
    </row>
    <row r="386" ht="15" customHeight="1">
      <c r="A386" s="63">
        <f>IF(C386="","",IFERROR(IF(SUMPRODUCT(MAX((tbl_Finance[Job Number]=C386&amp;"")*(tbl_Finance[Xero Invoice No]&lt;&gt;"")*tbl_Finance[Date]))=0,"",SUMPRODUCT(MAX((tbl_Finance[Job Number]=C386&amp;"")*(tbl_Finance[Xero Invoice No]&lt;&gt;"")*tbl_Finance[Date]))),""))</f>
        <v/>
      </c>
      <c r="B386" s="25">
        <f>IF(C386="","",IF(COUNTIFS(tbl_Finance[Job Number],C386&amp;"",tbl_Finance[Xero Invoice No],"&lt;&gt;")=0,"",IFERROR(IF(COUNTIFS(tbl_Finance[Job Number],C386&amp;"",tbl_Finance[Xero Invoice No],LOOKUP(2,1/((tbl_Finance[Job Number]=C386&amp;"")*(tbl_Finance[Xero Invoice No]&lt;&gt;"")),tbl_Finance[Xero Invoice No]))=COUNTIFS(tbl_Finance[Job Number],C386&amp;"",tbl_Finance[Xero Invoice No],"&lt;&gt;"),LOOKUP(2,1/((tbl_Finance[Job Number]=C386&amp;"")*(tbl_Finance[Xero Invoice No]&lt;&gt;"")),tbl_Finance[Xero Invoice No]),LOOKUP(2,1/((tbl_Finance[Job Number]=C386&amp;"")*(tbl_Finance[Xero Invoice No]&lt;&gt;"")),tbl_Finance[Xero Invoice No])&amp;" +more"),"")))</f>
        <v/>
      </c>
      <c r="C386" s="24" t="n"/>
      <c r="D386" s="25">
        <f>IF(C386="","",IF(COUNTIF(lst_Jobs,C386&amp;"")&gt;0,"OK","CHECK"))</f>
        <v/>
      </c>
      <c r="E386" s="25">
        <f>IF(C386="","",IFERROR(INDEX(lst_JobName,MATCH(C386&amp;"",lst_Jobs,0)),""))</f>
        <v/>
      </c>
      <c r="F386" s="25">
        <f>IF(C386="","",IFERROR(INDEX(tbl_Finance[Client],MATCH(C386&amp;"",tbl_Finance[Job Number],0)),""))</f>
        <v/>
      </c>
      <c r="G386" s="28">
        <f>IF(C386="","",COUNTIFS(tbl_Finance[Job Number],C386&amp;"",tbl_Finance[Ex GST],"&lt;&gt;"))</f>
        <v/>
      </c>
      <c r="H386" s="27">
        <f>IF(C386="","",SUMIFS(tbl_Finance[Ex GST],tbl_Finance[Job Number],C386&amp;""))</f>
        <v/>
      </c>
      <c r="I386" s="27">
        <f>IF(C386="","",SUMIFS(tbl_Finance[Ex GST],tbl_Finance[Job Number],C386&amp;"",tbl_Finance[Xero Invoice No],"&lt;&gt;"))</f>
        <v/>
      </c>
      <c r="J386" s="27">
        <f>IF(C386="","",H386-I386)</f>
        <v/>
      </c>
      <c r="K386" s="25">
        <f>IF(C386="","",IF(G386=0,"not invoiced yet",SUBSTITUTE(TRIM(IF(COUNTIFS(tbl_Finance[Job Number],C386&amp;"",tbl_Finance[Cost Centre],"ONSITE")&gt;0,"ONSITE ","")&amp;IF(COUNTIFS(tbl_Finance[Job Number],C386&amp;"",tbl_Finance[Cost Centre],"PRODUCTION")&gt;0,"PRODUCTION ","")&amp;IF(COUNTIFS(tbl_Finance[Job Number],C386&amp;"",tbl_Finance[Cost Centre],"VIDEO")&gt;0,"VIDEO ","")&amp;IF(COUNTIFS(tbl_Finance[Job Number],C386&amp;"",tbl_Finance[Cost Centre],"INTEGRATION")&gt;0,"INTEGRATION ","")&amp;IF(COUNTIFS(tbl_Finance[Job Number],C386&amp;"",tbl_Finance[Cost Centre],"CONSULTING")&gt;0,"CONSULTING ","")&amp;IF(COUNTIFS(tbl_Finance[Job Number],C386&amp;"",tbl_Finance[Cost Centre],"CTS")&gt;0,"CTS ",""))," ",", ")))</f>
        <v/>
      </c>
      <c r="L386" s="24" t="n"/>
      <c r="M386" s="25">
        <f>IF(L386="","",HYPERLINK(IF(LEFT(L386,4)="http",L386,set_QwilrBase&amp;L386),"Open quote"))</f>
        <v/>
      </c>
      <c r="N386" s="26" t="n"/>
      <c r="O386" s="26" t="n"/>
      <c r="P386" s="26" t="n"/>
      <c r="Q386" s="25">
        <f>IF(C386="","",IF(N(N386)+N(O386)+N(P386)=0,"Not split",IF(ROUND(N(N386)+N(O386)+N(P386),2)=ROUND(H386,2),"OK","MISMATCH")))</f>
        <v/>
      </c>
      <c r="R386" s="26" t="n"/>
      <c r="S386" s="26" t="n"/>
      <c r="T386" s="26" t="n"/>
      <c r="U386" s="27">
        <f>IF(C386="","",N(R386)+N(S386)+N(T386))</f>
        <v/>
      </c>
      <c r="V386" s="27">
        <f>IF(C386="","",H386-U386)</f>
        <v/>
      </c>
      <c r="W386" s="29">
        <f>IFERROR(V386/H386,"")</f>
        <v/>
      </c>
      <c r="X386" s="24" t="n"/>
    </row>
    <row r="387" ht="15" customHeight="1">
      <c r="A387" s="63">
        <f>IF(C387="","",IFERROR(IF(SUMPRODUCT(MAX((tbl_Finance[Job Number]=C387&amp;"")*(tbl_Finance[Xero Invoice No]&lt;&gt;"")*tbl_Finance[Date]))=0,"",SUMPRODUCT(MAX((tbl_Finance[Job Number]=C387&amp;"")*(tbl_Finance[Xero Invoice No]&lt;&gt;"")*tbl_Finance[Date]))),""))</f>
        <v/>
      </c>
      <c r="B387" s="25">
        <f>IF(C387="","",IF(COUNTIFS(tbl_Finance[Job Number],C387&amp;"",tbl_Finance[Xero Invoice No],"&lt;&gt;")=0,"",IFERROR(IF(COUNTIFS(tbl_Finance[Job Number],C387&amp;"",tbl_Finance[Xero Invoice No],LOOKUP(2,1/((tbl_Finance[Job Number]=C387&amp;"")*(tbl_Finance[Xero Invoice No]&lt;&gt;"")),tbl_Finance[Xero Invoice No]))=COUNTIFS(tbl_Finance[Job Number],C387&amp;"",tbl_Finance[Xero Invoice No],"&lt;&gt;"),LOOKUP(2,1/((tbl_Finance[Job Number]=C387&amp;"")*(tbl_Finance[Xero Invoice No]&lt;&gt;"")),tbl_Finance[Xero Invoice No]),LOOKUP(2,1/((tbl_Finance[Job Number]=C387&amp;"")*(tbl_Finance[Xero Invoice No]&lt;&gt;"")),tbl_Finance[Xero Invoice No])&amp;" +more"),"")))</f>
        <v/>
      </c>
      <c r="C387" s="24" t="n"/>
      <c r="D387" s="25">
        <f>IF(C387="","",IF(COUNTIF(lst_Jobs,C387&amp;"")&gt;0,"OK","CHECK"))</f>
        <v/>
      </c>
      <c r="E387" s="25">
        <f>IF(C387="","",IFERROR(INDEX(lst_JobName,MATCH(C387&amp;"",lst_Jobs,0)),""))</f>
        <v/>
      </c>
      <c r="F387" s="25">
        <f>IF(C387="","",IFERROR(INDEX(tbl_Finance[Client],MATCH(C387&amp;"",tbl_Finance[Job Number],0)),""))</f>
        <v/>
      </c>
      <c r="G387" s="28">
        <f>IF(C387="","",COUNTIFS(tbl_Finance[Job Number],C387&amp;"",tbl_Finance[Ex GST],"&lt;&gt;"))</f>
        <v/>
      </c>
      <c r="H387" s="27">
        <f>IF(C387="","",SUMIFS(tbl_Finance[Ex GST],tbl_Finance[Job Number],C387&amp;""))</f>
        <v/>
      </c>
      <c r="I387" s="27">
        <f>IF(C387="","",SUMIFS(tbl_Finance[Ex GST],tbl_Finance[Job Number],C387&amp;"",tbl_Finance[Xero Invoice No],"&lt;&gt;"))</f>
        <v/>
      </c>
      <c r="J387" s="27">
        <f>IF(C387="","",H387-I387)</f>
        <v/>
      </c>
      <c r="K387" s="25">
        <f>IF(C387="","",IF(G387=0,"not invoiced yet",SUBSTITUTE(TRIM(IF(COUNTIFS(tbl_Finance[Job Number],C387&amp;"",tbl_Finance[Cost Centre],"ONSITE")&gt;0,"ONSITE ","")&amp;IF(COUNTIFS(tbl_Finance[Job Number],C387&amp;"",tbl_Finance[Cost Centre],"PRODUCTION")&gt;0,"PRODUCTION ","")&amp;IF(COUNTIFS(tbl_Finance[Job Number],C387&amp;"",tbl_Finance[Cost Centre],"VIDEO")&gt;0,"VIDEO ","")&amp;IF(COUNTIFS(tbl_Finance[Job Number],C387&amp;"",tbl_Finance[Cost Centre],"INTEGRATION")&gt;0,"INTEGRATION ","")&amp;IF(COUNTIFS(tbl_Finance[Job Number],C387&amp;"",tbl_Finance[Cost Centre],"CONSULTING")&gt;0,"CONSULTING ","")&amp;IF(COUNTIFS(tbl_Finance[Job Number],C387&amp;"",tbl_Finance[Cost Centre],"CTS")&gt;0,"CTS ",""))," ",", ")))</f>
        <v/>
      </c>
      <c r="L387" s="24" t="n"/>
      <c r="M387" s="25">
        <f>IF(L387="","",HYPERLINK(IF(LEFT(L387,4)="http",L387,set_QwilrBase&amp;L387),"Open quote"))</f>
        <v/>
      </c>
      <c r="N387" s="26" t="n"/>
      <c r="O387" s="26" t="n"/>
      <c r="P387" s="26" t="n"/>
      <c r="Q387" s="25">
        <f>IF(C387="","",IF(N(N387)+N(O387)+N(P387)=0,"Not split",IF(ROUND(N(N387)+N(O387)+N(P387),2)=ROUND(H387,2),"OK","MISMATCH")))</f>
        <v/>
      </c>
      <c r="R387" s="26" t="n"/>
      <c r="S387" s="26" t="n"/>
      <c r="T387" s="26" t="n"/>
      <c r="U387" s="27">
        <f>IF(C387="","",N(R387)+N(S387)+N(T387))</f>
        <v/>
      </c>
      <c r="V387" s="27">
        <f>IF(C387="","",H387-U387)</f>
        <v/>
      </c>
      <c r="W387" s="29">
        <f>IFERROR(V387/H387,"")</f>
        <v/>
      </c>
      <c r="X387" s="24" t="n"/>
    </row>
    <row r="388" ht="15" customHeight="1">
      <c r="A388" s="63">
        <f>IF(C388="","",IFERROR(IF(SUMPRODUCT(MAX((tbl_Finance[Job Number]=C388&amp;"")*(tbl_Finance[Xero Invoice No]&lt;&gt;"")*tbl_Finance[Date]))=0,"",SUMPRODUCT(MAX((tbl_Finance[Job Number]=C388&amp;"")*(tbl_Finance[Xero Invoice No]&lt;&gt;"")*tbl_Finance[Date]))),""))</f>
        <v/>
      </c>
      <c r="B388" s="25">
        <f>IF(C388="","",IF(COUNTIFS(tbl_Finance[Job Number],C388&amp;"",tbl_Finance[Xero Invoice No],"&lt;&gt;")=0,"",IFERROR(IF(COUNTIFS(tbl_Finance[Job Number],C388&amp;"",tbl_Finance[Xero Invoice No],LOOKUP(2,1/((tbl_Finance[Job Number]=C388&amp;"")*(tbl_Finance[Xero Invoice No]&lt;&gt;"")),tbl_Finance[Xero Invoice No]))=COUNTIFS(tbl_Finance[Job Number],C388&amp;"",tbl_Finance[Xero Invoice No],"&lt;&gt;"),LOOKUP(2,1/((tbl_Finance[Job Number]=C388&amp;"")*(tbl_Finance[Xero Invoice No]&lt;&gt;"")),tbl_Finance[Xero Invoice No]),LOOKUP(2,1/((tbl_Finance[Job Number]=C388&amp;"")*(tbl_Finance[Xero Invoice No]&lt;&gt;"")),tbl_Finance[Xero Invoice No])&amp;" +more"),"")))</f>
        <v/>
      </c>
      <c r="C388" s="24" t="n"/>
      <c r="D388" s="25">
        <f>IF(C388="","",IF(COUNTIF(lst_Jobs,C388&amp;"")&gt;0,"OK","CHECK"))</f>
        <v/>
      </c>
      <c r="E388" s="25">
        <f>IF(C388="","",IFERROR(INDEX(lst_JobName,MATCH(C388&amp;"",lst_Jobs,0)),""))</f>
        <v/>
      </c>
      <c r="F388" s="25">
        <f>IF(C388="","",IFERROR(INDEX(tbl_Finance[Client],MATCH(C388&amp;"",tbl_Finance[Job Number],0)),""))</f>
        <v/>
      </c>
      <c r="G388" s="28">
        <f>IF(C388="","",COUNTIFS(tbl_Finance[Job Number],C388&amp;"",tbl_Finance[Ex GST],"&lt;&gt;"))</f>
        <v/>
      </c>
      <c r="H388" s="27">
        <f>IF(C388="","",SUMIFS(tbl_Finance[Ex GST],tbl_Finance[Job Number],C388&amp;""))</f>
        <v/>
      </c>
      <c r="I388" s="27">
        <f>IF(C388="","",SUMIFS(tbl_Finance[Ex GST],tbl_Finance[Job Number],C388&amp;"",tbl_Finance[Xero Invoice No],"&lt;&gt;"))</f>
        <v/>
      </c>
      <c r="J388" s="27">
        <f>IF(C388="","",H388-I388)</f>
        <v/>
      </c>
      <c r="K388" s="25">
        <f>IF(C388="","",IF(G388=0,"not invoiced yet",SUBSTITUTE(TRIM(IF(COUNTIFS(tbl_Finance[Job Number],C388&amp;"",tbl_Finance[Cost Centre],"ONSITE")&gt;0,"ONSITE ","")&amp;IF(COUNTIFS(tbl_Finance[Job Number],C388&amp;"",tbl_Finance[Cost Centre],"PRODUCTION")&gt;0,"PRODUCTION ","")&amp;IF(COUNTIFS(tbl_Finance[Job Number],C388&amp;"",tbl_Finance[Cost Centre],"VIDEO")&gt;0,"VIDEO ","")&amp;IF(COUNTIFS(tbl_Finance[Job Number],C388&amp;"",tbl_Finance[Cost Centre],"INTEGRATION")&gt;0,"INTEGRATION ","")&amp;IF(COUNTIFS(tbl_Finance[Job Number],C388&amp;"",tbl_Finance[Cost Centre],"CONSULTING")&gt;0,"CONSULTING ","")&amp;IF(COUNTIFS(tbl_Finance[Job Number],C388&amp;"",tbl_Finance[Cost Centre],"CTS")&gt;0,"CTS ",""))," ",", ")))</f>
        <v/>
      </c>
      <c r="L388" s="24" t="n"/>
      <c r="M388" s="25">
        <f>IF(L388="","",HYPERLINK(IF(LEFT(L388,4)="http",L388,set_QwilrBase&amp;L388),"Open quote"))</f>
        <v/>
      </c>
      <c r="N388" s="26" t="n"/>
      <c r="O388" s="26" t="n"/>
      <c r="P388" s="26" t="n"/>
      <c r="Q388" s="25">
        <f>IF(C388="","",IF(N(N388)+N(O388)+N(P388)=0,"Not split",IF(ROUND(N(N388)+N(O388)+N(P388),2)=ROUND(H388,2),"OK","MISMATCH")))</f>
        <v/>
      </c>
      <c r="R388" s="26" t="n"/>
      <c r="S388" s="26" t="n"/>
      <c r="T388" s="26" t="n"/>
      <c r="U388" s="27">
        <f>IF(C388="","",N(R388)+N(S388)+N(T388))</f>
        <v/>
      </c>
      <c r="V388" s="27">
        <f>IF(C388="","",H388-U388)</f>
        <v/>
      </c>
      <c r="W388" s="29">
        <f>IFERROR(V388/H388,"")</f>
        <v/>
      </c>
      <c r="X388" s="24" t="n"/>
    </row>
    <row r="389" ht="15" customHeight="1">
      <c r="A389" s="63">
        <f>IF(C389="","",IFERROR(IF(SUMPRODUCT(MAX((tbl_Finance[Job Number]=C389&amp;"")*(tbl_Finance[Xero Invoice No]&lt;&gt;"")*tbl_Finance[Date]))=0,"",SUMPRODUCT(MAX((tbl_Finance[Job Number]=C389&amp;"")*(tbl_Finance[Xero Invoice No]&lt;&gt;"")*tbl_Finance[Date]))),""))</f>
        <v/>
      </c>
      <c r="B389" s="25">
        <f>IF(C389="","",IF(COUNTIFS(tbl_Finance[Job Number],C389&amp;"",tbl_Finance[Xero Invoice No],"&lt;&gt;")=0,"",IFERROR(IF(COUNTIFS(tbl_Finance[Job Number],C389&amp;"",tbl_Finance[Xero Invoice No],LOOKUP(2,1/((tbl_Finance[Job Number]=C389&amp;"")*(tbl_Finance[Xero Invoice No]&lt;&gt;"")),tbl_Finance[Xero Invoice No]))=COUNTIFS(tbl_Finance[Job Number],C389&amp;"",tbl_Finance[Xero Invoice No],"&lt;&gt;"),LOOKUP(2,1/((tbl_Finance[Job Number]=C389&amp;"")*(tbl_Finance[Xero Invoice No]&lt;&gt;"")),tbl_Finance[Xero Invoice No]),LOOKUP(2,1/((tbl_Finance[Job Number]=C389&amp;"")*(tbl_Finance[Xero Invoice No]&lt;&gt;"")),tbl_Finance[Xero Invoice No])&amp;" +more"),"")))</f>
        <v/>
      </c>
      <c r="C389" s="24" t="n"/>
      <c r="D389" s="25">
        <f>IF(C389="","",IF(COUNTIF(lst_Jobs,C389&amp;"")&gt;0,"OK","CHECK"))</f>
        <v/>
      </c>
      <c r="E389" s="25">
        <f>IF(C389="","",IFERROR(INDEX(lst_JobName,MATCH(C389&amp;"",lst_Jobs,0)),""))</f>
        <v/>
      </c>
      <c r="F389" s="25">
        <f>IF(C389="","",IFERROR(INDEX(tbl_Finance[Client],MATCH(C389&amp;"",tbl_Finance[Job Number],0)),""))</f>
        <v/>
      </c>
      <c r="G389" s="28">
        <f>IF(C389="","",COUNTIFS(tbl_Finance[Job Number],C389&amp;"",tbl_Finance[Ex GST],"&lt;&gt;"))</f>
        <v/>
      </c>
      <c r="H389" s="27">
        <f>IF(C389="","",SUMIFS(tbl_Finance[Ex GST],tbl_Finance[Job Number],C389&amp;""))</f>
        <v/>
      </c>
      <c r="I389" s="27">
        <f>IF(C389="","",SUMIFS(tbl_Finance[Ex GST],tbl_Finance[Job Number],C389&amp;"",tbl_Finance[Xero Invoice No],"&lt;&gt;"))</f>
        <v/>
      </c>
      <c r="J389" s="27">
        <f>IF(C389="","",H389-I389)</f>
        <v/>
      </c>
      <c r="K389" s="25">
        <f>IF(C389="","",IF(G389=0,"not invoiced yet",SUBSTITUTE(TRIM(IF(COUNTIFS(tbl_Finance[Job Number],C389&amp;"",tbl_Finance[Cost Centre],"ONSITE")&gt;0,"ONSITE ","")&amp;IF(COUNTIFS(tbl_Finance[Job Number],C389&amp;"",tbl_Finance[Cost Centre],"PRODUCTION")&gt;0,"PRODUCTION ","")&amp;IF(COUNTIFS(tbl_Finance[Job Number],C389&amp;"",tbl_Finance[Cost Centre],"VIDEO")&gt;0,"VIDEO ","")&amp;IF(COUNTIFS(tbl_Finance[Job Number],C389&amp;"",tbl_Finance[Cost Centre],"INTEGRATION")&gt;0,"INTEGRATION ","")&amp;IF(COUNTIFS(tbl_Finance[Job Number],C389&amp;"",tbl_Finance[Cost Centre],"CONSULTING")&gt;0,"CONSULTING ","")&amp;IF(COUNTIFS(tbl_Finance[Job Number],C389&amp;"",tbl_Finance[Cost Centre],"CTS")&gt;0,"CTS ",""))," ",", ")))</f>
        <v/>
      </c>
      <c r="L389" s="24" t="n"/>
      <c r="M389" s="25">
        <f>IF(L389="","",HYPERLINK(IF(LEFT(L389,4)="http",L389,set_QwilrBase&amp;L389),"Open quote"))</f>
        <v/>
      </c>
      <c r="N389" s="26" t="n"/>
      <c r="O389" s="26" t="n"/>
      <c r="P389" s="26" t="n"/>
      <c r="Q389" s="25">
        <f>IF(C389="","",IF(N(N389)+N(O389)+N(P389)=0,"Not split",IF(ROUND(N(N389)+N(O389)+N(P389),2)=ROUND(H389,2),"OK","MISMATCH")))</f>
        <v/>
      </c>
      <c r="R389" s="26" t="n"/>
      <c r="S389" s="26" t="n"/>
      <c r="T389" s="26" t="n"/>
      <c r="U389" s="27">
        <f>IF(C389="","",N(R389)+N(S389)+N(T389))</f>
        <v/>
      </c>
      <c r="V389" s="27">
        <f>IF(C389="","",H389-U389)</f>
        <v/>
      </c>
      <c r="W389" s="29">
        <f>IFERROR(V389/H389,"")</f>
        <v/>
      </c>
      <c r="X389" s="24" t="n"/>
    </row>
    <row r="390" ht="15" customHeight="1">
      <c r="A390" s="63">
        <f>IF(C390="","",IFERROR(IF(SUMPRODUCT(MAX((tbl_Finance[Job Number]=C390&amp;"")*(tbl_Finance[Xero Invoice No]&lt;&gt;"")*tbl_Finance[Date]))=0,"",SUMPRODUCT(MAX((tbl_Finance[Job Number]=C390&amp;"")*(tbl_Finance[Xero Invoice No]&lt;&gt;"")*tbl_Finance[Date]))),""))</f>
        <v/>
      </c>
      <c r="B390" s="25">
        <f>IF(C390="","",IF(COUNTIFS(tbl_Finance[Job Number],C390&amp;"",tbl_Finance[Xero Invoice No],"&lt;&gt;")=0,"",IFERROR(IF(COUNTIFS(tbl_Finance[Job Number],C390&amp;"",tbl_Finance[Xero Invoice No],LOOKUP(2,1/((tbl_Finance[Job Number]=C390&amp;"")*(tbl_Finance[Xero Invoice No]&lt;&gt;"")),tbl_Finance[Xero Invoice No]))=COUNTIFS(tbl_Finance[Job Number],C390&amp;"",tbl_Finance[Xero Invoice No],"&lt;&gt;"),LOOKUP(2,1/((tbl_Finance[Job Number]=C390&amp;"")*(tbl_Finance[Xero Invoice No]&lt;&gt;"")),tbl_Finance[Xero Invoice No]),LOOKUP(2,1/((tbl_Finance[Job Number]=C390&amp;"")*(tbl_Finance[Xero Invoice No]&lt;&gt;"")),tbl_Finance[Xero Invoice No])&amp;" +more"),"")))</f>
        <v/>
      </c>
      <c r="C390" s="24" t="n"/>
      <c r="D390" s="25">
        <f>IF(C390="","",IF(COUNTIF(lst_Jobs,C390&amp;"")&gt;0,"OK","CHECK"))</f>
        <v/>
      </c>
      <c r="E390" s="25">
        <f>IF(C390="","",IFERROR(INDEX(lst_JobName,MATCH(C390&amp;"",lst_Jobs,0)),""))</f>
        <v/>
      </c>
      <c r="F390" s="25">
        <f>IF(C390="","",IFERROR(INDEX(tbl_Finance[Client],MATCH(C390&amp;"",tbl_Finance[Job Number],0)),""))</f>
        <v/>
      </c>
      <c r="G390" s="28">
        <f>IF(C390="","",COUNTIFS(tbl_Finance[Job Number],C390&amp;"",tbl_Finance[Ex GST],"&lt;&gt;"))</f>
        <v/>
      </c>
      <c r="H390" s="27">
        <f>IF(C390="","",SUMIFS(tbl_Finance[Ex GST],tbl_Finance[Job Number],C390&amp;""))</f>
        <v/>
      </c>
      <c r="I390" s="27">
        <f>IF(C390="","",SUMIFS(tbl_Finance[Ex GST],tbl_Finance[Job Number],C390&amp;"",tbl_Finance[Xero Invoice No],"&lt;&gt;"))</f>
        <v/>
      </c>
      <c r="J390" s="27">
        <f>IF(C390="","",H390-I390)</f>
        <v/>
      </c>
      <c r="K390" s="25">
        <f>IF(C390="","",IF(G390=0,"not invoiced yet",SUBSTITUTE(TRIM(IF(COUNTIFS(tbl_Finance[Job Number],C390&amp;"",tbl_Finance[Cost Centre],"ONSITE")&gt;0,"ONSITE ","")&amp;IF(COUNTIFS(tbl_Finance[Job Number],C390&amp;"",tbl_Finance[Cost Centre],"PRODUCTION")&gt;0,"PRODUCTION ","")&amp;IF(COUNTIFS(tbl_Finance[Job Number],C390&amp;"",tbl_Finance[Cost Centre],"VIDEO")&gt;0,"VIDEO ","")&amp;IF(COUNTIFS(tbl_Finance[Job Number],C390&amp;"",tbl_Finance[Cost Centre],"INTEGRATION")&gt;0,"INTEGRATION ","")&amp;IF(COUNTIFS(tbl_Finance[Job Number],C390&amp;"",tbl_Finance[Cost Centre],"CONSULTING")&gt;0,"CONSULTING ","")&amp;IF(COUNTIFS(tbl_Finance[Job Number],C390&amp;"",tbl_Finance[Cost Centre],"CTS")&gt;0,"CTS ",""))," ",", ")))</f>
        <v/>
      </c>
      <c r="L390" s="24" t="n"/>
      <c r="M390" s="25">
        <f>IF(L390="","",HYPERLINK(IF(LEFT(L390,4)="http",L390,set_QwilrBase&amp;L390),"Open quote"))</f>
        <v/>
      </c>
      <c r="N390" s="26" t="n"/>
      <c r="O390" s="26" t="n"/>
      <c r="P390" s="26" t="n"/>
      <c r="Q390" s="25">
        <f>IF(C390="","",IF(N(N390)+N(O390)+N(P390)=0,"Not split",IF(ROUND(N(N390)+N(O390)+N(P390),2)=ROUND(H390,2),"OK","MISMATCH")))</f>
        <v/>
      </c>
      <c r="R390" s="26" t="n"/>
      <c r="S390" s="26" t="n"/>
      <c r="T390" s="26" t="n"/>
      <c r="U390" s="27">
        <f>IF(C390="","",N(R390)+N(S390)+N(T390))</f>
        <v/>
      </c>
      <c r="V390" s="27">
        <f>IF(C390="","",H390-U390)</f>
        <v/>
      </c>
      <c r="W390" s="29">
        <f>IFERROR(V390/H390,"")</f>
        <v/>
      </c>
      <c r="X390" s="24" t="n"/>
    </row>
    <row r="391" ht="15" customHeight="1">
      <c r="A391" s="63">
        <f>IF(C391="","",IFERROR(IF(SUMPRODUCT(MAX((tbl_Finance[Job Number]=C391&amp;"")*(tbl_Finance[Xero Invoice No]&lt;&gt;"")*tbl_Finance[Date]))=0,"",SUMPRODUCT(MAX((tbl_Finance[Job Number]=C391&amp;"")*(tbl_Finance[Xero Invoice No]&lt;&gt;"")*tbl_Finance[Date]))),""))</f>
        <v/>
      </c>
      <c r="B391" s="25">
        <f>IF(C391="","",IF(COUNTIFS(tbl_Finance[Job Number],C391&amp;"",tbl_Finance[Xero Invoice No],"&lt;&gt;")=0,"",IFERROR(IF(COUNTIFS(tbl_Finance[Job Number],C391&amp;"",tbl_Finance[Xero Invoice No],LOOKUP(2,1/((tbl_Finance[Job Number]=C391&amp;"")*(tbl_Finance[Xero Invoice No]&lt;&gt;"")),tbl_Finance[Xero Invoice No]))=COUNTIFS(tbl_Finance[Job Number],C391&amp;"",tbl_Finance[Xero Invoice No],"&lt;&gt;"),LOOKUP(2,1/((tbl_Finance[Job Number]=C391&amp;"")*(tbl_Finance[Xero Invoice No]&lt;&gt;"")),tbl_Finance[Xero Invoice No]),LOOKUP(2,1/((tbl_Finance[Job Number]=C391&amp;"")*(tbl_Finance[Xero Invoice No]&lt;&gt;"")),tbl_Finance[Xero Invoice No])&amp;" +more"),"")))</f>
        <v/>
      </c>
      <c r="C391" s="24" t="n"/>
      <c r="D391" s="25">
        <f>IF(C391="","",IF(COUNTIF(lst_Jobs,C391&amp;"")&gt;0,"OK","CHECK"))</f>
        <v/>
      </c>
      <c r="E391" s="25">
        <f>IF(C391="","",IFERROR(INDEX(lst_JobName,MATCH(C391&amp;"",lst_Jobs,0)),""))</f>
        <v/>
      </c>
      <c r="F391" s="25">
        <f>IF(C391="","",IFERROR(INDEX(tbl_Finance[Client],MATCH(C391&amp;"",tbl_Finance[Job Number],0)),""))</f>
        <v/>
      </c>
      <c r="G391" s="28">
        <f>IF(C391="","",COUNTIFS(tbl_Finance[Job Number],C391&amp;"",tbl_Finance[Ex GST],"&lt;&gt;"))</f>
        <v/>
      </c>
      <c r="H391" s="27">
        <f>IF(C391="","",SUMIFS(tbl_Finance[Ex GST],tbl_Finance[Job Number],C391&amp;""))</f>
        <v/>
      </c>
      <c r="I391" s="27">
        <f>IF(C391="","",SUMIFS(tbl_Finance[Ex GST],tbl_Finance[Job Number],C391&amp;"",tbl_Finance[Xero Invoice No],"&lt;&gt;"))</f>
        <v/>
      </c>
      <c r="J391" s="27">
        <f>IF(C391="","",H391-I391)</f>
        <v/>
      </c>
      <c r="K391" s="25">
        <f>IF(C391="","",IF(G391=0,"not invoiced yet",SUBSTITUTE(TRIM(IF(COUNTIFS(tbl_Finance[Job Number],C391&amp;"",tbl_Finance[Cost Centre],"ONSITE")&gt;0,"ONSITE ","")&amp;IF(COUNTIFS(tbl_Finance[Job Number],C391&amp;"",tbl_Finance[Cost Centre],"PRODUCTION")&gt;0,"PRODUCTION ","")&amp;IF(COUNTIFS(tbl_Finance[Job Number],C391&amp;"",tbl_Finance[Cost Centre],"VIDEO")&gt;0,"VIDEO ","")&amp;IF(COUNTIFS(tbl_Finance[Job Number],C391&amp;"",tbl_Finance[Cost Centre],"INTEGRATION")&gt;0,"INTEGRATION ","")&amp;IF(COUNTIFS(tbl_Finance[Job Number],C391&amp;"",tbl_Finance[Cost Centre],"CONSULTING")&gt;0,"CONSULTING ","")&amp;IF(COUNTIFS(tbl_Finance[Job Number],C391&amp;"",tbl_Finance[Cost Centre],"CTS")&gt;0,"CTS ",""))," ",", ")))</f>
        <v/>
      </c>
      <c r="L391" s="24" t="n"/>
      <c r="M391" s="25">
        <f>IF(L391="","",HYPERLINK(IF(LEFT(L391,4)="http",L391,set_QwilrBase&amp;L391),"Open quote"))</f>
        <v/>
      </c>
      <c r="N391" s="26" t="n"/>
      <c r="O391" s="26" t="n"/>
      <c r="P391" s="26" t="n"/>
      <c r="Q391" s="25">
        <f>IF(C391="","",IF(N(N391)+N(O391)+N(P391)=0,"Not split",IF(ROUND(N(N391)+N(O391)+N(P391),2)=ROUND(H391,2),"OK","MISMATCH")))</f>
        <v/>
      </c>
      <c r="R391" s="26" t="n"/>
      <c r="S391" s="26" t="n"/>
      <c r="T391" s="26" t="n"/>
      <c r="U391" s="27">
        <f>IF(C391="","",N(R391)+N(S391)+N(T391))</f>
        <v/>
      </c>
      <c r="V391" s="27">
        <f>IF(C391="","",H391-U391)</f>
        <v/>
      </c>
      <c r="W391" s="29">
        <f>IFERROR(V391/H391,"")</f>
        <v/>
      </c>
      <c r="X391" s="24" t="n"/>
    </row>
    <row r="392" ht="15" customHeight="1">
      <c r="A392" s="63">
        <f>IF(C392="","",IFERROR(IF(SUMPRODUCT(MAX((tbl_Finance[Job Number]=C392&amp;"")*(tbl_Finance[Xero Invoice No]&lt;&gt;"")*tbl_Finance[Date]))=0,"",SUMPRODUCT(MAX((tbl_Finance[Job Number]=C392&amp;"")*(tbl_Finance[Xero Invoice No]&lt;&gt;"")*tbl_Finance[Date]))),""))</f>
        <v/>
      </c>
      <c r="B392" s="25">
        <f>IF(C392="","",IF(COUNTIFS(tbl_Finance[Job Number],C392&amp;"",tbl_Finance[Xero Invoice No],"&lt;&gt;")=0,"",IFERROR(IF(COUNTIFS(tbl_Finance[Job Number],C392&amp;"",tbl_Finance[Xero Invoice No],LOOKUP(2,1/((tbl_Finance[Job Number]=C392&amp;"")*(tbl_Finance[Xero Invoice No]&lt;&gt;"")),tbl_Finance[Xero Invoice No]))=COUNTIFS(tbl_Finance[Job Number],C392&amp;"",tbl_Finance[Xero Invoice No],"&lt;&gt;"),LOOKUP(2,1/((tbl_Finance[Job Number]=C392&amp;"")*(tbl_Finance[Xero Invoice No]&lt;&gt;"")),tbl_Finance[Xero Invoice No]),LOOKUP(2,1/((tbl_Finance[Job Number]=C392&amp;"")*(tbl_Finance[Xero Invoice No]&lt;&gt;"")),tbl_Finance[Xero Invoice No])&amp;" +more"),"")))</f>
        <v/>
      </c>
      <c r="C392" s="24" t="n"/>
      <c r="D392" s="25">
        <f>IF(C392="","",IF(COUNTIF(lst_Jobs,C392&amp;"")&gt;0,"OK","CHECK"))</f>
        <v/>
      </c>
      <c r="E392" s="25">
        <f>IF(C392="","",IFERROR(INDEX(lst_JobName,MATCH(C392&amp;"",lst_Jobs,0)),""))</f>
        <v/>
      </c>
      <c r="F392" s="25">
        <f>IF(C392="","",IFERROR(INDEX(tbl_Finance[Client],MATCH(C392&amp;"",tbl_Finance[Job Number],0)),""))</f>
        <v/>
      </c>
      <c r="G392" s="28">
        <f>IF(C392="","",COUNTIFS(tbl_Finance[Job Number],C392&amp;"",tbl_Finance[Ex GST],"&lt;&gt;"))</f>
        <v/>
      </c>
      <c r="H392" s="27">
        <f>IF(C392="","",SUMIFS(tbl_Finance[Ex GST],tbl_Finance[Job Number],C392&amp;""))</f>
        <v/>
      </c>
      <c r="I392" s="27">
        <f>IF(C392="","",SUMIFS(tbl_Finance[Ex GST],tbl_Finance[Job Number],C392&amp;"",tbl_Finance[Xero Invoice No],"&lt;&gt;"))</f>
        <v/>
      </c>
      <c r="J392" s="27">
        <f>IF(C392="","",H392-I392)</f>
        <v/>
      </c>
      <c r="K392" s="25">
        <f>IF(C392="","",IF(G392=0,"not invoiced yet",SUBSTITUTE(TRIM(IF(COUNTIFS(tbl_Finance[Job Number],C392&amp;"",tbl_Finance[Cost Centre],"ONSITE")&gt;0,"ONSITE ","")&amp;IF(COUNTIFS(tbl_Finance[Job Number],C392&amp;"",tbl_Finance[Cost Centre],"PRODUCTION")&gt;0,"PRODUCTION ","")&amp;IF(COUNTIFS(tbl_Finance[Job Number],C392&amp;"",tbl_Finance[Cost Centre],"VIDEO")&gt;0,"VIDEO ","")&amp;IF(COUNTIFS(tbl_Finance[Job Number],C392&amp;"",tbl_Finance[Cost Centre],"INTEGRATION")&gt;0,"INTEGRATION ","")&amp;IF(COUNTIFS(tbl_Finance[Job Number],C392&amp;"",tbl_Finance[Cost Centre],"CONSULTING")&gt;0,"CONSULTING ","")&amp;IF(COUNTIFS(tbl_Finance[Job Number],C392&amp;"",tbl_Finance[Cost Centre],"CTS")&gt;0,"CTS ",""))," ",", ")))</f>
        <v/>
      </c>
      <c r="L392" s="24" t="n"/>
      <c r="M392" s="25">
        <f>IF(L392="","",HYPERLINK(IF(LEFT(L392,4)="http",L392,set_QwilrBase&amp;L392),"Open quote"))</f>
        <v/>
      </c>
      <c r="N392" s="26" t="n"/>
      <c r="O392" s="26" t="n"/>
      <c r="P392" s="26" t="n"/>
      <c r="Q392" s="25">
        <f>IF(C392="","",IF(N(N392)+N(O392)+N(P392)=0,"Not split",IF(ROUND(N(N392)+N(O392)+N(P392),2)=ROUND(H392,2),"OK","MISMATCH")))</f>
        <v/>
      </c>
      <c r="R392" s="26" t="n"/>
      <c r="S392" s="26" t="n"/>
      <c r="T392" s="26" t="n"/>
      <c r="U392" s="27">
        <f>IF(C392="","",N(R392)+N(S392)+N(T392))</f>
        <v/>
      </c>
      <c r="V392" s="27">
        <f>IF(C392="","",H392-U392)</f>
        <v/>
      </c>
      <c r="W392" s="29">
        <f>IFERROR(V392/H392,"")</f>
        <v/>
      </c>
      <c r="X392" s="24" t="n"/>
    </row>
    <row r="393" ht="15" customHeight="1">
      <c r="A393" s="63">
        <f>IF(C393="","",IFERROR(IF(SUMPRODUCT(MAX((tbl_Finance[Job Number]=C393&amp;"")*(tbl_Finance[Xero Invoice No]&lt;&gt;"")*tbl_Finance[Date]))=0,"",SUMPRODUCT(MAX((tbl_Finance[Job Number]=C393&amp;"")*(tbl_Finance[Xero Invoice No]&lt;&gt;"")*tbl_Finance[Date]))),""))</f>
        <v/>
      </c>
      <c r="B393" s="25">
        <f>IF(C393="","",IF(COUNTIFS(tbl_Finance[Job Number],C393&amp;"",tbl_Finance[Xero Invoice No],"&lt;&gt;")=0,"",IFERROR(IF(COUNTIFS(tbl_Finance[Job Number],C393&amp;"",tbl_Finance[Xero Invoice No],LOOKUP(2,1/((tbl_Finance[Job Number]=C393&amp;"")*(tbl_Finance[Xero Invoice No]&lt;&gt;"")),tbl_Finance[Xero Invoice No]))=COUNTIFS(tbl_Finance[Job Number],C393&amp;"",tbl_Finance[Xero Invoice No],"&lt;&gt;"),LOOKUP(2,1/((tbl_Finance[Job Number]=C393&amp;"")*(tbl_Finance[Xero Invoice No]&lt;&gt;"")),tbl_Finance[Xero Invoice No]),LOOKUP(2,1/((tbl_Finance[Job Number]=C393&amp;"")*(tbl_Finance[Xero Invoice No]&lt;&gt;"")),tbl_Finance[Xero Invoice No])&amp;" +more"),"")))</f>
        <v/>
      </c>
      <c r="C393" s="24" t="n"/>
      <c r="D393" s="25">
        <f>IF(C393="","",IF(COUNTIF(lst_Jobs,C393&amp;"")&gt;0,"OK","CHECK"))</f>
        <v/>
      </c>
      <c r="E393" s="25">
        <f>IF(C393="","",IFERROR(INDEX(lst_JobName,MATCH(C393&amp;"",lst_Jobs,0)),""))</f>
        <v/>
      </c>
      <c r="F393" s="25">
        <f>IF(C393="","",IFERROR(INDEX(tbl_Finance[Client],MATCH(C393&amp;"",tbl_Finance[Job Number],0)),""))</f>
        <v/>
      </c>
      <c r="G393" s="28">
        <f>IF(C393="","",COUNTIFS(tbl_Finance[Job Number],C393&amp;"",tbl_Finance[Ex GST],"&lt;&gt;"))</f>
        <v/>
      </c>
      <c r="H393" s="27">
        <f>IF(C393="","",SUMIFS(tbl_Finance[Ex GST],tbl_Finance[Job Number],C393&amp;""))</f>
        <v/>
      </c>
      <c r="I393" s="27">
        <f>IF(C393="","",SUMIFS(tbl_Finance[Ex GST],tbl_Finance[Job Number],C393&amp;"",tbl_Finance[Xero Invoice No],"&lt;&gt;"))</f>
        <v/>
      </c>
      <c r="J393" s="27">
        <f>IF(C393="","",H393-I393)</f>
        <v/>
      </c>
      <c r="K393" s="25">
        <f>IF(C393="","",IF(G393=0,"not invoiced yet",SUBSTITUTE(TRIM(IF(COUNTIFS(tbl_Finance[Job Number],C393&amp;"",tbl_Finance[Cost Centre],"ONSITE")&gt;0,"ONSITE ","")&amp;IF(COUNTIFS(tbl_Finance[Job Number],C393&amp;"",tbl_Finance[Cost Centre],"PRODUCTION")&gt;0,"PRODUCTION ","")&amp;IF(COUNTIFS(tbl_Finance[Job Number],C393&amp;"",tbl_Finance[Cost Centre],"VIDEO")&gt;0,"VIDEO ","")&amp;IF(COUNTIFS(tbl_Finance[Job Number],C393&amp;"",tbl_Finance[Cost Centre],"INTEGRATION")&gt;0,"INTEGRATION ","")&amp;IF(COUNTIFS(tbl_Finance[Job Number],C393&amp;"",tbl_Finance[Cost Centre],"CONSULTING")&gt;0,"CONSULTING ","")&amp;IF(COUNTIFS(tbl_Finance[Job Number],C393&amp;"",tbl_Finance[Cost Centre],"CTS")&gt;0,"CTS ",""))," ",", ")))</f>
        <v/>
      </c>
      <c r="L393" s="24" t="n"/>
      <c r="M393" s="25">
        <f>IF(L393="","",HYPERLINK(IF(LEFT(L393,4)="http",L393,set_QwilrBase&amp;L393),"Open quote"))</f>
        <v/>
      </c>
      <c r="N393" s="26" t="n"/>
      <c r="O393" s="26" t="n"/>
      <c r="P393" s="26" t="n"/>
      <c r="Q393" s="25">
        <f>IF(C393="","",IF(N(N393)+N(O393)+N(P393)=0,"Not split",IF(ROUND(N(N393)+N(O393)+N(P393),2)=ROUND(H393,2),"OK","MISMATCH")))</f>
        <v/>
      </c>
      <c r="R393" s="26" t="n"/>
      <c r="S393" s="26" t="n"/>
      <c r="T393" s="26" t="n"/>
      <c r="U393" s="27">
        <f>IF(C393="","",N(R393)+N(S393)+N(T393))</f>
        <v/>
      </c>
      <c r="V393" s="27">
        <f>IF(C393="","",H393-U393)</f>
        <v/>
      </c>
      <c r="W393" s="29">
        <f>IFERROR(V393/H393,"")</f>
        <v/>
      </c>
      <c r="X393" s="24" t="n"/>
    </row>
    <row r="394" ht="15" customHeight="1">
      <c r="A394" s="63">
        <f>IF(C394="","",IFERROR(IF(SUMPRODUCT(MAX((tbl_Finance[Job Number]=C394&amp;"")*(tbl_Finance[Xero Invoice No]&lt;&gt;"")*tbl_Finance[Date]))=0,"",SUMPRODUCT(MAX((tbl_Finance[Job Number]=C394&amp;"")*(tbl_Finance[Xero Invoice No]&lt;&gt;"")*tbl_Finance[Date]))),""))</f>
        <v/>
      </c>
      <c r="B394" s="25">
        <f>IF(C394="","",IF(COUNTIFS(tbl_Finance[Job Number],C394&amp;"",tbl_Finance[Xero Invoice No],"&lt;&gt;")=0,"",IFERROR(IF(COUNTIFS(tbl_Finance[Job Number],C394&amp;"",tbl_Finance[Xero Invoice No],LOOKUP(2,1/((tbl_Finance[Job Number]=C394&amp;"")*(tbl_Finance[Xero Invoice No]&lt;&gt;"")),tbl_Finance[Xero Invoice No]))=COUNTIFS(tbl_Finance[Job Number],C394&amp;"",tbl_Finance[Xero Invoice No],"&lt;&gt;"),LOOKUP(2,1/((tbl_Finance[Job Number]=C394&amp;"")*(tbl_Finance[Xero Invoice No]&lt;&gt;"")),tbl_Finance[Xero Invoice No]),LOOKUP(2,1/((tbl_Finance[Job Number]=C394&amp;"")*(tbl_Finance[Xero Invoice No]&lt;&gt;"")),tbl_Finance[Xero Invoice No])&amp;" +more"),"")))</f>
        <v/>
      </c>
      <c r="C394" s="24" t="n"/>
      <c r="D394" s="25">
        <f>IF(C394="","",IF(COUNTIF(lst_Jobs,C394&amp;"")&gt;0,"OK","CHECK"))</f>
        <v/>
      </c>
      <c r="E394" s="25">
        <f>IF(C394="","",IFERROR(INDEX(lst_JobName,MATCH(C394&amp;"",lst_Jobs,0)),""))</f>
        <v/>
      </c>
      <c r="F394" s="25">
        <f>IF(C394="","",IFERROR(INDEX(tbl_Finance[Client],MATCH(C394&amp;"",tbl_Finance[Job Number],0)),""))</f>
        <v/>
      </c>
      <c r="G394" s="28">
        <f>IF(C394="","",COUNTIFS(tbl_Finance[Job Number],C394&amp;"",tbl_Finance[Ex GST],"&lt;&gt;"))</f>
        <v/>
      </c>
      <c r="H394" s="27">
        <f>IF(C394="","",SUMIFS(tbl_Finance[Ex GST],tbl_Finance[Job Number],C394&amp;""))</f>
        <v/>
      </c>
      <c r="I394" s="27">
        <f>IF(C394="","",SUMIFS(tbl_Finance[Ex GST],tbl_Finance[Job Number],C394&amp;"",tbl_Finance[Xero Invoice No],"&lt;&gt;"))</f>
        <v/>
      </c>
      <c r="J394" s="27">
        <f>IF(C394="","",H394-I394)</f>
        <v/>
      </c>
      <c r="K394" s="25">
        <f>IF(C394="","",IF(G394=0,"not invoiced yet",SUBSTITUTE(TRIM(IF(COUNTIFS(tbl_Finance[Job Number],C394&amp;"",tbl_Finance[Cost Centre],"ONSITE")&gt;0,"ONSITE ","")&amp;IF(COUNTIFS(tbl_Finance[Job Number],C394&amp;"",tbl_Finance[Cost Centre],"PRODUCTION")&gt;0,"PRODUCTION ","")&amp;IF(COUNTIFS(tbl_Finance[Job Number],C394&amp;"",tbl_Finance[Cost Centre],"VIDEO")&gt;0,"VIDEO ","")&amp;IF(COUNTIFS(tbl_Finance[Job Number],C394&amp;"",tbl_Finance[Cost Centre],"INTEGRATION")&gt;0,"INTEGRATION ","")&amp;IF(COUNTIFS(tbl_Finance[Job Number],C394&amp;"",tbl_Finance[Cost Centre],"CONSULTING")&gt;0,"CONSULTING ","")&amp;IF(COUNTIFS(tbl_Finance[Job Number],C394&amp;"",tbl_Finance[Cost Centre],"CTS")&gt;0,"CTS ",""))," ",", ")))</f>
        <v/>
      </c>
      <c r="L394" s="24" t="n"/>
      <c r="M394" s="25">
        <f>IF(L394="","",HYPERLINK(IF(LEFT(L394,4)="http",L394,set_QwilrBase&amp;L394),"Open quote"))</f>
        <v/>
      </c>
      <c r="N394" s="26" t="n"/>
      <c r="O394" s="26" t="n"/>
      <c r="P394" s="26" t="n"/>
      <c r="Q394" s="25">
        <f>IF(C394="","",IF(N(N394)+N(O394)+N(P394)=0,"Not split",IF(ROUND(N(N394)+N(O394)+N(P394),2)=ROUND(H394,2),"OK","MISMATCH")))</f>
        <v/>
      </c>
      <c r="R394" s="26" t="n"/>
      <c r="S394" s="26" t="n"/>
      <c r="T394" s="26" t="n"/>
      <c r="U394" s="27">
        <f>IF(C394="","",N(R394)+N(S394)+N(T394))</f>
        <v/>
      </c>
      <c r="V394" s="27">
        <f>IF(C394="","",H394-U394)</f>
        <v/>
      </c>
      <c r="W394" s="29">
        <f>IFERROR(V394/H394,"")</f>
        <v/>
      </c>
      <c r="X394" s="24" t="n"/>
    </row>
    <row r="395" ht="15" customHeight="1">
      <c r="A395" s="63">
        <f>IF(C395="","",IFERROR(IF(SUMPRODUCT(MAX((tbl_Finance[Job Number]=C395&amp;"")*(tbl_Finance[Xero Invoice No]&lt;&gt;"")*tbl_Finance[Date]))=0,"",SUMPRODUCT(MAX((tbl_Finance[Job Number]=C395&amp;"")*(tbl_Finance[Xero Invoice No]&lt;&gt;"")*tbl_Finance[Date]))),""))</f>
        <v/>
      </c>
      <c r="B395" s="25">
        <f>IF(C395="","",IF(COUNTIFS(tbl_Finance[Job Number],C395&amp;"",tbl_Finance[Xero Invoice No],"&lt;&gt;")=0,"",IFERROR(IF(COUNTIFS(tbl_Finance[Job Number],C395&amp;"",tbl_Finance[Xero Invoice No],LOOKUP(2,1/((tbl_Finance[Job Number]=C395&amp;"")*(tbl_Finance[Xero Invoice No]&lt;&gt;"")),tbl_Finance[Xero Invoice No]))=COUNTIFS(tbl_Finance[Job Number],C395&amp;"",tbl_Finance[Xero Invoice No],"&lt;&gt;"),LOOKUP(2,1/((tbl_Finance[Job Number]=C395&amp;"")*(tbl_Finance[Xero Invoice No]&lt;&gt;"")),tbl_Finance[Xero Invoice No]),LOOKUP(2,1/((tbl_Finance[Job Number]=C395&amp;"")*(tbl_Finance[Xero Invoice No]&lt;&gt;"")),tbl_Finance[Xero Invoice No])&amp;" +more"),"")))</f>
        <v/>
      </c>
      <c r="C395" s="24" t="n"/>
      <c r="D395" s="25">
        <f>IF(C395="","",IF(COUNTIF(lst_Jobs,C395&amp;"")&gt;0,"OK","CHECK"))</f>
        <v/>
      </c>
      <c r="E395" s="25">
        <f>IF(C395="","",IFERROR(INDEX(lst_JobName,MATCH(C395&amp;"",lst_Jobs,0)),""))</f>
        <v/>
      </c>
      <c r="F395" s="25">
        <f>IF(C395="","",IFERROR(INDEX(tbl_Finance[Client],MATCH(C395&amp;"",tbl_Finance[Job Number],0)),""))</f>
        <v/>
      </c>
      <c r="G395" s="28">
        <f>IF(C395="","",COUNTIFS(tbl_Finance[Job Number],C395&amp;"",tbl_Finance[Ex GST],"&lt;&gt;"))</f>
        <v/>
      </c>
      <c r="H395" s="27">
        <f>IF(C395="","",SUMIFS(tbl_Finance[Ex GST],tbl_Finance[Job Number],C395&amp;""))</f>
        <v/>
      </c>
      <c r="I395" s="27">
        <f>IF(C395="","",SUMIFS(tbl_Finance[Ex GST],tbl_Finance[Job Number],C395&amp;"",tbl_Finance[Xero Invoice No],"&lt;&gt;"))</f>
        <v/>
      </c>
      <c r="J395" s="27">
        <f>IF(C395="","",H395-I395)</f>
        <v/>
      </c>
      <c r="K395" s="25">
        <f>IF(C395="","",IF(G395=0,"not invoiced yet",SUBSTITUTE(TRIM(IF(COUNTIFS(tbl_Finance[Job Number],C395&amp;"",tbl_Finance[Cost Centre],"ONSITE")&gt;0,"ONSITE ","")&amp;IF(COUNTIFS(tbl_Finance[Job Number],C395&amp;"",tbl_Finance[Cost Centre],"PRODUCTION")&gt;0,"PRODUCTION ","")&amp;IF(COUNTIFS(tbl_Finance[Job Number],C395&amp;"",tbl_Finance[Cost Centre],"VIDEO")&gt;0,"VIDEO ","")&amp;IF(COUNTIFS(tbl_Finance[Job Number],C395&amp;"",tbl_Finance[Cost Centre],"INTEGRATION")&gt;0,"INTEGRATION ","")&amp;IF(COUNTIFS(tbl_Finance[Job Number],C395&amp;"",tbl_Finance[Cost Centre],"CONSULTING")&gt;0,"CONSULTING ","")&amp;IF(COUNTIFS(tbl_Finance[Job Number],C395&amp;"",tbl_Finance[Cost Centre],"CTS")&gt;0,"CTS ",""))," ",", ")))</f>
        <v/>
      </c>
      <c r="L395" s="24" t="n"/>
      <c r="M395" s="25">
        <f>IF(L395="","",HYPERLINK(IF(LEFT(L395,4)="http",L395,set_QwilrBase&amp;L395),"Open quote"))</f>
        <v/>
      </c>
      <c r="N395" s="26" t="n"/>
      <c r="O395" s="26" t="n"/>
      <c r="P395" s="26" t="n"/>
      <c r="Q395" s="25">
        <f>IF(C395="","",IF(N(N395)+N(O395)+N(P395)=0,"Not split",IF(ROUND(N(N395)+N(O395)+N(P395),2)=ROUND(H395,2),"OK","MISMATCH")))</f>
        <v/>
      </c>
      <c r="R395" s="26" t="n"/>
      <c r="S395" s="26" t="n"/>
      <c r="T395" s="26" t="n"/>
      <c r="U395" s="27">
        <f>IF(C395="","",N(R395)+N(S395)+N(T395))</f>
        <v/>
      </c>
      <c r="V395" s="27">
        <f>IF(C395="","",H395-U395)</f>
        <v/>
      </c>
      <c r="W395" s="29">
        <f>IFERROR(V395/H395,"")</f>
        <v/>
      </c>
      <c r="X395" s="24" t="n"/>
    </row>
    <row r="396" ht="15" customHeight="1">
      <c r="A396" s="63">
        <f>IF(C396="","",IFERROR(IF(SUMPRODUCT(MAX((tbl_Finance[Job Number]=C396&amp;"")*(tbl_Finance[Xero Invoice No]&lt;&gt;"")*tbl_Finance[Date]))=0,"",SUMPRODUCT(MAX((tbl_Finance[Job Number]=C396&amp;"")*(tbl_Finance[Xero Invoice No]&lt;&gt;"")*tbl_Finance[Date]))),""))</f>
        <v/>
      </c>
      <c r="B396" s="25">
        <f>IF(C396="","",IF(COUNTIFS(tbl_Finance[Job Number],C396&amp;"",tbl_Finance[Xero Invoice No],"&lt;&gt;")=0,"",IFERROR(IF(COUNTIFS(tbl_Finance[Job Number],C396&amp;"",tbl_Finance[Xero Invoice No],LOOKUP(2,1/((tbl_Finance[Job Number]=C396&amp;"")*(tbl_Finance[Xero Invoice No]&lt;&gt;"")),tbl_Finance[Xero Invoice No]))=COUNTIFS(tbl_Finance[Job Number],C396&amp;"",tbl_Finance[Xero Invoice No],"&lt;&gt;"),LOOKUP(2,1/((tbl_Finance[Job Number]=C396&amp;"")*(tbl_Finance[Xero Invoice No]&lt;&gt;"")),tbl_Finance[Xero Invoice No]),LOOKUP(2,1/((tbl_Finance[Job Number]=C396&amp;"")*(tbl_Finance[Xero Invoice No]&lt;&gt;"")),tbl_Finance[Xero Invoice No])&amp;" +more"),"")))</f>
        <v/>
      </c>
      <c r="C396" s="24" t="n"/>
      <c r="D396" s="25">
        <f>IF(C396="","",IF(COUNTIF(lst_Jobs,C396&amp;"")&gt;0,"OK","CHECK"))</f>
        <v/>
      </c>
      <c r="E396" s="25">
        <f>IF(C396="","",IFERROR(INDEX(lst_JobName,MATCH(C396&amp;"",lst_Jobs,0)),""))</f>
        <v/>
      </c>
      <c r="F396" s="25">
        <f>IF(C396="","",IFERROR(INDEX(tbl_Finance[Client],MATCH(C396&amp;"",tbl_Finance[Job Number],0)),""))</f>
        <v/>
      </c>
      <c r="G396" s="28">
        <f>IF(C396="","",COUNTIFS(tbl_Finance[Job Number],C396&amp;"",tbl_Finance[Ex GST],"&lt;&gt;"))</f>
        <v/>
      </c>
      <c r="H396" s="27">
        <f>IF(C396="","",SUMIFS(tbl_Finance[Ex GST],tbl_Finance[Job Number],C396&amp;""))</f>
        <v/>
      </c>
      <c r="I396" s="27">
        <f>IF(C396="","",SUMIFS(tbl_Finance[Ex GST],tbl_Finance[Job Number],C396&amp;"",tbl_Finance[Xero Invoice No],"&lt;&gt;"))</f>
        <v/>
      </c>
      <c r="J396" s="27">
        <f>IF(C396="","",H396-I396)</f>
        <v/>
      </c>
      <c r="K396" s="25">
        <f>IF(C396="","",IF(G396=0,"not invoiced yet",SUBSTITUTE(TRIM(IF(COUNTIFS(tbl_Finance[Job Number],C396&amp;"",tbl_Finance[Cost Centre],"ONSITE")&gt;0,"ONSITE ","")&amp;IF(COUNTIFS(tbl_Finance[Job Number],C396&amp;"",tbl_Finance[Cost Centre],"PRODUCTION")&gt;0,"PRODUCTION ","")&amp;IF(COUNTIFS(tbl_Finance[Job Number],C396&amp;"",tbl_Finance[Cost Centre],"VIDEO")&gt;0,"VIDEO ","")&amp;IF(COUNTIFS(tbl_Finance[Job Number],C396&amp;"",tbl_Finance[Cost Centre],"INTEGRATION")&gt;0,"INTEGRATION ","")&amp;IF(COUNTIFS(tbl_Finance[Job Number],C396&amp;"",tbl_Finance[Cost Centre],"CONSULTING")&gt;0,"CONSULTING ","")&amp;IF(COUNTIFS(tbl_Finance[Job Number],C396&amp;"",tbl_Finance[Cost Centre],"CTS")&gt;0,"CTS ",""))," ",", ")))</f>
        <v/>
      </c>
      <c r="L396" s="24" t="n"/>
      <c r="M396" s="25">
        <f>IF(L396="","",HYPERLINK(IF(LEFT(L396,4)="http",L396,set_QwilrBase&amp;L396),"Open quote"))</f>
        <v/>
      </c>
      <c r="N396" s="26" t="n"/>
      <c r="O396" s="26" t="n"/>
      <c r="P396" s="26" t="n"/>
      <c r="Q396" s="25">
        <f>IF(C396="","",IF(N(N396)+N(O396)+N(P396)=0,"Not split",IF(ROUND(N(N396)+N(O396)+N(P396),2)=ROUND(H396,2),"OK","MISMATCH")))</f>
        <v/>
      </c>
      <c r="R396" s="26" t="n"/>
      <c r="S396" s="26" t="n"/>
      <c r="T396" s="26" t="n"/>
      <c r="U396" s="27">
        <f>IF(C396="","",N(R396)+N(S396)+N(T396))</f>
        <v/>
      </c>
      <c r="V396" s="27">
        <f>IF(C396="","",H396-U396)</f>
        <v/>
      </c>
      <c r="W396" s="29">
        <f>IFERROR(V396/H396,"")</f>
        <v/>
      </c>
      <c r="X396" s="24" t="n"/>
    </row>
    <row r="397" ht="15" customHeight="1">
      <c r="A397" s="63">
        <f>IF(C397="","",IFERROR(IF(SUMPRODUCT(MAX((tbl_Finance[Job Number]=C397&amp;"")*(tbl_Finance[Xero Invoice No]&lt;&gt;"")*tbl_Finance[Date]))=0,"",SUMPRODUCT(MAX((tbl_Finance[Job Number]=C397&amp;"")*(tbl_Finance[Xero Invoice No]&lt;&gt;"")*tbl_Finance[Date]))),""))</f>
        <v/>
      </c>
      <c r="B397" s="25">
        <f>IF(C397="","",IF(COUNTIFS(tbl_Finance[Job Number],C397&amp;"",tbl_Finance[Xero Invoice No],"&lt;&gt;")=0,"",IFERROR(IF(COUNTIFS(tbl_Finance[Job Number],C397&amp;"",tbl_Finance[Xero Invoice No],LOOKUP(2,1/((tbl_Finance[Job Number]=C397&amp;"")*(tbl_Finance[Xero Invoice No]&lt;&gt;"")),tbl_Finance[Xero Invoice No]))=COUNTIFS(tbl_Finance[Job Number],C397&amp;"",tbl_Finance[Xero Invoice No],"&lt;&gt;"),LOOKUP(2,1/((tbl_Finance[Job Number]=C397&amp;"")*(tbl_Finance[Xero Invoice No]&lt;&gt;"")),tbl_Finance[Xero Invoice No]),LOOKUP(2,1/((tbl_Finance[Job Number]=C397&amp;"")*(tbl_Finance[Xero Invoice No]&lt;&gt;"")),tbl_Finance[Xero Invoice No])&amp;" +more"),"")))</f>
        <v/>
      </c>
      <c r="C397" s="24" t="n"/>
      <c r="D397" s="25">
        <f>IF(C397="","",IF(COUNTIF(lst_Jobs,C397&amp;"")&gt;0,"OK","CHECK"))</f>
        <v/>
      </c>
      <c r="E397" s="25">
        <f>IF(C397="","",IFERROR(INDEX(lst_JobName,MATCH(C397&amp;"",lst_Jobs,0)),""))</f>
        <v/>
      </c>
      <c r="F397" s="25">
        <f>IF(C397="","",IFERROR(INDEX(tbl_Finance[Client],MATCH(C397&amp;"",tbl_Finance[Job Number],0)),""))</f>
        <v/>
      </c>
      <c r="G397" s="28">
        <f>IF(C397="","",COUNTIFS(tbl_Finance[Job Number],C397&amp;"",tbl_Finance[Ex GST],"&lt;&gt;"))</f>
        <v/>
      </c>
      <c r="H397" s="27">
        <f>IF(C397="","",SUMIFS(tbl_Finance[Ex GST],tbl_Finance[Job Number],C397&amp;""))</f>
        <v/>
      </c>
      <c r="I397" s="27">
        <f>IF(C397="","",SUMIFS(tbl_Finance[Ex GST],tbl_Finance[Job Number],C397&amp;"",tbl_Finance[Xero Invoice No],"&lt;&gt;"))</f>
        <v/>
      </c>
      <c r="J397" s="27">
        <f>IF(C397="","",H397-I397)</f>
        <v/>
      </c>
      <c r="K397" s="25">
        <f>IF(C397="","",IF(G397=0,"not invoiced yet",SUBSTITUTE(TRIM(IF(COUNTIFS(tbl_Finance[Job Number],C397&amp;"",tbl_Finance[Cost Centre],"ONSITE")&gt;0,"ONSITE ","")&amp;IF(COUNTIFS(tbl_Finance[Job Number],C397&amp;"",tbl_Finance[Cost Centre],"PRODUCTION")&gt;0,"PRODUCTION ","")&amp;IF(COUNTIFS(tbl_Finance[Job Number],C397&amp;"",tbl_Finance[Cost Centre],"VIDEO")&gt;0,"VIDEO ","")&amp;IF(COUNTIFS(tbl_Finance[Job Number],C397&amp;"",tbl_Finance[Cost Centre],"INTEGRATION")&gt;0,"INTEGRATION ","")&amp;IF(COUNTIFS(tbl_Finance[Job Number],C397&amp;"",tbl_Finance[Cost Centre],"CONSULTING")&gt;0,"CONSULTING ","")&amp;IF(COUNTIFS(tbl_Finance[Job Number],C397&amp;"",tbl_Finance[Cost Centre],"CTS")&gt;0,"CTS ",""))," ",", ")))</f>
        <v/>
      </c>
      <c r="L397" s="24" t="n"/>
      <c r="M397" s="25">
        <f>IF(L397="","",HYPERLINK(IF(LEFT(L397,4)="http",L397,set_QwilrBase&amp;L397),"Open quote"))</f>
        <v/>
      </c>
      <c r="N397" s="26" t="n"/>
      <c r="O397" s="26" t="n"/>
      <c r="P397" s="26" t="n"/>
      <c r="Q397" s="25">
        <f>IF(C397="","",IF(N(N397)+N(O397)+N(P397)=0,"Not split",IF(ROUND(N(N397)+N(O397)+N(P397),2)=ROUND(H397,2),"OK","MISMATCH")))</f>
        <v/>
      </c>
      <c r="R397" s="26" t="n"/>
      <c r="S397" s="26" t="n"/>
      <c r="T397" s="26" t="n"/>
      <c r="U397" s="27">
        <f>IF(C397="","",N(R397)+N(S397)+N(T397))</f>
        <v/>
      </c>
      <c r="V397" s="27">
        <f>IF(C397="","",H397-U397)</f>
        <v/>
      </c>
      <c r="W397" s="29">
        <f>IFERROR(V397/H397,"")</f>
        <v/>
      </c>
      <c r="X397" s="24" t="n"/>
    </row>
    <row r="398" ht="15" customHeight="1">
      <c r="A398" s="63">
        <f>IF(C398="","",IFERROR(IF(SUMPRODUCT(MAX((tbl_Finance[Job Number]=C398&amp;"")*(tbl_Finance[Xero Invoice No]&lt;&gt;"")*tbl_Finance[Date]))=0,"",SUMPRODUCT(MAX((tbl_Finance[Job Number]=C398&amp;"")*(tbl_Finance[Xero Invoice No]&lt;&gt;"")*tbl_Finance[Date]))),""))</f>
        <v/>
      </c>
      <c r="B398" s="25">
        <f>IF(C398="","",IF(COUNTIFS(tbl_Finance[Job Number],C398&amp;"",tbl_Finance[Xero Invoice No],"&lt;&gt;")=0,"",IFERROR(IF(COUNTIFS(tbl_Finance[Job Number],C398&amp;"",tbl_Finance[Xero Invoice No],LOOKUP(2,1/((tbl_Finance[Job Number]=C398&amp;"")*(tbl_Finance[Xero Invoice No]&lt;&gt;"")),tbl_Finance[Xero Invoice No]))=COUNTIFS(tbl_Finance[Job Number],C398&amp;"",tbl_Finance[Xero Invoice No],"&lt;&gt;"),LOOKUP(2,1/((tbl_Finance[Job Number]=C398&amp;"")*(tbl_Finance[Xero Invoice No]&lt;&gt;"")),tbl_Finance[Xero Invoice No]),LOOKUP(2,1/((tbl_Finance[Job Number]=C398&amp;"")*(tbl_Finance[Xero Invoice No]&lt;&gt;"")),tbl_Finance[Xero Invoice No])&amp;" +more"),"")))</f>
        <v/>
      </c>
      <c r="C398" s="24" t="n"/>
      <c r="D398" s="25">
        <f>IF(C398="","",IF(COUNTIF(lst_Jobs,C398&amp;"")&gt;0,"OK","CHECK"))</f>
        <v/>
      </c>
      <c r="E398" s="25">
        <f>IF(C398="","",IFERROR(INDEX(lst_JobName,MATCH(C398&amp;"",lst_Jobs,0)),""))</f>
        <v/>
      </c>
      <c r="F398" s="25">
        <f>IF(C398="","",IFERROR(INDEX(tbl_Finance[Client],MATCH(C398&amp;"",tbl_Finance[Job Number],0)),""))</f>
        <v/>
      </c>
      <c r="G398" s="28">
        <f>IF(C398="","",COUNTIFS(tbl_Finance[Job Number],C398&amp;"",tbl_Finance[Ex GST],"&lt;&gt;"))</f>
        <v/>
      </c>
      <c r="H398" s="27">
        <f>IF(C398="","",SUMIFS(tbl_Finance[Ex GST],tbl_Finance[Job Number],C398&amp;""))</f>
        <v/>
      </c>
      <c r="I398" s="27">
        <f>IF(C398="","",SUMIFS(tbl_Finance[Ex GST],tbl_Finance[Job Number],C398&amp;"",tbl_Finance[Xero Invoice No],"&lt;&gt;"))</f>
        <v/>
      </c>
      <c r="J398" s="27">
        <f>IF(C398="","",H398-I398)</f>
        <v/>
      </c>
      <c r="K398" s="25">
        <f>IF(C398="","",IF(G398=0,"not invoiced yet",SUBSTITUTE(TRIM(IF(COUNTIFS(tbl_Finance[Job Number],C398&amp;"",tbl_Finance[Cost Centre],"ONSITE")&gt;0,"ONSITE ","")&amp;IF(COUNTIFS(tbl_Finance[Job Number],C398&amp;"",tbl_Finance[Cost Centre],"PRODUCTION")&gt;0,"PRODUCTION ","")&amp;IF(COUNTIFS(tbl_Finance[Job Number],C398&amp;"",tbl_Finance[Cost Centre],"VIDEO")&gt;0,"VIDEO ","")&amp;IF(COUNTIFS(tbl_Finance[Job Number],C398&amp;"",tbl_Finance[Cost Centre],"INTEGRATION")&gt;0,"INTEGRATION ","")&amp;IF(COUNTIFS(tbl_Finance[Job Number],C398&amp;"",tbl_Finance[Cost Centre],"CONSULTING")&gt;0,"CONSULTING ","")&amp;IF(COUNTIFS(tbl_Finance[Job Number],C398&amp;"",tbl_Finance[Cost Centre],"CTS")&gt;0,"CTS ",""))," ",", ")))</f>
        <v/>
      </c>
      <c r="L398" s="24" t="n"/>
      <c r="M398" s="25">
        <f>IF(L398="","",HYPERLINK(IF(LEFT(L398,4)="http",L398,set_QwilrBase&amp;L398),"Open quote"))</f>
        <v/>
      </c>
      <c r="N398" s="26" t="n"/>
      <c r="O398" s="26" t="n"/>
      <c r="P398" s="26" t="n"/>
      <c r="Q398" s="25">
        <f>IF(C398="","",IF(N(N398)+N(O398)+N(P398)=0,"Not split",IF(ROUND(N(N398)+N(O398)+N(P398),2)=ROUND(H398,2),"OK","MISMATCH")))</f>
        <v/>
      </c>
      <c r="R398" s="26" t="n"/>
      <c r="S398" s="26" t="n"/>
      <c r="T398" s="26" t="n"/>
      <c r="U398" s="27">
        <f>IF(C398="","",N(R398)+N(S398)+N(T398))</f>
        <v/>
      </c>
      <c r="V398" s="27">
        <f>IF(C398="","",H398-U398)</f>
        <v/>
      </c>
      <c r="W398" s="29">
        <f>IFERROR(V398/H398,"")</f>
        <v/>
      </c>
      <c r="X398" s="24" t="n"/>
    </row>
    <row r="399" ht="15" customHeight="1">
      <c r="A399" s="63">
        <f>IF(C399="","",IFERROR(IF(SUMPRODUCT(MAX((tbl_Finance[Job Number]=C399&amp;"")*(tbl_Finance[Xero Invoice No]&lt;&gt;"")*tbl_Finance[Date]))=0,"",SUMPRODUCT(MAX((tbl_Finance[Job Number]=C399&amp;"")*(tbl_Finance[Xero Invoice No]&lt;&gt;"")*tbl_Finance[Date]))),""))</f>
        <v/>
      </c>
      <c r="B399" s="25">
        <f>IF(C399="","",IF(COUNTIFS(tbl_Finance[Job Number],C399&amp;"",tbl_Finance[Xero Invoice No],"&lt;&gt;")=0,"",IFERROR(IF(COUNTIFS(tbl_Finance[Job Number],C399&amp;"",tbl_Finance[Xero Invoice No],LOOKUP(2,1/((tbl_Finance[Job Number]=C399&amp;"")*(tbl_Finance[Xero Invoice No]&lt;&gt;"")),tbl_Finance[Xero Invoice No]))=COUNTIFS(tbl_Finance[Job Number],C399&amp;"",tbl_Finance[Xero Invoice No],"&lt;&gt;"),LOOKUP(2,1/((tbl_Finance[Job Number]=C399&amp;"")*(tbl_Finance[Xero Invoice No]&lt;&gt;"")),tbl_Finance[Xero Invoice No]),LOOKUP(2,1/((tbl_Finance[Job Number]=C399&amp;"")*(tbl_Finance[Xero Invoice No]&lt;&gt;"")),tbl_Finance[Xero Invoice No])&amp;" +more"),"")))</f>
        <v/>
      </c>
      <c r="C399" s="24" t="n"/>
      <c r="D399" s="25">
        <f>IF(C399="","",IF(COUNTIF(lst_Jobs,C399&amp;"")&gt;0,"OK","CHECK"))</f>
        <v/>
      </c>
      <c r="E399" s="25">
        <f>IF(C399="","",IFERROR(INDEX(lst_JobName,MATCH(C399&amp;"",lst_Jobs,0)),""))</f>
        <v/>
      </c>
      <c r="F399" s="25">
        <f>IF(C399="","",IFERROR(INDEX(tbl_Finance[Client],MATCH(C399&amp;"",tbl_Finance[Job Number],0)),""))</f>
        <v/>
      </c>
      <c r="G399" s="28">
        <f>IF(C399="","",COUNTIFS(tbl_Finance[Job Number],C399&amp;"",tbl_Finance[Ex GST],"&lt;&gt;"))</f>
        <v/>
      </c>
      <c r="H399" s="27">
        <f>IF(C399="","",SUMIFS(tbl_Finance[Ex GST],tbl_Finance[Job Number],C399&amp;""))</f>
        <v/>
      </c>
      <c r="I399" s="27">
        <f>IF(C399="","",SUMIFS(tbl_Finance[Ex GST],tbl_Finance[Job Number],C399&amp;"",tbl_Finance[Xero Invoice No],"&lt;&gt;"))</f>
        <v/>
      </c>
      <c r="J399" s="27">
        <f>IF(C399="","",H399-I399)</f>
        <v/>
      </c>
      <c r="K399" s="25">
        <f>IF(C399="","",IF(G399=0,"not invoiced yet",SUBSTITUTE(TRIM(IF(COUNTIFS(tbl_Finance[Job Number],C399&amp;"",tbl_Finance[Cost Centre],"ONSITE")&gt;0,"ONSITE ","")&amp;IF(COUNTIFS(tbl_Finance[Job Number],C399&amp;"",tbl_Finance[Cost Centre],"PRODUCTION")&gt;0,"PRODUCTION ","")&amp;IF(COUNTIFS(tbl_Finance[Job Number],C399&amp;"",tbl_Finance[Cost Centre],"VIDEO")&gt;0,"VIDEO ","")&amp;IF(COUNTIFS(tbl_Finance[Job Number],C399&amp;"",tbl_Finance[Cost Centre],"INTEGRATION")&gt;0,"INTEGRATION ","")&amp;IF(COUNTIFS(tbl_Finance[Job Number],C399&amp;"",tbl_Finance[Cost Centre],"CONSULTING")&gt;0,"CONSULTING ","")&amp;IF(COUNTIFS(tbl_Finance[Job Number],C399&amp;"",tbl_Finance[Cost Centre],"CTS")&gt;0,"CTS ",""))," ",", ")))</f>
        <v/>
      </c>
      <c r="L399" s="24" t="n"/>
      <c r="M399" s="25">
        <f>IF(L399="","",HYPERLINK(IF(LEFT(L399,4)="http",L399,set_QwilrBase&amp;L399),"Open quote"))</f>
        <v/>
      </c>
      <c r="N399" s="26" t="n"/>
      <c r="O399" s="26" t="n"/>
      <c r="P399" s="26" t="n"/>
      <c r="Q399" s="25">
        <f>IF(C399="","",IF(N(N399)+N(O399)+N(P399)=0,"Not split",IF(ROUND(N(N399)+N(O399)+N(P399),2)=ROUND(H399,2),"OK","MISMATCH")))</f>
        <v/>
      </c>
      <c r="R399" s="26" t="n"/>
      <c r="S399" s="26" t="n"/>
      <c r="T399" s="26" t="n"/>
      <c r="U399" s="27">
        <f>IF(C399="","",N(R399)+N(S399)+N(T399))</f>
        <v/>
      </c>
      <c r="V399" s="27">
        <f>IF(C399="","",H399-U399)</f>
        <v/>
      </c>
      <c r="W399" s="29">
        <f>IFERROR(V399/H399,"")</f>
        <v/>
      </c>
      <c r="X399" s="24" t="n"/>
    </row>
    <row r="400" ht="15" customHeight="1">
      <c r="A400" s="63">
        <f>IF(C400="","",IFERROR(IF(SUMPRODUCT(MAX((tbl_Finance[Job Number]=C400&amp;"")*(tbl_Finance[Xero Invoice No]&lt;&gt;"")*tbl_Finance[Date]))=0,"",SUMPRODUCT(MAX((tbl_Finance[Job Number]=C400&amp;"")*(tbl_Finance[Xero Invoice No]&lt;&gt;"")*tbl_Finance[Date]))),""))</f>
        <v/>
      </c>
      <c r="B400" s="25">
        <f>IF(C400="","",IF(COUNTIFS(tbl_Finance[Job Number],C400&amp;"",tbl_Finance[Xero Invoice No],"&lt;&gt;")=0,"",IFERROR(IF(COUNTIFS(tbl_Finance[Job Number],C400&amp;"",tbl_Finance[Xero Invoice No],LOOKUP(2,1/((tbl_Finance[Job Number]=C400&amp;"")*(tbl_Finance[Xero Invoice No]&lt;&gt;"")),tbl_Finance[Xero Invoice No]))=COUNTIFS(tbl_Finance[Job Number],C400&amp;"",tbl_Finance[Xero Invoice No],"&lt;&gt;"),LOOKUP(2,1/((tbl_Finance[Job Number]=C400&amp;"")*(tbl_Finance[Xero Invoice No]&lt;&gt;"")),tbl_Finance[Xero Invoice No]),LOOKUP(2,1/((tbl_Finance[Job Number]=C400&amp;"")*(tbl_Finance[Xero Invoice No]&lt;&gt;"")),tbl_Finance[Xero Invoice No])&amp;" +more"),"")))</f>
        <v/>
      </c>
      <c r="C400" s="24" t="n"/>
      <c r="D400" s="25">
        <f>IF(C400="","",IF(COUNTIF(lst_Jobs,C400&amp;"")&gt;0,"OK","CHECK"))</f>
        <v/>
      </c>
      <c r="E400" s="25">
        <f>IF(C400="","",IFERROR(INDEX(lst_JobName,MATCH(C400&amp;"",lst_Jobs,0)),""))</f>
        <v/>
      </c>
      <c r="F400" s="25">
        <f>IF(C400="","",IFERROR(INDEX(tbl_Finance[Client],MATCH(C400&amp;"",tbl_Finance[Job Number],0)),""))</f>
        <v/>
      </c>
      <c r="G400" s="28">
        <f>IF(C400="","",COUNTIFS(tbl_Finance[Job Number],C400&amp;"",tbl_Finance[Ex GST],"&lt;&gt;"))</f>
        <v/>
      </c>
      <c r="H400" s="27">
        <f>IF(C400="","",SUMIFS(tbl_Finance[Ex GST],tbl_Finance[Job Number],C400&amp;""))</f>
        <v/>
      </c>
      <c r="I400" s="27">
        <f>IF(C400="","",SUMIFS(tbl_Finance[Ex GST],tbl_Finance[Job Number],C400&amp;"",tbl_Finance[Xero Invoice No],"&lt;&gt;"))</f>
        <v/>
      </c>
      <c r="J400" s="27">
        <f>IF(C400="","",H400-I400)</f>
        <v/>
      </c>
      <c r="K400" s="25">
        <f>IF(C400="","",IF(G400=0,"not invoiced yet",SUBSTITUTE(TRIM(IF(COUNTIFS(tbl_Finance[Job Number],C400&amp;"",tbl_Finance[Cost Centre],"ONSITE")&gt;0,"ONSITE ","")&amp;IF(COUNTIFS(tbl_Finance[Job Number],C400&amp;"",tbl_Finance[Cost Centre],"PRODUCTION")&gt;0,"PRODUCTION ","")&amp;IF(COUNTIFS(tbl_Finance[Job Number],C400&amp;"",tbl_Finance[Cost Centre],"VIDEO")&gt;0,"VIDEO ","")&amp;IF(COUNTIFS(tbl_Finance[Job Number],C400&amp;"",tbl_Finance[Cost Centre],"INTEGRATION")&gt;0,"INTEGRATION ","")&amp;IF(COUNTIFS(tbl_Finance[Job Number],C400&amp;"",tbl_Finance[Cost Centre],"CONSULTING")&gt;0,"CONSULTING ","")&amp;IF(COUNTIFS(tbl_Finance[Job Number],C400&amp;"",tbl_Finance[Cost Centre],"CTS")&gt;0,"CTS ",""))," ",", ")))</f>
        <v/>
      </c>
      <c r="L400" s="24" t="n"/>
      <c r="M400" s="25">
        <f>IF(L400="","",HYPERLINK(IF(LEFT(L400,4)="http",L400,set_QwilrBase&amp;L400),"Open quote"))</f>
        <v/>
      </c>
      <c r="N400" s="26" t="n"/>
      <c r="O400" s="26" t="n"/>
      <c r="P400" s="26" t="n"/>
      <c r="Q400" s="25">
        <f>IF(C400="","",IF(N(N400)+N(O400)+N(P400)=0,"Not split",IF(ROUND(N(N400)+N(O400)+N(P400),2)=ROUND(H400,2),"OK","MISMATCH")))</f>
        <v/>
      </c>
      <c r="R400" s="26" t="n"/>
      <c r="S400" s="26" t="n"/>
      <c r="T400" s="26" t="n"/>
      <c r="U400" s="27">
        <f>IF(C400="","",N(R400)+N(S400)+N(T400))</f>
        <v/>
      </c>
      <c r="V400" s="27">
        <f>IF(C400="","",H400-U400)</f>
        <v/>
      </c>
      <c r="W400" s="29">
        <f>IFERROR(V400/H400,"")</f>
        <v/>
      </c>
      <c r="X400" s="24" t="n"/>
    </row>
    <row r="401" ht="15" customHeight="1">
      <c r="A401" s="63">
        <f>IF(C401="","",IFERROR(IF(SUMPRODUCT(MAX((tbl_Finance[Job Number]=C401&amp;"")*(tbl_Finance[Xero Invoice No]&lt;&gt;"")*tbl_Finance[Date]))=0,"",SUMPRODUCT(MAX((tbl_Finance[Job Number]=C401&amp;"")*(tbl_Finance[Xero Invoice No]&lt;&gt;"")*tbl_Finance[Date]))),""))</f>
        <v/>
      </c>
      <c r="B401" s="25">
        <f>IF(C401="","",IF(COUNTIFS(tbl_Finance[Job Number],C401&amp;"",tbl_Finance[Xero Invoice No],"&lt;&gt;")=0,"",IFERROR(IF(COUNTIFS(tbl_Finance[Job Number],C401&amp;"",tbl_Finance[Xero Invoice No],LOOKUP(2,1/((tbl_Finance[Job Number]=C401&amp;"")*(tbl_Finance[Xero Invoice No]&lt;&gt;"")),tbl_Finance[Xero Invoice No]))=COUNTIFS(tbl_Finance[Job Number],C401&amp;"",tbl_Finance[Xero Invoice No],"&lt;&gt;"),LOOKUP(2,1/((tbl_Finance[Job Number]=C401&amp;"")*(tbl_Finance[Xero Invoice No]&lt;&gt;"")),tbl_Finance[Xero Invoice No]),LOOKUP(2,1/((tbl_Finance[Job Number]=C401&amp;"")*(tbl_Finance[Xero Invoice No]&lt;&gt;"")),tbl_Finance[Xero Invoice No])&amp;" +more"),"")))</f>
        <v/>
      </c>
      <c r="C401" s="24" t="n"/>
      <c r="D401" s="25">
        <f>IF(C401="","",IF(COUNTIF(lst_Jobs,C401&amp;"")&gt;0,"OK","CHECK"))</f>
        <v/>
      </c>
      <c r="E401" s="25">
        <f>IF(C401="","",IFERROR(INDEX(lst_JobName,MATCH(C401&amp;"",lst_Jobs,0)),""))</f>
        <v/>
      </c>
      <c r="F401" s="25">
        <f>IF(C401="","",IFERROR(INDEX(tbl_Finance[Client],MATCH(C401&amp;"",tbl_Finance[Job Number],0)),""))</f>
        <v/>
      </c>
      <c r="G401" s="28">
        <f>IF(C401="","",COUNTIFS(tbl_Finance[Job Number],C401&amp;"",tbl_Finance[Ex GST],"&lt;&gt;"))</f>
        <v/>
      </c>
      <c r="H401" s="27">
        <f>IF(C401="","",SUMIFS(tbl_Finance[Ex GST],tbl_Finance[Job Number],C401&amp;""))</f>
        <v/>
      </c>
      <c r="I401" s="27">
        <f>IF(C401="","",SUMIFS(tbl_Finance[Ex GST],tbl_Finance[Job Number],C401&amp;"",tbl_Finance[Xero Invoice No],"&lt;&gt;"))</f>
        <v/>
      </c>
      <c r="J401" s="27">
        <f>IF(C401="","",H401-I401)</f>
        <v/>
      </c>
      <c r="K401" s="25">
        <f>IF(C401="","",IF(G401=0,"not invoiced yet",SUBSTITUTE(TRIM(IF(COUNTIFS(tbl_Finance[Job Number],C401&amp;"",tbl_Finance[Cost Centre],"ONSITE")&gt;0,"ONSITE ","")&amp;IF(COUNTIFS(tbl_Finance[Job Number],C401&amp;"",tbl_Finance[Cost Centre],"PRODUCTION")&gt;0,"PRODUCTION ","")&amp;IF(COUNTIFS(tbl_Finance[Job Number],C401&amp;"",tbl_Finance[Cost Centre],"VIDEO")&gt;0,"VIDEO ","")&amp;IF(COUNTIFS(tbl_Finance[Job Number],C401&amp;"",tbl_Finance[Cost Centre],"INTEGRATION")&gt;0,"INTEGRATION ","")&amp;IF(COUNTIFS(tbl_Finance[Job Number],C401&amp;"",tbl_Finance[Cost Centre],"CONSULTING")&gt;0,"CONSULTING ","")&amp;IF(COUNTIFS(tbl_Finance[Job Number],C401&amp;"",tbl_Finance[Cost Centre],"CTS")&gt;0,"CTS ",""))," ",", ")))</f>
        <v/>
      </c>
      <c r="L401" s="24" t="n"/>
      <c r="M401" s="25">
        <f>IF(L401="","",HYPERLINK(IF(LEFT(L401,4)="http",L401,set_QwilrBase&amp;L401),"Open quote"))</f>
        <v/>
      </c>
      <c r="N401" s="26" t="n"/>
      <c r="O401" s="26" t="n"/>
      <c r="P401" s="26" t="n"/>
      <c r="Q401" s="25">
        <f>IF(C401="","",IF(N(N401)+N(O401)+N(P401)=0,"Not split",IF(ROUND(N(N401)+N(O401)+N(P401),2)=ROUND(H401,2),"OK","MISMATCH")))</f>
        <v/>
      </c>
      <c r="R401" s="26" t="n"/>
      <c r="S401" s="26" t="n"/>
      <c r="T401" s="26" t="n"/>
      <c r="U401" s="27">
        <f>IF(C401="","",N(R401)+N(S401)+N(T401))</f>
        <v/>
      </c>
      <c r="V401" s="27">
        <f>IF(C401="","",H401-U401)</f>
        <v/>
      </c>
      <c r="W401" s="29">
        <f>IFERROR(V401/H401,"")</f>
        <v/>
      </c>
      <c r="X401" s="24" t="n"/>
    </row>
    <row r="402" ht="15" customHeight="1">
      <c r="A402" s="63">
        <f>IF(C402="","",IFERROR(IF(SUMPRODUCT(MAX((tbl_Finance[Job Number]=C402&amp;"")*(tbl_Finance[Xero Invoice No]&lt;&gt;"")*tbl_Finance[Date]))=0,"",SUMPRODUCT(MAX((tbl_Finance[Job Number]=C402&amp;"")*(tbl_Finance[Xero Invoice No]&lt;&gt;"")*tbl_Finance[Date]))),""))</f>
        <v/>
      </c>
      <c r="B402" s="25">
        <f>IF(C402="","",IF(COUNTIFS(tbl_Finance[Job Number],C402&amp;"",tbl_Finance[Xero Invoice No],"&lt;&gt;")=0,"",IFERROR(IF(COUNTIFS(tbl_Finance[Job Number],C402&amp;"",tbl_Finance[Xero Invoice No],LOOKUP(2,1/((tbl_Finance[Job Number]=C402&amp;"")*(tbl_Finance[Xero Invoice No]&lt;&gt;"")),tbl_Finance[Xero Invoice No]))=COUNTIFS(tbl_Finance[Job Number],C402&amp;"",tbl_Finance[Xero Invoice No],"&lt;&gt;"),LOOKUP(2,1/((tbl_Finance[Job Number]=C402&amp;"")*(tbl_Finance[Xero Invoice No]&lt;&gt;"")),tbl_Finance[Xero Invoice No]),LOOKUP(2,1/((tbl_Finance[Job Number]=C402&amp;"")*(tbl_Finance[Xero Invoice No]&lt;&gt;"")),tbl_Finance[Xero Invoice No])&amp;" +more"),"")))</f>
        <v/>
      </c>
      <c r="C402" s="24" t="n"/>
      <c r="D402" s="25">
        <f>IF(C402="","",IF(COUNTIF(lst_Jobs,C402&amp;"")&gt;0,"OK","CHECK"))</f>
        <v/>
      </c>
      <c r="E402" s="25">
        <f>IF(C402="","",IFERROR(INDEX(lst_JobName,MATCH(C402&amp;"",lst_Jobs,0)),""))</f>
        <v/>
      </c>
      <c r="F402" s="25">
        <f>IF(C402="","",IFERROR(INDEX(tbl_Finance[Client],MATCH(C402&amp;"",tbl_Finance[Job Number],0)),""))</f>
        <v/>
      </c>
      <c r="G402" s="28">
        <f>IF(C402="","",COUNTIFS(tbl_Finance[Job Number],C402&amp;"",tbl_Finance[Ex GST],"&lt;&gt;"))</f>
        <v/>
      </c>
      <c r="H402" s="27">
        <f>IF(C402="","",SUMIFS(tbl_Finance[Ex GST],tbl_Finance[Job Number],C402&amp;""))</f>
        <v/>
      </c>
      <c r="I402" s="27">
        <f>IF(C402="","",SUMIFS(tbl_Finance[Ex GST],tbl_Finance[Job Number],C402&amp;"",tbl_Finance[Xero Invoice No],"&lt;&gt;"))</f>
        <v/>
      </c>
      <c r="J402" s="27">
        <f>IF(C402="","",H402-I402)</f>
        <v/>
      </c>
      <c r="K402" s="25">
        <f>IF(C402="","",IF(G402=0,"not invoiced yet",SUBSTITUTE(TRIM(IF(COUNTIFS(tbl_Finance[Job Number],C402&amp;"",tbl_Finance[Cost Centre],"ONSITE")&gt;0,"ONSITE ","")&amp;IF(COUNTIFS(tbl_Finance[Job Number],C402&amp;"",tbl_Finance[Cost Centre],"PRODUCTION")&gt;0,"PRODUCTION ","")&amp;IF(COUNTIFS(tbl_Finance[Job Number],C402&amp;"",tbl_Finance[Cost Centre],"VIDEO")&gt;0,"VIDEO ","")&amp;IF(COUNTIFS(tbl_Finance[Job Number],C402&amp;"",tbl_Finance[Cost Centre],"INTEGRATION")&gt;0,"INTEGRATION ","")&amp;IF(COUNTIFS(tbl_Finance[Job Number],C402&amp;"",tbl_Finance[Cost Centre],"CONSULTING")&gt;0,"CONSULTING ","")&amp;IF(COUNTIFS(tbl_Finance[Job Number],C402&amp;"",tbl_Finance[Cost Centre],"CTS")&gt;0,"CTS ",""))," ",", ")))</f>
        <v/>
      </c>
      <c r="L402" s="24" t="n"/>
      <c r="M402" s="25">
        <f>IF(L402="","",HYPERLINK(IF(LEFT(L402,4)="http",L402,set_QwilrBase&amp;L402),"Open quote"))</f>
        <v/>
      </c>
      <c r="N402" s="26" t="n"/>
      <c r="O402" s="26" t="n"/>
      <c r="P402" s="26" t="n"/>
      <c r="Q402" s="25">
        <f>IF(C402="","",IF(N(N402)+N(O402)+N(P402)=0,"Not split",IF(ROUND(N(N402)+N(O402)+N(P402),2)=ROUND(H402,2),"OK","MISMATCH")))</f>
        <v/>
      </c>
      <c r="R402" s="26" t="n"/>
      <c r="S402" s="26" t="n"/>
      <c r="T402" s="26" t="n"/>
      <c r="U402" s="27">
        <f>IF(C402="","",N(R402)+N(S402)+N(T402))</f>
        <v/>
      </c>
      <c r="V402" s="27">
        <f>IF(C402="","",H402-U402)</f>
        <v/>
      </c>
      <c r="W402" s="29">
        <f>IFERROR(V402/H402,"")</f>
        <v/>
      </c>
      <c r="X402" s="24" t="n"/>
    </row>
    <row r="403" ht="15" customHeight="1">
      <c r="A403" s="63">
        <f>IF(C403="","",IFERROR(IF(SUMPRODUCT(MAX((tbl_Finance[Job Number]=C403&amp;"")*(tbl_Finance[Xero Invoice No]&lt;&gt;"")*tbl_Finance[Date]))=0,"",SUMPRODUCT(MAX((tbl_Finance[Job Number]=C403&amp;"")*(tbl_Finance[Xero Invoice No]&lt;&gt;"")*tbl_Finance[Date]))),""))</f>
        <v/>
      </c>
      <c r="B403" s="25">
        <f>IF(C403="","",IF(COUNTIFS(tbl_Finance[Job Number],C403&amp;"",tbl_Finance[Xero Invoice No],"&lt;&gt;")=0,"",IFERROR(IF(COUNTIFS(tbl_Finance[Job Number],C403&amp;"",tbl_Finance[Xero Invoice No],LOOKUP(2,1/((tbl_Finance[Job Number]=C403&amp;"")*(tbl_Finance[Xero Invoice No]&lt;&gt;"")),tbl_Finance[Xero Invoice No]))=COUNTIFS(tbl_Finance[Job Number],C403&amp;"",tbl_Finance[Xero Invoice No],"&lt;&gt;"),LOOKUP(2,1/((tbl_Finance[Job Number]=C403&amp;"")*(tbl_Finance[Xero Invoice No]&lt;&gt;"")),tbl_Finance[Xero Invoice No]),LOOKUP(2,1/((tbl_Finance[Job Number]=C403&amp;"")*(tbl_Finance[Xero Invoice No]&lt;&gt;"")),tbl_Finance[Xero Invoice No])&amp;" +more"),"")))</f>
        <v/>
      </c>
      <c r="C403" s="24" t="n"/>
      <c r="D403" s="25">
        <f>IF(C403="","",IF(COUNTIF(lst_Jobs,C403&amp;"")&gt;0,"OK","CHECK"))</f>
        <v/>
      </c>
      <c r="E403" s="25">
        <f>IF(C403="","",IFERROR(INDEX(lst_JobName,MATCH(C403&amp;"",lst_Jobs,0)),""))</f>
        <v/>
      </c>
      <c r="F403" s="25">
        <f>IF(C403="","",IFERROR(INDEX(tbl_Finance[Client],MATCH(C403&amp;"",tbl_Finance[Job Number],0)),""))</f>
        <v/>
      </c>
      <c r="G403" s="28">
        <f>IF(C403="","",COUNTIFS(tbl_Finance[Job Number],C403&amp;"",tbl_Finance[Ex GST],"&lt;&gt;"))</f>
        <v/>
      </c>
      <c r="H403" s="27">
        <f>IF(C403="","",SUMIFS(tbl_Finance[Ex GST],tbl_Finance[Job Number],C403&amp;""))</f>
        <v/>
      </c>
      <c r="I403" s="27">
        <f>IF(C403="","",SUMIFS(tbl_Finance[Ex GST],tbl_Finance[Job Number],C403&amp;"",tbl_Finance[Xero Invoice No],"&lt;&gt;"))</f>
        <v/>
      </c>
      <c r="J403" s="27">
        <f>IF(C403="","",H403-I403)</f>
        <v/>
      </c>
      <c r="K403" s="25">
        <f>IF(C403="","",IF(G403=0,"not invoiced yet",SUBSTITUTE(TRIM(IF(COUNTIFS(tbl_Finance[Job Number],C403&amp;"",tbl_Finance[Cost Centre],"ONSITE")&gt;0,"ONSITE ","")&amp;IF(COUNTIFS(tbl_Finance[Job Number],C403&amp;"",tbl_Finance[Cost Centre],"PRODUCTION")&gt;0,"PRODUCTION ","")&amp;IF(COUNTIFS(tbl_Finance[Job Number],C403&amp;"",tbl_Finance[Cost Centre],"VIDEO")&gt;0,"VIDEO ","")&amp;IF(COUNTIFS(tbl_Finance[Job Number],C403&amp;"",tbl_Finance[Cost Centre],"INTEGRATION")&gt;0,"INTEGRATION ","")&amp;IF(COUNTIFS(tbl_Finance[Job Number],C403&amp;"",tbl_Finance[Cost Centre],"CONSULTING")&gt;0,"CONSULTING ","")&amp;IF(COUNTIFS(tbl_Finance[Job Number],C403&amp;"",tbl_Finance[Cost Centre],"CTS")&gt;0,"CTS ",""))," ",", ")))</f>
        <v/>
      </c>
      <c r="L403" s="24" t="n"/>
      <c r="M403" s="25">
        <f>IF(L403="","",HYPERLINK(IF(LEFT(L403,4)="http",L403,set_QwilrBase&amp;L403),"Open quote"))</f>
        <v/>
      </c>
      <c r="N403" s="26" t="n"/>
      <c r="O403" s="26" t="n"/>
      <c r="P403" s="26" t="n"/>
      <c r="Q403" s="25">
        <f>IF(C403="","",IF(N(N403)+N(O403)+N(P403)=0,"Not split",IF(ROUND(N(N403)+N(O403)+N(P403),2)=ROUND(H403,2),"OK","MISMATCH")))</f>
        <v/>
      </c>
      <c r="R403" s="26" t="n"/>
      <c r="S403" s="26" t="n"/>
      <c r="T403" s="26" t="n"/>
      <c r="U403" s="27">
        <f>IF(C403="","",N(R403)+N(S403)+N(T403))</f>
        <v/>
      </c>
      <c r="V403" s="27">
        <f>IF(C403="","",H403-U403)</f>
        <v/>
      </c>
      <c r="W403" s="29">
        <f>IFERROR(V403/H403,"")</f>
        <v/>
      </c>
      <c r="X403" s="24" t="n"/>
    </row>
    <row r="404" ht="15" customHeight="1">
      <c r="A404" s="63">
        <f>IF(C404="","",IFERROR(IF(SUMPRODUCT(MAX((tbl_Finance[Job Number]=C404&amp;"")*(tbl_Finance[Xero Invoice No]&lt;&gt;"")*tbl_Finance[Date]))=0,"",SUMPRODUCT(MAX((tbl_Finance[Job Number]=C404&amp;"")*(tbl_Finance[Xero Invoice No]&lt;&gt;"")*tbl_Finance[Date]))),""))</f>
        <v/>
      </c>
      <c r="B404" s="25">
        <f>IF(C404="","",IF(COUNTIFS(tbl_Finance[Job Number],C404&amp;"",tbl_Finance[Xero Invoice No],"&lt;&gt;")=0,"",IFERROR(IF(COUNTIFS(tbl_Finance[Job Number],C404&amp;"",tbl_Finance[Xero Invoice No],LOOKUP(2,1/((tbl_Finance[Job Number]=C404&amp;"")*(tbl_Finance[Xero Invoice No]&lt;&gt;"")),tbl_Finance[Xero Invoice No]))=COUNTIFS(tbl_Finance[Job Number],C404&amp;"",tbl_Finance[Xero Invoice No],"&lt;&gt;"),LOOKUP(2,1/((tbl_Finance[Job Number]=C404&amp;"")*(tbl_Finance[Xero Invoice No]&lt;&gt;"")),tbl_Finance[Xero Invoice No]),LOOKUP(2,1/((tbl_Finance[Job Number]=C404&amp;"")*(tbl_Finance[Xero Invoice No]&lt;&gt;"")),tbl_Finance[Xero Invoice No])&amp;" +more"),"")))</f>
        <v/>
      </c>
      <c r="C404" s="24" t="n"/>
      <c r="D404" s="25">
        <f>IF(C404="","",IF(COUNTIF(lst_Jobs,C404&amp;"")&gt;0,"OK","CHECK"))</f>
        <v/>
      </c>
      <c r="E404" s="25">
        <f>IF(C404="","",IFERROR(INDEX(lst_JobName,MATCH(C404&amp;"",lst_Jobs,0)),""))</f>
        <v/>
      </c>
      <c r="F404" s="25">
        <f>IF(C404="","",IFERROR(INDEX(tbl_Finance[Client],MATCH(C404&amp;"",tbl_Finance[Job Number],0)),""))</f>
        <v/>
      </c>
      <c r="G404" s="28">
        <f>IF(C404="","",COUNTIFS(tbl_Finance[Job Number],C404&amp;"",tbl_Finance[Ex GST],"&lt;&gt;"))</f>
        <v/>
      </c>
      <c r="H404" s="27">
        <f>IF(C404="","",SUMIFS(tbl_Finance[Ex GST],tbl_Finance[Job Number],C404&amp;""))</f>
        <v/>
      </c>
      <c r="I404" s="27">
        <f>IF(C404="","",SUMIFS(tbl_Finance[Ex GST],tbl_Finance[Job Number],C404&amp;"",tbl_Finance[Xero Invoice No],"&lt;&gt;"))</f>
        <v/>
      </c>
      <c r="J404" s="27">
        <f>IF(C404="","",H404-I404)</f>
        <v/>
      </c>
      <c r="K404" s="25">
        <f>IF(C404="","",IF(G404=0,"not invoiced yet",SUBSTITUTE(TRIM(IF(COUNTIFS(tbl_Finance[Job Number],C404&amp;"",tbl_Finance[Cost Centre],"ONSITE")&gt;0,"ONSITE ","")&amp;IF(COUNTIFS(tbl_Finance[Job Number],C404&amp;"",tbl_Finance[Cost Centre],"PRODUCTION")&gt;0,"PRODUCTION ","")&amp;IF(COUNTIFS(tbl_Finance[Job Number],C404&amp;"",tbl_Finance[Cost Centre],"VIDEO")&gt;0,"VIDEO ","")&amp;IF(COUNTIFS(tbl_Finance[Job Number],C404&amp;"",tbl_Finance[Cost Centre],"INTEGRATION")&gt;0,"INTEGRATION ","")&amp;IF(COUNTIFS(tbl_Finance[Job Number],C404&amp;"",tbl_Finance[Cost Centre],"CONSULTING")&gt;0,"CONSULTING ","")&amp;IF(COUNTIFS(tbl_Finance[Job Number],C404&amp;"",tbl_Finance[Cost Centre],"CTS")&gt;0,"CTS ",""))," ",", ")))</f>
        <v/>
      </c>
      <c r="L404" s="24" t="n"/>
      <c r="M404" s="25">
        <f>IF(L404="","",HYPERLINK(IF(LEFT(L404,4)="http",L404,set_QwilrBase&amp;L404),"Open quote"))</f>
        <v/>
      </c>
      <c r="N404" s="26" t="n"/>
      <c r="O404" s="26" t="n"/>
      <c r="P404" s="26" t="n"/>
      <c r="Q404" s="25">
        <f>IF(C404="","",IF(N(N404)+N(O404)+N(P404)=0,"Not split",IF(ROUND(N(N404)+N(O404)+N(P404),2)=ROUND(H404,2),"OK","MISMATCH")))</f>
        <v/>
      </c>
      <c r="R404" s="26" t="n"/>
      <c r="S404" s="26" t="n"/>
      <c r="T404" s="26" t="n"/>
      <c r="U404" s="27">
        <f>IF(C404="","",N(R404)+N(S404)+N(T404))</f>
        <v/>
      </c>
      <c r="V404" s="27">
        <f>IF(C404="","",H404-U404)</f>
        <v/>
      </c>
      <c r="W404" s="29">
        <f>IFERROR(V404/H404,"")</f>
        <v/>
      </c>
      <c r="X404" s="24" t="n"/>
    </row>
    <row r="405" ht="15" customHeight="1">
      <c r="A405" s="63">
        <f>IF(C405="","",IFERROR(IF(SUMPRODUCT(MAX((tbl_Finance[Job Number]=C405&amp;"")*(tbl_Finance[Xero Invoice No]&lt;&gt;"")*tbl_Finance[Date]))=0,"",SUMPRODUCT(MAX((tbl_Finance[Job Number]=C405&amp;"")*(tbl_Finance[Xero Invoice No]&lt;&gt;"")*tbl_Finance[Date]))),""))</f>
        <v/>
      </c>
      <c r="B405" s="25">
        <f>IF(C405="","",IF(COUNTIFS(tbl_Finance[Job Number],C405&amp;"",tbl_Finance[Xero Invoice No],"&lt;&gt;")=0,"",IFERROR(IF(COUNTIFS(tbl_Finance[Job Number],C405&amp;"",tbl_Finance[Xero Invoice No],LOOKUP(2,1/((tbl_Finance[Job Number]=C405&amp;"")*(tbl_Finance[Xero Invoice No]&lt;&gt;"")),tbl_Finance[Xero Invoice No]))=COUNTIFS(tbl_Finance[Job Number],C405&amp;"",tbl_Finance[Xero Invoice No],"&lt;&gt;"),LOOKUP(2,1/((tbl_Finance[Job Number]=C405&amp;"")*(tbl_Finance[Xero Invoice No]&lt;&gt;"")),tbl_Finance[Xero Invoice No]),LOOKUP(2,1/((tbl_Finance[Job Number]=C405&amp;"")*(tbl_Finance[Xero Invoice No]&lt;&gt;"")),tbl_Finance[Xero Invoice No])&amp;" +more"),"")))</f>
        <v/>
      </c>
      <c r="C405" s="24" t="n"/>
      <c r="D405" s="25">
        <f>IF(C405="","",IF(COUNTIF(lst_Jobs,C405&amp;"")&gt;0,"OK","CHECK"))</f>
        <v/>
      </c>
      <c r="E405" s="25">
        <f>IF(C405="","",IFERROR(INDEX(lst_JobName,MATCH(C405&amp;"",lst_Jobs,0)),""))</f>
        <v/>
      </c>
      <c r="F405" s="25">
        <f>IF(C405="","",IFERROR(INDEX(tbl_Finance[Client],MATCH(C405&amp;"",tbl_Finance[Job Number],0)),""))</f>
        <v/>
      </c>
      <c r="G405" s="28">
        <f>IF(C405="","",COUNTIFS(tbl_Finance[Job Number],C405&amp;"",tbl_Finance[Ex GST],"&lt;&gt;"))</f>
        <v/>
      </c>
      <c r="H405" s="27">
        <f>IF(C405="","",SUMIFS(tbl_Finance[Ex GST],tbl_Finance[Job Number],C405&amp;""))</f>
        <v/>
      </c>
      <c r="I405" s="27">
        <f>IF(C405="","",SUMIFS(tbl_Finance[Ex GST],tbl_Finance[Job Number],C405&amp;"",tbl_Finance[Xero Invoice No],"&lt;&gt;"))</f>
        <v/>
      </c>
      <c r="J405" s="27">
        <f>IF(C405="","",H405-I405)</f>
        <v/>
      </c>
      <c r="K405" s="25">
        <f>IF(C405="","",IF(G405=0,"not invoiced yet",SUBSTITUTE(TRIM(IF(COUNTIFS(tbl_Finance[Job Number],C405&amp;"",tbl_Finance[Cost Centre],"ONSITE")&gt;0,"ONSITE ","")&amp;IF(COUNTIFS(tbl_Finance[Job Number],C405&amp;"",tbl_Finance[Cost Centre],"PRODUCTION")&gt;0,"PRODUCTION ","")&amp;IF(COUNTIFS(tbl_Finance[Job Number],C405&amp;"",tbl_Finance[Cost Centre],"VIDEO")&gt;0,"VIDEO ","")&amp;IF(COUNTIFS(tbl_Finance[Job Number],C405&amp;"",tbl_Finance[Cost Centre],"INTEGRATION")&gt;0,"INTEGRATION ","")&amp;IF(COUNTIFS(tbl_Finance[Job Number],C405&amp;"",tbl_Finance[Cost Centre],"CONSULTING")&gt;0,"CONSULTING ","")&amp;IF(COUNTIFS(tbl_Finance[Job Number],C405&amp;"",tbl_Finance[Cost Centre],"CTS")&gt;0,"CTS ",""))," ",", ")))</f>
        <v/>
      </c>
      <c r="L405" s="24" t="n"/>
      <c r="M405" s="25">
        <f>IF(L405="","",HYPERLINK(IF(LEFT(L405,4)="http",L405,set_QwilrBase&amp;L405),"Open quote"))</f>
        <v/>
      </c>
      <c r="N405" s="26" t="n"/>
      <c r="O405" s="26" t="n"/>
      <c r="P405" s="26" t="n"/>
      <c r="Q405" s="25">
        <f>IF(C405="","",IF(N(N405)+N(O405)+N(P405)=0,"Not split",IF(ROUND(N(N405)+N(O405)+N(P405),2)=ROUND(H405,2),"OK","MISMATCH")))</f>
        <v/>
      </c>
      <c r="R405" s="26" t="n"/>
      <c r="S405" s="26" t="n"/>
      <c r="T405" s="26" t="n"/>
      <c r="U405" s="27">
        <f>IF(C405="","",N(R405)+N(S405)+N(T405))</f>
        <v/>
      </c>
      <c r="V405" s="27">
        <f>IF(C405="","",H405-U405)</f>
        <v/>
      </c>
      <c r="W405" s="29">
        <f>IFERROR(V405/H405,"")</f>
        <v/>
      </c>
      <c r="X405" s="24" t="n"/>
    </row>
    <row r="406" ht="15" customHeight="1">
      <c r="A406" s="63">
        <f>IF(C406="","",IFERROR(IF(SUMPRODUCT(MAX((tbl_Finance[Job Number]=C406&amp;"")*(tbl_Finance[Xero Invoice No]&lt;&gt;"")*tbl_Finance[Date]))=0,"",SUMPRODUCT(MAX((tbl_Finance[Job Number]=C406&amp;"")*(tbl_Finance[Xero Invoice No]&lt;&gt;"")*tbl_Finance[Date]))),""))</f>
        <v/>
      </c>
      <c r="B406" s="25">
        <f>IF(C406="","",IF(COUNTIFS(tbl_Finance[Job Number],C406&amp;"",tbl_Finance[Xero Invoice No],"&lt;&gt;")=0,"",IFERROR(IF(COUNTIFS(tbl_Finance[Job Number],C406&amp;"",tbl_Finance[Xero Invoice No],LOOKUP(2,1/((tbl_Finance[Job Number]=C406&amp;"")*(tbl_Finance[Xero Invoice No]&lt;&gt;"")),tbl_Finance[Xero Invoice No]))=COUNTIFS(tbl_Finance[Job Number],C406&amp;"",tbl_Finance[Xero Invoice No],"&lt;&gt;"),LOOKUP(2,1/((tbl_Finance[Job Number]=C406&amp;"")*(tbl_Finance[Xero Invoice No]&lt;&gt;"")),tbl_Finance[Xero Invoice No]),LOOKUP(2,1/((tbl_Finance[Job Number]=C406&amp;"")*(tbl_Finance[Xero Invoice No]&lt;&gt;"")),tbl_Finance[Xero Invoice No])&amp;" +more"),"")))</f>
        <v/>
      </c>
      <c r="C406" s="24" t="n"/>
      <c r="D406" s="25">
        <f>IF(C406="","",IF(COUNTIF(lst_Jobs,C406&amp;"")&gt;0,"OK","CHECK"))</f>
        <v/>
      </c>
      <c r="E406" s="25">
        <f>IF(C406="","",IFERROR(INDEX(lst_JobName,MATCH(C406&amp;"",lst_Jobs,0)),""))</f>
        <v/>
      </c>
      <c r="F406" s="25">
        <f>IF(C406="","",IFERROR(INDEX(tbl_Finance[Client],MATCH(C406&amp;"",tbl_Finance[Job Number],0)),""))</f>
        <v/>
      </c>
      <c r="G406" s="28">
        <f>IF(C406="","",COUNTIFS(tbl_Finance[Job Number],C406&amp;"",tbl_Finance[Ex GST],"&lt;&gt;"))</f>
        <v/>
      </c>
      <c r="H406" s="27">
        <f>IF(C406="","",SUMIFS(tbl_Finance[Ex GST],tbl_Finance[Job Number],C406&amp;""))</f>
        <v/>
      </c>
      <c r="I406" s="27">
        <f>IF(C406="","",SUMIFS(tbl_Finance[Ex GST],tbl_Finance[Job Number],C406&amp;"",tbl_Finance[Xero Invoice No],"&lt;&gt;"))</f>
        <v/>
      </c>
      <c r="J406" s="27">
        <f>IF(C406="","",H406-I406)</f>
        <v/>
      </c>
      <c r="K406" s="25">
        <f>IF(C406="","",IF(G406=0,"not invoiced yet",SUBSTITUTE(TRIM(IF(COUNTIFS(tbl_Finance[Job Number],C406&amp;"",tbl_Finance[Cost Centre],"ONSITE")&gt;0,"ONSITE ","")&amp;IF(COUNTIFS(tbl_Finance[Job Number],C406&amp;"",tbl_Finance[Cost Centre],"PRODUCTION")&gt;0,"PRODUCTION ","")&amp;IF(COUNTIFS(tbl_Finance[Job Number],C406&amp;"",tbl_Finance[Cost Centre],"VIDEO")&gt;0,"VIDEO ","")&amp;IF(COUNTIFS(tbl_Finance[Job Number],C406&amp;"",tbl_Finance[Cost Centre],"INTEGRATION")&gt;0,"INTEGRATION ","")&amp;IF(COUNTIFS(tbl_Finance[Job Number],C406&amp;"",tbl_Finance[Cost Centre],"CONSULTING")&gt;0,"CONSULTING ","")&amp;IF(COUNTIFS(tbl_Finance[Job Number],C406&amp;"",tbl_Finance[Cost Centre],"CTS")&gt;0,"CTS ",""))," ",", ")))</f>
        <v/>
      </c>
      <c r="L406" s="24" t="n"/>
      <c r="M406" s="25">
        <f>IF(L406="","",HYPERLINK(IF(LEFT(L406,4)="http",L406,set_QwilrBase&amp;L406),"Open quote"))</f>
        <v/>
      </c>
      <c r="N406" s="26" t="n"/>
      <c r="O406" s="26" t="n"/>
      <c r="P406" s="26" t="n"/>
      <c r="Q406" s="25">
        <f>IF(C406="","",IF(N(N406)+N(O406)+N(P406)=0,"Not split",IF(ROUND(N(N406)+N(O406)+N(P406),2)=ROUND(H406,2),"OK","MISMATCH")))</f>
        <v/>
      </c>
      <c r="R406" s="26" t="n"/>
      <c r="S406" s="26" t="n"/>
      <c r="T406" s="26" t="n"/>
      <c r="U406" s="27">
        <f>IF(C406="","",N(R406)+N(S406)+N(T406))</f>
        <v/>
      </c>
      <c r="V406" s="27">
        <f>IF(C406="","",H406-U406)</f>
        <v/>
      </c>
      <c r="W406" s="29">
        <f>IFERROR(V406/H406,"")</f>
        <v/>
      </c>
      <c r="X406" s="24" t="n"/>
    </row>
    <row r="407" ht="15" customHeight="1">
      <c r="A407" s="63">
        <f>IF(C407="","",IFERROR(IF(SUMPRODUCT(MAX((tbl_Finance[Job Number]=C407&amp;"")*(tbl_Finance[Xero Invoice No]&lt;&gt;"")*tbl_Finance[Date]))=0,"",SUMPRODUCT(MAX((tbl_Finance[Job Number]=C407&amp;"")*(tbl_Finance[Xero Invoice No]&lt;&gt;"")*tbl_Finance[Date]))),""))</f>
        <v/>
      </c>
      <c r="B407" s="25">
        <f>IF(C407="","",IF(COUNTIFS(tbl_Finance[Job Number],C407&amp;"",tbl_Finance[Xero Invoice No],"&lt;&gt;")=0,"",IFERROR(IF(COUNTIFS(tbl_Finance[Job Number],C407&amp;"",tbl_Finance[Xero Invoice No],LOOKUP(2,1/((tbl_Finance[Job Number]=C407&amp;"")*(tbl_Finance[Xero Invoice No]&lt;&gt;"")),tbl_Finance[Xero Invoice No]))=COUNTIFS(tbl_Finance[Job Number],C407&amp;"",tbl_Finance[Xero Invoice No],"&lt;&gt;"),LOOKUP(2,1/((tbl_Finance[Job Number]=C407&amp;"")*(tbl_Finance[Xero Invoice No]&lt;&gt;"")),tbl_Finance[Xero Invoice No]),LOOKUP(2,1/((tbl_Finance[Job Number]=C407&amp;"")*(tbl_Finance[Xero Invoice No]&lt;&gt;"")),tbl_Finance[Xero Invoice No])&amp;" +more"),"")))</f>
        <v/>
      </c>
      <c r="C407" s="24" t="n"/>
      <c r="D407" s="25">
        <f>IF(C407="","",IF(COUNTIF(lst_Jobs,C407&amp;"")&gt;0,"OK","CHECK"))</f>
        <v/>
      </c>
      <c r="E407" s="25">
        <f>IF(C407="","",IFERROR(INDEX(lst_JobName,MATCH(C407&amp;"",lst_Jobs,0)),""))</f>
        <v/>
      </c>
      <c r="F407" s="25">
        <f>IF(C407="","",IFERROR(INDEX(tbl_Finance[Client],MATCH(C407&amp;"",tbl_Finance[Job Number],0)),""))</f>
        <v/>
      </c>
      <c r="G407" s="28">
        <f>IF(C407="","",COUNTIFS(tbl_Finance[Job Number],C407&amp;"",tbl_Finance[Ex GST],"&lt;&gt;"))</f>
        <v/>
      </c>
      <c r="H407" s="27">
        <f>IF(C407="","",SUMIFS(tbl_Finance[Ex GST],tbl_Finance[Job Number],C407&amp;""))</f>
        <v/>
      </c>
      <c r="I407" s="27">
        <f>IF(C407="","",SUMIFS(tbl_Finance[Ex GST],tbl_Finance[Job Number],C407&amp;"",tbl_Finance[Xero Invoice No],"&lt;&gt;"))</f>
        <v/>
      </c>
      <c r="J407" s="27">
        <f>IF(C407="","",H407-I407)</f>
        <v/>
      </c>
      <c r="K407" s="25">
        <f>IF(C407="","",IF(G407=0,"not invoiced yet",SUBSTITUTE(TRIM(IF(COUNTIFS(tbl_Finance[Job Number],C407&amp;"",tbl_Finance[Cost Centre],"ONSITE")&gt;0,"ONSITE ","")&amp;IF(COUNTIFS(tbl_Finance[Job Number],C407&amp;"",tbl_Finance[Cost Centre],"PRODUCTION")&gt;0,"PRODUCTION ","")&amp;IF(COUNTIFS(tbl_Finance[Job Number],C407&amp;"",tbl_Finance[Cost Centre],"VIDEO")&gt;0,"VIDEO ","")&amp;IF(COUNTIFS(tbl_Finance[Job Number],C407&amp;"",tbl_Finance[Cost Centre],"INTEGRATION")&gt;0,"INTEGRATION ","")&amp;IF(COUNTIFS(tbl_Finance[Job Number],C407&amp;"",tbl_Finance[Cost Centre],"CONSULTING")&gt;0,"CONSULTING ","")&amp;IF(COUNTIFS(tbl_Finance[Job Number],C407&amp;"",tbl_Finance[Cost Centre],"CTS")&gt;0,"CTS ",""))," ",", ")))</f>
        <v/>
      </c>
      <c r="L407" s="24" t="n"/>
      <c r="M407" s="25">
        <f>IF(L407="","",HYPERLINK(IF(LEFT(L407,4)="http",L407,set_QwilrBase&amp;L407),"Open quote"))</f>
        <v/>
      </c>
      <c r="N407" s="26" t="n"/>
      <c r="O407" s="26" t="n"/>
      <c r="P407" s="26" t="n"/>
      <c r="Q407" s="25">
        <f>IF(C407="","",IF(N(N407)+N(O407)+N(P407)=0,"Not split",IF(ROUND(N(N407)+N(O407)+N(P407),2)=ROUND(H407,2),"OK","MISMATCH")))</f>
        <v/>
      </c>
      <c r="R407" s="26" t="n"/>
      <c r="S407" s="26" t="n"/>
      <c r="T407" s="26" t="n"/>
      <c r="U407" s="27">
        <f>IF(C407="","",N(R407)+N(S407)+N(T407))</f>
        <v/>
      </c>
      <c r="V407" s="27">
        <f>IF(C407="","",H407-U407)</f>
        <v/>
      </c>
      <c r="W407" s="29">
        <f>IFERROR(V407/H407,"")</f>
        <v/>
      </c>
      <c r="X407" s="24" t="n"/>
    </row>
    <row r="408" ht="15" customHeight="1">
      <c r="A408" s="63">
        <f>IF(C408="","",IFERROR(IF(SUMPRODUCT(MAX((tbl_Finance[Job Number]=C408&amp;"")*(tbl_Finance[Xero Invoice No]&lt;&gt;"")*tbl_Finance[Date]))=0,"",SUMPRODUCT(MAX((tbl_Finance[Job Number]=C408&amp;"")*(tbl_Finance[Xero Invoice No]&lt;&gt;"")*tbl_Finance[Date]))),""))</f>
        <v/>
      </c>
      <c r="B408" s="25">
        <f>IF(C408="","",IF(COUNTIFS(tbl_Finance[Job Number],C408&amp;"",tbl_Finance[Xero Invoice No],"&lt;&gt;")=0,"",IFERROR(IF(COUNTIFS(tbl_Finance[Job Number],C408&amp;"",tbl_Finance[Xero Invoice No],LOOKUP(2,1/((tbl_Finance[Job Number]=C408&amp;"")*(tbl_Finance[Xero Invoice No]&lt;&gt;"")),tbl_Finance[Xero Invoice No]))=COUNTIFS(tbl_Finance[Job Number],C408&amp;"",tbl_Finance[Xero Invoice No],"&lt;&gt;"),LOOKUP(2,1/((tbl_Finance[Job Number]=C408&amp;"")*(tbl_Finance[Xero Invoice No]&lt;&gt;"")),tbl_Finance[Xero Invoice No]),LOOKUP(2,1/((tbl_Finance[Job Number]=C408&amp;"")*(tbl_Finance[Xero Invoice No]&lt;&gt;"")),tbl_Finance[Xero Invoice No])&amp;" +more"),"")))</f>
        <v/>
      </c>
      <c r="C408" s="24" t="n"/>
      <c r="D408" s="25">
        <f>IF(C408="","",IF(COUNTIF(lst_Jobs,C408&amp;"")&gt;0,"OK","CHECK"))</f>
        <v/>
      </c>
      <c r="E408" s="25">
        <f>IF(C408="","",IFERROR(INDEX(lst_JobName,MATCH(C408&amp;"",lst_Jobs,0)),""))</f>
        <v/>
      </c>
      <c r="F408" s="25">
        <f>IF(C408="","",IFERROR(INDEX(tbl_Finance[Client],MATCH(C408&amp;"",tbl_Finance[Job Number],0)),""))</f>
        <v/>
      </c>
      <c r="G408" s="28">
        <f>IF(C408="","",COUNTIFS(tbl_Finance[Job Number],C408&amp;"",tbl_Finance[Ex GST],"&lt;&gt;"))</f>
        <v/>
      </c>
      <c r="H408" s="27">
        <f>IF(C408="","",SUMIFS(tbl_Finance[Ex GST],tbl_Finance[Job Number],C408&amp;""))</f>
        <v/>
      </c>
      <c r="I408" s="27">
        <f>IF(C408="","",SUMIFS(tbl_Finance[Ex GST],tbl_Finance[Job Number],C408&amp;"",tbl_Finance[Xero Invoice No],"&lt;&gt;"))</f>
        <v/>
      </c>
      <c r="J408" s="27">
        <f>IF(C408="","",H408-I408)</f>
        <v/>
      </c>
      <c r="K408" s="25">
        <f>IF(C408="","",IF(G408=0,"not invoiced yet",SUBSTITUTE(TRIM(IF(COUNTIFS(tbl_Finance[Job Number],C408&amp;"",tbl_Finance[Cost Centre],"ONSITE")&gt;0,"ONSITE ","")&amp;IF(COUNTIFS(tbl_Finance[Job Number],C408&amp;"",tbl_Finance[Cost Centre],"PRODUCTION")&gt;0,"PRODUCTION ","")&amp;IF(COUNTIFS(tbl_Finance[Job Number],C408&amp;"",tbl_Finance[Cost Centre],"VIDEO")&gt;0,"VIDEO ","")&amp;IF(COUNTIFS(tbl_Finance[Job Number],C408&amp;"",tbl_Finance[Cost Centre],"INTEGRATION")&gt;0,"INTEGRATION ","")&amp;IF(COUNTIFS(tbl_Finance[Job Number],C408&amp;"",tbl_Finance[Cost Centre],"CONSULTING")&gt;0,"CONSULTING ","")&amp;IF(COUNTIFS(tbl_Finance[Job Number],C408&amp;"",tbl_Finance[Cost Centre],"CTS")&gt;0,"CTS ",""))," ",", ")))</f>
        <v/>
      </c>
      <c r="L408" s="24" t="n"/>
      <c r="M408" s="25">
        <f>IF(L408="","",HYPERLINK(IF(LEFT(L408,4)="http",L408,set_QwilrBase&amp;L408),"Open quote"))</f>
        <v/>
      </c>
      <c r="N408" s="26" t="n"/>
      <c r="O408" s="26" t="n"/>
      <c r="P408" s="26" t="n"/>
      <c r="Q408" s="25">
        <f>IF(C408="","",IF(N(N408)+N(O408)+N(P408)=0,"Not split",IF(ROUND(N(N408)+N(O408)+N(P408),2)=ROUND(H408,2),"OK","MISMATCH")))</f>
        <v/>
      </c>
      <c r="R408" s="26" t="n"/>
      <c r="S408" s="26" t="n"/>
      <c r="T408" s="26" t="n"/>
      <c r="U408" s="27">
        <f>IF(C408="","",N(R408)+N(S408)+N(T408))</f>
        <v/>
      </c>
      <c r="V408" s="27">
        <f>IF(C408="","",H408-U408)</f>
        <v/>
      </c>
      <c r="W408" s="29">
        <f>IFERROR(V408/H408,"")</f>
        <v/>
      </c>
      <c r="X408" s="24" t="n"/>
    </row>
    <row r="409" ht="15" customHeight="1">
      <c r="A409" s="63">
        <f>IF(C409="","",IFERROR(IF(SUMPRODUCT(MAX((tbl_Finance[Job Number]=C409&amp;"")*(tbl_Finance[Xero Invoice No]&lt;&gt;"")*tbl_Finance[Date]))=0,"",SUMPRODUCT(MAX((tbl_Finance[Job Number]=C409&amp;"")*(tbl_Finance[Xero Invoice No]&lt;&gt;"")*tbl_Finance[Date]))),""))</f>
        <v/>
      </c>
      <c r="B409" s="25">
        <f>IF(C409="","",IF(COUNTIFS(tbl_Finance[Job Number],C409&amp;"",tbl_Finance[Xero Invoice No],"&lt;&gt;")=0,"",IFERROR(IF(COUNTIFS(tbl_Finance[Job Number],C409&amp;"",tbl_Finance[Xero Invoice No],LOOKUP(2,1/((tbl_Finance[Job Number]=C409&amp;"")*(tbl_Finance[Xero Invoice No]&lt;&gt;"")),tbl_Finance[Xero Invoice No]))=COUNTIFS(tbl_Finance[Job Number],C409&amp;"",tbl_Finance[Xero Invoice No],"&lt;&gt;"),LOOKUP(2,1/((tbl_Finance[Job Number]=C409&amp;"")*(tbl_Finance[Xero Invoice No]&lt;&gt;"")),tbl_Finance[Xero Invoice No]),LOOKUP(2,1/((tbl_Finance[Job Number]=C409&amp;"")*(tbl_Finance[Xero Invoice No]&lt;&gt;"")),tbl_Finance[Xero Invoice No])&amp;" +more"),"")))</f>
        <v/>
      </c>
      <c r="C409" s="24" t="n"/>
      <c r="D409" s="25">
        <f>IF(C409="","",IF(COUNTIF(lst_Jobs,C409&amp;"")&gt;0,"OK","CHECK"))</f>
        <v/>
      </c>
      <c r="E409" s="25">
        <f>IF(C409="","",IFERROR(INDEX(lst_JobName,MATCH(C409&amp;"",lst_Jobs,0)),""))</f>
        <v/>
      </c>
      <c r="F409" s="25">
        <f>IF(C409="","",IFERROR(INDEX(tbl_Finance[Client],MATCH(C409&amp;"",tbl_Finance[Job Number],0)),""))</f>
        <v/>
      </c>
      <c r="G409" s="28">
        <f>IF(C409="","",COUNTIFS(tbl_Finance[Job Number],C409&amp;"",tbl_Finance[Ex GST],"&lt;&gt;"))</f>
        <v/>
      </c>
      <c r="H409" s="27">
        <f>IF(C409="","",SUMIFS(tbl_Finance[Ex GST],tbl_Finance[Job Number],C409&amp;""))</f>
        <v/>
      </c>
      <c r="I409" s="27">
        <f>IF(C409="","",SUMIFS(tbl_Finance[Ex GST],tbl_Finance[Job Number],C409&amp;"",tbl_Finance[Xero Invoice No],"&lt;&gt;"))</f>
        <v/>
      </c>
      <c r="J409" s="27">
        <f>IF(C409="","",H409-I409)</f>
        <v/>
      </c>
      <c r="K409" s="25">
        <f>IF(C409="","",IF(G409=0,"not invoiced yet",SUBSTITUTE(TRIM(IF(COUNTIFS(tbl_Finance[Job Number],C409&amp;"",tbl_Finance[Cost Centre],"ONSITE")&gt;0,"ONSITE ","")&amp;IF(COUNTIFS(tbl_Finance[Job Number],C409&amp;"",tbl_Finance[Cost Centre],"PRODUCTION")&gt;0,"PRODUCTION ","")&amp;IF(COUNTIFS(tbl_Finance[Job Number],C409&amp;"",tbl_Finance[Cost Centre],"VIDEO")&gt;0,"VIDEO ","")&amp;IF(COUNTIFS(tbl_Finance[Job Number],C409&amp;"",tbl_Finance[Cost Centre],"INTEGRATION")&gt;0,"INTEGRATION ","")&amp;IF(COUNTIFS(tbl_Finance[Job Number],C409&amp;"",tbl_Finance[Cost Centre],"CONSULTING")&gt;0,"CONSULTING ","")&amp;IF(COUNTIFS(tbl_Finance[Job Number],C409&amp;"",tbl_Finance[Cost Centre],"CTS")&gt;0,"CTS ",""))," ",", ")))</f>
        <v/>
      </c>
      <c r="L409" s="24" t="n"/>
      <c r="M409" s="25">
        <f>IF(L409="","",HYPERLINK(IF(LEFT(L409,4)="http",L409,set_QwilrBase&amp;L409),"Open quote"))</f>
        <v/>
      </c>
      <c r="N409" s="26" t="n"/>
      <c r="O409" s="26" t="n"/>
      <c r="P409" s="26" t="n"/>
      <c r="Q409" s="25">
        <f>IF(C409="","",IF(N(N409)+N(O409)+N(P409)=0,"Not split",IF(ROUND(N(N409)+N(O409)+N(P409),2)=ROUND(H409,2),"OK","MISMATCH")))</f>
        <v/>
      </c>
      <c r="R409" s="26" t="n"/>
      <c r="S409" s="26" t="n"/>
      <c r="T409" s="26" t="n"/>
      <c r="U409" s="27">
        <f>IF(C409="","",N(R409)+N(S409)+N(T409))</f>
        <v/>
      </c>
      <c r="V409" s="27">
        <f>IF(C409="","",H409-U409)</f>
        <v/>
      </c>
      <c r="W409" s="29">
        <f>IFERROR(V409/H409,"")</f>
        <v/>
      </c>
      <c r="X409" s="24" t="n"/>
    </row>
    <row r="410" ht="15" customHeight="1">
      <c r="A410" s="63">
        <f>IF(C410="","",IFERROR(IF(SUMPRODUCT(MAX((tbl_Finance[Job Number]=C410&amp;"")*(tbl_Finance[Xero Invoice No]&lt;&gt;"")*tbl_Finance[Date]))=0,"",SUMPRODUCT(MAX((tbl_Finance[Job Number]=C410&amp;"")*(tbl_Finance[Xero Invoice No]&lt;&gt;"")*tbl_Finance[Date]))),""))</f>
        <v/>
      </c>
      <c r="B410" s="25">
        <f>IF(C410="","",IF(COUNTIFS(tbl_Finance[Job Number],C410&amp;"",tbl_Finance[Xero Invoice No],"&lt;&gt;")=0,"",IFERROR(IF(COUNTIFS(tbl_Finance[Job Number],C410&amp;"",tbl_Finance[Xero Invoice No],LOOKUP(2,1/((tbl_Finance[Job Number]=C410&amp;"")*(tbl_Finance[Xero Invoice No]&lt;&gt;"")),tbl_Finance[Xero Invoice No]))=COUNTIFS(tbl_Finance[Job Number],C410&amp;"",tbl_Finance[Xero Invoice No],"&lt;&gt;"),LOOKUP(2,1/((tbl_Finance[Job Number]=C410&amp;"")*(tbl_Finance[Xero Invoice No]&lt;&gt;"")),tbl_Finance[Xero Invoice No]),LOOKUP(2,1/((tbl_Finance[Job Number]=C410&amp;"")*(tbl_Finance[Xero Invoice No]&lt;&gt;"")),tbl_Finance[Xero Invoice No])&amp;" +more"),"")))</f>
        <v/>
      </c>
      <c r="C410" s="24" t="n"/>
      <c r="D410" s="25">
        <f>IF(C410="","",IF(COUNTIF(lst_Jobs,C410&amp;"")&gt;0,"OK","CHECK"))</f>
        <v/>
      </c>
      <c r="E410" s="25">
        <f>IF(C410="","",IFERROR(INDEX(lst_JobName,MATCH(C410&amp;"",lst_Jobs,0)),""))</f>
        <v/>
      </c>
      <c r="F410" s="25">
        <f>IF(C410="","",IFERROR(INDEX(tbl_Finance[Client],MATCH(C410&amp;"",tbl_Finance[Job Number],0)),""))</f>
        <v/>
      </c>
      <c r="G410" s="28">
        <f>IF(C410="","",COUNTIFS(tbl_Finance[Job Number],C410&amp;"",tbl_Finance[Ex GST],"&lt;&gt;"))</f>
        <v/>
      </c>
      <c r="H410" s="27">
        <f>IF(C410="","",SUMIFS(tbl_Finance[Ex GST],tbl_Finance[Job Number],C410&amp;""))</f>
        <v/>
      </c>
      <c r="I410" s="27">
        <f>IF(C410="","",SUMIFS(tbl_Finance[Ex GST],tbl_Finance[Job Number],C410&amp;"",tbl_Finance[Xero Invoice No],"&lt;&gt;"))</f>
        <v/>
      </c>
      <c r="J410" s="27">
        <f>IF(C410="","",H410-I410)</f>
        <v/>
      </c>
      <c r="K410" s="25">
        <f>IF(C410="","",IF(G410=0,"not invoiced yet",SUBSTITUTE(TRIM(IF(COUNTIFS(tbl_Finance[Job Number],C410&amp;"",tbl_Finance[Cost Centre],"ONSITE")&gt;0,"ONSITE ","")&amp;IF(COUNTIFS(tbl_Finance[Job Number],C410&amp;"",tbl_Finance[Cost Centre],"PRODUCTION")&gt;0,"PRODUCTION ","")&amp;IF(COUNTIFS(tbl_Finance[Job Number],C410&amp;"",tbl_Finance[Cost Centre],"VIDEO")&gt;0,"VIDEO ","")&amp;IF(COUNTIFS(tbl_Finance[Job Number],C410&amp;"",tbl_Finance[Cost Centre],"INTEGRATION")&gt;0,"INTEGRATION ","")&amp;IF(COUNTIFS(tbl_Finance[Job Number],C410&amp;"",tbl_Finance[Cost Centre],"CONSULTING")&gt;0,"CONSULTING ","")&amp;IF(COUNTIFS(tbl_Finance[Job Number],C410&amp;"",tbl_Finance[Cost Centre],"CTS")&gt;0,"CTS ",""))," ",", ")))</f>
        <v/>
      </c>
      <c r="L410" s="24" t="n"/>
      <c r="M410" s="25">
        <f>IF(L410="","",HYPERLINK(IF(LEFT(L410,4)="http",L410,set_QwilrBase&amp;L410),"Open quote"))</f>
        <v/>
      </c>
      <c r="N410" s="26" t="n"/>
      <c r="O410" s="26" t="n"/>
      <c r="P410" s="26" t="n"/>
      <c r="Q410" s="25">
        <f>IF(C410="","",IF(N(N410)+N(O410)+N(P410)=0,"Not split",IF(ROUND(N(N410)+N(O410)+N(P410),2)=ROUND(H410,2),"OK","MISMATCH")))</f>
        <v/>
      </c>
      <c r="R410" s="26" t="n"/>
      <c r="S410" s="26" t="n"/>
      <c r="T410" s="26" t="n"/>
      <c r="U410" s="27">
        <f>IF(C410="","",N(R410)+N(S410)+N(T410))</f>
        <v/>
      </c>
      <c r="V410" s="27">
        <f>IF(C410="","",H410-U410)</f>
        <v/>
      </c>
      <c r="W410" s="29">
        <f>IFERROR(V410/H410,"")</f>
        <v/>
      </c>
      <c r="X410" s="24" t="n"/>
    </row>
    <row r="411" ht="15" customHeight="1">
      <c r="A411" s="63">
        <f>IF(C411="","",IFERROR(IF(SUMPRODUCT(MAX((tbl_Finance[Job Number]=C411&amp;"")*(tbl_Finance[Xero Invoice No]&lt;&gt;"")*tbl_Finance[Date]))=0,"",SUMPRODUCT(MAX((tbl_Finance[Job Number]=C411&amp;"")*(tbl_Finance[Xero Invoice No]&lt;&gt;"")*tbl_Finance[Date]))),""))</f>
        <v/>
      </c>
      <c r="B411" s="25">
        <f>IF(C411="","",IF(COUNTIFS(tbl_Finance[Job Number],C411&amp;"",tbl_Finance[Xero Invoice No],"&lt;&gt;")=0,"",IFERROR(IF(COUNTIFS(tbl_Finance[Job Number],C411&amp;"",tbl_Finance[Xero Invoice No],LOOKUP(2,1/((tbl_Finance[Job Number]=C411&amp;"")*(tbl_Finance[Xero Invoice No]&lt;&gt;"")),tbl_Finance[Xero Invoice No]))=COUNTIFS(tbl_Finance[Job Number],C411&amp;"",tbl_Finance[Xero Invoice No],"&lt;&gt;"),LOOKUP(2,1/((tbl_Finance[Job Number]=C411&amp;"")*(tbl_Finance[Xero Invoice No]&lt;&gt;"")),tbl_Finance[Xero Invoice No]),LOOKUP(2,1/((tbl_Finance[Job Number]=C411&amp;"")*(tbl_Finance[Xero Invoice No]&lt;&gt;"")),tbl_Finance[Xero Invoice No])&amp;" +more"),"")))</f>
        <v/>
      </c>
      <c r="C411" s="24" t="n"/>
      <c r="D411" s="25">
        <f>IF(C411="","",IF(COUNTIF(lst_Jobs,C411&amp;"")&gt;0,"OK","CHECK"))</f>
        <v/>
      </c>
      <c r="E411" s="25">
        <f>IF(C411="","",IFERROR(INDEX(lst_JobName,MATCH(C411&amp;"",lst_Jobs,0)),""))</f>
        <v/>
      </c>
      <c r="F411" s="25">
        <f>IF(C411="","",IFERROR(INDEX(tbl_Finance[Client],MATCH(C411&amp;"",tbl_Finance[Job Number],0)),""))</f>
        <v/>
      </c>
      <c r="G411" s="28">
        <f>IF(C411="","",COUNTIFS(tbl_Finance[Job Number],C411&amp;"",tbl_Finance[Ex GST],"&lt;&gt;"))</f>
        <v/>
      </c>
      <c r="H411" s="27">
        <f>IF(C411="","",SUMIFS(tbl_Finance[Ex GST],tbl_Finance[Job Number],C411&amp;""))</f>
        <v/>
      </c>
      <c r="I411" s="27">
        <f>IF(C411="","",SUMIFS(tbl_Finance[Ex GST],tbl_Finance[Job Number],C411&amp;"",tbl_Finance[Xero Invoice No],"&lt;&gt;"))</f>
        <v/>
      </c>
      <c r="J411" s="27">
        <f>IF(C411="","",H411-I411)</f>
        <v/>
      </c>
      <c r="K411" s="25">
        <f>IF(C411="","",IF(G411=0,"not invoiced yet",SUBSTITUTE(TRIM(IF(COUNTIFS(tbl_Finance[Job Number],C411&amp;"",tbl_Finance[Cost Centre],"ONSITE")&gt;0,"ONSITE ","")&amp;IF(COUNTIFS(tbl_Finance[Job Number],C411&amp;"",tbl_Finance[Cost Centre],"PRODUCTION")&gt;0,"PRODUCTION ","")&amp;IF(COUNTIFS(tbl_Finance[Job Number],C411&amp;"",tbl_Finance[Cost Centre],"VIDEO")&gt;0,"VIDEO ","")&amp;IF(COUNTIFS(tbl_Finance[Job Number],C411&amp;"",tbl_Finance[Cost Centre],"INTEGRATION")&gt;0,"INTEGRATION ","")&amp;IF(COUNTIFS(tbl_Finance[Job Number],C411&amp;"",tbl_Finance[Cost Centre],"CONSULTING")&gt;0,"CONSULTING ","")&amp;IF(COUNTIFS(tbl_Finance[Job Number],C411&amp;"",tbl_Finance[Cost Centre],"CTS")&gt;0,"CTS ",""))," ",", ")))</f>
        <v/>
      </c>
      <c r="L411" s="24" t="n"/>
      <c r="M411" s="25">
        <f>IF(L411="","",HYPERLINK(IF(LEFT(L411,4)="http",L411,set_QwilrBase&amp;L411),"Open quote"))</f>
        <v/>
      </c>
      <c r="N411" s="26" t="n"/>
      <c r="O411" s="26" t="n"/>
      <c r="P411" s="26" t="n"/>
      <c r="Q411" s="25">
        <f>IF(C411="","",IF(N(N411)+N(O411)+N(P411)=0,"Not split",IF(ROUND(N(N411)+N(O411)+N(P411),2)=ROUND(H411,2),"OK","MISMATCH")))</f>
        <v/>
      </c>
      <c r="R411" s="26" t="n"/>
      <c r="S411" s="26" t="n"/>
      <c r="T411" s="26" t="n"/>
      <c r="U411" s="27">
        <f>IF(C411="","",N(R411)+N(S411)+N(T411))</f>
        <v/>
      </c>
      <c r="V411" s="27">
        <f>IF(C411="","",H411-U411)</f>
        <v/>
      </c>
      <c r="W411" s="29">
        <f>IFERROR(V411/H411,"")</f>
        <v/>
      </c>
      <c r="X411" s="24" t="n"/>
    </row>
    <row r="412" ht="15" customHeight="1">
      <c r="A412" s="63">
        <f>IF(C412="","",IFERROR(IF(SUMPRODUCT(MAX((tbl_Finance[Job Number]=C412&amp;"")*(tbl_Finance[Xero Invoice No]&lt;&gt;"")*tbl_Finance[Date]))=0,"",SUMPRODUCT(MAX((tbl_Finance[Job Number]=C412&amp;"")*(tbl_Finance[Xero Invoice No]&lt;&gt;"")*tbl_Finance[Date]))),""))</f>
        <v/>
      </c>
      <c r="B412" s="25">
        <f>IF(C412="","",IF(COUNTIFS(tbl_Finance[Job Number],C412&amp;"",tbl_Finance[Xero Invoice No],"&lt;&gt;")=0,"",IFERROR(IF(COUNTIFS(tbl_Finance[Job Number],C412&amp;"",tbl_Finance[Xero Invoice No],LOOKUP(2,1/((tbl_Finance[Job Number]=C412&amp;"")*(tbl_Finance[Xero Invoice No]&lt;&gt;"")),tbl_Finance[Xero Invoice No]))=COUNTIFS(tbl_Finance[Job Number],C412&amp;"",tbl_Finance[Xero Invoice No],"&lt;&gt;"),LOOKUP(2,1/((tbl_Finance[Job Number]=C412&amp;"")*(tbl_Finance[Xero Invoice No]&lt;&gt;"")),tbl_Finance[Xero Invoice No]),LOOKUP(2,1/((tbl_Finance[Job Number]=C412&amp;"")*(tbl_Finance[Xero Invoice No]&lt;&gt;"")),tbl_Finance[Xero Invoice No])&amp;" +more"),"")))</f>
        <v/>
      </c>
      <c r="C412" s="24" t="n"/>
      <c r="D412" s="25">
        <f>IF(C412="","",IF(COUNTIF(lst_Jobs,C412&amp;"")&gt;0,"OK","CHECK"))</f>
        <v/>
      </c>
      <c r="E412" s="25">
        <f>IF(C412="","",IFERROR(INDEX(lst_JobName,MATCH(C412&amp;"",lst_Jobs,0)),""))</f>
        <v/>
      </c>
      <c r="F412" s="25">
        <f>IF(C412="","",IFERROR(INDEX(tbl_Finance[Client],MATCH(C412&amp;"",tbl_Finance[Job Number],0)),""))</f>
        <v/>
      </c>
      <c r="G412" s="28">
        <f>IF(C412="","",COUNTIFS(tbl_Finance[Job Number],C412&amp;"",tbl_Finance[Ex GST],"&lt;&gt;"))</f>
        <v/>
      </c>
      <c r="H412" s="27">
        <f>IF(C412="","",SUMIFS(tbl_Finance[Ex GST],tbl_Finance[Job Number],C412&amp;""))</f>
        <v/>
      </c>
      <c r="I412" s="27">
        <f>IF(C412="","",SUMIFS(tbl_Finance[Ex GST],tbl_Finance[Job Number],C412&amp;"",tbl_Finance[Xero Invoice No],"&lt;&gt;"))</f>
        <v/>
      </c>
      <c r="J412" s="27">
        <f>IF(C412="","",H412-I412)</f>
        <v/>
      </c>
      <c r="K412" s="25">
        <f>IF(C412="","",IF(G412=0,"not invoiced yet",SUBSTITUTE(TRIM(IF(COUNTIFS(tbl_Finance[Job Number],C412&amp;"",tbl_Finance[Cost Centre],"ONSITE")&gt;0,"ONSITE ","")&amp;IF(COUNTIFS(tbl_Finance[Job Number],C412&amp;"",tbl_Finance[Cost Centre],"PRODUCTION")&gt;0,"PRODUCTION ","")&amp;IF(COUNTIFS(tbl_Finance[Job Number],C412&amp;"",tbl_Finance[Cost Centre],"VIDEO")&gt;0,"VIDEO ","")&amp;IF(COUNTIFS(tbl_Finance[Job Number],C412&amp;"",tbl_Finance[Cost Centre],"INTEGRATION")&gt;0,"INTEGRATION ","")&amp;IF(COUNTIFS(tbl_Finance[Job Number],C412&amp;"",tbl_Finance[Cost Centre],"CONSULTING")&gt;0,"CONSULTING ","")&amp;IF(COUNTIFS(tbl_Finance[Job Number],C412&amp;"",tbl_Finance[Cost Centre],"CTS")&gt;0,"CTS ",""))," ",", ")))</f>
        <v/>
      </c>
      <c r="L412" s="24" t="n"/>
      <c r="M412" s="25">
        <f>IF(L412="","",HYPERLINK(IF(LEFT(L412,4)="http",L412,set_QwilrBase&amp;L412),"Open quote"))</f>
        <v/>
      </c>
      <c r="N412" s="26" t="n"/>
      <c r="O412" s="26" t="n"/>
      <c r="P412" s="26" t="n"/>
      <c r="Q412" s="25">
        <f>IF(C412="","",IF(N(N412)+N(O412)+N(P412)=0,"Not split",IF(ROUND(N(N412)+N(O412)+N(P412),2)=ROUND(H412,2),"OK","MISMATCH")))</f>
        <v/>
      </c>
      <c r="R412" s="26" t="n"/>
      <c r="S412" s="26" t="n"/>
      <c r="T412" s="26" t="n"/>
      <c r="U412" s="27">
        <f>IF(C412="","",N(R412)+N(S412)+N(T412))</f>
        <v/>
      </c>
      <c r="V412" s="27">
        <f>IF(C412="","",H412-U412)</f>
        <v/>
      </c>
      <c r="W412" s="29">
        <f>IFERROR(V412/H412,"")</f>
        <v/>
      </c>
      <c r="X412" s="24" t="n"/>
    </row>
    <row r="413" ht="15" customHeight="1">
      <c r="A413" s="63">
        <f>IF(C413="","",IFERROR(IF(SUMPRODUCT(MAX((tbl_Finance[Job Number]=C413&amp;"")*(tbl_Finance[Xero Invoice No]&lt;&gt;"")*tbl_Finance[Date]))=0,"",SUMPRODUCT(MAX((tbl_Finance[Job Number]=C413&amp;"")*(tbl_Finance[Xero Invoice No]&lt;&gt;"")*tbl_Finance[Date]))),""))</f>
        <v/>
      </c>
      <c r="B413" s="25">
        <f>IF(C413="","",IF(COUNTIFS(tbl_Finance[Job Number],C413&amp;"",tbl_Finance[Xero Invoice No],"&lt;&gt;")=0,"",IFERROR(IF(COUNTIFS(tbl_Finance[Job Number],C413&amp;"",tbl_Finance[Xero Invoice No],LOOKUP(2,1/((tbl_Finance[Job Number]=C413&amp;"")*(tbl_Finance[Xero Invoice No]&lt;&gt;"")),tbl_Finance[Xero Invoice No]))=COUNTIFS(tbl_Finance[Job Number],C413&amp;"",tbl_Finance[Xero Invoice No],"&lt;&gt;"),LOOKUP(2,1/((tbl_Finance[Job Number]=C413&amp;"")*(tbl_Finance[Xero Invoice No]&lt;&gt;"")),tbl_Finance[Xero Invoice No]),LOOKUP(2,1/((tbl_Finance[Job Number]=C413&amp;"")*(tbl_Finance[Xero Invoice No]&lt;&gt;"")),tbl_Finance[Xero Invoice No])&amp;" +more"),"")))</f>
        <v/>
      </c>
      <c r="C413" s="24" t="n"/>
      <c r="D413" s="25">
        <f>IF(C413="","",IF(COUNTIF(lst_Jobs,C413&amp;"")&gt;0,"OK","CHECK"))</f>
        <v/>
      </c>
      <c r="E413" s="25">
        <f>IF(C413="","",IFERROR(INDEX(lst_JobName,MATCH(C413&amp;"",lst_Jobs,0)),""))</f>
        <v/>
      </c>
      <c r="F413" s="25">
        <f>IF(C413="","",IFERROR(INDEX(tbl_Finance[Client],MATCH(C413&amp;"",tbl_Finance[Job Number],0)),""))</f>
        <v/>
      </c>
      <c r="G413" s="28">
        <f>IF(C413="","",COUNTIFS(tbl_Finance[Job Number],C413&amp;"",tbl_Finance[Ex GST],"&lt;&gt;"))</f>
        <v/>
      </c>
      <c r="H413" s="27">
        <f>IF(C413="","",SUMIFS(tbl_Finance[Ex GST],tbl_Finance[Job Number],C413&amp;""))</f>
        <v/>
      </c>
      <c r="I413" s="27">
        <f>IF(C413="","",SUMIFS(tbl_Finance[Ex GST],tbl_Finance[Job Number],C413&amp;"",tbl_Finance[Xero Invoice No],"&lt;&gt;"))</f>
        <v/>
      </c>
      <c r="J413" s="27">
        <f>IF(C413="","",H413-I413)</f>
        <v/>
      </c>
      <c r="K413" s="25">
        <f>IF(C413="","",IF(G413=0,"not invoiced yet",SUBSTITUTE(TRIM(IF(COUNTIFS(tbl_Finance[Job Number],C413&amp;"",tbl_Finance[Cost Centre],"ONSITE")&gt;0,"ONSITE ","")&amp;IF(COUNTIFS(tbl_Finance[Job Number],C413&amp;"",tbl_Finance[Cost Centre],"PRODUCTION")&gt;0,"PRODUCTION ","")&amp;IF(COUNTIFS(tbl_Finance[Job Number],C413&amp;"",tbl_Finance[Cost Centre],"VIDEO")&gt;0,"VIDEO ","")&amp;IF(COUNTIFS(tbl_Finance[Job Number],C413&amp;"",tbl_Finance[Cost Centre],"INTEGRATION")&gt;0,"INTEGRATION ","")&amp;IF(COUNTIFS(tbl_Finance[Job Number],C413&amp;"",tbl_Finance[Cost Centre],"CONSULTING")&gt;0,"CONSULTING ","")&amp;IF(COUNTIFS(tbl_Finance[Job Number],C413&amp;"",tbl_Finance[Cost Centre],"CTS")&gt;0,"CTS ",""))," ",", ")))</f>
        <v/>
      </c>
      <c r="L413" s="24" t="n"/>
      <c r="M413" s="25">
        <f>IF(L413="","",HYPERLINK(IF(LEFT(L413,4)="http",L413,set_QwilrBase&amp;L413),"Open quote"))</f>
        <v/>
      </c>
      <c r="N413" s="26" t="n"/>
      <c r="O413" s="26" t="n"/>
      <c r="P413" s="26" t="n"/>
      <c r="Q413" s="25">
        <f>IF(C413="","",IF(N(N413)+N(O413)+N(P413)=0,"Not split",IF(ROUND(N(N413)+N(O413)+N(P413),2)=ROUND(H413,2),"OK","MISMATCH")))</f>
        <v/>
      </c>
      <c r="R413" s="26" t="n"/>
      <c r="S413" s="26" t="n"/>
      <c r="T413" s="26" t="n"/>
      <c r="U413" s="27">
        <f>IF(C413="","",N(R413)+N(S413)+N(T413))</f>
        <v/>
      </c>
      <c r="V413" s="27">
        <f>IF(C413="","",H413-U413)</f>
        <v/>
      </c>
      <c r="W413" s="29">
        <f>IFERROR(V413/H413,"")</f>
        <v/>
      </c>
      <c r="X413" s="24" t="n"/>
    </row>
    <row r="414" ht="15" customHeight="1">
      <c r="A414" s="63">
        <f>IF(C414="","",IFERROR(IF(SUMPRODUCT(MAX((tbl_Finance[Job Number]=C414&amp;"")*(tbl_Finance[Xero Invoice No]&lt;&gt;"")*tbl_Finance[Date]))=0,"",SUMPRODUCT(MAX((tbl_Finance[Job Number]=C414&amp;"")*(tbl_Finance[Xero Invoice No]&lt;&gt;"")*tbl_Finance[Date]))),""))</f>
        <v/>
      </c>
      <c r="B414" s="25">
        <f>IF(C414="","",IF(COUNTIFS(tbl_Finance[Job Number],C414&amp;"",tbl_Finance[Xero Invoice No],"&lt;&gt;")=0,"",IFERROR(IF(COUNTIFS(tbl_Finance[Job Number],C414&amp;"",tbl_Finance[Xero Invoice No],LOOKUP(2,1/((tbl_Finance[Job Number]=C414&amp;"")*(tbl_Finance[Xero Invoice No]&lt;&gt;"")),tbl_Finance[Xero Invoice No]))=COUNTIFS(tbl_Finance[Job Number],C414&amp;"",tbl_Finance[Xero Invoice No],"&lt;&gt;"),LOOKUP(2,1/((tbl_Finance[Job Number]=C414&amp;"")*(tbl_Finance[Xero Invoice No]&lt;&gt;"")),tbl_Finance[Xero Invoice No]),LOOKUP(2,1/((tbl_Finance[Job Number]=C414&amp;"")*(tbl_Finance[Xero Invoice No]&lt;&gt;"")),tbl_Finance[Xero Invoice No])&amp;" +more"),"")))</f>
        <v/>
      </c>
      <c r="C414" s="24" t="n"/>
      <c r="D414" s="25">
        <f>IF(C414="","",IF(COUNTIF(lst_Jobs,C414&amp;"")&gt;0,"OK","CHECK"))</f>
        <v/>
      </c>
      <c r="E414" s="25">
        <f>IF(C414="","",IFERROR(INDEX(lst_JobName,MATCH(C414&amp;"",lst_Jobs,0)),""))</f>
        <v/>
      </c>
      <c r="F414" s="25">
        <f>IF(C414="","",IFERROR(INDEX(tbl_Finance[Client],MATCH(C414&amp;"",tbl_Finance[Job Number],0)),""))</f>
        <v/>
      </c>
      <c r="G414" s="28">
        <f>IF(C414="","",COUNTIFS(tbl_Finance[Job Number],C414&amp;"",tbl_Finance[Ex GST],"&lt;&gt;"))</f>
        <v/>
      </c>
      <c r="H414" s="27">
        <f>IF(C414="","",SUMIFS(tbl_Finance[Ex GST],tbl_Finance[Job Number],C414&amp;""))</f>
        <v/>
      </c>
      <c r="I414" s="27">
        <f>IF(C414="","",SUMIFS(tbl_Finance[Ex GST],tbl_Finance[Job Number],C414&amp;"",tbl_Finance[Xero Invoice No],"&lt;&gt;"))</f>
        <v/>
      </c>
      <c r="J414" s="27">
        <f>IF(C414="","",H414-I414)</f>
        <v/>
      </c>
      <c r="K414" s="25">
        <f>IF(C414="","",IF(G414=0,"not invoiced yet",SUBSTITUTE(TRIM(IF(COUNTIFS(tbl_Finance[Job Number],C414&amp;"",tbl_Finance[Cost Centre],"ONSITE")&gt;0,"ONSITE ","")&amp;IF(COUNTIFS(tbl_Finance[Job Number],C414&amp;"",tbl_Finance[Cost Centre],"PRODUCTION")&gt;0,"PRODUCTION ","")&amp;IF(COUNTIFS(tbl_Finance[Job Number],C414&amp;"",tbl_Finance[Cost Centre],"VIDEO")&gt;0,"VIDEO ","")&amp;IF(COUNTIFS(tbl_Finance[Job Number],C414&amp;"",tbl_Finance[Cost Centre],"INTEGRATION")&gt;0,"INTEGRATION ","")&amp;IF(COUNTIFS(tbl_Finance[Job Number],C414&amp;"",tbl_Finance[Cost Centre],"CONSULTING")&gt;0,"CONSULTING ","")&amp;IF(COUNTIFS(tbl_Finance[Job Number],C414&amp;"",tbl_Finance[Cost Centre],"CTS")&gt;0,"CTS ",""))," ",", ")))</f>
        <v/>
      </c>
      <c r="L414" s="24" t="n"/>
      <c r="M414" s="25">
        <f>IF(L414="","",HYPERLINK(IF(LEFT(L414,4)="http",L414,set_QwilrBase&amp;L414),"Open quote"))</f>
        <v/>
      </c>
      <c r="N414" s="26" t="n"/>
      <c r="O414" s="26" t="n"/>
      <c r="P414" s="26" t="n"/>
      <c r="Q414" s="25">
        <f>IF(C414="","",IF(N(N414)+N(O414)+N(P414)=0,"Not split",IF(ROUND(N(N414)+N(O414)+N(P414),2)=ROUND(H414,2),"OK","MISMATCH")))</f>
        <v/>
      </c>
      <c r="R414" s="26" t="n"/>
      <c r="S414" s="26" t="n"/>
      <c r="T414" s="26" t="n"/>
      <c r="U414" s="27">
        <f>IF(C414="","",N(R414)+N(S414)+N(T414))</f>
        <v/>
      </c>
      <c r="V414" s="27">
        <f>IF(C414="","",H414-U414)</f>
        <v/>
      </c>
      <c r="W414" s="29">
        <f>IFERROR(V414/H414,"")</f>
        <v/>
      </c>
      <c r="X414" s="24" t="n"/>
    </row>
    <row r="415" ht="15" customHeight="1">
      <c r="A415" s="63">
        <f>IF(C415="","",IFERROR(IF(SUMPRODUCT(MAX((tbl_Finance[Job Number]=C415&amp;"")*(tbl_Finance[Xero Invoice No]&lt;&gt;"")*tbl_Finance[Date]))=0,"",SUMPRODUCT(MAX((tbl_Finance[Job Number]=C415&amp;"")*(tbl_Finance[Xero Invoice No]&lt;&gt;"")*tbl_Finance[Date]))),""))</f>
        <v/>
      </c>
      <c r="B415" s="25">
        <f>IF(C415="","",IF(COUNTIFS(tbl_Finance[Job Number],C415&amp;"",tbl_Finance[Xero Invoice No],"&lt;&gt;")=0,"",IFERROR(IF(COUNTIFS(tbl_Finance[Job Number],C415&amp;"",tbl_Finance[Xero Invoice No],LOOKUP(2,1/((tbl_Finance[Job Number]=C415&amp;"")*(tbl_Finance[Xero Invoice No]&lt;&gt;"")),tbl_Finance[Xero Invoice No]))=COUNTIFS(tbl_Finance[Job Number],C415&amp;"",tbl_Finance[Xero Invoice No],"&lt;&gt;"),LOOKUP(2,1/((tbl_Finance[Job Number]=C415&amp;"")*(tbl_Finance[Xero Invoice No]&lt;&gt;"")),tbl_Finance[Xero Invoice No]),LOOKUP(2,1/((tbl_Finance[Job Number]=C415&amp;"")*(tbl_Finance[Xero Invoice No]&lt;&gt;"")),tbl_Finance[Xero Invoice No])&amp;" +more"),"")))</f>
        <v/>
      </c>
      <c r="C415" s="24" t="n"/>
      <c r="D415" s="25">
        <f>IF(C415="","",IF(COUNTIF(lst_Jobs,C415&amp;"")&gt;0,"OK","CHECK"))</f>
        <v/>
      </c>
      <c r="E415" s="25">
        <f>IF(C415="","",IFERROR(INDEX(lst_JobName,MATCH(C415&amp;"",lst_Jobs,0)),""))</f>
        <v/>
      </c>
      <c r="F415" s="25">
        <f>IF(C415="","",IFERROR(INDEX(tbl_Finance[Client],MATCH(C415&amp;"",tbl_Finance[Job Number],0)),""))</f>
        <v/>
      </c>
      <c r="G415" s="28">
        <f>IF(C415="","",COUNTIFS(tbl_Finance[Job Number],C415&amp;"",tbl_Finance[Ex GST],"&lt;&gt;"))</f>
        <v/>
      </c>
      <c r="H415" s="27">
        <f>IF(C415="","",SUMIFS(tbl_Finance[Ex GST],tbl_Finance[Job Number],C415&amp;""))</f>
        <v/>
      </c>
      <c r="I415" s="27">
        <f>IF(C415="","",SUMIFS(tbl_Finance[Ex GST],tbl_Finance[Job Number],C415&amp;"",tbl_Finance[Xero Invoice No],"&lt;&gt;"))</f>
        <v/>
      </c>
      <c r="J415" s="27">
        <f>IF(C415="","",H415-I415)</f>
        <v/>
      </c>
      <c r="K415" s="25">
        <f>IF(C415="","",IF(G415=0,"not invoiced yet",SUBSTITUTE(TRIM(IF(COUNTIFS(tbl_Finance[Job Number],C415&amp;"",tbl_Finance[Cost Centre],"ONSITE")&gt;0,"ONSITE ","")&amp;IF(COUNTIFS(tbl_Finance[Job Number],C415&amp;"",tbl_Finance[Cost Centre],"PRODUCTION")&gt;0,"PRODUCTION ","")&amp;IF(COUNTIFS(tbl_Finance[Job Number],C415&amp;"",tbl_Finance[Cost Centre],"VIDEO")&gt;0,"VIDEO ","")&amp;IF(COUNTIFS(tbl_Finance[Job Number],C415&amp;"",tbl_Finance[Cost Centre],"INTEGRATION")&gt;0,"INTEGRATION ","")&amp;IF(COUNTIFS(tbl_Finance[Job Number],C415&amp;"",tbl_Finance[Cost Centre],"CONSULTING")&gt;0,"CONSULTING ","")&amp;IF(COUNTIFS(tbl_Finance[Job Number],C415&amp;"",tbl_Finance[Cost Centre],"CTS")&gt;0,"CTS ",""))," ",", ")))</f>
        <v/>
      </c>
      <c r="L415" s="24" t="n"/>
      <c r="M415" s="25">
        <f>IF(L415="","",HYPERLINK(IF(LEFT(L415,4)="http",L415,set_QwilrBase&amp;L415),"Open quote"))</f>
        <v/>
      </c>
      <c r="N415" s="26" t="n"/>
      <c r="O415" s="26" t="n"/>
      <c r="P415" s="26" t="n"/>
      <c r="Q415" s="25">
        <f>IF(C415="","",IF(N(N415)+N(O415)+N(P415)=0,"Not split",IF(ROUND(N(N415)+N(O415)+N(P415),2)=ROUND(H415,2),"OK","MISMATCH")))</f>
        <v/>
      </c>
      <c r="R415" s="26" t="n"/>
      <c r="S415" s="26" t="n"/>
      <c r="T415" s="26" t="n"/>
      <c r="U415" s="27">
        <f>IF(C415="","",N(R415)+N(S415)+N(T415))</f>
        <v/>
      </c>
      <c r="V415" s="27">
        <f>IF(C415="","",H415-U415)</f>
        <v/>
      </c>
      <c r="W415" s="29">
        <f>IFERROR(V415/H415,"")</f>
        <v/>
      </c>
      <c r="X415" s="24" t="n"/>
    </row>
    <row r="416" ht="15" customHeight="1">
      <c r="A416" s="63">
        <f>IF(C416="","",IFERROR(IF(SUMPRODUCT(MAX((tbl_Finance[Job Number]=C416&amp;"")*(tbl_Finance[Xero Invoice No]&lt;&gt;"")*tbl_Finance[Date]))=0,"",SUMPRODUCT(MAX((tbl_Finance[Job Number]=C416&amp;"")*(tbl_Finance[Xero Invoice No]&lt;&gt;"")*tbl_Finance[Date]))),""))</f>
        <v/>
      </c>
      <c r="B416" s="25">
        <f>IF(C416="","",IF(COUNTIFS(tbl_Finance[Job Number],C416&amp;"",tbl_Finance[Xero Invoice No],"&lt;&gt;")=0,"",IFERROR(IF(COUNTIFS(tbl_Finance[Job Number],C416&amp;"",tbl_Finance[Xero Invoice No],LOOKUP(2,1/((tbl_Finance[Job Number]=C416&amp;"")*(tbl_Finance[Xero Invoice No]&lt;&gt;"")),tbl_Finance[Xero Invoice No]))=COUNTIFS(tbl_Finance[Job Number],C416&amp;"",tbl_Finance[Xero Invoice No],"&lt;&gt;"),LOOKUP(2,1/((tbl_Finance[Job Number]=C416&amp;"")*(tbl_Finance[Xero Invoice No]&lt;&gt;"")),tbl_Finance[Xero Invoice No]),LOOKUP(2,1/((tbl_Finance[Job Number]=C416&amp;"")*(tbl_Finance[Xero Invoice No]&lt;&gt;"")),tbl_Finance[Xero Invoice No])&amp;" +more"),"")))</f>
        <v/>
      </c>
      <c r="C416" s="24" t="n"/>
      <c r="D416" s="25">
        <f>IF(C416="","",IF(COUNTIF(lst_Jobs,C416&amp;"")&gt;0,"OK","CHECK"))</f>
        <v/>
      </c>
      <c r="E416" s="25">
        <f>IF(C416="","",IFERROR(INDEX(lst_JobName,MATCH(C416&amp;"",lst_Jobs,0)),""))</f>
        <v/>
      </c>
      <c r="F416" s="25">
        <f>IF(C416="","",IFERROR(INDEX(tbl_Finance[Client],MATCH(C416&amp;"",tbl_Finance[Job Number],0)),""))</f>
        <v/>
      </c>
      <c r="G416" s="28">
        <f>IF(C416="","",COUNTIFS(tbl_Finance[Job Number],C416&amp;"",tbl_Finance[Ex GST],"&lt;&gt;"))</f>
        <v/>
      </c>
      <c r="H416" s="27">
        <f>IF(C416="","",SUMIFS(tbl_Finance[Ex GST],tbl_Finance[Job Number],C416&amp;""))</f>
        <v/>
      </c>
      <c r="I416" s="27">
        <f>IF(C416="","",SUMIFS(tbl_Finance[Ex GST],tbl_Finance[Job Number],C416&amp;"",tbl_Finance[Xero Invoice No],"&lt;&gt;"))</f>
        <v/>
      </c>
      <c r="J416" s="27">
        <f>IF(C416="","",H416-I416)</f>
        <v/>
      </c>
      <c r="K416" s="25">
        <f>IF(C416="","",IF(G416=0,"not invoiced yet",SUBSTITUTE(TRIM(IF(COUNTIFS(tbl_Finance[Job Number],C416&amp;"",tbl_Finance[Cost Centre],"ONSITE")&gt;0,"ONSITE ","")&amp;IF(COUNTIFS(tbl_Finance[Job Number],C416&amp;"",tbl_Finance[Cost Centre],"PRODUCTION")&gt;0,"PRODUCTION ","")&amp;IF(COUNTIFS(tbl_Finance[Job Number],C416&amp;"",tbl_Finance[Cost Centre],"VIDEO")&gt;0,"VIDEO ","")&amp;IF(COUNTIFS(tbl_Finance[Job Number],C416&amp;"",tbl_Finance[Cost Centre],"INTEGRATION")&gt;0,"INTEGRATION ","")&amp;IF(COUNTIFS(tbl_Finance[Job Number],C416&amp;"",tbl_Finance[Cost Centre],"CONSULTING")&gt;0,"CONSULTING ","")&amp;IF(COUNTIFS(tbl_Finance[Job Number],C416&amp;"",tbl_Finance[Cost Centre],"CTS")&gt;0,"CTS ",""))," ",", ")))</f>
        <v/>
      </c>
      <c r="L416" s="24" t="n"/>
      <c r="M416" s="25">
        <f>IF(L416="","",HYPERLINK(IF(LEFT(L416,4)="http",L416,set_QwilrBase&amp;L416),"Open quote"))</f>
        <v/>
      </c>
      <c r="N416" s="26" t="n"/>
      <c r="O416" s="26" t="n"/>
      <c r="P416" s="26" t="n"/>
      <c r="Q416" s="25">
        <f>IF(C416="","",IF(N(N416)+N(O416)+N(P416)=0,"Not split",IF(ROUND(N(N416)+N(O416)+N(P416),2)=ROUND(H416,2),"OK","MISMATCH")))</f>
        <v/>
      </c>
      <c r="R416" s="26" t="n"/>
      <c r="S416" s="26" t="n"/>
      <c r="T416" s="26" t="n"/>
      <c r="U416" s="27">
        <f>IF(C416="","",N(R416)+N(S416)+N(T416))</f>
        <v/>
      </c>
      <c r="V416" s="27">
        <f>IF(C416="","",H416-U416)</f>
        <v/>
      </c>
      <c r="W416" s="29">
        <f>IFERROR(V416/H416,"")</f>
        <v/>
      </c>
      <c r="X416" s="24" t="n"/>
    </row>
    <row r="417" ht="15" customHeight="1">
      <c r="A417" s="63">
        <f>IF(C417="","",IFERROR(IF(SUMPRODUCT(MAX((tbl_Finance[Job Number]=C417&amp;"")*(tbl_Finance[Xero Invoice No]&lt;&gt;"")*tbl_Finance[Date]))=0,"",SUMPRODUCT(MAX((tbl_Finance[Job Number]=C417&amp;"")*(tbl_Finance[Xero Invoice No]&lt;&gt;"")*tbl_Finance[Date]))),""))</f>
        <v/>
      </c>
      <c r="B417" s="25">
        <f>IF(C417="","",IF(COUNTIFS(tbl_Finance[Job Number],C417&amp;"",tbl_Finance[Xero Invoice No],"&lt;&gt;")=0,"",IFERROR(IF(COUNTIFS(tbl_Finance[Job Number],C417&amp;"",tbl_Finance[Xero Invoice No],LOOKUP(2,1/((tbl_Finance[Job Number]=C417&amp;"")*(tbl_Finance[Xero Invoice No]&lt;&gt;"")),tbl_Finance[Xero Invoice No]))=COUNTIFS(tbl_Finance[Job Number],C417&amp;"",tbl_Finance[Xero Invoice No],"&lt;&gt;"),LOOKUP(2,1/((tbl_Finance[Job Number]=C417&amp;"")*(tbl_Finance[Xero Invoice No]&lt;&gt;"")),tbl_Finance[Xero Invoice No]),LOOKUP(2,1/((tbl_Finance[Job Number]=C417&amp;"")*(tbl_Finance[Xero Invoice No]&lt;&gt;"")),tbl_Finance[Xero Invoice No])&amp;" +more"),"")))</f>
        <v/>
      </c>
      <c r="C417" s="24" t="n"/>
      <c r="D417" s="25">
        <f>IF(C417="","",IF(COUNTIF(lst_Jobs,C417&amp;"")&gt;0,"OK","CHECK"))</f>
        <v/>
      </c>
      <c r="E417" s="25">
        <f>IF(C417="","",IFERROR(INDEX(lst_JobName,MATCH(C417&amp;"",lst_Jobs,0)),""))</f>
        <v/>
      </c>
      <c r="F417" s="25">
        <f>IF(C417="","",IFERROR(INDEX(tbl_Finance[Client],MATCH(C417&amp;"",tbl_Finance[Job Number],0)),""))</f>
        <v/>
      </c>
      <c r="G417" s="28">
        <f>IF(C417="","",COUNTIFS(tbl_Finance[Job Number],C417&amp;"",tbl_Finance[Ex GST],"&lt;&gt;"))</f>
        <v/>
      </c>
      <c r="H417" s="27">
        <f>IF(C417="","",SUMIFS(tbl_Finance[Ex GST],tbl_Finance[Job Number],C417&amp;""))</f>
        <v/>
      </c>
      <c r="I417" s="27">
        <f>IF(C417="","",SUMIFS(tbl_Finance[Ex GST],tbl_Finance[Job Number],C417&amp;"",tbl_Finance[Xero Invoice No],"&lt;&gt;"))</f>
        <v/>
      </c>
      <c r="J417" s="27">
        <f>IF(C417="","",H417-I417)</f>
        <v/>
      </c>
      <c r="K417" s="25">
        <f>IF(C417="","",IF(G417=0,"not invoiced yet",SUBSTITUTE(TRIM(IF(COUNTIFS(tbl_Finance[Job Number],C417&amp;"",tbl_Finance[Cost Centre],"ONSITE")&gt;0,"ONSITE ","")&amp;IF(COUNTIFS(tbl_Finance[Job Number],C417&amp;"",tbl_Finance[Cost Centre],"PRODUCTION")&gt;0,"PRODUCTION ","")&amp;IF(COUNTIFS(tbl_Finance[Job Number],C417&amp;"",tbl_Finance[Cost Centre],"VIDEO")&gt;0,"VIDEO ","")&amp;IF(COUNTIFS(tbl_Finance[Job Number],C417&amp;"",tbl_Finance[Cost Centre],"INTEGRATION")&gt;0,"INTEGRATION ","")&amp;IF(COUNTIFS(tbl_Finance[Job Number],C417&amp;"",tbl_Finance[Cost Centre],"CONSULTING")&gt;0,"CONSULTING ","")&amp;IF(COUNTIFS(tbl_Finance[Job Number],C417&amp;"",tbl_Finance[Cost Centre],"CTS")&gt;0,"CTS ",""))," ",", ")))</f>
        <v/>
      </c>
      <c r="L417" s="24" t="n"/>
      <c r="M417" s="25">
        <f>IF(L417="","",HYPERLINK(IF(LEFT(L417,4)="http",L417,set_QwilrBase&amp;L417),"Open quote"))</f>
        <v/>
      </c>
      <c r="N417" s="26" t="n"/>
      <c r="O417" s="26" t="n"/>
      <c r="P417" s="26" t="n"/>
      <c r="Q417" s="25">
        <f>IF(C417="","",IF(N(N417)+N(O417)+N(P417)=0,"Not split",IF(ROUND(N(N417)+N(O417)+N(P417),2)=ROUND(H417,2),"OK","MISMATCH")))</f>
        <v/>
      </c>
      <c r="R417" s="26" t="n"/>
      <c r="S417" s="26" t="n"/>
      <c r="T417" s="26" t="n"/>
      <c r="U417" s="27">
        <f>IF(C417="","",N(R417)+N(S417)+N(T417))</f>
        <v/>
      </c>
      <c r="V417" s="27">
        <f>IF(C417="","",H417-U417)</f>
        <v/>
      </c>
      <c r="W417" s="29">
        <f>IFERROR(V417/H417,"")</f>
        <v/>
      </c>
      <c r="X417" s="24" t="n"/>
    </row>
    <row r="418" ht="15" customHeight="1">
      <c r="A418" s="63">
        <f>IF(C418="","",IFERROR(IF(SUMPRODUCT(MAX((tbl_Finance[Job Number]=C418&amp;"")*(tbl_Finance[Xero Invoice No]&lt;&gt;"")*tbl_Finance[Date]))=0,"",SUMPRODUCT(MAX((tbl_Finance[Job Number]=C418&amp;"")*(tbl_Finance[Xero Invoice No]&lt;&gt;"")*tbl_Finance[Date]))),""))</f>
        <v/>
      </c>
      <c r="B418" s="25">
        <f>IF(C418="","",IF(COUNTIFS(tbl_Finance[Job Number],C418&amp;"",tbl_Finance[Xero Invoice No],"&lt;&gt;")=0,"",IFERROR(IF(COUNTIFS(tbl_Finance[Job Number],C418&amp;"",tbl_Finance[Xero Invoice No],LOOKUP(2,1/((tbl_Finance[Job Number]=C418&amp;"")*(tbl_Finance[Xero Invoice No]&lt;&gt;"")),tbl_Finance[Xero Invoice No]))=COUNTIFS(tbl_Finance[Job Number],C418&amp;"",tbl_Finance[Xero Invoice No],"&lt;&gt;"),LOOKUP(2,1/((tbl_Finance[Job Number]=C418&amp;"")*(tbl_Finance[Xero Invoice No]&lt;&gt;"")),tbl_Finance[Xero Invoice No]),LOOKUP(2,1/((tbl_Finance[Job Number]=C418&amp;"")*(tbl_Finance[Xero Invoice No]&lt;&gt;"")),tbl_Finance[Xero Invoice No])&amp;" +more"),"")))</f>
        <v/>
      </c>
      <c r="C418" s="24" t="n"/>
      <c r="D418" s="25">
        <f>IF(C418="","",IF(COUNTIF(lst_Jobs,C418&amp;"")&gt;0,"OK","CHECK"))</f>
        <v/>
      </c>
      <c r="E418" s="25">
        <f>IF(C418="","",IFERROR(INDEX(lst_JobName,MATCH(C418&amp;"",lst_Jobs,0)),""))</f>
        <v/>
      </c>
      <c r="F418" s="25">
        <f>IF(C418="","",IFERROR(INDEX(tbl_Finance[Client],MATCH(C418&amp;"",tbl_Finance[Job Number],0)),""))</f>
        <v/>
      </c>
      <c r="G418" s="28">
        <f>IF(C418="","",COUNTIFS(tbl_Finance[Job Number],C418&amp;"",tbl_Finance[Ex GST],"&lt;&gt;"))</f>
        <v/>
      </c>
      <c r="H418" s="27">
        <f>IF(C418="","",SUMIFS(tbl_Finance[Ex GST],tbl_Finance[Job Number],C418&amp;""))</f>
        <v/>
      </c>
      <c r="I418" s="27">
        <f>IF(C418="","",SUMIFS(tbl_Finance[Ex GST],tbl_Finance[Job Number],C418&amp;"",tbl_Finance[Xero Invoice No],"&lt;&gt;"))</f>
        <v/>
      </c>
      <c r="J418" s="27">
        <f>IF(C418="","",H418-I418)</f>
        <v/>
      </c>
      <c r="K418" s="25">
        <f>IF(C418="","",IF(G418=0,"not invoiced yet",SUBSTITUTE(TRIM(IF(COUNTIFS(tbl_Finance[Job Number],C418&amp;"",tbl_Finance[Cost Centre],"ONSITE")&gt;0,"ONSITE ","")&amp;IF(COUNTIFS(tbl_Finance[Job Number],C418&amp;"",tbl_Finance[Cost Centre],"PRODUCTION")&gt;0,"PRODUCTION ","")&amp;IF(COUNTIFS(tbl_Finance[Job Number],C418&amp;"",tbl_Finance[Cost Centre],"VIDEO")&gt;0,"VIDEO ","")&amp;IF(COUNTIFS(tbl_Finance[Job Number],C418&amp;"",tbl_Finance[Cost Centre],"INTEGRATION")&gt;0,"INTEGRATION ","")&amp;IF(COUNTIFS(tbl_Finance[Job Number],C418&amp;"",tbl_Finance[Cost Centre],"CONSULTING")&gt;0,"CONSULTING ","")&amp;IF(COUNTIFS(tbl_Finance[Job Number],C418&amp;"",tbl_Finance[Cost Centre],"CTS")&gt;0,"CTS ",""))," ",", ")))</f>
        <v/>
      </c>
      <c r="L418" s="24" t="n"/>
      <c r="M418" s="25">
        <f>IF(L418="","",HYPERLINK(IF(LEFT(L418,4)="http",L418,set_QwilrBase&amp;L418),"Open quote"))</f>
        <v/>
      </c>
      <c r="N418" s="26" t="n"/>
      <c r="O418" s="26" t="n"/>
      <c r="P418" s="26" t="n"/>
      <c r="Q418" s="25">
        <f>IF(C418="","",IF(N(N418)+N(O418)+N(P418)=0,"Not split",IF(ROUND(N(N418)+N(O418)+N(P418),2)=ROUND(H418,2),"OK","MISMATCH")))</f>
        <v/>
      </c>
      <c r="R418" s="26" t="n"/>
      <c r="S418" s="26" t="n"/>
      <c r="T418" s="26" t="n"/>
      <c r="U418" s="27">
        <f>IF(C418="","",N(R418)+N(S418)+N(T418))</f>
        <v/>
      </c>
      <c r="V418" s="27">
        <f>IF(C418="","",H418-U418)</f>
        <v/>
      </c>
      <c r="W418" s="29">
        <f>IFERROR(V418/H418,"")</f>
        <v/>
      </c>
      <c r="X418" s="24" t="n"/>
    </row>
    <row r="419" ht="15" customHeight="1">
      <c r="A419" s="63">
        <f>IF(C419="","",IFERROR(IF(SUMPRODUCT(MAX((tbl_Finance[Job Number]=C419&amp;"")*(tbl_Finance[Xero Invoice No]&lt;&gt;"")*tbl_Finance[Date]))=0,"",SUMPRODUCT(MAX((tbl_Finance[Job Number]=C419&amp;"")*(tbl_Finance[Xero Invoice No]&lt;&gt;"")*tbl_Finance[Date]))),""))</f>
        <v/>
      </c>
      <c r="B419" s="25">
        <f>IF(C419="","",IF(COUNTIFS(tbl_Finance[Job Number],C419&amp;"",tbl_Finance[Xero Invoice No],"&lt;&gt;")=0,"",IFERROR(IF(COUNTIFS(tbl_Finance[Job Number],C419&amp;"",tbl_Finance[Xero Invoice No],LOOKUP(2,1/((tbl_Finance[Job Number]=C419&amp;"")*(tbl_Finance[Xero Invoice No]&lt;&gt;"")),tbl_Finance[Xero Invoice No]))=COUNTIFS(tbl_Finance[Job Number],C419&amp;"",tbl_Finance[Xero Invoice No],"&lt;&gt;"),LOOKUP(2,1/((tbl_Finance[Job Number]=C419&amp;"")*(tbl_Finance[Xero Invoice No]&lt;&gt;"")),tbl_Finance[Xero Invoice No]),LOOKUP(2,1/((tbl_Finance[Job Number]=C419&amp;"")*(tbl_Finance[Xero Invoice No]&lt;&gt;"")),tbl_Finance[Xero Invoice No])&amp;" +more"),"")))</f>
        <v/>
      </c>
      <c r="C419" s="24" t="n"/>
      <c r="D419" s="25">
        <f>IF(C419="","",IF(COUNTIF(lst_Jobs,C419&amp;"")&gt;0,"OK","CHECK"))</f>
        <v/>
      </c>
      <c r="E419" s="25">
        <f>IF(C419="","",IFERROR(INDEX(lst_JobName,MATCH(C419&amp;"",lst_Jobs,0)),""))</f>
        <v/>
      </c>
      <c r="F419" s="25">
        <f>IF(C419="","",IFERROR(INDEX(tbl_Finance[Client],MATCH(C419&amp;"",tbl_Finance[Job Number],0)),""))</f>
        <v/>
      </c>
      <c r="G419" s="28">
        <f>IF(C419="","",COUNTIFS(tbl_Finance[Job Number],C419&amp;"",tbl_Finance[Ex GST],"&lt;&gt;"))</f>
        <v/>
      </c>
      <c r="H419" s="27">
        <f>IF(C419="","",SUMIFS(tbl_Finance[Ex GST],tbl_Finance[Job Number],C419&amp;""))</f>
        <v/>
      </c>
      <c r="I419" s="27">
        <f>IF(C419="","",SUMIFS(tbl_Finance[Ex GST],tbl_Finance[Job Number],C419&amp;"",tbl_Finance[Xero Invoice No],"&lt;&gt;"))</f>
        <v/>
      </c>
      <c r="J419" s="27">
        <f>IF(C419="","",H419-I419)</f>
        <v/>
      </c>
      <c r="K419" s="25">
        <f>IF(C419="","",IF(G419=0,"not invoiced yet",SUBSTITUTE(TRIM(IF(COUNTIFS(tbl_Finance[Job Number],C419&amp;"",tbl_Finance[Cost Centre],"ONSITE")&gt;0,"ONSITE ","")&amp;IF(COUNTIFS(tbl_Finance[Job Number],C419&amp;"",tbl_Finance[Cost Centre],"PRODUCTION")&gt;0,"PRODUCTION ","")&amp;IF(COUNTIFS(tbl_Finance[Job Number],C419&amp;"",tbl_Finance[Cost Centre],"VIDEO")&gt;0,"VIDEO ","")&amp;IF(COUNTIFS(tbl_Finance[Job Number],C419&amp;"",tbl_Finance[Cost Centre],"INTEGRATION")&gt;0,"INTEGRATION ","")&amp;IF(COUNTIFS(tbl_Finance[Job Number],C419&amp;"",tbl_Finance[Cost Centre],"CONSULTING")&gt;0,"CONSULTING ","")&amp;IF(COUNTIFS(tbl_Finance[Job Number],C419&amp;"",tbl_Finance[Cost Centre],"CTS")&gt;0,"CTS ",""))," ",", ")))</f>
        <v/>
      </c>
      <c r="L419" s="24" t="n"/>
      <c r="M419" s="25">
        <f>IF(L419="","",HYPERLINK(IF(LEFT(L419,4)="http",L419,set_QwilrBase&amp;L419),"Open quote"))</f>
        <v/>
      </c>
      <c r="N419" s="26" t="n"/>
      <c r="O419" s="26" t="n"/>
      <c r="P419" s="26" t="n"/>
      <c r="Q419" s="25">
        <f>IF(C419="","",IF(N(N419)+N(O419)+N(P419)=0,"Not split",IF(ROUND(N(N419)+N(O419)+N(P419),2)=ROUND(H419,2),"OK","MISMATCH")))</f>
        <v/>
      </c>
      <c r="R419" s="26" t="n"/>
      <c r="S419" s="26" t="n"/>
      <c r="T419" s="26" t="n"/>
      <c r="U419" s="27">
        <f>IF(C419="","",N(R419)+N(S419)+N(T419))</f>
        <v/>
      </c>
      <c r="V419" s="27">
        <f>IF(C419="","",H419-U419)</f>
        <v/>
      </c>
      <c r="W419" s="29">
        <f>IFERROR(V419/H419,"")</f>
        <v/>
      </c>
      <c r="X419" s="24" t="n"/>
    </row>
    <row r="420" ht="15" customHeight="1">
      <c r="A420" s="63">
        <f>IF(C420="","",IFERROR(IF(SUMPRODUCT(MAX((tbl_Finance[Job Number]=C420&amp;"")*(tbl_Finance[Xero Invoice No]&lt;&gt;"")*tbl_Finance[Date]))=0,"",SUMPRODUCT(MAX((tbl_Finance[Job Number]=C420&amp;"")*(tbl_Finance[Xero Invoice No]&lt;&gt;"")*tbl_Finance[Date]))),""))</f>
        <v/>
      </c>
      <c r="B420" s="25">
        <f>IF(C420="","",IF(COUNTIFS(tbl_Finance[Job Number],C420&amp;"",tbl_Finance[Xero Invoice No],"&lt;&gt;")=0,"",IFERROR(IF(COUNTIFS(tbl_Finance[Job Number],C420&amp;"",tbl_Finance[Xero Invoice No],LOOKUP(2,1/((tbl_Finance[Job Number]=C420&amp;"")*(tbl_Finance[Xero Invoice No]&lt;&gt;"")),tbl_Finance[Xero Invoice No]))=COUNTIFS(tbl_Finance[Job Number],C420&amp;"",tbl_Finance[Xero Invoice No],"&lt;&gt;"),LOOKUP(2,1/((tbl_Finance[Job Number]=C420&amp;"")*(tbl_Finance[Xero Invoice No]&lt;&gt;"")),tbl_Finance[Xero Invoice No]),LOOKUP(2,1/((tbl_Finance[Job Number]=C420&amp;"")*(tbl_Finance[Xero Invoice No]&lt;&gt;"")),tbl_Finance[Xero Invoice No])&amp;" +more"),"")))</f>
        <v/>
      </c>
      <c r="C420" s="24" t="n"/>
      <c r="D420" s="25">
        <f>IF(C420="","",IF(COUNTIF(lst_Jobs,C420&amp;"")&gt;0,"OK","CHECK"))</f>
        <v/>
      </c>
      <c r="E420" s="25">
        <f>IF(C420="","",IFERROR(INDEX(lst_JobName,MATCH(C420&amp;"",lst_Jobs,0)),""))</f>
        <v/>
      </c>
      <c r="F420" s="25">
        <f>IF(C420="","",IFERROR(INDEX(tbl_Finance[Client],MATCH(C420&amp;"",tbl_Finance[Job Number],0)),""))</f>
        <v/>
      </c>
      <c r="G420" s="28">
        <f>IF(C420="","",COUNTIFS(tbl_Finance[Job Number],C420&amp;"",tbl_Finance[Ex GST],"&lt;&gt;"))</f>
        <v/>
      </c>
      <c r="H420" s="27">
        <f>IF(C420="","",SUMIFS(tbl_Finance[Ex GST],tbl_Finance[Job Number],C420&amp;""))</f>
        <v/>
      </c>
      <c r="I420" s="27">
        <f>IF(C420="","",SUMIFS(tbl_Finance[Ex GST],tbl_Finance[Job Number],C420&amp;"",tbl_Finance[Xero Invoice No],"&lt;&gt;"))</f>
        <v/>
      </c>
      <c r="J420" s="27">
        <f>IF(C420="","",H420-I420)</f>
        <v/>
      </c>
      <c r="K420" s="25">
        <f>IF(C420="","",IF(G420=0,"not invoiced yet",SUBSTITUTE(TRIM(IF(COUNTIFS(tbl_Finance[Job Number],C420&amp;"",tbl_Finance[Cost Centre],"ONSITE")&gt;0,"ONSITE ","")&amp;IF(COUNTIFS(tbl_Finance[Job Number],C420&amp;"",tbl_Finance[Cost Centre],"PRODUCTION")&gt;0,"PRODUCTION ","")&amp;IF(COUNTIFS(tbl_Finance[Job Number],C420&amp;"",tbl_Finance[Cost Centre],"VIDEO")&gt;0,"VIDEO ","")&amp;IF(COUNTIFS(tbl_Finance[Job Number],C420&amp;"",tbl_Finance[Cost Centre],"INTEGRATION")&gt;0,"INTEGRATION ","")&amp;IF(COUNTIFS(tbl_Finance[Job Number],C420&amp;"",tbl_Finance[Cost Centre],"CONSULTING")&gt;0,"CONSULTING ","")&amp;IF(COUNTIFS(tbl_Finance[Job Number],C420&amp;"",tbl_Finance[Cost Centre],"CTS")&gt;0,"CTS ",""))," ",", ")))</f>
        <v/>
      </c>
      <c r="L420" s="24" t="n"/>
      <c r="M420" s="25">
        <f>IF(L420="","",HYPERLINK(IF(LEFT(L420,4)="http",L420,set_QwilrBase&amp;L420),"Open quote"))</f>
        <v/>
      </c>
      <c r="N420" s="26" t="n"/>
      <c r="O420" s="26" t="n"/>
      <c r="P420" s="26" t="n"/>
      <c r="Q420" s="25">
        <f>IF(C420="","",IF(N(N420)+N(O420)+N(P420)=0,"Not split",IF(ROUND(N(N420)+N(O420)+N(P420),2)=ROUND(H420,2),"OK","MISMATCH")))</f>
        <v/>
      </c>
      <c r="R420" s="26" t="n"/>
      <c r="S420" s="26" t="n"/>
      <c r="T420" s="26" t="n"/>
      <c r="U420" s="27">
        <f>IF(C420="","",N(R420)+N(S420)+N(T420))</f>
        <v/>
      </c>
      <c r="V420" s="27">
        <f>IF(C420="","",H420-U420)</f>
        <v/>
      </c>
      <c r="W420" s="29">
        <f>IFERROR(V420/H420,"")</f>
        <v/>
      </c>
      <c r="X420" s="24" t="n"/>
    </row>
    <row r="421" ht="15" customHeight="1">
      <c r="A421" s="63">
        <f>IF(C421="","",IFERROR(IF(SUMPRODUCT(MAX((tbl_Finance[Job Number]=C421&amp;"")*(tbl_Finance[Xero Invoice No]&lt;&gt;"")*tbl_Finance[Date]))=0,"",SUMPRODUCT(MAX((tbl_Finance[Job Number]=C421&amp;"")*(tbl_Finance[Xero Invoice No]&lt;&gt;"")*tbl_Finance[Date]))),""))</f>
        <v/>
      </c>
      <c r="B421" s="25">
        <f>IF(C421="","",IF(COUNTIFS(tbl_Finance[Job Number],C421&amp;"",tbl_Finance[Xero Invoice No],"&lt;&gt;")=0,"",IFERROR(IF(COUNTIFS(tbl_Finance[Job Number],C421&amp;"",tbl_Finance[Xero Invoice No],LOOKUP(2,1/((tbl_Finance[Job Number]=C421&amp;"")*(tbl_Finance[Xero Invoice No]&lt;&gt;"")),tbl_Finance[Xero Invoice No]))=COUNTIFS(tbl_Finance[Job Number],C421&amp;"",tbl_Finance[Xero Invoice No],"&lt;&gt;"),LOOKUP(2,1/((tbl_Finance[Job Number]=C421&amp;"")*(tbl_Finance[Xero Invoice No]&lt;&gt;"")),tbl_Finance[Xero Invoice No]),LOOKUP(2,1/((tbl_Finance[Job Number]=C421&amp;"")*(tbl_Finance[Xero Invoice No]&lt;&gt;"")),tbl_Finance[Xero Invoice No])&amp;" +more"),"")))</f>
        <v/>
      </c>
      <c r="C421" s="24" t="n"/>
      <c r="D421" s="25">
        <f>IF(C421="","",IF(COUNTIF(lst_Jobs,C421&amp;"")&gt;0,"OK","CHECK"))</f>
        <v/>
      </c>
      <c r="E421" s="25">
        <f>IF(C421="","",IFERROR(INDEX(lst_JobName,MATCH(C421&amp;"",lst_Jobs,0)),""))</f>
        <v/>
      </c>
      <c r="F421" s="25">
        <f>IF(C421="","",IFERROR(INDEX(tbl_Finance[Client],MATCH(C421&amp;"",tbl_Finance[Job Number],0)),""))</f>
        <v/>
      </c>
      <c r="G421" s="28">
        <f>IF(C421="","",COUNTIFS(tbl_Finance[Job Number],C421&amp;"",tbl_Finance[Ex GST],"&lt;&gt;"))</f>
        <v/>
      </c>
      <c r="H421" s="27">
        <f>IF(C421="","",SUMIFS(tbl_Finance[Ex GST],tbl_Finance[Job Number],C421&amp;""))</f>
        <v/>
      </c>
      <c r="I421" s="27">
        <f>IF(C421="","",SUMIFS(tbl_Finance[Ex GST],tbl_Finance[Job Number],C421&amp;"",tbl_Finance[Xero Invoice No],"&lt;&gt;"))</f>
        <v/>
      </c>
      <c r="J421" s="27">
        <f>IF(C421="","",H421-I421)</f>
        <v/>
      </c>
      <c r="K421" s="25">
        <f>IF(C421="","",IF(G421=0,"not invoiced yet",SUBSTITUTE(TRIM(IF(COUNTIFS(tbl_Finance[Job Number],C421&amp;"",tbl_Finance[Cost Centre],"ONSITE")&gt;0,"ONSITE ","")&amp;IF(COUNTIFS(tbl_Finance[Job Number],C421&amp;"",tbl_Finance[Cost Centre],"PRODUCTION")&gt;0,"PRODUCTION ","")&amp;IF(COUNTIFS(tbl_Finance[Job Number],C421&amp;"",tbl_Finance[Cost Centre],"VIDEO")&gt;0,"VIDEO ","")&amp;IF(COUNTIFS(tbl_Finance[Job Number],C421&amp;"",tbl_Finance[Cost Centre],"INTEGRATION")&gt;0,"INTEGRATION ","")&amp;IF(COUNTIFS(tbl_Finance[Job Number],C421&amp;"",tbl_Finance[Cost Centre],"CONSULTING")&gt;0,"CONSULTING ","")&amp;IF(COUNTIFS(tbl_Finance[Job Number],C421&amp;"",tbl_Finance[Cost Centre],"CTS")&gt;0,"CTS ",""))," ",", ")))</f>
        <v/>
      </c>
      <c r="L421" s="24" t="n"/>
      <c r="M421" s="25">
        <f>IF(L421="","",HYPERLINK(IF(LEFT(L421,4)="http",L421,set_QwilrBase&amp;L421),"Open quote"))</f>
        <v/>
      </c>
      <c r="N421" s="26" t="n"/>
      <c r="O421" s="26" t="n"/>
      <c r="P421" s="26" t="n"/>
      <c r="Q421" s="25">
        <f>IF(C421="","",IF(N(N421)+N(O421)+N(P421)=0,"Not split",IF(ROUND(N(N421)+N(O421)+N(P421),2)=ROUND(H421,2),"OK","MISMATCH")))</f>
        <v/>
      </c>
      <c r="R421" s="26" t="n"/>
      <c r="S421" s="26" t="n"/>
      <c r="T421" s="26" t="n"/>
      <c r="U421" s="27">
        <f>IF(C421="","",N(R421)+N(S421)+N(T421))</f>
        <v/>
      </c>
      <c r="V421" s="27">
        <f>IF(C421="","",H421-U421)</f>
        <v/>
      </c>
      <c r="W421" s="29">
        <f>IFERROR(V421/H421,"")</f>
        <v/>
      </c>
      <c r="X421" s="24" t="n"/>
    </row>
    <row r="422" ht="15" customHeight="1">
      <c r="A422" s="63">
        <f>IF(C422="","",IFERROR(IF(SUMPRODUCT(MAX((tbl_Finance[Job Number]=C422&amp;"")*(tbl_Finance[Xero Invoice No]&lt;&gt;"")*tbl_Finance[Date]))=0,"",SUMPRODUCT(MAX((tbl_Finance[Job Number]=C422&amp;"")*(tbl_Finance[Xero Invoice No]&lt;&gt;"")*tbl_Finance[Date]))),""))</f>
        <v/>
      </c>
      <c r="B422" s="25">
        <f>IF(C422="","",IF(COUNTIFS(tbl_Finance[Job Number],C422&amp;"",tbl_Finance[Xero Invoice No],"&lt;&gt;")=0,"",IFERROR(IF(COUNTIFS(tbl_Finance[Job Number],C422&amp;"",tbl_Finance[Xero Invoice No],LOOKUP(2,1/((tbl_Finance[Job Number]=C422&amp;"")*(tbl_Finance[Xero Invoice No]&lt;&gt;"")),tbl_Finance[Xero Invoice No]))=COUNTIFS(tbl_Finance[Job Number],C422&amp;"",tbl_Finance[Xero Invoice No],"&lt;&gt;"),LOOKUP(2,1/((tbl_Finance[Job Number]=C422&amp;"")*(tbl_Finance[Xero Invoice No]&lt;&gt;"")),tbl_Finance[Xero Invoice No]),LOOKUP(2,1/((tbl_Finance[Job Number]=C422&amp;"")*(tbl_Finance[Xero Invoice No]&lt;&gt;"")),tbl_Finance[Xero Invoice No])&amp;" +more"),"")))</f>
        <v/>
      </c>
      <c r="C422" s="24" t="n"/>
      <c r="D422" s="25">
        <f>IF(C422="","",IF(COUNTIF(lst_Jobs,C422&amp;"")&gt;0,"OK","CHECK"))</f>
        <v/>
      </c>
      <c r="E422" s="25">
        <f>IF(C422="","",IFERROR(INDEX(lst_JobName,MATCH(C422&amp;"",lst_Jobs,0)),""))</f>
        <v/>
      </c>
      <c r="F422" s="25">
        <f>IF(C422="","",IFERROR(INDEX(tbl_Finance[Client],MATCH(C422&amp;"",tbl_Finance[Job Number],0)),""))</f>
        <v/>
      </c>
      <c r="G422" s="28">
        <f>IF(C422="","",COUNTIFS(tbl_Finance[Job Number],C422&amp;"",tbl_Finance[Ex GST],"&lt;&gt;"))</f>
        <v/>
      </c>
      <c r="H422" s="27">
        <f>IF(C422="","",SUMIFS(tbl_Finance[Ex GST],tbl_Finance[Job Number],C422&amp;""))</f>
        <v/>
      </c>
      <c r="I422" s="27">
        <f>IF(C422="","",SUMIFS(tbl_Finance[Ex GST],tbl_Finance[Job Number],C422&amp;"",tbl_Finance[Xero Invoice No],"&lt;&gt;"))</f>
        <v/>
      </c>
      <c r="J422" s="27">
        <f>IF(C422="","",H422-I422)</f>
        <v/>
      </c>
      <c r="K422" s="25">
        <f>IF(C422="","",IF(G422=0,"not invoiced yet",SUBSTITUTE(TRIM(IF(COUNTIFS(tbl_Finance[Job Number],C422&amp;"",tbl_Finance[Cost Centre],"ONSITE")&gt;0,"ONSITE ","")&amp;IF(COUNTIFS(tbl_Finance[Job Number],C422&amp;"",tbl_Finance[Cost Centre],"PRODUCTION")&gt;0,"PRODUCTION ","")&amp;IF(COUNTIFS(tbl_Finance[Job Number],C422&amp;"",tbl_Finance[Cost Centre],"VIDEO")&gt;0,"VIDEO ","")&amp;IF(COUNTIFS(tbl_Finance[Job Number],C422&amp;"",tbl_Finance[Cost Centre],"INTEGRATION")&gt;0,"INTEGRATION ","")&amp;IF(COUNTIFS(tbl_Finance[Job Number],C422&amp;"",tbl_Finance[Cost Centre],"CONSULTING")&gt;0,"CONSULTING ","")&amp;IF(COUNTIFS(tbl_Finance[Job Number],C422&amp;"",tbl_Finance[Cost Centre],"CTS")&gt;0,"CTS ",""))," ",", ")))</f>
        <v/>
      </c>
      <c r="L422" s="24" t="n"/>
      <c r="M422" s="25">
        <f>IF(L422="","",HYPERLINK(IF(LEFT(L422,4)="http",L422,set_QwilrBase&amp;L422),"Open quote"))</f>
        <v/>
      </c>
      <c r="N422" s="26" t="n"/>
      <c r="O422" s="26" t="n"/>
      <c r="P422" s="26" t="n"/>
      <c r="Q422" s="25">
        <f>IF(C422="","",IF(N(N422)+N(O422)+N(P422)=0,"Not split",IF(ROUND(N(N422)+N(O422)+N(P422),2)=ROUND(H422,2),"OK","MISMATCH")))</f>
        <v/>
      </c>
      <c r="R422" s="26" t="n"/>
      <c r="S422" s="26" t="n"/>
      <c r="T422" s="26" t="n"/>
      <c r="U422" s="27">
        <f>IF(C422="","",N(R422)+N(S422)+N(T422))</f>
        <v/>
      </c>
      <c r="V422" s="27">
        <f>IF(C422="","",H422-U422)</f>
        <v/>
      </c>
      <c r="W422" s="29">
        <f>IFERROR(V422/H422,"")</f>
        <v/>
      </c>
      <c r="X422" s="24" t="n"/>
    </row>
    <row r="423" ht="15" customHeight="1">
      <c r="A423" s="63">
        <f>IF(C423="","",IFERROR(IF(SUMPRODUCT(MAX((tbl_Finance[Job Number]=C423&amp;"")*(tbl_Finance[Xero Invoice No]&lt;&gt;"")*tbl_Finance[Date]))=0,"",SUMPRODUCT(MAX((tbl_Finance[Job Number]=C423&amp;"")*(tbl_Finance[Xero Invoice No]&lt;&gt;"")*tbl_Finance[Date]))),""))</f>
        <v/>
      </c>
      <c r="B423" s="25">
        <f>IF(C423="","",IF(COUNTIFS(tbl_Finance[Job Number],C423&amp;"",tbl_Finance[Xero Invoice No],"&lt;&gt;")=0,"",IFERROR(IF(COUNTIFS(tbl_Finance[Job Number],C423&amp;"",tbl_Finance[Xero Invoice No],LOOKUP(2,1/((tbl_Finance[Job Number]=C423&amp;"")*(tbl_Finance[Xero Invoice No]&lt;&gt;"")),tbl_Finance[Xero Invoice No]))=COUNTIFS(tbl_Finance[Job Number],C423&amp;"",tbl_Finance[Xero Invoice No],"&lt;&gt;"),LOOKUP(2,1/((tbl_Finance[Job Number]=C423&amp;"")*(tbl_Finance[Xero Invoice No]&lt;&gt;"")),tbl_Finance[Xero Invoice No]),LOOKUP(2,1/((tbl_Finance[Job Number]=C423&amp;"")*(tbl_Finance[Xero Invoice No]&lt;&gt;"")),tbl_Finance[Xero Invoice No])&amp;" +more"),"")))</f>
        <v/>
      </c>
      <c r="C423" s="24" t="n"/>
      <c r="D423" s="25">
        <f>IF(C423="","",IF(COUNTIF(lst_Jobs,C423&amp;"")&gt;0,"OK","CHECK"))</f>
        <v/>
      </c>
      <c r="E423" s="25">
        <f>IF(C423="","",IFERROR(INDEX(lst_JobName,MATCH(C423&amp;"",lst_Jobs,0)),""))</f>
        <v/>
      </c>
      <c r="F423" s="25">
        <f>IF(C423="","",IFERROR(INDEX(tbl_Finance[Client],MATCH(C423&amp;"",tbl_Finance[Job Number],0)),""))</f>
        <v/>
      </c>
      <c r="G423" s="28">
        <f>IF(C423="","",COUNTIFS(tbl_Finance[Job Number],C423&amp;"",tbl_Finance[Ex GST],"&lt;&gt;"))</f>
        <v/>
      </c>
      <c r="H423" s="27">
        <f>IF(C423="","",SUMIFS(tbl_Finance[Ex GST],tbl_Finance[Job Number],C423&amp;""))</f>
        <v/>
      </c>
      <c r="I423" s="27">
        <f>IF(C423="","",SUMIFS(tbl_Finance[Ex GST],tbl_Finance[Job Number],C423&amp;"",tbl_Finance[Xero Invoice No],"&lt;&gt;"))</f>
        <v/>
      </c>
      <c r="J423" s="27">
        <f>IF(C423="","",H423-I423)</f>
        <v/>
      </c>
      <c r="K423" s="25">
        <f>IF(C423="","",IF(G423=0,"not invoiced yet",SUBSTITUTE(TRIM(IF(COUNTIFS(tbl_Finance[Job Number],C423&amp;"",tbl_Finance[Cost Centre],"ONSITE")&gt;0,"ONSITE ","")&amp;IF(COUNTIFS(tbl_Finance[Job Number],C423&amp;"",tbl_Finance[Cost Centre],"PRODUCTION")&gt;0,"PRODUCTION ","")&amp;IF(COUNTIFS(tbl_Finance[Job Number],C423&amp;"",tbl_Finance[Cost Centre],"VIDEO")&gt;0,"VIDEO ","")&amp;IF(COUNTIFS(tbl_Finance[Job Number],C423&amp;"",tbl_Finance[Cost Centre],"INTEGRATION")&gt;0,"INTEGRATION ","")&amp;IF(COUNTIFS(tbl_Finance[Job Number],C423&amp;"",tbl_Finance[Cost Centre],"CONSULTING")&gt;0,"CONSULTING ","")&amp;IF(COUNTIFS(tbl_Finance[Job Number],C423&amp;"",tbl_Finance[Cost Centre],"CTS")&gt;0,"CTS ",""))," ",", ")))</f>
        <v/>
      </c>
      <c r="L423" s="24" t="n"/>
      <c r="M423" s="25">
        <f>IF(L423="","",HYPERLINK(IF(LEFT(L423,4)="http",L423,set_QwilrBase&amp;L423),"Open quote"))</f>
        <v/>
      </c>
      <c r="N423" s="26" t="n"/>
      <c r="O423" s="26" t="n"/>
      <c r="P423" s="26" t="n"/>
      <c r="Q423" s="25">
        <f>IF(C423="","",IF(N(N423)+N(O423)+N(P423)=0,"Not split",IF(ROUND(N(N423)+N(O423)+N(P423),2)=ROUND(H423,2),"OK","MISMATCH")))</f>
        <v/>
      </c>
      <c r="R423" s="26" t="n"/>
      <c r="S423" s="26" t="n"/>
      <c r="T423" s="26" t="n"/>
      <c r="U423" s="27">
        <f>IF(C423="","",N(R423)+N(S423)+N(T423))</f>
        <v/>
      </c>
      <c r="V423" s="27">
        <f>IF(C423="","",H423-U423)</f>
        <v/>
      </c>
      <c r="W423" s="29">
        <f>IFERROR(V423/H423,"")</f>
        <v/>
      </c>
      <c r="X423" s="24" t="n"/>
    </row>
    <row r="424" ht="15" customHeight="1">
      <c r="A424" s="63">
        <f>IF(C424="","",IFERROR(IF(SUMPRODUCT(MAX((tbl_Finance[Job Number]=C424&amp;"")*(tbl_Finance[Xero Invoice No]&lt;&gt;"")*tbl_Finance[Date]))=0,"",SUMPRODUCT(MAX((tbl_Finance[Job Number]=C424&amp;"")*(tbl_Finance[Xero Invoice No]&lt;&gt;"")*tbl_Finance[Date]))),""))</f>
        <v/>
      </c>
      <c r="B424" s="25">
        <f>IF(C424="","",IF(COUNTIFS(tbl_Finance[Job Number],C424&amp;"",tbl_Finance[Xero Invoice No],"&lt;&gt;")=0,"",IFERROR(IF(COUNTIFS(tbl_Finance[Job Number],C424&amp;"",tbl_Finance[Xero Invoice No],LOOKUP(2,1/((tbl_Finance[Job Number]=C424&amp;"")*(tbl_Finance[Xero Invoice No]&lt;&gt;"")),tbl_Finance[Xero Invoice No]))=COUNTIFS(tbl_Finance[Job Number],C424&amp;"",tbl_Finance[Xero Invoice No],"&lt;&gt;"),LOOKUP(2,1/((tbl_Finance[Job Number]=C424&amp;"")*(tbl_Finance[Xero Invoice No]&lt;&gt;"")),tbl_Finance[Xero Invoice No]),LOOKUP(2,1/((tbl_Finance[Job Number]=C424&amp;"")*(tbl_Finance[Xero Invoice No]&lt;&gt;"")),tbl_Finance[Xero Invoice No])&amp;" +more"),"")))</f>
        <v/>
      </c>
      <c r="C424" s="24" t="n"/>
      <c r="D424" s="25">
        <f>IF(C424="","",IF(COUNTIF(lst_Jobs,C424&amp;"")&gt;0,"OK","CHECK"))</f>
        <v/>
      </c>
      <c r="E424" s="25">
        <f>IF(C424="","",IFERROR(INDEX(lst_JobName,MATCH(C424&amp;"",lst_Jobs,0)),""))</f>
        <v/>
      </c>
      <c r="F424" s="25">
        <f>IF(C424="","",IFERROR(INDEX(tbl_Finance[Client],MATCH(C424&amp;"",tbl_Finance[Job Number],0)),""))</f>
        <v/>
      </c>
      <c r="G424" s="28">
        <f>IF(C424="","",COUNTIFS(tbl_Finance[Job Number],C424&amp;"",tbl_Finance[Ex GST],"&lt;&gt;"))</f>
        <v/>
      </c>
      <c r="H424" s="27">
        <f>IF(C424="","",SUMIFS(tbl_Finance[Ex GST],tbl_Finance[Job Number],C424&amp;""))</f>
        <v/>
      </c>
      <c r="I424" s="27">
        <f>IF(C424="","",SUMIFS(tbl_Finance[Ex GST],tbl_Finance[Job Number],C424&amp;"",tbl_Finance[Xero Invoice No],"&lt;&gt;"))</f>
        <v/>
      </c>
      <c r="J424" s="27">
        <f>IF(C424="","",H424-I424)</f>
        <v/>
      </c>
      <c r="K424" s="25">
        <f>IF(C424="","",IF(G424=0,"not invoiced yet",SUBSTITUTE(TRIM(IF(COUNTIFS(tbl_Finance[Job Number],C424&amp;"",tbl_Finance[Cost Centre],"ONSITE")&gt;0,"ONSITE ","")&amp;IF(COUNTIFS(tbl_Finance[Job Number],C424&amp;"",tbl_Finance[Cost Centre],"PRODUCTION")&gt;0,"PRODUCTION ","")&amp;IF(COUNTIFS(tbl_Finance[Job Number],C424&amp;"",tbl_Finance[Cost Centre],"VIDEO")&gt;0,"VIDEO ","")&amp;IF(COUNTIFS(tbl_Finance[Job Number],C424&amp;"",tbl_Finance[Cost Centre],"INTEGRATION")&gt;0,"INTEGRATION ","")&amp;IF(COUNTIFS(tbl_Finance[Job Number],C424&amp;"",tbl_Finance[Cost Centre],"CONSULTING")&gt;0,"CONSULTING ","")&amp;IF(COUNTIFS(tbl_Finance[Job Number],C424&amp;"",tbl_Finance[Cost Centre],"CTS")&gt;0,"CTS ",""))," ",", ")))</f>
        <v/>
      </c>
      <c r="L424" s="24" t="n"/>
      <c r="M424" s="25">
        <f>IF(L424="","",HYPERLINK(IF(LEFT(L424,4)="http",L424,set_QwilrBase&amp;L424),"Open quote"))</f>
        <v/>
      </c>
      <c r="N424" s="26" t="n"/>
      <c r="O424" s="26" t="n"/>
      <c r="P424" s="26" t="n"/>
      <c r="Q424" s="25">
        <f>IF(C424="","",IF(N(N424)+N(O424)+N(P424)=0,"Not split",IF(ROUND(N(N424)+N(O424)+N(P424),2)=ROUND(H424,2),"OK","MISMATCH")))</f>
        <v/>
      </c>
      <c r="R424" s="26" t="n"/>
      <c r="S424" s="26" t="n"/>
      <c r="T424" s="26" t="n"/>
      <c r="U424" s="27">
        <f>IF(C424="","",N(R424)+N(S424)+N(T424))</f>
        <v/>
      </c>
      <c r="V424" s="27">
        <f>IF(C424="","",H424-U424)</f>
        <v/>
      </c>
      <c r="W424" s="29">
        <f>IFERROR(V424/H424,"")</f>
        <v/>
      </c>
      <c r="X424" s="24" t="n"/>
    </row>
    <row r="425" ht="15" customHeight="1">
      <c r="A425" s="63">
        <f>IF(C425="","",IFERROR(IF(SUMPRODUCT(MAX((tbl_Finance[Job Number]=C425&amp;"")*(tbl_Finance[Xero Invoice No]&lt;&gt;"")*tbl_Finance[Date]))=0,"",SUMPRODUCT(MAX((tbl_Finance[Job Number]=C425&amp;"")*(tbl_Finance[Xero Invoice No]&lt;&gt;"")*tbl_Finance[Date]))),""))</f>
        <v/>
      </c>
      <c r="B425" s="25">
        <f>IF(C425="","",IF(COUNTIFS(tbl_Finance[Job Number],C425&amp;"",tbl_Finance[Xero Invoice No],"&lt;&gt;")=0,"",IFERROR(IF(COUNTIFS(tbl_Finance[Job Number],C425&amp;"",tbl_Finance[Xero Invoice No],LOOKUP(2,1/((tbl_Finance[Job Number]=C425&amp;"")*(tbl_Finance[Xero Invoice No]&lt;&gt;"")),tbl_Finance[Xero Invoice No]))=COUNTIFS(tbl_Finance[Job Number],C425&amp;"",tbl_Finance[Xero Invoice No],"&lt;&gt;"),LOOKUP(2,1/((tbl_Finance[Job Number]=C425&amp;"")*(tbl_Finance[Xero Invoice No]&lt;&gt;"")),tbl_Finance[Xero Invoice No]),LOOKUP(2,1/((tbl_Finance[Job Number]=C425&amp;"")*(tbl_Finance[Xero Invoice No]&lt;&gt;"")),tbl_Finance[Xero Invoice No])&amp;" +more"),"")))</f>
        <v/>
      </c>
      <c r="C425" s="24" t="n"/>
      <c r="D425" s="25">
        <f>IF(C425="","",IF(COUNTIF(lst_Jobs,C425&amp;"")&gt;0,"OK","CHECK"))</f>
        <v/>
      </c>
      <c r="E425" s="25">
        <f>IF(C425="","",IFERROR(INDEX(lst_JobName,MATCH(C425&amp;"",lst_Jobs,0)),""))</f>
        <v/>
      </c>
      <c r="F425" s="25">
        <f>IF(C425="","",IFERROR(INDEX(tbl_Finance[Client],MATCH(C425&amp;"",tbl_Finance[Job Number],0)),""))</f>
        <v/>
      </c>
      <c r="G425" s="28">
        <f>IF(C425="","",COUNTIFS(tbl_Finance[Job Number],C425&amp;"",tbl_Finance[Ex GST],"&lt;&gt;"))</f>
        <v/>
      </c>
      <c r="H425" s="27">
        <f>IF(C425="","",SUMIFS(tbl_Finance[Ex GST],tbl_Finance[Job Number],C425&amp;""))</f>
        <v/>
      </c>
      <c r="I425" s="27">
        <f>IF(C425="","",SUMIFS(tbl_Finance[Ex GST],tbl_Finance[Job Number],C425&amp;"",tbl_Finance[Xero Invoice No],"&lt;&gt;"))</f>
        <v/>
      </c>
      <c r="J425" s="27">
        <f>IF(C425="","",H425-I425)</f>
        <v/>
      </c>
      <c r="K425" s="25">
        <f>IF(C425="","",IF(G425=0,"not invoiced yet",SUBSTITUTE(TRIM(IF(COUNTIFS(tbl_Finance[Job Number],C425&amp;"",tbl_Finance[Cost Centre],"ONSITE")&gt;0,"ONSITE ","")&amp;IF(COUNTIFS(tbl_Finance[Job Number],C425&amp;"",tbl_Finance[Cost Centre],"PRODUCTION")&gt;0,"PRODUCTION ","")&amp;IF(COUNTIFS(tbl_Finance[Job Number],C425&amp;"",tbl_Finance[Cost Centre],"VIDEO")&gt;0,"VIDEO ","")&amp;IF(COUNTIFS(tbl_Finance[Job Number],C425&amp;"",tbl_Finance[Cost Centre],"INTEGRATION")&gt;0,"INTEGRATION ","")&amp;IF(COUNTIFS(tbl_Finance[Job Number],C425&amp;"",tbl_Finance[Cost Centre],"CONSULTING")&gt;0,"CONSULTING ","")&amp;IF(COUNTIFS(tbl_Finance[Job Number],C425&amp;"",tbl_Finance[Cost Centre],"CTS")&gt;0,"CTS ",""))," ",", ")))</f>
        <v/>
      </c>
      <c r="L425" s="24" t="n"/>
      <c r="M425" s="25">
        <f>IF(L425="","",HYPERLINK(IF(LEFT(L425,4)="http",L425,set_QwilrBase&amp;L425),"Open quote"))</f>
        <v/>
      </c>
      <c r="N425" s="26" t="n"/>
      <c r="O425" s="26" t="n"/>
      <c r="P425" s="26" t="n"/>
      <c r="Q425" s="25">
        <f>IF(C425="","",IF(N(N425)+N(O425)+N(P425)=0,"Not split",IF(ROUND(N(N425)+N(O425)+N(P425),2)=ROUND(H425,2),"OK","MISMATCH")))</f>
        <v/>
      </c>
      <c r="R425" s="26" t="n"/>
      <c r="S425" s="26" t="n"/>
      <c r="T425" s="26" t="n"/>
      <c r="U425" s="27">
        <f>IF(C425="","",N(R425)+N(S425)+N(T425))</f>
        <v/>
      </c>
      <c r="V425" s="27">
        <f>IF(C425="","",H425-U425)</f>
        <v/>
      </c>
      <c r="W425" s="29">
        <f>IFERROR(V425/H425,"")</f>
        <v/>
      </c>
      <c r="X425" s="24" t="n"/>
    </row>
    <row r="426" ht="15" customHeight="1">
      <c r="A426" s="63">
        <f>IF(C426="","",IFERROR(IF(SUMPRODUCT(MAX((tbl_Finance[Job Number]=C426&amp;"")*(tbl_Finance[Xero Invoice No]&lt;&gt;"")*tbl_Finance[Date]))=0,"",SUMPRODUCT(MAX((tbl_Finance[Job Number]=C426&amp;"")*(tbl_Finance[Xero Invoice No]&lt;&gt;"")*tbl_Finance[Date]))),""))</f>
        <v/>
      </c>
      <c r="B426" s="25">
        <f>IF(C426="","",IF(COUNTIFS(tbl_Finance[Job Number],C426&amp;"",tbl_Finance[Xero Invoice No],"&lt;&gt;")=0,"",IFERROR(IF(COUNTIFS(tbl_Finance[Job Number],C426&amp;"",tbl_Finance[Xero Invoice No],LOOKUP(2,1/((tbl_Finance[Job Number]=C426&amp;"")*(tbl_Finance[Xero Invoice No]&lt;&gt;"")),tbl_Finance[Xero Invoice No]))=COUNTIFS(tbl_Finance[Job Number],C426&amp;"",tbl_Finance[Xero Invoice No],"&lt;&gt;"),LOOKUP(2,1/((tbl_Finance[Job Number]=C426&amp;"")*(tbl_Finance[Xero Invoice No]&lt;&gt;"")),tbl_Finance[Xero Invoice No]),LOOKUP(2,1/((tbl_Finance[Job Number]=C426&amp;"")*(tbl_Finance[Xero Invoice No]&lt;&gt;"")),tbl_Finance[Xero Invoice No])&amp;" +more"),"")))</f>
        <v/>
      </c>
      <c r="C426" s="24" t="n"/>
      <c r="D426" s="25">
        <f>IF(C426="","",IF(COUNTIF(lst_Jobs,C426&amp;"")&gt;0,"OK","CHECK"))</f>
        <v/>
      </c>
      <c r="E426" s="25">
        <f>IF(C426="","",IFERROR(INDEX(lst_JobName,MATCH(C426&amp;"",lst_Jobs,0)),""))</f>
        <v/>
      </c>
      <c r="F426" s="25">
        <f>IF(C426="","",IFERROR(INDEX(tbl_Finance[Client],MATCH(C426&amp;"",tbl_Finance[Job Number],0)),""))</f>
        <v/>
      </c>
      <c r="G426" s="28">
        <f>IF(C426="","",COUNTIFS(tbl_Finance[Job Number],C426&amp;"",tbl_Finance[Ex GST],"&lt;&gt;"))</f>
        <v/>
      </c>
      <c r="H426" s="27">
        <f>IF(C426="","",SUMIFS(tbl_Finance[Ex GST],tbl_Finance[Job Number],C426&amp;""))</f>
        <v/>
      </c>
      <c r="I426" s="27">
        <f>IF(C426="","",SUMIFS(tbl_Finance[Ex GST],tbl_Finance[Job Number],C426&amp;"",tbl_Finance[Xero Invoice No],"&lt;&gt;"))</f>
        <v/>
      </c>
      <c r="J426" s="27">
        <f>IF(C426="","",H426-I426)</f>
        <v/>
      </c>
      <c r="K426" s="25">
        <f>IF(C426="","",IF(G426=0,"not invoiced yet",SUBSTITUTE(TRIM(IF(COUNTIFS(tbl_Finance[Job Number],C426&amp;"",tbl_Finance[Cost Centre],"ONSITE")&gt;0,"ONSITE ","")&amp;IF(COUNTIFS(tbl_Finance[Job Number],C426&amp;"",tbl_Finance[Cost Centre],"PRODUCTION")&gt;0,"PRODUCTION ","")&amp;IF(COUNTIFS(tbl_Finance[Job Number],C426&amp;"",tbl_Finance[Cost Centre],"VIDEO")&gt;0,"VIDEO ","")&amp;IF(COUNTIFS(tbl_Finance[Job Number],C426&amp;"",tbl_Finance[Cost Centre],"INTEGRATION")&gt;0,"INTEGRATION ","")&amp;IF(COUNTIFS(tbl_Finance[Job Number],C426&amp;"",tbl_Finance[Cost Centre],"CONSULTING")&gt;0,"CONSULTING ","")&amp;IF(COUNTIFS(tbl_Finance[Job Number],C426&amp;"",tbl_Finance[Cost Centre],"CTS")&gt;0,"CTS ",""))," ",", ")))</f>
        <v/>
      </c>
      <c r="L426" s="24" t="n"/>
      <c r="M426" s="25">
        <f>IF(L426="","",HYPERLINK(IF(LEFT(L426,4)="http",L426,set_QwilrBase&amp;L426),"Open quote"))</f>
        <v/>
      </c>
      <c r="N426" s="26" t="n"/>
      <c r="O426" s="26" t="n"/>
      <c r="P426" s="26" t="n"/>
      <c r="Q426" s="25">
        <f>IF(C426="","",IF(N(N426)+N(O426)+N(P426)=0,"Not split",IF(ROUND(N(N426)+N(O426)+N(P426),2)=ROUND(H426,2),"OK","MISMATCH")))</f>
        <v/>
      </c>
      <c r="R426" s="26" t="n"/>
      <c r="S426" s="26" t="n"/>
      <c r="T426" s="26" t="n"/>
      <c r="U426" s="27">
        <f>IF(C426="","",N(R426)+N(S426)+N(T426))</f>
        <v/>
      </c>
      <c r="V426" s="27">
        <f>IF(C426="","",H426-U426)</f>
        <v/>
      </c>
      <c r="W426" s="29">
        <f>IFERROR(V426/H426,"")</f>
        <v/>
      </c>
      <c r="X426" s="24" t="n"/>
    </row>
    <row r="427" ht="15" customHeight="1">
      <c r="A427" s="63">
        <f>IF(C427="","",IFERROR(IF(SUMPRODUCT(MAX((tbl_Finance[Job Number]=C427&amp;"")*(tbl_Finance[Xero Invoice No]&lt;&gt;"")*tbl_Finance[Date]))=0,"",SUMPRODUCT(MAX((tbl_Finance[Job Number]=C427&amp;"")*(tbl_Finance[Xero Invoice No]&lt;&gt;"")*tbl_Finance[Date]))),""))</f>
        <v/>
      </c>
      <c r="B427" s="25">
        <f>IF(C427="","",IF(COUNTIFS(tbl_Finance[Job Number],C427&amp;"",tbl_Finance[Xero Invoice No],"&lt;&gt;")=0,"",IFERROR(IF(COUNTIFS(tbl_Finance[Job Number],C427&amp;"",tbl_Finance[Xero Invoice No],LOOKUP(2,1/((tbl_Finance[Job Number]=C427&amp;"")*(tbl_Finance[Xero Invoice No]&lt;&gt;"")),tbl_Finance[Xero Invoice No]))=COUNTIFS(tbl_Finance[Job Number],C427&amp;"",tbl_Finance[Xero Invoice No],"&lt;&gt;"),LOOKUP(2,1/((tbl_Finance[Job Number]=C427&amp;"")*(tbl_Finance[Xero Invoice No]&lt;&gt;"")),tbl_Finance[Xero Invoice No]),LOOKUP(2,1/((tbl_Finance[Job Number]=C427&amp;"")*(tbl_Finance[Xero Invoice No]&lt;&gt;"")),tbl_Finance[Xero Invoice No])&amp;" +more"),"")))</f>
        <v/>
      </c>
      <c r="C427" s="24" t="n"/>
      <c r="D427" s="25">
        <f>IF(C427="","",IF(COUNTIF(lst_Jobs,C427&amp;"")&gt;0,"OK","CHECK"))</f>
        <v/>
      </c>
      <c r="E427" s="25">
        <f>IF(C427="","",IFERROR(INDEX(lst_JobName,MATCH(C427&amp;"",lst_Jobs,0)),""))</f>
        <v/>
      </c>
      <c r="F427" s="25">
        <f>IF(C427="","",IFERROR(INDEX(tbl_Finance[Client],MATCH(C427&amp;"",tbl_Finance[Job Number],0)),""))</f>
        <v/>
      </c>
      <c r="G427" s="28">
        <f>IF(C427="","",COUNTIFS(tbl_Finance[Job Number],C427&amp;"",tbl_Finance[Ex GST],"&lt;&gt;"))</f>
        <v/>
      </c>
      <c r="H427" s="27">
        <f>IF(C427="","",SUMIFS(tbl_Finance[Ex GST],tbl_Finance[Job Number],C427&amp;""))</f>
        <v/>
      </c>
      <c r="I427" s="27">
        <f>IF(C427="","",SUMIFS(tbl_Finance[Ex GST],tbl_Finance[Job Number],C427&amp;"",tbl_Finance[Xero Invoice No],"&lt;&gt;"))</f>
        <v/>
      </c>
      <c r="J427" s="27">
        <f>IF(C427="","",H427-I427)</f>
        <v/>
      </c>
      <c r="K427" s="25">
        <f>IF(C427="","",IF(G427=0,"not invoiced yet",SUBSTITUTE(TRIM(IF(COUNTIFS(tbl_Finance[Job Number],C427&amp;"",tbl_Finance[Cost Centre],"ONSITE")&gt;0,"ONSITE ","")&amp;IF(COUNTIFS(tbl_Finance[Job Number],C427&amp;"",tbl_Finance[Cost Centre],"PRODUCTION")&gt;0,"PRODUCTION ","")&amp;IF(COUNTIFS(tbl_Finance[Job Number],C427&amp;"",tbl_Finance[Cost Centre],"VIDEO")&gt;0,"VIDEO ","")&amp;IF(COUNTIFS(tbl_Finance[Job Number],C427&amp;"",tbl_Finance[Cost Centre],"INTEGRATION")&gt;0,"INTEGRATION ","")&amp;IF(COUNTIFS(tbl_Finance[Job Number],C427&amp;"",tbl_Finance[Cost Centre],"CONSULTING")&gt;0,"CONSULTING ","")&amp;IF(COUNTIFS(tbl_Finance[Job Number],C427&amp;"",tbl_Finance[Cost Centre],"CTS")&gt;0,"CTS ",""))," ",", ")))</f>
        <v/>
      </c>
      <c r="L427" s="24" t="n"/>
      <c r="M427" s="25">
        <f>IF(L427="","",HYPERLINK(IF(LEFT(L427,4)="http",L427,set_QwilrBase&amp;L427),"Open quote"))</f>
        <v/>
      </c>
      <c r="N427" s="26" t="n"/>
      <c r="O427" s="26" t="n"/>
      <c r="P427" s="26" t="n"/>
      <c r="Q427" s="25">
        <f>IF(C427="","",IF(N(N427)+N(O427)+N(P427)=0,"Not split",IF(ROUND(N(N427)+N(O427)+N(P427),2)=ROUND(H427,2),"OK","MISMATCH")))</f>
        <v/>
      </c>
      <c r="R427" s="26" t="n"/>
      <c r="S427" s="26" t="n"/>
      <c r="T427" s="26" t="n"/>
      <c r="U427" s="27">
        <f>IF(C427="","",N(R427)+N(S427)+N(T427))</f>
        <v/>
      </c>
      <c r="V427" s="27">
        <f>IF(C427="","",H427-U427)</f>
        <v/>
      </c>
      <c r="W427" s="29">
        <f>IFERROR(V427/H427,"")</f>
        <v/>
      </c>
      <c r="X427" s="24" t="n"/>
    </row>
    <row r="428" ht="15" customHeight="1">
      <c r="A428" s="63">
        <f>IF(C428="","",IFERROR(IF(SUMPRODUCT(MAX((tbl_Finance[Job Number]=C428&amp;"")*(tbl_Finance[Xero Invoice No]&lt;&gt;"")*tbl_Finance[Date]))=0,"",SUMPRODUCT(MAX((tbl_Finance[Job Number]=C428&amp;"")*(tbl_Finance[Xero Invoice No]&lt;&gt;"")*tbl_Finance[Date]))),""))</f>
        <v/>
      </c>
      <c r="B428" s="25">
        <f>IF(C428="","",IF(COUNTIFS(tbl_Finance[Job Number],C428&amp;"",tbl_Finance[Xero Invoice No],"&lt;&gt;")=0,"",IFERROR(IF(COUNTIFS(tbl_Finance[Job Number],C428&amp;"",tbl_Finance[Xero Invoice No],LOOKUP(2,1/((tbl_Finance[Job Number]=C428&amp;"")*(tbl_Finance[Xero Invoice No]&lt;&gt;"")),tbl_Finance[Xero Invoice No]))=COUNTIFS(tbl_Finance[Job Number],C428&amp;"",tbl_Finance[Xero Invoice No],"&lt;&gt;"),LOOKUP(2,1/((tbl_Finance[Job Number]=C428&amp;"")*(tbl_Finance[Xero Invoice No]&lt;&gt;"")),tbl_Finance[Xero Invoice No]),LOOKUP(2,1/((tbl_Finance[Job Number]=C428&amp;"")*(tbl_Finance[Xero Invoice No]&lt;&gt;"")),tbl_Finance[Xero Invoice No])&amp;" +more"),"")))</f>
        <v/>
      </c>
      <c r="C428" s="24" t="n"/>
      <c r="D428" s="25">
        <f>IF(C428="","",IF(COUNTIF(lst_Jobs,C428&amp;"")&gt;0,"OK","CHECK"))</f>
        <v/>
      </c>
      <c r="E428" s="25">
        <f>IF(C428="","",IFERROR(INDEX(lst_JobName,MATCH(C428&amp;"",lst_Jobs,0)),""))</f>
        <v/>
      </c>
      <c r="F428" s="25">
        <f>IF(C428="","",IFERROR(INDEX(tbl_Finance[Client],MATCH(C428&amp;"",tbl_Finance[Job Number],0)),""))</f>
        <v/>
      </c>
      <c r="G428" s="28">
        <f>IF(C428="","",COUNTIFS(tbl_Finance[Job Number],C428&amp;"",tbl_Finance[Ex GST],"&lt;&gt;"))</f>
        <v/>
      </c>
      <c r="H428" s="27">
        <f>IF(C428="","",SUMIFS(tbl_Finance[Ex GST],tbl_Finance[Job Number],C428&amp;""))</f>
        <v/>
      </c>
      <c r="I428" s="27">
        <f>IF(C428="","",SUMIFS(tbl_Finance[Ex GST],tbl_Finance[Job Number],C428&amp;"",tbl_Finance[Xero Invoice No],"&lt;&gt;"))</f>
        <v/>
      </c>
      <c r="J428" s="27">
        <f>IF(C428="","",H428-I428)</f>
        <v/>
      </c>
      <c r="K428" s="25">
        <f>IF(C428="","",IF(G428=0,"not invoiced yet",SUBSTITUTE(TRIM(IF(COUNTIFS(tbl_Finance[Job Number],C428&amp;"",tbl_Finance[Cost Centre],"ONSITE")&gt;0,"ONSITE ","")&amp;IF(COUNTIFS(tbl_Finance[Job Number],C428&amp;"",tbl_Finance[Cost Centre],"PRODUCTION")&gt;0,"PRODUCTION ","")&amp;IF(COUNTIFS(tbl_Finance[Job Number],C428&amp;"",tbl_Finance[Cost Centre],"VIDEO")&gt;0,"VIDEO ","")&amp;IF(COUNTIFS(tbl_Finance[Job Number],C428&amp;"",tbl_Finance[Cost Centre],"INTEGRATION")&gt;0,"INTEGRATION ","")&amp;IF(COUNTIFS(tbl_Finance[Job Number],C428&amp;"",tbl_Finance[Cost Centre],"CONSULTING")&gt;0,"CONSULTING ","")&amp;IF(COUNTIFS(tbl_Finance[Job Number],C428&amp;"",tbl_Finance[Cost Centre],"CTS")&gt;0,"CTS ",""))," ",", ")))</f>
        <v/>
      </c>
      <c r="L428" s="24" t="n"/>
      <c r="M428" s="25">
        <f>IF(L428="","",HYPERLINK(IF(LEFT(L428,4)="http",L428,set_QwilrBase&amp;L428),"Open quote"))</f>
        <v/>
      </c>
      <c r="N428" s="26" t="n"/>
      <c r="O428" s="26" t="n"/>
      <c r="P428" s="26" t="n"/>
      <c r="Q428" s="25">
        <f>IF(C428="","",IF(N(N428)+N(O428)+N(P428)=0,"Not split",IF(ROUND(N(N428)+N(O428)+N(P428),2)=ROUND(H428,2),"OK","MISMATCH")))</f>
        <v/>
      </c>
      <c r="R428" s="26" t="n"/>
      <c r="S428" s="26" t="n"/>
      <c r="T428" s="26" t="n"/>
      <c r="U428" s="27">
        <f>IF(C428="","",N(R428)+N(S428)+N(T428))</f>
        <v/>
      </c>
      <c r="V428" s="27">
        <f>IF(C428="","",H428-U428)</f>
        <v/>
      </c>
      <c r="W428" s="29">
        <f>IFERROR(V428/H428,"")</f>
        <v/>
      </c>
      <c r="X428" s="24" t="n"/>
    </row>
    <row r="429" ht="15" customHeight="1">
      <c r="A429" s="63">
        <f>IF(C429="","",IFERROR(IF(SUMPRODUCT(MAX((tbl_Finance[Job Number]=C429&amp;"")*(tbl_Finance[Xero Invoice No]&lt;&gt;"")*tbl_Finance[Date]))=0,"",SUMPRODUCT(MAX((tbl_Finance[Job Number]=C429&amp;"")*(tbl_Finance[Xero Invoice No]&lt;&gt;"")*tbl_Finance[Date]))),""))</f>
        <v/>
      </c>
      <c r="B429" s="25">
        <f>IF(C429="","",IF(COUNTIFS(tbl_Finance[Job Number],C429&amp;"",tbl_Finance[Xero Invoice No],"&lt;&gt;")=0,"",IFERROR(IF(COUNTIFS(tbl_Finance[Job Number],C429&amp;"",tbl_Finance[Xero Invoice No],LOOKUP(2,1/((tbl_Finance[Job Number]=C429&amp;"")*(tbl_Finance[Xero Invoice No]&lt;&gt;"")),tbl_Finance[Xero Invoice No]))=COUNTIFS(tbl_Finance[Job Number],C429&amp;"",tbl_Finance[Xero Invoice No],"&lt;&gt;"),LOOKUP(2,1/((tbl_Finance[Job Number]=C429&amp;"")*(tbl_Finance[Xero Invoice No]&lt;&gt;"")),tbl_Finance[Xero Invoice No]),LOOKUP(2,1/((tbl_Finance[Job Number]=C429&amp;"")*(tbl_Finance[Xero Invoice No]&lt;&gt;"")),tbl_Finance[Xero Invoice No])&amp;" +more"),"")))</f>
        <v/>
      </c>
      <c r="C429" s="24" t="n"/>
      <c r="D429" s="25">
        <f>IF(C429="","",IF(COUNTIF(lst_Jobs,C429&amp;"")&gt;0,"OK","CHECK"))</f>
        <v/>
      </c>
      <c r="E429" s="25">
        <f>IF(C429="","",IFERROR(INDEX(lst_JobName,MATCH(C429&amp;"",lst_Jobs,0)),""))</f>
        <v/>
      </c>
      <c r="F429" s="25">
        <f>IF(C429="","",IFERROR(INDEX(tbl_Finance[Client],MATCH(C429&amp;"",tbl_Finance[Job Number],0)),""))</f>
        <v/>
      </c>
      <c r="G429" s="28">
        <f>IF(C429="","",COUNTIFS(tbl_Finance[Job Number],C429&amp;"",tbl_Finance[Ex GST],"&lt;&gt;"))</f>
        <v/>
      </c>
      <c r="H429" s="27">
        <f>IF(C429="","",SUMIFS(tbl_Finance[Ex GST],tbl_Finance[Job Number],C429&amp;""))</f>
        <v/>
      </c>
      <c r="I429" s="27">
        <f>IF(C429="","",SUMIFS(tbl_Finance[Ex GST],tbl_Finance[Job Number],C429&amp;"",tbl_Finance[Xero Invoice No],"&lt;&gt;"))</f>
        <v/>
      </c>
      <c r="J429" s="27">
        <f>IF(C429="","",H429-I429)</f>
        <v/>
      </c>
      <c r="K429" s="25">
        <f>IF(C429="","",IF(G429=0,"not invoiced yet",SUBSTITUTE(TRIM(IF(COUNTIFS(tbl_Finance[Job Number],C429&amp;"",tbl_Finance[Cost Centre],"ONSITE")&gt;0,"ONSITE ","")&amp;IF(COUNTIFS(tbl_Finance[Job Number],C429&amp;"",tbl_Finance[Cost Centre],"PRODUCTION")&gt;0,"PRODUCTION ","")&amp;IF(COUNTIFS(tbl_Finance[Job Number],C429&amp;"",tbl_Finance[Cost Centre],"VIDEO")&gt;0,"VIDEO ","")&amp;IF(COUNTIFS(tbl_Finance[Job Number],C429&amp;"",tbl_Finance[Cost Centre],"INTEGRATION")&gt;0,"INTEGRATION ","")&amp;IF(COUNTIFS(tbl_Finance[Job Number],C429&amp;"",tbl_Finance[Cost Centre],"CONSULTING")&gt;0,"CONSULTING ","")&amp;IF(COUNTIFS(tbl_Finance[Job Number],C429&amp;"",tbl_Finance[Cost Centre],"CTS")&gt;0,"CTS ",""))," ",", ")))</f>
        <v/>
      </c>
      <c r="L429" s="24" t="n"/>
      <c r="M429" s="25">
        <f>IF(L429="","",HYPERLINK(IF(LEFT(L429,4)="http",L429,set_QwilrBase&amp;L429),"Open quote"))</f>
        <v/>
      </c>
      <c r="N429" s="26" t="n"/>
      <c r="O429" s="26" t="n"/>
      <c r="P429" s="26" t="n"/>
      <c r="Q429" s="25">
        <f>IF(C429="","",IF(N(N429)+N(O429)+N(P429)=0,"Not split",IF(ROUND(N(N429)+N(O429)+N(P429),2)=ROUND(H429,2),"OK","MISMATCH")))</f>
        <v/>
      </c>
      <c r="R429" s="26" t="n"/>
      <c r="S429" s="26" t="n"/>
      <c r="T429" s="26" t="n"/>
      <c r="U429" s="27">
        <f>IF(C429="","",N(R429)+N(S429)+N(T429))</f>
        <v/>
      </c>
      <c r="V429" s="27">
        <f>IF(C429="","",H429-U429)</f>
        <v/>
      </c>
      <c r="W429" s="29">
        <f>IFERROR(V429/H429,"")</f>
        <v/>
      </c>
      <c r="X429" s="24" t="n"/>
    </row>
    <row r="430" ht="15" customHeight="1">
      <c r="A430" s="63">
        <f>IF(C430="","",IFERROR(IF(SUMPRODUCT(MAX((tbl_Finance[Job Number]=C430&amp;"")*(tbl_Finance[Xero Invoice No]&lt;&gt;"")*tbl_Finance[Date]))=0,"",SUMPRODUCT(MAX((tbl_Finance[Job Number]=C430&amp;"")*(tbl_Finance[Xero Invoice No]&lt;&gt;"")*tbl_Finance[Date]))),""))</f>
        <v/>
      </c>
      <c r="B430" s="25">
        <f>IF(C430="","",IF(COUNTIFS(tbl_Finance[Job Number],C430&amp;"",tbl_Finance[Xero Invoice No],"&lt;&gt;")=0,"",IFERROR(IF(COUNTIFS(tbl_Finance[Job Number],C430&amp;"",tbl_Finance[Xero Invoice No],LOOKUP(2,1/((tbl_Finance[Job Number]=C430&amp;"")*(tbl_Finance[Xero Invoice No]&lt;&gt;"")),tbl_Finance[Xero Invoice No]))=COUNTIFS(tbl_Finance[Job Number],C430&amp;"",tbl_Finance[Xero Invoice No],"&lt;&gt;"),LOOKUP(2,1/((tbl_Finance[Job Number]=C430&amp;"")*(tbl_Finance[Xero Invoice No]&lt;&gt;"")),tbl_Finance[Xero Invoice No]),LOOKUP(2,1/((tbl_Finance[Job Number]=C430&amp;"")*(tbl_Finance[Xero Invoice No]&lt;&gt;"")),tbl_Finance[Xero Invoice No])&amp;" +more"),"")))</f>
        <v/>
      </c>
      <c r="C430" s="24" t="n"/>
      <c r="D430" s="25">
        <f>IF(C430="","",IF(COUNTIF(lst_Jobs,C430&amp;"")&gt;0,"OK","CHECK"))</f>
        <v/>
      </c>
      <c r="E430" s="25">
        <f>IF(C430="","",IFERROR(INDEX(lst_JobName,MATCH(C430&amp;"",lst_Jobs,0)),""))</f>
        <v/>
      </c>
      <c r="F430" s="25">
        <f>IF(C430="","",IFERROR(INDEX(tbl_Finance[Client],MATCH(C430&amp;"",tbl_Finance[Job Number],0)),""))</f>
        <v/>
      </c>
      <c r="G430" s="28">
        <f>IF(C430="","",COUNTIFS(tbl_Finance[Job Number],C430&amp;"",tbl_Finance[Ex GST],"&lt;&gt;"))</f>
        <v/>
      </c>
      <c r="H430" s="27">
        <f>IF(C430="","",SUMIFS(tbl_Finance[Ex GST],tbl_Finance[Job Number],C430&amp;""))</f>
        <v/>
      </c>
      <c r="I430" s="27">
        <f>IF(C430="","",SUMIFS(tbl_Finance[Ex GST],tbl_Finance[Job Number],C430&amp;"",tbl_Finance[Xero Invoice No],"&lt;&gt;"))</f>
        <v/>
      </c>
      <c r="J430" s="27">
        <f>IF(C430="","",H430-I430)</f>
        <v/>
      </c>
      <c r="K430" s="25">
        <f>IF(C430="","",IF(G430=0,"not invoiced yet",SUBSTITUTE(TRIM(IF(COUNTIFS(tbl_Finance[Job Number],C430&amp;"",tbl_Finance[Cost Centre],"ONSITE")&gt;0,"ONSITE ","")&amp;IF(COUNTIFS(tbl_Finance[Job Number],C430&amp;"",tbl_Finance[Cost Centre],"PRODUCTION")&gt;0,"PRODUCTION ","")&amp;IF(COUNTIFS(tbl_Finance[Job Number],C430&amp;"",tbl_Finance[Cost Centre],"VIDEO")&gt;0,"VIDEO ","")&amp;IF(COUNTIFS(tbl_Finance[Job Number],C430&amp;"",tbl_Finance[Cost Centre],"INTEGRATION")&gt;0,"INTEGRATION ","")&amp;IF(COUNTIFS(tbl_Finance[Job Number],C430&amp;"",tbl_Finance[Cost Centre],"CONSULTING")&gt;0,"CONSULTING ","")&amp;IF(COUNTIFS(tbl_Finance[Job Number],C430&amp;"",tbl_Finance[Cost Centre],"CTS")&gt;0,"CTS ",""))," ",", ")))</f>
        <v/>
      </c>
      <c r="L430" s="24" t="n"/>
      <c r="M430" s="25">
        <f>IF(L430="","",HYPERLINK(IF(LEFT(L430,4)="http",L430,set_QwilrBase&amp;L430),"Open quote"))</f>
        <v/>
      </c>
      <c r="N430" s="26" t="n"/>
      <c r="O430" s="26" t="n"/>
      <c r="P430" s="26" t="n"/>
      <c r="Q430" s="25">
        <f>IF(C430="","",IF(N(N430)+N(O430)+N(P430)=0,"Not split",IF(ROUND(N(N430)+N(O430)+N(P430),2)=ROUND(H430,2),"OK","MISMATCH")))</f>
        <v/>
      </c>
      <c r="R430" s="26" t="n"/>
      <c r="S430" s="26" t="n"/>
      <c r="T430" s="26" t="n"/>
      <c r="U430" s="27">
        <f>IF(C430="","",N(R430)+N(S430)+N(T430))</f>
        <v/>
      </c>
      <c r="V430" s="27">
        <f>IF(C430="","",H430-U430)</f>
        <v/>
      </c>
      <c r="W430" s="29">
        <f>IFERROR(V430/H430,"")</f>
        <v/>
      </c>
      <c r="X430" s="24" t="n"/>
    </row>
    <row r="431" ht="15" customHeight="1">
      <c r="A431" s="63">
        <f>IF(C431="","",IFERROR(IF(SUMPRODUCT(MAX((tbl_Finance[Job Number]=C431&amp;"")*(tbl_Finance[Xero Invoice No]&lt;&gt;"")*tbl_Finance[Date]))=0,"",SUMPRODUCT(MAX((tbl_Finance[Job Number]=C431&amp;"")*(tbl_Finance[Xero Invoice No]&lt;&gt;"")*tbl_Finance[Date]))),""))</f>
        <v/>
      </c>
      <c r="B431" s="25">
        <f>IF(C431="","",IF(COUNTIFS(tbl_Finance[Job Number],C431&amp;"",tbl_Finance[Xero Invoice No],"&lt;&gt;")=0,"",IFERROR(IF(COUNTIFS(tbl_Finance[Job Number],C431&amp;"",tbl_Finance[Xero Invoice No],LOOKUP(2,1/((tbl_Finance[Job Number]=C431&amp;"")*(tbl_Finance[Xero Invoice No]&lt;&gt;"")),tbl_Finance[Xero Invoice No]))=COUNTIFS(tbl_Finance[Job Number],C431&amp;"",tbl_Finance[Xero Invoice No],"&lt;&gt;"),LOOKUP(2,1/((tbl_Finance[Job Number]=C431&amp;"")*(tbl_Finance[Xero Invoice No]&lt;&gt;"")),tbl_Finance[Xero Invoice No]),LOOKUP(2,1/((tbl_Finance[Job Number]=C431&amp;"")*(tbl_Finance[Xero Invoice No]&lt;&gt;"")),tbl_Finance[Xero Invoice No])&amp;" +more"),"")))</f>
        <v/>
      </c>
      <c r="C431" s="24" t="n"/>
      <c r="D431" s="25">
        <f>IF(C431="","",IF(COUNTIF(lst_Jobs,C431&amp;"")&gt;0,"OK","CHECK"))</f>
        <v/>
      </c>
      <c r="E431" s="25">
        <f>IF(C431="","",IFERROR(INDEX(lst_JobName,MATCH(C431&amp;"",lst_Jobs,0)),""))</f>
        <v/>
      </c>
      <c r="F431" s="25">
        <f>IF(C431="","",IFERROR(INDEX(tbl_Finance[Client],MATCH(C431&amp;"",tbl_Finance[Job Number],0)),""))</f>
        <v/>
      </c>
      <c r="G431" s="28">
        <f>IF(C431="","",COUNTIFS(tbl_Finance[Job Number],C431&amp;"",tbl_Finance[Ex GST],"&lt;&gt;"))</f>
        <v/>
      </c>
      <c r="H431" s="27">
        <f>IF(C431="","",SUMIFS(tbl_Finance[Ex GST],tbl_Finance[Job Number],C431&amp;""))</f>
        <v/>
      </c>
      <c r="I431" s="27">
        <f>IF(C431="","",SUMIFS(tbl_Finance[Ex GST],tbl_Finance[Job Number],C431&amp;"",tbl_Finance[Xero Invoice No],"&lt;&gt;"))</f>
        <v/>
      </c>
      <c r="J431" s="27">
        <f>IF(C431="","",H431-I431)</f>
        <v/>
      </c>
      <c r="K431" s="25">
        <f>IF(C431="","",IF(G431=0,"not invoiced yet",SUBSTITUTE(TRIM(IF(COUNTIFS(tbl_Finance[Job Number],C431&amp;"",tbl_Finance[Cost Centre],"ONSITE")&gt;0,"ONSITE ","")&amp;IF(COUNTIFS(tbl_Finance[Job Number],C431&amp;"",tbl_Finance[Cost Centre],"PRODUCTION")&gt;0,"PRODUCTION ","")&amp;IF(COUNTIFS(tbl_Finance[Job Number],C431&amp;"",tbl_Finance[Cost Centre],"VIDEO")&gt;0,"VIDEO ","")&amp;IF(COUNTIFS(tbl_Finance[Job Number],C431&amp;"",tbl_Finance[Cost Centre],"INTEGRATION")&gt;0,"INTEGRATION ","")&amp;IF(COUNTIFS(tbl_Finance[Job Number],C431&amp;"",tbl_Finance[Cost Centre],"CONSULTING")&gt;0,"CONSULTING ","")&amp;IF(COUNTIFS(tbl_Finance[Job Number],C431&amp;"",tbl_Finance[Cost Centre],"CTS")&gt;0,"CTS ",""))," ",", ")))</f>
        <v/>
      </c>
      <c r="L431" s="24" t="n"/>
      <c r="M431" s="25">
        <f>IF(L431="","",HYPERLINK(IF(LEFT(L431,4)="http",L431,set_QwilrBase&amp;L431),"Open quote"))</f>
        <v/>
      </c>
      <c r="N431" s="26" t="n"/>
      <c r="O431" s="26" t="n"/>
      <c r="P431" s="26" t="n"/>
      <c r="Q431" s="25">
        <f>IF(C431="","",IF(N(N431)+N(O431)+N(P431)=0,"Not split",IF(ROUND(N(N431)+N(O431)+N(P431),2)=ROUND(H431,2),"OK","MISMATCH")))</f>
        <v/>
      </c>
      <c r="R431" s="26" t="n"/>
      <c r="S431" s="26" t="n"/>
      <c r="T431" s="26" t="n"/>
      <c r="U431" s="27">
        <f>IF(C431="","",N(R431)+N(S431)+N(T431))</f>
        <v/>
      </c>
      <c r="V431" s="27">
        <f>IF(C431="","",H431-U431)</f>
        <v/>
      </c>
      <c r="W431" s="29">
        <f>IFERROR(V431/H431,"")</f>
        <v/>
      </c>
      <c r="X431" s="24" t="n"/>
    </row>
    <row r="432" ht="15" customHeight="1">
      <c r="A432" s="63">
        <f>IF(C432="","",IFERROR(IF(SUMPRODUCT(MAX((tbl_Finance[Job Number]=C432&amp;"")*(tbl_Finance[Xero Invoice No]&lt;&gt;"")*tbl_Finance[Date]))=0,"",SUMPRODUCT(MAX((tbl_Finance[Job Number]=C432&amp;"")*(tbl_Finance[Xero Invoice No]&lt;&gt;"")*tbl_Finance[Date]))),""))</f>
        <v/>
      </c>
      <c r="B432" s="25">
        <f>IF(C432="","",IF(COUNTIFS(tbl_Finance[Job Number],C432&amp;"",tbl_Finance[Xero Invoice No],"&lt;&gt;")=0,"",IFERROR(IF(COUNTIFS(tbl_Finance[Job Number],C432&amp;"",tbl_Finance[Xero Invoice No],LOOKUP(2,1/((tbl_Finance[Job Number]=C432&amp;"")*(tbl_Finance[Xero Invoice No]&lt;&gt;"")),tbl_Finance[Xero Invoice No]))=COUNTIFS(tbl_Finance[Job Number],C432&amp;"",tbl_Finance[Xero Invoice No],"&lt;&gt;"),LOOKUP(2,1/((tbl_Finance[Job Number]=C432&amp;"")*(tbl_Finance[Xero Invoice No]&lt;&gt;"")),tbl_Finance[Xero Invoice No]),LOOKUP(2,1/((tbl_Finance[Job Number]=C432&amp;"")*(tbl_Finance[Xero Invoice No]&lt;&gt;"")),tbl_Finance[Xero Invoice No])&amp;" +more"),"")))</f>
        <v/>
      </c>
      <c r="C432" s="24" t="n"/>
      <c r="D432" s="25">
        <f>IF(C432="","",IF(COUNTIF(lst_Jobs,C432&amp;"")&gt;0,"OK","CHECK"))</f>
        <v/>
      </c>
      <c r="E432" s="25">
        <f>IF(C432="","",IFERROR(INDEX(lst_JobName,MATCH(C432&amp;"",lst_Jobs,0)),""))</f>
        <v/>
      </c>
      <c r="F432" s="25">
        <f>IF(C432="","",IFERROR(INDEX(tbl_Finance[Client],MATCH(C432&amp;"",tbl_Finance[Job Number],0)),""))</f>
        <v/>
      </c>
      <c r="G432" s="28">
        <f>IF(C432="","",COUNTIFS(tbl_Finance[Job Number],C432&amp;"",tbl_Finance[Ex GST],"&lt;&gt;"))</f>
        <v/>
      </c>
      <c r="H432" s="27">
        <f>IF(C432="","",SUMIFS(tbl_Finance[Ex GST],tbl_Finance[Job Number],C432&amp;""))</f>
        <v/>
      </c>
      <c r="I432" s="27">
        <f>IF(C432="","",SUMIFS(tbl_Finance[Ex GST],tbl_Finance[Job Number],C432&amp;"",tbl_Finance[Xero Invoice No],"&lt;&gt;"))</f>
        <v/>
      </c>
      <c r="J432" s="27">
        <f>IF(C432="","",H432-I432)</f>
        <v/>
      </c>
      <c r="K432" s="25">
        <f>IF(C432="","",IF(G432=0,"not invoiced yet",SUBSTITUTE(TRIM(IF(COUNTIFS(tbl_Finance[Job Number],C432&amp;"",tbl_Finance[Cost Centre],"ONSITE")&gt;0,"ONSITE ","")&amp;IF(COUNTIFS(tbl_Finance[Job Number],C432&amp;"",tbl_Finance[Cost Centre],"PRODUCTION")&gt;0,"PRODUCTION ","")&amp;IF(COUNTIFS(tbl_Finance[Job Number],C432&amp;"",tbl_Finance[Cost Centre],"VIDEO")&gt;0,"VIDEO ","")&amp;IF(COUNTIFS(tbl_Finance[Job Number],C432&amp;"",tbl_Finance[Cost Centre],"INTEGRATION")&gt;0,"INTEGRATION ","")&amp;IF(COUNTIFS(tbl_Finance[Job Number],C432&amp;"",tbl_Finance[Cost Centre],"CONSULTING")&gt;0,"CONSULTING ","")&amp;IF(COUNTIFS(tbl_Finance[Job Number],C432&amp;"",tbl_Finance[Cost Centre],"CTS")&gt;0,"CTS ",""))," ",", ")))</f>
        <v/>
      </c>
      <c r="L432" s="24" t="n"/>
      <c r="M432" s="25">
        <f>IF(L432="","",HYPERLINK(IF(LEFT(L432,4)="http",L432,set_QwilrBase&amp;L432),"Open quote"))</f>
        <v/>
      </c>
      <c r="N432" s="26" t="n"/>
      <c r="O432" s="26" t="n"/>
      <c r="P432" s="26" t="n"/>
      <c r="Q432" s="25">
        <f>IF(C432="","",IF(N(N432)+N(O432)+N(P432)=0,"Not split",IF(ROUND(N(N432)+N(O432)+N(P432),2)=ROUND(H432,2),"OK","MISMATCH")))</f>
        <v/>
      </c>
      <c r="R432" s="26" t="n"/>
      <c r="S432" s="26" t="n"/>
      <c r="T432" s="26" t="n"/>
      <c r="U432" s="27">
        <f>IF(C432="","",N(R432)+N(S432)+N(T432))</f>
        <v/>
      </c>
      <c r="V432" s="27">
        <f>IF(C432="","",H432-U432)</f>
        <v/>
      </c>
      <c r="W432" s="29">
        <f>IFERROR(V432/H432,"")</f>
        <v/>
      </c>
      <c r="X432" s="24" t="n"/>
    </row>
  </sheetData>
  <sheetProtection selectLockedCells="0" selectUnlockedCells="0" sheet="1" objects="0" insertRows="0" insertHyperlinks="1" autoFilter="0" scenarios="0" formatColumns="0" deleteColumns="1" insertColumns="1" pivotTables="1" deleteRows="1" formatCells="0" formatRows="0" sort="0"/>
  <mergeCells count="1">
    <mergeCell ref="A3:K3"/>
  </mergeCells>
  <conditionalFormatting sqref="D5:D5000">
    <cfRule type="expression" priority="1" dxfId="0" stopIfTrue="0">
      <formula>D5="CHECK"</formula>
    </cfRule>
  </conditionalFormatting>
  <conditionalFormatting sqref="Q5:Q5000">
    <cfRule type="expression" priority="2" dxfId="1" stopIfTrue="0">
      <formula>Q5="MISMATCH"</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8B6A2B"/>
    <outlinePr summaryBelow="1" summaryRight="1"/>
    <pageSetUpPr/>
  </sheetPr>
  <dimension ref="A1:N330"/>
  <sheetViews>
    <sheetView showGridLines="0" tabSelected="0" zoomScale="9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15" customWidth="1" min="4" max="4"/>
    <col width="12" customWidth="1" min="5" max="5"/>
    <col width="26" customWidth="1" min="6" max="6"/>
    <col width="14" customWidth="1" min="7" max="7"/>
    <col width="50" customWidth="1" min="8" max="8"/>
    <col width="26" customWidth="1" min="9" max="9"/>
    <col width="15" customWidth="1" min="10" max="10"/>
    <col width="11" customWidth="1" min="11" max="11"/>
    <col width="14" customWidth="1" min="12" max="12"/>
    <col width="14" customWidth="1" min="13" max="13"/>
    <col width="40" customWidth="1" min="14" max="14"/>
  </cols>
  <sheetData>
    <row r="1" ht="24" customHeight="1">
      <c r="A1" s="18" t="inlineStr">
        <is>
          <t>WIP Movements</t>
        </is>
      </c>
    </row>
    <row r="2" ht="16" customHeight="1">
      <c r="A2" s="2" t="inlineStr">
        <is>
          <t>Every journal that moves revenue between the P&amp;L and GL 11300 Work in Progress. SIGN RULE: + = revenue recognised this month (WIP balance up). - = revenue deferred out of this month (WIP balance down).</t>
        </is>
      </c>
    </row>
    <row r="3" ht="22" customHeight="1">
      <c r="A3" s="19">
        <f>"Amount  "&amp;TEXT(SUBTOTAL(109,tbl_WIP[Amount]),"$#,##0.00")</f>
        <v/>
      </c>
    </row>
    <row r="4" ht="34" customHeight="1">
      <c r="A4" s="20" t="inlineStr">
        <is>
          <t>Month</t>
        </is>
      </c>
      <c r="B4" s="21" t="inlineStr">
        <is>
          <t>Invoice Date</t>
        </is>
      </c>
      <c r="C4" s="20" t="inlineStr">
        <is>
          <t>Xero Invoice No</t>
        </is>
      </c>
      <c r="D4" s="20" t="inlineStr">
        <is>
          <t>Job Number</t>
        </is>
      </c>
      <c r="E4" s="21" t="inlineStr">
        <is>
          <t>Job in Xero?</t>
        </is>
      </c>
      <c r="F4" s="20" t="inlineStr">
        <is>
          <t>Client</t>
        </is>
      </c>
      <c r="G4" s="20" t="inlineStr">
        <is>
          <t>Cost Centre</t>
        </is>
      </c>
      <c r="H4" s="20" t="inlineStr">
        <is>
          <t>Description</t>
        </is>
      </c>
      <c r="I4" s="20" t="inlineStr">
        <is>
          <t>Type</t>
        </is>
      </c>
      <c r="J4" s="20" t="inlineStr">
        <is>
          <t>Amount</t>
        </is>
      </c>
      <c r="K4" s="20" t="inlineStr">
        <is>
          <t>GL Code</t>
        </is>
      </c>
      <c r="L4" s="20" t="inlineStr">
        <is>
          <t>Journal Ref</t>
        </is>
      </c>
      <c r="M4" s="20" t="inlineStr">
        <is>
          <t>Posted to Xero</t>
        </is>
      </c>
      <c r="N4" s="20" t="inlineStr">
        <is>
          <t>Notes</t>
        </is>
      </c>
    </row>
    <row r="5" ht="15" customHeight="1">
      <c r="A5" s="65" t="n">
        <v>46234</v>
      </c>
      <c r="B5" s="63">
        <f>IF(C5="","",IFERROR(INDEX(tbl_Finance[Date],MATCH(C5&amp;"",tbl_Finance[Xero Invoice No],0)),""))</f>
        <v/>
      </c>
      <c r="C5" s="24" t="n"/>
      <c r="D5" s="24" t="inlineStr">
        <is>
          <t>2506208</t>
        </is>
      </c>
      <c r="E5" s="25">
        <f>IF(D5="","",IF(COUNTIF(lst_Jobs,D5&amp;"")&gt;0,"OK","CHECK"))</f>
        <v/>
      </c>
      <c r="F5" s="24" t="inlineStr">
        <is>
          <t>CBA</t>
        </is>
      </c>
      <c r="G5" s="24" t="inlineStr">
        <is>
          <t>PRODUCTION</t>
        </is>
      </c>
      <c r="H5" s="24" t="inlineStr">
        <is>
          <t>CBA AGM 2026 Pre-production work at $130ph</t>
        </is>
      </c>
      <c r="I5" s="24" t="inlineStr">
        <is>
          <t>Accrual - unbilled work</t>
        </is>
      </c>
      <c r="J5" s="26" t="n">
        <v>2535</v>
      </c>
      <c r="K5" s="24" t="inlineStr">
        <is>
          <t>11300</t>
        </is>
      </c>
      <c r="L5" s="24" t="n"/>
      <c r="M5" s="24" t="inlineStr">
        <is>
          <t>Y</t>
        </is>
      </c>
      <c r="N5" s="24" t="inlineStr">
        <is>
          <t>Migrated from FY27 Revenue Tracker v2 - confirm type/sign</t>
        </is>
      </c>
    </row>
    <row r="6" ht="15" customHeight="1">
      <c r="A6" s="65" t="n">
        <v>46234</v>
      </c>
      <c r="B6" s="63">
        <f>IF(C6="","",IFERROR(INDEX(tbl_Finance[Date],MATCH(C6&amp;"",tbl_Finance[Xero Invoice No],0)),""))</f>
        <v/>
      </c>
      <c r="C6" s="24" t="n"/>
      <c r="D6" s="24" t="inlineStr">
        <is>
          <t>25070702</t>
        </is>
      </c>
      <c r="E6" s="25">
        <f>IF(D6="","",IF(COUNTIF(lst_Jobs,D6&amp;"")&gt;0,"OK","CHECK"))</f>
        <v/>
      </c>
      <c r="F6" s="24" t="inlineStr">
        <is>
          <t>APA</t>
        </is>
      </c>
      <c r="G6" s="24" t="inlineStr">
        <is>
          <t>INTEGRATION</t>
        </is>
      </c>
      <c r="H6" s="24" t="inlineStr">
        <is>
          <t>APA BNE &amp; NT Year 1/3 Inv9988 (Revenue) Sep 2025 - Aug 2026</t>
        </is>
      </c>
      <c r="I6" s="24" t="inlineStr">
        <is>
          <t>Accrual - unbilled work</t>
        </is>
      </c>
      <c r="J6" s="26" t="n">
        <v>308.16</v>
      </c>
      <c r="K6" s="24" t="inlineStr">
        <is>
          <t>11300</t>
        </is>
      </c>
      <c r="L6" s="24" t="n"/>
      <c r="M6" s="24" t="inlineStr">
        <is>
          <t>Y</t>
        </is>
      </c>
      <c r="N6" s="24" t="inlineStr">
        <is>
          <t>Migrated from FY27 Revenue Tracker v2 - confirm type/sign</t>
        </is>
      </c>
    </row>
    <row r="7" ht="15" customHeight="1">
      <c r="A7" s="65" t="n">
        <v>46234</v>
      </c>
      <c r="B7" s="63">
        <f>IF(C7="","",IFERROR(INDEX(tbl_Finance[Date],MATCH(C7&amp;"",tbl_Finance[Xero Invoice No],0)),""))</f>
        <v/>
      </c>
      <c r="C7" s="24" t="n"/>
      <c r="D7" s="24" t="inlineStr">
        <is>
          <t>3072</t>
        </is>
      </c>
      <c r="E7" s="25">
        <f>IF(D7="","",IF(COUNTIF(lst_Jobs,D7&amp;"")&gt;0,"OK","CHECK"))</f>
        <v/>
      </c>
      <c r="F7" s="24" t="inlineStr">
        <is>
          <t>APA Thomastown</t>
        </is>
      </c>
      <c r="G7" s="24" t="inlineStr">
        <is>
          <t>INTEGRATION</t>
        </is>
      </c>
      <c r="H7" s="24" t="inlineStr">
        <is>
          <t>APA Thomastown INV-10133 Year 3 Licence (January - December 2026)</t>
        </is>
      </c>
      <c r="I7" s="24" t="inlineStr">
        <is>
          <t>Accrual - unbilled work</t>
        </is>
      </c>
      <c r="J7" s="26" t="n">
        <v>1033.06</v>
      </c>
      <c r="K7" s="24" t="inlineStr">
        <is>
          <t>11300</t>
        </is>
      </c>
      <c r="L7" s="24" t="n"/>
      <c r="M7" s="24" t="inlineStr">
        <is>
          <t>Y</t>
        </is>
      </c>
      <c r="N7" s="24" t="inlineStr">
        <is>
          <t>Migrated from FY27 Revenue Tracker v2 - confirm type/sign</t>
        </is>
      </c>
    </row>
    <row r="8" ht="15" customHeight="1">
      <c r="A8" s="65" t="n">
        <v>46234</v>
      </c>
      <c r="B8" s="63">
        <f>IF(C8="","",IFERROR(INDEX(tbl_Finance[Date],MATCH(C8&amp;"",tbl_Finance[Xero Invoice No],0)),""))</f>
        <v/>
      </c>
      <c r="C8" s="24" t="n"/>
      <c r="D8" s="24" t="inlineStr">
        <is>
          <t>2519</t>
        </is>
      </c>
      <c r="E8" s="25">
        <f>IF(D8="","",IF(COUNTIF(lst_Jobs,D8&amp;"")&gt;0,"OK","CHECK"))</f>
        <v/>
      </c>
      <c r="F8" s="24" t="inlineStr">
        <is>
          <t>NSW Property</t>
        </is>
      </c>
      <c r="G8" s="24" t="inlineStr">
        <is>
          <t>INTEGRATION</t>
        </is>
      </c>
      <c r="H8" s="24" t="inlineStr">
        <is>
          <t>NSW Property 6PSQ Multi-Tennant Year 4 INV 10162 Revenue (November - October 2026)</t>
        </is>
      </c>
      <c r="I8" s="24" t="inlineStr">
        <is>
          <t>Accrual - unbilled work</t>
        </is>
      </c>
      <c r="J8" s="26" t="n">
        <v>929.33</v>
      </c>
      <c r="K8" s="24" t="inlineStr">
        <is>
          <t>11300</t>
        </is>
      </c>
      <c r="L8" s="24" t="n"/>
      <c r="M8" s="24" t="inlineStr">
        <is>
          <t>Y</t>
        </is>
      </c>
      <c r="N8" s="24" t="inlineStr">
        <is>
          <t>Migrated from FY27 Revenue Tracker v2 - confirm type/sign</t>
        </is>
      </c>
    </row>
    <row r="9" ht="15" customHeight="1">
      <c r="A9" s="65" t="n">
        <v>46234</v>
      </c>
      <c r="B9" s="63">
        <f>IF(C9="","",IFERROR(INDEX(tbl_Finance[Date],MATCH(C9&amp;"",tbl_Finance[Xero Invoice No],0)),""))</f>
        <v/>
      </c>
      <c r="C9" s="24" t="n"/>
      <c r="D9" s="24" t="inlineStr">
        <is>
          <t>2510804</t>
        </is>
      </c>
      <c r="E9" s="25">
        <f>IF(D9="","",IF(COUNTIF(lst_Jobs,D9&amp;"")&gt;0,"OK","CHECK"))</f>
        <v/>
      </c>
      <c r="F9" s="24" t="inlineStr">
        <is>
          <t>Presynct</t>
        </is>
      </c>
      <c r="G9" s="24" t="inlineStr">
        <is>
          <t>INTEGRATION</t>
        </is>
      </c>
      <c r="H9" s="24" t="inlineStr">
        <is>
          <t>Presynct - QLD - Condeco Desk Booking System INV 10199 Revenue (Nov 2025 - Oct 2025)</t>
        </is>
      </c>
      <c r="I9" s="24" t="inlineStr">
        <is>
          <t>Accrual - unbilled work</t>
        </is>
      </c>
      <c r="J9" s="26" t="n">
        <v>439.33</v>
      </c>
      <c r="K9" s="24" t="inlineStr">
        <is>
          <t>11300</t>
        </is>
      </c>
      <c r="L9" s="24" t="n"/>
      <c r="M9" s="24" t="inlineStr">
        <is>
          <t>Y</t>
        </is>
      </c>
      <c r="N9" s="24" t="inlineStr">
        <is>
          <t>Migrated from FY27 Revenue Tracker v2 - confirm type/sign</t>
        </is>
      </c>
    </row>
    <row r="10" ht="15" customHeight="1">
      <c r="A10" s="65" t="n">
        <v>46234</v>
      </c>
      <c r="B10" s="63">
        <f>IF(C10="","",IFERROR(INDEX(tbl_Finance[Date],MATCH(C10&amp;"",tbl_Finance[Xero Invoice No],0)),""))</f>
        <v/>
      </c>
      <c r="C10" s="24" t="n"/>
      <c r="D10" s="24" t="inlineStr">
        <is>
          <t>2719</t>
        </is>
      </c>
      <c r="E10" s="25">
        <f>IF(D10="","",IF(COUNTIF(lst_Jobs,D10&amp;"")&gt;0,"OK","CHECK"))</f>
        <v/>
      </c>
      <c r="F10" s="24" t="inlineStr">
        <is>
          <t>NSW Property</t>
        </is>
      </c>
      <c r="G10" s="24" t="inlineStr">
        <is>
          <t>INTEGRATION</t>
        </is>
      </c>
      <c r="H10" s="24" t="inlineStr">
        <is>
          <t>NSW Property GSP Proxyclick INV 10176 Revenue (Dec 2025 - Nov 2026)</t>
        </is>
      </c>
      <c r="I10" s="24" t="inlineStr">
        <is>
          <t>Accrual - unbilled work</t>
        </is>
      </c>
      <c r="J10" s="26" t="n">
        <v>381.15</v>
      </c>
      <c r="K10" s="24" t="inlineStr">
        <is>
          <t>11300</t>
        </is>
      </c>
      <c r="L10" s="24" t="n"/>
      <c r="M10" s="24" t="inlineStr">
        <is>
          <t>Y</t>
        </is>
      </c>
      <c r="N10" s="24" t="inlineStr">
        <is>
          <t>Migrated from FY27 Revenue Tracker v2 - confirm type/sign</t>
        </is>
      </c>
    </row>
    <row r="11" ht="15" customHeight="1">
      <c r="A11" s="65" t="n">
        <v>46234</v>
      </c>
      <c r="B11" s="63">
        <f>IF(C11="","",IFERROR(INDEX(tbl_Finance[Date],MATCH(C11&amp;"",tbl_Finance[Xero Invoice No],0)),""))</f>
        <v/>
      </c>
      <c r="C11" s="24" t="n"/>
      <c r="D11" s="24" t="inlineStr">
        <is>
          <t>2834</t>
        </is>
      </c>
      <c r="E11" s="25">
        <f>IF(D11="","",IF(COUNTIF(lst_Jobs,D11&amp;"")&gt;0,"OK","CHECK"))</f>
        <v/>
      </c>
      <c r="F11" s="24" t="inlineStr">
        <is>
          <t>APA</t>
        </is>
      </c>
      <c r="G11" s="24" t="inlineStr">
        <is>
          <t>INTEGRATION</t>
        </is>
      </c>
      <c r="H11" s="24" t="inlineStr">
        <is>
          <t>APA Young Year 4 INV-10280 Revenue (Mar 2026 - Feb 2027)</t>
        </is>
      </c>
      <c r="I11" s="24" t="inlineStr">
        <is>
          <t>Accrual - unbilled work</t>
        </is>
      </c>
      <c r="J11" s="26" t="n">
        <v>312.9</v>
      </c>
      <c r="K11" s="24" t="inlineStr">
        <is>
          <t>11300</t>
        </is>
      </c>
      <c r="L11" s="24" t="n"/>
      <c r="M11" s="24" t="inlineStr">
        <is>
          <t>Y</t>
        </is>
      </c>
      <c r="N11" s="24" t="inlineStr">
        <is>
          <t>Migrated from FY27 Revenue Tracker v2 - confirm type/sign</t>
        </is>
      </c>
    </row>
    <row r="12" ht="15" customHeight="1">
      <c r="A12" s="65" t="n">
        <v>46234</v>
      </c>
      <c r="B12" s="63">
        <f>IF(C12="","",IFERROR(INDEX(tbl_Finance[Date],MATCH(C12&amp;"",tbl_Finance[Xero Invoice No],0)),""))</f>
        <v/>
      </c>
      <c r="C12" s="24" t="n"/>
      <c r="D12" s="24" t="inlineStr">
        <is>
          <t>3027</t>
        </is>
      </c>
      <c r="E12" s="25">
        <f>IF(D12="","",IF(COUNTIF(lst_Jobs,D12&amp;"")&gt;0,"OK","CHECK"))</f>
        <v/>
      </c>
      <c r="F12" s="24" t="inlineStr">
        <is>
          <t>NSW Property</t>
        </is>
      </c>
      <c r="G12" s="24" t="inlineStr">
        <is>
          <t>INTEGRATION</t>
        </is>
      </c>
      <c r="H12" s="24" t="inlineStr">
        <is>
          <t>NSW Property  - 231 Eliz L13 Touchdown - Condeco Desk Booking System (INV10391 Revenue)</t>
        </is>
      </c>
      <c r="I12" s="24" t="inlineStr">
        <is>
          <t>Accrual - unbilled work</t>
        </is>
      </c>
      <c r="J12" s="26" t="n">
        <v>721.7</v>
      </c>
      <c r="K12" s="24" t="inlineStr">
        <is>
          <t>11300</t>
        </is>
      </c>
      <c r="L12" s="24" t="n"/>
      <c r="M12" s="24" t="inlineStr">
        <is>
          <t>Y</t>
        </is>
      </c>
      <c r="N12" s="24" t="inlineStr">
        <is>
          <t>Migrated from FY27 Revenue Tracker v2 - confirm type/sign</t>
        </is>
      </c>
    </row>
    <row r="13" ht="15" customHeight="1">
      <c r="A13" s="65" t="n">
        <v>46234</v>
      </c>
      <c r="B13" s="63">
        <f>IF(C13="","",IFERROR(INDEX(tbl_Finance[Date],MATCH(C13&amp;"",tbl_Finance[Xero Invoice No],0)),""))</f>
        <v/>
      </c>
      <c r="C13" s="24" t="n"/>
      <c r="D13" s="24" t="inlineStr">
        <is>
          <t>3027</t>
        </is>
      </c>
      <c r="E13" s="25">
        <f>IF(D13="","",IF(COUNTIF(lst_Jobs,D13&amp;"")&gt;0,"OK","CHECK"))</f>
        <v/>
      </c>
      <c r="F13" s="24" t="inlineStr">
        <is>
          <t>NSW Property</t>
        </is>
      </c>
      <c r="G13" s="24" t="inlineStr">
        <is>
          <t>INTEGRATION</t>
        </is>
      </c>
      <c r="H13" s="24" t="inlineStr">
        <is>
          <t>NSW Property - 231 Eliz Workplace L1 (INV10392 Revenue)</t>
        </is>
      </c>
      <c r="I13" s="24" t="inlineStr">
        <is>
          <t>Accrual - unbilled work</t>
        </is>
      </c>
      <c r="J13" s="26" t="n">
        <v>876.35</v>
      </c>
      <c r="K13" s="24" t="inlineStr">
        <is>
          <t>11300</t>
        </is>
      </c>
      <c r="L13" s="24" t="n"/>
      <c r="M13" s="24" t="inlineStr">
        <is>
          <t>Y</t>
        </is>
      </c>
      <c r="N13" s="24" t="inlineStr">
        <is>
          <t>Migrated from FY27 Revenue Tracker v2 - confirm type/sign</t>
        </is>
      </c>
    </row>
    <row r="14" ht="15" customHeight="1">
      <c r="A14" s="65" t="n">
        <v>46234</v>
      </c>
      <c r="B14" s="63">
        <f>IF(C14="","",IFERROR(INDEX(tbl_Finance[Date],MATCH(C14&amp;"",tbl_Finance[Xero Invoice No],0)),""))</f>
        <v/>
      </c>
      <c r="C14" s="24" t="n"/>
      <c r="D14" s="24" t="inlineStr">
        <is>
          <t>25060301</t>
        </is>
      </c>
      <c r="E14" s="25">
        <f>IF(D14="","",IF(COUNTIF(lst_Jobs,D14&amp;"")&gt;0,"OK","CHECK"))</f>
        <v/>
      </c>
      <c r="F14" s="24" t="inlineStr">
        <is>
          <t>NSW Property</t>
        </is>
      </c>
      <c r="G14" s="24" t="inlineStr">
        <is>
          <t>INTEGRATION</t>
        </is>
      </c>
      <c r="H14" s="24" t="inlineStr">
        <is>
          <t>NSW Property - 6PSQ Workplace L12 Hub (INV10393 Revenue)</t>
        </is>
      </c>
      <c r="I14" s="24" t="inlineStr">
        <is>
          <t>Accrual - unbilled work</t>
        </is>
      </c>
      <c r="J14" s="26" t="n">
        <v>2964.14</v>
      </c>
      <c r="K14" s="24" t="inlineStr">
        <is>
          <t>11300</t>
        </is>
      </c>
      <c r="L14" s="24" t="n"/>
      <c r="M14" s="24" t="inlineStr">
        <is>
          <t>Y</t>
        </is>
      </c>
      <c r="N14" s="24" t="inlineStr">
        <is>
          <t>Migrated from FY27 Revenue Tracker v2 - confirm type/sign</t>
        </is>
      </c>
    </row>
    <row r="15" ht="15" customHeight="1">
      <c r="A15" s="65" t="n">
        <v>46234</v>
      </c>
      <c r="B15" s="63">
        <f>IF(C15="","",IFERROR(INDEX(tbl_Finance[Date],MATCH(C15&amp;"",tbl_Finance[Xero Invoice No],0)),""))</f>
        <v/>
      </c>
      <c r="C15" s="24" t="n"/>
      <c r="D15" s="24" t="inlineStr">
        <is>
          <t>2519</t>
        </is>
      </c>
      <c r="E15" s="25">
        <f>IF(D15="","",IF(COUNTIF(lst_Jobs,D15&amp;"")&gt;0,"OK","CHECK"))</f>
        <v/>
      </c>
      <c r="F15" s="24" t="inlineStr">
        <is>
          <t>NSW Property</t>
        </is>
      </c>
      <c r="G15" s="24" t="inlineStr">
        <is>
          <t>INTEGRATION</t>
        </is>
      </c>
      <c r="H15" s="24" t="inlineStr">
        <is>
          <t>NSW Property - 6PSQ L11 Touchdown (INV10394 Revenue)</t>
        </is>
      </c>
      <c r="I15" s="24" t="inlineStr">
        <is>
          <t>Accrual - unbilled work</t>
        </is>
      </c>
      <c r="J15" s="26" t="n">
        <v>799.03</v>
      </c>
      <c r="K15" s="24" t="inlineStr">
        <is>
          <t>11300</t>
        </is>
      </c>
      <c r="L15" s="24" t="n"/>
      <c r="M15" s="24" t="inlineStr">
        <is>
          <t>Y</t>
        </is>
      </c>
      <c r="N15" s="24" t="inlineStr">
        <is>
          <t>Migrated from FY27 Revenue Tracker v2 - confirm type/sign</t>
        </is>
      </c>
    </row>
    <row r="16" ht="15" customHeight="1">
      <c r="A16" s="65" t="n">
        <v>46234</v>
      </c>
      <c r="B16" s="63">
        <f>IF(C16="","",IFERROR(INDEX(tbl_Finance[Date],MATCH(C16&amp;"",tbl_Finance[Xero Invoice No],0)),""))</f>
        <v/>
      </c>
      <c r="C16" s="24" t="n"/>
      <c r="D16" s="24" t="inlineStr">
        <is>
          <t>3068</t>
        </is>
      </c>
      <c r="E16" s="25">
        <f>IF(D16="","",IF(COUNTIF(lst_Jobs,D16&amp;"")&gt;0,"OK","CHECK"))</f>
        <v/>
      </c>
      <c r="F16" s="24" t="inlineStr">
        <is>
          <t>NSW Property</t>
        </is>
      </c>
      <c r="G16" s="24" t="inlineStr">
        <is>
          <t>INTEGRATION</t>
        </is>
      </c>
      <c r="H16" s="24" t="inlineStr">
        <is>
          <t>NSW Property  – Penrith 50 Belmore St – Workplace Hub (INV10395 Revenue)</t>
        </is>
      </c>
      <c r="I16" s="24" t="inlineStr">
        <is>
          <t>Accrual - unbilled work</t>
        </is>
      </c>
      <c r="J16" s="26" t="n">
        <v>154.65</v>
      </c>
      <c r="K16" s="24" t="inlineStr">
        <is>
          <t>11300</t>
        </is>
      </c>
      <c r="L16" s="24" t="n"/>
      <c r="M16" s="24" t="inlineStr">
        <is>
          <t>Y</t>
        </is>
      </c>
      <c r="N16" s="24" t="inlineStr">
        <is>
          <t>Migrated from FY27 Revenue Tracker v2 - confirm type/sign</t>
        </is>
      </c>
    </row>
    <row r="17" ht="15" customHeight="1">
      <c r="A17" s="65" t="n">
        <v>46234</v>
      </c>
      <c r="B17" s="63">
        <f>IF(C17="","",IFERROR(INDEX(tbl_Finance[Date],MATCH(C17&amp;"",tbl_Finance[Xero Invoice No],0)),""))</f>
        <v/>
      </c>
      <c r="C17" s="24" t="n"/>
      <c r="D17" s="24" t="inlineStr">
        <is>
          <t>25051302</t>
        </is>
      </c>
      <c r="E17" s="25">
        <f>IF(D17="","",IF(COUNTIF(lst_Jobs,D17&amp;"")&gt;0,"OK","CHECK"))</f>
        <v/>
      </c>
      <c r="F17" s="24" t="inlineStr">
        <is>
          <t>NSW Property</t>
        </is>
      </c>
      <c r="G17" s="24" t="inlineStr">
        <is>
          <t>INTEGRATION</t>
        </is>
      </c>
      <c r="H17" s="24" t="inlineStr">
        <is>
          <t>NSW Property - Penrith BDA (INV10396)</t>
        </is>
      </c>
      <c r="I17" s="24" t="inlineStr">
        <is>
          <t>Accrual - unbilled work</t>
        </is>
      </c>
      <c r="J17" s="26" t="n">
        <v>1494.96</v>
      </c>
      <c r="K17" s="24" t="inlineStr">
        <is>
          <t>11300</t>
        </is>
      </c>
      <c r="L17" s="24" t="n"/>
      <c r="M17" s="24" t="inlineStr">
        <is>
          <t>Y</t>
        </is>
      </c>
      <c r="N17" s="24" t="inlineStr">
        <is>
          <t>Migrated from FY27 Revenue Tracker v2 - confirm type/sign</t>
        </is>
      </c>
    </row>
    <row r="18" ht="15" customHeight="1">
      <c r="A18" s="65" t="n">
        <v>46234</v>
      </c>
      <c r="B18" s="63">
        <f>IF(C18="","",IFERROR(INDEX(tbl_Finance[Date],MATCH(C18&amp;"",tbl_Finance[Xero Invoice No],0)),""))</f>
        <v/>
      </c>
      <c r="C18" s="24" t="n"/>
      <c r="D18" s="24" t="inlineStr">
        <is>
          <t>25060307</t>
        </is>
      </c>
      <c r="E18" s="25">
        <f>IF(D18="","",IF(COUNTIF(lst_Jobs,D18&amp;"")&gt;0,"OK","CHECK"))</f>
        <v/>
      </c>
      <c r="F18" s="24" t="inlineStr">
        <is>
          <t>NSW Property</t>
        </is>
      </c>
      <c r="G18" s="24" t="inlineStr">
        <is>
          <t>INTEGRATION</t>
        </is>
      </c>
      <c r="H18" s="24" t="inlineStr">
        <is>
          <t>NSW Property - RA Molesworth St (INV10397 Revenue)</t>
        </is>
      </c>
      <c r="I18" s="24" t="inlineStr">
        <is>
          <t>Accrual - unbilled work</t>
        </is>
      </c>
      <c r="J18" s="26" t="n">
        <v>786.14</v>
      </c>
      <c r="K18" s="24" t="inlineStr">
        <is>
          <t>11300</t>
        </is>
      </c>
      <c r="L18" s="24" t="n"/>
      <c r="M18" s="24" t="inlineStr">
        <is>
          <t>Y</t>
        </is>
      </c>
      <c r="N18" s="24" t="inlineStr">
        <is>
          <t>Migrated from FY27 Revenue Tracker v2 - confirm type/sign</t>
        </is>
      </c>
    </row>
    <row r="19" ht="15" customHeight="1">
      <c r="A19" s="65" t="n">
        <v>46234</v>
      </c>
      <c r="B19" s="63">
        <f>IF(C19="","",IFERROR(INDEX(tbl_Finance[Date],MATCH(C19&amp;"",tbl_Finance[Xero Invoice No],0)),""))</f>
        <v/>
      </c>
      <c r="C19" s="24" t="n"/>
      <c r="D19" s="24" t="inlineStr">
        <is>
          <t>2510805</t>
        </is>
      </c>
      <c r="E19" s="25">
        <f>IF(D19="","",IF(COUNTIF(lst_Jobs,D19&amp;"")&gt;0,"OK","CHECK"))</f>
        <v/>
      </c>
      <c r="F19" s="24" t="inlineStr">
        <is>
          <t>NSW Property</t>
        </is>
      </c>
      <c r="G19" s="24" t="inlineStr">
        <is>
          <t>INTEGRATION</t>
        </is>
      </c>
      <c r="H19" s="24" t="inlineStr">
        <is>
          <t>NSW Property - RA Newcastle Bellvue (INV10398 Revenue)</t>
        </is>
      </c>
      <c r="I19" s="24" t="inlineStr">
        <is>
          <t>Accrual - unbilled work</t>
        </is>
      </c>
      <c r="J19" s="26" t="n">
        <v>270.64</v>
      </c>
      <c r="K19" s="24" t="inlineStr">
        <is>
          <t>11300</t>
        </is>
      </c>
      <c r="L19" s="24" t="n"/>
      <c r="M19" s="24" t="inlineStr">
        <is>
          <t>Y</t>
        </is>
      </c>
      <c r="N19" s="24" t="inlineStr">
        <is>
          <t>Migrated from FY27 Revenue Tracker v2 - confirm type/sign</t>
        </is>
      </c>
    </row>
    <row r="20" ht="15" customHeight="1">
      <c r="A20" s="65" t="n">
        <v>46234</v>
      </c>
      <c r="B20" s="63">
        <f>IF(C20="","",IFERROR(INDEX(tbl_Finance[Date],MATCH(C20&amp;"",tbl_Finance[Xero Invoice No],0)),""))</f>
        <v/>
      </c>
      <c r="C20" s="24" t="n"/>
      <c r="D20" s="24" t="inlineStr">
        <is>
          <t>2603202</t>
        </is>
      </c>
      <c r="E20" s="25">
        <f>IF(D20="","",IF(COUNTIF(lst_Jobs,D20&amp;"")&gt;0,"OK","CHECK"))</f>
        <v/>
      </c>
      <c r="F20" s="24" t="inlineStr">
        <is>
          <t>NSW Property</t>
        </is>
      </c>
      <c r="G20" s="24" t="inlineStr">
        <is>
          <t>INTEGRATION</t>
        </is>
      </c>
      <c r="H20" s="24" t="inlineStr">
        <is>
          <t>NSW Property - 5 O’Keefe Ave Nowra Workplace Hub (INV10399 Revenue)</t>
        </is>
      </c>
      <c r="I20" s="24" t="inlineStr">
        <is>
          <t>Accrual - unbilled work</t>
        </is>
      </c>
      <c r="J20" s="26" t="n">
        <v>2242.44</v>
      </c>
      <c r="K20" s="24" t="inlineStr">
        <is>
          <t>11300</t>
        </is>
      </c>
      <c r="L20" s="24" t="n"/>
      <c r="M20" s="24" t="inlineStr">
        <is>
          <t>Y</t>
        </is>
      </c>
      <c r="N20" s="24" t="inlineStr">
        <is>
          <t>Migrated from FY27 Revenue Tracker v2 - confirm type/sign</t>
        </is>
      </c>
    </row>
    <row r="21" ht="15" customHeight="1">
      <c r="A21" s="65" t="n">
        <v>46234</v>
      </c>
      <c r="B21" s="63">
        <f>IF(C21="","",IFERROR(INDEX(tbl_Finance[Date],MATCH(C21&amp;"",tbl_Finance[Xero Invoice No],0)),""))</f>
        <v/>
      </c>
      <c r="C21" s="24" t="n"/>
      <c r="D21" s="24" t="inlineStr">
        <is>
          <t>25041502</t>
        </is>
      </c>
      <c r="E21" s="25">
        <f>IF(D21="","",IF(COUNTIF(lst_Jobs,D21&amp;"")&gt;0,"OK","CHECK"))</f>
        <v/>
      </c>
      <c r="F21" s="24" t="inlineStr">
        <is>
          <t>NSW Property</t>
        </is>
      </c>
      <c r="G21" s="24" t="inlineStr">
        <is>
          <t>INTEGRATION</t>
        </is>
      </c>
      <c r="H21" s="24" t="inlineStr">
        <is>
          <t>NSW Property -  Maitland 510-516 High St WP Services (INV10400 Revenue)</t>
        </is>
      </c>
      <c r="I21" s="24" t="inlineStr">
        <is>
          <t>Accrual - unbilled work</t>
        </is>
      </c>
      <c r="J21" s="26" t="n">
        <v>3041.47</v>
      </c>
      <c r="K21" s="24" t="inlineStr">
        <is>
          <t>11300</t>
        </is>
      </c>
      <c r="L21" s="24" t="n"/>
      <c r="M21" s="24" t="inlineStr">
        <is>
          <t>Y</t>
        </is>
      </c>
      <c r="N21" s="24" t="inlineStr">
        <is>
          <t>Migrated from FY27 Revenue Tracker v2 - confirm type/sign</t>
        </is>
      </c>
    </row>
    <row r="22" ht="15" customHeight="1">
      <c r="A22" s="65" t="n">
        <v>46234</v>
      </c>
      <c r="B22" s="63">
        <f>IF(C22="","",IFERROR(INDEX(tbl_Finance[Date],MATCH(C22&amp;"",tbl_Finance[Xero Invoice No],0)),""))</f>
        <v/>
      </c>
      <c r="C22" s="24" t="n"/>
      <c r="D22" s="24" t="inlineStr">
        <is>
          <t>3068</t>
        </is>
      </c>
      <c r="E22" s="25">
        <f>IF(D22="","",IF(COUNTIF(lst_Jobs,D22&amp;"")&gt;0,"OK","CHECK"))</f>
        <v/>
      </c>
      <c r="F22" s="24" t="inlineStr">
        <is>
          <t>NSW Property</t>
        </is>
      </c>
      <c r="G22" s="24" t="inlineStr">
        <is>
          <t>INTEGRATION</t>
        </is>
      </c>
      <c r="H22" s="24" t="inlineStr">
        <is>
          <t>NSW Property -  252 Pitt St Parkline Workplace Hub (INV10401 Revenue)</t>
        </is>
      </c>
      <c r="I22" s="24" t="inlineStr">
        <is>
          <t>Accrual - unbilled work</t>
        </is>
      </c>
      <c r="J22" s="26" t="n">
        <v>4085.36</v>
      </c>
      <c r="K22" s="24" t="inlineStr">
        <is>
          <t>11300</t>
        </is>
      </c>
      <c r="L22" s="24" t="n"/>
      <c r="M22" s="24" t="inlineStr">
        <is>
          <t>Y</t>
        </is>
      </c>
      <c r="N22" s="24" t="inlineStr">
        <is>
          <t>Migrated from FY27 Revenue Tracker v2 - confirm type/sign</t>
        </is>
      </c>
    </row>
    <row r="23" ht="15" customHeight="1">
      <c r="A23" s="65" t="n">
        <v>46234</v>
      </c>
      <c r="B23" s="63">
        <f>IF(C23="","",IFERROR(INDEX(tbl_Finance[Date],MATCH(C23&amp;"",tbl_Finance[Xero Invoice No],0)),""))</f>
        <v/>
      </c>
      <c r="C23" s="24" t="n"/>
      <c r="D23" s="24" t="inlineStr">
        <is>
          <t>2510205</t>
        </is>
      </c>
      <c r="E23" s="25">
        <f>IF(D23="","",IF(COUNTIF(lst_Jobs,D23&amp;"")&gt;0,"OK","CHECK"))</f>
        <v/>
      </c>
      <c r="F23" s="24" t="inlineStr">
        <is>
          <t>NSW Property</t>
        </is>
      </c>
      <c r="G23" s="24" t="inlineStr">
        <is>
          <t>INTEGRATION</t>
        </is>
      </c>
      <c r="H23" s="24" t="inlineStr">
        <is>
          <t>NSW Property - Sydney 1 Prince Albert Workplace Hub (INV10412 Revenue)</t>
        </is>
      </c>
      <c r="I23" s="24" t="inlineStr">
        <is>
          <t>Accrual - unbilled work</t>
        </is>
      </c>
      <c r="J23" s="26" t="n">
        <v>1868.7</v>
      </c>
      <c r="K23" s="24" t="inlineStr">
        <is>
          <t>11300</t>
        </is>
      </c>
      <c r="L23" s="24" t="n"/>
      <c r="M23" s="24" t="inlineStr">
        <is>
          <t>Y</t>
        </is>
      </c>
      <c r="N23" s="24" t="inlineStr">
        <is>
          <t>Migrated from FY27 Revenue Tracker v2 - confirm type/sign</t>
        </is>
      </c>
    </row>
    <row r="24" ht="15" customHeight="1">
      <c r="A24" s="65" t="n">
        <v>46234</v>
      </c>
      <c r="B24" s="63">
        <f>IF(C24="","",IFERROR(INDEX(tbl_Finance[Date],MATCH(C24&amp;"",tbl_Finance[Xero Invoice No],0)),""))</f>
        <v/>
      </c>
      <c r="C24" s="24" t="n"/>
      <c r="D24" s="24" t="inlineStr">
        <is>
          <t>26043001</t>
        </is>
      </c>
      <c r="E24" s="25">
        <f>IF(D24="","",IF(COUNTIF(lst_Jobs,D24&amp;"")&gt;0,"OK","CHECK"))</f>
        <v/>
      </c>
      <c r="F24" s="24" t="inlineStr">
        <is>
          <t>CBA</t>
        </is>
      </c>
      <c r="G24" s="24" t="inlineStr">
        <is>
          <t>ONSITE</t>
        </is>
      </c>
      <c r="H24" s="24" t="inlineStr">
        <is>
          <t>CBA Melbourne Half of May 2026 not invoiced yet (Invoiced in June)</t>
        </is>
      </c>
      <c r="I24" s="24" t="inlineStr">
        <is>
          <t>Deferral - invoiced in advance</t>
        </is>
      </c>
      <c r="J24" s="26" t="n">
        <v>-5950</v>
      </c>
      <c r="K24" s="24" t="inlineStr">
        <is>
          <t>11300</t>
        </is>
      </c>
      <c r="L24" s="24" t="n"/>
      <c r="M24" s="24" t="inlineStr">
        <is>
          <t>Y</t>
        </is>
      </c>
      <c r="N24" s="24" t="inlineStr">
        <is>
          <t>Migrated from FY27 Revenue Tracker v2 - confirm type/sign</t>
        </is>
      </c>
    </row>
    <row r="25" ht="15" customHeight="1">
      <c r="A25" s="65" t="n">
        <v>46234</v>
      </c>
      <c r="B25" s="63">
        <f>IF(C25="","",IFERROR(INDEX(tbl_Finance[Date],MATCH(C25&amp;"",tbl_Finance[Xero Invoice No],0)),""))</f>
        <v/>
      </c>
      <c r="C25" s="24" t="n"/>
      <c r="D25" s="24" t="inlineStr">
        <is>
          <t>2604704</t>
        </is>
      </c>
      <c r="E25" s="25">
        <f>IF(D25="","",IF(COUNTIF(lst_Jobs,D25&amp;"")&gt;0,"OK","CHECK"))</f>
        <v/>
      </c>
      <c r="F25" s="24" t="inlineStr">
        <is>
          <t>Aware Super</t>
        </is>
      </c>
      <c r="G25" s="24" t="inlineStr">
        <is>
          <t>INTEGRATION</t>
        </is>
      </c>
      <c r="H25" s="24" t="inlineStr">
        <is>
          <t>Aware Super Seminar Room Audio Upgrade [INT] Revenue</t>
        </is>
      </c>
      <c r="I25" s="24" t="inlineStr">
        <is>
          <t>Accrual - unbilled work</t>
        </is>
      </c>
      <c r="J25" s="26" t="n">
        <v>1821.25</v>
      </c>
      <c r="K25" s="24" t="inlineStr">
        <is>
          <t>11300</t>
        </is>
      </c>
      <c r="L25" s="24" t="n"/>
      <c r="M25" s="24" t="inlineStr">
        <is>
          <t>Y</t>
        </is>
      </c>
      <c r="N25" s="24" t="inlineStr">
        <is>
          <t>Migrated from FY27 Revenue Tracker v2 - confirm type/sign</t>
        </is>
      </c>
    </row>
    <row r="26" ht="15" customHeight="1">
      <c r="A26" s="65" t="n">
        <v>46234</v>
      </c>
      <c r="B26" s="63">
        <f>IF(C26="","",IFERROR(INDEX(tbl_Finance[Date],MATCH(C26&amp;"",tbl_Finance[Xero Invoice No],0)),""))</f>
        <v/>
      </c>
      <c r="C26" s="24" t="n"/>
      <c r="D26" s="24" t="inlineStr">
        <is>
          <t>3028</t>
        </is>
      </c>
      <c r="E26" s="25">
        <f>IF(D26="","",IF(COUNTIF(lst_Jobs,D26&amp;"")&gt;0,"OK","CHECK"))</f>
        <v/>
      </c>
      <c r="F26" s="24" t="inlineStr">
        <is>
          <t>APA</t>
        </is>
      </c>
      <c r="G26" s="24" t="inlineStr">
        <is>
          <t>INTEGRATION</t>
        </is>
      </c>
      <c r="H26" s="24" t="inlineStr">
        <is>
          <t>APA Kidman Proxyclick Term 3 Jun26-Dec26 INV-10477 (Revenue)</t>
        </is>
      </c>
      <c r="I26" s="24" t="inlineStr">
        <is>
          <t>Accrual - unbilled work</t>
        </is>
      </c>
      <c r="J26" s="26" t="n">
        <v>996.74</v>
      </c>
      <c r="K26" s="24" t="inlineStr">
        <is>
          <t>11300</t>
        </is>
      </c>
      <c r="L26" s="24" t="n"/>
      <c r="M26" s="24" t="inlineStr">
        <is>
          <t>Y</t>
        </is>
      </c>
      <c r="N26" s="24" t="inlineStr">
        <is>
          <t>Migrated from FY27 Revenue Tracker v2 - confirm type/sign</t>
        </is>
      </c>
    </row>
    <row r="27" ht="15" customHeight="1">
      <c r="A27" s="65" t="n">
        <v>46234</v>
      </c>
      <c r="B27" s="63">
        <f>IF(C27="","",IFERROR(INDEX(tbl_Finance[Date],MATCH(C27&amp;"",tbl_Finance[Xero Invoice No],0)),""))</f>
        <v/>
      </c>
      <c r="C27" s="24" t="n"/>
      <c r="D27" s="24" t="inlineStr">
        <is>
          <t>2855</t>
        </is>
      </c>
      <c r="E27" s="25">
        <f>IF(D27="","",IF(COUNTIF(lst_Jobs,D27&amp;"")&gt;0,"OK","CHECK"))</f>
        <v/>
      </c>
      <c r="F27" s="24" t="inlineStr">
        <is>
          <t>APA</t>
        </is>
      </c>
      <c r="G27" s="24" t="inlineStr">
        <is>
          <t>INTEGRATION</t>
        </is>
      </c>
      <c r="H27" s="24" t="inlineStr">
        <is>
          <t>APA Melbourne Proxyclick Jul26-Jun27 INV-10501(Revenue)</t>
        </is>
      </c>
      <c r="I27" s="24" t="inlineStr">
        <is>
          <t>Accrual - unbilled work</t>
        </is>
      </c>
      <c r="J27" s="26" t="n">
        <v>1357.33</v>
      </c>
      <c r="K27" s="24" t="inlineStr">
        <is>
          <t>11300</t>
        </is>
      </c>
      <c r="L27" s="24" t="n"/>
      <c r="M27" s="24" t="inlineStr">
        <is>
          <t>Y</t>
        </is>
      </c>
      <c r="N27" s="24" t="inlineStr">
        <is>
          <t>Migrated from FY27 Revenue Tracker v2 - confirm type/sign</t>
        </is>
      </c>
    </row>
    <row r="28" ht="15" customHeight="1">
      <c r="A28" s="65" t="n">
        <v>46234</v>
      </c>
      <c r="B28" s="63">
        <f>IF(C28="","",IFERROR(INDEX(tbl_Finance[Date],MATCH(C28&amp;"",tbl_Finance[Xero Invoice No],0)),""))</f>
        <v/>
      </c>
      <c r="C28" s="24" t="n"/>
      <c r="D28" s="24" t="inlineStr">
        <is>
          <t>2857</t>
        </is>
      </c>
      <c r="E28" s="25">
        <f>IF(D28="","",IF(COUNTIF(lst_Jobs,D28&amp;"")&gt;0,"OK","CHECK"))</f>
        <v/>
      </c>
      <c r="F28" s="24" t="inlineStr">
        <is>
          <t>APA</t>
        </is>
      </c>
      <c r="G28" s="24" t="inlineStr">
        <is>
          <t>INTEGRATION</t>
        </is>
      </c>
      <c r="H28" s="24" t="inlineStr">
        <is>
          <t>APA Sydney Proxyclick Jul26-Jun27 INV-10502(Revenue)</t>
        </is>
      </c>
      <c r="I28" s="24" t="inlineStr">
        <is>
          <t>Accrual - unbilled work</t>
        </is>
      </c>
      <c r="J28" s="26" t="n">
        <v>1357.33</v>
      </c>
      <c r="K28" s="24" t="inlineStr">
        <is>
          <t>11300</t>
        </is>
      </c>
      <c r="L28" s="24" t="n"/>
      <c r="M28" s="24" t="inlineStr">
        <is>
          <t>Y</t>
        </is>
      </c>
      <c r="N28" s="24" t="inlineStr">
        <is>
          <t>Migrated from FY27 Revenue Tracker v2 - confirm type/sign</t>
        </is>
      </c>
    </row>
    <row r="29" ht="15" customHeight="1">
      <c r="A29" s="65" t="n">
        <v>46234</v>
      </c>
      <c r="B29" s="63">
        <f>IF(C29="","",IFERROR(INDEX(tbl_Finance[Date],MATCH(C29&amp;"",tbl_Finance[Xero Invoice No],0)),""))</f>
        <v/>
      </c>
      <c r="C29" s="24" t="n"/>
      <c r="D29" s="24" t="inlineStr">
        <is>
          <t>2848</t>
        </is>
      </c>
      <c r="E29" s="25">
        <f>IF(D29="","",IF(COUNTIF(lst_Jobs,D29&amp;"")&gt;0,"OK","CHECK"))</f>
        <v/>
      </c>
      <c r="F29" s="24" t="inlineStr">
        <is>
          <t>APA</t>
        </is>
      </c>
      <c r="G29" s="24" t="inlineStr">
        <is>
          <t>INTEGRATION</t>
        </is>
      </c>
      <c r="H29" s="24" t="inlineStr">
        <is>
          <t>APA Adelaide Proxyclick INV-10514 Renewal Jul26-Jun27 (Revenue)</t>
        </is>
      </c>
      <c r="I29" s="24" t="inlineStr">
        <is>
          <t>Accrual - unbilled work</t>
        </is>
      </c>
      <c r="J29" s="26" t="n">
        <v>618.08</v>
      </c>
      <c r="K29" s="24" t="inlineStr">
        <is>
          <t>11300</t>
        </is>
      </c>
      <c r="L29" s="24" t="n"/>
      <c r="M29" s="24" t="inlineStr">
        <is>
          <t>Y</t>
        </is>
      </c>
      <c r="N29" s="24" t="inlineStr">
        <is>
          <t>Migrated from FY27 Revenue Tracker v2 - confirm type/sign</t>
        </is>
      </c>
    </row>
    <row r="30" ht="15" customHeight="1">
      <c r="A30" s="65" t="n">
        <v>46234</v>
      </c>
      <c r="B30" s="63">
        <f>IF(C30="","",IFERROR(INDEX(tbl_Finance[Date],MATCH(C30&amp;"",tbl_Finance[Xero Invoice No],0)),""))</f>
        <v/>
      </c>
      <c r="C30" s="24" t="n"/>
      <c r="D30" s="24" t="inlineStr">
        <is>
          <t>2606101</t>
        </is>
      </c>
      <c r="E30" s="25">
        <f>IF(D30="","",IF(COUNTIF(lst_Jobs,D30&amp;"")&gt;0,"OK","CHECK"))</f>
        <v/>
      </c>
      <c r="F30" s="24" t="inlineStr">
        <is>
          <t>APA</t>
        </is>
      </c>
      <c r="G30" s="24" t="inlineStr">
        <is>
          <t>INTEGRATION</t>
        </is>
      </c>
      <c r="H30" s="24" t="inlineStr">
        <is>
          <t>APA | Young Eptura Proxyclick Licence Renewal Mar27-Feb28 INV-10548 (Revenue)</t>
        </is>
      </c>
      <c r="I30" s="24" t="inlineStr">
        <is>
          <t>Deferral - invoiced in advance</t>
        </is>
      </c>
      <c r="J30" s="26" t="n">
        <v>-4205</v>
      </c>
      <c r="K30" s="24" t="inlineStr">
        <is>
          <t>11300</t>
        </is>
      </c>
      <c r="L30" s="24" t="n"/>
      <c r="M30" s="24" t="inlineStr">
        <is>
          <t>Y</t>
        </is>
      </c>
      <c r="N30" s="24" t="inlineStr">
        <is>
          <t>Migrated from FY27 Revenue Tracker v2 - confirm type/sign</t>
        </is>
      </c>
    </row>
    <row r="31" ht="15" customHeight="1">
      <c r="A31" s="65" t="n">
        <v>46234</v>
      </c>
      <c r="B31" s="63">
        <f>IF(C31="","",IFERROR(INDEX(tbl_Finance[Date],MATCH(C31&amp;"",tbl_Finance[Xero Invoice No],0)),""))</f>
        <v/>
      </c>
      <c r="C31" s="24" t="n"/>
      <c r="D31" s="24" t="inlineStr">
        <is>
          <t>2605402</t>
        </is>
      </c>
      <c r="E31" s="25">
        <f>IF(D31="","",IF(COUNTIF(lst_Jobs,D31&amp;"")&gt;0,"OK","CHECK"))</f>
        <v/>
      </c>
      <c r="F31" s="24" t="inlineStr">
        <is>
          <t>AGL</t>
        </is>
      </c>
      <c r="G31" s="24" t="inlineStr">
        <is>
          <t>PRODUCTION</t>
        </is>
      </c>
      <c r="H31" s="24" t="inlineStr">
        <is>
          <t>AGL FYR - Employee Town Hall [PRD] pre-prod work</t>
        </is>
      </c>
      <c r="I31" s="24" t="inlineStr">
        <is>
          <t>Accrual - unbilled work</t>
        </is>
      </c>
      <c r="J31" s="26" t="n">
        <v>1322.5</v>
      </c>
      <c r="K31" s="24" t="inlineStr">
        <is>
          <t>11300</t>
        </is>
      </c>
      <c r="L31" s="24" t="n"/>
      <c r="M31" s="24" t="inlineStr">
        <is>
          <t>Y</t>
        </is>
      </c>
      <c r="N31" s="24" t="inlineStr">
        <is>
          <t>Migrated from FY27 Revenue Tracker v2 - confirm type/sign</t>
        </is>
      </c>
    </row>
    <row r="32" ht="15" customHeight="1">
      <c r="A32" s="65" t="n">
        <v>46234</v>
      </c>
      <c r="B32" s="63">
        <f>IF(C32="","",IFERROR(INDEX(tbl_Finance[Date],MATCH(C32&amp;"",tbl_Finance[Xero Invoice No],0)),""))</f>
        <v/>
      </c>
      <c r="C32" s="24" t="n"/>
      <c r="D32" s="24" t="inlineStr">
        <is>
          <t>26061105</t>
        </is>
      </c>
      <c r="E32" s="25">
        <f>IF(D32="","",IF(COUNTIF(lst_Jobs,D32&amp;"")&gt;0,"OK","CHECK"))</f>
        <v/>
      </c>
      <c r="F32" s="24" t="inlineStr">
        <is>
          <t>CBA</t>
        </is>
      </c>
      <c r="G32" s="24" t="inlineStr">
        <is>
          <t>PRODUCTION</t>
        </is>
      </c>
      <c r="H32" s="24" t="inlineStr">
        <is>
          <t>CBA - FYR 2026 - 12.8.26 [PRD] pre-prod work</t>
        </is>
      </c>
      <c r="I32" s="24" t="inlineStr">
        <is>
          <t>Accrual - unbilled work</t>
        </is>
      </c>
      <c r="J32" s="26" t="n">
        <v>417.5</v>
      </c>
      <c r="K32" s="24" t="inlineStr">
        <is>
          <t>11300</t>
        </is>
      </c>
      <c r="L32" s="24" t="n"/>
      <c r="M32" s="24" t="inlineStr">
        <is>
          <t>Y</t>
        </is>
      </c>
      <c r="N32" s="24" t="inlineStr">
        <is>
          <t>Migrated from FY27 Revenue Tracker v2 - confirm type/sign</t>
        </is>
      </c>
    </row>
    <row r="33" ht="15" customHeight="1">
      <c r="A33" s="65" t="n">
        <v>46234</v>
      </c>
      <c r="B33" s="63">
        <f>IF(C33="","",IFERROR(INDEX(tbl_Finance[Date],MATCH(C33&amp;"",tbl_Finance[Xero Invoice No],0)),""))</f>
        <v/>
      </c>
      <c r="C33" s="24" t="n"/>
      <c r="D33" s="24" t="inlineStr">
        <is>
          <t>2606903</t>
        </is>
      </c>
      <c r="E33" s="25">
        <f>IF(D33="","",IF(COUNTIF(lst_Jobs,D33&amp;"")&gt;0,"OK","CHECK"))</f>
        <v/>
      </c>
      <c r="F33" s="24" t="inlineStr">
        <is>
          <t>Virgin</t>
        </is>
      </c>
      <c r="G33" s="24" t="inlineStr">
        <is>
          <t>PRODUCTION</t>
        </is>
      </c>
      <c r="H33" s="24" t="inlineStr">
        <is>
          <t>Virgin FY26 Results [PRD] pre-prod work</t>
        </is>
      </c>
      <c r="I33" s="24" t="inlineStr">
        <is>
          <t>Accrual - unbilled work</t>
        </is>
      </c>
      <c r="J33" s="26" t="n">
        <v>57.5</v>
      </c>
      <c r="K33" s="24" t="inlineStr">
        <is>
          <t>11300</t>
        </is>
      </c>
      <c r="L33" s="24" t="n"/>
      <c r="M33" s="24" t="inlineStr">
        <is>
          <t>Y</t>
        </is>
      </c>
      <c r="N33" s="24" t="inlineStr">
        <is>
          <t>Migrated from FY27 Revenue Tracker v2 - confirm type/sign</t>
        </is>
      </c>
    </row>
    <row r="34" ht="15" customHeight="1">
      <c r="A34" s="65" t="n">
        <v>46234</v>
      </c>
      <c r="B34" s="63">
        <f>IF(C34="","",IFERROR(INDEX(tbl_Finance[Date],MATCH(C34&amp;"",tbl_Finance[Xero Invoice No],0)),""))</f>
        <v/>
      </c>
      <c r="C34" s="24" t="n"/>
      <c r="D34" s="24" t="inlineStr">
        <is>
          <t>26061109</t>
        </is>
      </c>
      <c r="E34" s="25">
        <f>IF(D34="","",IF(COUNTIF(lst_Jobs,D34&amp;"")&gt;0,"OK","CHECK"))</f>
        <v/>
      </c>
      <c r="F34" s="24" t="inlineStr">
        <is>
          <t>Ventia</t>
        </is>
      </c>
      <c r="G34" s="24" t="inlineStr">
        <is>
          <t>PRODUCTION</t>
        </is>
      </c>
      <c r="H34" s="24" t="inlineStr">
        <is>
          <t>Ventia - FYR26 - 24.8.26 [PRD] pre-prod work</t>
        </is>
      </c>
      <c r="I34" s="24" t="inlineStr">
        <is>
          <t>Accrual - unbilled work</t>
        </is>
      </c>
      <c r="J34" s="26" t="n">
        <v>862.5</v>
      </c>
      <c r="K34" s="24" t="inlineStr">
        <is>
          <t>11300</t>
        </is>
      </c>
      <c r="L34" s="24" t="n"/>
      <c r="M34" s="24" t="inlineStr">
        <is>
          <t>Y</t>
        </is>
      </c>
      <c r="N34" s="24" t="inlineStr">
        <is>
          <t>Migrated from FY27 Revenue Tracker v2 - confirm type/sign</t>
        </is>
      </c>
    </row>
    <row r="35" ht="15" customHeight="1">
      <c r="A35" s="65" t="n">
        <v>46234</v>
      </c>
      <c r="B35" s="63">
        <f>IF(C35="","",IFERROR(INDEX(tbl_Finance[Date],MATCH(C35&amp;"",tbl_Finance[Xero Invoice No],0)),""))</f>
        <v/>
      </c>
      <c r="C35" s="24" t="n"/>
      <c r="D35" s="24" t="inlineStr">
        <is>
          <t>26061107</t>
        </is>
      </c>
      <c r="E35" s="25">
        <f>IF(D35="","",IF(COUNTIF(lst_Jobs,D35&amp;"")&gt;0,"OK","CHECK"))</f>
        <v/>
      </c>
      <c r="F35" s="24" t="inlineStr">
        <is>
          <t>Downer</t>
        </is>
      </c>
      <c r="G35" s="24" t="inlineStr">
        <is>
          <t>PRODUCTION</t>
        </is>
      </c>
      <c r="H35" s="24" t="inlineStr">
        <is>
          <t>Downer - FYR 2026 - 19.8.26 [PRD] pre-prod work</t>
        </is>
      </c>
      <c r="I35" s="24" t="inlineStr">
        <is>
          <t>Accrual - unbilled work</t>
        </is>
      </c>
      <c r="J35" s="26" t="n">
        <v>115</v>
      </c>
      <c r="K35" s="24" t="inlineStr">
        <is>
          <t>11300</t>
        </is>
      </c>
      <c r="L35" s="24" t="n"/>
      <c r="M35" s="24" t="inlineStr">
        <is>
          <t>Y</t>
        </is>
      </c>
      <c r="N35" s="24" t="inlineStr">
        <is>
          <t>Migrated from FY27 Revenue Tracker v2 - confirm type/sign</t>
        </is>
      </c>
    </row>
    <row r="36" ht="15" customHeight="1">
      <c r="A36" s="65" t="n">
        <v>46234</v>
      </c>
      <c r="B36" s="63">
        <f>IF(C36="","",IFERROR(INDEX(tbl_Finance[Date],MATCH(C36&amp;"",tbl_Finance[Xero Invoice No],0)),""))</f>
        <v/>
      </c>
      <c r="C36" s="24" t="n"/>
      <c r="D36" s="24" t="inlineStr">
        <is>
          <t>26061108</t>
        </is>
      </c>
      <c r="E36" s="25">
        <f>IF(D36="","",IF(COUNTIF(lst_Jobs,D36&amp;"")&gt;0,"OK","CHECK"))</f>
        <v/>
      </c>
      <c r="F36" s="24" t="inlineStr">
        <is>
          <t>APA</t>
        </is>
      </c>
      <c r="G36" s="24" t="inlineStr">
        <is>
          <t>PRODUCTION</t>
        </is>
      </c>
      <c r="H36" s="24" t="inlineStr">
        <is>
          <t>APA FYR All Hands August 2026 Package - Conf Call (Revenue) INV-10521</t>
        </is>
      </c>
      <c r="I36" s="24" t="inlineStr">
        <is>
          <t>Deferral - invoiced in advance</t>
        </is>
      </c>
      <c r="J36" s="26" t="n">
        <v>-600</v>
      </c>
      <c r="K36" s="24" t="inlineStr">
        <is>
          <t>11300</t>
        </is>
      </c>
      <c r="L36" s="24" t="n"/>
      <c r="M36" s="24" t="inlineStr">
        <is>
          <t>Y</t>
        </is>
      </c>
      <c r="N36" s="24" t="inlineStr">
        <is>
          <t>Migrated from FY27 Revenue Tracker v2 - confirm type/sign</t>
        </is>
      </c>
    </row>
    <row r="37" ht="15" customHeight="1">
      <c r="A37" s="65" t="n">
        <v>46234</v>
      </c>
      <c r="B37" s="63">
        <f>IF(C37="","",IFERROR(INDEX(tbl_Finance[Date],MATCH(C37&amp;"",tbl_Finance[Xero Invoice No],0)),""))</f>
        <v/>
      </c>
      <c r="C37" s="24" t="n"/>
      <c r="D37" s="24" t="inlineStr">
        <is>
          <t>26061108</t>
        </is>
      </c>
      <c r="E37" s="25">
        <f>IF(D37="","",IF(COUNTIF(lst_Jobs,D37&amp;"")&gt;0,"OK","CHECK"))</f>
        <v/>
      </c>
      <c r="F37" s="24" t="inlineStr">
        <is>
          <t>APA</t>
        </is>
      </c>
      <c r="G37" s="24" t="inlineStr">
        <is>
          <t>PRODUCTION</t>
        </is>
      </c>
      <c r="H37" s="24" t="inlineStr">
        <is>
          <t>APA FYR 20.7.26 [PRD]</t>
        </is>
      </c>
      <c r="I37" s="24" t="inlineStr">
        <is>
          <t>Deferral - invoiced in advance</t>
        </is>
      </c>
      <c r="J37" s="26" t="n">
        <v>-237.5</v>
      </c>
      <c r="K37" s="24" t="inlineStr">
        <is>
          <t>11300</t>
        </is>
      </c>
      <c r="L37" s="24" t="n"/>
      <c r="M37" s="24" t="inlineStr">
        <is>
          <t>Y</t>
        </is>
      </c>
      <c r="N37" s="24" t="inlineStr">
        <is>
          <t>Migrated from FY27 Revenue Tracker v2 - confirm type/sign</t>
        </is>
      </c>
    </row>
    <row r="38" ht="15" customHeight="1">
      <c r="A38" s="65" t="n">
        <v>46234</v>
      </c>
      <c r="B38" s="63">
        <f>IF(C38="","",IFERROR(INDEX(tbl_Finance[Date],MATCH(C38&amp;"",tbl_Finance[Xero Invoice No],0)),""))</f>
        <v/>
      </c>
      <c r="C38" s="24" t="n"/>
      <c r="D38" s="24" t="inlineStr">
        <is>
          <t>26061108</t>
        </is>
      </c>
      <c r="E38" s="25">
        <f>IF(D38="","",IF(COUNTIF(lst_Jobs,D38&amp;"")&gt;0,"OK","CHECK"))</f>
        <v/>
      </c>
      <c r="F38" s="24" t="inlineStr">
        <is>
          <t>APA</t>
        </is>
      </c>
      <c r="G38" s="24" t="inlineStr">
        <is>
          <t>PRODUCTION</t>
        </is>
      </c>
      <c r="H38" s="24" t="inlineStr">
        <is>
          <t>APA FYR All Hands August 2026 Package - Prd Equipment Hire (Revenue) INV-10521</t>
        </is>
      </c>
      <c r="I38" s="24" t="inlineStr">
        <is>
          <t>Deferral - invoiced in advance</t>
        </is>
      </c>
      <c r="J38" s="26" t="n">
        <v>-5413.6</v>
      </c>
      <c r="K38" s="24" t="inlineStr">
        <is>
          <t>11300</t>
        </is>
      </c>
      <c r="L38" s="24" t="n"/>
      <c r="M38" s="24" t="inlineStr">
        <is>
          <t>Y</t>
        </is>
      </c>
      <c r="N38" s="24" t="inlineStr">
        <is>
          <t>Migrated from FY27 Revenue Tracker v2 - confirm type/sign</t>
        </is>
      </c>
    </row>
    <row r="39" ht="15" customHeight="1">
      <c r="A39" s="65" t="n">
        <v>46234</v>
      </c>
      <c r="B39" s="63">
        <f>IF(C39="","",IFERROR(INDEX(tbl_Finance[Date],MATCH(C39&amp;"",tbl_Finance[Xero Invoice No],0)),""))</f>
        <v/>
      </c>
      <c r="C39" s="24" t="n"/>
      <c r="D39" s="24" t="inlineStr">
        <is>
          <t>26061108V</t>
        </is>
      </c>
      <c r="E39" s="25">
        <f>IF(D39="","",IF(COUNTIF(lst_Jobs,D39&amp;"")&gt;0,"OK","CHECK"))</f>
        <v/>
      </c>
      <c r="F39" s="24" t="inlineStr">
        <is>
          <t>APA</t>
        </is>
      </c>
      <c r="G39" s="24" t="inlineStr">
        <is>
          <t>VIDEO</t>
        </is>
      </c>
      <c r="H39" s="24" t="inlineStr">
        <is>
          <t>APA FYR All Hands August 2026 Package - Vid Equipment Hire (Revenue) INV-10521</t>
        </is>
      </c>
      <c r="I39" s="24" t="inlineStr">
        <is>
          <t>Deferral - invoiced in advance</t>
        </is>
      </c>
      <c r="J39" s="26" t="n">
        <v>-592</v>
      </c>
      <c r="K39" s="24" t="inlineStr">
        <is>
          <t>11300</t>
        </is>
      </c>
      <c r="L39" s="24" t="n"/>
      <c r="M39" s="24" t="inlineStr">
        <is>
          <t>Y</t>
        </is>
      </c>
      <c r="N39" s="24" t="inlineStr">
        <is>
          <t>Migrated from FY27 Revenue Tracker v2 - confirm type/sign</t>
        </is>
      </c>
    </row>
    <row r="40" ht="15" customHeight="1">
      <c r="A40" s="65" t="n">
        <v>46234</v>
      </c>
      <c r="B40" s="63">
        <f>IF(C40="","",IFERROR(INDEX(tbl_Finance[Date],MATCH(C40&amp;"",tbl_Finance[Xero Invoice No],0)),""))</f>
        <v/>
      </c>
      <c r="C40" s="24" t="n"/>
      <c r="D40" s="24" t="inlineStr">
        <is>
          <t>26061108</t>
        </is>
      </c>
      <c r="E40" s="25">
        <f>IF(D40="","",IF(COUNTIF(lst_Jobs,D40&amp;"")&gt;0,"OK","CHECK"))</f>
        <v/>
      </c>
      <c r="F40" s="24" t="inlineStr">
        <is>
          <t>APA</t>
        </is>
      </c>
      <c r="G40" s="24" t="inlineStr">
        <is>
          <t>PRODUCTION</t>
        </is>
      </c>
      <c r="H40" s="24" t="inlineStr">
        <is>
          <t>APA FYR All Hands August 2026 Package - Prd Labour (Revenue) INV-10521</t>
        </is>
      </c>
      <c r="I40" s="24" t="inlineStr">
        <is>
          <t>Deferral - invoiced in advance</t>
        </is>
      </c>
      <c r="J40" s="26" t="n">
        <v>-4520</v>
      </c>
      <c r="K40" s="24" t="inlineStr">
        <is>
          <t>11300</t>
        </is>
      </c>
      <c r="L40" s="24" t="n"/>
      <c r="M40" s="24" t="inlineStr">
        <is>
          <t>Y</t>
        </is>
      </c>
      <c r="N40" s="24" t="inlineStr">
        <is>
          <t>Migrated from FY27 Revenue Tracker v2 - confirm type/sign</t>
        </is>
      </c>
    </row>
    <row r="41" ht="15" customHeight="1">
      <c r="A41" s="65" t="n">
        <v>46234</v>
      </c>
      <c r="B41" s="63">
        <f>IF(C41="","",IFERROR(INDEX(tbl_Finance[Date],MATCH(C41&amp;"",tbl_Finance[Xero Invoice No],0)),""))</f>
        <v/>
      </c>
      <c r="C41" s="24" t="n"/>
      <c r="D41" s="24" t="inlineStr">
        <is>
          <t>26061108V</t>
        </is>
      </c>
      <c r="E41" s="25">
        <f>IF(D41="","",IF(COUNTIF(lst_Jobs,D41&amp;"")&gt;0,"OK","CHECK"))</f>
        <v/>
      </c>
      <c r="F41" s="24" t="inlineStr">
        <is>
          <t>APA</t>
        </is>
      </c>
      <c r="G41" s="24" t="inlineStr">
        <is>
          <t>VIDEO</t>
        </is>
      </c>
      <c r="H41" s="24" t="inlineStr">
        <is>
          <t>APA FYR All Hands August 2026 Package - Vid Labour (Revenue) INV-10521</t>
        </is>
      </c>
      <c r="I41" s="24" t="inlineStr">
        <is>
          <t>Deferral - invoiced in advance</t>
        </is>
      </c>
      <c r="J41" s="26" t="n">
        <v>-485</v>
      </c>
      <c r="K41" s="24" t="inlineStr">
        <is>
          <t>11300</t>
        </is>
      </c>
      <c r="L41" s="24" t="n"/>
      <c r="M41" s="24" t="inlineStr">
        <is>
          <t>Y</t>
        </is>
      </c>
      <c r="N41" s="24" t="inlineStr">
        <is>
          <t>Migrated from FY27 Revenue Tracker v2 - confirm type/sign</t>
        </is>
      </c>
    </row>
    <row r="42" ht="15" customHeight="1">
      <c r="A42" s="65" t="n">
        <v>46234</v>
      </c>
      <c r="B42" s="63">
        <f>IF(C42="","",IFERROR(INDEX(tbl_Finance[Date],MATCH(C42&amp;"",tbl_Finance[Xero Invoice No],0)),""))</f>
        <v/>
      </c>
      <c r="C42" s="24" t="n"/>
      <c r="D42" s="24" t="inlineStr">
        <is>
          <t>26061108</t>
        </is>
      </c>
      <c r="E42" s="25">
        <f>IF(D42="","",IF(COUNTIF(lst_Jobs,D42&amp;"")&gt;0,"OK","CHECK"))</f>
        <v/>
      </c>
      <c r="F42" s="24" t="inlineStr">
        <is>
          <t>APA</t>
        </is>
      </c>
      <c r="G42" s="24" t="inlineStr">
        <is>
          <t>PRODUCTION</t>
        </is>
      </c>
      <c r="H42" s="24" t="inlineStr">
        <is>
          <t>APA FYR All Hands August 2026 Package - Transport (Revenue) INV-10521</t>
        </is>
      </c>
      <c r="I42" s="24" t="inlineStr">
        <is>
          <t>Deferral - invoiced in advance</t>
        </is>
      </c>
      <c r="J42" s="26" t="n">
        <v>-300</v>
      </c>
      <c r="K42" s="24" t="inlineStr">
        <is>
          <t>11300</t>
        </is>
      </c>
      <c r="L42" s="24" t="n"/>
      <c r="M42" s="24" t="inlineStr">
        <is>
          <t>Y</t>
        </is>
      </c>
      <c r="N42" s="24" t="inlineStr">
        <is>
          <t>Migrated from FY27 Revenue Tracker v2 - confirm type/sign</t>
        </is>
      </c>
    </row>
    <row r="43" ht="15" customHeight="1">
      <c r="A43" s="65" t="n">
        <v>46234</v>
      </c>
      <c r="B43" s="63">
        <f>IF(C43="","",IFERROR(INDEX(tbl_Finance[Date],MATCH(C43&amp;"",tbl_Finance[Xero Invoice No],0)),""))</f>
        <v/>
      </c>
      <c r="C43" s="24" t="n"/>
      <c r="D43" s="24" t="inlineStr">
        <is>
          <t>26061108</t>
        </is>
      </c>
      <c r="E43" s="25">
        <f>IF(D43="","",IF(COUNTIF(lst_Jobs,D43&amp;"")&gt;0,"OK","CHECK"))</f>
        <v/>
      </c>
      <c r="F43" s="24" t="inlineStr">
        <is>
          <t>APA</t>
        </is>
      </c>
      <c r="G43" s="24" t="inlineStr">
        <is>
          <t>PRODUCTION</t>
        </is>
      </c>
      <c r="H43" s="24" t="inlineStr">
        <is>
          <t>APA FYR All Hands August 2026 Package - Tech  Event Mgmt (Revenue) INV-10521</t>
        </is>
      </c>
      <c r="I43" s="24" t="inlineStr">
        <is>
          <t>Deferral - invoiced in advance</t>
        </is>
      </c>
      <c r="J43" s="26" t="n">
        <v>-690</v>
      </c>
      <c r="K43" s="24" t="inlineStr">
        <is>
          <t>11300</t>
        </is>
      </c>
      <c r="L43" s="24" t="n"/>
      <c r="M43" s="24" t="inlineStr">
        <is>
          <t>Y</t>
        </is>
      </c>
      <c r="N43" s="24" t="inlineStr">
        <is>
          <t>Migrated from FY27 Revenue Tracker v2 - confirm type/sign</t>
        </is>
      </c>
    </row>
    <row r="44" ht="15" customHeight="1">
      <c r="A44" s="65" t="n">
        <v>46234</v>
      </c>
      <c r="B44" s="63">
        <f>IF(C44="","",IFERROR(INDEX(tbl_Finance[Date],MATCH(C44&amp;"",tbl_Finance[Xero Invoice No],0)),""))</f>
        <v/>
      </c>
      <c r="C44" s="24" t="n"/>
      <c r="D44" s="24" t="inlineStr">
        <is>
          <t>26061607</t>
        </is>
      </c>
      <c r="E44" s="25">
        <f>IF(D44="","",IF(COUNTIF(lst_Jobs,D44&amp;"")&gt;0,"OK","CHECK"))</f>
        <v/>
      </c>
      <c r="F44" s="24" t="inlineStr">
        <is>
          <t>APA</t>
        </is>
      </c>
      <c r="G44" s="24" t="inlineStr">
        <is>
          <t>PRODUCTION</t>
        </is>
      </c>
      <c r="H44" s="24" t="inlineStr">
        <is>
          <t>APA Qtrly All Hands Nov 2026 Package - Prd Equipment Hire (Revenue) INV-10521</t>
        </is>
      </c>
      <c r="I44" s="24" t="inlineStr">
        <is>
          <t>Deferral - invoiced in advance</t>
        </is>
      </c>
      <c r="J44" s="26" t="n">
        <v>-5269.6</v>
      </c>
      <c r="K44" s="24" t="inlineStr">
        <is>
          <t>11300</t>
        </is>
      </c>
      <c r="L44" s="24" t="n"/>
      <c r="M44" s="24" t="inlineStr">
        <is>
          <t>Y</t>
        </is>
      </c>
      <c r="N44" s="24" t="inlineStr">
        <is>
          <t>Migrated from FY27 Revenue Tracker v2 - confirm type/sign</t>
        </is>
      </c>
    </row>
    <row r="45" ht="15" customHeight="1">
      <c r="A45" s="65" t="n">
        <v>46234</v>
      </c>
      <c r="B45" s="63">
        <f>IF(C45="","",IFERROR(INDEX(tbl_Finance[Date],MATCH(C45&amp;"",tbl_Finance[Xero Invoice No],0)),""))</f>
        <v/>
      </c>
      <c r="C45" s="24" t="n"/>
      <c r="D45" s="24" t="inlineStr">
        <is>
          <t>26061607V</t>
        </is>
      </c>
      <c r="E45" s="25">
        <f>IF(D45="","",IF(COUNTIF(lst_Jobs,D45&amp;"")&gt;0,"OK","CHECK"))</f>
        <v/>
      </c>
      <c r="F45" s="24" t="inlineStr">
        <is>
          <t>APA</t>
        </is>
      </c>
      <c r="G45" s="24" t="inlineStr">
        <is>
          <t>VIDEO</t>
        </is>
      </c>
      <c r="H45" s="24" t="inlineStr">
        <is>
          <t>APA Qtrly All Hands Nov 2026 Package - Vid Equipment Hire (Revenue) INV-10521</t>
        </is>
      </c>
      <c r="I45" s="24" t="inlineStr">
        <is>
          <t>Deferral - invoiced in advance</t>
        </is>
      </c>
      <c r="J45" s="26" t="n">
        <v>-592</v>
      </c>
      <c r="K45" s="24" t="inlineStr">
        <is>
          <t>11300</t>
        </is>
      </c>
      <c r="L45" s="24" t="n"/>
      <c r="M45" s="24" t="inlineStr">
        <is>
          <t>Y</t>
        </is>
      </c>
      <c r="N45" s="24" t="inlineStr">
        <is>
          <t>Migrated from FY27 Revenue Tracker v2 - confirm type/sign</t>
        </is>
      </c>
    </row>
    <row r="46" ht="15" customHeight="1">
      <c r="A46" s="65" t="n">
        <v>46234</v>
      </c>
      <c r="B46" s="63">
        <f>IF(C46="","",IFERROR(INDEX(tbl_Finance[Date],MATCH(C46&amp;"",tbl_Finance[Xero Invoice No],0)),""))</f>
        <v/>
      </c>
      <c r="C46" s="24" t="n"/>
      <c r="D46" s="24" t="inlineStr">
        <is>
          <t>26061607</t>
        </is>
      </c>
      <c r="E46" s="25">
        <f>IF(D46="","",IF(COUNTIF(lst_Jobs,D46&amp;"")&gt;0,"OK","CHECK"))</f>
        <v/>
      </c>
      <c r="F46" s="24" t="inlineStr">
        <is>
          <t>APA</t>
        </is>
      </c>
      <c r="G46" s="24" t="inlineStr">
        <is>
          <t>PRODUCTION</t>
        </is>
      </c>
      <c r="H46" s="24" t="inlineStr">
        <is>
          <t>APA Qtrly All Hands Nov 2026 Package - Prd Labour (Revenue) INV-10521</t>
        </is>
      </c>
      <c r="I46" s="24" t="inlineStr">
        <is>
          <t>Deferral - invoiced in advance</t>
        </is>
      </c>
      <c r="J46" s="26" t="n">
        <v>-4869</v>
      </c>
      <c r="K46" s="24" t="inlineStr">
        <is>
          <t>11300</t>
        </is>
      </c>
      <c r="L46" s="24" t="n"/>
      <c r="M46" s="24" t="inlineStr">
        <is>
          <t>Y</t>
        </is>
      </c>
      <c r="N46" s="24" t="inlineStr">
        <is>
          <t>Migrated from FY27 Revenue Tracker v2 - confirm type/sign</t>
        </is>
      </c>
    </row>
    <row r="47" ht="15" customHeight="1">
      <c r="A47" s="65" t="n">
        <v>46234</v>
      </c>
      <c r="B47" s="63">
        <f>IF(C47="","",IFERROR(INDEX(tbl_Finance[Date],MATCH(C47&amp;"",tbl_Finance[Xero Invoice No],0)),""))</f>
        <v/>
      </c>
      <c r="C47" s="24" t="n"/>
      <c r="D47" s="24" t="inlineStr">
        <is>
          <t>26061607V</t>
        </is>
      </c>
      <c r="E47" s="25">
        <f>IF(D47="","",IF(COUNTIF(lst_Jobs,D47&amp;"")&gt;0,"OK","CHECK"))</f>
        <v/>
      </c>
      <c r="F47" s="24" t="inlineStr">
        <is>
          <t>APA</t>
        </is>
      </c>
      <c r="G47" s="24" t="inlineStr">
        <is>
          <t>VIDEO</t>
        </is>
      </c>
      <c r="H47" s="24" t="inlineStr">
        <is>
          <t>APA Qtrly All Hands Nov 2026 Package - Vid Labour (Revenue) INV-10521</t>
        </is>
      </c>
      <c r="I47" s="24" t="inlineStr">
        <is>
          <t>Deferral - invoiced in advance</t>
        </is>
      </c>
      <c r="J47" s="26" t="n">
        <v>-485</v>
      </c>
      <c r="K47" s="24" t="inlineStr">
        <is>
          <t>11300</t>
        </is>
      </c>
      <c r="L47" s="24" t="n"/>
      <c r="M47" s="24" t="inlineStr">
        <is>
          <t>Y</t>
        </is>
      </c>
      <c r="N47" s="24" t="inlineStr">
        <is>
          <t>Migrated from FY27 Revenue Tracker v2 - confirm type/sign</t>
        </is>
      </c>
    </row>
    <row r="48" ht="15" customHeight="1">
      <c r="A48" s="65" t="n">
        <v>46234</v>
      </c>
      <c r="B48" s="63">
        <f>IF(C48="","",IFERROR(INDEX(tbl_Finance[Date],MATCH(C48&amp;"",tbl_Finance[Xero Invoice No],0)),""))</f>
        <v/>
      </c>
      <c r="C48" s="24" t="n"/>
      <c r="D48" s="24" t="inlineStr">
        <is>
          <t>26061607</t>
        </is>
      </c>
      <c r="E48" s="25">
        <f>IF(D48="","",IF(COUNTIF(lst_Jobs,D48&amp;"")&gt;0,"OK","CHECK"))</f>
        <v/>
      </c>
      <c r="F48" s="24" t="inlineStr">
        <is>
          <t>APA</t>
        </is>
      </c>
      <c r="G48" s="24" t="inlineStr">
        <is>
          <t>PRODUCTION</t>
        </is>
      </c>
      <c r="H48" s="24" t="inlineStr">
        <is>
          <t>APA Qtrly All Hands Nov 2026 Package - Conf Call (Revenue) INV-10521</t>
        </is>
      </c>
      <c r="I48" s="24" t="inlineStr">
        <is>
          <t>Deferral - invoiced in advance</t>
        </is>
      </c>
      <c r="J48" s="26" t="n">
        <v>-750</v>
      </c>
      <c r="K48" s="24" t="inlineStr">
        <is>
          <t>11300</t>
        </is>
      </c>
      <c r="L48" s="24" t="n"/>
      <c r="M48" s="24" t="inlineStr">
        <is>
          <t>Y</t>
        </is>
      </c>
      <c r="N48" s="24" t="inlineStr">
        <is>
          <t>Migrated from FY27 Revenue Tracker v2 - confirm type/sign</t>
        </is>
      </c>
    </row>
    <row r="49" ht="15" customHeight="1">
      <c r="A49" s="65" t="n">
        <v>46234</v>
      </c>
      <c r="B49" s="63">
        <f>IF(C49="","",IFERROR(INDEX(tbl_Finance[Date],MATCH(C49&amp;"",tbl_Finance[Xero Invoice No],0)),""))</f>
        <v/>
      </c>
      <c r="C49" s="24" t="n"/>
      <c r="D49" s="24" t="inlineStr">
        <is>
          <t>26061607</t>
        </is>
      </c>
      <c r="E49" s="25">
        <f>IF(D49="","",IF(COUNTIF(lst_Jobs,D49&amp;"")&gt;0,"OK","CHECK"))</f>
        <v/>
      </c>
      <c r="F49" s="24" t="inlineStr">
        <is>
          <t>APA</t>
        </is>
      </c>
      <c r="G49" s="24" t="inlineStr">
        <is>
          <t>PRODUCTION</t>
        </is>
      </c>
      <c r="H49" s="24" t="inlineStr">
        <is>
          <t>APA Qtrly All Hands Nov 2026 Package - Transport (Revenue) INV-10521</t>
        </is>
      </c>
      <c r="I49" s="24" t="inlineStr">
        <is>
          <t>Deferral - invoiced in advance</t>
        </is>
      </c>
      <c r="J49" s="26" t="n">
        <v>-300</v>
      </c>
      <c r="K49" s="24" t="inlineStr">
        <is>
          <t>11300</t>
        </is>
      </c>
      <c r="L49" s="24" t="n"/>
      <c r="M49" s="24" t="inlineStr">
        <is>
          <t>Y</t>
        </is>
      </c>
      <c r="N49" s="24" t="inlineStr">
        <is>
          <t>Migrated from FY27 Revenue Tracker v2 - confirm type/sign</t>
        </is>
      </c>
    </row>
    <row r="50" ht="15" customHeight="1">
      <c r="A50" s="65" t="n">
        <v>46234</v>
      </c>
      <c r="B50" s="63">
        <f>IF(C50="","",IFERROR(INDEX(tbl_Finance[Date],MATCH(C50&amp;"",tbl_Finance[Xero Invoice No],0)),""))</f>
        <v/>
      </c>
      <c r="C50" s="24" t="n"/>
      <c r="D50" s="24" t="inlineStr">
        <is>
          <t>26061607</t>
        </is>
      </c>
      <c r="E50" s="25">
        <f>IF(D50="","",IF(COUNTIF(lst_Jobs,D50&amp;"")&gt;0,"OK","CHECK"))</f>
        <v/>
      </c>
      <c r="F50" s="24" t="inlineStr">
        <is>
          <t>APA</t>
        </is>
      </c>
      <c r="G50" s="24" t="inlineStr">
        <is>
          <t>PRODUCTION</t>
        </is>
      </c>
      <c r="H50" s="24" t="inlineStr">
        <is>
          <t>APA Qtrly All Hands Nov 2026 Package - Tech  Event Mgmt (Revenue) INV-10521</t>
        </is>
      </c>
      <c r="I50" s="24" t="inlineStr">
        <is>
          <t>Deferral - invoiced in advance</t>
        </is>
      </c>
      <c r="J50" s="26" t="n">
        <v>-690</v>
      </c>
      <c r="K50" s="24" t="inlineStr">
        <is>
          <t>11300</t>
        </is>
      </c>
      <c r="L50" s="24" t="n"/>
      <c r="M50" s="24" t="inlineStr">
        <is>
          <t>Y</t>
        </is>
      </c>
      <c r="N50" s="24" t="inlineStr">
        <is>
          <t>Migrated from FY27 Revenue Tracker v2 - confirm type/sign</t>
        </is>
      </c>
    </row>
    <row r="51" ht="15" customHeight="1">
      <c r="A51" s="65" t="n">
        <v>46234</v>
      </c>
      <c r="B51" s="63">
        <f>IF(C51="","",IFERROR(INDEX(tbl_Finance[Date],MATCH(C51&amp;"",tbl_Finance[Xero Invoice No],0)),""))</f>
        <v/>
      </c>
      <c r="C51" s="24" t="n"/>
      <c r="D51" s="24" t="inlineStr">
        <is>
          <t>26061607</t>
        </is>
      </c>
      <c r="E51" s="25">
        <f>IF(D51="","",IF(COUNTIF(lst_Jobs,D51&amp;"")&gt;0,"OK","CHECK"))</f>
        <v/>
      </c>
      <c r="F51" s="24" t="inlineStr">
        <is>
          <t>APA</t>
        </is>
      </c>
      <c r="G51" s="24" t="inlineStr">
        <is>
          <t>PRODUCTION</t>
        </is>
      </c>
      <c r="H51" s="24" t="inlineStr">
        <is>
          <t>APA Qtrly All Hands Nov 2026 Package - Travel (Revenue) INV-10521</t>
        </is>
      </c>
      <c r="I51" s="24" t="inlineStr">
        <is>
          <t>Deferral - invoiced in advance</t>
        </is>
      </c>
      <c r="J51" s="26" t="n">
        <v>-1025</v>
      </c>
      <c r="K51" s="24" t="inlineStr">
        <is>
          <t>11300</t>
        </is>
      </c>
      <c r="L51" s="24" t="n"/>
      <c r="M51" s="24" t="inlineStr">
        <is>
          <t>Y</t>
        </is>
      </c>
      <c r="N51" s="24" t="inlineStr">
        <is>
          <t>Migrated from FY27 Revenue Tracker v2 - confirm type/sign</t>
        </is>
      </c>
    </row>
    <row r="52" ht="15" customHeight="1">
      <c r="A52" s="65" t="n">
        <v>46234</v>
      </c>
      <c r="B52" s="63">
        <f>IF(C52="","",IFERROR(INDEX(tbl_Finance[Date],MATCH(C52&amp;"",tbl_Finance[Xero Invoice No],0)),""))</f>
        <v/>
      </c>
      <c r="C52" s="24" t="n"/>
      <c r="D52" s="24" t="inlineStr">
        <is>
          <t>26061608</t>
        </is>
      </c>
      <c r="E52" s="25">
        <f>IF(D52="","",IF(COUNTIF(lst_Jobs,D52&amp;"")&gt;0,"OK","CHECK"))</f>
        <v/>
      </c>
      <c r="F52" s="24" t="inlineStr">
        <is>
          <t>APA</t>
        </is>
      </c>
      <c r="G52" s="24" t="inlineStr">
        <is>
          <t>PRODUCTION</t>
        </is>
      </c>
      <c r="H52" s="24" t="inlineStr">
        <is>
          <t>APA Qtrly All Hands Feb 2027 Package - Prd Equipment Hire (Revenue) INV-10521</t>
        </is>
      </c>
      <c r="I52" s="24" t="inlineStr">
        <is>
          <t>Deferral - invoiced in advance</t>
        </is>
      </c>
      <c r="J52" s="26" t="n">
        <v>-5857.6</v>
      </c>
      <c r="K52" s="24" t="inlineStr">
        <is>
          <t>11300</t>
        </is>
      </c>
      <c r="L52" s="24" t="n"/>
      <c r="M52" s="24" t="inlineStr">
        <is>
          <t>Y</t>
        </is>
      </c>
      <c r="N52" s="24" t="inlineStr">
        <is>
          <t>Migrated from FY27 Revenue Tracker v2 - confirm type/sign</t>
        </is>
      </c>
    </row>
    <row r="53" ht="15" customHeight="1">
      <c r="A53" s="65" t="n">
        <v>46234</v>
      </c>
      <c r="B53" s="63">
        <f>IF(C53="","",IFERROR(INDEX(tbl_Finance[Date],MATCH(C53&amp;"",tbl_Finance[Xero Invoice No],0)),""))</f>
        <v/>
      </c>
      <c r="C53" s="24" t="n"/>
      <c r="D53" s="24" t="inlineStr">
        <is>
          <t>26061608V</t>
        </is>
      </c>
      <c r="E53" s="25">
        <f>IF(D53="","",IF(COUNTIF(lst_Jobs,D53&amp;"")&gt;0,"OK","CHECK"))</f>
        <v/>
      </c>
      <c r="F53" s="24" t="inlineStr">
        <is>
          <t>APA</t>
        </is>
      </c>
      <c r="G53" s="24" t="inlineStr">
        <is>
          <t>VIDEO</t>
        </is>
      </c>
      <c r="H53" s="24" t="inlineStr">
        <is>
          <t>APA Qtrly All Hands Feb 2027 Package - Vid Equipment Hire (Revenue) INV-10521</t>
        </is>
      </c>
      <c r="I53" s="24" t="inlineStr">
        <is>
          <t>Deferral - invoiced in advance</t>
        </is>
      </c>
      <c r="J53" s="26" t="n">
        <v>-592</v>
      </c>
      <c r="K53" s="24" t="inlineStr">
        <is>
          <t>11300</t>
        </is>
      </c>
      <c r="L53" s="24" t="n"/>
      <c r="M53" s="24" t="inlineStr">
        <is>
          <t>Y</t>
        </is>
      </c>
      <c r="N53" s="24" t="inlineStr">
        <is>
          <t>Migrated from FY27 Revenue Tracker v2 - confirm type/sign</t>
        </is>
      </c>
    </row>
    <row r="54" ht="15" customHeight="1">
      <c r="A54" s="65" t="n">
        <v>46234</v>
      </c>
      <c r="B54" s="63">
        <f>IF(C54="","",IFERROR(INDEX(tbl_Finance[Date],MATCH(C54&amp;"",tbl_Finance[Xero Invoice No],0)),""))</f>
        <v/>
      </c>
      <c r="C54" s="24" t="n"/>
      <c r="D54" s="24" t="inlineStr">
        <is>
          <t>26061608</t>
        </is>
      </c>
      <c r="E54" s="25">
        <f>IF(D54="","",IF(COUNTIF(lst_Jobs,D54&amp;"")&gt;0,"OK","CHECK"))</f>
        <v/>
      </c>
      <c r="F54" s="24" t="inlineStr">
        <is>
          <t>APA</t>
        </is>
      </c>
      <c r="G54" s="24" t="inlineStr">
        <is>
          <t>PRODUCTION</t>
        </is>
      </c>
      <c r="H54" s="24" t="inlineStr">
        <is>
          <t>APA Qtrly All Hands Feb 2027 Package - Prd Labour (Revenue) INV-10521</t>
        </is>
      </c>
      <c r="I54" s="24" t="inlineStr">
        <is>
          <t>Deferral - invoiced in advance</t>
        </is>
      </c>
      <c r="J54" s="26" t="n">
        <v>-4076</v>
      </c>
      <c r="K54" s="24" t="inlineStr">
        <is>
          <t>11300</t>
        </is>
      </c>
      <c r="L54" s="24" t="n"/>
      <c r="M54" s="24" t="inlineStr">
        <is>
          <t>Y</t>
        </is>
      </c>
      <c r="N54" s="24" t="inlineStr">
        <is>
          <t>Migrated from FY27 Revenue Tracker v2 - confirm type/sign</t>
        </is>
      </c>
    </row>
    <row r="55" ht="15" customHeight="1">
      <c r="A55" s="65" t="n">
        <v>46234</v>
      </c>
      <c r="B55" s="63">
        <f>IF(C55="","",IFERROR(INDEX(tbl_Finance[Date],MATCH(C55&amp;"",tbl_Finance[Xero Invoice No],0)),""))</f>
        <v/>
      </c>
      <c r="C55" s="24" t="n"/>
      <c r="D55" s="24" t="inlineStr">
        <is>
          <t>26061608V</t>
        </is>
      </c>
      <c r="E55" s="25">
        <f>IF(D55="","",IF(COUNTIF(lst_Jobs,D55&amp;"")&gt;0,"OK","CHECK"))</f>
        <v/>
      </c>
      <c r="F55" s="24" t="inlineStr">
        <is>
          <t>APA</t>
        </is>
      </c>
      <c r="G55" s="24" t="inlineStr">
        <is>
          <t>VIDEO</t>
        </is>
      </c>
      <c r="H55" s="24" t="inlineStr">
        <is>
          <t>APA Qtrly All Hands Feb 2027 Package - Vid Labour (Revenue) INV-10521</t>
        </is>
      </c>
      <c r="I55" s="24" t="inlineStr">
        <is>
          <t>Deferral - invoiced in advance</t>
        </is>
      </c>
      <c r="J55" s="26" t="n">
        <v>-485</v>
      </c>
      <c r="K55" s="24" t="inlineStr">
        <is>
          <t>11300</t>
        </is>
      </c>
      <c r="L55" s="24" t="n"/>
      <c r="M55" s="24" t="inlineStr">
        <is>
          <t>Y</t>
        </is>
      </c>
      <c r="N55" s="24" t="inlineStr">
        <is>
          <t>Migrated from FY27 Revenue Tracker v2 - confirm type/sign</t>
        </is>
      </c>
    </row>
    <row r="56" ht="15" customHeight="1">
      <c r="A56" s="65" t="n">
        <v>46234</v>
      </c>
      <c r="B56" s="63">
        <f>IF(C56="","",IFERROR(INDEX(tbl_Finance[Date],MATCH(C56&amp;"",tbl_Finance[Xero Invoice No],0)),""))</f>
        <v/>
      </c>
      <c r="C56" s="24" t="n"/>
      <c r="D56" s="24" t="inlineStr">
        <is>
          <t>26061608</t>
        </is>
      </c>
      <c r="E56" s="25">
        <f>IF(D56="","",IF(COUNTIF(lst_Jobs,D56&amp;"")&gt;0,"OK","CHECK"))</f>
        <v/>
      </c>
      <c r="F56" s="24" t="inlineStr">
        <is>
          <t>APA</t>
        </is>
      </c>
      <c r="G56" s="24" t="inlineStr">
        <is>
          <t>PRODUCTION</t>
        </is>
      </c>
      <c r="H56" s="24" t="inlineStr">
        <is>
          <t>APA Qtrly All Hands Feb 2027 Package - Conf Call (Revenue) INV-10521</t>
        </is>
      </c>
      <c r="I56" s="24" t="inlineStr">
        <is>
          <t>Deferral - invoiced in advance</t>
        </is>
      </c>
      <c r="J56" s="26" t="n">
        <v>-600</v>
      </c>
      <c r="K56" s="24" t="inlineStr">
        <is>
          <t>11300</t>
        </is>
      </c>
      <c r="L56" s="24" t="n"/>
      <c r="M56" s="24" t="inlineStr">
        <is>
          <t>Y</t>
        </is>
      </c>
      <c r="N56" s="24" t="inlineStr">
        <is>
          <t>Migrated from FY27 Revenue Tracker v2 - confirm type/sign</t>
        </is>
      </c>
    </row>
    <row r="57" ht="15" customHeight="1">
      <c r="A57" s="65" t="n">
        <v>46234</v>
      </c>
      <c r="B57" s="63">
        <f>IF(C57="","",IFERROR(INDEX(tbl_Finance[Date],MATCH(C57&amp;"",tbl_Finance[Xero Invoice No],0)),""))</f>
        <v/>
      </c>
      <c r="C57" s="24" t="n"/>
      <c r="D57" s="24" t="inlineStr">
        <is>
          <t>26061608</t>
        </is>
      </c>
      <c r="E57" s="25">
        <f>IF(D57="","",IF(COUNTIF(lst_Jobs,D57&amp;"")&gt;0,"OK","CHECK"))</f>
        <v/>
      </c>
      <c r="F57" s="24" t="inlineStr">
        <is>
          <t>APA</t>
        </is>
      </c>
      <c r="G57" s="24" t="inlineStr">
        <is>
          <t>PRODUCTION</t>
        </is>
      </c>
      <c r="H57" s="24" t="inlineStr">
        <is>
          <t>APA Qtrly All Hands Feb 2027 Package - Transport (Revenue) INV-10521</t>
        </is>
      </c>
      <c r="I57" s="24" t="inlineStr">
        <is>
          <t>Deferral - invoiced in advance</t>
        </is>
      </c>
      <c r="J57" s="26" t="n">
        <v>-300</v>
      </c>
      <c r="K57" s="24" t="inlineStr">
        <is>
          <t>11300</t>
        </is>
      </c>
      <c r="L57" s="24" t="n"/>
      <c r="M57" s="24" t="inlineStr">
        <is>
          <t>Y</t>
        </is>
      </c>
      <c r="N57" s="24" t="inlineStr">
        <is>
          <t>Migrated from FY27 Revenue Tracker v2 - confirm type/sign</t>
        </is>
      </c>
    </row>
    <row r="58" ht="15" customHeight="1">
      <c r="A58" s="65" t="n">
        <v>46234</v>
      </c>
      <c r="B58" s="63">
        <f>IF(C58="","",IFERROR(INDEX(tbl_Finance[Date],MATCH(C58&amp;"",tbl_Finance[Xero Invoice No],0)),""))</f>
        <v/>
      </c>
      <c r="C58" s="24" t="n"/>
      <c r="D58" s="24" t="inlineStr">
        <is>
          <t>26061608</t>
        </is>
      </c>
      <c r="E58" s="25">
        <f>IF(D58="","",IF(COUNTIF(lst_Jobs,D58&amp;"")&gt;0,"OK","CHECK"))</f>
        <v/>
      </c>
      <c r="F58" s="24" t="inlineStr">
        <is>
          <t>APA</t>
        </is>
      </c>
      <c r="G58" s="24" t="inlineStr">
        <is>
          <t>PRODUCTION</t>
        </is>
      </c>
      <c r="H58" s="24" t="inlineStr">
        <is>
          <t>APA Qtrly All Hands Feb 2027 Package - Tech  Event Mgmt (Revenue) INV-10521</t>
        </is>
      </c>
      <c r="I58" s="24" t="inlineStr">
        <is>
          <t>Deferral - invoiced in advance</t>
        </is>
      </c>
      <c r="J58" s="26" t="n">
        <v>-690</v>
      </c>
      <c r="K58" s="24" t="inlineStr">
        <is>
          <t>11300</t>
        </is>
      </c>
      <c r="L58" s="24" t="n"/>
      <c r="M58" s="24" t="inlineStr">
        <is>
          <t>Y</t>
        </is>
      </c>
      <c r="N58" s="24" t="inlineStr">
        <is>
          <t>Migrated from FY27 Revenue Tracker v2 - confirm type/sign</t>
        </is>
      </c>
    </row>
    <row r="59" ht="15" customHeight="1">
      <c r="A59" s="65" t="n">
        <v>46234</v>
      </c>
      <c r="B59" s="63">
        <f>IF(C59="","",IFERROR(INDEX(tbl_Finance[Date],MATCH(C59&amp;"",tbl_Finance[Xero Invoice No],0)),""))</f>
        <v/>
      </c>
      <c r="C59" s="24" t="n"/>
      <c r="D59" s="24" t="inlineStr">
        <is>
          <t>26061609</t>
        </is>
      </c>
      <c r="E59" s="25">
        <f>IF(D59="","",IF(COUNTIF(lst_Jobs,D59&amp;"")&gt;0,"OK","CHECK"))</f>
        <v/>
      </c>
      <c r="F59" s="24" t="inlineStr">
        <is>
          <t>APA</t>
        </is>
      </c>
      <c r="G59" s="24" t="inlineStr">
        <is>
          <t>PRODUCTION</t>
        </is>
      </c>
      <c r="H59" s="24" t="inlineStr">
        <is>
          <t>APA Qtrly All Hands May 2027 Package - Prd Equipment Hire (Revenue) INV-10521</t>
        </is>
      </c>
      <c r="I59" s="24" t="inlineStr">
        <is>
          <t>Deferral - invoiced in advance</t>
        </is>
      </c>
      <c r="J59" s="26" t="n">
        <v>-5857.6</v>
      </c>
      <c r="K59" s="24" t="inlineStr">
        <is>
          <t>11300</t>
        </is>
      </c>
      <c r="L59" s="24" t="n"/>
      <c r="M59" s="24" t="inlineStr">
        <is>
          <t>Y</t>
        </is>
      </c>
      <c r="N59" s="24" t="inlineStr">
        <is>
          <t>Migrated from FY27 Revenue Tracker v2 - confirm type/sign</t>
        </is>
      </c>
    </row>
    <row r="60" ht="15" customHeight="1">
      <c r="A60" s="65" t="n">
        <v>46234</v>
      </c>
      <c r="B60" s="63">
        <f>IF(C60="","",IFERROR(INDEX(tbl_Finance[Date],MATCH(C60&amp;"",tbl_Finance[Xero Invoice No],0)),""))</f>
        <v/>
      </c>
      <c r="C60" s="24" t="n"/>
      <c r="D60" s="24" t="inlineStr">
        <is>
          <t>26061609V</t>
        </is>
      </c>
      <c r="E60" s="25">
        <f>IF(D60="","",IF(COUNTIF(lst_Jobs,D60&amp;"")&gt;0,"OK","CHECK"))</f>
        <v/>
      </c>
      <c r="F60" s="24" t="inlineStr">
        <is>
          <t>APA</t>
        </is>
      </c>
      <c r="G60" s="24" t="inlineStr">
        <is>
          <t>VIDEO</t>
        </is>
      </c>
      <c r="H60" s="24" t="inlineStr">
        <is>
          <t>APA Qtrly All Hands May 2027 Package - Vid Equipment Hire (Revenue) INV-10521</t>
        </is>
      </c>
      <c r="I60" s="24" t="inlineStr">
        <is>
          <t>Deferral - invoiced in advance</t>
        </is>
      </c>
      <c r="J60" s="26" t="n">
        <v>-592</v>
      </c>
      <c r="K60" s="24" t="inlineStr">
        <is>
          <t>11300</t>
        </is>
      </c>
      <c r="L60" s="24" t="n"/>
      <c r="M60" s="24" t="inlineStr">
        <is>
          <t>Y</t>
        </is>
      </c>
      <c r="N60" s="24" t="inlineStr">
        <is>
          <t>Migrated from FY27 Revenue Tracker v2 - confirm type/sign</t>
        </is>
      </c>
    </row>
    <row r="61" ht="15" customHeight="1">
      <c r="A61" s="65" t="n">
        <v>46234</v>
      </c>
      <c r="B61" s="63">
        <f>IF(C61="","",IFERROR(INDEX(tbl_Finance[Date],MATCH(C61&amp;"",tbl_Finance[Xero Invoice No],0)),""))</f>
        <v/>
      </c>
      <c r="C61" s="24" t="n"/>
      <c r="D61" s="24" t="inlineStr">
        <is>
          <t>26061609</t>
        </is>
      </c>
      <c r="E61" s="25">
        <f>IF(D61="","",IF(COUNTIF(lst_Jobs,D61&amp;"")&gt;0,"OK","CHECK"))</f>
        <v/>
      </c>
      <c r="F61" s="24" t="inlineStr">
        <is>
          <t>APA</t>
        </is>
      </c>
      <c r="G61" s="24" t="inlineStr">
        <is>
          <t>PRODUCTION</t>
        </is>
      </c>
      <c r="H61" s="24" t="inlineStr">
        <is>
          <t>APA Qtrly All Hands May 2027 Package - Prd Labour (Revenue) INV-10521</t>
        </is>
      </c>
      <c r="I61" s="24" t="inlineStr">
        <is>
          <t>Deferral - invoiced in advance</t>
        </is>
      </c>
      <c r="J61" s="26" t="n">
        <v>-4995</v>
      </c>
      <c r="K61" s="24" t="inlineStr">
        <is>
          <t>11300</t>
        </is>
      </c>
      <c r="L61" s="24" t="n"/>
      <c r="M61" s="24" t="inlineStr">
        <is>
          <t>Y</t>
        </is>
      </c>
      <c r="N61" s="24" t="inlineStr">
        <is>
          <t>Migrated from FY27 Revenue Tracker v2 - confirm type/sign</t>
        </is>
      </c>
    </row>
    <row r="62" ht="15" customHeight="1">
      <c r="A62" s="65" t="n">
        <v>46234</v>
      </c>
      <c r="B62" s="63">
        <f>IF(C62="","",IFERROR(INDEX(tbl_Finance[Date],MATCH(C62&amp;"",tbl_Finance[Xero Invoice No],0)),""))</f>
        <v/>
      </c>
      <c r="C62" s="24" t="n"/>
      <c r="D62" s="24" t="inlineStr">
        <is>
          <t>26061609V</t>
        </is>
      </c>
      <c r="E62" s="25">
        <f>IF(D62="","",IF(COUNTIF(lst_Jobs,D62&amp;"")&gt;0,"OK","CHECK"))</f>
        <v/>
      </c>
      <c r="F62" s="24" t="inlineStr">
        <is>
          <t>APA</t>
        </is>
      </c>
      <c r="G62" s="24" t="inlineStr">
        <is>
          <t>VIDEO</t>
        </is>
      </c>
      <c r="H62" s="24" t="inlineStr">
        <is>
          <t>APA Qtrly All Hands May 2027 Package - Vid Labour (Revenue) INV-10521</t>
        </is>
      </c>
      <c r="I62" s="24" t="inlineStr">
        <is>
          <t>Deferral - invoiced in advance</t>
        </is>
      </c>
      <c r="J62" s="26" t="n">
        <v>-485</v>
      </c>
      <c r="K62" s="24" t="inlineStr">
        <is>
          <t>11300</t>
        </is>
      </c>
      <c r="L62" s="24" t="n"/>
      <c r="M62" s="24" t="inlineStr">
        <is>
          <t>Y</t>
        </is>
      </c>
      <c r="N62" s="24" t="inlineStr">
        <is>
          <t>Migrated from FY27 Revenue Tracker v2 - confirm type/sign</t>
        </is>
      </c>
    </row>
    <row r="63" ht="15" customHeight="1">
      <c r="A63" s="65" t="n">
        <v>46234</v>
      </c>
      <c r="B63" s="63">
        <f>IF(C63="","",IFERROR(INDEX(tbl_Finance[Date],MATCH(C63&amp;"",tbl_Finance[Xero Invoice No],0)),""))</f>
        <v/>
      </c>
      <c r="C63" s="24" t="n"/>
      <c r="D63" s="24" t="inlineStr">
        <is>
          <t>26061609</t>
        </is>
      </c>
      <c r="E63" s="25">
        <f>IF(D63="","",IF(COUNTIF(lst_Jobs,D63&amp;"")&gt;0,"OK","CHECK"))</f>
        <v/>
      </c>
      <c r="F63" s="24" t="inlineStr">
        <is>
          <t>APA</t>
        </is>
      </c>
      <c r="G63" s="24" t="inlineStr">
        <is>
          <t>PRODUCTION</t>
        </is>
      </c>
      <c r="H63" s="24" t="inlineStr">
        <is>
          <t>APA Qtrly All Hands May 2027 Package - Conf Call (Revenue) INV-10521</t>
        </is>
      </c>
      <c r="I63" s="24" t="inlineStr">
        <is>
          <t>Deferral - invoiced in advance</t>
        </is>
      </c>
      <c r="J63" s="26" t="n">
        <v>-750</v>
      </c>
      <c r="K63" s="24" t="inlineStr">
        <is>
          <t>11300</t>
        </is>
      </c>
      <c r="L63" s="24" t="n"/>
      <c r="M63" s="24" t="inlineStr">
        <is>
          <t>Y</t>
        </is>
      </c>
      <c r="N63" s="24" t="inlineStr">
        <is>
          <t>Migrated from FY27 Revenue Tracker v2 - confirm type/sign</t>
        </is>
      </c>
    </row>
    <row r="64" ht="15" customHeight="1">
      <c r="A64" s="65" t="n">
        <v>46234</v>
      </c>
      <c r="B64" s="63">
        <f>IF(C64="","",IFERROR(INDEX(tbl_Finance[Date],MATCH(C64&amp;"",tbl_Finance[Xero Invoice No],0)),""))</f>
        <v/>
      </c>
      <c r="C64" s="24" t="n"/>
      <c r="D64" s="24" t="inlineStr">
        <is>
          <t>26061609</t>
        </is>
      </c>
      <c r="E64" s="25">
        <f>IF(D64="","",IF(COUNTIF(lst_Jobs,D64&amp;"")&gt;0,"OK","CHECK"))</f>
        <v/>
      </c>
      <c r="F64" s="24" t="inlineStr">
        <is>
          <t>APA</t>
        </is>
      </c>
      <c r="G64" s="24" t="inlineStr">
        <is>
          <t>PRODUCTION</t>
        </is>
      </c>
      <c r="H64" s="24" t="inlineStr">
        <is>
          <t>APA Qtrly All Hands May 2027 Package - Transport (Revenue) INV-10521</t>
        </is>
      </c>
      <c r="I64" s="24" t="inlineStr">
        <is>
          <t>Deferral - invoiced in advance</t>
        </is>
      </c>
      <c r="J64" s="26" t="n">
        <v>-300</v>
      </c>
      <c r="K64" s="24" t="inlineStr">
        <is>
          <t>11300</t>
        </is>
      </c>
      <c r="L64" s="24" t="n"/>
      <c r="M64" s="24" t="inlineStr">
        <is>
          <t>Y</t>
        </is>
      </c>
      <c r="N64" s="24" t="inlineStr">
        <is>
          <t>Migrated from FY27 Revenue Tracker v2 - confirm type/sign</t>
        </is>
      </c>
    </row>
    <row r="65" ht="15" customHeight="1">
      <c r="A65" s="65" t="n">
        <v>46234</v>
      </c>
      <c r="B65" s="63">
        <f>IF(C65="","",IFERROR(INDEX(tbl_Finance[Date],MATCH(C65&amp;"",tbl_Finance[Xero Invoice No],0)),""))</f>
        <v/>
      </c>
      <c r="C65" s="24" t="n"/>
      <c r="D65" s="24" t="inlineStr">
        <is>
          <t>26061609</t>
        </is>
      </c>
      <c r="E65" s="25">
        <f>IF(D65="","",IF(COUNTIF(lst_Jobs,D65&amp;"")&gt;0,"OK","CHECK"))</f>
        <v/>
      </c>
      <c r="F65" s="24" t="inlineStr">
        <is>
          <t>APA</t>
        </is>
      </c>
      <c r="G65" s="24" t="inlineStr">
        <is>
          <t>PRODUCTION</t>
        </is>
      </c>
      <c r="H65" s="24" t="inlineStr">
        <is>
          <t>APA Qtrly All Hands May 2027 Package - Tech  Event Mgmt (Revenue) INV-10521</t>
        </is>
      </c>
      <c r="I65" s="24" t="inlineStr">
        <is>
          <t>Deferral - invoiced in advance</t>
        </is>
      </c>
      <c r="J65" s="26" t="n">
        <v>-690</v>
      </c>
      <c r="K65" s="24" t="inlineStr">
        <is>
          <t>11300</t>
        </is>
      </c>
      <c r="L65" s="24" t="n"/>
      <c r="M65" s="24" t="inlineStr">
        <is>
          <t>Y</t>
        </is>
      </c>
      <c r="N65" s="24" t="inlineStr">
        <is>
          <t>Migrated from FY27 Revenue Tracker v2 - confirm type/sign</t>
        </is>
      </c>
    </row>
    <row r="66" ht="15" customHeight="1">
      <c r="A66" s="65" t="n">
        <v>46234</v>
      </c>
      <c r="B66" s="63">
        <f>IF(C66="","",IFERROR(INDEX(tbl_Finance[Date],MATCH(C66&amp;"",tbl_Finance[Xero Invoice No],0)),""))</f>
        <v/>
      </c>
      <c r="C66" s="24" t="n"/>
      <c r="D66" s="24" t="inlineStr">
        <is>
          <t>26061609</t>
        </is>
      </c>
      <c r="E66" s="25">
        <f>IF(D66="","",IF(COUNTIF(lst_Jobs,D66&amp;"")&gt;0,"OK","CHECK"))</f>
        <v/>
      </c>
      <c r="F66" s="24" t="inlineStr">
        <is>
          <t>APA</t>
        </is>
      </c>
      <c r="G66" s="24" t="inlineStr">
        <is>
          <t>PRODUCTION</t>
        </is>
      </c>
      <c r="H66" s="24" t="inlineStr">
        <is>
          <t>APA Qtrly All Hands May 2027 Package - Travel (Revenue) INV-10521</t>
        </is>
      </c>
      <c r="I66" s="24" t="inlineStr">
        <is>
          <t>Deferral - invoiced in advance</t>
        </is>
      </c>
      <c r="J66" s="26" t="n">
        <v>-1200</v>
      </c>
      <c r="K66" s="24" t="inlineStr">
        <is>
          <t>11300</t>
        </is>
      </c>
      <c r="L66" s="24" t="n"/>
      <c r="M66" s="24" t="inlineStr">
        <is>
          <t>Y</t>
        </is>
      </c>
      <c r="N66" s="24" t="inlineStr">
        <is>
          <t>Migrated from FY27 Revenue Tracker v2 - confirm type/sign</t>
        </is>
      </c>
    </row>
    <row r="67" ht="15" customHeight="1">
      <c r="A67" s="65" t="n">
        <v>46234</v>
      </c>
      <c r="B67" s="63">
        <f>IF(C67="","",IFERROR(INDEX(tbl_Finance[Date],MATCH(C67&amp;"",tbl_Finance[Xero Invoice No],0)),""))</f>
        <v/>
      </c>
      <c r="C67" s="24" t="n"/>
      <c r="D67" s="24" t="inlineStr">
        <is>
          <t>2603104</t>
        </is>
      </c>
      <c r="E67" s="25">
        <f>IF(D67="","",IF(COUNTIF(lst_Jobs,D67&amp;"")&gt;0,"OK","CHECK"))</f>
        <v/>
      </c>
      <c r="F67" s="24" t="inlineStr">
        <is>
          <t>Cochlear</t>
        </is>
      </c>
      <c r="G67" s="24" t="inlineStr">
        <is>
          <t>PRODUCTION</t>
        </is>
      </c>
      <c r="H67" s="24" t="inlineStr">
        <is>
          <t>Cochlear FY26 Results 18.8.26 [PRD] pre-prod work</t>
        </is>
      </c>
      <c r="I67" s="24" t="inlineStr">
        <is>
          <t>Accrual - unbilled work</t>
        </is>
      </c>
      <c r="J67" s="26" t="n">
        <v>172.5</v>
      </c>
      <c r="K67" s="24" t="inlineStr">
        <is>
          <t>11300</t>
        </is>
      </c>
      <c r="L67" s="24" t="n"/>
      <c r="M67" s="24" t="inlineStr">
        <is>
          <t>Y</t>
        </is>
      </c>
      <c r="N67" s="24" t="inlineStr">
        <is>
          <t>Migrated from FY27 Revenue Tracker v2 - confirm type/sign</t>
        </is>
      </c>
    </row>
    <row r="68" ht="15" customHeight="1">
      <c r="A68" s="65" t="n">
        <v>46234</v>
      </c>
      <c r="B68" s="63">
        <f>IF(C68="","",IFERROR(INDEX(tbl_Finance[Date],MATCH(C68&amp;"",tbl_Finance[Xero Invoice No],0)),""))</f>
        <v/>
      </c>
      <c r="C68" s="24" t="n"/>
      <c r="D68" s="24" t="inlineStr">
        <is>
          <t>2512804</t>
        </is>
      </c>
      <c r="E68" s="25">
        <f>IF(D68="","",IF(COUNTIF(lst_Jobs,D68&amp;"")&gt;0,"OK","CHECK"))</f>
        <v/>
      </c>
      <c r="F68" s="24" t="inlineStr">
        <is>
          <t>RSNSW</t>
        </is>
      </c>
      <c r="G68" s="24" t="inlineStr">
        <is>
          <t>PRODUCTION</t>
        </is>
      </c>
      <c r="H68" s="24" t="inlineStr">
        <is>
          <t>RSNSW Ordinary General Meeting 5.8.26 [PRD] pre-prod work</t>
        </is>
      </c>
      <c r="I68" s="24" t="inlineStr">
        <is>
          <t>Accrual - unbilled work</t>
        </is>
      </c>
      <c r="J68" s="26" t="n">
        <v>115</v>
      </c>
      <c r="K68" s="24" t="inlineStr">
        <is>
          <t>11300</t>
        </is>
      </c>
      <c r="L68" s="24" t="n"/>
      <c r="M68" s="24" t="inlineStr">
        <is>
          <t>Y</t>
        </is>
      </c>
      <c r="N68" s="24" t="inlineStr">
        <is>
          <t>Migrated from FY27 Revenue Tracker v2 - confirm type/sign</t>
        </is>
      </c>
    </row>
    <row r="69" ht="15" customHeight="1">
      <c r="A69" s="65" t="n">
        <v>46234</v>
      </c>
      <c r="B69" s="63">
        <f>IF(C69="","",IFERROR(INDEX(tbl_Finance[Date],MATCH(C69&amp;"",tbl_Finance[Xero Invoice No],0)),""))</f>
        <v/>
      </c>
      <c r="C69" s="24" t="n"/>
      <c r="D69" s="24" t="inlineStr">
        <is>
          <t>26061108</t>
        </is>
      </c>
      <c r="E69" s="25">
        <f>IF(D69="","",IF(COUNTIF(lst_Jobs,D69&amp;"")&gt;0,"OK","CHECK"))</f>
        <v/>
      </c>
      <c r="F69" s="24" t="inlineStr">
        <is>
          <t>APA</t>
        </is>
      </c>
      <c r="G69" s="24" t="inlineStr">
        <is>
          <t>PRODUCTION</t>
        </is>
      </c>
      <c r="H69" s="24" t="inlineStr">
        <is>
          <t>APA - Qtly All Hands FYR26 - 20.8.26 [PRD] pre-prod work</t>
        </is>
      </c>
      <c r="I69" s="24" t="inlineStr">
        <is>
          <t>Accrual - unbilled work</t>
        </is>
      </c>
      <c r="J69" s="26" t="n">
        <v>172.5</v>
      </c>
      <c r="K69" s="24" t="inlineStr">
        <is>
          <t>11300</t>
        </is>
      </c>
      <c r="L69" s="24" t="n"/>
      <c r="M69" s="24" t="inlineStr">
        <is>
          <t>Y</t>
        </is>
      </c>
      <c r="N69" s="24" t="inlineStr">
        <is>
          <t>Migrated from FY27 Revenue Tracker v2 - confirm type/sign</t>
        </is>
      </c>
    </row>
    <row r="70" ht="15" customHeight="1">
      <c r="A70" s="65" t="n">
        <v>46265</v>
      </c>
      <c r="B70" s="63">
        <f>IF(C70="","",IFERROR(INDEX(tbl_Finance[Date],MATCH(C70&amp;"",tbl_Finance[Xero Invoice No],0)),""))</f>
        <v/>
      </c>
      <c r="C70" s="24" t="n"/>
      <c r="D70" s="24" t="inlineStr">
        <is>
          <t>26062503</t>
        </is>
      </c>
      <c r="E70" s="25">
        <f>IF(D70="","",IF(COUNTIF(lst_Jobs,D70&amp;"")&gt;0,"OK","CHECK"))</f>
        <v/>
      </c>
      <c r="F70" s="24" t="inlineStr">
        <is>
          <t>Aware Super</t>
        </is>
      </c>
      <c r="G70" s="24" t="n"/>
      <c r="H70" s="24" t="inlineStr">
        <is>
          <t>Aware Super 24.16 UC Engine Replacement [INT] Labour Revenue INV-10619 | Pre work</t>
        </is>
      </c>
      <c r="I70" s="24" t="inlineStr">
        <is>
          <t>Accrual - unbilled work</t>
        </is>
      </c>
      <c r="J70" s="26" t="n">
        <v>671</v>
      </c>
      <c r="K70" s="24" t="inlineStr">
        <is>
          <t>11300</t>
        </is>
      </c>
      <c r="L70" s="24" t="n"/>
      <c r="M70" s="24" t="inlineStr">
        <is>
          <t>Y</t>
        </is>
      </c>
      <c r="N70" s="24" t="inlineStr">
        <is>
          <t>Migrated from FY27 Revenue Tracker v2 - confirm type/sign</t>
        </is>
      </c>
    </row>
    <row r="71" ht="15" customHeight="1">
      <c r="A71" s="65" t="n">
        <v>46265</v>
      </c>
      <c r="B71" s="63">
        <f>IF(C71="","",IFERROR(INDEX(tbl_Finance[Date],MATCH(C71&amp;"",tbl_Finance[Xero Invoice No],0)),""))</f>
        <v/>
      </c>
      <c r="C71" s="24" t="n"/>
      <c r="D71" s="24" t="inlineStr">
        <is>
          <t>26062901</t>
        </is>
      </c>
      <c r="E71" s="25">
        <f>IF(D71="","",IF(COUNTIF(lst_Jobs,D71&amp;"")&gt;0,"OK","CHECK"))</f>
        <v/>
      </c>
      <c r="F71" s="24" t="inlineStr">
        <is>
          <t>Aware Super</t>
        </is>
      </c>
      <c r="G71" s="24" t="n"/>
      <c r="H71" s="24" t="inlineStr">
        <is>
          <t>Aware | SYD 28.06 Services [INT] Labour Revenue Pre work</t>
        </is>
      </c>
      <c r="I71" s="24" t="inlineStr">
        <is>
          <t>Deferral - invoiced in advance</t>
        </is>
      </c>
      <c r="J71" s="26" t="n">
        <v>-1450</v>
      </c>
      <c r="K71" s="24" t="inlineStr">
        <is>
          <t>11300</t>
        </is>
      </c>
      <c r="L71" s="24" t="n"/>
      <c r="M71" s="24" t="inlineStr">
        <is>
          <t>Y</t>
        </is>
      </c>
      <c r="N71" s="24" t="inlineStr">
        <is>
          <t>Migrated from FY27 Revenue Tracker v2 - confirm type/sign</t>
        </is>
      </c>
    </row>
    <row r="72" ht="15" customHeight="1">
      <c r="A72" s="65" t="n"/>
      <c r="B72" s="63">
        <f>IF(C72="","",IFERROR(INDEX(tbl_Finance[Date],MATCH(C72&amp;"",tbl_Finance[Xero Invoice No],0)),""))</f>
        <v/>
      </c>
      <c r="C72" s="24" t="n"/>
      <c r="D72" s="24" t="inlineStr">
        <is>
          <t>2604704</t>
        </is>
      </c>
      <c r="E72" s="25">
        <f>IF(D72="","",IF(COUNTIF(lst_Jobs,D72&amp;"")&gt;0,"OK","CHECK"))</f>
        <v/>
      </c>
      <c r="F72" s="24" t="inlineStr">
        <is>
          <t>Aware Super</t>
        </is>
      </c>
      <c r="G72" s="24" t="n"/>
      <c r="H72" s="24" t="inlineStr">
        <is>
          <t>Aware Super Seminar Room Audio Upgrade [INT] Labour Revenue INV-10596 | Pre work</t>
        </is>
      </c>
      <c r="I72" s="24" t="inlineStr">
        <is>
          <t>Accrual - unbilled work</t>
        </is>
      </c>
      <c r="J72" s="26" t="n"/>
      <c r="K72" s="24" t="inlineStr">
        <is>
          <t>11300</t>
        </is>
      </c>
      <c r="L72" s="24" t="n"/>
      <c r="M72" s="24" t="inlineStr">
        <is>
          <t>Y</t>
        </is>
      </c>
      <c r="N72" s="24" t="inlineStr">
        <is>
          <t>Migrated from FY27 Revenue Tracker v2 - confirm type/sign</t>
        </is>
      </c>
    </row>
    <row r="73" ht="15" customHeight="1">
      <c r="A73" s="65" t="n">
        <v>46265</v>
      </c>
      <c r="B73" s="63">
        <f>IF(C73="","",IFERROR(INDEX(tbl_Finance[Date],MATCH(C73&amp;"",tbl_Finance[Xero Invoice No],0)),""))</f>
        <v/>
      </c>
      <c r="C73" s="24" t="n"/>
      <c r="D73" s="24" t="inlineStr">
        <is>
          <t>26061602</t>
        </is>
      </c>
      <c r="E73" s="25">
        <f>IF(D73="","",IF(COUNTIF(lst_Jobs,D73&amp;"")&gt;0,"OK","CHECK"))</f>
        <v/>
      </c>
      <c r="F73" s="24" t="inlineStr">
        <is>
          <t>ASX</t>
        </is>
      </c>
      <c r="G73" s="24" t="n"/>
      <c r="H73" s="24" t="inlineStr">
        <is>
          <t>ASX CEO Connect (Extended Results) 1.9.26 [PRD] Pre-prod labour</t>
        </is>
      </c>
      <c r="I73" s="24" t="inlineStr">
        <is>
          <t>Accrual - unbilled work</t>
        </is>
      </c>
      <c r="J73" s="26" t="n">
        <v>1852.5</v>
      </c>
      <c r="K73" s="24" t="inlineStr">
        <is>
          <t>11300</t>
        </is>
      </c>
      <c r="L73" s="24" t="n"/>
      <c r="M73" s="24" t="inlineStr">
        <is>
          <t>Y</t>
        </is>
      </c>
      <c r="N73" s="24" t="inlineStr">
        <is>
          <t>Migrated from FY27 Revenue Tracker v2 - confirm type/sign</t>
        </is>
      </c>
    </row>
    <row r="74" ht="15" customHeight="1">
      <c r="A74" s="65" t="n">
        <v>46265</v>
      </c>
      <c r="B74" s="63">
        <f>IF(C74="","",IFERROR(INDEX(tbl_Finance[Date],MATCH(C74&amp;"",tbl_Finance[Xero Invoice No],0)),""))</f>
        <v/>
      </c>
      <c r="C74" s="24" t="n"/>
      <c r="D74" s="24" t="inlineStr">
        <is>
          <t>26071701</t>
        </is>
      </c>
      <c r="E74" s="25">
        <f>IF(D74="","",IF(COUNTIF(lst_Jobs,D74&amp;"")&gt;0,"OK","CHECK"))</f>
        <v/>
      </c>
      <c r="F74" s="24" t="inlineStr">
        <is>
          <t>ASX</t>
        </is>
      </c>
      <c r="G74" s="24" t="n"/>
      <c r="H74" s="24" t="inlineStr">
        <is>
          <t>ASX Live - 9.9.26 [PRD] Pre-prod labour</t>
        </is>
      </c>
      <c r="I74" s="24" t="inlineStr">
        <is>
          <t>Accrual - unbilled work</t>
        </is>
      </c>
      <c r="J74" s="26" t="n">
        <v>1885</v>
      </c>
      <c r="K74" s="24" t="inlineStr">
        <is>
          <t>11300</t>
        </is>
      </c>
      <c r="L74" s="24" t="n"/>
      <c r="M74" s="24" t="inlineStr">
        <is>
          <t>Y</t>
        </is>
      </c>
      <c r="N74" s="24" t="inlineStr">
        <is>
          <t>Migrated from FY27 Revenue Tracker v2 - confirm type/sign</t>
        </is>
      </c>
    </row>
    <row r="75" ht="15" customHeight="1">
      <c r="A75" s="65" t="n">
        <v>46265</v>
      </c>
      <c r="B75" s="63">
        <f>IF(C75="","",IFERROR(INDEX(tbl_Finance[Date],MATCH(C75&amp;"",tbl_Finance[Xero Invoice No],0)),""))</f>
        <v/>
      </c>
      <c r="C75" s="24" t="n"/>
      <c r="D75" s="24" t="inlineStr">
        <is>
          <t>26072102</t>
        </is>
      </c>
      <c r="E75" s="25">
        <f>IF(D75="","",IF(COUNTIF(lst_Jobs,D75&amp;"")&gt;0,"OK","CHECK"))</f>
        <v/>
      </c>
      <c r="F75" s="24" t="inlineStr">
        <is>
          <t>Ventia</t>
        </is>
      </c>
      <c r="G75" s="24" t="n"/>
      <c r="H75" s="24" t="inlineStr">
        <is>
          <t>Ventia - RUOK? Day - 10.09.2026 [PRD] pre-prd labour</t>
        </is>
      </c>
      <c r="I75" s="24" t="inlineStr">
        <is>
          <t>Accrual - unbilled work</t>
        </is>
      </c>
      <c r="J75" s="26" t="n">
        <v>585</v>
      </c>
      <c r="K75" s="24" t="inlineStr">
        <is>
          <t>11300</t>
        </is>
      </c>
      <c r="L75" s="24" t="n"/>
      <c r="M75" s="24" t="inlineStr">
        <is>
          <t>Y</t>
        </is>
      </c>
      <c r="N75" s="24" t="inlineStr">
        <is>
          <t>Migrated from FY27 Revenue Tracker v2 - confirm type/sign</t>
        </is>
      </c>
    </row>
    <row r="76" ht="15" customHeight="1">
      <c r="A76" s="65" t="n">
        <v>46265</v>
      </c>
      <c r="B76" s="63">
        <f>IF(C76="","",IFERROR(INDEX(tbl_Finance[Date],MATCH(C76&amp;"",tbl_Finance[Xero Invoice No],0)),""))</f>
        <v/>
      </c>
      <c r="C76" s="24" t="n"/>
      <c r="D76" s="24" t="inlineStr">
        <is>
          <t>26082502</t>
        </is>
      </c>
      <c r="E76" s="25">
        <f>IF(D76="","",IF(COUNTIF(lst_Jobs,D76&amp;"")&gt;0,"OK","CHECK"))</f>
        <v/>
      </c>
      <c r="F76" s="24" t="inlineStr">
        <is>
          <t>ICC</t>
        </is>
      </c>
      <c r="G76" s="24" t="n"/>
      <c r="H76" s="24" t="inlineStr">
        <is>
          <t>ICC - Presenter &amp; Speaker Preparation - September 2026 [PRD] pre-prod labour</t>
        </is>
      </c>
      <c r="I76" s="24" t="inlineStr">
        <is>
          <t>Accrual - unbilled work</t>
        </is>
      </c>
      <c r="J76" s="26" t="n">
        <v>292.5</v>
      </c>
      <c r="K76" s="24" t="inlineStr">
        <is>
          <t>11300</t>
        </is>
      </c>
      <c r="L76" s="24" t="n"/>
      <c r="M76" s="24" t="inlineStr">
        <is>
          <t>Y</t>
        </is>
      </c>
      <c r="N76" s="24" t="inlineStr">
        <is>
          <t>Migrated from FY27 Revenue Tracker v2 - confirm type/sign</t>
        </is>
      </c>
    </row>
    <row r="77" ht="15" customHeight="1">
      <c r="A77" s="65" t="n">
        <v>46265</v>
      </c>
      <c r="B77" s="63">
        <f>IF(C77="","",IFERROR(INDEX(tbl_Finance[Date],MATCH(C77&amp;"",tbl_Finance[Xero Invoice No],0)),""))</f>
        <v/>
      </c>
      <c r="C77" s="24" t="n"/>
      <c r="D77" s="24" t="inlineStr">
        <is>
          <t>26032302</t>
        </is>
      </c>
      <c r="E77" s="25">
        <f>IF(D77="","",IF(COUNTIF(lst_Jobs,D77&amp;"")&gt;0,"OK","CHECK"))</f>
        <v/>
      </c>
      <c r="F77" s="24" t="inlineStr">
        <is>
          <t>RSNSW</t>
        </is>
      </c>
      <c r="G77" s="24" t="n"/>
      <c r="H77" s="24" t="inlineStr">
        <is>
          <t>RSNSW - OGM - 2.9.2026 [PRD] pre-prod labour</t>
        </is>
      </c>
      <c r="I77" s="24" t="inlineStr">
        <is>
          <t>Accrual - unbilled work</t>
        </is>
      </c>
      <c r="J77" s="26" t="n">
        <v>260</v>
      </c>
      <c r="K77" s="24" t="inlineStr">
        <is>
          <t>11300</t>
        </is>
      </c>
      <c r="L77" s="24" t="n"/>
      <c r="M77" s="24" t="inlineStr">
        <is>
          <t>Y</t>
        </is>
      </c>
      <c r="N77" s="24" t="inlineStr">
        <is>
          <t>Migrated from FY27 Revenue Tracker v2 - confirm type/sign</t>
        </is>
      </c>
    </row>
    <row r="78" ht="15" customHeight="1">
      <c r="A78" s="65" t="n">
        <v>46265</v>
      </c>
      <c r="B78" s="63">
        <f>IF(C78="","",IFERROR(INDEX(tbl_Finance[Date],MATCH(C78&amp;"",tbl_Finance[Xero Invoice No],0)),""))</f>
        <v/>
      </c>
      <c r="C78" s="24" t="n"/>
      <c r="D78" s="24" t="inlineStr">
        <is>
          <t>26061602V</t>
        </is>
      </c>
      <c r="E78" s="25">
        <f>IF(D78="","",IF(COUNTIF(lst_Jobs,D78&amp;"")&gt;0,"OK","CHECK"))</f>
        <v/>
      </c>
      <c r="F78" s="24" t="inlineStr">
        <is>
          <t>ASX</t>
        </is>
      </c>
      <c r="G78" s="24" t="n"/>
      <c r="H78" s="24" t="inlineStr">
        <is>
          <t>ASX CEO Connect (Extended Results) 1.9.26 [VID] pre-vid labour</t>
        </is>
      </c>
      <c r="I78" s="24" t="inlineStr">
        <is>
          <t>Accrual - unbilled work</t>
        </is>
      </c>
      <c r="J78" s="26" t="n">
        <v>190</v>
      </c>
      <c r="K78" s="24" t="inlineStr">
        <is>
          <t>11300</t>
        </is>
      </c>
      <c r="L78" s="24" t="n"/>
      <c r="M78" s="24" t="inlineStr">
        <is>
          <t>Y</t>
        </is>
      </c>
      <c r="N78" s="24" t="inlineStr">
        <is>
          <t>Migrated from FY27 Revenue Tracker v2 - confirm type/sign</t>
        </is>
      </c>
    </row>
    <row r="79" ht="15" customHeight="1">
      <c r="A79" s="65" t="n">
        <v>46265</v>
      </c>
      <c r="B79" s="63">
        <f>IF(C79="","",IFERROR(INDEX(tbl_Finance[Date],MATCH(C79&amp;"",tbl_Finance[Xero Invoice No],0)),""))</f>
        <v/>
      </c>
      <c r="C79" s="24" t="n"/>
      <c r="D79" s="24" t="inlineStr">
        <is>
          <t>2591012C</t>
        </is>
      </c>
      <c r="E79" s="25">
        <f>IF(D79="","",IF(COUNTIF(lst_Jobs,D79&amp;"")&gt;0,"OK","CHECK"))</f>
        <v/>
      </c>
      <c r="F79" s="24" t="inlineStr">
        <is>
          <t>St Luke</t>
        </is>
      </c>
      <c r="G79" s="24" t="n"/>
      <c r="H79" s="24" t="inlineStr">
        <is>
          <t>St Luke Equipment Sale | DL to advise to invoice in SEPT26 | Indicative Revenue</t>
        </is>
      </c>
      <c r="I79" s="24" t="inlineStr">
        <is>
          <t>Deferral - invoiced in advance</t>
        </is>
      </c>
      <c r="J79" s="26" t="n">
        <v>-4227.27</v>
      </c>
      <c r="K79" s="24" t="inlineStr">
        <is>
          <t>11300</t>
        </is>
      </c>
      <c r="L79" s="24" t="n"/>
      <c r="M79" s="24" t="inlineStr">
        <is>
          <t>Y</t>
        </is>
      </c>
      <c r="N79" s="24" t="inlineStr">
        <is>
          <t>Migrated from FY27 Revenue Tracker v2 - confirm type/sign</t>
        </is>
      </c>
    </row>
    <row r="80" ht="15" customHeight="1">
      <c r="A80" s="65" t="n">
        <v>46265</v>
      </c>
      <c r="B80" s="63">
        <f>IF(C80="","",IFERROR(INDEX(tbl_Finance[Date],MATCH(C80&amp;"",tbl_Finance[Xero Invoice No],0)),""))</f>
        <v/>
      </c>
      <c r="C80" s="24" t="n"/>
      <c r="D80" s="24" t="inlineStr">
        <is>
          <t>26061108</t>
        </is>
      </c>
      <c r="E80" s="25">
        <f>IF(D80="","",IF(COUNTIF(lst_Jobs,D80&amp;"")&gt;0,"OK","CHECK"))</f>
        <v/>
      </c>
      <c r="F80" s="24" t="inlineStr">
        <is>
          <t>APA</t>
        </is>
      </c>
      <c r="G80" s="24" t="inlineStr">
        <is>
          <t>PRODUCTION</t>
        </is>
      </c>
      <c r="H80" s="24" t="inlineStr">
        <is>
          <t>APA FYR All Hands August 2026 Package - Prd Equipment Hire (Revenue) INV-10521</t>
        </is>
      </c>
      <c r="I80" s="24" t="inlineStr">
        <is>
          <t>Accrual - unbilled work</t>
        </is>
      </c>
      <c r="J80" s="26" t="n">
        <v>5413.6</v>
      </c>
      <c r="K80" s="24" t="inlineStr">
        <is>
          <t>11300</t>
        </is>
      </c>
      <c r="L80" s="24" t="n"/>
      <c r="M80" s="24" t="inlineStr">
        <is>
          <t>Y</t>
        </is>
      </c>
      <c r="N80" s="24" t="inlineStr">
        <is>
          <t>Migrated from FY27 Revenue Tracker v2 - confirm type/sign</t>
        </is>
      </c>
    </row>
    <row r="81" ht="15" customHeight="1">
      <c r="A81" s="65" t="n">
        <v>46265</v>
      </c>
      <c r="B81" s="63">
        <f>IF(C81="","",IFERROR(INDEX(tbl_Finance[Date],MATCH(C81&amp;"",tbl_Finance[Xero Invoice No],0)),""))</f>
        <v/>
      </c>
      <c r="C81" s="24" t="n"/>
      <c r="D81" s="24" t="inlineStr">
        <is>
          <t>26061108V</t>
        </is>
      </c>
      <c r="E81" s="25">
        <f>IF(D81="","",IF(COUNTIF(lst_Jobs,D81&amp;"")&gt;0,"OK","CHECK"))</f>
        <v/>
      </c>
      <c r="F81" s="24" t="inlineStr">
        <is>
          <t>APA</t>
        </is>
      </c>
      <c r="G81" s="24" t="inlineStr">
        <is>
          <t>VIDEO</t>
        </is>
      </c>
      <c r="H81" s="24" t="inlineStr">
        <is>
          <t>APA FYR All Hands August 2026 Package - Vid Equipment Hire (Revenue) INV-10521</t>
        </is>
      </c>
      <c r="I81" s="24" t="inlineStr">
        <is>
          <t>Accrual - unbilled work</t>
        </is>
      </c>
      <c r="J81" s="26" t="n">
        <v>592</v>
      </c>
      <c r="K81" s="24" t="inlineStr">
        <is>
          <t>11300</t>
        </is>
      </c>
      <c r="L81" s="24" t="n"/>
      <c r="M81" s="24" t="inlineStr">
        <is>
          <t>Y</t>
        </is>
      </c>
      <c r="N81" s="24" t="inlineStr">
        <is>
          <t>Migrated from FY27 Revenue Tracker v2 - confirm type/sign</t>
        </is>
      </c>
    </row>
    <row r="82" ht="15" customHeight="1">
      <c r="A82" s="65" t="n">
        <v>46265</v>
      </c>
      <c r="B82" s="63">
        <f>IF(C82="","",IFERROR(INDEX(tbl_Finance[Date],MATCH(C82&amp;"",tbl_Finance[Xero Invoice No],0)),""))</f>
        <v/>
      </c>
      <c r="C82" s="24" t="n"/>
      <c r="D82" s="24" t="inlineStr">
        <is>
          <t>26061108</t>
        </is>
      </c>
      <c r="E82" s="25">
        <f>IF(D82="","",IF(COUNTIF(lst_Jobs,D82&amp;"")&gt;0,"OK","CHECK"))</f>
        <v/>
      </c>
      <c r="F82" s="24" t="inlineStr">
        <is>
          <t>APA</t>
        </is>
      </c>
      <c r="G82" s="24" t="inlineStr">
        <is>
          <t>PRODUCTION</t>
        </is>
      </c>
      <c r="H82" s="24" t="inlineStr">
        <is>
          <t>APA FYR All Hands August 2026 Package - Prd Labour (Revenue) INV-10521</t>
        </is>
      </c>
      <c r="I82" s="24" t="inlineStr">
        <is>
          <t>Accrual - unbilled work</t>
        </is>
      </c>
      <c r="J82" s="26" t="n">
        <v>4520</v>
      </c>
      <c r="K82" s="24" t="inlineStr">
        <is>
          <t>11300</t>
        </is>
      </c>
      <c r="L82" s="24" t="n"/>
      <c r="M82" s="24" t="inlineStr">
        <is>
          <t>Y</t>
        </is>
      </c>
      <c r="N82" s="24" t="inlineStr">
        <is>
          <t>Migrated from FY27 Revenue Tracker v2 - confirm type/sign</t>
        </is>
      </c>
    </row>
    <row r="83" ht="15" customHeight="1">
      <c r="A83" s="65" t="n">
        <v>46265</v>
      </c>
      <c r="B83" s="63">
        <f>IF(C83="","",IFERROR(INDEX(tbl_Finance[Date],MATCH(C83&amp;"",tbl_Finance[Xero Invoice No],0)),""))</f>
        <v/>
      </c>
      <c r="C83" s="24" t="n"/>
      <c r="D83" s="24" t="inlineStr">
        <is>
          <t>26061108V</t>
        </is>
      </c>
      <c r="E83" s="25">
        <f>IF(D83="","",IF(COUNTIF(lst_Jobs,D83&amp;"")&gt;0,"OK","CHECK"))</f>
        <v/>
      </c>
      <c r="F83" s="24" t="inlineStr">
        <is>
          <t>APA</t>
        </is>
      </c>
      <c r="G83" s="24" t="inlineStr">
        <is>
          <t>VIDEO</t>
        </is>
      </c>
      <c r="H83" s="24" t="inlineStr">
        <is>
          <t>APA FYR All Hands August 2026 Package - Vid Labour (Revenue) INV-10521</t>
        </is>
      </c>
      <c r="I83" s="24" t="inlineStr">
        <is>
          <t>Accrual - unbilled work</t>
        </is>
      </c>
      <c r="J83" s="26" t="n">
        <v>485</v>
      </c>
      <c r="K83" s="24" t="inlineStr">
        <is>
          <t>11300</t>
        </is>
      </c>
      <c r="L83" s="24" t="n"/>
      <c r="M83" s="24" t="inlineStr">
        <is>
          <t>Y</t>
        </is>
      </c>
      <c r="N83" s="24" t="inlineStr">
        <is>
          <t>Migrated from FY27 Revenue Tracker v2 - confirm type/sign</t>
        </is>
      </c>
    </row>
    <row r="84" ht="15" customHeight="1">
      <c r="A84" s="65" t="n">
        <v>46265</v>
      </c>
      <c r="B84" s="63">
        <f>IF(C84="","",IFERROR(INDEX(tbl_Finance[Date],MATCH(C84&amp;"",tbl_Finance[Xero Invoice No],0)),""))</f>
        <v/>
      </c>
      <c r="C84" s="24" t="n"/>
      <c r="D84" s="24" t="inlineStr">
        <is>
          <t>26061108</t>
        </is>
      </c>
      <c r="E84" s="25">
        <f>IF(D84="","",IF(COUNTIF(lst_Jobs,D84&amp;"")&gt;0,"OK","CHECK"))</f>
        <v/>
      </c>
      <c r="F84" s="24" t="inlineStr">
        <is>
          <t>APA</t>
        </is>
      </c>
      <c r="G84" s="24" t="inlineStr">
        <is>
          <t>PRODUCTION</t>
        </is>
      </c>
      <c r="H84" s="24" t="inlineStr">
        <is>
          <t>APA FYR All Hands August 2026 Package - Conf Call (Revenue) INV-10521</t>
        </is>
      </c>
      <c r="I84" s="24" t="inlineStr">
        <is>
          <t>Accrual - unbilled work</t>
        </is>
      </c>
      <c r="J84" s="26" t="n">
        <v>600</v>
      </c>
      <c r="K84" s="24" t="inlineStr">
        <is>
          <t>11300</t>
        </is>
      </c>
      <c r="L84" s="24" t="n"/>
      <c r="M84" s="24" t="inlineStr">
        <is>
          <t>Y</t>
        </is>
      </c>
      <c r="N84" s="24" t="inlineStr">
        <is>
          <t>Migrated from FY27 Revenue Tracker v2 - confirm type/sign</t>
        </is>
      </c>
    </row>
    <row r="85" ht="15" customHeight="1">
      <c r="A85" s="65" t="n">
        <v>46265</v>
      </c>
      <c r="B85" s="63">
        <f>IF(C85="","",IFERROR(INDEX(tbl_Finance[Date],MATCH(C85&amp;"",tbl_Finance[Xero Invoice No],0)),""))</f>
        <v/>
      </c>
      <c r="C85" s="24" t="n"/>
      <c r="D85" s="24" t="inlineStr">
        <is>
          <t>26061108</t>
        </is>
      </c>
      <c r="E85" s="25">
        <f>IF(D85="","",IF(COUNTIF(lst_Jobs,D85&amp;"")&gt;0,"OK","CHECK"))</f>
        <v/>
      </c>
      <c r="F85" s="24" t="inlineStr">
        <is>
          <t>APA</t>
        </is>
      </c>
      <c r="G85" s="24" t="inlineStr">
        <is>
          <t>PRODUCTION</t>
        </is>
      </c>
      <c r="H85" s="24" t="inlineStr">
        <is>
          <t>APA FYR All Hands August 2026 Package - Transport (Revenue) INV-10521</t>
        </is>
      </c>
      <c r="I85" s="24" t="inlineStr">
        <is>
          <t>Accrual - unbilled work</t>
        </is>
      </c>
      <c r="J85" s="26" t="n">
        <v>300</v>
      </c>
      <c r="K85" s="24" t="inlineStr">
        <is>
          <t>11300</t>
        </is>
      </c>
      <c r="L85" s="24" t="n"/>
      <c r="M85" s="24" t="inlineStr">
        <is>
          <t>Y</t>
        </is>
      </c>
      <c r="N85" s="24" t="inlineStr">
        <is>
          <t>Migrated from FY27 Revenue Tracker v2 - confirm type/sign</t>
        </is>
      </c>
    </row>
    <row r="86" ht="15" customHeight="1">
      <c r="A86" s="65" t="n">
        <v>46265</v>
      </c>
      <c r="B86" s="63">
        <f>IF(C86="","",IFERROR(INDEX(tbl_Finance[Date],MATCH(C86&amp;"",tbl_Finance[Xero Invoice No],0)),""))</f>
        <v/>
      </c>
      <c r="C86" s="24" t="n"/>
      <c r="D86" s="24" t="inlineStr">
        <is>
          <t>26061108</t>
        </is>
      </c>
      <c r="E86" s="25">
        <f>IF(D86="","",IF(COUNTIF(lst_Jobs,D86&amp;"")&gt;0,"OK","CHECK"))</f>
        <v/>
      </c>
      <c r="F86" s="24" t="inlineStr">
        <is>
          <t>APA</t>
        </is>
      </c>
      <c r="G86" s="24" t="inlineStr">
        <is>
          <t>PRODUCTION</t>
        </is>
      </c>
      <c r="H86" s="24" t="inlineStr">
        <is>
          <t>APA FYR All Hands August 2026 Package - Tech  Event Mgmt (Revenue) INV-10521</t>
        </is>
      </c>
      <c r="I86" s="24" t="inlineStr">
        <is>
          <t>Accrual - unbilled work</t>
        </is>
      </c>
      <c r="J86" s="26" t="n">
        <v>690</v>
      </c>
      <c r="K86" s="24" t="inlineStr">
        <is>
          <t>11300</t>
        </is>
      </c>
      <c r="L86" s="24" t="n"/>
      <c r="M86" s="24" t="inlineStr">
        <is>
          <t>Y</t>
        </is>
      </c>
      <c r="N86" s="24" t="inlineStr">
        <is>
          <t>Migrated from FY27 Revenue Tracker v2 - confirm type/sign</t>
        </is>
      </c>
    </row>
    <row r="87" ht="15" customHeight="1">
      <c r="A87" s="65" t="n">
        <v>46265</v>
      </c>
      <c r="B87" s="63">
        <f>IF(C87="","",IFERROR(INDEX(tbl_Finance[Date],MATCH(C87&amp;"",tbl_Finance[Xero Invoice No],0)),""))</f>
        <v/>
      </c>
      <c r="C87" s="24" t="n"/>
      <c r="D87" s="24" t="inlineStr">
        <is>
          <t>2605402</t>
        </is>
      </c>
      <c r="E87" s="25">
        <f>IF(D87="","",IF(COUNTIF(lst_Jobs,D87&amp;"")&gt;0,"OK","CHECK"))</f>
        <v/>
      </c>
      <c r="F87" s="24" t="inlineStr">
        <is>
          <t>AGL</t>
        </is>
      </c>
      <c r="G87" s="24" t="inlineStr">
        <is>
          <t>PRODUCTION</t>
        </is>
      </c>
      <c r="H87" s="24" t="inlineStr">
        <is>
          <t>AGL FYR - Employee Town Hall [PRD] pre-prod work</t>
        </is>
      </c>
      <c r="I87" s="24" t="inlineStr">
        <is>
          <t>Deferral - invoiced in advance</t>
        </is>
      </c>
      <c r="J87" s="26" t="n">
        <v>-1322.5</v>
      </c>
      <c r="K87" s="24" t="inlineStr">
        <is>
          <t>11300</t>
        </is>
      </c>
      <c r="L87" s="24" t="n"/>
      <c r="M87" s="24" t="inlineStr">
        <is>
          <t>Y</t>
        </is>
      </c>
      <c r="N87" s="24" t="inlineStr">
        <is>
          <t>Migrated from FY27 Revenue Tracker v2 - confirm type/sign</t>
        </is>
      </c>
    </row>
    <row r="88" ht="15" customHeight="1">
      <c r="A88" s="65" t="n">
        <v>46265</v>
      </c>
      <c r="B88" s="63">
        <f>IF(C88="","",IFERROR(INDEX(tbl_Finance[Date],MATCH(C88&amp;"",tbl_Finance[Xero Invoice No],0)),""))</f>
        <v/>
      </c>
      <c r="C88" s="24" t="n"/>
      <c r="D88" s="24" t="inlineStr">
        <is>
          <t>26061105</t>
        </is>
      </c>
      <c r="E88" s="25">
        <f>IF(D88="","",IF(COUNTIF(lst_Jobs,D88&amp;"")&gt;0,"OK","CHECK"))</f>
        <v/>
      </c>
      <c r="F88" s="24" t="inlineStr">
        <is>
          <t>CBA</t>
        </is>
      </c>
      <c r="G88" s="24" t="inlineStr">
        <is>
          <t>PRODUCTION</t>
        </is>
      </c>
      <c r="H88" s="24" t="inlineStr">
        <is>
          <t>CBA - FYR 2026 - 12.8.26 [PRD] pre-prod work</t>
        </is>
      </c>
      <c r="I88" s="24" t="inlineStr">
        <is>
          <t>Deferral - invoiced in advance</t>
        </is>
      </c>
      <c r="J88" s="26" t="n">
        <v>-417.5</v>
      </c>
      <c r="K88" s="24" t="inlineStr">
        <is>
          <t>11300</t>
        </is>
      </c>
      <c r="L88" s="24" t="n"/>
      <c r="M88" s="24" t="inlineStr">
        <is>
          <t>Y</t>
        </is>
      </c>
      <c r="N88" s="24" t="inlineStr">
        <is>
          <t>Migrated from FY27 Revenue Tracker v2 - confirm type/sign</t>
        </is>
      </c>
    </row>
    <row r="89" ht="15" customHeight="1">
      <c r="A89" s="65" t="n">
        <v>46265</v>
      </c>
      <c r="B89" s="63">
        <f>IF(C89="","",IFERROR(INDEX(tbl_Finance[Date],MATCH(C89&amp;"",tbl_Finance[Xero Invoice No],0)),""))</f>
        <v/>
      </c>
      <c r="C89" s="24" t="n"/>
      <c r="D89" s="24" t="inlineStr">
        <is>
          <t>2606903</t>
        </is>
      </c>
      <c r="E89" s="25">
        <f>IF(D89="","",IF(COUNTIF(lst_Jobs,D89&amp;"")&gt;0,"OK","CHECK"))</f>
        <v/>
      </c>
      <c r="F89" s="24" t="inlineStr">
        <is>
          <t>Virgin</t>
        </is>
      </c>
      <c r="G89" s="24" t="inlineStr">
        <is>
          <t>PRODUCTION</t>
        </is>
      </c>
      <c r="H89" s="24" t="inlineStr">
        <is>
          <t>Virgin FY26 Results [PRD] pre-prod work</t>
        </is>
      </c>
      <c r="I89" s="24" t="inlineStr">
        <is>
          <t>Deferral - invoiced in advance</t>
        </is>
      </c>
      <c r="J89" s="26" t="n">
        <v>-57.5</v>
      </c>
      <c r="K89" s="24" t="inlineStr">
        <is>
          <t>11300</t>
        </is>
      </c>
      <c r="L89" s="24" t="n"/>
      <c r="M89" s="24" t="inlineStr">
        <is>
          <t>Y</t>
        </is>
      </c>
      <c r="N89" s="24" t="inlineStr">
        <is>
          <t>Migrated from FY27 Revenue Tracker v2 - confirm type/sign</t>
        </is>
      </c>
    </row>
    <row r="90" ht="15" customHeight="1">
      <c r="A90" s="65" t="n">
        <v>46265</v>
      </c>
      <c r="B90" s="63">
        <f>IF(C90="","",IFERROR(INDEX(tbl_Finance[Date],MATCH(C90&amp;"",tbl_Finance[Xero Invoice No],0)),""))</f>
        <v/>
      </c>
      <c r="C90" s="24" t="n"/>
      <c r="D90" s="24" t="inlineStr">
        <is>
          <t>26061109</t>
        </is>
      </c>
      <c r="E90" s="25">
        <f>IF(D90="","",IF(COUNTIF(lst_Jobs,D90&amp;"")&gt;0,"OK","CHECK"))</f>
        <v/>
      </c>
      <c r="F90" s="24" t="inlineStr">
        <is>
          <t>Ventia</t>
        </is>
      </c>
      <c r="G90" s="24" t="inlineStr">
        <is>
          <t>PRODUCTION</t>
        </is>
      </c>
      <c r="H90" s="24" t="inlineStr">
        <is>
          <t>Ventia - FYR26 - 24.8.26 [PRD] pre-prod work</t>
        </is>
      </c>
      <c r="I90" s="24" t="inlineStr">
        <is>
          <t>Deferral - invoiced in advance</t>
        </is>
      </c>
      <c r="J90" s="26" t="n">
        <v>-862.5</v>
      </c>
      <c r="K90" s="24" t="inlineStr">
        <is>
          <t>11300</t>
        </is>
      </c>
      <c r="L90" s="24" t="n"/>
      <c r="M90" s="24" t="inlineStr">
        <is>
          <t>Y</t>
        </is>
      </c>
      <c r="N90" s="24" t="inlineStr">
        <is>
          <t>Migrated from FY27 Revenue Tracker v2 - confirm type/sign</t>
        </is>
      </c>
    </row>
    <row r="91" ht="15" customHeight="1">
      <c r="A91" s="65" t="n">
        <v>46265</v>
      </c>
      <c r="B91" s="63">
        <f>IF(C91="","",IFERROR(INDEX(tbl_Finance[Date],MATCH(C91&amp;"",tbl_Finance[Xero Invoice No],0)),""))</f>
        <v/>
      </c>
      <c r="C91" s="24" t="n"/>
      <c r="D91" s="24" t="inlineStr">
        <is>
          <t>26061107</t>
        </is>
      </c>
      <c r="E91" s="25">
        <f>IF(D91="","",IF(COUNTIF(lst_Jobs,D91&amp;"")&gt;0,"OK","CHECK"))</f>
        <v/>
      </c>
      <c r="F91" s="24" t="inlineStr">
        <is>
          <t>Downer</t>
        </is>
      </c>
      <c r="G91" s="24" t="inlineStr">
        <is>
          <t>PRODUCTION</t>
        </is>
      </c>
      <c r="H91" s="24" t="inlineStr">
        <is>
          <t>Downer - FYR 2026 - 19.8.26 [PRD] pre-prod work</t>
        </is>
      </c>
      <c r="I91" s="24" t="inlineStr">
        <is>
          <t>Deferral - invoiced in advance</t>
        </is>
      </c>
      <c r="J91" s="26" t="n">
        <v>-115</v>
      </c>
      <c r="K91" s="24" t="inlineStr">
        <is>
          <t>11300</t>
        </is>
      </c>
      <c r="L91" s="24" t="n"/>
      <c r="M91" s="24" t="inlineStr">
        <is>
          <t>Y</t>
        </is>
      </c>
      <c r="N91" s="24" t="inlineStr">
        <is>
          <t>Migrated from FY27 Revenue Tracker v2 - confirm type/sign</t>
        </is>
      </c>
    </row>
    <row r="92" ht="15" customHeight="1">
      <c r="A92" s="65" t="n">
        <v>46265</v>
      </c>
      <c r="B92" s="63">
        <f>IF(C92="","",IFERROR(INDEX(tbl_Finance[Date],MATCH(C92&amp;"",tbl_Finance[Xero Invoice No],0)),""))</f>
        <v/>
      </c>
      <c r="C92" s="24" t="n"/>
      <c r="D92" s="24" t="inlineStr">
        <is>
          <t>2603104</t>
        </is>
      </c>
      <c r="E92" s="25">
        <f>IF(D92="","",IF(COUNTIF(lst_Jobs,D92&amp;"")&gt;0,"OK","CHECK"))</f>
        <v/>
      </c>
      <c r="F92" s="24" t="inlineStr">
        <is>
          <t>Cochlear</t>
        </is>
      </c>
      <c r="G92" s="24" t="inlineStr">
        <is>
          <t>PRODUCTION</t>
        </is>
      </c>
      <c r="H92" s="24" t="inlineStr">
        <is>
          <t>Cochlear FY26 Results 18.8.26 [PRD] pre-prod work</t>
        </is>
      </c>
      <c r="I92" s="24" t="inlineStr">
        <is>
          <t>Deferral - invoiced in advance</t>
        </is>
      </c>
      <c r="J92" s="26" t="n">
        <v>-172.5</v>
      </c>
      <c r="K92" s="24" t="inlineStr">
        <is>
          <t>11300</t>
        </is>
      </c>
      <c r="L92" s="24" t="n"/>
      <c r="M92" s="24" t="inlineStr">
        <is>
          <t>Y</t>
        </is>
      </c>
      <c r="N92" s="24" t="inlineStr">
        <is>
          <t>Migrated from FY27 Revenue Tracker v2 - confirm type/sign</t>
        </is>
      </c>
    </row>
    <row r="93" ht="15" customHeight="1">
      <c r="A93" s="65" t="n">
        <v>46265</v>
      </c>
      <c r="B93" s="63">
        <f>IF(C93="","",IFERROR(INDEX(tbl_Finance[Date],MATCH(C93&amp;"",tbl_Finance[Xero Invoice No],0)),""))</f>
        <v/>
      </c>
      <c r="C93" s="24" t="n"/>
      <c r="D93" s="24" t="inlineStr">
        <is>
          <t>2512804</t>
        </is>
      </c>
      <c r="E93" s="25">
        <f>IF(D93="","",IF(COUNTIF(lst_Jobs,D93&amp;"")&gt;0,"OK","CHECK"))</f>
        <v/>
      </c>
      <c r="F93" s="24" t="inlineStr">
        <is>
          <t>RSNSW</t>
        </is>
      </c>
      <c r="G93" s="24" t="inlineStr">
        <is>
          <t>PRODUCTION</t>
        </is>
      </c>
      <c r="H93" s="24" t="inlineStr">
        <is>
          <t>RSNSW Ordinary General Meeting 5.8.26 [PRD] pre-prod work</t>
        </is>
      </c>
      <c r="I93" s="24" t="inlineStr">
        <is>
          <t>Deferral - invoiced in advance</t>
        </is>
      </c>
      <c r="J93" s="26" t="n">
        <v>-115</v>
      </c>
      <c r="K93" s="24" t="inlineStr">
        <is>
          <t>11300</t>
        </is>
      </c>
      <c r="L93" s="24" t="n"/>
      <c r="M93" s="24" t="inlineStr">
        <is>
          <t>Y</t>
        </is>
      </c>
      <c r="N93" s="24" t="inlineStr">
        <is>
          <t>Migrated from FY27 Revenue Tracker v2 - confirm type/sign</t>
        </is>
      </c>
    </row>
    <row r="94" ht="15" customHeight="1">
      <c r="A94" s="65" t="n">
        <v>46265</v>
      </c>
      <c r="B94" s="63">
        <f>IF(C94="","",IFERROR(INDEX(tbl_Finance[Date],MATCH(C94&amp;"",tbl_Finance[Xero Invoice No],0)),""))</f>
        <v/>
      </c>
      <c r="C94" s="24" t="n"/>
      <c r="D94" s="24" t="inlineStr">
        <is>
          <t>26061108</t>
        </is>
      </c>
      <c r="E94" s="25">
        <f>IF(D94="","",IF(COUNTIF(lst_Jobs,D94&amp;"")&gt;0,"OK","CHECK"))</f>
        <v/>
      </c>
      <c r="F94" s="24" t="inlineStr">
        <is>
          <t>APA</t>
        </is>
      </c>
      <c r="G94" s="24" t="inlineStr">
        <is>
          <t>PRODUCTION</t>
        </is>
      </c>
      <c r="H94" s="24" t="inlineStr">
        <is>
          <t>APA - Qtly All Hands FYR26 - 20.8.26 [PRD] pre-prod work</t>
        </is>
      </c>
      <c r="I94" s="24" t="inlineStr">
        <is>
          <t>Deferral - invoiced in advance</t>
        </is>
      </c>
      <c r="J94" s="26" t="n">
        <v>-172.5</v>
      </c>
      <c r="K94" s="24" t="inlineStr">
        <is>
          <t>11300</t>
        </is>
      </c>
      <c r="L94" s="24" t="n"/>
      <c r="M94" s="24" t="inlineStr">
        <is>
          <t>Y</t>
        </is>
      </c>
      <c r="N94" s="24" t="inlineStr">
        <is>
          <t>Migrated from FY27 Revenue Tracker v2 - confirm type/sign</t>
        </is>
      </c>
    </row>
    <row r="95" ht="15" customHeight="1">
      <c r="A95" s="65" t="n">
        <v>46265</v>
      </c>
      <c r="B95" s="63">
        <f>IF(C95="","",IFERROR(INDEX(tbl_Finance[Date],MATCH(C95&amp;"",tbl_Finance[Xero Invoice No],0)),""))</f>
        <v/>
      </c>
      <c r="C95" s="24" t="n"/>
      <c r="D95" s="24" t="inlineStr">
        <is>
          <t>2606101</t>
        </is>
      </c>
      <c r="E95" s="25">
        <f>IF(D95="","",IF(COUNTIF(lst_Jobs,D95&amp;"")&gt;0,"OK","CHECK"))</f>
        <v/>
      </c>
      <c r="F95" s="24" t="inlineStr">
        <is>
          <t>APA</t>
        </is>
      </c>
      <c r="G95" s="24" t="inlineStr">
        <is>
          <t>INTEGRATION</t>
        </is>
      </c>
      <c r="H95" s="24" t="inlineStr">
        <is>
          <t>APA | Young Eptura Proxyclick Licence Renewal Mar27-Feb28 INV-10548 (Revenue)</t>
        </is>
      </c>
      <c r="I95" s="24" t="inlineStr">
        <is>
          <t>Accrual - unbilled work</t>
        </is>
      </c>
      <c r="J95" s="26" t="n">
        <v>0</v>
      </c>
      <c r="K95" s="24" t="inlineStr">
        <is>
          <t>11300</t>
        </is>
      </c>
      <c r="L95" s="24" t="n"/>
      <c r="M95" s="24" t="inlineStr">
        <is>
          <t>Y</t>
        </is>
      </c>
      <c r="N95" s="24" t="inlineStr">
        <is>
          <t>Migrated from FY27 Revenue Tracker v2 - confirm type/sign</t>
        </is>
      </c>
    </row>
    <row r="96" ht="15" customHeight="1">
      <c r="A96" s="65" t="n">
        <v>46265</v>
      </c>
      <c r="B96" s="63">
        <f>IF(C96="","",IFERROR(INDEX(tbl_Finance[Date],MATCH(C96&amp;"",tbl_Finance[Xero Invoice No],0)),""))</f>
        <v/>
      </c>
      <c r="C96" s="24" t="n"/>
      <c r="D96" s="24" t="inlineStr">
        <is>
          <t>3028</t>
        </is>
      </c>
      <c r="E96" s="25">
        <f>IF(D96="","",IF(COUNTIF(lst_Jobs,D96&amp;"")&gt;0,"OK","CHECK"))</f>
        <v/>
      </c>
      <c r="F96" s="24" t="inlineStr">
        <is>
          <t>APA</t>
        </is>
      </c>
      <c r="G96" s="24" t="inlineStr">
        <is>
          <t>INTEGRATION</t>
        </is>
      </c>
      <c r="H96" s="24" t="inlineStr">
        <is>
          <t>APA Kidman Proxyclick Term 3 Jun26-Dec26 INV-10477 (Revenue)</t>
        </is>
      </c>
      <c r="I96" s="24" t="inlineStr">
        <is>
          <t>Accrual - unbilled work</t>
        </is>
      </c>
      <c r="J96" s="26" t="n">
        <v>996.74</v>
      </c>
      <c r="K96" s="24" t="inlineStr">
        <is>
          <t>11300</t>
        </is>
      </c>
      <c r="L96" s="24" t="n"/>
      <c r="M96" s="24" t="inlineStr">
        <is>
          <t>Y</t>
        </is>
      </c>
      <c r="N96" s="24" t="inlineStr">
        <is>
          <t>Migrated from FY27 Revenue Tracker v2 - confirm type/sign</t>
        </is>
      </c>
    </row>
    <row r="97" ht="15" customHeight="1">
      <c r="A97" s="65" t="n">
        <v>46265</v>
      </c>
      <c r="B97" s="63">
        <f>IF(C97="","",IFERROR(INDEX(tbl_Finance[Date],MATCH(C97&amp;"",tbl_Finance[Xero Invoice No],0)),""))</f>
        <v/>
      </c>
      <c r="C97" s="24" t="n"/>
      <c r="D97" s="24" t="inlineStr">
        <is>
          <t>2855</t>
        </is>
      </c>
      <c r="E97" s="25">
        <f>IF(D97="","",IF(COUNTIF(lst_Jobs,D97&amp;"")&gt;0,"OK","CHECK"))</f>
        <v/>
      </c>
      <c r="F97" s="24" t="inlineStr">
        <is>
          <t>APA</t>
        </is>
      </c>
      <c r="G97" s="24" t="inlineStr">
        <is>
          <t>INTEGRATION</t>
        </is>
      </c>
      <c r="H97" s="24" t="inlineStr">
        <is>
          <t>APA Melbourne Proxyclick Jul26-Jun27 INV-10501(Revenue)</t>
        </is>
      </c>
      <c r="I97" s="24" t="inlineStr">
        <is>
          <t>Accrual - unbilled work</t>
        </is>
      </c>
      <c r="J97" s="26" t="n">
        <v>1357.33</v>
      </c>
      <c r="K97" s="24" t="inlineStr">
        <is>
          <t>11300</t>
        </is>
      </c>
      <c r="L97" s="24" t="n"/>
      <c r="M97" s="24" t="inlineStr">
        <is>
          <t>Y</t>
        </is>
      </c>
      <c r="N97" s="24" t="inlineStr">
        <is>
          <t>Migrated from FY27 Revenue Tracker v2 - confirm type/sign</t>
        </is>
      </c>
    </row>
    <row r="98" ht="15" customHeight="1">
      <c r="A98" s="65" t="n">
        <v>46265</v>
      </c>
      <c r="B98" s="63">
        <f>IF(C98="","",IFERROR(INDEX(tbl_Finance[Date],MATCH(C98&amp;"",tbl_Finance[Xero Invoice No],0)),""))</f>
        <v/>
      </c>
      <c r="C98" s="24" t="n"/>
      <c r="D98" s="24" t="inlineStr">
        <is>
          <t>2857</t>
        </is>
      </c>
      <c r="E98" s="25">
        <f>IF(D98="","",IF(COUNTIF(lst_Jobs,D98&amp;"")&gt;0,"OK","CHECK"))</f>
        <v/>
      </c>
      <c r="F98" s="24" t="inlineStr">
        <is>
          <t>APA</t>
        </is>
      </c>
      <c r="G98" s="24" t="inlineStr">
        <is>
          <t>INTEGRATION</t>
        </is>
      </c>
      <c r="H98" s="24" t="inlineStr">
        <is>
          <t>APA Sydney Proxyclick Jul26-Jun27 INV-10502(Revenue)</t>
        </is>
      </c>
      <c r="I98" s="24" t="inlineStr">
        <is>
          <t>Accrual - unbilled work</t>
        </is>
      </c>
      <c r="J98" s="26" t="n">
        <v>1357.33</v>
      </c>
      <c r="K98" s="24" t="inlineStr">
        <is>
          <t>11300</t>
        </is>
      </c>
      <c r="L98" s="24" t="n"/>
      <c r="M98" s="24" t="inlineStr">
        <is>
          <t>Y</t>
        </is>
      </c>
      <c r="N98" s="24" t="inlineStr">
        <is>
          <t>Migrated from FY27 Revenue Tracker v2 - confirm type/sign</t>
        </is>
      </c>
    </row>
    <row r="99" ht="15" customHeight="1">
      <c r="A99" s="65" t="n">
        <v>46265</v>
      </c>
      <c r="B99" s="63">
        <f>IF(C99="","",IFERROR(INDEX(tbl_Finance[Date],MATCH(C99&amp;"",tbl_Finance[Xero Invoice No],0)),""))</f>
        <v/>
      </c>
      <c r="C99" s="24" t="n"/>
      <c r="D99" s="24" t="inlineStr">
        <is>
          <t>2848</t>
        </is>
      </c>
      <c r="E99" s="25">
        <f>IF(D99="","",IF(COUNTIF(lst_Jobs,D99&amp;"")&gt;0,"OK","CHECK"))</f>
        <v/>
      </c>
      <c r="F99" s="24" t="inlineStr">
        <is>
          <t>APA</t>
        </is>
      </c>
      <c r="G99" s="24" t="inlineStr">
        <is>
          <t>INTEGRATION</t>
        </is>
      </c>
      <c r="H99" s="24" t="inlineStr">
        <is>
          <t>APA Adelaide Proxyclick INV-10514 Renewal Jul26-Jun27 (Revenue)</t>
        </is>
      </c>
      <c r="I99" s="24" t="inlineStr">
        <is>
          <t>Accrual - unbilled work</t>
        </is>
      </c>
      <c r="J99" s="26" t="n">
        <v>618.08</v>
      </c>
      <c r="K99" s="24" t="inlineStr">
        <is>
          <t>11300</t>
        </is>
      </c>
      <c r="L99" s="24" t="n"/>
      <c r="M99" s="24" t="inlineStr">
        <is>
          <t>Y</t>
        </is>
      </c>
      <c r="N99" s="24" t="inlineStr">
        <is>
          <t>Migrated from FY27 Revenue Tracker v2 - confirm type/sign</t>
        </is>
      </c>
    </row>
    <row r="100" ht="15" customHeight="1">
      <c r="A100" s="65" t="n">
        <v>46265</v>
      </c>
      <c r="B100" s="63">
        <f>IF(C100="","",IFERROR(INDEX(tbl_Finance[Date],MATCH(C100&amp;"",tbl_Finance[Xero Invoice No],0)),""))</f>
        <v/>
      </c>
      <c r="C100" s="24" t="n"/>
      <c r="D100" s="24" t="inlineStr">
        <is>
          <t>2604704</t>
        </is>
      </c>
      <c r="E100" s="25">
        <f>IF(D100="","",IF(COUNTIF(lst_Jobs,D100&amp;"")&gt;0,"OK","CHECK"))</f>
        <v/>
      </c>
      <c r="F100" s="24" t="inlineStr">
        <is>
          <t>Aware Super</t>
        </is>
      </c>
      <c r="G100" s="24" t="inlineStr">
        <is>
          <t>INTEGRATION</t>
        </is>
      </c>
      <c r="H100" s="24" t="inlineStr">
        <is>
          <t>Aware Super Seminar Room Audio Upgrade [INT] Revenue</t>
        </is>
      </c>
      <c r="I100" s="24" t="inlineStr">
        <is>
          <t>Accrual - unbilled work</t>
        </is>
      </c>
      <c r="J100" s="26" t="n">
        <v>1361.25</v>
      </c>
      <c r="K100" s="24" t="inlineStr">
        <is>
          <t>11300</t>
        </is>
      </c>
      <c r="L100" s="24" t="n"/>
      <c r="M100" s="24" t="inlineStr">
        <is>
          <t>Y</t>
        </is>
      </c>
      <c r="N100" s="24" t="inlineStr">
        <is>
          <t>Migrated from FY27 Revenue Tracker v2 - confirm type/sign</t>
        </is>
      </c>
    </row>
    <row r="101" ht="15" customHeight="1">
      <c r="A101" s="65" t="n">
        <v>46265</v>
      </c>
      <c r="B101" s="63">
        <f>IF(C101="","",IFERROR(INDEX(tbl_Finance[Date],MATCH(C101&amp;"",tbl_Finance[Xero Invoice No],0)),""))</f>
        <v/>
      </c>
      <c r="C101" s="24" t="n"/>
      <c r="D101" s="24" t="inlineStr">
        <is>
          <t>26061105</t>
        </is>
      </c>
      <c r="E101" s="25">
        <f>IF(D101="","",IF(COUNTIF(lst_Jobs,D101&amp;"")&gt;0,"OK","CHECK"))</f>
        <v/>
      </c>
      <c r="F101" s="24" t="inlineStr">
        <is>
          <t>CBA</t>
        </is>
      </c>
      <c r="G101" s="24" t="inlineStr">
        <is>
          <t>PRODUCTION</t>
        </is>
      </c>
      <c r="H101" s="24" t="inlineStr">
        <is>
          <t>CBA - FYR 2026 - 12.8.26 [PRD] pre-prod work</t>
        </is>
      </c>
      <c r="I101" s="24" t="inlineStr">
        <is>
          <t>Deferral - invoiced in advance</t>
        </is>
      </c>
      <c r="J101" s="26" t="n">
        <v>-285</v>
      </c>
      <c r="K101" s="24" t="inlineStr">
        <is>
          <t>11300</t>
        </is>
      </c>
      <c r="L101" s="24" t="n"/>
      <c r="M101" s="24" t="inlineStr">
        <is>
          <t>Y</t>
        </is>
      </c>
      <c r="N101" s="24" t="inlineStr">
        <is>
          <t>Migrated from FY27 Revenue Tracker v2 - confirm type/sign</t>
        </is>
      </c>
    </row>
    <row r="102" ht="15" customHeight="1">
      <c r="A102" s="65" t="n">
        <v>46265</v>
      </c>
      <c r="B102" s="63">
        <f>IF(C102="","",IFERROR(INDEX(tbl_Finance[Date],MATCH(C102&amp;"",tbl_Finance[Xero Invoice No],0)),""))</f>
        <v/>
      </c>
      <c r="C102" s="24" t="n"/>
      <c r="D102" s="24" t="inlineStr">
        <is>
          <t>2603104</t>
        </is>
      </c>
      <c r="E102" s="25">
        <f>IF(D102="","",IF(COUNTIF(lst_Jobs,D102&amp;"")&gt;0,"OK","CHECK"))</f>
        <v/>
      </c>
      <c r="F102" s="24" t="inlineStr">
        <is>
          <t>Cochlear</t>
        </is>
      </c>
      <c r="G102" s="24" t="inlineStr">
        <is>
          <t>PRODUCTION</t>
        </is>
      </c>
      <c r="H102" s="24" t="inlineStr">
        <is>
          <t>Cochlear FY26 Results 18.8.26 [PRD] pre-prod work</t>
        </is>
      </c>
      <c r="I102" s="24" t="inlineStr">
        <is>
          <t>Deferral - invoiced in advance</t>
        </is>
      </c>
      <c r="J102" s="26" t="n">
        <v>-95</v>
      </c>
      <c r="K102" s="24" t="inlineStr">
        <is>
          <t>11300</t>
        </is>
      </c>
      <c r="L102" s="24" t="n"/>
      <c r="M102" s="24" t="inlineStr">
        <is>
          <t>Y</t>
        </is>
      </c>
      <c r="N102" s="24" t="inlineStr">
        <is>
          <t>Migrated from FY27 Revenue Tracker v2 - confirm type/sign</t>
        </is>
      </c>
    </row>
    <row r="103" ht="15" customHeight="1">
      <c r="A103" s="65" t="n">
        <v>46265</v>
      </c>
      <c r="B103" s="63">
        <f>IF(C103="","",IFERROR(INDEX(tbl_Finance[Date],MATCH(C103&amp;"",tbl_Finance[Xero Invoice No],0)),""))</f>
        <v/>
      </c>
      <c r="C103" s="24" t="n"/>
      <c r="D103" s="24" t="inlineStr">
        <is>
          <t>26052702</t>
        </is>
      </c>
      <c r="E103" s="25">
        <f>IF(D103="","",IF(COUNTIF(lst_Jobs,D103&amp;"")&gt;0,"OK","CHECK"))</f>
        <v/>
      </c>
      <c r="F103" s="24" t="inlineStr">
        <is>
          <t>ASX</t>
        </is>
      </c>
      <c r="G103" s="24" t="inlineStr">
        <is>
          <t>PRODUCTION</t>
        </is>
      </c>
      <c r="H103" s="24" t="inlineStr">
        <is>
          <t>ASX - FYR - 13.8.26 [PRD]</t>
        </is>
      </c>
      <c r="I103" s="24" t="inlineStr">
        <is>
          <t>Deferral - invoiced in advance</t>
        </is>
      </c>
      <c r="J103" s="26" t="n">
        <v>-95</v>
      </c>
      <c r="K103" s="24" t="inlineStr">
        <is>
          <t>11300</t>
        </is>
      </c>
      <c r="L103" s="24" t="n"/>
      <c r="M103" s="24" t="inlineStr">
        <is>
          <t>Y</t>
        </is>
      </c>
      <c r="N103" s="24" t="inlineStr">
        <is>
          <t>Migrated from FY27 Revenue Tracker v2 - confirm type/sign</t>
        </is>
      </c>
    </row>
    <row r="104" ht="15" customHeight="1">
      <c r="A104" s="65" t="n">
        <v>46265</v>
      </c>
      <c r="B104" s="63">
        <f>IF(C104="","",IFERROR(INDEX(tbl_Finance[Date],MATCH(C104&amp;"",tbl_Finance[Xero Invoice No],0)),""))</f>
        <v/>
      </c>
      <c r="C104" s="24" t="n"/>
      <c r="D104" s="24" t="inlineStr">
        <is>
          <t>2606904</t>
        </is>
      </c>
      <c r="E104" s="25">
        <f>IF(D104="","",IF(COUNTIF(lst_Jobs,D104&amp;"")&gt;0,"OK","CHECK"))</f>
        <v/>
      </c>
      <c r="F104" s="24" t="inlineStr">
        <is>
          <t>Symal</t>
        </is>
      </c>
      <c r="G104" s="24" t="inlineStr">
        <is>
          <t>PRODUCTION</t>
        </is>
      </c>
      <c r="H104" s="24" t="inlineStr">
        <is>
          <t>Symal - FYR26 (Melb) - 24.8.26 [PRD]</t>
        </is>
      </c>
      <c r="I104" s="24" t="inlineStr">
        <is>
          <t>Deferral - invoiced in advance</t>
        </is>
      </c>
      <c r="J104" s="26" t="n">
        <v>-71.25</v>
      </c>
      <c r="K104" s="24" t="inlineStr">
        <is>
          <t>11300</t>
        </is>
      </c>
      <c r="L104" s="24" t="n"/>
      <c r="M104" s="24" t="inlineStr">
        <is>
          <t>Y</t>
        </is>
      </c>
      <c r="N104" s="24" t="inlineStr">
        <is>
          <t>Migrated from FY27 Revenue Tracker v2 - confirm type/sign</t>
        </is>
      </c>
    </row>
    <row r="105" ht="15" customHeight="1">
      <c r="A105" s="65" t="n">
        <v>46265</v>
      </c>
      <c r="B105" s="63">
        <f>IF(C105="","",IFERROR(INDEX(tbl_Finance[Date],MATCH(C105&amp;"",tbl_Finance[Xero Invoice No],0)),""))</f>
        <v/>
      </c>
      <c r="C105" s="24" t="n"/>
      <c r="D105" s="24" t="inlineStr">
        <is>
          <t>3027</t>
        </is>
      </c>
      <c r="E105" s="25">
        <f>IF(D105="","",IF(COUNTIF(lst_Jobs,D105&amp;"")&gt;0,"OK","CHECK"))</f>
        <v/>
      </c>
      <c r="F105" s="24" t="inlineStr">
        <is>
          <t>NSW Property</t>
        </is>
      </c>
      <c r="G105" s="24" t="inlineStr">
        <is>
          <t>INTEGRATION</t>
        </is>
      </c>
      <c r="H105" s="24" t="inlineStr">
        <is>
          <t>NSW Property  - 231 Eliz L13 Touchdown - Condeco Desk Booking System (INV10391 Revenue)</t>
        </is>
      </c>
      <c r="I105" s="24" t="inlineStr">
        <is>
          <t>Accrual - unbilled work</t>
        </is>
      </c>
      <c r="J105" s="26" t="n">
        <v>721.7</v>
      </c>
      <c r="K105" s="24" t="inlineStr">
        <is>
          <t>11300</t>
        </is>
      </c>
      <c r="L105" s="24" t="n"/>
      <c r="M105" s="24" t="inlineStr">
        <is>
          <t>Y</t>
        </is>
      </c>
      <c r="N105" s="24" t="inlineStr">
        <is>
          <t>Migrated from FY27 Revenue Tracker v2 - confirm type/sign</t>
        </is>
      </c>
    </row>
    <row r="106" ht="15" customHeight="1">
      <c r="A106" s="65" t="n">
        <v>46265</v>
      </c>
      <c r="B106" s="63">
        <f>IF(C106="","",IFERROR(INDEX(tbl_Finance[Date],MATCH(C106&amp;"",tbl_Finance[Xero Invoice No],0)),""))</f>
        <v/>
      </c>
      <c r="C106" s="24" t="n"/>
      <c r="D106" s="24" t="inlineStr">
        <is>
          <t>3027</t>
        </is>
      </c>
      <c r="E106" s="25">
        <f>IF(D106="","",IF(COUNTIF(lst_Jobs,D106&amp;"")&gt;0,"OK","CHECK"))</f>
        <v/>
      </c>
      <c r="F106" s="24" t="inlineStr">
        <is>
          <t>NSW Property</t>
        </is>
      </c>
      <c r="G106" s="24" t="inlineStr">
        <is>
          <t>INTEGRATION</t>
        </is>
      </c>
      <c r="H106" s="24" t="inlineStr">
        <is>
          <t>NSW Property - 231 Eliz Workplace L1 (INV10392 Revenue)</t>
        </is>
      </c>
      <c r="I106" s="24" t="inlineStr">
        <is>
          <t>Accrual - unbilled work</t>
        </is>
      </c>
      <c r="J106" s="26" t="n">
        <v>876.35</v>
      </c>
      <c r="K106" s="24" t="inlineStr">
        <is>
          <t>11300</t>
        </is>
      </c>
      <c r="L106" s="24" t="n"/>
      <c r="M106" s="24" t="inlineStr">
        <is>
          <t>Y</t>
        </is>
      </c>
      <c r="N106" s="24" t="inlineStr">
        <is>
          <t>Migrated from FY27 Revenue Tracker v2 - confirm type/sign</t>
        </is>
      </c>
    </row>
    <row r="107" ht="15" customHeight="1">
      <c r="A107" s="65" t="n">
        <v>46265</v>
      </c>
      <c r="B107" s="63">
        <f>IF(C107="","",IFERROR(INDEX(tbl_Finance[Date],MATCH(C107&amp;"",tbl_Finance[Xero Invoice No],0)),""))</f>
        <v/>
      </c>
      <c r="C107" s="24" t="n"/>
      <c r="D107" s="24" t="inlineStr">
        <is>
          <t>25060301</t>
        </is>
      </c>
      <c r="E107" s="25">
        <f>IF(D107="","",IF(COUNTIF(lst_Jobs,D107&amp;"")&gt;0,"OK","CHECK"))</f>
        <v/>
      </c>
      <c r="F107" s="24" t="inlineStr">
        <is>
          <t>NSW Property</t>
        </is>
      </c>
      <c r="G107" s="24" t="inlineStr">
        <is>
          <t>INTEGRATION</t>
        </is>
      </c>
      <c r="H107" s="24" t="inlineStr">
        <is>
          <t>NSW Property - 6PSQ Workplace L12 Hub (INV10393 Revenue)</t>
        </is>
      </c>
      <c r="I107" s="24" t="inlineStr">
        <is>
          <t>Accrual - unbilled work</t>
        </is>
      </c>
      <c r="J107" s="26" t="n">
        <v>2964.14</v>
      </c>
      <c r="K107" s="24" t="inlineStr">
        <is>
          <t>11300</t>
        </is>
      </c>
      <c r="L107" s="24" t="n"/>
      <c r="M107" s="24" t="inlineStr">
        <is>
          <t>Y</t>
        </is>
      </c>
      <c r="N107" s="24" t="inlineStr">
        <is>
          <t>Migrated from FY27 Revenue Tracker v2 - confirm type/sign</t>
        </is>
      </c>
    </row>
    <row r="108" ht="15" customHeight="1">
      <c r="A108" s="65" t="n">
        <v>46265</v>
      </c>
      <c r="B108" s="63">
        <f>IF(C108="","",IFERROR(INDEX(tbl_Finance[Date],MATCH(C108&amp;"",tbl_Finance[Xero Invoice No],0)),""))</f>
        <v/>
      </c>
      <c r="C108" s="24" t="n"/>
      <c r="D108" s="24" t="inlineStr">
        <is>
          <t>2519</t>
        </is>
      </c>
      <c r="E108" s="25">
        <f>IF(D108="","",IF(COUNTIF(lst_Jobs,D108&amp;"")&gt;0,"OK","CHECK"))</f>
        <v/>
      </c>
      <c r="F108" s="24" t="inlineStr">
        <is>
          <t>NSW Property</t>
        </is>
      </c>
      <c r="G108" s="24" t="inlineStr">
        <is>
          <t>INTEGRATION</t>
        </is>
      </c>
      <c r="H108" s="24" t="inlineStr">
        <is>
          <t>NSW Property - 6PSQ L11 Touchdown (INV10394 Revenue)</t>
        </is>
      </c>
      <c r="I108" s="24" t="inlineStr">
        <is>
          <t>Accrual - unbilled work</t>
        </is>
      </c>
      <c r="J108" s="26" t="n">
        <v>799.03</v>
      </c>
      <c r="K108" s="24" t="inlineStr">
        <is>
          <t>11300</t>
        </is>
      </c>
      <c r="L108" s="24" t="n"/>
      <c r="M108" s="24" t="inlineStr">
        <is>
          <t>Y</t>
        </is>
      </c>
      <c r="N108" s="24" t="inlineStr">
        <is>
          <t>Migrated from FY27 Revenue Tracker v2 - confirm type/sign</t>
        </is>
      </c>
    </row>
    <row r="109" ht="15" customHeight="1">
      <c r="A109" s="65" t="n">
        <v>46265</v>
      </c>
      <c r="B109" s="63">
        <f>IF(C109="","",IFERROR(INDEX(tbl_Finance[Date],MATCH(C109&amp;"",tbl_Finance[Xero Invoice No],0)),""))</f>
        <v/>
      </c>
      <c r="C109" s="24" t="n"/>
      <c r="D109" s="24" t="inlineStr">
        <is>
          <t>3068</t>
        </is>
      </c>
      <c r="E109" s="25">
        <f>IF(D109="","",IF(COUNTIF(lst_Jobs,D109&amp;"")&gt;0,"OK","CHECK"))</f>
        <v/>
      </c>
      <c r="F109" s="24" t="inlineStr">
        <is>
          <t>NSW Property</t>
        </is>
      </c>
      <c r="G109" s="24" t="inlineStr">
        <is>
          <t>INTEGRATION</t>
        </is>
      </c>
      <c r="H109" s="24" t="inlineStr">
        <is>
          <t>NSW Property  – Penrith 50 Belmore St – Workplace Hub (INV10395 Revenue)</t>
        </is>
      </c>
      <c r="I109" s="24" t="inlineStr">
        <is>
          <t>Accrual - unbilled work</t>
        </is>
      </c>
      <c r="J109" s="26" t="n">
        <v>154.65</v>
      </c>
      <c r="K109" s="24" t="inlineStr">
        <is>
          <t>11300</t>
        </is>
      </c>
      <c r="L109" s="24" t="n"/>
      <c r="M109" s="24" t="inlineStr">
        <is>
          <t>Y</t>
        </is>
      </c>
      <c r="N109" s="24" t="inlineStr">
        <is>
          <t>Migrated from FY27 Revenue Tracker v2 - confirm type/sign</t>
        </is>
      </c>
    </row>
    <row r="110" ht="15" customHeight="1">
      <c r="A110" s="65" t="n">
        <v>46265</v>
      </c>
      <c r="B110" s="63">
        <f>IF(C110="","",IFERROR(INDEX(tbl_Finance[Date],MATCH(C110&amp;"",tbl_Finance[Xero Invoice No],0)),""))</f>
        <v/>
      </c>
      <c r="C110" s="24" t="n"/>
      <c r="D110" s="24" t="inlineStr">
        <is>
          <t>25051302</t>
        </is>
      </c>
      <c r="E110" s="25">
        <f>IF(D110="","",IF(COUNTIF(lst_Jobs,D110&amp;"")&gt;0,"OK","CHECK"))</f>
        <v/>
      </c>
      <c r="F110" s="24" t="inlineStr">
        <is>
          <t>NSW Property</t>
        </is>
      </c>
      <c r="G110" s="24" t="inlineStr">
        <is>
          <t>INTEGRATION</t>
        </is>
      </c>
      <c r="H110" s="24" t="inlineStr">
        <is>
          <t>NSW Property - Penrith BDA (INV10396)</t>
        </is>
      </c>
      <c r="I110" s="24" t="inlineStr">
        <is>
          <t>Accrual - unbilled work</t>
        </is>
      </c>
      <c r="J110" s="26" t="n">
        <v>1494.96</v>
      </c>
      <c r="K110" s="24" t="inlineStr">
        <is>
          <t>11300</t>
        </is>
      </c>
      <c r="L110" s="24" t="n"/>
      <c r="M110" s="24" t="inlineStr">
        <is>
          <t>Y</t>
        </is>
      </c>
      <c r="N110" s="24" t="inlineStr">
        <is>
          <t>Migrated from FY27 Revenue Tracker v2 - confirm type/sign</t>
        </is>
      </c>
    </row>
    <row r="111" ht="15" customHeight="1">
      <c r="A111" s="65" t="n">
        <v>46265</v>
      </c>
      <c r="B111" s="63">
        <f>IF(C111="","",IFERROR(INDEX(tbl_Finance[Date],MATCH(C111&amp;"",tbl_Finance[Xero Invoice No],0)),""))</f>
        <v/>
      </c>
      <c r="C111" s="24" t="n"/>
      <c r="D111" s="24" t="inlineStr">
        <is>
          <t>25051302</t>
        </is>
      </c>
      <c r="E111" s="25">
        <f>IF(D111="","",IF(COUNTIF(lst_Jobs,D111&amp;"")&gt;0,"OK","CHECK"))</f>
        <v/>
      </c>
      <c r="F111" s="24" t="inlineStr">
        <is>
          <t>NSW Property</t>
        </is>
      </c>
      <c r="G111" s="24" t="inlineStr">
        <is>
          <t>INTEGRATION</t>
        </is>
      </c>
      <c r="H111" s="24" t="inlineStr">
        <is>
          <t>NSW Property - RA Molesworth St (INV10397 Revenue)</t>
        </is>
      </c>
      <c r="I111" s="24" t="inlineStr">
        <is>
          <t>Accrual - unbilled work</t>
        </is>
      </c>
      <c r="J111" s="26" t="n">
        <v>786.14</v>
      </c>
      <c r="K111" s="24" t="inlineStr">
        <is>
          <t>11300</t>
        </is>
      </c>
      <c r="L111" s="24" t="n"/>
      <c r="M111" s="24" t="inlineStr">
        <is>
          <t>Y</t>
        </is>
      </c>
      <c r="N111" s="24" t="inlineStr">
        <is>
          <t>Migrated from FY27 Revenue Tracker v2 - confirm type/sign</t>
        </is>
      </c>
    </row>
    <row r="112" ht="15" customHeight="1">
      <c r="A112" s="65" t="n">
        <v>46265</v>
      </c>
      <c r="B112" s="63">
        <f>IF(C112="","",IFERROR(INDEX(tbl_Finance[Date],MATCH(C112&amp;"",tbl_Finance[Xero Invoice No],0)),""))</f>
        <v/>
      </c>
      <c r="C112" s="24" t="n"/>
      <c r="D112" s="24" t="inlineStr">
        <is>
          <t>25060307</t>
        </is>
      </c>
      <c r="E112" s="25">
        <f>IF(D112="","",IF(COUNTIF(lst_Jobs,D112&amp;"")&gt;0,"OK","CHECK"))</f>
        <v/>
      </c>
      <c r="F112" s="24" t="inlineStr">
        <is>
          <t>NSW Property</t>
        </is>
      </c>
      <c r="G112" s="24" t="inlineStr">
        <is>
          <t>INTEGRATION</t>
        </is>
      </c>
      <c r="H112" s="24" t="inlineStr">
        <is>
          <t>NSW Property - RA Newcastle Bellvue (INV10398 Revenue)</t>
        </is>
      </c>
      <c r="I112" s="24" t="inlineStr">
        <is>
          <t>Accrual - unbilled work</t>
        </is>
      </c>
      <c r="J112" s="26" t="n">
        <v>270.64</v>
      </c>
      <c r="K112" s="24" t="inlineStr">
        <is>
          <t>11300</t>
        </is>
      </c>
      <c r="L112" s="24" t="n"/>
      <c r="M112" s="24" t="inlineStr">
        <is>
          <t>Y</t>
        </is>
      </c>
      <c r="N112" s="24" t="inlineStr">
        <is>
          <t>Migrated from FY27 Revenue Tracker v2 - confirm type/sign</t>
        </is>
      </c>
    </row>
    <row r="113" ht="15" customHeight="1">
      <c r="A113" s="65" t="n">
        <v>46265</v>
      </c>
      <c r="B113" s="63">
        <f>IF(C113="","",IFERROR(INDEX(tbl_Finance[Date],MATCH(C113&amp;"",tbl_Finance[Xero Invoice No],0)),""))</f>
        <v/>
      </c>
      <c r="C113" s="24" t="n"/>
      <c r="D113" s="24" t="inlineStr">
        <is>
          <t>2510805</t>
        </is>
      </c>
      <c r="E113" s="25">
        <f>IF(D113="","",IF(COUNTIF(lst_Jobs,D113&amp;"")&gt;0,"OK","CHECK"))</f>
        <v/>
      </c>
      <c r="F113" s="24" t="inlineStr">
        <is>
          <t>NSW Property</t>
        </is>
      </c>
      <c r="G113" s="24" t="inlineStr">
        <is>
          <t>INTEGRATION</t>
        </is>
      </c>
      <c r="H113" s="24" t="inlineStr">
        <is>
          <t>NSW Property - 5 O’Keefe Ave Nowra Workplace Hub (INV10399 Revenue)</t>
        </is>
      </c>
      <c r="I113" s="24" t="inlineStr">
        <is>
          <t>Accrual - unbilled work</t>
        </is>
      </c>
      <c r="J113" s="26" t="n">
        <v>2242.44</v>
      </c>
      <c r="K113" s="24" t="inlineStr">
        <is>
          <t>11300</t>
        </is>
      </c>
      <c r="L113" s="24" t="n"/>
      <c r="M113" s="24" t="inlineStr">
        <is>
          <t>Y</t>
        </is>
      </c>
      <c r="N113" s="24" t="inlineStr">
        <is>
          <t>Migrated from FY27 Revenue Tracker v2 - confirm type/sign</t>
        </is>
      </c>
    </row>
    <row r="114" ht="15" customHeight="1">
      <c r="A114" s="65" t="n">
        <v>46265</v>
      </c>
      <c r="B114" s="63">
        <f>IF(C114="","",IFERROR(INDEX(tbl_Finance[Date],MATCH(C114&amp;"",tbl_Finance[Xero Invoice No],0)),""))</f>
        <v/>
      </c>
      <c r="C114" s="24" t="n"/>
      <c r="D114" s="24" t="inlineStr">
        <is>
          <t>2603202</t>
        </is>
      </c>
      <c r="E114" s="25">
        <f>IF(D114="","",IF(COUNTIF(lst_Jobs,D114&amp;"")&gt;0,"OK","CHECK"))</f>
        <v/>
      </c>
      <c r="F114" s="24" t="inlineStr">
        <is>
          <t>NSW Property</t>
        </is>
      </c>
      <c r="G114" s="24" t="inlineStr">
        <is>
          <t>INTEGRATION</t>
        </is>
      </c>
      <c r="H114" s="24" t="inlineStr">
        <is>
          <t>NSW Property -  Maitland 510-516 High St WP Services (INV10400 Revenue)</t>
        </is>
      </c>
      <c r="I114" s="24" t="inlineStr">
        <is>
          <t>Accrual - unbilled work</t>
        </is>
      </c>
      <c r="J114" s="26" t="n">
        <v>3041.47</v>
      </c>
      <c r="K114" s="24" t="inlineStr">
        <is>
          <t>11300</t>
        </is>
      </c>
      <c r="L114" s="24" t="n"/>
      <c r="M114" s="24" t="inlineStr">
        <is>
          <t>Y</t>
        </is>
      </c>
      <c r="N114" s="24" t="inlineStr">
        <is>
          <t>Migrated from FY27 Revenue Tracker v2 - confirm type/sign</t>
        </is>
      </c>
    </row>
    <row r="115" ht="15" customHeight="1">
      <c r="A115" s="65" t="n">
        <v>46265</v>
      </c>
      <c r="B115" s="63">
        <f>IF(C115="","",IFERROR(INDEX(tbl_Finance[Date],MATCH(C115&amp;"",tbl_Finance[Xero Invoice No],0)),""))</f>
        <v/>
      </c>
      <c r="C115" s="24" t="n"/>
      <c r="D115" s="24" t="inlineStr">
        <is>
          <t>25041502</t>
        </is>
      </c>
      <c r="E115" s="25">
        <f>IF(D115="","",IF(COUNTIF(lst_Jobs,D115&amp;"")&gt;0,"OK","CHECK"))</f>
        <v/>
      </c>
      <c r="F115" s="24" t="inlineStr">
        <is>
          <t>NSW Property</t>
        </is>
      </c>
      <c r="G115" s="24" t="inlineStr">
        <is>
          <t>INTEGRATION</t>
        </is>
      </c>
      <c r="H115" s="24" t="inlineStr">
        <is>
          <t>NSW Property -  252 Pitt St Parkline Workplace Hub (INV10401 Revenue)</t>
        </is>
      </c>
      <c r="I115" s="24" t="inlineStr">
        <is>
          <t>Accrual - unbilled work</t>
        </is>
      </c>
      <c r="J115" s="26" t="n">
        <v>4085.36</v>
      </c>
      <c r="K115" s="24" t="inlineStr">
        <is>
          <t>11300</t>
        </is>
      </c>
      <c r="L115" s="24" t="n"/>
      <c r="M115" s="24" t="inlineStr">
        <is>
          <t>Y</t>
        </is>
      </c>
      <c r="N115" s="24" t="inlineStr">
        <is>
          <t>Migrated from FY27 Revenue Tracker v2 - confirm type/sign</t>
        </is>
      </c>
    </row>
    <row r="116" ht="15" customHeight="1">
      <c r="A116" s="65" t="n">
        <v>46265</v>
      </c>
      <c r="B116" s="63">
        <f>IF(C116="","",IFERROR(INDEX(tbl_Finance[Date],MATCH(C116&amp;"",tbl_Finance[Xero Invoice No],0)),""))</f>
        <v/>
      </c>
      <c r="C116" s="24" t="n"/>
      <c r="D116" s="24" t="inlineStr">
        <is>
          <t>3068</t>
        </is>
      </c>
      <c r="E116" s="25">
        <f>IF(D116="","",IF(COUNTIF(lst_Jobs,D116&amp;"")&gt;0,"OK","CHECK"))</f>
        <v/>
      </c>
      <c r="F116" s="24" t="inlineStr">
        <is>
          <t>NSW Property</t>
        </is>
      </c>
      <c r="G116" s="24" t="inlineStr">
        <is>
          <t>INTEGRATION</t>
        </is>
      </c>
      <c r="H116" s="24" t="inlineStr">
        <is>
          <t>NSW Property - Sydney 1 Prince Albert Workplace Hub (INV10412 Revenue)</t>
        </is>
      </c>
      <c r="I116" s="24" t="inlineStr">
        <is>
          <t>Accrual - unbilled work</t>
        </is>
      </c>
      <c r="J116" s="26" t="n">
        <v>1868.7</v>
      </c>
      <c r="K116" s="24" t="inlineStr">
        <is>
          <t>11300</t>
        </is>
      </c>
      <c r="L116" s="24" t="n"/>
      <c r="M116" s="24" t="inlineStr">
        <is>
          <t>Y</t>
        </is>
      </c>
      <c r="N116" s="24" t="inlineStr">
        <is>
          <t>Migrated from FY27 Revenue Tracker v2 - confirm type/sign</t>
        </is>
      </c>
    </row>
    <row r="117" ht="15" customHeight="1">
      <c r="A117" s="65" t="n">
        <v>46265</v>
      </c>
      <c r="B117" s="63">
        <f>IF(C117="","",IFERROR(INDEX(tbl_Finance[Date],MATCH(C117&amp;"",tbl_Finance[Xero Invoice No],0)),""))</f>
        <v/>
      </c>
      <c r="C117" s="24" t="n"/>
      <c r="D117" s="24" t="inlineStr">
        <is>
          <t>25121208</t>
        </is>
      </c>
      <c r="E117" s="25">
        <f>IF(D117="","",IF(COUNTIF(lst_Jobs,D117&amp;"")&gt;0,"OK","CHECK"))</f>
        <v/>
      </c>
      <c r="F117" s="24" t="inlineStr">
        <is>
          <t>APA</t>
        </is>
      </c>
      <c r="G117" s="24" t="inlineStr">
        <is>
          <t>PRODUCTION</t>
        </is>
      </c>
      <c r="H117" s="24" t="inlineStr">
        <is>
          <t>APA FYR August 2026 Package - Equipment Hire (Revenue)</t>
        </is>
      </c>
      <c r="I117" s="24" t="inlineStr">
        <is>
          <t>Accrual - unbilled work</t>
        </is>
      </c>
      <c r="J117" s="26" t="n">
        <v>2737.5</v>
      </c>
      <c r="K117" s="24" t="inlineStr">
        <is>
          <t>11300</t>
        </is>
      </c>
      <c r="L117" s="24" t="n"/>
      <c r="M117" s="24" t="inlineStr">
        <is>
          <t>Y</t>
        </is>
      </c>
      <c r="N117" s="24" t="inlineStr">
        <is>
          <t>Migrated from FY27 Revenue Tracker v2 - confirm type/sign</t>
        </is>
      </c>
    </row>
    <row r="118" ht="15" customHeight="1">
      <c r="A118" s="65" t="n">
        <v>46265</v>
      </c>
      <c r="B118" s="63">
        <f>IF(C118="","",IFERROR(INDEX(tbl_Finance[Date],MATCH(C118&amp;"",tbl_Finance[Xero Invoice No],0)),""))</f>
        <v/>
      </c>
      <c r="C118" s="24" t="n"/>
      <c r="D118" s="24" t="inlineStr">
        <is>
          <t>25121208</t>
        </is>
      </c>
      <c r="E118" s="25">
        <f>IF(D118="","",IF(COUNTIF(lst_Jobs,D118&amp;"")&gt;0,"OK","CHECK"))</f>
        <v/>
      </c>
      <c r="F118" s="24" t="inlineStr">
        <is>
          <t>APA</t>
        </is>
      </c>
      <c r="G118" s="24" t="inlineStr">
        <is>
          <t>PRODUCTION</t>
        </is>
      </c>
      <c r="H118" s="24" t="inlineStr">
        <is>
          <t>APA FYR August 2026 Package - Prod Labour (Revenue)</t>
        </is>
      </c>
      <c r="I118" s="24" t="inlineStr">
        <is>
          <t>Accrual - unbilled work</t>
        </is>
      </c>
      <c r="J118" s="26" t="n">
        <v>1900</v>
      </c>
      <c r="K118" s="24" t="inlineStr">
        <is>
          <t>11300</t>
        </is>
      </c>
      <c r="L118" s="24" t="n"/>
      <c r="M118" s="24" t="inlineStr">
        <is>
          <t>Y</t>
        </is>
      </c>
      <c r="N118" s="24" t="inlineStr">
        <is>
          <t>Migrated from FY27 Revenue Tracker v2 - confirm type/sign</t>
        </is>
      </c>
    </row>
    <row r="119" ht="15" customHeight="1">
      <c r="A119" s="65" t="n">
        <v>46265</v>
      </c>
      <c r="B119" s="63">
        <f>IF(C119="","",IFERROR(INDEX(tbl_Finance[Date],MATCH(C119&amp;"",tbl_Finance[Xero Invoice No],0)),""))</f>
        <v/>
      </c>
      <c r="C119" s="24" t="n"/>
      <c r="D119" s="24" t="inlineStr">
        <is>
          <t>25121208</t>
        </is>
      </c>
      <c r="E119" s="25">
        <f>IF(D119="","",IF(COUNTIF(lst_Jobs,D119&amp;"")&gt;0,"OK","CHECK"))</f>
        <v/>
      </c>
      <c r="F119" s="24" t="inlineStr">
        <is>
          <t>APA</t>
        </is>
      </c>
      <c r="G119" s="24" t="inlineStr">
        <is>
          <t>PRODUCTION</t>
        </is>
      </c>
      <c r="H119" s="24" t="inlineStr">
        <is>
          <t>APA FYR August 2026 Package - Conference Call (Revenue)</t>
        </is>
      </c>
      <c r="I119" s="24" t="inlineStr">
        <is>
          <t>Accrual - unbilled work</t>
        </is>
      </c>
      <c r="J119" s="26" t="n">
        <v>3575</v>
      </c>
      <c r="K119" s="24" t="inlineStr">
        <is>
          <t>11300</t>
        </is>
      </c>
      <c r="L119" s="24" t="n"/>
      <c r="M119" s="24" t="inlineStr">
        <is>
          <t>Y</t>
        </is>
      </c>
      <c r="N119" s="24" t="inlineStr">
        <is>
          <t>Migrated from FY27 Revenue Tracker v2 - confirm type/sign</t>
        </is>
      </c>
    </row>
    <row r="120" ht="15" customHeight="1">
      <c r="A120" s="65" t="n">
        <v>46265</v>
      </c>
      <c r="B120" s="63">
        <f>IF(C120="","",IFERROR(INDEX(tbl_Finance[Date],MATCH(C120&amp;"",tbl_Finance[Xero Invoice No],0)),""))</f>
        <v/>
      </c>
      <c r="C120" s="24" t="n"/>
      <c r="D120" s="24" t="inlineStr">
        <is>
          <t>25121208</t>
        </is>
      </c>
      <c r="E120" s="25">
        <f>IF(D120="","",IF(COUNTIF(lst_Jobs,D120&amp;"")&gt;0,"OK","CHECK"))</f>
        <v/>
      </c>
      <c r="F120" s="24" t="inlineStr">
        <is>
          <t>APA</t>
        </is>
      </c>
      <c r="G120" s="24" t="inlineStr">
        <is>
          <t>PRODUCTION</t>
        </is>
      </c>
      <c r="H120" s="24" t="inlineStr">
        <is>
          <t>APA FYR August 2026 Package - Tech Event Mgmt (Revenue)</t>
        </is>
      </c>
      <c r="I120" s="24" t="inlineStr">
        <is>
          <t>Accrual - unbilled work</t>
        </is>
      </c>
      <c r="J120" s="26" t="n">
        <v>230</v>
      </c>
      <c r="K120" s="24" t="inlineStr">
        <is>
          <t>11300</t>
        </is>
      </c>
      <c r="L120" s="24" t="n"/>
      <c r="M120" s="24" t="inlineStr">
        <is>
          <t>Y</t>
        </is>
      </c>
      <c r="N120" s="24" t="inlineStr">
        <is>
          <t>Migrated from FY27 Revenue Tracker v2 - confirm type/sign</t>
        </is>
      </c>
    </row>
    <row r="121" ht="15" customHeight="1">
      <c r="A121" s="65" t="n">
        <v>46265</v>
      </c>
      <c r="B121" s="63">
        <f>IF(C121="","",IFERROR(INDEX(tbl_Finance[Date],MATCH(C121&amp;"",tbl_Finance[Xero Invoice No],0)),""))</f>
        <v/>
      </c>
      <c r="C121" s="24" t="n"/>
      <c r="D121" s="24" t="inlineStr">
        <is>
          <t>25121208</t>
        </is>
      </c>
      <c r="E121" s="25">
        <f>IF(D121="","",IF(COUNTIF(lst_Jobs,D121&amp;"")&gt;0,"OK","CHECK"))</f>
        <v/>
      </c>
      <c r="F121" s="24" t="inlineStr">
        <is>
          <t>APA</t>
        </is>
      </c>
      <c r="G121" s="24" t="inlineStr">
        <is>
          <t>PRODUCTION</t>
        </is>
      </c>
      <c r="H121" s="24" t="inlineStr">
        <is>
          <t>APA FYR August 2026 Package - Freight (Revenue)</t>
        </is>
      </c>
      <c r="I121" s="24" t="inlineStr">
        <is>
          <t>Accrual - unbilled work</t>
        </is>
      </c>
      <c r="J121" s="26" t="n">
        <v>300</v>
      </c>
      <c r="K121" s="24" t="inlineStr">
        <is>
          <t>11300</t>
        </is>
      </c>
      <c r="L121" s="24" t="n"/>
      <c r="M121" s="24" t="inlineStr">
        <is>
          <t>Y</t>
        </is>
      </c>
      <c r="N121" s="24" t="inlineStr">
        <is>
          <t>Migrated from FY27 Revenue Tracker v2 - confirm type/sign</t>
        </is>
      </c>
    </row>
    <row r="122" ht="15" customHeight="1">
      <c r="A122" s="65" t="n">
        <v>46265</v>
      </c>
      <c r="B122" s="63">
        <f>IF(C122="","",IFERROR(INDEX(tbl_Finance[Date],MATCH(C122&amp;"",tbl_Finance[Xero Invoice No],0)),""))</f>
        <v/>
      </c>
      <c r="C122" s="24" t="n"/>
      <c r="D122" s="24" t="inlineStr">
        <is>
          <t>2506208</t>
        </is>
      </c>
      <c r="E122" s="25">
        <f>IF(D122="","",IF(COUNTIF(lst_Jobs,D122&amp;"")&gt;0,"OK","CHECK"))</f>
        <v/>
      </c>
      <c r="F122" s="24" t="inlineStr">
        <is>
          <t>CBA</t>
        </is>
      </c>
      <c r="G122" s="24" t="inlineStr">
        <is>
          <t>PRODUCTION</t>
        </is>
      </c>
      <c r="H122" s="24" t="inlineStr">
        <is>
          <t>CBA AGM 2026 Pre-production work at $130ph</t>
        </is>
      </c>
      <c r="I122" s="24" t="inlineStr">
        <is>
          <t>Accrual - unbilled work</t>
        </is>
      </c>
      <c r="J122" s="26" t="n">
        <v>1787.5</v>
      </c>
      <c r="K122" s="24" t="inlineStr">
        <is>
          <t>11300</t>
        </is>
      </c>
      <c r="L122" s="24" t="n"/>
      <c r="M122" s="24" t="inlineStr">
        <is>
          <t>Y</t>
        </is>
      </c>
      <c r="N122" s="24" t="inlineStr">
        <is>
          <t>Migrated from FY27 Revenue Tracker v2 - confirm type/sign</t>
        </is>
      </c>
    </row>
    <row r="123" ht="15" customHeight="1">
      <c r="A123" s="65" t="n">
        <v>46265</v>
      </c>
      <c r="B123" s="63">
        <f>IF(C123="","",IFERROR(INDEX(tbl_Finance[Date],MATCH(C123&amp;"",tbl_Finance[Xero Invoice No],0)),""))</f>
        <v/>
      </c>
      <c r="C123" s="24" t="n"/>
      <c r="D123" s="24" t="inlineStr">
        <is>
          <t>25070702</t>
        </is>
      </c>
      <c r="E123" s="25">
        <f>IF(D123="","",IF(COUNTIF(lst_Jobs,D123&amp;"")&gt;0,"OK","CHECK"))</f>
        <v/>
      </c>
      <c r="F123" s="24" t="inlineStr">
        <is>
          <t>APA</t>
        </is>
      </c>
      <c r="G123" s="24" t="inlineStr">
        <is>
          <t>INTEGRATION</t>
        </is>
      </c>
      <c r="H123" s="24" t="inlineStr">
        <is>
          <t>APA BNE &amp; NT Year 1/3 Inv9988 (Revenue) Sep 2025 - Aug 2026</t>
        </is>
      </c>
      <c r="I123" s="24" t="inlineStr">
        <is>
          <t>Accrual - unbilled work</t>
        </is>
      </c>
      <c r="J123" s="26" t="n">
        <v>308.16</v>
      </c>
      <c r="K123" s="24" t="inlineStr">
        <is>
          <t>11300</t>
        </is>
      </c>
      <c r="L123" s="24" t="n"/>
      <c r="M123" s="24" t="inlineStr">
        <is>
          <t>Y</t>
        </is>
      </c>
      <c r="N123" s="24" t="inlineStr">
        <is>
          <t>Migrated from FY27 Revenue Tracker v2 - confirm type/sign</t>
        </is>
      </c>
    </row>
    <row r="124" ht="15" customHeight="1">
      <c r="A124" s="65" t="n">
        <v>46265</v>
      </c>
      <c r="B124" s="63">
        <f>IF(C124="","",IFERROR(INDEX(tbl_Finance[Date],MATCH(C124&amp;"",tbl_Finance[Xero Invoice No],0)),""))</f>
        <v/>
      </c>
      <c r="C124" s="24" t="n"/>
      <c r="D124" s="24" t="inlineStr">
        <is>
          <t>3072</t>
        </is>
      </c>
      <c r="E124" s="25">
        <f>IF(D124="","",IF(COUNTIF(lst_Jobs,D124&amp;"")&gt;0,"OK","CHECK"))</f>
        <v/>
      </c>
      <c r="F124" s="24" t="inlineStr">
        <is>
          <t>APA Thomastown</t>
        </is>
      </c>
      <c r="G124" s="24" t="inlineStr">
        <is>
          <t>INTEGRATION</t>
        </is>
      </c>
      <c r="H124" s="24" t="inlineStr">
        <is>
          <t>APA Thomastown INV-10133 Year 3 Licence (January - December 2026)</t>
        </is>
      </c>
      <c r="I124" s="24" t="inlineStr">
        <is>
          <t>Accrual - unbilled work</t>
        </is>
      </c>
      <c r="J124" s="26" t="n">
        <v>1033.06</v>
      </c>
      <c r="K124" s="24" t="inlineStr">
        <is>
          <t>11300</t>
        </is>
      </c>
      <c r="L124" s="24" t="n"/>
      <c r="M124" s="24" t="inlineStr">
        <is>
          <t>Y</t>
        </is>
      </c>
      <c r="N124" s="24" t="inlineStr">
        <is>
          <t>Migrated from FY27 Revenue Tracker v2 - confirm type/sign</t>
        </is>
      </c>
    </row>
    <row r="125" ht="15" customHeight="1">
      <c r="A125" s="65" t="n">
        <v>46265</v>
      </c>
      <c r="B125" s="63">
        <f>IF(C125="","",IFERROR(INDEX(tbl_Finance[Date],MATCH(C125&amp;"",tbl_Finance[Xero Invoice No],0)),""))</f>
        <v/>
      </c>
      <c r="C125" s="24" t="n"/>
      <c r="D125" s="24" t="inlineStr">
        <is>
          <t>2519</t>
        </is>
      </c>
      <c r="E125" s="25">
        <f>IF(D125="","",IF(COUNTIF(lst_Jobs,D125&amp;"")&gt;0,"OK","CHECK"))</f>
        <v/>
      </c>
      <c r="F125" s="24" t="inlineStr">
        <is>
          <t>NSW Property</t>
        </is>
      </c>
      <c r="G125" s="24" t="inlineStr">
        <is>
          <t>INTEGRATION</t>
        </is>
      </c>
      <c r="H125" s="24" t="inlineStr">
        <is>
          <t>NSW Property 6PSQ Multi-Tennant Year 4 INV 10162 Revenue (November - October 2026)</t>
        </is>
      </c>
      <c r="I125" s="24" t="inlineStr">
        <is>
          <t>Accrual - unbilled work</t>
        </is>
      </c>
      <c r="J125" s="26" t="n">
        <v>929.33</v>
      </c>
      <c r="K125" s="24" t="inlineStr">
        <is>
          <t>11300</t>
        </is>
      </c>
      <c r="L125" s="24" t="n"/>
      <c r="M125" s="24" t="inlineStr">
        <is>
          <t>Y</t>
        </is>
      </c>
      <c r="N125" s="24" t="inlineStr">
        <is>
          <t>Migrated from FY27 Revenue Tracker v2 - confirm type/sign</t>
        </is>
      </c>
    </row>
    <row r="126" ht="15" customHeight="1">
      <c r="A126" s="65" t="n">
        <v>46265</v>
      </c>
      <c r="B126" s="63">
        <f>IF(C126="","",IFERROR(INDEX(tbl_Finance[Date],MATCH(C126&amp;"",tbl_Finance[Xero Invoice No],0)),""))</f>
        <v/>
      </c>
      <c r="C126" s="24" t="n"/>
      <c r="D126" s="24" t="inlineStr">
        <is>
          <t>2510804</t>
        </is>
      </c>
      <c r="E126" s="25">
        <f>IF(D126="","",IF(COUNTIF(lst_Jobs,D126&amp;"")&gt;0,"OK","CHECK"))</f>
        <v/>
      </c>
      <c r="F126" s="24" t="inlineStr">
        <is>
          <t>Presynct</t>
        </is>
      </c>
      <c r="G126" s="24" t="inlineStr">
        <is>
          <t>INTEGRATION</t>
        </is>
      </c>
      <c r="H126" s="24" t="inlineStr">
        <is>
          <t>Presynct - QLD - Condeco Desk Booking System INV 10199 Revenue (Nov 2025 - Oct 2025)</t>
        </is>
      </c>
      <c r="I126" s="24" t="inlineStr">
        <is>
          <t>Accrual - unbilled work</t>
        </is>
      </c>
      <c r="J126" s="26" t="n">
        <v>439.33</v>
      </c>
      <c r="K126" s="24" t="inlineStr">
        <is>
          <t>11300</t>
        </is>
      </c>
      <c r="L126" s="24" t="n"/>
      <c r="M126" s="24" t="inlineStr">
        <is>
          <t>Y</t>
        </is>
      </c>
      <c r="N126" s="24" t="inlineStr">
        <is>
          <t>Migrated from FY27 Revenue Tracker v2 - confirm type/sign</t>
        </is>
      </c>
    </row>
    <row r="127" ht="15" customHeight="1">
      <c r="A127" s="65" t="n">
        <v>46265</v>
      </c>
      <c r="B127" s="63">
        <f>IF(C127="","",IFERROR(INDEX(tbl_Finance[Date],MATCH(C127&amp;"",tbl_Finance[Xero Invoice No],0)),""))</f>
        <v/>
      </c>
      <c r="C127" s="24" t="n"/>
      <c r="D127" s="24" t="inlineStr">
        <is>
          <t>2719</t>
        </is>
      </c>
      <c r="E127" s="25">
        <f>IF(D127="","",IF(COUNTIF(lst_Jobs,D127&amp;"")&gt;0,"OK","CHECK"))</f>
        <v/>
      </c>
      <c r="F127" s="24" t="inlineStr">
        <is>
          <t>NSW Property</t>
        </is>
      </c>
      <c r="G127" s="24" t="inlineStr">
        <is>
          <t>INTEGRATION</t>
        </is>
      </c>
      <c r="H127" s="24" t="inlineStr">
        <is>
          <t>NSW Property GSP Proxyclick INV 10176 Revenue (Dec 2025 - Nov 2026)</t>
        </is>
      </c>
      <c r="I127" s="24" t="inlineStr">
        <is>
          <t>Accrual - unbilled work</t>
        </is>
      </c>
      <c r="J127" s="26" t="n">
        <v>381.15</v>
      </c>
      <c r="K127" s="24" t="inlineStr">
        <is>
          <t>11300</t>
        </is>
      </c>
      <c r="L127" s="24" t="n"/>
      <c r="M127" s="24" t="inlineStr">
        <is>
          <t>Y</t>
        </is>
      </c>
      <c r="N127" s="24" t="inlineStr">
        <is>
          <t>Migrated from FY27 Revenue Tracker v2 - confirm type/sign</t>
        </is>
      </c>
    </row>
    <row r="128" ht="15" customHeight="1">
      <c r="A128" s="65" t="n">
        <v>46265</v>
      </c>
      <c r="B128" s="63">
        <f>IF(C128="","",IFERROR(INDEX(tbl_Finance[Date],MATCH(C128&amp;"",tbl_Finance[Xero Invoice No],0)),""))</f>
        <v/>
      </c>
      <c r="C128" s="24" t="n"/>
      <c r="D128" s="24" t="inlineStr">
        <is>
          <t>2834</t>
        </is>
      </c>
      <c r="E128" s="25">
        <f>IF(D128="","",IF(COUNTIF(lst_Jobs,D128&amp;"")&gt;0,"OK","CHECK"))</f>
        <v/>
      </c>
      <c r="F128" s="24" t="inlineStr">
        <is>
          <t>APA</t>
        </is>
      </c>
      <c r="G128" s="24" t="inlineStr">
        <is>
          <t>INTEGRATION</t>
        </is>
      </c>
      <c r="H128" s="24" t="inlineStr">
        <is>
          <t>APA Young Year 4 INV-10280 Revenue (Mar 2026 - Feb 2027)</t>
        </is>
      </c>
      <c r="I128" s="24" t="inlineStr">
        <is>
          <t>Accrual - unbilled work</t>
        </is>
      </c>
      <c r="J128" s="26" t="n">
        <v>312.9</v>
      </c>
      <c r="K128" s="24" t="inlineStr">
        <is>
          <t>11300</t>
        </is>
      </c>
      <c r="L128" s="24" t="n"/>
      <c r="M128" s="24" t="inlineStr">
        <is>
          <t>Y</t>
        </is>
      </c>
      <c r="N128" s="24" t="inlineStr">
        <is>
          <t>Migrated from FY27 Revenue Tracker v2 - confirm type/sign</t>
        </is>
      </c>
    </row>
    <row r="129" ht="15" customHeight="1">
      <c r="A129" s="65" t="n">
        <v>46265</v>
      </c>
      <c r="B129" s="63">
        <f>IF(C129="","",IFERROR(INDEX(tbl_Finance[Date],MATCH(C129&amp;"",tbl_Finance[Xero Invoice No],0)),""))</f>
        <v/>
      </c>
      <c r="C129" s="24" t="n"/>
      <c r="D129" s="24" t="inlineStr">
        <is>
          <t>25021901</t>
        </is>
      </c>
      <c r="E129" s="25">
        <f>IF(D129="","",IF(COUNTIF(lst_Jobs,D129&amp;"")&gt;0,"OK","CHECK"))</f>
        <v/>
      </c>
      <c r="F129" s="24" t="inlineStr">
        <is>
          <t>DaFF</t>
        </is>
      </c>
      <c r="G129" s="24" t="inlineStr">
        <is>
          <t>INTEGRATION</t>
        </is>
      </c>
      <c r="H129" s="24" t="inlineStr">
        <is>
          <t>DAFF Consulting services invoiced in advance (INV9860)</t>
        </is>
      </c>
      <c r="I129" s="24" t="inlineStr">
        <is>
          <t>Accrual - unbilled work</t>
        </is>
      </c>
      <c r="J129" s="26" t="n">
        <v>536.25</v>
      </c>
      <c r="K129" s="24" t="inlineStr">
        <is>
          <t>11300</t>
        </is>
      </c>
      <c r="L129" s="24" t="n"/>
      <c r="M129" s="24" t="inlineStr">
        <is>
          <t>Y</t>
        </is>
      </c>
      <c r="N129" s="24" t="inlineStr">
        <is>
          <t>Migrated from FY27 Revenue Tracker v2 - confirm type/sign</t>
        </is>
      </c>
    </row>
    <row r="130" ht="15" customHeight="1">
      <c r="A130" s="65" t="n">
        <v>46265</v>
      </c>
      <c r="B130" s="63">
        <f>IF(C130="","",IFERROR(INDEX(tbl_Finance[Date],MATCH(C130&amp;"",tbl_Finance[Xero Invoice No],0)),""))</f>
        <v/>
      </c>
      <c r="C130" s="24" t="n"/>
      <c r="D130" s="24" t="inlineStr">
        <is>
          <t>26081901</t>
        </is>
      </c>
      <c r="E130" s="25">
        <f>IF(D130="","",IF(COUNTIF(lst_Jobs,D130&amp;"")&gt;0,"OK","CHECK"))</f>
        <v/>
      </c>
      <c r="F130" s="24" t="inlineStr">
        <is>
          <t>Auspost</t>
        </is>
      </c>
      <c r="G130" s="24" t="inlineStr">
        <is>
          <t>INTEGRATION</t>
        </is>
      </c>
      <c r="H130" s="24" t="inlineStr">
        <is>
          <t>AusPayNet | Logitech Room Essentials Subscription [INT] License Revenue INV-10574 (12 months lincense)</t>
        </is>
      </c>
      <c r="I130" s="24" t="inlineStr">
        <is>
          <t>Deferral - invoiced in advance</t>
        </is>
      </c>
      <c r="J130" s="26" t="n">
        <v>-993</v>
      </c>
      <c r="K130" s="24" t="inlineStr">
        <is>
          <t>11300</t>
        </is>
      </c>
      <c r="L130" s="24" t="n"/>
      <c r="M130" s="24" t="inlineStr">
        <is>
          <t>Y</t>
        </is>
      </c>
      <c r="N130" s="24" t="inlineStr">
        <is>
          <t>Migrated from FY27 Revenue Tracker v2 - confirm type/sign</t>
        </is>
      </c>
    </row>
    <row r="131" ht="15" customHeight="1">
      <c r="A131" s="65" t="n"/>
      <c r="B131" s="63">
        <f>IF(C131="","",IFERROR(INDEX(tbl_Finance[Date],MATCH(C131&amp;"",tbl_Finance[Xero Invoice No],0)),""))</f>
        <v/>
      </c>
      <c r="C131" s="24" t="n"/>
      <c r="D131" s="24" t="n"/>
      <c r="E131" s="25">
        <f>IF(D131="","",IF(COUNTIF(lst_Jobs,D131&amp;"")&gt;0,"OK","CHECK"))</f>
        <v/>
      </c>
      <c r="F131" s="24" t="n"/>
      <c r="G131" s="24" t="n"/>
      <c r="H131" s="24" t="n"/>
      <c r="I131" s="24" t="n"/>
      <c r="J131" s="26" t="n"/>
      <c r="K131" s="24" t="n"/>
      <c r="L131" s="24" t="n"/>
      <c r="M131" s="24" t="n"/>
      <c r="N131" s="24" t="n"/>
    </row>
    <row r="132" ht="15" customHeight="1">
      <c r="A132" s="65" t="n"/>
      <c r="B132" s="63">
        <f>IF(C132="","",IFERROR(INDEX(tbl_Finance[Date],MATCH(C132&amp;"",tbl_Finance[Xero Invoice No],0)),""))</f>
        <v/>
      </c>
      <c r="C132" s="24" t="n"/>
      <c r="D132" s="24" t="n"/>
      <c r="E132" s="25">
        <f>IF(D132="","",IF(COUNTIF(lst_Jobs,D132&amp;"")&gt;0,"OK","CHECK"))</f>
        <v/>
      </c>
      <c r="F132" s="24" t="n"/>
      <c r="G132" s="24" t="n"/>
      <c r="H132" s="24" t="n"/>
      <c r="I132" s="24" t="n"/>
      <c r="J132" s="26" t="n"/>
      <c r="K132" s="24" t="n"/>
      <c r="L132" s="24" t="n"/>
      <c r="M132" s="24" t="n"/>
      <c r="N132" s="24" t="n"/>
    </row>
    <row r="133" ht="15" customHeight="1">
      <c r="A133" s="65" t="n"/>
      <c r="B133" s="63">
        <f>IF(C133="","",IFERROR(INDEX(tbl_Finance[Date],MATCH(C133&amp;"",tbl_Finance[Xero Invoice No],0)),""))</f>
        <v/>
      </c>
      <c r="C133" s="24" t="n"/>
      <c r="D133" s="24" t="n"/>
      <c r="E133" s="25">
        <f>IF(D133="","",IF(COUNTIF(lst_Jobs,D133&amp;"")&gt;0,"OK","CHECK"))</f>
        <v/>
      </c>
      <c r="F133" s="24" t="n"/>
      <c r="G133" s="24" t="n"/>
      <c r="H133" s="24" t="n"/>
      <c r="I133" s="24" t="n"/>
      <c r="J133" s="26" t="n"/>
      <c r="K133" s="24" t="n"/>
      <c r="L133" s="24" t="n"/>
      <c r="M133" s="24" t="n"/>
      <c r="N133" s="24" t="n"/>
    </row>
    <row r="134" ht="15" customHeight="1">
      <c r="A134" s="65" t="n"/>
      <c r="B134" s="63">
        <f>IF(C134="","",IFERROR(INDEX(tbl_Finance[Date],MATCH(C134&amp;"",tbl_Finance[Xero Invoice No],0)),""))</f>
        <v/>
      </c>
      <c r="C134" s="24" t="n"/>
      <c r="D134" s="24" t="n"/>
      <c r="E134" s="25">
        <f>IF(D134="","",IF(COUNTIF(lst_Jobs,D134&amp;"")&gt;0,"OK","CHECK"))</f>
        <v/>
      </c>
      <c r="F134" s="24" t="n"/>
      <c r="G134" s="24" t="n"/>
      <c r="H134" s="24" t="n"/>
      <c r="I134" s="24" t="n"/>
      <c r="J134" s="26" t="n"/>
      <c r="K134" s="24" t="n"/>
      <c r="L134" s="24" t="n"/>
      <c r="M134" s="24" t="n"/>
      <c r="N134" s="24" t="n"/>
    </row>
    <row r="135" ht="15" customHeight="1">
      <c r="A135" s="65" t="n"/>
      <c r="B135" s="63">
        <f>IF(C135="","",IFERROR(INDEX(tbl_Finance[Date],MATCH(C135&amp;"",tbl_Finance[Xero Invoice No],0)),""))</f>
        <v/>
      </c>
      <c r="C135" s="24" t="n"/>
      <c r="D135" s="24" t="n"/>
      <c r="E135" s="25">
        <f>IF(D135="","",IF(COUNTIF(lst_Jobs,D135&amp;"")&gt;0,"OK","CHECK"))</f>
        <v/>
      </c>
      <c r="F135" s="24" t="n"/>
      <c r="G135" s="24" t="n"/>
      <c r="H135" s="24" t="n"/>
      <c r="I135" s="24" t="n"/>
      <c r="J135" s="26" t="n"/>
      <c r="K135" s="24" t="n"/>
      <c r="L135" s="24" t="n"/>
      <c r="M135" s="24" t="n"/>
      <c r="N135" s="24" t="n"/>
    </row>
    <row r="136" ht="15" customHeight="1">
      <c r="A136" s="65" t="n"/>
      <c r="B136" s="63">
        <f>IF(C136="","",IFERROR(INDEX(tbl_Finance[Date],MATCH(C136&amp;"",tbl_Finance[Xero Invoice No],0)),""))</f>
        <v/>
      </c>
      <c r="C136" s="24" t="n"/>
      <c r="D136" s="24" t="n"/>
      <c r="E136" s="25">
        <f>IF(D136="","",IF(COUNTIF(lst_Jobs,D136&amp;"")&gt;0,"OK","CHECK"))</f>
        <v/>
      </c>
      <c r="F136" s="24" t="n"/>
      <c r="G136" s="24" t="n"/>
      <c r="H136" s="24" t="n"/>
      <c r="I136" s="24" t="n"/>
      <c r="J136" s="26" t="n"/>
      <c r="K136" s="24" t="n"/>
      <c r="L136" s="24" t="n"/>
      <c r="M136" s="24" t="n"/>
      <c r="N136" s="24" t="n"/>
    </row>
    <row r="137" ht="15" customHeight="1">
      <c r="A137" s="65" t="n"/>
      <c r="B137" s="63">
        <f>IF(C137="","",IFERROR(INDEX(tbl_Finance[Date],MATCH(C137&amp;"",tbl_Finance[Xero Invoice No],0)),""))</f>
        <v/>
      </c>
      <c r="C137" s="24" t="n"/>
      <c r="D137" s="24" t="n"/>
      <c r="E137" s="25">
        <f>IF(D137="","",IF(COUNTIF(lst_Jobs,D137&amp;"")&gt;0,"OK","CHECK"))</f>
        <v/>
      </c>
      <c r="F137" s="24" t="n"/>
      <c r="G137" s="24" t="n"/>
      <c r="H137" s="24" t="n"/>
      <c r="I137" s="24" t="n"/>
      <c r="J137" s="26" t="n"/>
      <c r="K137" s="24" t="n"/>
      <c r="L137" s="24" t="n"/>
      <c r="M137" s="24" t="n"/>
      <c r="N137" s="24" t="n"/>
    </row>
    <row r="138" ht="15" customHeight="1">
      <c r="A138" s="65" t="n"/>
      <c r="B138" s="63">
        <f>IF(C138="","",IFERROR(INDEX(tbl_Finance[Date],MATCH(C138&amp;"",tbl_Finance[Xero Invoice No],0)),""))</f>
        <v/>
      </c>
      <c r="C138" s="24" t="n"/>
      <c r="D138" s="24" t="n"/>
      <c r="E138" s="25">
        <f>IF(D138="","",IF(COUNTIF(lst_Jobs,D138&amp;"")&gt;0,"OK","CHECK"))</f>
        <v/>
      </c>
      <c r="F138" s="24" t="n"/>
      <c r="G138" s="24" t="n"/>
      <c r="H138" s="24" t="n"/>
      <c r="I138" s="24" t="n"/>
      <c r="J138" s="26" t="n"/>
      <c r="K138" s="24" t="n"/>
      <c r="L138" s="24" t="n"/>
      <c r="M138" s="24" t="n"/>
      <c r="N138" s="24" t="n"/>
    </row>
    <row r="139" ht="15" customHeight="1">
      <c r="A139" s="65" t="n"/>
      <c r="B139" s="63">
        <f>IF(C139="","",IFERROR(INDEX(tbl_Finance[Date],MATCH(C139&amp;"",tbl_Finance[Xero Invoice No],0)),""))</f>
        <v/>
      </c>
      <c r="C139" s="24" t="n"/>
      <c r="D139" s="24" t="n"/>
      <c r="E139" s="25">
        <f>IF(D139="","",IF(COUNTIF(lst_Jobs,D139&amp;"")&gt;0,"OK","CHECK"))</f>
        <v/>
      </c>
      <c r="F139" s="24" t="n"/>
      <c r="G139" s="24" t="n"/>
      <c r="H139" s="24" t="n"/>
      <c r="I139" s="24" t="n"/>
      <c r="J139" s="26" t="n"/>
      <c r="K139" s="24" t="n"/>
      <c r="L139" s="24" t="n"/>
      <c r="M139" s="24" t="n"/>
      <c r="N139" s="24" t="n"/>
    </row>
    <row r="140" ht="15" customHeight="1">
      <c r="A140" s="65" t="n"/>
      <c r="B140" s="63">
        <f>IF(C140="","",IFERROR(INDEX(tbl_Finance[Date],MATCH(C140&amp;"",tbl_Finance[Xero Invoice No],0)),""))</f>
        <v/>
      </c>
      <c r="C140" s="24" t="n"/>
      <c r="D140" s="24" t="n"/>
      <c r="E140" s="25">
        <f>IF(D140="","",IF(COUNTIF(lst_Jobs,D140&amp;"")&gt;0,"OK","CHECK"))</f>
        <v/>
      </c>
      <c r="F140" s="24" t="n"/>
      <c r="G140" s="24" t="n"/>
      <c r="H140" s="24" t="n"/>
      <c r="I140" s="24" t="n"/>
      <c r="J140" s="26" t="n"/>
      <c r="K140" s="24" t="n"/>
      <c r="L140" s="24" t="n"/>
      <c r="M140" s="24" t="n"/>
      <c r="N140" s="24" t="n"/>
    </row>
    <row r="141" ht="15" customHeight="1">
      <c r="A141" s="65" t="n"/>
      <c r="B141" s="63">
        <f>IF(C141="","",IFERROR(INDEX(tbl_Finance[Date],MATCH(C141&amp;"",tbl_Finance[Xero Invoice No],0)),""))</f>
        <v/>
      </c>
      <c r="C141" s="24" t="n"/>
      <c r="D141" s="24" t="n"/>
      <c r="E141" s="25">
        <f>IF(D141="","",IF(COUNTIF(lst_Jobs,D141&amp;"")&gt;0,"OK","CHECK"))</f>
        <v/>
      </c>
      <c r="F141" s="24" t="n"/>
      <c r="G141" s="24" t="n"/>
      <c r="H141" s="24" t="n"/>
      <c r="I141" s="24" t="n"/>
      <c r="J141" s="26" t="n"/>
      <c r="K141" s="24" t="n"/>
      <c r="L141" s="24" t="n"/>
      <c r="M141" s="24" t="n"/>
      <c r="N141" s="24" t="n"/>
    </row>
    <row r="142" ht="15" customHeight="1">
      <c r="A142" s="65" t="n"/>
      <c r="B142" s="63">
        <f>IF(C142="","",IFERROR(INDEX(tbl_Finance[Date],MATCH(C142&amp;"",tbl_Finance[Xero Invoice No],0)),""))</f>
        <v/>
      </c>
      <c r="C142" s="24" t="n"/>
      <c r="D142" s="24" t="n"/>
      <c r="E142" s="25">
        <f>IF(D142="","",IF(COUNTIF(lst_Jobs,D142&amp;"")&gt;0,"OK","CHECK"))</f>
        <v/>
      </c>
      <c r="F142" s="24" t="n"/>
      <c r="G142" s="24" t="n"/>
      <c r="H142" s="24" t="n"/>
      <c r="I142" s="24" t="n"/>
      <c r="J142" s="26" t="n"/>
      <c r="K142" s="24" t="n"/>
      <c r="L142" s="24" t="n"/>
      <c r="M142" s="24" t="n"/>
      <c r="N142" s="24" t="n"/>
    </row>
    <row r="143" ht="15" customHeight="1">
      <c r="A143" s="65" t="n"/>
      <c r="B143" s="63">
        <f>IF(C143="","",IFERROR(INDEX(tbl_Finance[Date],MATCH(C143&amp;"",tbl_Finance[Xero Invoice No],0)),""))</f>
        <v/>
      </c>
      <c r="C143" s="24" t="n"/>
      <c r="D143" s="24" t="n"/>
      <c r="E143" s="25">
        <f>IF(D143="","",IF(COUNTIF(lst_Jobs,D143&amp;"")&gt;0,"OK","CHECK"))</f>
        <v/>
      </c>
      <c r="F143" s="24" t="n"/>
      <c r="G143" s="24" t="n"/>
      <c r="H143" s="24" t="n"/>
      <c r="I143" s="24" t="n"/>
      <c r="J143" s="26" t="n"/>
      <c r="K143" s="24" t="n"/>
      <c r="L143" s="24" t="n"/>
      <c r="M143" s="24" t="n"/>
      <c r="N143" s="24" t="n"/>
    </row>
    <row r="144" ht="15" customHeight="1">
      <c r="A144" s="65" t="n"/>
      <c r="B144" s="63">
        <f>IF(C144="","",IFERROR(INDEX(tbl_Finance[Date],MATCH(C144&amp;"",tbl_Finance[Xero Invoice No],0)),""))</f>
        <v/>
      </c>
      <c r="C144" s="24" t="n"/>
      <c r="D144" s="24" t="n"/>
      <c r="E144" s="25">
        <f>IF(D144="","",IF(COUNTIF(lst_Jobs,D144&amp;"")&gt;0,"OK","CHECK"))</f>
        <v/>
      </c>
      <c r="F144" s="24" t="n"/>
      <c r="G144" s="24" t="n"/>
      <c r="H144" s="24" t="n"/>
      <c r="I144" s="24" t="n"/>
      <c r="J144" s="26" t="n"/>
      <c r="K144" s="24" t="n"/>
      <c r="L144" s="24" t="n"/>
      <c r="M144" s="24" t="n"/>
      <c r="N144" s="24" t="n"/>
    </row>
    <row r="145" ht="15" customHeight="1">
      <c r="A145" s="65" t="n"/>
      <c r="B145" s="63">
        <f>IF(C145="","",IFERROR(INDEX(tbl_Finance[Date],MATCH(C145&amp;"",tbl_Finance[Xero Invoice No],0)),""))</f>
        <v/>
      </c>
      <c r="C145" s="24" t="n"/>
      <c r="D145" s="24" t="n"/>
      <c r="E145" s="25">
        <f>IF(D145="","",IF(COUNTIF(lst_Jobs,D145&amp;"")&gt;0,"OK","CHECK"))</f>
        <v/>
      </c>
      <c r="F145" s="24" t="n"/>
      <c r="G145" s="24" t="n"/>
      <c r="H145" s="24" t="n"/>
      <c r="I145" s="24" t="n"/>
      <c r="J145" s="26" t="n"/>
      <c r="K145" s="24" t="n"/>
      <c r="L145" s="24" t="n"/>
      <c r="M145" s="24" t="n"/>
      <c r="N145" s="24" t="n"/>
    </row>
    <row r="146" ht="15" customHeight="1">
      <c r="A146" s="65" t="n"/>
      <c r="B146" s="63">
        <f>IF(C146="","",IFERROR(INDEX(tbl_Finance[Date],MATCH(C146&amp;"",tbl_Finance[Xero Invoice No],0)),""))</f>
        <v/>
      </c>
      <c r="C146" s="24" t="n"/>
      <c r="D146" s="24" t="n"/>
      <c r="E146" s="25">
        <f>IF(D146="","",IF(COUNTIF(lst_Jobs,D146&amp;"")&gt;0,"OK","CHECK"))</f>
        <v/>
      </c>
      <c r="F146" s="24" t="n"/>
      <c r="G146" s="24" t="n"/>
      <c r="H146" s="24" t="n"/>
      <c r="I146" s="24" t="n"/>
      <c r="J146" s="26" t="n"/>
      <c r="K146" s="24" t="n"/>
      <c r="L146" s="24" t="n"/>
      <c r="M146" s="24" t="n"/>
      <c r="N146" s="24" t="n"/>
    </row>
    <row r="147" ht="15" customHeight="1">
      <c r="A147" s="65" t="n"/>
      <c r="B147" s="63">
        <f>IF(C147="","",IFERROR(INDEX(tbl_Finance[Date],MATCH(C147&amp;"",tbl_Finance[Xero Invoice No],0)),""))</f>
        <v/>
      </c>
      <c r="C147" s="24" t="n"/>
      <c r="D147" s="24" t="n"/>
      <c r="E147" s="25">
        <f>IF(D147="","",IF(COUNTIF(lst_Jobs,D147&amp;"")&gt;0,"OK","CHECK"))</f>
        <v/>
      </c>
      <c r="F147" s="24" t="n"/>
      <c r="G147" s="24" t="n"/>
      <c r="H147" s="24" t="n"/>
      <c r="I147" s="24" t="n"/>
      <c r="J147" s="26" t="n"/>
      <c r="K147" s="24" t="n"/>
      <c r="L147" s="24" t="n"/>
      <c r="M147" s="24" t="n"/>
      <c r="N147" s="24" t="n"/>
    </row>
    <row r="148" ht="15" customHeight="1">
      <c r="A148" s="65" t="n"/>
      <c r="B148" s="63">
        <f>IF(C148="","",IFERROR(INDEX(tbl_Finance[Date],MATCH(C148&amp;"",tbl_Finance[Xero Invoice No],0)),""))</f>
        <v/>
      </c>
      <c r="C148" s="24" t="n"/>
      <c r="D148" s="24" t="n"/>
      <c r="E148" s="25">
        <f>IF(D148="","",IF(COUNTIF(lst_Jobs,D148&amp;"")&gt;0,"OK","CHECK"))</f>
        <v/>
      </c>
      <c r="F148" s="24" t="n"/>
      <c r="G148" s="24" t="n"/>
      <c r="H148" s="24" t="n"/>
      <c r="I148" s="24" t="n"/>
      <c r="J148" s="26" t="n"/>
      <c r="K148" s="24" t="n"/>
      <c r="L148" s="24" t="n"/>
      <c r="M148" s="24" t="n"/>
      <c r="N148" s="24" t="n"/>
    </row>
    <row r="149" ht="15" customHeight="1">
      <c r="A149" s="65" t="n"/>
      <c r="B149" s="63">
        <f>IF(C149="","",IFERROR(INDEX(tbl_Finance[Date],MATCH(C149&amp;"",tbl_Finance[Xero Invoice No],0)),""))</f>
        <v/>
      </c>
      <c r="C149" s="24" t="n"/>
      <c r="D149" s="24" t="n"/>
      <c r="E149" s="25">
        <f>IF(D149="","",IF(COUNTIF(lst_Jobs,D149&amp;"")&gt;0,"OK","CHECK"))</f>
        <v/>
      </c>
      <c r="F149" s="24" t="n"/>
      <c r="G149" s="24" t="n"/>
      <c r="H149" s="24" t="n"/>
      <c r="I149" s="24" t="n"/>
      <c r="J149" s="26" t="n"/>
      <c r="K149" s="24" t="n"/>
      <c r="L149" s="24" t="n"/>
      <c r="M149" s="24" t="n"/>
      <c r="N149" s="24" t="n"/>
    </row>
    <row r="150" ht="15" customHeight="1">
      <c r="A150" s="65" t="n"/>
      <c r="B150" s="63">
        <f>IF(C150="","",IFERROR(INDEX(tbl_Finance[Date],MATCH(C150&amp;"",tbl_Finance[Xero Invoice No],0)),""))</f>
        <v/>
      </c>
      <c r="C150" s="24" t="n"/>
      <c r="D150" s="24" t="n"/>
      <c r="E150" s="25">
        <f>IF(D150="","",IF(COUNTIF(lst_Jobs,D150&amp;"")&gt;0,"OK","CHECK"))</f>
        <v/>
      </c>
      <c r="F150" s="24" t="n"/>
      <c r="G150" s="24" t="n"/>
      <c r="H150" s="24" t="n"/>
      <c r="I150" s="24" t="n"/>
      <c r="J150" s="26" t="n"/>
      <c r="K150" s="24" t="n"/>
      <c r="L150" s="24" t="n"/>
      <c r="M150" s="24" t="n"/>
      <c r="N150" s="24" t="n"/>
    </row>
    <row r="151" ht="15" customHeight="1">
      <c r="A151" s="65" t="n"/>
      <c r="B151" s="63">
        <f>IF(C151="","",IFERROR(INDEX(tbl_Finance[Date],MATCH(C151&amp;"",tbl_Finance[Xero Invoice No],0)),""))</f>
        <v/>
      </c>
      <c r="C151" s="24" t="n"/>
      <c r="D151" s="24" t="n"/>
      <c r="E151" s="25">
        <f>IF(D151="","",IF(COUNTIF(lst_Jobs,D151&amp;"")&gt;0,"OK","CHECK"))</f>
        <v/>
      </c>
      <c r="F151" s="24" t="n"/>
      <c r="G151" s="24" t="n"/>
      <c r="H151" s="24" t="n"/>
      <c r="I151" s="24" t="n"/>
      <c r="J151" s="26" t="n"/>
      <c r="K151" s="24" t="n"/>
      <c r="L151" s="24" t="n"/>
      <c r="M151" s="24" t="n"/>
      <c r="N151" s="24" t="n"/>
    </row>
    <row r="152" ht="15" customHeight="1">
      <c r="A152" s="65" t="n"/>
      <c r="B152" s="63">
        <f>IF(C152="","",IFERROR(INDEX(tbl_Finance[Date],MATCH(C152&amp;"",tbl_Finance[Xero Invoice No],0)),""))</f>
        <v/>
      </c>
      <c r="C152" s="24" t="n"/>
      <c r="D152" s="24" t="n"/>
      <c r="E152" s="25">
        <f>IF(D152="","",IF(COUNTIF(lst_Jobs,D152&amp;"")&gt;0,"OK","CHECK"))</f>
        <v/>
      </c>
      <c r="F152" s="24" t="n"/>
      <c r="G152" s="24" t="n"/>
      <c r="H152" s="24" t="n"/>
      <c r="I152" s="24" t="n"/>
      <c r="J152" s="26" t="n"/>
      <c r="K152" s="24" t="n"/>
      <c r="L152" s="24" t="n"/>
      <c r="M152" s="24" t="n"/>
      <c r="N152" s="24" t="n"/>
    </row>
    <row r="153" ht="15" customHeight="1">
      <c r="A153" s="65" t="n"/>
      <c r="B153" s="63">
        <f>IF(C153="","",IFERROR(INDEX(tbl_Finance[Date],MATCH(C153&amp;"",tbl_Finance[Xero Invoice No],0)),""))</f>
        <v/>
      </c>
      <c r="C153" s="24" t="n"/>
      <c r="D153" s="24" t="n"/>
      <c r="E153" s="25">
        <f>IF(D153="","",IF(COUNTIF(lst_Jobs,D153&amp;"")&gt;0,"OK","CHECK"))</f>
        <v/>
      </c>
      <c r="F153" s="24" t="n"/>
      <c r="G153" s="24" t="n"/>
      <c r="H153" s="24" t="n"/>
      <c r="I153" s="24" t="n"/>
      <c r="J153" s="26" t="n"/>
      <c r="K153" s="24" t="n"/>
      <c r="L153" s="24" t="n"/>
      <c r="M153" s="24" t="n"/>
      <c r="N153" s="24" t="n"/>
    </row>
    <row r="154" ht="15" customHeight="1">
      <c r="A154" s="65" t="n"/>
      <c r="B154" s="63">
        <f>IF(C154="","",IFERROR(INDEX(tbl_Finance[Date],MATCH(C154&amp;"",tbl_Finance[Xero Invoice No],0)),""))</f>
        <v/>
      </c>
      <c r="C154" s="24" t="n"/>
      <c r="D154" s="24" t="n"/>
      <c r="E154" s="25">
        <f>IF(D154="","",IF(COUNTIF(lst_Jobs,D154&amp;"")&gt;0,"OK","CHECK"))</f>
        <v/>
      </c>
      <c r="F154" s="24" t="n"/>
      <c r="G154" s="24" t="n"/>
      <c r="H154" s="24" t="n"/>
      <c r="I154" s="24" t="n"/>
      <c r="J154" s="26" t="n"/>
      <c r="K154" s="24" t="n"/>
      <c r="L154" s="24" t="n"/>
      <c r="M154" s="24" t="n"/>
      <c r="N154" s="24" t="n"/>
    </row>
    <row r="155" ht="15" customHeight="1">
      <c r="A155" s="65" t="n"/>
      <c r="B155" s="63">
        <f>IF(C155="","",IFERROR(INDEX(tbl_Finance[Date],MATCH(C155&amp;"",tbl_Finance[Xero Invoice No],0)),""))</f>
        <v/>
      </c>
      <c r="C155" s="24" t="n"/>
      <c r="D155" s="24" t="n"/>
      <c r="E155" s="25">
        <f>IF(D155="","",IF(COUNTIF(lst_Jobs,D155&amp;"")&gt;0,"OK","CHECK"))</f>
        <v/>
      </c>
      <c r="F155" s="24" t="n"/>
      <c r="G155" s="24" t="n"/>
      <c r="H155" s="24" t="n"/>
      <c r="I155" s="24" t="n"/>
      <c r="J155" s="26" t="n"/>
      <c r="K155" s="24" t="n"/>
      <c r="L155" s="24" t="n"/>
      <c r="M155" s="24" t="n"/>
      <c r="N155" s="24" t="n"/>
    </row>
    <row r="156" ht="15" customHeight="1">
      <c r="A156" s="65" t="n"/>
      <c r="B156" s="63">
        <f>IF(C156="","",IFERROR(INDEX(tbl_Finance[Date],MATCH(C156&amp;"",tbl_Finance[Xero Invoice No],0)),""))</f>
        <v/>
      </c>
      <c r="C156" s="24" t="n"/>
      <c r="D156" s="24" t="n"/>
      <c r="E156" s="25">
        <f>IF(D156="","",IF(COUNTIF(lst_Jobs,D156&amp;"")&gt;0,"OK","CHECK"))</f>
        <v/>
      </c>
      <c r="F156" s="24" t="n"/>
      <c r="G156" s="24" t="n"/>
      <c r="H156" s="24" t="n"/>
      <c r="I156" s="24" t="n"/>
      <c r="J156" s="26" t="n"/>
      <c r="K156" s="24" t="n"/>
      <c r="L156" s="24" t="n"/>
      <c r="M156" s="24" t="n"/>
      <c r="N156" s="24" t="n"/>
    </row>
    <row r="157" ht="15" customHeight="1">
      <c r="A157" s="65" t="n"/>
      <c r="B157" s="63">
        <f>IF(C157="","",IFERROR(INDEX(tbl_Finance[Date],MATCH(C157&amp;"",tbl_Finance[Xero Invoice No],0)),""))</f>
        <v/>
      </c>
      <c r="C157" s="24" t="n"/>
      <c r="D157" s="24" t="n"/>
      <c r="E157" s="25">
        <f>IF(D157="","",IF(COUNTIF(lst_Jobs,D157&amp;"")&gt;0,"OK","CHECK"))</f>
        <v/>
      </c>
      <c r="F157" s="24" t="n"/>
      <c r="G157" s="24" t="n"/>
      <c r="H157" s="24" t="n"/>
      <c r="I157" s="24" t="n"/>
      <c r="J157" s="26" t="n"/>
      <c r="K157" s="24" t="n"/>
      <c r="L157" s="24" t="n"/>
      <c r="M157" s="24" t="n"/>
      <c r="N157" s="24" t="n"/>
    </row>
    <row r="158" ht="15" customHeight="1">
      <c r="A158" s="65" t="n"/>
      <c r="B158" s="63">
        <f>IF(C158="","",IFERROR(INDEX(tbl_Finance[Date],MATCH(C158&amp;"",tbl_Finance[Xero Invoice No],0)),""))</f>
        <v/>
      </c>
      <c r="C158" s="24" t="n"/>
      <c r="D158" s="24" t="n"/>
      <c r="E158" s="25">
        <f>IF(D158="","",IF(COUNTIF(lst_Jobs,D158&amp;"")&gt;0,"OK","CHECK"))</f>
        <v/>
      </c>
      <c r="F158" s="24" t="n"/>
      <c r="G158" s="24" t="n"/>
      <c r="H158" s="24" t="n"/>
      <c r="I158" s="24" t="n"/>
      <c r="J158" s="26" t="n"/>
      <c r="K158" s="24" t="n"/>
      <c r="L158" s="24" t="n"/>
      <c r="M158" s="24" t="n"/>
      <c r="N158" s="24" t="n"/>
    </row>
    <row r="159" ht="15" customHeight="1">
      <c r="A159" s="65" t="n"/>
      <c r="B159" s="63">
        <f>IF(C159="","",IFERROR(INDEX(tbl_Finance[Date],MATCH(C159&amp;"",tbl_Finance[Xero Invoice No],0)),""))</f>
        <v/>
      </c>
      <c r="C159" s="24" t="n"/>
      <c r="D159" s="24" t="n"/>
      <c r="E159" s="25">
        <f>IF(D159="","",IF(COUNTIF(lst_Jobs,D159&amp;"")&gt;0,"OK","CHECK"))</f>
        <v/>
      </c>
      <c r="F159" s="24" t="n"/>
      <c r="G159" s="24" t="n"/>
      <c r="H159" s="24" t="n"/>
      <c r="I159" s="24" t="n"/>
      <c r="J159" s="26" t="n"/>
      <c r="K159" s="24" t="n"/>
      <c r="L159" s="24" t="n"/>
      <c r="M159" s="24" t="n"/>
      <c r="N159" s="24" t="n"/>
    </row>
    <row r="160" ht="15" customHeight="1">
      <c r="A160" s="65" t="n"/>
      <c r="B160" s="63">
        <f>IF(C160="","",IFERROR(INDEX(tbl_Finance[Date],MATCH(C160&amp;"",tbl_Finance[Xero Invoice No],0)),""))</f>
        <v/>
      </c>
      <c r="C160" s="24" t="n"/>
      <c r="D160" s="24" t="n"/>
      <c r="E160" s="25">
        <f>IF(D160="","",IF(COUNTIF(lst_Jobs,D160&amp;"")&gt;0,"OK","CHECK"))</f>
        <v/>
      </c>
      <c r="F160" s="24" t="n"/>
      <c r="G160" s="24" t="n"/>
      <c r="H160" s="24" t="n"/>
      <c r="I160" s="24" t="n"/>
      <c r="J160" s="26" t="n"/>
      <c r="K160" s="24" t="n"/>
      <c r="L160" s="24" t="n"/>
      <c r="M160" s="24" t="n"/>
      <c r="N160" s="24" t="n"/>
    </row>
    <row r="161" ht="15" customHeight="1">
      <c r="A161" s="65" t="n"/>
      <c r="B161" s="63">
        <f>IF(C161="","",IFERROR(INDEX(tbl_Finance[Date],MATCH(C161&amp;"",tbl_Finance[Xero Invoice No],0)),""))</f>
        <v/>
      </c>
      <c r="C161" s="24" t="n"/>
      <c r="D161" s="24" t="n"/>
      <c r="E161" s="25">
        <f>IF(D161="","",IF(COUNTIF(lst_Jobs,D161&amp;"")&gt;0,"OK","CHECK"))</f>
        <v/>
      </c>
      <c r="F161" s="24" t="n"/>
      <c r="G161" s="24" t="n"/>
      <c r="H161" s="24" t="n"/>
      <c r="I161" s="24" t="n"/>
      <c r="J161" s="26" t="n"/>
      <c r="K161" s="24" t="n"/>
      <c r="L161" s="24" t="n"/>
      <c r="M161" s="24" t="n"/>
      <c r="N161" s="24" t="n"/>
    </row>
    <row r="162" ht="15" customHeight="1">
      <c r="A162" s="65" t="n"/>
      <c r="B162" s="63">
        <f>IF(C162="","",IFERROR(INDEX(tbl_Finance[Date],MATCH(C162&amp;"",tbl_Finance[Xero Invoice No],0)),""))</f>
        <v/>
      </c>
      <c r="C162" s="24" t="n"/>
      <c r="D162" s="24" t="n"/>
      <c r="E162" s="25">
        <f>IF(D162="","",IF(COUNTIF(lst_Jobs,D162&amp;"")&gt;0,"OK","CHECK"))</f>
        <v/>
      </c>
      <c r="F162" s="24" t="n"/>
      <c r="G162" s="24" t="n"/>
      <c r="H162" s="24" t="n"/>
      <c r="I162" s="24" t="n"/>
      <c r="J162" s="26" t="n"/>
      <c r="K162" s="24" t="n"/>
      <c r="L162" s="24" t="n"/>
      <c r="M162" s="24" t="n"/>
      <c r="N162" s="24" t="n"/>
    </row>
    <row r="163" ht="15" customHeight="1">
      <c r="A163" s="65" t="n"/>
      <c r="B163" s="63">
        <f>IF(C163="","",IFERROR(INDEX(tbl_Finance[Date],MATCH(C163&amp;"",tbl_Finance[Xero Invoice No],0)),""))</f>
        <v/>
      </c>
      <c r="C163" s="24" t="n"/>
      <c r="D163" s="24" t="n"/>
      <c r="E163" s="25">
        <f>IF(D163="","",IF(COUNTIF(lst_Jobs,D163&amp;"")&gt;0,"OK","CHECK"))</f>
        <v/>
      </c>
      <c r="F163" s="24" t="n"/>
      <c r="G163" s="24" t="n"/>
      <c r="H163" s="24" t="n"/>
      <c r="I163" s="24" t="n"/>
      <c r="J163" s="26" t="n"/>
      <c r="K163" s="24" t="n"/>
      <c r="L163" s="24" t="n"/>
      <c r="M163" s="24" t="n"/>
      <c r="N163" s="24" t="n"/>
    </row>
    <row r="164" ht="15" customHeight="1">
      <c r="A164" s="65" t="n"/>
      <c r="B164" s="63">
        <f>IF(C164="","",IFERROR(INDEX(tbl_Finance[Date],MATCH(C164&amp;"",tbl_Finance[Xero Invoice No],0)),""))</f>
        <v/>
      </c>
      <c r="C164" s="24" t="n"/>
      <c r="D164" s="24" t="n"/>
      <c r="E164" s="25">
        <f>IF(D164="","",IF(COUNTIF(lst_Jobs,D164&amp;"")&gt;0,"OK","CHECK"))</f>
        <v/>
      </c>
      <c r="F164" s="24" t="n"/>
      <c r="G164" s="24" t="n"/>
      <c r="H164" s="24" t="n"/>
      <c r="I164" s="24" t="n"/>
      <c r="J164" s="26" t="n"/>
      <c r="K164" s="24" t="n"/>
      <c r="L164" s="24" t="n"/>
      <c r="M164" s="24" t="n"/>
      <c r="N164" s="24" t="n"/>
    </row>
    <row r="165" ht="15" customHeight="1">
      <c r="A165" s="65" t="n"/>
      <c r="B165" s="63">
        <f>IF(C165="","",IFERROR(INDEX(tbl_Finance[Date],MATCH(C165&amp;"",tbl_Finance[Xero Invoice No],0)),""))</f>
        <v/>
      </c>
      <c r="C165" s="24" t="n"/>
      <c r="D165" s="24" t="n"/>
      <c r="E165" s="25">
        <f>IF(D165="","",IF(COUNTIF(lst_Jobs,D165&amp;"")&gt;0,"OK","CHECK"))</f>
        <v/>
      </c>
      <c r="F165" s="24" t="n"/>
      <c r="G165" s="24" t="n"/>
      <c r="H165" s="24" t="n"/>
      <c r="I165" s="24" t="n"/>
      <c r="J165" s="26" t="n"/>
      <c r="K165" s="24" t="n"/>
      <c r="L165" s="24" t="n"/>
      <c r="M165" s="24" t="n"/>
      <c r="N165" s="24" t="n"/>
    </row>
    <row r="166" ht="15" customHeight="1">
      <c r="A166" s="65" t="n"/>
      <c r="B166" s="63">
        <f>IF(C166="","",IFERROR(INDEX(tbl_Finance[Date],MATCH(C166&amp;"",tbl_Finance[Xero Invoice No],0)),""))</f>
        <v/>
      </c>
      <c r="C166" s="24" t="n"/>
      <c r="D166" s="24" t="n"/>
      <c r="E166" s="25">
        <f>IF(D166="","",IF(COUNTIF(lst_Jobs,D166&amp;"")&gt;0,"OK","CHECK"))</f>
        <v/>
      </c>
      <c r="F166" s="24" t="n"/>
      <c r="G166" s="24" t="n"/>
      <c r="H166" s="24" t="n"/>
      <c r="I166" s="24" t="n"/>
      <c r="J166" s="26" t="n"/>
      <c r="K166" s="24" t="n"/>
      <c r="L166" s="24" t="n"/>
      <c r="M166" s="24" t="n"/>
      <c r="N166" s="24" t="n"/>
    </row>
    <row r="167" ht="15" customHeight="1">
      <c r="A167" s="65" t="n"/>
      <c r="B167" s="63">
        <f>IF(C167="","",IFERROR(INDEX(tbl_Finance[Date],MATCH(C167&amp;"",tbl_Finance[Xero Invoice No],0)),""))</f>
        <v/>
      </c>
      <c r="C167" s="24" t="n"/>
      <c r="D167" s="24" t="n"/>
      <c r="E167" s="25">
        <f>IF(D167="","",IF(COUNTIF(lst_Jobs,D167&amp;"")&gt;0,"OK","CHECK"))</f>
        <v/>
      </c>
      <c r="F167" s="24" t="n"/>
      <c r="G167" s="24" t="n"/>
      <c r="H167" s="24" t="n"/>
      <c r="I167" s="24" t="n"/>
      <c r="J167" s="26" t="n"/>
      <c r="K167" s="24" t="n"/>
      <c r="L167" s="24" t="n"/>
      <c r="M167" s="24" t="n"/>
      <c r="N167" s="24" t="n"/>
    </row>
    <row r="168" ht="15" customHeight="1">
      <c r="A168" s="65" t="n"/>
      <c r="B168" s="63">
        <f>IF(C168="","",IFERROR(INDEX(tbl_Finance[Date],MATCH(C168&amp;"",tbl_Finance[Xero Invoice No],0)),""))</f>
        <v/>
      </c>
      <c r="C168" s="24" t="n"/>
      <c r="D168" s="24" t="n"/>
      <c r="E168" s="25">
        <f>IF(D168="","",IF(COUNTIF(lst_Jobs,D168&amp;"")&gt;0,"OK","CHECK"))</f>
        <v/>
      </c>
      <c r="F168" s="24" t="n"/>
      <c r="G168" s="24" t="n"/>
      <c r="H168" s="24" t="n"/>
      <c r="I168" s="24" t="n"/>
      <c r="J168" s="26" t="n"/>
      <c r="K168" s="24" t="n"/>
      <c r="L168" s="24" t="n"/>
      <c r="M168" s="24" t="n"/>
      <c r="N168" s="24" t="n"/>
    </row>
    <row r="169" ht="15" customHeight="1">
      <c r="A169" s="65" t="n"/>
      <c r="B169" s="63">
        <f>IF(C169="","",IFERROR(INDEX(tbl_Finance[Date],MATCH(C169&amp;"",tbl_Finance[Xero Invoice No],0)),""))</f>
        <v/>
      </c>
      <c r="C169" s="24" t="n"/>
      <c r="D169" s="24" t="n"/>
      <c r="E169" s="25">
        <f>IF(D169="","",IF(COUNTIF(lst_Jobs,D169&amp;"")&gt;0,"OK","CHECK"))</f>
        <v/>
      </c>
      <c r="F169" s="24" t="n"/>
      <c r="G169" s="24" t="n"/>
      <c r="H169" s="24" t="n"/>
      <c r="I169" s="24" t="n"/>
      <c r="J169" s="26" t="n"/>
      <c r="K169" s="24" t="n"/>
      <c r="L169" s="24" t="n"/>
      <c r="M169" s="24" t="n"/>
      <c r="N169" s="24" t="n"/>
    </row>
    <row r="170" ht="15" customHeight="1">
      <c r="A170" s="65" t="n"/>
      <c r="B170" s="63">
        <f>IF(C170="","",IFERROR(INDEX(tbl_Finance[Date],MATCH(C170&amp;"",tbl_Finance[Xero Invoice No],0)),""))</f>
        <v/>
      </c>
      <c r="C170" s="24" t="n"/>
      <c r="D170" s="24" t="n"/>
      <c r="E170" s="25">
        <f>IF(D170="","",IF(COUNTIF(lst_Jobs,D170&amp;"")&gt;0,"OK","CHECK"))</f>
        <v/>
      </c>
      <c r="F170" s="24" t="n"/>
      <c r="G170" s="24" t="n"/>
      <c r="H170" s="24" t="n"/>
      <c r="I170" s="24" t="n"/>
      <c r="J170" s="26" t="n"/>
      <c r="K170" s="24" t="n"/>
      <c r="L170" s="24" t="n"/>
      <c r="M170" s="24" t="n"/>
      <c r="N170" s="24" t="n"/>
    </row>
    <row r="171" ht="15" customHeight="1">
      <c r="A171" s="65" t="n"/>
      <c r="B171" s="63">
        <f>IF(C171="","",IFERROR(INDEX(tbl_Finance[Date],MATCH(C171&amp;"",tbl_Finance[Xero Invoice No],0)),""))</f>
        <v/>
      </c>
      <c r="C171" s="24" t="n"/>
      <c r="D171" s="24" t="n"/>
      <c r="E171" s="25">
        <f>IF(D171="","",IF(COUNTIF(lst_Jobs,D171&amp;"")&gt;0,"OK","CHECK"))</f>
        <v/>
      </c>
      <c r="F171" s="24" t="n"/>
      <c r="G171" s="24" t="n"/>
      <c r="H171" s="24" t="n"/>
      <c r="I171" s="24" t="n"/>
      <c r="J171" s="26" t="n"/>
      <c r="K171" s="24" t="n"/>
      <c r="L171" s="24" t="n"/>
      <c r="M171" s="24" t="n"/>
      <c r="N171" s="24" t="n"/>
    </row>
    <row r="172" ht="15" customHeight="1">
      <c r="A172" s="65" t="n"/>
      <c r="B172" s="63">
        <f>IF(C172="","",IFERROR(INDEX(tbl_Finance[Date],MATCH(C172&amp;"",tbl_Finance[Xero Invoice No],0)),""))</f>
        <v/>
      </c>
      <c r="C172" s="24" t="n"/>
      <c r="D172" s="24" t="n"/>
      <c r="E172" s="25">
        <f>IF(D172="","",IF(COUNTIF(lst_Jobs,D172&amp;"")&gt;0,"OK","CHECK"))</f>
        <v/>
      </c>
      <c r="F172" s="24" t="n"/>
      <c r="G172" s="24" t="n"/>
      <c r="H172" s="24" t="n"/>
      <c r="I172" s="24" t="n"/>
      <c r="J172" s="26" t="n"/>
      <c r="K172" s="24" t="n"/>
      <c r="L172" s="24" t="n"/>
      <c r="M172" s="24" t="n"/>
      <c r="N172" s="24" t="n"/>
    </row>
    <row r="173" ht="15" customHeight="1">
      <c r="A173" s="65" t="n"/>
      <c r="B173" s="63">
        <f>IF(C173="","",IFERROR(INDEX(tbl_Finance[Date],MATCH(C173&amp;"",tbl_Finance[Xero Invoice No],0)),""))</f>
        <v/>
      </c>
      <c r="C173" s="24" t="n"/>
      <c r="D173" s="24" t="n"/>
      <c r="E173" s="25">
        <f>IF(D173="","",IF(COUNTIF(lst_Jobs,D173&amp;"")&gt;0,"OK","CHECK"))</f>
        <v/>
      </c>
      <c r="F173" s="24" t="n"/>
      <c r="G173" s="24" t="n"/>
      <c r="H173" s="24" t="n"/>
      <c r="I173" s="24" t="n"/>
      <c r="J173" s="26" t="n"/>
      <c r="K173" s="24" t="n"/>
      <c r="L173" s="24" t="n"/>
      <c r="M173" s="24" t="n"/>
      <c r="N173" s="24" t="n"/>
    </row>
    <row r="174" ht="15" customHeight="1">
      <c r="A174" s="65" t="n"/>
      <c r="B174" s="63">
        <f>IF(C174="","",IFERROR(INDEX(tbl_Finance[Date],MATCH(C174&amp;"",tbl_Finance[Xero Invoice No],0)),""))</f>
        <v/>
      </c>
      <c r="C174" s="24" t="n"/>
      <c r="D174" s="24" t="n"/>
      <c r="E174" s="25">
        <f>IF(D174="","",IF(COUNTIF(lst_Jobs,D174&amp;"")&gt;0,"OK","CHECK"))</f>
        <v/>
      </c>
      <c r="F174" s="24" t="n"/>
      <c r="G174" s="24" t="n"/>
      <c r="H174" s="24" t="n"/>
      <c r="I174" s="24" t="n"/>
      <c r="J174" s="26" t="n"/>
      <c r="K174" s="24" t="n"/>
      <c r="L174" s="24" t="n"/>
      <c r="M174" s="24" t="n"/>
      <c r="N174" s="24" t="n"/>
    </row>
    <row r="175" ht="15" customHeight="1">
      <c r="A175" s="65" t="n"/>
      <c r="B175" s="63">
        <f>IF(C175="","",IFERROR(INDEX(tbl_Finance[Date],MATCH(C175&amp;"",tbl_Finance[Xero Invoice No],0)),""))</f>
        <v/>
      </c>
      <c r="C175" s="24" t="n"/>
      <c r="D175" s="24" t="n"/>
      <c r="E175" s="25">
        <f>IF(D175="","",IF(COUNTIF(lst_Jobs,D175&amp;"")&gt;0,"OK","CHECK"))</f>
        <v/>
      </c>
      <c r="F175" s="24" t="n"/>
      <c r="G175" s="24" t="n"/>
      <c r="H175" s="24" t="n"/>
      <c r="I175" s="24" t="n"/>
      <c r="J175" s="26" t="n"/>
      <c r="K175" s="24" t="n"/>
      <c r="L175" s="24" t="n"/>
      <c r="M175" s="24" t="n"/>
      <c r="N175" s="24" t="n"/>
    </row>
    <row r="176" ht="15" customHeight="1">
      <c r="A176" s="65" t="n"/>
      <c r="B176" s="63">
        <f>IF(C176="","",IFERROR(INDEX(tbl_Finance[Date],MATCH(C176&amp;"",tbl_Finance[Xero Invoice No],0)),""))</f>
        <v/>
      </c>
      <c r="C176" s="24" t="n"/>
      <c r="D176" s="24" t="n"/>
      <c r="E176" s="25">
        <f>IF(D176="","",IF(COUNTIF(lst_Jobs,D176&amp;"")&gt;0,"OK","CHECK"))</f>
        <v/>
      </c>
      <c r="F176" s="24" t="n"/>
      <c r="G176" s="24" t="n"/>
      <c r="H176" s="24" t="n"/>
      <c r="I176" s="24" t="n"/>
      <c r="J176" s="26" t="n"/>
      <c r="K176" s="24" t="n"/>
      <c r="L176" s="24" t="n"/>
      <c r="M176" s="24" t="n"/>
      <c r="N176" s="24" t="n"/>
    </row>
    <row r="177" ht="15" customHeight="1">
      <c r="A177" s="65" t="n"/>
      <c r="B177" s="63">
        <f>IF(C177="","",IFERROR(INDEX(tbl_Finance[Date],MATCH(C177&amp;"",tbl_Finance[Xero Invoice No],0)),""))</f>
        <v/>
      </c>
      <c r="C177" s="24" t="n"/>
      <c r="D177" s="24" t="n"/>
      <c r="E177" s="25">
        <f>IF(D177="","",IF(COUNTIF(lst_Jobs,D177&amp;"")&gt;0,"OK","CHECK"))</f>
        <v/>
      </c>
      <c r="F177" s="24" t="n"/>
      <c r="G177" s="24" t="n"/>
      <c r="H177" s="24" t="n"/>
      <c r="I177" s="24" t="n"/>
      <c r="J177" s="26" t="n"/>
      <c r="K177" s="24" t="n"/>
      <c r="L177" s="24" t="n"/>
      <c r="M177" s="24" t="n"/>
      <c r="N177" s="24" t="n"/>
    </row>
    <row r="178" ht="15" customHeight="1">
      <c r="A178" s="65" t="n"/>
      <c r="B178" s="63">
        <f>IF(C178="","",IFERROR(INDEX(tbl_Finance[Date],MATCH(C178&amp;"",tbl_Finance[Xero Invoice No],0)),""))</f>
        <v/>
      </c>
      <c r="C178" s="24" t="n"/>
      <c r="D178" s="24" t="n"/>
      <c r="E178" s="25">
        <f>IF(D178="","",IF(COUNTIF(lst_Jobs,D178&amp;"")&gt;0,"OK","CHECK"))</f>
        <v/>
      </c>
      <c r="F178" s="24" t="n"/>
      <c r="G178" s="24" t="n"/>
      <c r="H178" s="24" t="n"/>
      <c r="I178" s="24" t="n"/>
      <c r="J178" s="26" t="n"/>
      <c r="K178" s="24" t="n"/>
      <c r="L178" s="24" t="n"/>
      <c r="M178" s="24" t="n"/>
      <c r="N178" s="24" t="n"/>
    </row>
    <row r="179" ht="15" customHeight="1">
      <c r="A179" s="65" t="n"/>
      <c r="B179" s="63">
        <f>IF(C179="","",IFERROR(INDEX(tbl_Finance[Date],MATCH(C179&amp;"",tbl_Finance[Xero Invoice No],0)),""))</f>
        <v/>
      </c>
      <c r="C179" s="24" t="n"/>
      <c r="D179" s="24" t="n"/>
      <c r="E179" s="25">
        <f>IF(D179="","",IF(COUNTIF(lst_Jobs,D179&amp;"")&gt;0,"OK","CHECK"))</f>
        <v/>
      </c>
      <c r="F179" s="24" t="n"/>
      <c r="G179" s="24" t="n"/>
      <c r="H179" s="24" t="n"/>
      <c r="I179" s="24" t="n"/>
      <c r="J179" s="26" t="n"/>
      <c r="K179" s="24" t="n"/>
      <c r="L179" s="24" t="n"/>
      <c r="M179" s="24" t="n"/>
      <c r="N179" s="24" t="n"/>
    </row>
    <row r="180" ht="15" customHeight="1">
      <c r="A180" s="65" t="n"/>
      <c r="B180" s="63">
        <f>IF(C180="","",IFERROR(INDEX(tbl_Finance[Date],MATCH(C180&amp;"",tbl_Finance[Xero Invoice No],0)),""))</f>
        <v/>
      </c>
      <c r="C180" s="24" t="n"/>
      <c r="D180" s="24" t="n"/>
      <c r="E180" s="25">
        <f>IF(D180="","",IF(COUNTIF(lst_Jobs,D180&amp;"")&gt;0,"OK","CHECK"))</f>
        <v/>
      </c>
      <c r="F180" s="24" t="n"/>
      <c r="G180" s="24" t="n"/>
      <c r="H180" s="24" t="n"/>
      <c r="I180" s="24" t="n"/>
      <c r="J180" s="26" t="n"/>
      <c r="K180" s="24" t="n"/>
      <c r="L180" s="24" t="n"/>
      <c r="M180" s="24" t="n"/>
      <c r="N180" s="24" t="n"/>
    </row>
    <row r="181" ht="15" customHeight="1">
      <c r="A181" s="65" t="n"/>
      <c r="B181" s="63">
        <f>IF(C181="","",IFERROR(INDEX(tbl_Finance[Date],MATCH(C181&amp;"",tbl_Finance[Xero Invoice No],0)),""))</f>
        <v/>
      </c>
      <c r="C181" s="24" t="n"/>
      <c r="D181" s="24" t="n"/>
      <c r="E181" s="25">
        <f>IF(D181="","",IF(COUNTIF(lst_Jobs,D181&amp;"")&gt;0,"OK","CHECK"))</f>
        <v/>
      </c>
      <c r="F181" s="24" t="n"/>
      <c r="G181" s="24" t="n"/>
      <c r="H181" s="24" t="n"/>
      <c r="I181" s="24" t="n"/>
      <c r="J181" s="26" t="n"/>
      <c r="K181" s="24" t="n"/>
      <c r="L181" s="24" t="n"/>
      <c r="M181" s="24" t="n"/>
      <c r="N181" s="24" t="n"/>
    </row>
    <row r="182" ht="15" customHeight="1">
      <c r="A182" s="65" t="n"/>
      <c r="B182" s="63">
        <f>IF(C182="","",IFERROR(INDEX(tbl_Finance[Date],MATCH(C182&amp;"",tbl_Finance[Xero Invoice No],0)),""))</f>
        <v/>
      </c>
      <c r="C182" s="24" t="n"/>
      <c r="D182" s="24" t="n"/>
      <c r="E182" s="25">
        <f>IF(D182="","",IF(COUNTIF(lst_Jobs,D182&amp;"")&gt;0,"OK","CHECK"))</f>
        <v/>
      </c>
      <c r="F182" s="24" t="n"/>
      <c r="G182" s="24" t="n"/>
      <c r="H182" s="24" t="n"/>
      <c r="I182" s="24" t="n"/>
      <c r="J182" s="26" t="n"/>
      <c r="K182" s="24" t="n"/>
      <c r="L182" s="24" t="n"/>
      <c r="M182" s="24" t="n"/>
      <c r="N182" s="24" t="n"/>
    </row>
    <row r="183" ht="15" customHeight="1">
      <c r="A183" s="65" t="n"/>
      <c r="B183" s="63">
        <f>IF(C183="","",IFERROR(INDEX(tbl_Finance[Date],MATCH(C183&amp;"",tbl_Finance[Xero Invoice No],0)),""))</f>
        <v/>
      </c>
      <c r="C183" s="24" t="n"/>
      <c r="D183" s="24" t="n"/>
      <c r="E183" s="25">
        <f>IF(D183="","",IF(COUNTIF(lst_Jobs,D183&amp;"")&gt;0,"OK","CHECK"))</f>
        <v/>
      </c>
      <c r="F183" s="24" t="n"/>
      <c r="G183" s="24" t="n"/>
      <c r="H183" s="24" t="n"/>
      <c r="I183" s="24" t="n"/>
      <c r="J183" s="26" t="n"/>
      <c r="K183" s="24" t="n"/>
      <c r="L183" s="24" t="n"/>
      <c r="M183" s="24" t="n"/>
      <c r="N183" s="24" t="n"/>
    </row>
    <row r="184" ht="15" customHeight="1">
      <c r="A184" s="65" t="n"/>
      <c r="B184" s="63">
        <f>IF(C184="","",IFERROR(INDEX(tbl_Finance[Date],MATCH(C184&amp;"",tbl_Finance[Xero Invoice No],0)),""))</f>
        <v/>
      </c>
      <c r="C184" s="24" t="n"/>
      <c r="D184" s="24" t="n"/>
      <c r="E184" s="25">
        <f>IF(D184="","",IF(COUNTIF(lst_Jobs,D184&amp;"")&gt;0,"OK","CHECK"))</f>
        <v/>
      </c>
      <c r="F184" s="24" t="n"/>
      <c r="G184" s="24" t="n"/>
      <c r="H184" s="24" t="n"/>
      <c r="I184" s="24" t="n"/>
      <c r="J184" s="26" t="n"/>
      <c r="K184" s="24" t="n"/>
      <c r="L184" s="24" t="n"/>
      <c r="M184" s="24" t="n"/>
      <c r="N184" s="24" t="n"/>
    </row>
    <row r="185" ht="15" customHeight="1">
      <c r="A185" s="65" t="n"/>
      <c r="B185" s="63">
        <f>IF(C185="","",IFERROR(INDEX(tbl_Finance[Date],MATCH(C185&amp;"",tbl_Finance[Xero Invoice No],0)),""))</f>
        <v/>
      </c>
      <c r="C185" s="24" t="n"/>
      <c r="D185" s="24" t="n"/>
      <c r="E185" s="25">
        <f>IF(D185="","",IF(COUNTIF(lst_Jobs,D185&amp;"")&gt;0,"OK","CHECK"))</f>
        <v/>
      </c>
      <c r="F185" s="24" t="n"/>
      <c r="G185" s="24" t="n"/>
      <c r="H185" s="24" t="n"/>
      <c r="I185" s="24" t="n"/>
      <c r="J185" s="26" t="n"/>
      <c r="K185" s="24" t="n"/>
      <c r="L185" s="24" t="n"/>
      <c r="M185" s="24" t="n"/>
      <c r="N185" s="24" t="n"/>
    </row>
    <row r="186" ht="15" customHeight="1">
      <c r="A186" s="65" t="n"/>
      <c r="B186" s="63">
        <f>IF(C186="","",IFERROR(INDEX(tbl_Finance[Date],MATCH(C186&amp;"",tbl_Finance[Xero Invoice No],0)),""))</f>
        <v/>
      </c>
      <c r="C186" s="24" t="n"/>
      <c r="D186" s="24" t="n"/>
      <c r="E186" s="25">
        <f>IF(D186="","",IF(COUNTIF(lst_Jobs,D186&amp;"")&gt;0,"OK","CHECK"))</f>
        <v/>
      </c>
      <c r="F186" s="24" t="n"/>
      <c r="G186" s="24" t="n"/>
      <c r="H186" s="24" t="n"/>
      <c r="I186" s="24" t="n"/>
      <c r="J186" s="26" t="n"/>
      <c r="K186" s="24" t="n"/>
      <c r="L186" s="24" t="n"/>
      <c r="M186" s="24" t="n"/>
      <c r="N186" s="24" t="n"/>
    </row>
    <row r="187" ht="15" customHeight="1">
      <c r="A187" s="65" t="n"/>
      <c r="B187" s="63">
        <f>IF(C187="","",IFERROR(INDEX(tbl_Finance[Date],MATCH(C187&amp;"",tbl_Finance[Xero Invoice No],0)),""))</f>
        <v/>
      </c>
      <c r="C187" s="24" t="n"/>
      <c r="D187" s="24" t="n"/>
      <c r="E187" s="25">
        <f>IF(D187="","",IF(COUNTIF(lst_Jobs,D187&amp;"")&gt;0,"OK","CHECK"))</f>
        <v/>
      </c>
      <c r="F187" s="24" t="n"/>
      <c r="G187" s="24" t="n"/>
      <c r="H187" s="24" t="n"/>
      <c r="I187" s="24" t="n"/>
      <c r="J187" s="26" t="n"/>
      <c r="K187" s="24" t="n"/>
      <c r="L187" s="24" t="n"/>
      <c r="M187" s="24" t="n"/>
      <c r="N187" s="24" t="n"/>
    </row>
    <row r="188" ht="15" customHeight="1">
      <c r="A188" s="65" t="n"/>
      <c r="B188" s="63">
        <f>IF(C188="","",IFERROR(INDEX(tbl_Finance[Date],MATCH(C188&amp;"",tbl_Finance[Xero Invoice No],0)),""))</f>
        <v/>
      </c>
      <c r="C188" s="24" t="n"/>
      <c r="D188" s="24" t="n"/>
      <c r="E188" s="25">
        <f>IF(D188="","",IF(COUNTIF(lst_Jobs,D188&amp;"")&gt;0,"OK","CHECK"))</f>
        <v/>
      </c>
      <c r="F188" s="24" t="n"/>
      <c r="G188" s="24" t="n"/>
      <c r="H188" s="24" t="n"/>
      <c r="I188" s="24" t="n"/>
      <c r="J188" s="26" t="n"/>
      <c r="K188" s="24" t="n"/>
      <c r="L188" s="24" t="n"/>
      <c r="M188" s="24" t="n"/>
      <c r="N188" s="24" t="n"/>
    </row>
    <row r="189" ht="15" customHeight="1">
      <c r="A189" s="65" t="n"/>
      <c r="B189" s="63">
        <f>IF(C189="","",IFERROR(INDEX(tbl_Finance[Date],MATCH(C189&amp;"",tbl_Finance[Xero Invoice No],0)),""))</f>
        <v/>
      </c>
      <c r="C189" s="24" t="n"/>
      <c r="D189" s="24" t="n"/>
      <c r="E189" s="25">
        <f>IF(D189="","",IF(COUNTIF(lst_Jobs,D189&amp;"")&gt;0,"OK","CHECK"))</f>
        <v/>
      </c>
      <c r="F189" s="24" t="n"/>
      <c r="G189" s="24" t="n"/>
      <c r="H189" s="24" t="n"/>
      <c r="I189" s="24" t="n"/>
      <c r="J189" s="26" t="n"/>
      <c r="K189" s="24" t="n"/>
      <c r="L189" s="24" t="n"/>
      <c r="M189" s="24" t="n"/>
      <c r="N189" s="24" t="n"/>
    </row>
    <row r="190" ht="15" customHeight="1">
      <c r="A190" s="65" t="n"/>
      <c r="B190" s="63">
        <f>IF(C190="","",IFERROR(INDEX(tbl_Finance[Date],MATCH(C190&amp;"",tbl_Finance[Xero Invoice No],0)),""))</f>
        <v/>
      </c>
      <c r="C190" s="24" t="n"/>
      <c r="D190" s="24" t="n"/>
      <c r="E190" s="25">
        <f>IF(D190="","",IF(COUNTIF(lst_Jobs,D190&amp;"")&gt;0,"OK","CHECK"))</f>
        <v/>
      </c>
      <c r="F190" s="24" t="n"/>
      <c r="G190" s="24" t="n"/>
      <c r="H190" s="24" t="n"/>
      <c r="I190" s="24" t="n"/>
      <c r="J190" s="26" t="n"/>
      <c r="K190" s="24" t="n"/>
      <c r="L190" s="24" t="n"/>
      <c r="M190" s="24" t="n"/>
      <c r="N190" s="24" t="n"/>
    </row>
    <row r="191" ht="15" customHeight="1">
      <c r="A191" s="65" t="n"/>
      <c r="B191" s="63">
        <f>IF(C191="","",IFERROR(INDEX(tbl_Finance[Date],MATCH(C191&amp;"",tbl_Finance[Xero Invoice No],0)),""))</f>
        <v/>
      </c>
      <c r="C191" s="24" t="n"/>
      <c r="D191" s="24" t="n"/>
      <c r="E191" s="25">
        <f>IF(D191="","",IF(COUNTIF(lst_Jobs,D191&amp;"")&gt;0,"OK","CHECK"))</f>
        <v/>
      </c>
      <c r="F191" s="24" t="n"/>
      <c r="G191" s="24" t="n"/>
      <c r="H191" s="24" t="n"/>
      <c r="I191" s="24" t="n"/>
      <c r="J191" s="26" t="n"/>
      <c r="K191" s="24" t="n"/>
      <c r="L191" s="24" t="n"/>
      <c r="M191" s="24" t="n"/>
      <c r="N191" s="24" t="n"/>
    </row>
    <row r="192" ht="15" customHeight="1">
      <c r="A192" s="65" t="n"/>
      <c r="B192" s="63">
        <f>IF(C192="","",IFERROR(INDEX(tbl_Finance[Date],MATCH(C192&amp;"",tbl_Finance[Xero Invoice No],0)),""))</f>
        <v/>
      </c>
      <c r="C192" s="24" t="n"/>
      <c r="D192" s="24" t="n"/>
      <c r="E192" s="25">
        <f>IF(D192="","",IF(COUNTIF(lst_Jobs,D192&amp;"")&gt;0,"OK","CHECK"))</f>
        <v/>
      </c>
      <c r="F192" s="24" t="n"/>
      <c r="G192" s="24" t="n"/>
      <c r="H192" s="24" t="n"/>
      <c r="I192" s="24" t="n"/>
      <c r="J192" s="26" t="n"/>
      <c r="K192" s="24" t="n"/>
      <c r="L192" s="24" t="n"/>
      <c r="M192" s="24" t="n"/>
      <c r="N192" s="24" t="n"/>
    </row>
    <row r="193" ht="15" customHeight="1">
      <c r="A193" s="65" t="n"/>
      <c r="B193" s="63">
        <f>IF(C193="","",IFERROR(INDEX(tbl_Finance[Date],MATCH(C193&amp;"",tbl_Finance[Xero Invoice No],0)),""))</f>
        <v/>
      </c>
      <c r="C193" s="24" t="n"/>
      <c r="D193" s="24" t="n"/>
      <c r="E193" s="25">
        <f>IF(D193="","",IF(COUNTIF(lst_Jobs,D193&amp;"")&gt;0,"OK","CHECK"))</f>
        <v/>
      </c>
      <c r="F193" s="24" t="n"/>
      <c r="G193" s="24" t="n"/>
      <c r="H193" s="24" t="n"/>
      <c r="I193" s="24" t="n"/>
      <c r="J193" s="26" t="n"/>
      <c r="K193" s="24" t="n"/>
      <c r="L193" s="24" t="n"/>
      <c r="M193" s="24" t="n"/>
      <c r="N193" s="24" t="n"/>
    </row>
    <row r="194" ht="15" customHeight="1">
      <c r="A194" s="65" t="n"/>
      <c r="B194" s="63">
        <f>IF(C194="","",IFERROR(INDEX(tbl_Finance[Date],MATCH(C194&amp;"",tbl_Finance[Xero Invoice No],0)),""))</f>
        <v/>
      </c>
      <c r="C194" s="24" t="n"/>
      <c r="D194" s="24" t="n"/>
      <c r="E194" s="25">
        <f>IF(D194="","",IF(COUNTIF(lst_Jobs,D194&amp;"")&gt;0,"OK","CHECK"))</f>
        <v/>
      </c>
      <c r="F194" s="24" t="n"/>
      <c r="G194" s="24" t="n"/>
      <c r="H194" s="24" t="n"/>
      <c r="I194" s="24" t="n"/>
      <c r="J194" s="26" t="n"/>
      <c r="K194" s="24" t="n"/>
      <c r="L194" s="24" t="n"/>
      <c r="M194" s="24" t="n"/>
      <c r="N194" s="24" t="n"/>
    </row>
    <row r="195" ht="15" customHeight="1">
      <c r="A195" s="65" t="n"/>
      <c r="B195" s="63">
        <f>IF(C195="","",IFERROR(INDEX(tbl_Finance[Date],MATCH(C195&amp;"",tbl_Finance[Xero Invoice No],0)),""))</f>
        <v/>
      </c>
      <c r="C195" s="24" t="n"/>
      <c r="D195" s="24" t="n"/>
      <c r="E195" s="25">
        <f>IF(D195="","",IF(COUNTIF(lst_Jobs,D195&amp;"")&gt;0,"OK","CHECK"))</f>
        <v/>
      </c>
      <c r="F195" s="24" t="n"/>
      <c r="G195" s="24" t="n"/>
      <c r="H195" s="24" t="n"/>
      <c r="I195" s="24" t="n"/>
      <c r="J195" s="26" t="n"/>
      <c r="K195" s="24" t="n"/>
      <c r="L195" s="24" t="n"/>
      <c r="M195" s="24" t="n"/>
      <c r="N195" s="24" t="n"/>
    </row>
    <row r="196" ht="15" customHeight="1">
      <c r="A196" s="65" t="n"/>
      <c r="B196" s="63">
        <f>IF(C196="","",IFERROR(INDEX(tbl_Finance[Date],MATCH(C196&amp;"",tbl_Finance[Xero Invoice No],0)),""))</f>
        <v/>
      </c>
      <c r="C196" s="24" t="n"/>
      <c r="D196" s="24" t="n"/>
      <c r="E196" s="25">
        <f>IF(D196="","",IF(COUNTIF(lst_Jobs,D196&amp;"")&gt;0,"OK","CHECK"))</f>
        <v/>
      </c>
      <c r="F196" s="24" t="n"/>
      <c r="G196" s="24" t="n"/>
      <c r="H196" s="24" t="n"/>
      <c r="I196" s="24" t="n"/>
      <c r="J196" s="26" t="n"/>
      <c r="K196" s="24" t="n"/>
      <c r="L196" s="24" t="n"/>
      <c r="M196" s="24" t="n"/>
      <c r="N196" s="24" t="n"/>
    </row>
    <row r="197" ht="15" customHeight="1">
      <c r="A197" s="65" t="n"/>
      <c r="B197" s="63">
        <f>IF(C197="","",IFERROR(INDEX(tbl_Finance[Date],MATCH(C197&amp;"",tbl_Finance[Xero Invoice No],0)),""))</f>
        <v/>
      </c>
      <c r="C197" s="24" t="n"/>
      <c r="D197" s="24" t="n"/>
      <c r="E197" s="25">
        <f>IF(D197="","",IF(COUNTIF(lst_Jobs,D197&amp;"")&gt;0,"OK","CHECK"))</f>
        <v/>
      </c>
      <c r="F197" s="24" t="n"/>
      <c r="G197" s="24" t="n"/>
      <c r="H197" s="24" t="n"/>
      <c r="I197" s="24" t="n"/>
      <c r="J197" s="26" t="n"/>
      <c r="K197" s="24" t="n"/>
      <c r="L197" s="24" t="n"/>
      <c r="M197" s="24" t="n"/>
      <c r="N197" s="24" t="n"/>
    </row>
    <row r="198" ht="15" customHeight="1">
      <c r="A198" s="65" t="n"/>
      <c r="B198" s="63">
        <f>IF(C198="","",IFERROR(INDEX(tbl_Finance[Date],MATCH(C198&amp;"",tbl_Finance[Xero Invoice No],0)),""))</f>
        <v/>
      </c>
      <c r="C198" s="24" t="n"/>
      <c r="D198" s="24" t="n"/>
      <c r="E198" s="25">
        <f>IF(D198="","",IF(COUNTIF(lst_Jobs,D198&amp;"")&gt;0,"OK","CHECK"))</f>
        <v/>
      </c>
      <c r="F198" s="24" t="n"/>
      <c r="G198" s="24" t="n"/>
      <c r="H198" s="24" t="n"/>
      <c r="I198" s="24" t="n"/>
      <c r="J198" s="26" t="n"/>
      <c r="K198" s="24" t="n"/>
      <c r="L198" s="24" t="n"/>
      <c r="M198" s="24" t="n"/>
      <c r="N198" s="24" t="n"/>
    </row>
    <row r="199" ht="15" customHeight="1">
      <c r="A199" s="65" t="n"/>
      <c r="B199" s="63">
        <f>IF(C199="","",IFERROR(INDEX(tbl_Finance[Date],MATCH(C199&amp;"",tbl_Finance[Xero Invoice No],0)),""))</f>
        <v/>
      </c>
      <c r="C199" s="24" t="n"/>
      <c r="D199" s="24" t="n"/>
      <c r="E199" s="25">
        <f>IF(D199="","",IF(COUNTIF(lst_Jobs,D199&amp;"")&gt;0,"OK","CHECK"))</f>
        <v/>
      </c>
      <c r="F199" s="24" t="n"/>
      <c r="G199" s="24" t="n"/>
      <c r="H199" s="24" t="n"/>
      <c r="I199" s="24" t="n"/>
      <c r="J199" s="26" t="n"/>
      <c r="K199" s="24" t="n"/>
      <c r="L199" s="24" t="n"/>
      <c r="M199" s="24" t="n"/>
      <c r="N199" s="24" t="n"/>
    </row>
    <row r="200" ht="15" customHeight="1">
      <c r="A200" s="65" t="n"/>
      <c r="B200" s="63">
        <f>IF(C200="","",IFERROR(INDEX(tbl_Finance[Date],MATCH(C200&amp;"",tbl_Finance[Xero Invoice No],0)),""))</f>
        <v/>
      </c>
      <c r="C200" s="24" t="n"/>
      <c r="D200" s="24" t="n"/>
      <c r="E200" s="25">
        <f>IF(D200="","",IF(COUNTIF(lst_Jobs,D200&amp;"")&gt;0,"OK","CHECK"))</f>
        <v/>
      </c>
      <c r="F200" s="24" t="n"/>
      <c r="G200" s="24" t="n"/>
      <c r="H200" s="24" t="n"/>
      <c r="I200" s="24" t="n"/>
      <c r="J200" s="26" t="n"/>
      <c r="K200" s="24" t="n"/>
      <c r="L200" s="24" t="n"/>
      <c r="M200" s="24" t="n"/>
      <c r="N200" s="24" t="n"/>
    </row>
    <row r="201" ht="15" customHeight="1">
      <c r="A201" s="65" t="n"/>
      <c r="B201" s="63">
        <f>IF(C201="","",IFERROR(INDEX(tbl_Finance[Date],MATCH(C201&amp;"",tbl_Finance[Xero Invoice No],0)),""))</f>
        <v/>
      </c>
      <c r="C201" s="24" t="n"/>
      <c r="D201" s="24" t="n"/>
      <c r="E201" s="25">
        <f>IF(D201="","",IF(COUNTIF(lst_Jobs,D201&amp;"")&gt;0,"OK","CHECK"))</f>
        <v/>
      </c>
      <c r="F201" s="24" t="n"/>
      <c r="G201" s="24" t="n"/>
      <c r="H201" s="24" t="n"/>
      <c r="I201" s="24" t="n"/>
      <c r="J201" s="26" t="n"/>
      <c r="K201" s="24" t="n"/>
      <c r="L201" s="24" t="n"/>
      <c r="M201" s="24" t="n"/>
      <c r="N201" s="24" t="n"/>
    </row>
    <row r="202" ht="15" customHeight="1">
      <c r="A202" s="65" t="n"/>
      <c r="B202" s="63">
        <f>IF(C202="","",IFERROR(INDEX(tbl_Finance[Date],MATCH(C202&amp;"",tbl_Finance[Xero Invoice No],0)),""))</f>
        <v/>
      </c>
      <c r="C202" s="24" t="n"/>
      <c r="D202" s="24" t="n"/>
      <c r="E202" s="25">
        <f>IF(D202="","",IF(COUNTIF(lst_Jobs,D202&amp;"")&gt;0,"OK","CHECK"))</f>
        <v/>
      </c>
      <c r="F202" s="24" t="n"/>
      <c r="G202" s="24" t="n"/>
      <c r="H202" s="24" t="n"/>
      <c r="I202" s="24" t="n"/>
      <c r="J202" s="26" t="n"/>
      <c r="K202" s="24" t="n"/>
      <c r="L202" s="24" t="n"/>
      <c r="M202" s="24" t="n"/>
      <c r="N202" s="24" t="n"/>
    </row>
    <row r="203" ht="15" customHeight="1">
      <c r="A203" s="65" t="n"/>
      <c r="B203" s="63">
        <f>IF(C203="","",IFERROR(INDEX(tbl_Finance[Date],MATCH(C203&amp;"",tbl_Finance[Xero Invoice No],0)),""))</f>
        <v/>
      </c>
      <c r="C203" s="24" t="n"/>
      <c r="D203" s="24" t="n"/>
      <c r="E203" s="25">
        <f>IF(D203="","",IF(COUNTIF(lst_Jobs,D203&amp;"")&gt;0,"OK","CHECK"))</f>
        <v/>
      </c>
      <c r="F203" s="24" t="n"/>
      <c r="G203" s="24" t="n"/>
      <c r="H203" s="24" t="n"/>
      <c r="I203" s="24" t="n"/>
      <c r="J203" s="26" t="n"/>
      <c r="K203" s="24" t="n"/>
      <c r="L203" s="24" t="n"/>
      <c r="M203" s="24" t="n"/>
      <c r="N203" s="24" t="n"/>
    </row>
    <row r="204" ht="15" customHeight="1">
      <c r="A204" s="65" t="n"/>
      <c r="B204" s="63">
        <f>IF(C204="","",IFERROR(INDEX(tbl_Finance[Date],MATCH(C204&amp;"",tbl_Finance[Xero Invoice No],0)),""))</f>
        <v/>
      </c>
      <c r="C204" s="24" t="n"/>
      <c r="D204" s="24" t="n"/>
      <c r="E204" s="25">
        <f>IF(D204="","",IF(COUNTIF(lst_Jobs,D204&amp;"")&gt;0,"OK","CHECK"))</f>
        <v/>
      </c>
      <c r="F204" s="24" t="n"/>
      <c r="G204" s="24" t="n"/>
      <c r="H204" s="24" t="n"/>
      <c r="I204" s="24" t="n"/>
      <c r="J204" s="26" t="n"/>
      <c r="K204" s="24" t="n"/>
      <c r="L204" s="24" t="n"/>
      <c r="M204" s="24" t="n"/>
      <c r="N204" s="24" t="n"/>
    </row>
    <row r="205" ht="15" customHeight="1">
      <c r="A205" s="65" t="n"/>
      <c r="B205" s="63">
        <f>IF(C205="","",IFERROR(INDEX(tbl_Finance[Date],MATCH(C205&amp;"",tbl_Finance[Xero Invoice No],0)),""))</f>
        <v/>
      </c>
      <c r="C205" s="24" t="n"/>
      <c r="D205" s="24" t="n"/>
      <c r="E205" s="25">
        <f>IF(D205="","",IF(COUNTIF(lst_Jobs,D205&amp;"")&gt;0,"OK","CHECK"))</f>
        <v/>
      </c>
      <c r="F205" s="24" t="n"/>
      <c r="G205" s="24" t="n"/>
      <c r="H205" s="24" t="n"/>
      <c r="I205" s="24" t="n"/>
      <c r="J205" s="26" t="n"/>
      <c r="K205" s="24" t="n"/>
      <c r="L205" s="24" t="n"/>
      <c r="M205" s="24" t="n"/>
      <c r="N205" s="24" t="n"/>
    </row>
    <row r="206" ht="15" customHeight="1">
      <c r="A206" s="65" t="n"/>
      <c r="B206" s="63">
        <f>IF(C206="","",IFERROR(INDEX(tbl_Finance[Date],MATCH(C206&amp;"",tbl_Finance[Xero Invoice No],0)),""))</f>
        <v/>
      </c>
      <c r="C206" s="24" t="n"/>
      <c r="D206" s="24" t="n"/>
      <c r="E206" s="25">
        <f>IF(D206="","",IF(COUNTIF(lst_Jobs,D206&amp;"")&gt;0,"OK","CHECK"))</f>
        <v/>
      </c>
      <c r="F206" s="24" t="n"/>
      <c r="G206" s="24" t="n"/>
      <c r="H206" s="24" t="n"/>
      <c r="I206" s="24" t="n"/>
      <c r="J206" s="26" t="n"/>
      <c r="K206" s="24" t="n"/>
      <c r="L206" s="24" t="n"/>
      <c r="M206" s="24" t="n"/>
      <c r="N206" s="24" t="n"/>
    </row>
    <row r="207" ht="15" customHeight="1">
      <c r="A207" s="65" t="n"/>
      <c r="B207" s="63">
        <f>IF(C207="","",IFERROR(INDEX(tbl_Finance[Date],MATCH(C207&amp;"",tbl_Finance[Xero Invoice No],0)),""))</f>
        <v/>
      </c>
      <c r="C207" s="24" t="n"/>
      <c r="D207" s="24" t="n"/>
      <c r="E207" s="25">
        <f>IF(D207="","",IF(COUNTIF(lst_Jobs,D207&amp;"")&gt;0,"OK","CHECK"))</f>
        <v/>
      </c>
      <c r="F207" s="24" t="n"/>
      <c r="G207" s="24" t="n"/>
      <c r="H207" s="24" t="n"/>
      <c r="I207" s="24" t="n"/>
      <c r="J207" s="26" t="n"/>
      <c r="K207" s="24" t="n"/>
      <c r="L207" s="24" t="n"/>
      <c r="M207" s="24" t="n"/>
      <c r="N207" s="24" t="n"/>
    </row>
    <row r="208" ht="15" customHeight="1">
      <c r="A208" s="65" t="n"/>
      <c r="B208" s="63">
        <f>IF(C208="","",IFERROR(INDEX(tbl_Finance[Date],MATCH(C208&amp;"",tbl_Finance[Xero Invoice No],0)),""))</f>
        <v/>
      </c>
      <c r="C208" s="24" t="n"/>
      <c r="D208" s="24" t="n"/>
      <c r="E208" s="25">
        <f>IF(D208="","",IF(COUNTIF(lst_Jobs,D208&amp;"")&gt;0,"OK","CHECK"))</f>
        <v/>
      </c>
      <c r="F208" s="24" t="n"/>
      <c r="G208" s="24" t="n"/>
      <c r="H208" s="24" t="n"/>
      <c r="I208" s="24" t="n"/>
      <c r="J208" s="26" t="n"/>
      <c r="K208" s="24" t="n"/>
      <c r="L208" s="24" t="n"/>
      <c r="M208" s="24" t="n"/>
      <c r="N208" s="24" t="n"/>
    </row>
    <row r="209" ht="15" customHeight="1">
      <c r="A209" s="65" t="n"/>
      <c r="B209" s="63">
        <f>IF(C209="","",IFERROR(INDEX(tbl_Finance[Date],MATCH(C209&amp;"",tbl_Finance[Xero Invoice No],0)),""))</f>
        <v/>
      </c>
      <c r="C209" s="24" t="n"/>
      <c r="D209" s="24" t="n"/>
      <c r="E209" s="25">
        <f>IF(D209="","",IF(COUNTIF(lst_Jobs,D209&amp;"")&gt;0,"OK","CHECK"))</f>
        <v/>
      </c>
      <c r="F209" s="24" t="n"/>
      <c r="G209" s="24" t="n"/>
      <c r="H209" s="24" t="n"/>
      <c r="I209" s="24" t="n"/>
      <c r="J209" s="26" t="n"/>
      <c r="K209" s="24" t="n"/>
      <c r="L209" s="24" t="n"/>
      <c r="M209" s="24" t="n"/>
      <c r="N209" s="24" t="n"/>
    </row>
    <row r="210" ht="15" customHeight="1">
      <c r="A210" s="65" t="n"/>
      <c r="B210" s="63">
        <f>IF(C210="","",IFERROR(INDEX(tbl_Finance[Date],MATCH(C210&amp;"",tbl_Finance[Xero Invoice No],0)),""))</f>
        <v/>
      </c>
      <c r="C210" s="24" t="n"/>
      <c r="D210" s="24" t="n"/>
      <c r="E210" s="25">
        <f>IF(D210="","",IF(COUNTIF(lst_Jobs,D210&amp;"")&gt;0,"OK","CHECK"))</f>
        <v/>
      </c>
      <c r="F210" s="24" t="n"/>
      <c r="G210" s="24" t="n"/>
      <c r="H210" s="24" t="n"/>
      <c r="I210" s="24" t="n"/>
      <c r="J210" s="26" t="n"/>
      <c r="K210" s="24" t="n"/>
      <c r="L210" s="24" t="n"/>
      <c r="M210" s="24" t="n"/>
      <c r="N210" s="24" t="n"/>
    </row>
    <row r="211" ht="15" customHeight="1">
      <c r="A211" s="65" t="n"/>
      <c r="B211" s="63">
        <f>IF(C211="","",IFERROR(INDEX(tbl_Finance[Date],MATCH(C211&amp;"",tbl_Finance[Xero Invoice No],0)),""))</f>
        <v/>
      </c>
      <c r="C211" s="24" t="n"/>
      <c r="D211" s="24" t="n"/>
      <c r="E211" s="25">
        <f>IF(D211="","",IF(COUNTIF(lst_Jobs,D211&amp;"")&gt;0,"OK","CHECK"))</f>
        <v/>
      </c>
      <c r="F211" s="24" t="n"/>
      <c r="G211" s="24" t="n"/>
      <c r="H211" s="24" t="n"/>
      <c r="I211" s="24" t="n"/>
      <c r="J211" s="26" t="n"/>
      <c r="K211" s="24" t="n"/>
      <c r="L211" s="24" t="n"/>
      <c r="M211" s="24" t="n"/>
      <c r="N211" s="24" t="n"/>
    </row>
    <row r="212" ht="15" customHeight="1">
      <c r="A212" s="65" t="n"/>
      <c r="B212" s="63">
        <f>IF(C212="","",IFERROR(INDEX(tbl_Finance[Date],MATCH(C212&amp;"",tbl_Finance[Xero Invoice No],0)),""))</f>
        <v/>
      </c>
      <c r="C212" s="24" t="n"/>
      <c r="D212" s="24" t="n"/>
      <c r="E212" s="25">
        <f>IF(D212="","",IF(COUNTIF(lst_Jobs,D212&amp;"")&gt;0,"OK","CHECK"))</f>
        <v/>
      </c>
      <c r="F212" s="24" t="n"/>
      <c r="G212" s="24" t="n"/>
      <c r="H212" s="24" t="n"/>
      <c r="I212" s="24" t="n"/>
      <c r="J212" s="26" t="n"/>
      <c r="K212" s="24" t="n"/>
      <c r="L212" s="24" t="n"/>
      <c r="M212" s="24" t="n"/>
      <c r="N212" s="24" t="n"/>
    </row>
    <row r="213" ht="15" customHeight="1">
      <c r="A213" s="65" t="n"/>
      <c r="B213" s="63">
        <f>IF(C213="","",IFERROR(INDEX(tbl_Finance[Date],MATCH(C213&amp;"",tbl_Finance[Xero Invoice No],0)),""))</f>
        <v/>
      </c>
      <c r="C213" s="24" t="n"/>
      <c r="D213" s="24" t="n"/>
      <c r="E213" s="25">
        <f>IF(D213="","",IF(COUNTIF(lst_Jobs,D213&amp;"")&gt;0,"OK","CHECK"))</f>
        <v/>
      </c>
      <c r="F213" s="24" t="n"/>
      <c r="G213" s="24" t="n"/>
      <c r="H213" s="24" t="n"/>
      <c r="I213" s="24" t="n"/>
      <c r="J213" s="26" t="n"/>
      <c r="K213" s="24" t="n"/>
      <c r="L213" s="24" t="n"/>
      <c r="M213" s="24" t="n"/>
      <c r="N213" s="24" t="n"/>
    </row>
    <row r="214" ht="15" customHeight="1">
      <c r="A214" s="65" t="n"/>
      <c r="B214" s="63">
        <f>IF(C214="","",IFERROR(INDEX(tbl_Finance[Date],MATCH(C214&amp;"",tbl_Finance[Xero Invoice No],0)),""))</f>
        <v/>
      </c>
      <c r="C214" s="24" t="n"/>
      <c r="D214" s="24" t="n"/>
      <c r="E214" s="25">
        <f>IF(D214="","",IF(COUNTIF(lst_Jobs,D214&amp;"")&gt;0,"OK","CHECK"))</f>
        <v/>
      </c>
      <c r="F214" s="24" t="n"/>
      <c r="G214" s="24" t="n"/>
      <c r="H214" s="24" t="n"/>
      <c r="I214" s="24" t="n"/>
      <c r="J214" s="26" t="n"/>
      <c r="K214" s="24" t="n"/>
      <c r="L214" s="24" t="n"/>
      <c r="M214" s="24" t="n"/>
      <c r="N214" s="24" t="n"/>
    </row>
    <row r="215" ht="15" customHeight="1">
      <c r="A215" s="65" t="n"/>
      <c r="B215" s="63">
        <f>IF(C215="","",IFERROR(INDEX(tbl_Finance[Date],MATCH(C215&amp;"",tbl_Finance[Xero Invoice No],0)),""))</f>
        <v/>
      </c>
      <c r="C215" s="24" t="n"/>
      <c r="D215" s="24" t="n"/>
      <c r="E215" s="25">
        <f>IF(D215="","",IF(COUNTIF(lst_Jobs,D215&amp;"")&gt;0,"OK","CHECK"))</f>
        <v/>
      </c>
      <c r="F215" s="24" t="n"/>
      <c r="G215" s="24" t="n"/>
      <c r="H215" s="24" t="n"/>
      <c r="I215" s="24" t="n"/>
      <c r="J215" s="26" t="n"/>
      <c r="K215" s="24" t="n"/>
      <c r="L215" s="24" t="n"/>
      <c r="M215" s="24" t="n"/>
      <c r="N215" s="24" t="n"/>
    </row>
    <row r="216" ht="15" customHeight="1">
      <c r="A216" s="65" t="n"/>
      <c r="B216" s="63">
        <f>IF(C216="","",IFERROR(INDEX(tbl_Finance[Date],MATCH(C216&amp;"",tbl_Finance[Xero Invoice No],0)),""))</f>
        <v/>
      </c>
      <c r="C216" s="24" t="n"/>
      <c r="D216" s="24" t="n"/>
      <c r="E216" s="25">
        <f>IF(D216="","",IF(COUNTIF(lst_Jobs,D216&amp;"")&gt;0,"OK","CHECK"))</f>
        <v/>
      </c>
      <c r="F216" s="24" t="n"/>
      <c r="G216" s="24" t="n"/>
      <c r="H216" s="24" t="n"/>
      <c r="I216" s="24" t="n"/>
      <c r="J216" s="26" t="n"/>
      <c r="K216" s="24" t="n"/>
      <c r="L216" s="24" t="n"/>
      <c r="M216" s="24" t="n"/>
      <c r="N216" s="24" t="n"/>
    </row>
    <row r="217" ht="15" customHeight="1">
      <c r="A217" s="65" t="n"/>
      <c r="B217" s="63">
        <f>IF(C217="","",IFERROR(INDEX(tbl_Finance[Date],MATCH(C217&amp;"",tbl_Finance[Xero Invoice No],0)),""))</f>
        <v/>
      </c>
      <c r="C217" s="24" t="n"/>
      <c r="D217" s="24" t="n"/>
      <c r="E217" s="25">
        <f>IF(D217="","",IF(COUNTIF(lst_Jobs,D217&amp;"")&gt;0,"OK","CHECK"))</f>
        <v/>
      </c>
      <c r="F217" s="24" t="n"/>
      <c r="G217" s="24" t="n"/>
      <c r="H217" s="24" t="n"/>
      <c r="I217" s="24" t="n"/>
      <c r="J217" s="26" t="n"/>
      <c r="K217" s="24" t="n"/>
      <c r="L217" s="24" t="n"/>
      <c r="M217" s="24" t="n"/>
      <c r="N217" s="24" t="n"/>
    </row>
    <row r="218" ht="15" customHeight="1">
      <c r="A218" s="65" t="n"/>
      <c r="B218" s="63">
        <f>IF(C218="","",IFERROR(INDEX(tbl_Finance[Date],MATCH(C218&amp;"",tbl_Finance[Xero Invoice No],0)),""))</f>
        <v/>
      </c>
      <c r="C218" s="24" t="n"/>
      <c r="D218" s="24" t="n"/>
      <c r="E218" s="25">
        <f>IF(D218="","",IF(COUNTIF(lst_Jobs,D218&amp;"")&gt;0,"OK","CHECK"))</f>
        <v/>
      </c>
      <c r="F218" s="24" t="n"/>
      <c r="G218" s="24" t="n"/>
      <c r="H218" s="24" t="n"/>
      <c r="I218" s="24" t="n"/>
      <c r="J218" s="26" t="n"/>
      <c r="K218" s="24" t="n"/>
      <c r="L218" s="24" t="n"/>
      <c r="M218" s="24" t="n"/>
      <c r="N218" s="24" t="n"/>
    </row>
    <row r="219" ht="15" customHeight="1">
      <c r="A219" s="65" t="n"/>
      <c r="B219" s="63">
        <f>IF(C219="","",IFERROR(INDEX(tbl_Finance[Date],MATCH(C219&amp;"",tbl_Finance[Xero Invoice No],0)),""))</f>
        <v/>
      </c>
      <c r="C219" s="24" t="n"/>
      <c r="D219" s="24" t="n"/>
      <c r="E219" s="25">
        <f>IF(D219="","",IF(COUNTIF(lst_Jobs,D219&amp;"")&gt;0,"OK","CHECK"))</f>
        <v/>
      </c>
      <c r="F219" s="24" t="n"/>
      <c r="G219" s="24" t="n"/>
      <c r="H219" s="24" t="n"/>
      <c r="I219" s="24" t="n"/>
      <c r="J219" s="26" t="n"/>
      <c r="K219" s="24" t="n"/>
      <c r="L219" s="24" t="n"/>
      <c r="M219" s="24" t="n"/>
      <c r="N219" s="24" t="n"/>
    </row>
    <row r="220" ht="15" customHeight="1">
      <c r="A220" s="65" t="n"/>
      <c r="B220" s="63">
        <f>IF(C220="","",IFERROR(INDEX(tbl_Finance[Date],MATCH(C220&amp;"",tbl_Finance[Xero Invoice No],0)),""))</f>
        <v/>
      </c>
      <c r="C220" s="24" t="n"/>
      <c r="D220" s="24" t="n"/>
      <c r="E220" s="25">
        <f>IF(D220="","",IF(COUNTIF(lst_Jobs,D220&amp;"")&gt;0,"OK","CHECK"))</f>
        <v/>
      </c>
      <c r="F220" s="24" t="n"/>
      <c r="G220" s="24" t="n"/>
      <c r="H220" s="24" t="n"/>
      <c r="I220" s="24" t="n"/>
      <c r="J220" s="26" t="n"/>
      <c r="K220" s="24" t="n"/>
      <c r="L220" s="24" t="n"/>
      <c r="M220" s="24" t="n"/>
      <c r="N220" s="24" t="n"/>
    </row>
    <row r="221" ht="15" customHeight="1">
      <c r="A221" s="65" t="n"/>
      <c r="B221" s="63">
        <f>IF(C221="","",IFERROR(INDEX(tbl_Finance[Date],MATCH(C221&amp;"",tbl_Finance[Xero Invoice No],0)),""))</f>
        <v/>
      </c>
      <c r="C221" s="24" t="n"/>
      <c r="D221" s="24" t="n"/>
      <c r="E221" s="25">
        <f>IF(D221="","",IF(COUNTIF(lst_Jobs,D221&amp;"")&gt;0,"OK","CHECK"))</f>
        <v/>
      </c>
      <c r="F221" s="24" t="n"/>
      <c r="G221" s="24" t="n"/>
      <c r="H221" s="24" t="n"/>
      <c r="I221" s="24" t="n"/>
      <c r="J221" s="26" t="n"/>
      <c r="K221" s="24" t="n"/>
      <c r="L221" s="24" t="n"/>
      <c r="M221" s="24" t="n"/>
      <c r="N221" s="24" t="n"/>
    </row>
    <row r="222" ht="15" customHeight="1">
      <c r="A222" s="65" t="n"/>
      <c r="B222" s="63">
        <f>IF(C222="","",IFERROR(INDEX(tbl_Finance[Date],MATCH(C222&amp;"",tbl_Finance[Xero Invoice No],0)),""))</f>
        <v/>
      </c>
      <c r="C222" s="24" t="n"/>
      <c r="D222" s="24" t="n"/>
      <c r="E222" s="25">
        <f>IF(D222="","",IF(COUNTIF(lst_Jobs,D222&amp;"")&gt;0,"OK","CHECK"))</f>
        <v/>
      </c>
      <c r="F222" s="24" t="n"/>
      <c r="G222" s="24" t="n"/>
      <c r="H222" s="24" t="n"/>
      <c r="I222" s="24" t="n"/>
      <c r="J222" s="26" t="n"/>
      <c r="K222" s="24" t="n"/>
      <c r="L222" s="24" t="n"/>
      <c r="M222" s="24" t="n"/>
      <c r="N222" s="24" t="n"/>
    </row>
    <row r="223" ht="15" customHeight="1">
      <c r="A223" s="65" t="n"/>
      <c r="B223" s="63">
        <f>IF(C223="","",IFERROR(INDEX(tbl_Finance[Date],MATCH(C223&amp;"",tbl_Finance[Xero Invoice No],0)),""))</f>
        <v/>
      </c>
      <c r="C223" s="24" t="n"/>
      <c r="D223" s="24" t="n"/>
      <c r="E223" s="25">
        <f>IF(D223="","",IF(COUNTIF(lst_Jobs,D223&amp;"")&gt;0,"OK","CHECK"))</f>
        <v/>
      </c>
      <c r="F223" s="24" t="n"/>
      <c r="G223" s="24" t="n"/>
      <c r="H223" s="24" t="n"/>
      <c r="I223" s="24" t="n"/>
      <c r="J223" s="26" t="n"/>
      <c r="K223" s="24" t="n"/>
      <c r="L223" s="24" t="n"/>
      <c r="M223" s="24" t="n"/>
      <c r="N223" s="24" t="n"/>
    </row>
    <row r="224" ht="15" customHeight="1">
      <c r="A224" s="65" t="n"/>
      <c r="B224" s="63">
        <f>IF(C224="","",IFERROR(INDEX(tbl_Finance[Date],MATCH(C224&amp;"",tbl_Finance[Xero Invoice No],0)),""))</f>
        <v/>
      </c>
      <c r="C224" s="24" t="n"/>
      <c r="D224" s="24" t="n"/>
      <c r="E224" s="25">
        <f>IF(D224="","",IF(COUNTIF(lst_Jobs,D224&amp;"")&gt;0,"OK","CHECK"))</f>
        <v/>
      </c>
      <c r="F224" s="24" t="n"/>
      <c r="G224" s="24" t="n"/>
      <c r="H224" s="24" t="n"/>
      <c r="I224" s="24" t="n"/>
      <c r="J224" s="26" t="n"/>
      <c r="K224" s="24" t="n"/>
      <c r="L224" s="24" t="n"/>
      <c r="M224" s="24" t="n"/>
      <c r="N224" s="24" t="n"/>
    </row>
    <row r="225" ht="15" customHeight="1">
      <c r="A225" s="65" t="n"/>
      <c r="B225" s="63">
        <f>IF(C225="","",IFERROR(INDEX(tbl_Finance[Date],MATCH(C225&amp;"",tbl_Finance[Xero Invoice No],0)),""))</f>
        <v/>
      </c>
      <c r="C225" s="24" t="n"/>
      <c r="D225" s="24" t="n"/>
      <c r="E225" s="25">
        <f>IF(D225="","",IF(COUNTIF(lst_Jobs,D225&amp;"")&gt;0,"OK","CHECK"))</f>
        <v/>
      </c>
      <c r="F225" s="24" t="n"/>
      <c r="G225" s="24" t="n"/>
      <c r="H225" s="24" t="n"/>
      <c r="I225" s="24" t="n"/>
      <c r="J225" s="26" t="n"/>
      <c r="K225" s="24" t="n"/>
      <c r="L225" s="24" t="n"/>
      <c r="M225" s="24" t="n"/>
      <c r="N225" s="24" t="n"/>
    </row>
    <row r="226" ht="15" customHeight="1">
      <c r="A226" s="65" t="n"/>
      <c r="B226" s="63">
        <f>IF(C226="","",IFERROR(INDEX(tbl_Finance[Date],MATCH(C226&amp;"",tbl_Finance[Xero Invoice No],0)),""))</f>
        <v/>
      </c>
      <c r="C226" s="24" t="n"/>
      <c r="D226" s="24" t="n"/>
      <c r="E226" s="25">
        <f>IF(D226="","",IF(COUNTIF(lst_Jobs,D226&amp;"")&gt;0,"OK","CHECK"))</f>
        <v/>
      </c>
      <c r="F226" s="24" t="n"/>
      <c r="G226" s="24" t="n"/>
      <c r="H226" s="24" t="n"/>
      <c r="I226" s="24" t="n"/>
      <c r="J226" s="26" t="n"/>
      <c r="K226" s="24" t="n"/>
      <c r="L226" s="24" t="n"/>
      <c r="M226" s="24" t="n"/>
      <c r="N226" s="24" t="n"/>
    </row>
    <row r="227" ht="15" customHeight="1">
      <c r="A227" s="65" t="n"/>
      <c r="B227" s="63">
        <f>IF(C227="","",IFERROR(INDEX(tbl_Finance[Date],MATCH(C227&amp;"",tbl_Finance[Xero Invoice No],0)),""))</f>
        <v/>
      </c>
      <c r="C227" s="24" t="n"/>
      <c r="D227" s="24" t="n"/>
      <c r="E227" s="25">
        <f>IF(D227="","",IF(COUNTIF(lst_Jobs,D227&amp;"")&gt;0,"OK","CHECK"))</f>
        <v/>
      </c>
      <c r="F227" s="24" t="n"/>
      <c r="G227" s="24" t="n"/>
      <c r="H227" s="24" t="n"/>
      <c r="I227" s="24" t="n"/>
      <c r="J227" s="26" t="n"/>
      <c r="K227" s="24" t="n"/>
      <c r="L227" s="24" t="n"/>
      <c r="M227" s="24" t="n"/>
      <c r="N227" s="24" t="n"/>
    </row>
    <row r="228" ht="15" customHeight="1">
      <c r="A228" s="65" t="n"/>
      <c r="B228" s="63">
        <f>IF(C228="","",IFERROR(INDEX(tbl_Finance[Date],MATCH(C228&amp;"",tbl_Finance[Xero Invoice No],0)),""))</f>
        <v/>
      </c>
      <c r="C228" s="24" t="n"/>
      <c r="D228" s="24" t="n"/>
      <c r="E228" s="25">
        <f>IF(D228="","",IF(COUNTIF(lst_Jobs,D228&amp;"")&gt;0,"OK","CHECK"))</f>
        <v/>
      </c>
      <c r="F228" s="24" t="n"/>
      <c r="G228" s="24" t="n"/>
      <c r="H228" s="24" t="n"/>
      <c r="I228" s="24" t="n"/>
      <c r="J228" s="26" t="n"/>
      <c r="K228" s="24" t="n"/>
      <c r="L228" s="24" t="n"/>
      <c r="M228" s="24" t="n"/>
      <c r="N228" s="24" t="n"/>
    </row>
    <row r="229" ht="15" customHeight="1">
      <c r="A229" s="65" t="n"/>
      <c r="B229" s="63">
        <f>IF(C229="","",IFERROR(INDEX(tbl_Finance[Date],MATCH(C229&amp;"",tbl_Finance[Xero Invoice No],0)),""))</f>
        <v/>
      </c>
      <c r="C229" s="24" t="n"/>
      <c r="D229" s="24" t="n"/>
      <c r="E229" s="25">
        <f>IF(D229="","",IF(COUNTIF(lst_Jobs,D229&amp;"")&gt;0,"OK","CHECK"))</f>
        <v/>
      </c>
      <c r="F229" s="24" t="n"/>
      <c r="G229" s="24" t="n"/>
      <c r="H229" s="24" t="n"/>
      <c r="I229" s="24" t="n"/>
      <c r="J229" s="26" t="n"/>
      <c r="K229" s="24" t="n"/>
      <c r="L229" s="24" t="n"/>
      <c r="M229" s="24" t="n"/>
      <c r="N229" s="24" t="n"/>
    </row>
    <row r="230" ht="15" customHeight="1">
      <c r="A230" s="65" t="n"/>
      <c r="B230" s="63">
        <f>IF(C230="","",IFERROR(INDEX(tbl_Finance[Date],MATCH(C230&amp;"",tbl_Finance[Xero Invoice No],0)),""))</f>
        <v/>
      </c>
      <c r="C230" s="24" t="n"/>
      <c r="D230" s="24" t="n"/>
      <c r="E230" s="25">
        <f>IF(D230="","",IF(COUNTIF(lst_Jobs,D230&amp;"")&gt;0,"OK","CHECK"))</f>
        <v/>
      </c>
      <c r="F230" s="24" t="n"/>
      <c r="G230" s="24" t="n"/>
      <c r="H230" s="24" t="n"/>
      <c r="I230" s="24" t="n"/>
      <c r="J230" s="26" t="n"/>
      <c r="K230" s="24" t="n"/>
      <c r="L230" s="24" t="n"/>
      <c r="M230" s="24" t="n"/>
      <c r="N230" s="24" t="n"/>
    </row>
    <row r="231" ht="15" customHeight="1">
      <c r="A231" s="65" t="n"/>
      <c r="B231" s="63">
        <f>IF(C231="","",IFERROR(INDEX(tbl_Finance[Date],MATCH(C231&amp;"",tbl_Finance[Xero Invoice No],0)),""))</f>
        <v/>
      </c>
      <c r="C231" s="24" t="n"/>
      <c r="D231" s="24" t="n"/>
      <c r="E231" s="25">
        <f>IF(D231="","",IF(COUNTIF(lst_Jobs,D231&amp;"")&gt;0,"OK","CHECK"))</f>
        <v/>
      </c>
      <c r="F231" s="24" t="n"/>
      <c r="G231" s="24" t="n"/>
      <c r="H231" s="24" t="n"/>
      <c r="I231" s="24" t="n"/>
      <c r="J231" s="26" t="n"/>
      <c r="K231" s="24" t="n"/>
      <c r="L231" s="24" t="n"/>
      <c r="M231" s="24" t="n"/>
      <c r="N231" s="24" t="n"/>
    </row>
    <row r="232" ht="15" customHeight="1">
      <c r="A232" s="65" t="n"/>
      <c r="B232" s="63">
        <f>IF(C232="","",IFERROR(INDEX(tbl_Finance[Date],MATCH(C232&amp;"",tbl_Finance[Xero Invoice No],0)),""))</f>
        <v/>
      </c>
      <c r="C232" s="24" t="n"/>
      <c r="D232" s="24" t="n"/>
      <c r="E232" s="25">
        <f>IF(D232="","",IF(COUNTIF(lst_Jobs,D232&amp;"")&gt;0,"OK","CHECK"))</f>
        <v/>
      </c>
      <c r="F232" s="24" t="n"/>
      <c r="G232" s="24" t="n"/>
      <c r="H232" s="24" t="n"/>
      <c r="I232" s="24" t="n"/>
      <c r="J232" s="26" t="n"/>
      <c r="K232" s="24" t="n"/>
      <c r="L232" s="24" t="n"/>
      <c r="M232" s="24" t="n"/>
      <c r="N232" s="24" t="n"/>
    </row>
    <row r="233" ht="15" customHeight="1">
      <c r="A233" s="65" t="n"/>
      <c r="B233" s="63">
        <f>IF(C233="","",IFERROR(INDEX(tbl_Finance[Date],MATCH(C233&amp;"",tbl_Finance[Xero Invoice No],0)),""))</f>
        <v/>
      </c>
      <c r="C233" s="24" t="n"/>
      <c r="D233" s="24" t="n"/>
      <c r="E233" s="25">
        <f>IF(D233="","",IF(COUNTIF(lst_Jobs,D233&amp;"")&gt;0,"OK","CHECK"))</f>
        <v/>
      </c>
      <c r="F233" s="24" t="n"/>
      <c r="G233" s="24" t="n"/>
      <c r="H233" s="24" t="n"/>
      <c r="I233" s="24" t="n"/>
      <c r="J233" s="26" t="n"/>
      <c r="K233" s="24" t="n"/>
      <c r="L233" s="24" t="n"/>
      <c r="M233" s="24" t="n"/>
      <c r="N233" s="24" t="n"/>
    </row>
    <row r="234" ht="15" customHeight="1">
      <c r="A234" s="65" t="n"/>
      <c r="B234" s="63">
        <f>IF(C234="","",IFERROR(INDEX(tbl_Finance[Date],MATCH(C234&amp;"",tbl_Finance[Xero Invoice No],0)),""))</f>
        <v/>
      </c>
      <c r="C234" s="24" t="n"/>
      <c r="D234" s="24" t="n"/>
      <c r="E234" s="25">
        <f>IF(D234="","",IF(COUNTIF(lst_Jobs,D234&amp;"")&gt;0,"OK","CHECK"))</f>
        <v/>
      </c>
      <c r="F234" s="24" t="n"/>
      <c r="G234" s="24" t="n"/>
      <c r="H234" s="24" t="n"/>
      <c r="I234" s="24" t="n"/>
      <c r="J234" s="26" t="n"/>
      <c r="K234" s="24" t="n"/>
      <c r="L234" s="24" t="n"/>
      <c r="M234" s="24" t="n"/>
      <c r="N234" s="24" t="n"/>
    </row>
    <row r="235" ht="15" customHeight="1">
      <c r="A235" s="65" t="n"/>
      <c r="B235" s="63">
        <f>IF(C235="","",IFERROR(INDEX(tbl_Finance[Date],MATCH(C235&amp;"",tbl_Finance[Xero Invoice No],0)),""))</f>
        <v/>
      </c>
      <c r="C235" s="24" t="n"/>
      <c r="D235" s="24" t="n"/>
      <c r="E235" s="25">
        <f>IF(D235="","",IF(COUNTIF(lst_Jobs,D235&amp;"")&gt;0,"OK","CHECK"))</f>
        <v/>
      </c>
      <c r="F235" s="24" t="n"/>
      <c r="G235" s="24" t="n"/>
      <c r="H235" s="24" t="n"/>
      <c r="I235" s="24" t="n"/>
      <c r="J235" s="26" t="n"/>
      <c r="K235" s="24" t="n"/>
      <c r="L235" s="24" t="n"/>
      <c r="M235" s="24" t="n"/>
      <c r="N235" s="24" t="n"/>
    </row>
    <row r="236" ht="15" customHeight="1">
      <c r="A236" s="65" t="n"/>
      <c r="B236" s="63">
        <f>IF(C236="","",IFERROR(INDEX(tbl_Finance[Date],MATCH(C236&amp;"",tbl_Finance[Xero Invoice No],0)),""))</f>
        <v/>
      </c>
      <c r="C236" s="24" t="n"/>
      <c r="D236" s="24" t="n"/>
      <c r="E236" s="25">
        <f>IF(D236="","",IF(COUNTIF(lst_Jobs,D236&amp;"")&gt;0,"OK","CHECK"))</f>
        <v/>
      </c>
      <c r="F236" s="24" t="n"/>
      <c r="G236" s="24" t="n"/>
      <c r="H236" s="24" t="n"/>
      <c r="I236" s="24" t="n"/>
      <c r="J236" s="26" t="n"/>
      <c r="K236" s="24" t="n"/>
      <c r="L236" s="24" t="n"/>
      <c r="M236" s="24" t="n"/>
      <c r="N236" s="24" t="n"/>
    </row>
    <row r="237" ht="15" customHeight="1">
      <c r="A237" s="65" t="n"/>
      <c r="B237" s="63">
        <f>IF(C237="","",IFERROR(INDEX(tbl_Finance[Date],MATCH(C237&amp;"",tbl_Finance[Xero Invoice No],0)),""))</f>
        <v/>
      </c>
      <c r="C237" s="24" t="n"/>
      <c r="D237" s="24" t="n"/>
      <c r="E237" s="25">
        <f>IF(D237="","",IF(COUNTIF(lst_Jobs,D237&amp;"")&gt;0,"OK","CHECK"))</f>
        <v/>
      </c>
      <c r="F237" s="24" t="n"/>
      <c r="G237" s="24" t="n"/>
      <c r="H237" s="24" t="n"/>
      <c r="I237" s="24" t="n"/>
      <c r="J237" s="26" t="n"/>
      <c r="K237" s="24" t="n"/>
      <c r="L237" s="24" t="n"/>
      <c r="M237" s="24" t="n"/>
      <c r="N237" s="24" t="n"/>
    </row>
    <row r="238" ht="15" customHeight="1">
      <c r="A238" s="65" t="n"/>
      <c r="B238" s="63">
        <f>IF(C238="","",IFERROR(INDEX(tbl_Finance[Date],MATCH(C238&amp;"",tbl_Finance[Xero Invoice No],0)),""))</f>
        <v/>
      </c>
      <c r="C238" s="24" t="n"/>
      <c r="D238" s="24" t="n"/>
      <c r="E238" s="25">
        <f>IF(D238="","",IF(COUNTIF(lst_Jobs,D238&amp;"")&gt;0,"OK","CHECK"))</f>
        <v/>
      </c>
      <c r="F238" s="24" t="n"/>
      <c r="G238" s="24" t="n"/>
      <c r="H238" s="24" t="n"/>
      <c r="I238" s="24" t="n"/>
      <c r="J238" s="26" t="n"/>
      <c r="K238" s="24" t="n"/>
      <c r="L238" s="24" t="n"/>
      <c r="M238" s="24" t="n"/>
      <c r="N238" s="24" t="n"/>
    </row>
    <row r="239" ht="15" customHeight="1">
      <c r="A239" s="65" t="n"/>
      <c r="B239" s="63">
        <f>IF(C239="","",IFERROR(INDEX(tbl_Finance[Date],MATCH(C239&amp;"",tbl_Finance[Xero Invoice No],0)),""))</f>
        <v/>
      </c>
      <c r="C239" s="24" t="n"/>
      <c r="D239" s="24" t="n"/>
      <c r="E239" s="25">
        <f>IF(D239="","",IF(COUNTIF(lst_Jobs,D239&amp;"")&gt;0,"OK","CHECK"))</f>
        <v/>
      </c>
      <c r="F239" s="24" t="n"/>
      <c r="G239" s="24" t="n"/>
      <c r="H239" s="24" t="n"/>
      <c r="I239" s="24" t="n"/>
      <c r="J239" s="26" t="n"/>
      <c r="K239" s="24" t="n"/>
      <c r="L239" s="24" t="n"/>
      <c r="M239" s="24" t="n"/>
      <c r="N239" s="24" t="n"/>
    </row>
    <row r="240" ht="15" customHeight="1">
      <c r="A240" s="65" t="n"/>
      <c r="B240" s="63">
        <f>IF(C240="","",IFERROR(INDEX(tbl_Finance[Date],MATCH(C240&amp;"",tbl_Finance[Xero Invoice No],0)),""))</f>
        <v/>
      </c>
      <c r="C240" s="24" t="n"/>
      <c r="D240" s="24" t="n"/>
      <c r="E240" s="25">
        <f>IF(D240="","",IF(COUNTIF(lst_Jobs,D240&amp;"")&gt;0,"OK","CHECK"))</f>
        <v/>
      </c>
      <c r="F240" s="24" t="n"/>
      <c r="G240" s="24" t="n"/>
      <c r="H240" s="24" t="n"/>
      <c r="I240" s="24" t="n"/>
      <c r="J240" s="26" t="n"/>
      <c r="K240" s="24" t="n"/>
      <c r="L240" s="24" t="n"/>
      <c r="M240" s="24" t="n"/>
      <c r="N240" s="24" t="n"/>
    </row>
    <row r="241" ht="15" customHeight="1">
      <c r="A241" s="65" t="n"/>
      <c r="B241" s="63">
        <f>IF(C241="","",IFERROR(INDEX(tbl_Finance[Date],MATCH(C241&amp;"",tbl_Finance[Xero Invoice No],0)),""))</f>
        <v/>
      </c>
      <c r="C241" s="24" t="n"/>
      <c r="D241" s="24" t="n"/>
      <c r="E241" s="25">
        <f>IF(D241="","",IF(COUNTIF(lst_Jobs,D241&amp;"")&gt;0,"OK","CHECK"))</f>
        <v/>
      </c>
      <c r="F241" s="24" t="n"/>
      <c r="G241" s="24" t="n"/>
      <c r="H241" s="24" t="n"/>
      <c r="I241" s="24" t="n"/>
      <c r="J241" s="26" t="n"/>
      <c r="K241" s="24" t="n"/>
      <c r="L241" s="24" t="n"/>
      <c r="M241" s="24" t="n"/>
      <c r="N241" s="24" t="n"/>
    </row>
    <row r="242" ht="15" customHeight="1">
      <c r="A242" s="65" t="n"/>
      <c r="B242" s="63">
        <f>IF(C242="","",IFERROR(INDEX(tbl_Finance[Date],MATCH(C242&amp;"",tbl_Finance[Xero Invoice No],0)),""))</f>
        <v/>
      </c>
      <c r="C242" s="24" t="n"/>
      <c r="D242" s="24" t="n"/>
      <c r="E242" s="25">
        <f>IF(D242="","",IF(COUNTIF(lst_Jobs,D242&amp;"")&gt;0,"OK","CHECK"))</f>
        <v/>
      </c>
      <c r="F242" s="24" t="n"/>
      <c r="G242" s="24" t="n"/>
      <c r="H242" s="24" t="n"/>
      <c r="I242" s="24" t="n"/>
      <c r="J242" s="26" t="n"/>
      <c r="K242" s="24" t="n"/>
      <c r="L242" s="24" t="n"/>
      <c r="M242" s="24" t="n"/>
      <c r="N242" s="24" t="n"/>
    </row>
    <row r="243" ht="15" customHeight="1">
      <c r="A243" s="65" t="n"/>
      <c r="B243" s="63">
        <f>IF(C243="","",IFERROR(INDEX(tbl_Finance[Date],MATCH(C243&amp;"",tbl_Finance[Xero Invoice No],0)),""))</f>
        <v/>
      </c>
      <c r="C243" s="24" t="n"/>
      <c r="D243" s="24" t="n"/>
      <c r="E243" s="25">
        <f>IF(D243="","",IF(COUNTIF(lst_Jobs,D243&amp;"")&gt;0,"OK","CHECK"))</f>
        <v/>
      </c>
      <c r="F243" s="24" t="n"/>
      <c r="G243" s="24" t="n"/>
      <c r="H243" s="24" t="n"/>
      <c r="I243" s="24" t="n"/>
      <c r="J243" s="26" t="n"/>
      <c r="K243" s="24" t="n"/>
      <c r="L243" s="24" t="n"/>
      <c r="M243" s="24" t="n"/>
      <c r="N243" s="24" t="n"/>
    </row>
    <row r="244" ht="15" customHeight="1">
      <c r="A244" s="65" t="n"/>
      <c r="B244" s="63">
        <f>IF(C244="","",IFERROR(INDEX(tbl_Finance[Date],MATCH(C244&amp;"",tbl_Finance[Xero Invoice No],0)),""))</f>
        <v/>
      </c>
      <c r="C244" s="24" t="n"/>
      <c r="D244" s="24" t="n"/>
      <c r="E244" s="25">
        <f>IF(D244="","",IF(COUNTIF(lst_Jobs,D244&amp;"")&gt;0,"OK","CHECK"))</f>
        <v/>
      </c>
      <c r="F244" s="24" t="n"/>
      <c r="G244" s="24" t="n"/>
      <c r="H244" s="24" t="n"/>
      <c r="I244" s="24" t="n"/>
      <c r="J244" s="26" t="n"/>
      <c r="K244" s="24" t="n"/>
      <c r="L244" s="24" t="n"/>
      <c r="M244" s="24" t="n"/>
      <c r="N244" s="24" t="n"/>
    </row>
    <row r="245" ht="15" customHeight="1">
      <c r="A245" s="65" t="n"/>
      <c r="B245" s="63">
        <f>IF(C245="","",IFERROR(INDEX(tbl_Finance[Date],MATCH(C245&amp;"",tbl_Finance[Xero Invoice No],0)),""))</f>
        <v/>
      </c>
      <c r="C245" s="24" t="n"/>
      <c r="D245" s="24" t="n"/>
      <c r="E245" s="25">
        <f>IF(D245="","",IF(COUNTIF(lst_Jobs,D245&amp;"")&gt;0,"OK","CHECK"))</f>
        <v/>
      </c>
      <c r="F245" s="24" t="n"/>
      <c r="G245" s="24" t="n"/>
      <c r="H245" s="24" t="n"/>
      <c r="I245" s="24" t="n"/>
      <c r="J245" s="26" t="n"/>
      <c r="K245" s="24" t="n"/>
      <c r="L245" s="24" t="n"/>
      <c r="M245" s="24" t="n"/>
      <c r="N245" s="24" t="n"/>
    </row>
    <row r="246" ht="15" customHeight="1">
      <c r="A246" s="65" t="n"/>
      <c r="B246" s="63">
        <f>IF(C246="","",IFERROR(INDEX(tbl_Finance[Date],MATCH(C246&amp;"",tbl_Finance[Xero Invoice No],0)),""))</f>
        <v/>
      </c>
      <c r="C246" s="24" t="n"/>
      <c r="D246" s="24" t="n"/>
      <c r="E246" s="25">
        <f>IF(D246="","",IF(COUNTIF(lst_Jobs,D246&amp;"")&gt;0,"OK","CHECK"))</f>
        <v/>
      </c>
      <c r="F246" s="24" t="n"/>
      <c r="G246" s="24" t="n"/>
      <c r="H246" s="24" t="n"/>
      <c r="I246" s="24" t="n"/>
      <c r="J246" s="26" t="n"/>
      <c r="K246" s="24" t="n"/>
      <c r="L246" s="24" t="n"/>
      <c r="M246" s="24" t="n"/>
      <c r="N246" s="24" t="n"/>
    </row>
    <row r="247" ht="15" customHeight="1">
      <c r="A247" s="65" t="n"/>
      <c r="B247" s="63">
        <f>IF(C247="","",IFERROR(INDEX(tbl_Finance[Date],MATCH(C247&amp;"",tbl_Finance[Xero Invoice No],0)),""))</f>
        <v/>
      </c>
      <c r="C247" s="24" t="n"/>
      <c r="D247" s="24" t="n"/>
      <c r="E247" s="25">
        <f>IF(D247="","",IF(COUNTIF(lst_Jobs,D247&amp;"")&gt;0,"OK","CHECK"))</f>
        <v/>
      </c>
      <c r="F247" s="24" t="n"/>
      <c r="G247" s="24" t="n"/>
      <c r="H247" s="24" t="n"/>
      <c r="I247" s="24" t="n"/>
      <c r="J247" s="26" t="n"/>
      <c r="K247" s="24" t="n"/>
      <c r="L247" s="24" t="n"/>
      <c r="M247" s="24" t="n"/>
      <c r="N247" s="24" t="n"/>
    </row>
    <row r="248" ht="15" customHeight="1">
      <c r="A248" s="65" t="n"/>
      <c r="B248" s="63">
        <f>IF(C248="","",IFERROR(INDEX(tbl_Finance[Date],MATCH(C248&amp;"",tbl_Finance[Xero Invoice No],0)),""))</f>
        <v/>
      </c>
      <c r="C248" s="24" t="n"/>
      <c r="D248" s="24" t="n"/>
      <c r="E248" s="25">
        <f>IF(D248="","",IF(COUNTIF(lst_Jobs,D248&amp;"")&gt;0,"OK","CHECK"))</f>
        <v/>
      </c>
      <c r="F248" s="24" t="n"/>
      <c r="G248" s="24" t="n"/>
      <c r="H248" s="24" t="n"/>
      <c r="I248" s="24" t="n"/>
      <c r="J248" s="26" t="n"/>
      <c r="K248" s="24" t="n"/>
      <c r="L248" s="24" t="n"/>
      <c r="M248" s="24" t="n"/>
      <c r="N248" s="24" t="n"/>
    </row>
    <row r="249" ht="15" customHeight="1">
      <c r="A249" s="65" t="n"/>
      <c r="B249" s="63">
        <f>IF(C249="","",IFERROR(INDEX(tbl_Finance[Date],MATCH(C249&amp;"",tbl_Finance[Xero Invoice No],0)),""))</f>
        <v/>
      </c>
      <c r="C249" s="24" t="n"/>
      <c r="D249" s="24" t="n"/>
      <c r="E249" s="25">
        <f>IF(D249="","",IF(COUNTIF(lst_Jobs,D249&amp;"")&gt;0,"OK","CHECK"))</f>
        <v/>
      </c>
      <c r="F249" s="24" t="n"/>
      <c r="G249" s="24" t="n"/>
      <c r="H249" s="24" t="n"/>
      <c r="I249" s="24" t="n"/>
      <c r="J249" s="26" t="n"/>
      <c r="K249" s="24" t="n"/>
      <c r="L249" s="24" t="n"/>
      <c r="M249" s="24" t="n"/>
      <c r="N249" s="24" t="n"/>
    </row>
    <row r="250" ht="15" customHeight="1">
      <c r="A250" s="65" t="n"/>
      <c r="B250" s="63">
        <f>IF(C250="","",IFERROR(INDEX(tbl_Finance[Date],MATCH(C250&amp;"",tbl_Finance[Xero Invoice No],0)),""))</f>
        <v/>
      </c>
      <c r="C250" s="24" t="n"/>
      <c r="D250" s="24" t="n"/>
      <c r="E250" s="25">
        <f>IF(D250="","",IF(COUNTIF(lst_Jobs,D250&amp;"")&gt;0,"OK","CHECK"))</f>
        <v/>
      </c>
      <c r="F250" s="24" t="n"/>
      <c r="G250" s="24" t="n"/>
      <c r="H250" s="24" t="n"/>
      <c r="I250" s="24" t="n"/>
      <c r="J250" s="26" t="n"/>
      <c r="K250" s="24" t="n"/>
      <c r="L250" s="24" t="n"/>
      <c r="M250" s="24" t="n"/>
      <c r="N250" s="24" t="n"/>
    </row>
    <row r="251" ht="15" customHeight="1">
      <c r="A251" s="65" t="n"/>
      <c r="B251" s="63">
        <f>IF(C251="","",IFERROR(INDEX(tbl_Finance[Date],MATCH(C251&amp;"",tbl_Finance[Xero Invoice No],0)),""))</f>
        <v/>
      </c>
      <c r="C251" s="24" t="n"/>
      <c r="D251" s="24" t="n"/>
      <c r="E251" s="25">
        <f>IF(D251="","",IF(COUNTIF(lst_Jobs,D251&amp;"")&gt;0,"OK","CHECK"))</f>
        <v/>
      </c>
      <c r="F251" s="24" t="n"/>
      <c r="G251" s="24" t="n"/>
      <c r="H251" s="24" t="n"/>
      <c r="I251" s="24" t="n"/>
      <c r="J251" s="26" t="n"/>
      <c r="K251" s="24" t="n"/>
      <c r="L251" s="24" t="n"/>
      <c r="M251" s="24" t="n"/>
      <c r="N251" s="24" t="n"/>
    </row>
    <row r="252" ht="15" customHeight="1">
      <c r="A252" s="65" t="n"/>
      <c r="B252" s="63">
        <f>IF(C252="","",IFERROR(INDEX(tbl_Finance[Date],MATCH(C252&amp;"",tbl_Finance[Xero Invoice No],0)),""))</f>
        <v/>
      </c>
      <c r="C252" s="24" t="n"/>
      <c r="D252" s="24" t="n"/>
      <c r="E252" s="25">
        <f>IF(D252="","",IF(COUNTIF(lst_Jobs,D252&amp;"")&gt;0,"OK","CHECK"))</f>
        <v/>
      </c>
      <c r="F252" s="24" t="n"/>
      <c r="G252" s="24" t="n"/>
      <c r="H252" s="24" t="n"/>
      <c r="I252" s="24" t="n"/>
      <c r="J252" s="26" t="n"/>
      <c r="K252" s="24" t="n"/>
      <c r="L252" s="24" t="n"/>
      <c r="M252" s="24" t="n"/>
      <c r="N252" s="24" t="n"/>
    </row>
    <row r="253" ht="15" customHeight="1">
      <c r="A253" s="65" t="n"/>
      <c r="B253" s="63">
        <f>IF(C253="","",IFERROR(INDEX(tbl_Finance[Date],MATCH(C253&amp;"",tbl_Finance[Xero Invoice No],0)),""))</f>
        <v/>
      </c>
      <c r="C253" s="24" t="n"/>
      <c r="D253" s="24" t="n"/>
      <c r="E253" s="25">
        <f>IF(D253="","",IF(COUNTIF(lst_Jobs,D253&amp;"")&gt;0,"OK","CHECK"))</f>
        <v/>
      </c>
      <c r="F253" s="24" t="n"/>
      <c r="G253" s="24" t="n"/>
      <c r="H253" s="24" t="n"/>
      <c r="I253" s="24" t="n"/>
      <c r="J253" s="26" t="n"/>
      <c r="K253" s="24" t="n"/>
      <c r="L253" s="24" t="n"/>
      <c r="M253" s="24" t="n"/>
      <c r="N253" s="24" t="n"/>
    </row>
    <row r="254" ht="15" customHeight="1">
      <c r="A254" s="65" t="n"/>
      <c r="B254" s="63">
        <f>IF(C254="","",IFERROR(INDEX(tbl_Finance[Date],MATCH(C254&amp;"",tbl_Finance[Xero Invoice No],0)),""))</f>
        <v/>
      </c>
      <c r="C254" s="24" t="n"/>
      <c r="D254" s="24" t="n"/>
      <c r="E254" s="25">
        <f>IF(D254="","",IF(COUNTIF(lst_Jobs,D254&amp;"")&gt;0,"OK","CHECK"))</f>
        <v/>
      </c>
      <c r="F254" s="24" t="n"/>
      <c r="G254" s="24" t="n"/>
      <c r="H254" s="24" t="n"/>
      <c r="I254" s="24" t="n"/>
      <c r="J254" s="26" t="n"/>
      <c r="K254" s="24" t="n"/>
      <c r="L254" s="24" t="n"/>
      <c r="M254" s="24" t="n"/>
      <c r="N254" s="24" t="n"/>
    </row>
    <row r="255" ht="15" customHeight="1">
      <c r="A255" s="65" t="n"/>
      <c r="B255" s="63">
        <f>IF(C255="","",IFERROR(INDEX(tbl_Finance[Date],MATCH(C255&amp;"",tbl_Finance[Xero Invoice No],0)),""))</f>
        <v/>
      </c>
      <c r="C255" s="24" t="n"/>
      <c r="D255" s="24" t="n"/>
      <c r="E255" s="25">
        <f>IF(D255="","",IF(COUNTIF(lst_Jobs,D255&amp;"")&gt;0,"OK","CHECK"))</f>
        <v/>
      </c>
      <c r="F255" s="24" t="n"/>
      <c r="G255" s="24" t="n"/>
      <c r="H255" s="24" t="n"/>
      <c r="I255" s="24" t="n"/>
      <c r="J255" s="26" t="n"/>
      <c r="K255" s="24" t="n"/>
      <c r="L255" s="24" t="n"/>
      <c r="M255" s="24" t="n"/>
      <c r="N255" s="24" t="n"/>
    </row>
    <row r="256" ht="15" customHeight="1">
      <c r="A256" s="65" t="n"/>
      <c r="B256" s="63">
        <f>IF(C256="","",IFERROR(INDEX(tbl_Finance[Date],MATCH(C256&amp;"",tbl_Finance[Xero Invoice No],0)),""))</f>
        <v/>
      </c>
      <c r="C256" s="24" t="n"/>
      <c r="D256" s="24" t="n"/>
      <c r="E256" s="25">
        <f>IF(D256="","",IF(COUNTIF(lst_Jobs,D256&amp;"")&gt;0,"OK","CHECK"))</f>
        <v/>
      </c>
      <c r="F256" s="24" t="n"/>
      <c r="G256" s="24" t="n"/>
      <c r="H256" s="24" t="n"/>
      <c r="I256" s="24" t="n"/>
      <c r="J256" s="26" t="n"/>
      <c r="K256" s="24" t="n"/>
      <c r="L256" s="24" t="n"/>
      <c r="M256" s="24" t="n"/>
      <c r="N256" s="24" t="n"/>
    </row>
    <row r="257" ht="15" customHeight="1">
      <c r="A257" s="65" t="n"/>
      <c r="B257" s="63">
        <f>IF(C257="","",IFERROR(INDEX(tbl_Finance[Date],MATCH(C257&amp;"",tbl_Finance[Xero Invoice No],0)),""))</f>
        <v/>
      </c>
      <c r="C257" s="24" t="n"/>
      <c r="D257" s="24" t="n"/>
      <c r="E257" s="25">
        <f>IF(D257="","",IF(COUNTIF(lst_Jobs,D257&amp;"")&gt;0,"OK","CHECK"))</f>
        <v/>
      </c>
      <c r="F257" s="24" t="n"/>
      <c r="G257" s="24" t="n"/>
      <c r="H257" s="24" t="n"/>
      <c r="I257" s="24" t="n"/>
      <c r="J257" s="26" t="n"/>
      <c r="K257" s="24" t="n"/>
      <c r="L257" s="24" t="n"/>
      <c r="M257" s="24" t="n"/>
      <c r="N257" s="24" t="n"/>
    </row>
    <row r="258" ht="15" customHeight="1">
      <c r="A258" s="65" t="n"/>
      <c r="B258" s="63">
        <f>IF(C258="","",IFERROR(INDEX(tbl_Finance[Date],MATCH(C258&amp;"",tbl_Finance[Xero Invoice No],0)),""))</f>
        <v/>
      </c>
      <c r="C258" s="24" t="n"/>
      <c r="D258" s="24" t="n"/>
      <c r="E258" s="25">
        <f>IF(D258="","",IF(COUNTIF(lst_Jobs,D258&amp;"")&gt;0,"OK","CHECK"))</f>
        <v/>
      </c>
      <c r="F258" s="24" t="n"/>
      <c r="G258" s="24" t="n"/>
      <c r="H258" s="24" t="n"/>
      <c r="I258" s="24" t="n"/>
      <c r="J258" s="26" t="n"/>
      <c r="K258" s="24" t="n"/>
      <c r="L258" s="24" t="n"/>
      <c r="M258" s="24" t="n"/>
      <c r="N258" s="24" t="n"/>
    </row>
    <row r="259" ht="15" customHeight="1">
      <c r="A259" s="65" t="n"/>
      <c r="B259" s="63">
        <f>IF(C259="","",IFERROR(INDEX(tbl_Finance[Date],MATCH(C259&amp;"",tbl_Finance[Xero Invoice No],0)),""))</f>
        <v/>
      </c>
      <c r="C259" s="24" t="n"/>
      <c r="D259" s="24" t="n"/>
      <c r="E259" s="25">
        <f>IF(D259="","",IF(COUNTIF(lst_Jobs,D259&amp;"")&gt;0,"OK","CHECK"))</f>
        <v/>
      </c>
      <c r="F259" s="24" t="n"/>
      <c r="G259" s="24" t="n"/>
      <c r="H259" s="24" t="n"/>
      <c r="I259" s="24" t="n"/>
      <c r="J259" s="26" t="n"/>
      <c r="K259" s="24" t="n"/>
      <c r="L259" s="24" t="n"/>
      <c r="M259" s="24" t="n"/>
      <c r="N259" s="24" t="n"/>
    </row>
    <row r="260" ht="15" customHeight="1">
      <c r="A260" s="65" t="n"/>
      <c r="B260" s="63">
        <f>IF(C260="","",IFERROR(INDEX(tbl_Finance[Date],MATCH(C260&amp;"",tbl_Finance[Xero Invoice No],0)),""))</f>
        <v/>
      </c>
      <c r="C260" s="24" t="n"/>
      <c r="D260" s="24" t="n"/>
      <c r="E260" s="25">
        <f>IF(D260="","",IF(COUNTIF(lst_Jobs,D260&amp;"")&gt;0,"OK","CHECK"))</f>
        <v/>
      </c>
      <c r="F260" s="24" t="n"/>
      <c r="G260" s="24" t="n"/>
      <c r="H260" s="24" t="n"/>
      <c r="I260" s="24" t="n"/>
      <c r="J260" s="26" t="n"/>
      <c r="K260" s="24" t="n"/>
      <c r="L260" s="24" t="n"/>
      <c r="M260" s="24" t="n"/>
      <c r="N260" s="24" t="n"/>
    </row>
    <row r="261" ht="15" customHeight="1">
      <c r="A261" s="65" t="n"/>
      <c r="B261" s="63">
        <f>IF(C261="","",IFERROR(INDEX(tbl_Finance[Date],MATCH(C261&amp;"",tbl_Finance[Xero Invoice No],0)),""))</f>
        <v/>
      </c>
      <c r="C261" s="24" t="n"/>
      <c r="D261" s="24" t="n"/>
      <c r="E261" s="25">
        <f>IF(D261="","",IF(COUNTIF(lst_Jobs,D261&amp;"")&gt;0,"OK","CHECK"))</f>
        <v/>
      </c>
      <c r="F261" s="24" t="n"/>
      <c r="G261" s="24" t="n"/>
      <c r="H261" s="24" t="n"/>
      <c r="I261" s="24" t="n"/>
      <c r="J261" s="26" t="n"/>
      <c r="K261" s="24" t="n"/>
      <c r="L261" s="24" t="n"/>
      <c r="M261" s="24" t="n"/>
      <c r="N261" s="24" t="n"/>
    </row>
    <row r="262" ht="15" customHeight="1">
      <c r="A262" s="65" t="n"/>
      <c r="B262" s="63">
        <f>IF(C262="","",IFERROR(INDEX(tbl_Finance[Date],MATCH(C262&amp;"",tbl_Finance[Xero Invoice No],0)),""))</f>
        <v/>
      </c>
      <c r="C262" s="24" t="n"/>
      <c r="D262" s="24" t="n"/>
      <c r="E262" s="25">
        <f>IF(D262="","",IF(COUNTIF(lst_Jobs,D262&amp;"")&gt;0,"OK","CHECK"))</f>
        <v/>
      </c>
      <c r="F262" s="24" t="n"/>
      <c r="G262" s="24" t="n"/>
      <c r="H262" s="24" t="n"/>
      <c r="I262" s="24" t="n"/>
      <c r="J262" s="26" t="n"/>
      <c r="K262" s="24" t="n"/>
      <c r="L262" s="24" t="n"/>
      <c r="M262" s="24" t="n"/>
      <c r="N262" s="24" t="n"/>
    </row>
    <row r="263" ht="15" customHeight="1">
      <c r="A263" s="65" t="n"/>
      <c r="B263" s="63">
        <f>IF(C263="","",IFERROR(INDEX(tbl_Finance[Date],MATCH(C263&amp;"",tbl_Finance[Xero Invoice No],0)),""))</f>
        <v/>
      </c>
      <c r="C263" s="24" t="n"/>
      <c r="D263" s="24" t="n"/>
      <c r="E263" s="25">
        <f>IF(D263="","",IF(COUNTIF(lst_Jobs,D263&amp;"")&gt;0,"OK","CHECK"))</f>
        <v/>
      </c>
      <c r="F263" s="24" t="n"/>
      <c r="G263" s="24" t="n"/>
      <c r="H263" s="24" t="n"/>
      <c r="I263" s="24" t="n"/>
      <c r="J263" s="26" t="n"/>
      <c r="K263" s="24" t="n"/>
      <c r="L263" s="24" t="n"/>
      <c r="M263" s="24" t="n"/>
      <c r="N263" s="24" t="n"/>
    </row>
    <row r="264" ht="15" customHeight="1">
      <c r="A264" s="65" t="n"/>
      <c r="B264" s="63">
        <f>IF(C264="","",IFERROR(INDEX(tbl_Finance[Date],MATCH(C264&amp;"",tbl_Finance[Xero Invoice No],0)),""))</f>
        <v/>
      </c>
      <c r="C264" s="24" t="n"/>
      <c r="D264" s="24" t="n"/>
      <c r="E264" s="25">
        <f>IF(D264="","",IF(COUNTIF(lst_Jobs,D264&amp;"")&gt;0,"OK","CHECK"))</f>
        <v/>
      </c>
      <c r="F264" s="24" t="n"/>
      <c r="G264" s="24" t="n"/>
      <c r="H264" s="24" t="n"/>
      <c r="I264" s="24" t="n"/>
      <c r="J264" s="26" t="n"/>
      <c r="K264" s="24" t="n"/>
      <c r="L264" s="24" t="n"/>
      <c r="M264" s="24" t="n"/>
      <c r="N264" s="24" t="n"/>
    </row>
    <row r="265" ht="15" customHeight="1">
      <c r="A265" s="65" t="n"/>
      <c r="B265" s="63">
        <f>IF(C265="","",IFERROR(INDEX(tbl_Finance[Date],MATCH(C265&amp;"",tbl_Finance[Xero Invoice No],0)),""))</f>
        <v/>
      </c>
      <c r="C265" s="24" t="n"/>
      <c r="D265" s="24" t="n"/>
      <c r="E265" s="25">
        <f>IF(D265="","",IF(COUNTIF(lst_Jobs,D265&amp;"")&gt;0,"OK","CHECK"))</f>
        <v/>
      </c>
      <c r="F265" s="24" t="n"/>
      <c r="G265" s="24" t="n"/>
      <c r="H265" s="24" t="n"/>
      <c r="I265" s="24" t="n"/>
      <c r="J265" s="26" t="n"/>
      <c r="K265" s="24" t="n"/>
      <c r="L265" s="24" t="n"/>
      <c r="M265" s="24" t="n"/>
      <c r="N265" s="24" t="n"/>
    </row>
    <row r="266" ht="15" customHeight="1">
      <c r="A266" s="65" t="n"/>
      <c r="B266" s="63">
        <f>IF(C266="","",IFERROR(INDEX(tbl_Finance[Date],MATCH(C266&amp;"",tbl_Finance[Xero Invoice No],0)),""))</f>
        <v/>
      </c>
      <c r="C266" s="24" t="n"/>
      <c r="D266" s="24" t="n"/>
      <c r="E266" s="25">
        <f>IF(D266="","",IF(COUNTIF(lst_Jobs,D266&amp;"")&gt;0,"OK","CHECK"))</f>
        <v/>
      </c>
      <c r="F266" s="24" t="n"/>
      <c r="G266" s="24" t="n"/>
      <c r="H266" s="24" t="n"/>
      <c r="I266" s="24" t="n"/>
      <c r="J266" s="26" t="n"/>
      <c r="K266" s="24" t="n"/>
      <c r="L266" s="24" t="n"/>
      <c r="M266" s="24" t="n"/>
      <c r="N266" s="24" t="n"/>
    </row>
    <row r="267" ht="15" customHeight="1">
      <c r="A267" s="65" t="n"/>
      <c r="B267" s="63">
        <f>IF(C267="","",IFERROR(INDEX(tbl_Finance[Date],MATCH(C267&amp;"",tbl_Finance[Xero Invoice No],0)),""))</f>
        <v/>
      </c>
      <c r="C267" s="24" t="n"/>
      <c r="D267" s="24" t="n"/>
      <c r="E267" s="25">
        <f>IF(D267="","",IF(COUNTIF(lst_Jobs,D267&amp;"")&gt;0,"OK","CHECK"))</f>
        <v/>
      </c>
      <c r="F267" s="24" t="n"/>
      <c r="G267" s="24" t="n"/>
      <c r="H267" s="24" t="n"/>
      <c r="I267" s="24" t="n"/>
      <c r="J267" s="26" t="n"/>
      <c r="K267" s="24" t="n"/>
      <c r="L267" s="24" t="n"/>
      <c r="M267" s="24" t="n"/>
      <c r="N267" s="24" t="n"/>
    </row>
    <row r="268" ht="15" customHeight="1">
      <c r="A268" s="65" t="n"/>
      <c r="B268" s="63">
        <f>IF(C268="","",IFERROR(INDEX(tbl_Finance[Date],MATCH(C268&amp;"",tbl_Finance[Xero Invoice No],0)),""))</f>
        <v/>
      </c>
      <c r="C268" s="24" t="n"/>
      <c r="D268" s="24" t="n"/>
      <c r="E268" s="25">
        <f>IF(D268="","",IF(COUNTIF(lst_Jobs,D268&amp;"")&gt;0,"OK","CHECK"))</f>
        <v/>
      </c>
      <c r="F268" s="24" t="n"/>
      <c r="G268" s="24" t="n"/>
      <c r="H268" s="24" t="n"/>
      <c r="I268" s="24" t="n"/>
      <c r="J268" s="26" t="n"/>
      <c r="K268" s="24" t="n"/>
      <c r="L268" s="24" t="n"/>
      <c r="M268" s="24" t="n"/>
      <c r="N268" s="24" t="n"/>
    </row>
    <row r="269" ht="15" customHeight="1">
      <c r="A269" s="65" t="n"/>
      <c r="B269" s="63">
        <f>IF(C269="","",IFERROR(INDEX(tbl_Finance[Date],MATCH(C269&amp;"",tbl_Finance[Xero Invoice No],0)),""))</f>
        <v/>
      </c>
      <c r="C269" s="24" t="n"/>
      <c r="D269" s="24" t="n"/>
      <c r="E269" s="25">
        <f>IF(D269="","",IF(COUNTIF(lst_Jobs,D269&amp;"")&gt;0,"OK","CHECK"))</f>
        <v/>
      </c>
      <c r="F269" s="24" t="n"/>
      <c r="G269" s="24" t="n"/>
      <c r="H269" s="24" t="n"/>
      <c r="I269" s="24" t="n"/>
      <c r="J269" s="26" t="n"/>
      <c r="K269" s="24" t="n"/>
      <c r="L269" s="24" t="n"/>
      <c r="M269" s="24" t="n"/>
      <c r="N269" s="24" t="n"/>
    </row>
    <row r="270" ht="15" customHeight="1">
      <c r="A270" s="65" t="n"/>
      <c r="B270" s="63">
        <f>IF(C270="","",IFERROR(INDEX(tbl_Finance[Date],MATCH(C270&amp;"",tbl_Finance[Xero Invoice No],0)),""))</f>
        <v/>
      </c>
      <c r="C270" s="24" t="n"/>
      <c r="D270" s="24" t="n"/>
      <c r="E270" s="25">
        <f>IF(D270="","",IF(COUNTIF(lst_Jobs,D270&amp;"")&gt;0,"OK","CHECK"))</f>
        <v/>
      </c>
      <c r="F270" s="24" t="n"/>
      <c r="G270" s="24" t="n"/>
      <c r="H270" s="24" t="n"/>
      <c r="I270" s="24" t="n"/>
      <c r="J270" s="26" t="n"/>
      <c r="K270" s="24" t="n"/>
      <c r="L270" s="24" t="n"/>
      <c r="M270" s="24" t="n"/>
      <c r="N270" s="24" t="n"/>
    </row>
    <row r="271" ht="15" customHeight="1">
      <c r="A271" s="65" t="n"/>
      <c r="B271" s="63">
        <f>IF(C271="","",IFERROR(INDEX(tbl_Finance[Date],MATCH(C271&amp;"",tbl_Finance[Xero Invoice No],0)),""))</f>
        <v/>
      </c>
      <c r="C271" s="24" t="n"/>
      <c r="D271" s="24" t="n"/>
      <c r="E271" s="25">
        <f>IF(D271="","",IF(COUNTIF(lst_Jobs,D271&amp;"")&gt;0,"OK","CHECK"))</f>
        <v/>
      </c>
      <c r="F271" s="24" t="n"/>
      <c r="G271" s="24" t="n"/>
      <c r="H271" s="24" t="n"/>
      <c r="I271" s="24" t="n"/>
      <c r="J271" s="26" t="n"/>
      <c r="K271" s="24" t="n"/>
      <c r="L271" s="24" t="n"/>
      <c r="M271" s="24" t="n"/>
      <c r="N271" s="24" t="n"/>
    </row>
    <row r="272" ht="15" customHeight="1">
      <c r="A272" s="65" t="n"/>
      <c r="B272" s="63">
        <f>IF(C272="","",IFERROR(INDEX(tbl_Finance[Date],MATCH(C272&amp;"",tbl_Finance[Xero Invoice No],0)),""))</f>
        <v/>
      </c>
      <c r="C272" s="24" t="n"/>
      <c r="D272" s="24" t="n"/>
      <c r="E272" s="25">
        <f>IF(D272="","",IF(COUNTIF(lst_Jobs,D272&amp;"")&gt;0,"OK","CHECK"))</f>
        <v/>
      </c>
      <c r="F272" s="24" t="n"/>
      <c r="G272" s="24" t="n"/>
      <c r="H272" s="24" t="n"/>
      <c r="I272" s="24" t="n"/>
      <c r="J272" s="26" t="n"/>
      <c r="K272" s="24" t="n"/>
      <c r="L272" s="24" t="n"/>
      <c r="M272" s="24" t="n"/>
      <c r="N272" s="24" t="n"/>
    </row>
    <row r="273" ht="15" customHeight="1">
      <c r="A273" s="65" t="n"/>
      <c r="B273" s="63">
        <f>IF(C273="","",IFERROR(INDEX(tbl_Finance[Date],MATCH(C273&amp;"",tbl_Finance[Xero Invoice No],0)),""))</f>
        <v/>
      </c>
      <c r="C273" s="24" t="n"/>
      <c r="D273" s="24" t="n"/>
      <c r="E273" s="25">
        <f>IF(D273="","",IF(COUNTIF(lst_Jobs,D273&amp;"")&gt;0,"OK","CHECK"))</f>
        <v/>
      </c>
      <c r="F273" s="24" t="n"/>
      <c r="G273" s="24" t="n"/>
      <c r="H273" s="24" t="n"/>
      <c r="I273" s="24" t="n"/>
      <c r="J273" s="26" t="n"/>
      <c r="K273" s="24" t="n"/>
      <c r="L273" s="24" t="n"/>
      <c r="M273" s="24" t="n"/>
      <c r="N273" s="24" t="n"/>
    </row>
    <row r="274" ht="15" customHeight="1">
      <c r="A274" s="65" t="n"/>
      <c r="B274" s="63">
        <f>IF(C274="","",IFERROR(INDEX(tbl_Finance[Date],MATCH(C274&amp;"",tbl_Finance[Xero Invoice No],0)),""))</f>
        <v/>
      </c>
      <c r="C274" s="24" t="n"/>
      <c r="D274" s="24" t="n"/>
      <c r="E274" s="25">
        <f>IF(D274="","",IF(COUNTIF(lst_Jobs,D274&amp;"")&gt;0,"OK","CHECK"))</f>
        <v/>
      </c>
      <c r="F274" s="24" t="n"/>
      <c r="G274" s="24" t="n"/>
      <c r="H274" s="24" t="n"/>
      <c r="I274" s="24" t="n"/>
      <c r="J274" s="26" t="n"/>
      <c r="K274" s="24" t="n"/>
      <c r="L274" s="24" t="n"/>
      <c r="M274" s="24" t="n"/>
      <c r="N274" s="24" t="n"/>
    </row>
    <row r="275" ht="15" customHeight="1">
      <c r="A275" s="65" t="n"/>
      <c r="B275" s="63">
        <f>IF(C275="","",IFERROR(INDEX(tbl_Finance[Date],MATCH(C275&amp;"",tbl_Finance[Xero Invoice No],0)),""))</f>
        <v/>
      </c>
      <c r="C275" s="24" t="n"/>
      <c r="D275" s="24" t="n"/>
      <c r="E275" s="25">
        <f>IF(D275="","",IF(COUNTIF(lst_Jobs,D275&amp;"")&gt;0,"OK","CHECK"))</f>
        <v/>
      </c>
      <c r="F275" s="24" t="n"/>
      <c r="G275" s="24" t="n"/>
      <c r="H275" s="24" t="n"/>
      <c r="I275" s="24" t="n"/>
      <c r="J275" s="26" t="n"/>
      <c r="K275" s="24" t="n"/>
      <c r="L275" s="24" t="n"/>
      <c r="M275" s="24" t="n"/>
      <c r="N275" s="24" t="n"/>
    </row>
    <row r="276" ht="15" customHeight="1">
      <c r="A276" s="65" t="n"/>
      <c r="B276" s="63">
        <f>IF(C276="","",IFERROR(INDEX(tbl_Finance[Date],MATCH(C276&amp;"",tbl_Finance[Xero Invoice No],0)),""))</f>
        <v/>
      </c>
      <c r="C276" s="24" t="n"/>
      <c r="D276" s="24" t="n"/>
      <c r="E276" s="25">
        <f>IF(D276="","",IF(COUNTIF(lst_Jobs,D276&amp;"")&gt;0,"OK","CHECK"))</f>
        <v/>
      </c>
      <c r="F276" s="24" t="n"/>
      <c r="G276" s="24" t="n"/>
      <c r="H276" s="24" t="n"/>
      <c r="I276" s="24" t="n"/>
      <c r="J276" s="26" t="n"/>
      <c r="K276" s="24" t="n"/>
      <c r="L276" s="24" t="n"/>
      <c r="M276" s="24" t="n"/>
      <c r="N276" s="24" t="n"/>
    </row>
    <row r="277" ht="15" customHeight="1">
      <c r="A277" s="65" t="n"/>
      <c r="B277" s="63">
        <f>IF(C277="","",IFERROR(INDEX(tbl_Finance[Date],MATCH(C277&amp;"",tbl_Finance[Xero Invoice No],0)),""))</f>
        <v/>
      </c>
      <c r="C277" s="24" t="n"/>
      <c r="D277" s="24" t="n"/>
      <c r="E277" s="25">
        <f>IF(D277="","",IF(COUNTIF(lst_Jobs,D277&amp;"")&gt;0,"OK","CHECK"))</f>
        <v/>
      </c>
      <c r="F277" s="24" t="n"/>
      <c r="G277" s="24" t="n"/>
      <c r="H277" s="24" t="n"/>
      <c r="I277" s="24" t="n"/>
      <c r="J277" s="26" t="n"/>
      <c r="K277" s="24" t="n"/>
      <c r="L277" s="24" t="n"/>
      <c r="M277" s="24" t="n"/>
      <c r="N277" s="24" t="n"/>
    </row>
    <row r="278" ht="15" customHeight="1">
      <c r="A278" s="65" t="n"/>
      <c r="B278" s="63">
        <f>IF(C278="","",IFERROR(INDEX(tbl_Finance[Date],MATCH(C278&amp;"",tbl_Finance[Xero Invoice No],0)),""))</f>
        <v/>
      </c>
      <c r="C278" s="24" t="n"/>
      <c r="D278" s="24" t="n"/>
      <c r="E278" s="25">
        <f>IF(D278="","",IF(COUNTIF(lst_Jobs,D278&amp;"")&gt;0,"OK","CHECK"))</f>
        <v/>
      </c>
      <c r="F278" s="24" t="n"/>
      <c r="G278" s="24" t="n"/>
      <c r="H278" s="24" t="n"/>
      <c r="I278" s="24" t="n"/>
      <c r="J278" s="26" t="n"/>
      <c r="K278" s="24" t="n"/>
      <c r="L278" s="24" t="n"/>
      <c r="M278" s="24" t="n"/>
      <c r="N278" s="24" t="n"/>
    </row>
    <row r="279" ht="15" customHeight="1">
      <c r="A279" s="65" t="n"/>
      <c r="B279" s="63">
        <f>IF(C279="","",IFERROR(INDEX(tbl_Finance[Date],MATCH(C279&amp;"",tbl_Finance[Xero Invoice No],0)),""))</f>
        <v/>
      </c>
      <c r="C279" s="24" t="n"/>
      <c r="D279" s="24" t="n"/>
      <c r="E279" s="25">
        <f>IF(D279="","",IF(COUNTIF(lst_Jobs,D279&amp;"")&gt;0,"OK","CHECK"))</f>
        <v/>
      </c>
      <c r="F279" s="24" t="n"/>
      <c r="G279" s="24" t="n"/>
      <c r="H279" s="24" t="n"/>
      <c r="I279" s="24" t="n"/>
      <c r="J279" s="26" t="n"/>
      <c r="K279" s="24" t="n"/>
      <c r="L279" s="24" t="n"/>
      <c r="M279" s="24" t="n"/>
      <c r="N279" s="24" t="n"/>
    </row>
    <row r="280" ht="15" customHeight="1">
      <c r="A280" s="65" t="n"/>
      <c r="B280" s="63">
        <f>IF(C280="","",IFERROR(INDEX(tbl_Finance[Date],MATCH(C280&amp;"",tbl_Finance[Xero Invoice No],0)),""))</f>
        <v/>
      </c>
      <c r="C280" s="24" t="n"/>
      <c r="D280" s="24" t="n"/>
      <c r="E280" s="25">
        <f>IF(D280="","",IF(COUNTIF(lst_Jobs,D280&amp;"")&gt;0,"OK","CHECK"))</f>
        <v/>
      </c>
      <c r="F280" s="24" t="n"/>
      <c r="G280" s="24" t="n"/>
      <c r="H280" s="24" t="n"/>
      <c r="I280" s="24" t="n"/>
      <c r="J280" s="26" t="n"/>
      <c r="K280" s="24" t="n"/>
      <c r="L280" s="24" t="n"/>
      <c r="M280" s="24" t="n"/>
      <c r="N280" s="24" t="n"/>
    </row>
    <row r="281" ht="15" customHeight="1">
      <c r="A281" s="65" t="n"/>
      <c r="B281" s="63">
        <f>IF(C281="","",IFERROR(INDEX(tbl_Finance[Date],MATCH(C281&amp;"",tbl_Finance[Xero Invoice No],0)),""))</f>
        <v/>
      </c>
      <c r="C281" s="24" t="n"/>
      <c r="D281" s="24" t="n"/>
      <c r="E281" s="25">
        <f>IF(D281="","",IF(COUNTIF(lst_Jobs,D281&amp;"")&gt;0,"OK","CHECK"))</f>
        <v/>
      </c>
      <c r="F281" s="24" t="n"/>
      <c r="G281" s="24" t="n"/>
      <c r="H281" s="24" t="n"/>
      <c r="I281" s="24" t="n"/>
      <c r="J281" s="26" t="n"/>
      <c r="K281" s="24" t="n"/>
      <c r="L281" s="24" t="n"/>
      <c r="M281" s="24" t="n"/>
      <c r="N281" s="24" t="n"/>
    </row>
    <row r="282" ht="15" customHeight="1">
      <c r="A282" s="65" t="n"/>
      <c r="B282" s="63">
        <f>IF(C282="","",IFERROR(INDEX(tbl_Finance[Date],MATCH(C282&amp;"",tbl_Finance[Xero Invoice No],0)),""))</f>
        <v/>
      </c>
      <c r="C282" s="24" t="n"/>
      <c r="D282" s="24" t="n"/>
      <c r="E282" s="25">
        <f>IF(D282="","",IF(COUNTIF(lst_Jobs,D282&amp;"")&gt;0,"OK","CHECK"))</f>
        <v/>
      </c>
      <c r="F282" s="24" t="n"/>
      <c r="G282" s="24" t="n"/>
      <c r="H282" s="24" t="n"/>
      <c r="I282" s="24" t="n"/>
      <c r="J282" s="26" t="n"/>
      <c r="K282" s="24" t="n"/>
      <c r="L282" s="24" t="n"/>
      <c r="M282" s="24" t="n"/>
      <c r="N282" s="24" t="n"/>
    </row>
    <row r="283" ht="15" customHeight="1">
      <c r="A283" s="65" t="n"/>
      <c r="B283" s="63">
        <f>IF(C283="","",IFERROR(INDEX(tbl_Finance[Date],MATCH(C283&amp;"",tbl_Finance[Xero Invoice No],0)),""))</f>
        <v/>
      </c>
      <c r="C283" s="24" t="n"/>
      <c r="D283" s="24" t="n"/>
      <c r="E283" s="25">
        <f>IF(D283="","",IF(COUNTIF(lst_Jobs,D283&amp;"")&gt;0,"OK","CHECK"))</f>
        <v/>
      </c>
      <c r="F283" s="24" t="n"/>
      <c r="G283" s="24" t="n"/>
      <c r="H283" s="24" t="n"/>
      <c r="I283" s="24" t="n"/>
      <c r="J283" s="26" t="n"/>
      <c r="K283" s="24" t="n"/>
      <c r="L283" s="24" t="n"/>
      <c r="M283" s="24" t="n"/>
      <c r="N283" s="24" t="n"/>
    </row>
    <row r="284" ht="15" customHeight="1">
      <c r="A284" s="65" t="n"/>
      <c r="B284" s="63">
        <f>IF(C284="","",IFERROR(INDEX(tbl_Finance[Date],MATCH(C284&amp;"",tbl_Finance[Xero Invoice No],0)),""))</f>
        <v/>
      </c>
      <c r="C284" s="24" t="n"/>
      <c r="D284" s="24" t="n"/>
      <c r="E284" s="25">
        <f>IF(D284="","",IF(COUNTIF(lst_Jobs,D284&amp;"")&gt;0,"OK","CHECK"))</f>
        <v/>
      </c>
      <c r="F284" s="24" t="n"/>
      <c r="G284" s="24" t="n"/>
      <c r="H284" s="24" t="n"/>
      <c r="I284" s="24" t="n"/>
      <c r="J284" s="26" t="n"/>
      <c r="K284" s="24" t="n"/>
      <c r="L284" s="24" t="n"/>
      <c r="M284" s="24" t="n"/>
      <c r="N284" s="24" t="n"/>
    </row>
    <row r="285" ht="15" customHeight="1">
      <c r="A285" s="65" t="n"/>
      <c r="B285" s="63">
        <f>IF(C285="","",IFERROR(INDEX(tbl_Finance[Date],MATCH(C285&amp;"",tbl_Finance[Xero Invoice No],0)),""))</f>
        <v/>
      </c>
      <c r="C285" s="24" t="n"/>
      <c r="D285" s="24" t="n"/>
      <c r="E285" s="25">
        <f>IF(D285="","",IF(COUNTIF(lst_Jobs,D285&amp;"")&gt;0,"OK","CHECK"))</f>
        <v/>
      </c>
      <c r="F285" s="24" t="n"/>
      <c r="G285" s="24" t="n"/>
      <c r="H285" s="24" t="n"/>
      <c r="I285" s="24" t="n"/>
      <c r="J285" s="26" t="n"/>
      <c r="K285" s="24" t="n"/>
      <c r="L285" s="24" t="n"/>
      <c r="M285" s="24" t="n"/>
      <c r="N285" s="24" t="n"/>
    </row>
    <row r="286" ht="15" customHeight="1">
      <c r="A286" s="65" t="n"/>
      <c r="B286" s="63">
        <f>IF(C286="","",IFERROR(INDEX(tbl_Finance[Date],MATCH(C286&amp;"",tbl_Finance[Xero Invoice No],0)),""))</f>
        <v/>
      </c>
      <c r="C286" s="24" t="n"/>
      <c r="D286" s="24" t="n"/>
      <c r="E286" s="25">
        <f>IF(D286="","",IF(COUNTIF(lst_Jobs,D286&amp;"")&gt;0,"OK","CHECK"))</f>
        <v/>
      </c>
      <c r="F286" s="24" t="n"/>
      <c r="G286" s="24" t="n"/>
      <c r="H286" s="24" t="n"/>
      <c r="I286" s="24" t="n"/>
      <c r="J286" s="26" t="n"/>
      <c r="K286" s="24" t="n"/>
      <c r="L286" s="24" t="n"/>
      <c r="M286" s="24" t="n"/>
      <c r="N286" s="24" t="n"/>
    </row>
    <row r="287" ht="15" customHeight="1">
      <c r="A287" s="65" t="n"/>
      <c r="B287" s="63">
        <f>IF(C287="","",IFERROR(INDEX(tbl_Finance[Date],MATCH(C287&amp;"",tbl_Finance[Xero Invoice No],0)),""))</f>
        <v/>
      </c>
      <c r="C287" s="24" t="n"/>
      <c r="D287" s="24" t="n"/>
      <c r="E287" s="25">
        <f>IF(D287="","",IF(COUNTIF(lst_Jobs,D287&amp;"")&gt;0,"OK","CHECK"))</f>
        <v/>
      </c>
      <c r="F287" s="24" t="n"/>
      <c r="G287" s="24" t="n"/>
      <c r="H287" s="24" t="n"/>
      <c r="I287" s="24" t="n"/>
      <c r="J287" s="26" t="n"/>
      <c r="K287" s="24" t="n"/>
      <c r="L287" s="24" t="n"/>
      <c r="M287" s="24" t="n"/>
      <c r="N287" s="24" t="n"/>
    </row>
    <row r="288" ht="15" customHeight="1">
      <c r="A288" s="65" t="n"/>
      <c r="B288" s="63">
        <f>IF(C288="","",IFERROR(INDEX(tbl_Finance[Date],MATCH(C288&amp;"",tbl_Finance[Xero Invoice No],0)),""))</f>
        <v/>
      </c>
      <c r="C288" s="24" t="n"/>
      <c r="D288" s="24" t="n"/>
      <c r="E288" s="25">
        <f>IF(D288="","",IF(COUNTIF(lst_Jobs,D288&amp;"")&gt;0,"OK","CHECK"))</f>
        <v/>
      </c>
      <c r="F288" s="24" t="n"/>
      <c r="G288" s="24" t="n"/>
      <c r="H288" s="24" t="n"/>
      <c r="I288" s="24" t="n"/>
      <c r="J288" s="26" t="n"/>
      <c r="K288" s="24" t="n"/>
      <c r="L288" s="24" t="n"/>
      <c r="M288" s="24" t="n"/>
      <c r="N288" s="24" t="n"/>
    </row>
    <row r="289" ht="15" customHeight="1">
      <c r="A289" s="65" t="n"/>
      <c r="B289" s="63">
        <f>IF(C289="","",IFERROR(INDEX(tbl_Finance[Date],MATCH(C289&amp;"",tbl_Finance[Xero Invoice No],0)),""))</f>
        <v/>
      </c>
      <c r="C289" s="24" t="n"/>
      <c r="D289" s="24" t="n"/>
      <c r="E289" s="25">
        <f>IF(D289="","",IF(COUNTIF(lst_Jobs,D289&amp;"")&gt;0,"OK","CHECK"))</f>
        <v/>
      </c>
      <c r="F289" s="24" t="n"/>
      <c r="G289" s="24" t="n"/>
      <c r="H289" s="24" t="n"/>
      <c r="I289" s="24" t="n"/>
      <c r="J289" s="26" t="n"/>
      <c r="K289" s="24" t="n"/>
      <c r="L289" s="24" t="n"/>
      <c r="M289" s="24" t="n"/>
      <c r="N289" s="24" t="n"/>
    </row>
    <row r="290" ht="15" customHeight="1">
      <c r="A290" s="65" t="n"/>
      <c r="B290" s="63">
        <f>IF(C290="","",IFERROR(INDEX(tbl_Finance[Date],MATCH(C290&amp;"",tbl_Finance[Xero Invoice No],0)),""))</f>
        <v/>
      </c>
      <c r="C290" s="24" t="n"/>
      <c r="D290" s="24" t="n"/>
      <c r="E290" s="25">
        <f>IF(D290="","",IF(COUNTIF(lst_Jobs,D290&amp;"")&gt;0,"OK","CHECK"))</f>
        <v/>
      </c>
      <c r="F290" s="24" t="n"/>
      <c r="G290" s="24" t="n"/>
      <c r="H290" s="24" t="n"/>
      <c r="I290" s="24" t="n"/>
      <c r="J290" s="26" t="n"/>
      <c r="K290" s="24" t="n"/>
      <c r="L290" s="24" t="n"/>
      <c r="M290" s="24" t="n"/>
      <c r="N290" s="24" t="n"/>
    </row>
    <row r="291" ht="15" customHeight="1">
      <c r="A291" s="65" t="n"/>
      <c r="B291" s="63">
        <f>IF(C291="","",IFERROR(INDEX(tbl_Finance[Date],MATCH(C291&amp;"",tbl_Finance[Xero Invoice No],0)),""))</f>
        <v/>
      </c>
      <c r="C291" s="24" t="n"/>
      <c r="D291" s="24" t="n"/>
      <c r="E291" s="25">
        <f>IF(D291="","",IF(COUNTIF(lst_Jobs,D291&amp;"")&gt;0,"OK","CHECK"))</f>
        <v/>
      </c>
      <c r="F291" s="24" t="n"/>
      <c r="G291" s="24" t="n"/>
      <c r="H291" s="24" t="n"/>
      <c r="I291" s="24" t="n"/>
      <c r="J291" s="26" t="n"/>
      <c r="K291" s="24" t="n"/>
      <c r="L291" s="24" t="n"/>
      <c r="M291" s="24" t="n"/>
      <c r="N291" s="24" t="n"/>
    </row>
    <row r="292" ht="15" customHeight="1">
      <c r="A292" s="65" t="n"/>
      <c r="B292" s="63">
        <f>IF(C292="","",IFERROR(INDEX(tbl_Finance[Date],MATCH(C292&amp;"",tbl_Finance[Xero Invoice No],0)),""))</f>
        <v/>
      </c>
      <c r="C292" s="24" t="n"/>
      <c r="D292" s="24" t="n"/>
      <c r="E292" s="25">
        <f>IF(D292="","",IF(COUNTIF(lst_Jobs,D292&amp;"")&gt;0,"OK","CHECK"))</f>
        <v/>
      </c>
      <c r="F292" s="24" t="n"/>
      <c r="G292" s="24" t="n"/>
      <c r="H292" s="24" t="n"/>
      <c r="I292" s="24" t="n"/>
      <c r="J292" s="26" t="n"/>
      <c r="K292" s="24" t="n"/>
      <c r="L292" s="24" t="n"/>
      <c r="M292" s="24" t="n"/>
      <c r="N292" s="24" t="n"/>
    </row>
    <row r="293" ht="15" customHeight="1">
      <c r="A293" s="65" t="n"/>
      <c r="B293" s="63">
        <f>IF(C293="","",IFERROR(INDEX(tbl_Finance[Date],MATCH(C293&amp;"",tbl_Finance[Xero Invoice No],0)),""))</f>
        <v/>
      </c>
      <c r="C293" s="24" t="n"/>
      <c r="D293" s="24" t="n"/>
      <c r="E293" s="25">
        <f>IF(D293="","",IF(COUNTIF(lst_Jobs,D293&amp;"")&gt;0,"OK","CHECK"))</f>
        <v/>
      </c>
      <c r="F293" s="24" t="n"/>
      <c r="G293" s="24" t="n"/>
      <c r="H293" s="24" t="n"/>
      <c r="I293" s="24" t="n"/>
      <c r="J293" s="26" t="n"/>
      <c r="K293" s="24" t="n"/>
      <c r="L293" s="24" t="n"/>
      <c r="M293" s="24" t="n"/>
      <c r="N293" s="24" t="n"/>
    </row>
    <row r="294" ht="15" customHeight="1">
      <c r="A294" s="65" t="n"/>
      <c r="B294" s="63">
        <f>IF(C294="","",IFERROR(INDEX(tbl_Finance[Date],MATCH(C294&amp;"",tbl_Finance[Xero Invoice No],0)),""))</f>
        <v/>
      </c>
      <c r="C294" s="24" t="n"/>
      <c r="D294" s="24" t="n"/>
      <c r="E294" s="25">
        <f>IF(D294="","",IF(COUNTIF(lst_Jobs,D294&amp;"")&gt;0,"OK","CHECK"))</f>
        <v/>
      </c>
      <c r="F294" s="24" t="n"/>
      <c r="G294" s="24" t="n"/>
      <c r="H294" s="24" t="n"/>
      <c r="I294" s="24" t="n"/>
      <c r="J294" s="26" t="n"/>
      <c r="K294" s="24" t="n"/>
      <c r="L294" s="24" t="n"/>
      <c r="M294" s="24" t="n"/>
      <c r="N294" s="24" t="n"/>
    </row>
    <row r="295" ht="15" customHeight="1">
      <c r="A295" s="65" t="n"/>
      <c r="B295" s="63">
        <f>IF(C295="","",IFERROR(INDEX(tbl_Finance[Date],MATCH(C295&amp;"",tbl_Finance[Xero Invoice No],0)),""))</f>
        <v/>
      </c>
      <c r="C295" s="24" t="n"/>
      <c r="D295" s="24" t="n"/>
      <c r="E295" s="25">
        <f>IF(D295="","",IF(COUNTIF(lst_Jobs,D295&amp;"")&gt;0,"OK","CHECK"))</f>
        <v/>
      </c>
      <c r="F295" s="24" t="n"/>
      <c r="G295" s="24" t="n"/>
      <c r="H295" s="24" t="n"/>
      <c r="I295" s="24" t="n"/>
      <c r="J295" s="26" t="n"/>
      <c r="K295" s="24" t="n"/>
      <c r="L295" s="24" t="n"/>
      <c r="M295" s="24" t="n"/>
      <c r="N295" s="24" t="n"/>
    </row>
    <row r="296" ht="15" customHeight="1">
      <c r="A296" s="65" t="n"/>
      <c r="B296" s="63">
        <f>IF(C296="","",IFERROR(INDEX(tbl_Finance[Date],MATCH(C296&amp;"",tbl_Finance[Xero Invoice No],0)),""))</f>
        <v/>
      </c>
      <c r="C296" s="24" t="n"/>
      <c r="D296" s="24" t="n"/>
      <c r="E296" s="25">
        <f>IF(D296="","",IF(COUNTIF(lst_Jobs,D296&amp;"")&gt;0,"OK","CHECK"))</f>
        <v/>
      </c>
      <c r="F296" s="24" t="n"/>
      <c r="G296" s="24" t="n"/>
      <c r="H296" s="24" t="n"/>
      <c r="I296" s="24" t="n"/>
      <c r="J296" s="26" t="n"/>
      <c r="K296" s="24" t="n"/>
      <c r="L296" s="24" t="n"/>
      <c r="M296" s="24" t="n"/>
      <c r="N296" s="24" t="n"/>
    </row>
    <row r="297" ht="15" customHeight="1">
      <c r="A297" s="65" t="n"/>
      <c r="B297" s="63">
        <f>IF(C297="","",IFERROR(INDEX(tbl_Finance[Date],MATCH(C297&amp;"",tbl_Finance[Xero Invoice No],0)),""))</f>
        <v/>
      </c>
      <c r="C297" s="24" t="n"/>
      <c r="D297" s="24" t="n"/>
      <c r="E297" s="25">
        <f>IF(D297="","",IF(COUNTIF(lst_Jobs,D297&amp;"")&gt;0,"OK","CHECK"))</f>
        <v/>
      </c>
      <c r="F297" s="24" t="n"/>
      <c r="G297" s="24" t="n"/>
      <c r="H297" s="24" t="n"/>
      <c r="I297" s="24" t="n"/>
      <c r="J297" s="26" t="n"/>
      <c r="K297" s="24" t="n"/>
      <c r="L297" s="24" t="n"/>
      <c r="M297" s="24" t="n"/>
      <c r="N297" s="24" t="n"/>
    </row>
    <row r="298" ht="15" customHeight="1">
      <c r="A298" s="65" t="n"/>
      <c r="B298" s="63">
        <f>IF(C298="","",IFERROR(INDEX(tbl_Finance[Date],MATCH(C298&amp;"",tbl_Finance[Xero Invoice No],0)),""))</f>
        <v/>
      </c>
      <c r="C298" s="24" t="n"/>
      <c r="D298" s="24" t="n"/>
      <c r="E298" s="25">
        <f>IF(D298="","",IF(COUNTIF(lst_Jobs,D298&amp;"")&gt;0,"OK","CHECK"))</f>
        <v/>
      </c>
      <c r="F298" s="24" t="n"/>
      <c r="G298" s="24" t="n"/>
      <c r="H298" s="24" t="n"/>
      <c r="I298" s="24" t="n"/>
      <c r="J298" s="26" t="n"/>
      <c r="K298" s="24" t="n"/>
      <c r="L298" s="24" t="n"/>
      <c r="M298" s="24" t="n"/>
      <c r="N298" s="24" t="n"/>
    </row>
    <row r="299" ht="15" customHeight="1">
      <c r="A299" s="65" t="n"/>
      <c r="B299" s="63">
        <f>IF(C299="","",IFERROR(INDEX(tbl_Finance[Date],MATCH(C299&amp;"",tbl_Finance[Xero Invoice No],0)),""))</f>
        <v/>
      </c>
      <c r="C299" s="24" t="n"/>
      <c r="D299" s="24" t="n"/>
      <c r="E299" s="25">
        <f>IF(D299="","",IF(COUNTIF(lst_Jobs,D299&amp;"")&gt;0,"OK","CHECK"))</f>
        <v/>
      </c>
      <c r="F299" s="24" t="n"/>
      <c r="G299" s="24" t="n"/>
      <c r="H299" s="24" t="n"/>
      <c r="I299" s="24" t="n"/>
      <c r="J299" s="26" t="n"/>
      <c r="K299" s="24" t="n"/>
      <c r="L299" s="24" t="n"/>
      <c r="M299" s="24" t="n"/>
      <c r="N299" s="24" t="n"/>
    </row>
    <row r="300" ht="15" customHeight="1">
      <c r="A300" s="65" t="n"/>
      <c r="B300" s="63">
        <f>IF(C300="","",IFERROR(INDEX(tbl_Finance[Date],MATCH(C300&amp;"",tbl_Finance[Xero Invoice No],0)),""))</f>
        <v/>
      </c>
      <c r="C300" s="24" t="n"/>
      <c r="D300" s="24" t="n"/>
      <c r="E300" s="25">
        <f>IF(D300="","",IF(COUNTIF(lst_Jobs,D300&amp;"")&gt;0,"OK","CHECK"))</f>
        <v/>
      </c>
      <c r="F300" s="24" t="n"/>
      <c r="G300" s="24" t="n"/>
      <c r="H300" s="24" t="n"/>
      <c r="I300" s="24" t="n"/>
      <c r="J300" s="26" t="n"/>
      <c r="K300" s="24" t="n"/>
      <c r="L300" s="24" t="n"/>
      <c r="M300" s="24" t="n"/>
      <c r="N300" s="24" t="n"/>
    </row>
    <row r="301" ht="15" customHeight="1">
      <c r="A301" s="65" t="n"/>
      <c r="B301" s="63">
        <f>IF(C301="","",IFERROR(INDEX(tbl_Finance[Date],MATCH(C301&amp;"",tbl_Finance[Xero Invoice No],0)),""))</f>
        <v/>
      </c>
      <c r="C301" s="24" t="n"/>
      <c r="D301" s="24" t="n"/>
      <c r="E301" s="25">
        <f>IF(D301="","",IF(COUNTIF(lst_Jobs,D301&amp;"")&gt;0,"OK","CHECK"))</f>
        <v/>
      </c>
      <c r="F301" s="24" t="n"/>
      <c r="G301" s="24" t="n"/>
      <c r="H301" s="24" t="n"/>
      <c r="I301" s="24" t="n"/>
      <c r="J301" s="26" t="n"/>
      <c r="K301" s="24" t="n"/>
      <c r="L301" s="24" t="n"/>
      <c r="M301" s="24" t="n"/>
      <c r="N301" s="24" t="n"/>
    </row>
    <row r="302" ht="15" customHeight="1">
      <c r="A302" s="65" t="n"/>
      <c r="B302" s="63">
        <f>IF(C302="","",IFERROR(INDEX(tbl_Finance[Date],MATCH(C302&amp;"",tbl_Finance[Xero Invoice No],0)),""))</f>
        <v/>
      </c>
      <c r="C302" s="24" t="n"/>
      <c r="D302" s="24" t="n"/>
      <c r="E302" s="25">
        <f>IF(D302="","",IF(COUNTIF(lst_Jobs,D302&amp;"")&gt;0,"OK","CHECK"))</f>
        <v/>
      </c>
      <c r="F302" s="24" t="n"/>
      <c r="G302" s="24" t="n"/>
      <c r="H302" s="24" t="n"/>
      <c r="I302" s="24" t="n"/>
      <c r="J302" s="26" t="n"/>
      <c r="K302" s="24" t="n"/>
      <c r="L302" s="24" t="n"/>
      <c r="M302" s="24" t="n"/>
      <c r="N302" s="24" t="n"/>
    </row>
    <row r="303" ht="15" customHeight="1">
      <c r="A303" s="65" t="n"/>
      <c r="B303" s="63">
        <f>IF(C303="","",IFERROR(INDEX(tbl_Finance[Date],MATCH(C303&amp;"",tbl_Finance[Xero Invoice No],0)),""))</f>
        <v/>
      </c>
      <c r="C303" s="24" t="n"/>
      <c r="D303" s="24" t="n"/>
      <c r="E303" s="25">
        <f>IF(D303="","",IF(COUNTIF(lst_Jobs,D303&amp;"")&gt;0,"OK","CHECK"))</f>
        <v/>
      </c>
      <c r="F303" s="24" t="n"/>
      <c r="G303" s="24" t="n"/>
      <c r="H303" s="24" t="n"/>
      <c r="I303" s="24" t="n"/>
      <c r="J303" s="26" t="n"/>
      <c r="K303" s="24" t="n"/>
      <c r="L303" s="24" t="n"/>
      <c r="M303" s="24" t="n"/>
      <c r="N303" s="24" t="n"/>
    </row>
    <row r="304" ht="15" customHeight="1">
      <c r="A304" s="65" t="n"/>
      <c r="B304" s="63">
        <f>IF(C304="","",IFERROR(INDEX(tbl_Finance[Date],MATCH(C304&amp;"",tbl_Finance[Xero Invoice No],0)),""))</f>
        <v/>
      </c>
      <c r="C304" s="24" t="n"/>
      <c r="D304" s="24" t="n"/>
      <c r="E304" s="25">
        <f>IF(D304="","",IF(COUNTIF(lst_Jobs,D304&amp;"")&gt;0,"OK","CHECK"))</f>
        <v/>
      </c>
      <c r="F304" s="24" t="n"/>
      <c r="G304" s="24" t="n"/>
      <c r="H304" s="24" t="n"/>
      <c r="I304" s="24" t="n"/>
      <c r="J304" s="26" t="n"/>
      <c r="K304" s="24" t="n"/>
      <c r="L304" s="24" t="n"/>
      <c r="M304" s="24" t="n"/>
      <c r="N304" s="24" t="n"/>
    </row>
    <row r="305" ht="15" customHeight="1">
      <c r="A305" s="65" t="n"/>
      <c r="B305" s="63">
        <f>IF(C305="","",IFERROR(INDEX(tbl_Finance[Date],MATCH(C305&amp;"",tbl_Finance[Xero Invoice No],0)),""))</f>
        <v/>
      </c>
      <c r="C305" s="24" t="n"/>
      <c r="D305" s="24" t="n"/>
      <c r="E305" s="25">
        <f>IF(D305="","",IF(COUNTIF(lst_Jobs,D305&amp;"")&gt;0,"OK","CHECK"))</f>
        <v/>
      </c>
      <c r="F305" s="24" t="n"/>
      <c r="G305" s="24" t="n"/>
      <c r="H305" s="24" t="n"/>
      <c r="I305" s="24" t="n"/>
      <c r="J305" s="26" t="n"/>
      <c r="K305" s="24" t="n"/>
      <c r="L305" s="24" t="n"/>
      <c r="M305" s="24" t="n"/>
      <c r="N305" s="24" t="n"/>
    </row>
    <row r="306" ht="15" customHeight="1">
      <c r="A306" s="65" t="n"/>
      <c r="B306" s="63">
        <f>IF(C306="","",IFERROR(INDEX(tbl_Finance[Date],MATCH(C306&amp;"",tbl_Finance[Xero Invoice No],0)),""))</f>
        <v/>
      </c>
      <c r="C306" s="24" t="n"/>
      <c r="D306" s="24" t="n"/>
      <c r="E306" s="25">
        <f>IF(D306="","",IF(COUNTIF(lst_Jobs,D306&amp;"")&gt;0,"OK","CHECK"))</f>
        <v/>
      </c>
      <c r="F306" s="24" t="n"/>
      <c r="G306" s="24" t="n"/>
      <c r="H306" s="24" t="n"/>
      <c r="I306" s="24" t="n"/>
      <c r="J306" s="26" t="n"/>
      <c r="K306" s="24" t="n"/>
      <c r="L306" s="24" t="n"/>
      <c r="M306" s="24" t="n"/>
      <c r="N306" s="24" t="n"/>
    </row>
    <row r="307" ht="15" customHeight="1">
      <c r="A307" s="65" t="n"/>
      <c r="B307" s="63">
        <f>IF(C307="","",IFERROR(INDEX(tbl_Finance[Date],MATCH(C307&amp;"",tbl_Finance[Xero Invoice No],0)),""))</f>
        <v/>
      </c>
      <c r="C307" s="24" t="n"/>
      <c r="D307" s="24" t="n"/>
      <c r="E307" s="25">
        <f>IF(D307="","",IF(COUNTIF(lst_Jobs,D307&amp;"")&gt;0,"OK","CHECK"))</f>
        <v/>
      </c>
      <c r="F307" s="24" t="n"/>
      <c r="G307" s="24" t="n"/>
      <c r="H307" s="24" t="n"/>
      <c r="I307" s="24" t="n"/>
      <c r="J307" s="26" t="n"/>
      <c r="K307" s="24" t="n"/>
      <c r="L307" s="24" t="n"/>
      <c r="M307" s="24" t="n"/>
      <c r="N307" s="24" t="n"/>
    </row>
    <row r="308" ht="15" customHeight="1">
      <c r="A308" s="65" t="n"/>
      <c r="B308" s="63">
        <f>IF(C308="","",IFERROR(INDEX(tbl_Finance[Date],MATCH(C308&amp;"",tbl_Finance[Xero Invoice No],0)),""))</f>
        <v/>
      </c>
      <c r="C308" s="24" t="n"/>
      <c r="D308" s="24" t="n"/>
      <c r="E308" s="25">
        <f>IF(D308="","",IF(COUNTIF(lst_Jobs,D308&amp;"")&gt;0,"OK","CHECK"))</f>
        <v/>
      </c>
      <c r="F308" s="24" t="n"/>
      <c r="G308" s="24" t="n"/>
      <c r="H308" s="24" t="n"/>
      <c r="I308" s="24" t="n"/>
      <c r="J308" s="26" t="n"/>
      <c r="K308" s="24" t="n"/>
      <c r="L308" s="24" t="n"/>
      <c r="M308" s="24" t="n"/>
      <c r="N308" s="24" t="n"/>
    </row>
    <row r="309" ht="15" customHeight="1">
      <c r="A309" s="65" t="n"/>
      <c r="B309" s="63">
        <f>IF(C309="","",IFERROR(INDEX(tbl_Finance[Date],MATCH(C309&amp;"",tbl_Finance[Xero Invoice No],0)),""))</f>
        <v/>
      </c>
      <c r="C309" s="24" t="n"/>
      <c r="D309" s="24" t="n"/>
      <c r="E309" s="25">
        <f>IF(D309="","",IF(COUNTIF(lst_Jobs,D309&amp;"")&gt;0,"OK","CHECK"))</f>
        <v/>
      </c>
      <c r="F309" s="24" t="n"/>
      <c r="G309" s="24" t="n"/>
      <c r="H309" s="24" t="n"/>
      <c r="I309" s="24" t="n"/>
      <c r="J309" s="26" t="n"/>
      <c r="K309" s="24" t="n"/>
      <c r="L309" s="24" t="n"/>
      <c r="M309" s="24" t="n"/>
      <c r="N309" s="24" t="n"/>
    </row>
    <row r="310" ht="15" customHeight="1">
      <c r="A310" s="65" t="n"/>
      <c r="B310" s="63">
        <f>IF(C310="","",IFERROR(INDEX(tbl_Finance[Date],MATCH(C310&amp;"",tbl_Finance[Xero Invoice No],0)),""))</f>
        <v/>
      </c>
      <c r="C310" s="24" t="n"/>
      <c r="D310" s="24" t="n"/>
      <c r="E310" s="25">
        <f>IF(D310="","",IF(COUNTIF(lst_Jobs,D310&amp;"")&gt;0,"OK","CHECK"))</f>
        <v/>
      </c>
      <c r="F310" s="24" t="n"/>
      <c r="G310" s="24" t="n"/>
      <c r="H310" s="24" t="n"/>
      <c r="I310" s="24" t="n"/>
      <c r="J310" s="26" t="n"/>
      <c r="K310" s="24" t="n"/>
      <c r="L310" s="24" t="n"/>
      <c r="M310" s="24" t="n"/>
      <c r="N310" s="24" t="n"/>
    </row>
    <row r="311" ht="15" customHeight="1">
      <c r="A311" s="65" t="n"/>
      <c r="B311" s="63">
        <f>IF(C311="","",IFERROR(INDEX(tbl_Finance[Date],MATCH(C311&amp;"",tbl_Finance[Xero Invoice No],0)),""))</f>
        <v/>
      </c>
      <c r="C311" s="24" t="n"/>
      <c r="D311" s="24" t="n"/>
      <c r="E311" s="25">
        <f>IF(D311="","",IF(COUNTIF(lst_Jobs,D311&amp;"")&gt;0,"OK","CHECK"))</f>
        <v/>
      </c>
      <c r="F311" s="24" t="n"/>
      <c r="G311" s="24" t="n"/>
      <c r="H311" s="24" t="n"/>
      <c r="I311" s="24" t="n"/>
      <c r="J311" s="26" t="n"/>
      <c r="K311" s="24" t="n"/>
      <c r="L311" s="24" t="n"/>
      <c r="M311" s="24" t="n"/>
      <c r="N311" s="24" t="n"/>
    </row>
    <row r="312" ht="15" customHeight="1">
      <c r="A312" s="65" t="n"/>
      <c r="B312" s="63">
        <f>IF(C312="","",IFERROR(INDEX(tbl_Finance[Date],MATCH(C312&amp;"",tbl_Finance[Xero Invoice No],0)),""))</f>
        <v/>
      </c>
      <c r="C312" s="24" t="n"/>
      <c r="D312" s="24" t="n"/>
      <c r="E312" s="25">
        <f>IF(D312="","",IF(COUNTIF(lst_Jobs,D312&amp;"")&gt;0,"OK","CHECK"))</f>
        <v/>
      </c>
      <c r="F312" s="24" t="n"/>
      <c r="G312" s="24" t="n"/>
      <c r="H312" s="24" t="n"/>
      <c r="I312" s="24" t="n"/>
      <c r="J312" s="26" t="n"/>
      <c r="K312" s="24" t="n"/>
      <c r="L312" s="24" t="n"/>
      <c r="M312" s="24" t="n"/>
      <c r="N312" s="24" t="n"/>
    </row>
    <row r="313" ht="15" customHeight="1">
      <c r="A313" s="65" t="n"/>
      <c r="B313" s="63">
        <f>IF(C313="","",IFERROR(INDEX(tbl_Finance[Date],MATCH(C313&amp;"",tbl_Finance[Xero Invoice No],0)),""))</f>
        <v/>
      </c>
      <c r="C313" s="24" t="n"/>
      <c r="D313" s="24" t="n"/>
      <c r="E313" s="25">
        <f>IF(D313="","",IF(COUNTIF(lst_Jobs,D313&amp;"")&gt;0,"OK","CHECK"))</f>
        <v/>
      </c>
      <c r="F313" s="24" t="n"/>
      <c r="G313" s="24" t="n"/>
      <c r="H313" s="24" t="n"/>
      <c r="I313" s="24" t="n"/>
      <c r="J313" s="26" t="n"/>
      <c r="K313" s="24" t="n"/>
      <c r="L313" s="24" t="n"/>
      <c r="M313" s="24" t="n"/>
      <c r="N313" s="24" t="n"/>
    </row>
    <row r="314" ht="15" customHeight="1">
      <c r="A314" s="65" t="n"/>
      <c r="B314" s="63">
        <f>IF(C314="","",IFERROR(INDEX(tbl_Finance[Date],MATCH(C314&amp;"",tbl_Finance[Xero Invoice No],0)),""))</f>
        <v/>
      </c>
      <c r="C314" s="24" t="n"/>
      <c r="D314" s="24" t="n"/>
      <c r="E314" s="25">
        <f>IF(D314="","",IF(COUNTIF(lst_Jobs,D314&amp;"")&gt;0,"OK","CHECK"))</f>
        <v/>
      </c>
      <c r="F314" s="24" t="n"/>
      <c r="G314" s="24" t="n"/>
      <c r="H314" s="24" t="n"/>
      <c r="I314" s="24" t="n"/>
      <c r="J314" s="26" t="n"/>
      <c r="K314" s="24" t="n"/>
      <c r="L314" s="24" t="n"/>
      <c r="M314" s="24" t="n"/>
      <c r="N314" s="24" t="n"/>
    </row>
    <row r="315" ht="15" customHeight="1">
      <c r="A315" s="65" t="n"/>
      <c r="B315" s="63">
        <f>IF(C315="","",IFERROR(INDEX(tbl_Finance[Date],MATCH(C315&amp;"",tbl_Finance[Xero Invoice No],0)),""))</f>
        <v/>
      </c>
      <c r="C315" s="24" t="n"/>
      <c r="D315" s="24" t="n"/>
      <c r="E315" s="25">
        <f>IF(D315="","",IF(COUNTIF(lst_Jobs,D315&amp;"")&gt;0,"OK","CHECK"))</f>
        <v/>
      </c>
      <c r="F315" s="24" t="n"/>
      <c r="G315" s="24" t="n"/>
      <c r="H315" s="24" t="n"/>
      <c r="I315" s="24" t="n"/>
      <c r="J315" s="26" t="n"/>
      <c r="K315" s="24" t="n"/>
      <c r="L315" s="24" t="n"/>
      <c r="M315" s="24" t="n"/>
      <c r="N315" s="24" t="n"/>
    </row>
    <row r="316" ht="15" customHeight="1">
      <c r="A316" s="65" t="n"/>
      <c r="B316" s="63">
        <f>IF(C316="","",IFERROR(INDEX(tbl_Finance[Date],MATCH(C316&amp;"",tbl_Finance[Xero Invoice No],0)),""))</f>
        <v/>
      </c>
      <c r="C316" s="24" t="n"/>
      <c r="D316" s="24" t="n"/>
      <c r="E316" s="25">
        <f>IF(D316="","",IF(COUNTIF(lst_Jobs,D316&amp;"")&gt;0,"OK","CHECK"))</f>
        <v/>
      </c>
      <c r="F316" s="24" t="n"/>
      <c r="G316" s="24" t="n"/>
      <c r="H316" s="24" t="n"/>
      <c r="I316" s="24" t="n"/>
      <c r="J316" s="26" t="n"/>
      <c r="K316" s="24" t="n"/>
      <c r="L316" s="24" t="n"/>
      <c r="M316" s="24" t="n"/>
      <c r="N316" s="24" t="n"/>
    </row>
    <row r="317" ht="15" customHeight="1">
      <c r="A317" s="65" t="n"/>
      <c r="B317" s="63">
        <f>IF(C317="","",IFERROR(INDEX(tbl_Finance[Date],MATCH(C317&amp;"",tbl_Finance[Xero Invoice No],0)),""))</f>
        <v/>
      </c>
      <c r="C317" s="24" t="n"/>
      <c r="D317" s="24" t="n"/>
      <c r="E317" s="25">
        <f>IF(D317="","",IF(COUNTIF(lst_Jobs,D317&amp;"")&gt;0,"OK","CHECK"))</f>
        <v/>
      </c>
      <c r="F317" s="24" t="n"/>
      <c r="G317" s="24" t="n"/>
      <c r="H317" s="24" t="n"/>
      <c r="I317" s="24" t="n"/>
      <c r="J317" s="26" t="n"/>
      <c r="K317" s="24" t="n"/>
      <c r="L317" s="24" t="n"/>
      <c r="M317" s="24" t="n"/>
      <c r="N317" s="24" t="n"/>
    </row>
    <row r="318" ht="15" customHeight="1">
      <c r="A318" s="65" t="n"/>
      <c r="B318" s="63">
        <f>IF(C318="","",IFERROR(INDEX(tbl_Finance[Date],MATCH(C318&amp;"",tbl_Finance[Xero Invoice No],0)),""))</f>
        <v/>
      </c>
      <c r="C318" s="24" t="n"/>
      <c r="D318" s="24" t="n"/>
      <c r="E318" s="25">
        <f>IF(D318="","",IF(COUNTIF(lst_Jobs,D318&amp;"")&gt;0,"OK","CHECK"))</f>
        <v/>
      </c>
      <c r="F318" s="24" t="n"/>
      <c r="G318" s="24" t="n"/>
      <c r="H318" s="24" t="n"/>
      <c r="I318" s="24" t="n"/>
      <c r="J318" s="26" t="n"/>
      <c r="K318" s="24" t="n"/>
      <c r="L318" s="24" t="n"/>
      <c r="M318" s="24" t="n"/>
      <c r="N318" s="24" t="n"/>
    </row>
    <row r="319" ht="15" customHeight="1">
      <c r="A319" s="65" t="n"/>
      <c r="B319" s="63">
        <f>IF(C319="","",IFERROR(INDEX(tbl_Finance[Date],MATCH(C319&amp;"",tbl_Finance[Xero Invoice No],0)),""))</f>
        <v/>
      </c>
      <c r="C319" s="24" t="n"/>
      <c r="D319" s="24" t="n"/>
      <c r="E319" s="25">
        <f>IF(D319="","",IF(COUNTIF(lst_Jobs,D319&amp;"")&gt;0,"OK","CHECK"))</f>
        <v/>
      </c>
      <c r="F319" s="24" t="n"/>
      <c r="G319" s="24" t="n"/>
      <c r="H319" s="24" t="n"/>
      <c r="I319" s="24" t="n"/>
      <c r="J319" s="26" t="n"/>
      <c r="K319" s="24" t="n"/>
      <c r="L319" s="24" t="n"/>
      <c r="M319" s="24" t="n"/>
      <c r="N319" s="24" t="n"/>
    </row>
    <row r="320" ht="15" customHeight="1">
      <c r="A320" s="65" t="n"/>
      <c r="B320" s="63">
        <f>IF(C320="","",IFERROR(INDEX(tbl_Finance[Date],MATCH(C320&amp;"",tbl_Finance[Xero Invoice No],0)),""))</f>
        <v/>
      </c>
      <c r="C320" s="24" t="n"/>
      <c r="D320" s="24" t="n"/>
      <c r="E320" s="25">
        <f>IF(D320="","",IF(COUNTIF(lst_Jobs,D320&amp;"")&gt;0,"OK","CHECK"))</f>
        <v/>
      </c>
      <c r="F320" s="24" t="n"/>
      <c r="G320" s="24" t="n"/>
      <c r="H320" s="24" t="n"/>
      <c r="I320" s="24" t="n"/>
      <c r="J320" s="26" t="n"/>
      <c r="K320" s="24" t="n"/>
      <c r="L320" s="24" t="n"/>
      <c r="M320" s="24" t="n"/>
      <c r="N320" s="24" t="n"/>
    </row>
    <row r="321" ht="15" customHeight="1">
      <c r="A321" s="65" t="n"/>
      <c r="B321" s="63">
        <f>IF(C321="","",IFERROR(INDEX(tbl_Finance[Date],MATCH(C321&amp;"",tbl_Finance[Xero Invoice No],0)),""))</f>
        <v/>
      </c>
      <c r="C321" s="24" t="n"/>
      <c r="D321" s="24" t="n"/>
      <c r="E321" s="25">
        <f>IF(D321="","",IF(COUNTIF(lst_Jobs,D321&amp;"")&gt;0,"OK","CHECK"))</f>
        <v/>
      </c>
      <c r="F321" s="24" t="n"/>
      <c r="G321" s="24" t="n"/>
      <c r="H321" s="24" t="n"/>
      <c r="I321" s="24" t="n"/>
      <c r="J321" s="26" t="n"/>
      <c r="K321" s="24" t="n"/>
      <c r="L321" s="24" t="n"/>
      <c r="M321" s="24" t="n"/>
      <c r="N321" s="24" t="n"/>
    </row>
    <row r="322" ht="15" customHeight="1">
      <c r="A322" s="65" t="n"/>
      <c r="B322" s="63">
        <f>IF(C322="","",IFERROR(INDEX(tbl_Finance[Date],MATCH(C322&amp;"",tbl_Finance[Xero Invoice No],0)),""))</f>
        <v/>
      </c>
      <c r="C322" s="24" t="n"/>
      <c r="D322" s="24" t="n"/>
      <c r="E322" s="25">
        <f>IF(D322="","",IF(COUNTIF(lst_Jobs,D322&amp;"")&gt;0,"OK","CHECK"))</f>
        <v/>
      </c>
      <c r="F322" s="24" t="n"/>
      <c r="G322" s="24" t="n"/>
      <c r="H322" s="24" t="n"/>
      <c r="I322" s="24" t="n"/>
      <c r="J322" s="26" t="n"/>
      <c r="K322" s="24" t="n"/>
      <c r="L322" s="24" t="n"/>
      <c r="M322" s="24" t="n"/>
      <c r="N322" s="24" t="n"/>
    </row>
    <row r="323" ht="15" customHeight="1">
      <c r="A323" s="65" t="n"/>
      <c r="B323" s="63">
        <f>IF(C323="","",IFERROR(INDEX(tbl_Finance[Date],MATCH(C323&amp;"",tbl_Finance[Xero Invoice No],0)),""))</f>
        <v/>
      </c>
      <c r="C323" s="24" t="n"/>
      <c r="D323" s="24" t="n"/>
      <c r="E323" s="25">
        <f>IF(D323="","",IF(COUNTIF(lst_Jobs,D323&amp;"")&gt;0,"OK","CHECK"))</f>
        <v/>
      </c>
      <c r="F323" s="24" t="n"/>
      <c r="G323" s="24" t="n"/>
      <c r="H323" s="24" t="n"/>
      <c r="I323" s="24" t="n"/>
      <c r="J323" s="26" t="n"/>
      <c r="K323" s="24" t="n"/>
      <c r="L323" s="24" t="n"/>
      <c r="M323" s="24" t="n"/>
      <c r="N323" s="24" t="n"/>
    </row>
    <row r="324" ht="15" customHeight="1">
      <c r="A324" s="65" t="n"/>
      <c r="B324" s="63">
        <f>IF(C324="","",IFERROR(INDEX(tbl_Finance[Date],MATCH(C324&amp;"",tbl_Finance[Xero Invoice No],0)),""))</f>
        <v/>
      </c>
      <c r="C324" s="24" t="n"/>
      <c r="D324" s="24" t="n"/>
      <c r="E324" s="25">
        <f>IF(D324="","",IF(COUNTIF(lst_Jobs,D324&amp;"")&gt;0,"OK","CHECK"))</f>
        <v/>
      </c>
      <c r="F324" s="24" t="n"/>
      <c r="G324" s="24" t="n"/>
      <c r="H324" s="24" t="n"/>
      <c r="I324" s="24" t="n"/>
      <c r="J324" s="26" t="n"/>
      <c r="K324" s="24" t="n"/>
      <c r="L324" s="24" t="n"/>
      <c r="M324" s="24" t="n"/>
      <c r="N324" s="24" t="n"/>
    </row>
    <row r="325" ht="15" customHeight="1">
      <c r="A325" s="65" t="n"/>
      <c r="B325" s="63">
        <f>IF(C325="","",IFERROR(INDEX(tbl_Finance[Date],MATCH(C325&amp;"",tbl_Finance[Xero Invoice No],0)),""))</f>
        <v/>
      </c>
      <c r="C325" s="24" t="n"/>
      <c r="D325" s="24" t="n"/>
      <c r="E325" s="25">
        <f>IF(D325="","",IF(COUNTIF(lst_Jobs,D325&amp;"")&gt;0,"OK","CHECK"))</f>
        <v/>
      </c>
      <c r="F325" s="24" t="n"/>
      <c r="G325" s="24" t="n"/>
      <c r="H325" s="24" t="n"/>
      <c r="I325" s="24" t="n"/>
      <c r="J325" s="26" t="n"/>
      <c r="K325" s="24" t="n"/>
      <c r="L325" s="24" t="n"/>
      <c r="M325" s="24" t="n"/>
      <c r="N325" s="24" t="n"/>
    </row>
    <row r="326" ht="15" customHeight="1">
      <c r="A326" s="65" t="n"/>
      <c r="B326" s="63">
        <f>IF(C326="","",IFERROR(INDEX(tbl_Finance[Date],MATCH(C326&amp;"",tbl_Finance[Xero Invoice No],0)),""))</f>
        <v/>
      </c>
      <c r="C326" s="24" t="n"/>
      <c r="D326" s="24" t="n"/>
      <c r="E326" s="25">
        <f>IF(D326="","",IF(COUNTIF(lst_Jobs,D326&amp;"")&gt;0,"OK","CHECK"))</f>
        <v/>
      </c>
      <c r="F326" s="24" t="n"/>
      <c r="G326" s="24" t="n"/>
      <c r="H326" s="24" t="n"/>
      <c r="I326" s="24" t="n"/>
      <c r="J326" s="26" t="n"/>
      <c r="K326" s="24" t="n"/>
      <c r="L326" s="24" t="n"/>
      <c r="M326" s="24" t="n"/>
      <c r="N326" s="24" t="n"/>
    </row>
    <row r="327" ht="15" customHeight="1">
      <c r="A327" s="65" t="n"/>
      <c r="B327" s="63">
        <f>IF(C327="","",IFERROR(INDEX(tbl_Finance[Date],MATCH(C327&amp;"",tbl_Finance[Xero Invoice No],0)),""))</f>
        <v/>
      </c>
      <c r="C327" s="24" t="n"/>
      <c r="D327" s="24" t="n"/>
      <c r="E327" s="25">
        <f>IF(D327="","",IF(COUNTIF(lst_Jobs,D327&amp;"")&gt;0,"OK","CHECK"))</f>
        <v/>
      </c>
      <c r="F327" s="24" t="n"/>
      <c r="G327" s="24" t="n"/>
      <c r="H327" s="24" t="n"/>
      <c r="I327" s="24" t="n"/>
      <c r="J327" s="26" t="n"/>
      <c r="K327" s="24" t="n"/>
      <c r="L327" s="24" t="n"/>
      <c r="M327" s="24" t="n"/>
      <c r="N327" s="24" t="n"/>
    </row>
    <row r="328" ht="15" customHeight="1">
      <c r="A328" s="65" t="n"/>
      <c r="B328" s="63">
        <f>IF(C328="","",IFERROR(INDEX(tbl_Finance[Date],MATCH(C328&amp;"",tbl_Finance[Xero Invoice No],0)),""))</f>
        <v/>
      </c>
      <c r="C328" s="24" t="n"/>
      <c r="D328" s="24" t="n"/>
      <c r="E328" s="25">
        <f>IF(D328="","",IF(COUNTIF(lst_Jobs,D328&amp;"")&gt;0,"OK","CHECK"))</f>
        <v/>
      </c>
      <c r="F328" s="24" t="n"/>
      <c r="G328" s="24" t="n"/>
      <c r="H328" s="24" t="n"/>
      <c r="I328" s="24" t="n"/>
      <c r="J328" s="26" t="n"/>
      <c r="K328" s="24" t="n"/>
      <c r="L328" s="24" t="n"/>
      <c r="M328" s="24" t="n"/>
      <c r="N328" s="24" t="n"/>
    </row>
    <row r="329" ht="15" customHeight="1">
      <c r="A329" s="65" t="n"/>
      <c r="B329" s="63">
        <f>IF(C329="","",IFERROR(INDEX(tbl_Finance[Date],MATCH(C329&amp;"",tbl_Finance[Xero Invoice No],0)),""))</f>
        <v/>
      </c>
      <c r="C329" s="24" t="n"/>
      <c r="D329" s="24" t="n"/>
      <c r="E329" s="25">
        <f>IF(D329="","",IF(COUNTIF(lst_Jobs,D329&amp;"")&gt;0,"OK","CHECK"))</f>
        <v/>
      </c>
      <c r="F329" s="24" t="n"/>
      <c r="G329" s="24" t="n"/>
      <c r="H329" s="24" t="n"/>
      <c r="I329" s="24" t="n"/>
      <c r="J329" s="26" t="n"/>
      <c r="K329" s="24" t="n"/>
      <c r="L329" s="24" t="n"/>
      <c r="M329" s="24" t="n"/>
      <c r="N329" s="24" t="n"/>
    </row>
    <row r="330" ht="15" customHeight="1">
      <c r="A330" s="65" t="n"/>
      <c r="B330" s="63">
        <f>IF(C330="","",IFERROR(INDEX(tbl_Finance[Date],MATCH(C330&amp;"",tbl_Finance[Xero Invoice No],0)),""))</f>
        <v/>
      </c>
      <c r="C330" s="24" t="n"/>
      <c r="D330" s="24" t="n"/>
      <c r="E330" s="25">
        <f>IF(D330="","",IF(COUNTIF(lst_Jobs,D330&amp;"")&gt;0,"OK","CHECK"))</f>
        <v/>
      </c>
      <c r="F330" s="24" t="n"/>
      <c r="G330" s="24" t="n"/>
      <c r="H330" s="24" t="n"/>
      <c r="I330" s="24" t="n"/>
      <c r="J330" s="26" t="n"/>
      <c r="K330" s="24" t="n"/>
      <c r="L330" s="24" t="n"/>
      <c r="M330" s="24" t="n"/>
      <c r="N330" s="24" t="n"/>
    </row>
  </sheetData>
  <sheetProtection selectLockedCells="0" selectUnlockedCells="0" sheet="1" objects="0" insertRows="0" insertHyperlinks="1" autoFilter="0" scenarios="0" formatColumns="0" deleteColumns="1" insertColumns="1" pivotTables="1" deleteRows="1" formatCells="0" formatRows="0" sort="0"/>
  <mergeCells count="1">
    <mergeCell ref="A3:L3"/>
  </mergeCells>
  <conditionalFormatting sqref="E5:E5000">
    <cfRule type="expression" priority="1" dxfId="0" stopIfTrue="0">
      <formula>E5="CHECK"</formula>
    </cfRule>
  </conditionalFormatting>
  <conditionalFormatting sqref="M5:M5000">
    <cfRule type="expression" priority="2" dxfId="1" stopIfTrue="0">
      <formula>M5="N"</formula>
    </cfRule>
  </conditionalFormatting>
  <dataValidations count="4">
    <dataValidation sqref="G5:G20000" showDropDown="0" showInputMessage="0" showErrorMessage="1" allowBlank="1" errorTitle="Not on the list" error="&quot;Cost Centre&quot; is not on the list in the Lists sheet. Add it there if it is genuinely new." type="list" errorStyle="warning">
      <formula1>lst_CostCentre</formula1>
    </dataValidation>
    <dataValidation sqref="I5:I20000" showDropDown="0" showInputMessage="0" showErrorMessage="1" allowBlank="1" errorTitle="Not on the list" error="&quot;Type&quot; is not on the list in the Lists sheet. Add it there if it is genuinely new." type="list" errorStyle="warning">
      <formula1>lst_WIPType</formula1>
    </dataValidation>
    <dataValidation sqref="K5:K20000" showDropDown="0" showInputMessage="0" showErrorMessage="1" allowBlank="1" errorTitle="Not on the list" error="&quot;GL Code&quot; is not on the list in the Lists sheet. Add it there if it is genuinely new." type="list" errorStyle="warning">
      <formula1>lst_WIPGL</formula1>
    </dataValidation>
    <dataValidation sqref="M5:M20000" showDropDown="0" showInputMessage="0" showErrorMessage="1" allowBlank="1" errorTitle="Not on the list" error="&quot;Posted to Xero&quot; is not on the list in the Lists sheet. Add it there if it is genuinely new." type="list" errorStyle="warning">
      <formula1>lst_YN</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A6A6A6"/>
    <outlinePr summaryBelow="1" summaryRight="1"/>
    <pageSetUpPr/>
  </sheetPr>
  <dimension ref="A1:U427"/>
  <sheetViews>
    <sheetView showGridLines="0" tabSelected="0" zoomScale="90" workbookViewId="0">
      <pane ySplit="4" topLeftCell="A5" activePane="bottomLeft" state="frozen"/>
      <selection pane="bottomLeft" activeCell="A1" sqref="A1"/>
    </sheetView>
  </sheetViews>
  <sheetFormatPr baseColWidth="8" defaultRowHeight="15"/>
  <cols>
    <col width="15" customWidth="1" min="1" max="1"/>
    <col width="17" customWidth="1" min="2" max="2"/>
    <col width="15" customWidth="1" min="3" max="3"/>
    <col width="20" customWidth="1" min="4" max="4"/>
    <col width="14" customWidth="1" min="5" max="5"/>
    <col width="16" customWidth="1" min="6" max="6"/>
    <col width="33" customWidth="1" min="7" max="7"/>
    <col width="15" customWidth="1" min="8" max="8"/>
    <col width="14" customWidth="1" min="9" max="9"/>
    <col width="13" customWidth="1" min="11" max="11"/>
    <col width="36" customWidth="1" min="12" max="12"/>
    <col width="18" customWidth="1" min="14" max="14"/>
    <col width="16" customWidth="1" min="16" max="16"/>
    <col width="48" customWidth="1" min="17" max="17"/>
    <col width="14" customWidth="1" min="18" max="18"/>
    <col width="26" customWidth="1" min="20" max="20"/>
    <col width="44" customWidth="1" min="21" max="21"/>
  </cols>
  <sheetData>
    <row r="1" ht="24" customHeight="1">
      <c r="A1" s="18" t="inlineStr">
        <is>
          <t>Reference Lists</t>
        </is>
      </c>
    </row>
    <row r="2" ht="16" customHeight="1">
      <c r="A2" s="2" t="inlineStr">
        <is>
          <t>Every dropdown in this workbook reads from here. Add a value to the bottom of a list and it appears in the dropdowns - no macros, nothing to re-run.</t>
        </is>
      </c>
    </row>
    <row r="3" ht="6" customHeight="1"/>
    <row r="4" ht="30" customHeight="1">
      <c r="A4" s="21" t="inlineStr">
        <is>
          <t>Cost Centre</t>
        </is>
      </c>
      <c r="B4" s="21" t="inlineStr">
        <is>
          <t>Invoice Type</t>
        </is>
      </c>
      <c r="C4" s="21" t="inlineStr">
        <is>
          <t>Tax Code</t>
        </is>
      </c>
      <c r="D4" s="21" t="inlineStr">
        <is>
          <t>Status</t>
        </is>
      </c>
      <c r="E4" s="21" t="inlineStr">
        <is>
          <t>Yes / No</t>
        </is>
      </c>
      <c r="F4" s="21" t="inlineStr">
        <is>
          <t>Ariba Status</t>
        </is>
      </c>
      <c r="G4" s="21" t="inlineStr">
        <is>
          <t>WIP Movement Type</t>
        </is>
      </c>
      <c r="H4" s="21" t="inlineStr">
        <is>
          <t>WIP GL Code</t>
        </is>
      </c>
      <c r="I4" s="21" t="inlineStr">
        <is>
          <t>Team</t>
        </is>
      </c>
      <c r="K4" s="21" t="inlineStr">
        <is>
          <t>Revenue GL</t>
        </is>
      </c>
      <c r="L4" s="21" t="inlineStr">
        <is>
          <t>GL Account Name (from Xero)</t>
        </is>
      </c>
      <c r="N4" s="21" t="inlineStr">
        <is>
          <t>Month (period end)</t>
        </is>
      </c>
      <c r="P4" s="21" t="inlineStr">
        <is>
          <t>Job Number</t>
        </is>
      </c>
      <c r="Q4" s="21" t="inlineStr">
        <is>
          <t>Job Name (from Xero)</t>
        </is>
      </c>
      <c r="R4" s="21" t="inlineStr">
        <is>
          <t>CC</t>
        </is>
      </c>
      <c r="T4" s="21" t="inlineStr">
        <is>
          <t>Settings</t>
        </is>
      </c>
    </row>
    <row r="5">
      <c r="A5" s="66" t="inlineStr">
        <is>
          <t>ONSITE</t>
        </is>
      </c>
      <c r="B5" s="66" t="inlineStr">
        <is>
          <t>Contract</t>
        </is>
      </c>
      <c r="C5" s="66" t="inlineStr">
        <is>
          <t>GST 10%</t>
        </is>
      </c>
      <c r="D5" s="66" t="inlineStr">
        <is>
          <t>To Invoice</t>
        </is>
      </c>
      <c r="E5" s="66" t="inlineStr">
        <is>
          <t>Y</t>
        </is>
      </c>
      <c r="F5" s="66" t="inlineStr">
        <is>
          <t>N/A</t>
        </is>
      </c>
      <c r="G5" s="66" t="inlineStr">
        <is>
          <t>Accrual - unbilled work</t>
        </is>
      </c>
      <c r="H5" s="66" t="inlineStr">
        <is>
          <t>11300</t>
        </is>
      </c>
      <c r="I5" s="66" t="inlineStr">
        <is>
          <t>Onsite</t>
        </is>
      </c>
      <c r="K5" s="66" t="inlineStr">
        <is>
          <t>41100</t>
        </is>
      </c>
      <c r="L5" s="66" t="inlineStr">
        <is>
          <t>Contract Support Staff</t>
        </is>
      </c>
      <c r="N5" s="67" t="n">
        <v>45138</v>
      </c>
      <c r="P5" s="66" t="inlineStr">
        <is>
          <t>1144</t>
        </is>
      </c>
      <c r="Q5" s="66" t="inlineStr">
        <is>
          <t>Bankwest PER Half Tech</t>
        </is>
      </c>
      <c r="R5" s="66" t="inlineStr">
        <is>
          <t>ONSITE</t>
        </is>
      </c>
      <c r="T5" s="43" t="inlineStr">
        <is>
          <t>Qwilr base address</t>
        </is>
      </c>
      <c r="U5" s="68" t="inlineStr">
        <is>
          <t>https://cts.qwilr.com/</t>
        </is>
      </c>
    </row>
    <row r="6">
      <c r="A6" s="66" t="inlineStr">
        <is>
          <t>PRODUCTION</t>
        </is>
      </c>
      <c r="B6" s="66" t="inlineStr">
        <is>
          <t>Chargeback</t>
        </is>
      </c>
      <c r="C6" s="66" t="inlineStr">
        <is>
          <t>GST Free</t>
        </is>
      </c>
      <c r="D6" s="66" t="inlineStr">
        <is>
          <t>Draft</t>
        </is>
      </c>
      <c r="E6" s="66" t="inlineStr">
        <is>
          <t>N</t>
        </is>
      </c>
      <c r="F6" s="66" t="inlineStr">
        <is>
          <t>Awaiting PO</t>
        </is>
      </c>
      <c r="G6" s="66" t="inlineStr">
        <is>
          <t>Reversal of prior accrual</t>
        </is>
      </c>
      <c r="H6" s="66" t="inlineStr">
        <is>
          <t>44100</t>
        </is>
      </c>
      <c r="I6" s="66" t="inlineStr">
        <is>
          <t>Production</t>
        </is>
      </c>
      <c r="K6" s="66" t="inlineStr">
        <is>
          <t>41150</t>
        </is>
      </c>
      <c r="L6" s="66" t="inlineStr">
        <is>
          <t>Mobile Phone Plans</t>
        </is>
      </c>
      <c r="N6" s="67" t="n">
        <v>45169</v>
      </c>
      <c r="P6" s="66" t="inlineStr">
        <is>
          <t>1350</t>
        </is>
      </c>
      <c r="Q6" s="66" t="inlineStr">
        <is>
          <t>CBA Brisbane ONS</t>
        </is>
      </c>
      <c r="R6" s="66" t="inlineStr">
        <is>
          <t>ONSITE</t>
        </is>
      </c>
      <c r="T6" s="43" t="inlineStr">
        <is>
          <t>Current RMS base address</t>
        </is>
      </c>
      <c r="U6" s="68" t="inlineStr"/>
    </row>
    <row r="7">
      <c r="A7" s="66" t="inlineStr">
        <is>
          <t>VIDEO</t>
        </is>
      </c>
      <c r="B7" s="66" t="inlineStr">
        <is>
          <t>Ad-hoc</t>
        </is>
      </c>
      <c r="C7" s="66" t="inlineStr">
        <is>
          <t>Export (0%)</t>
        </is>
      </c>
      <c r="D7" s="66" t="inlineStr">
        <is>
          <t>Awaiting Approval</t>
        </is>
      </c>
      <c r="E7" s="66" t="inlineStr">
        <is>
          <t>N/A</t>
        </is>
      </c>
      <c r="F7" s="66" t="inlineStr">
        <is>
          <t>To Upload</t>
        </is>
      </c>
      <c r="G7" s="66" t="inlineStr">
        <is>
          <t>Deferral - invoiced in advance</t>
        </is>
      </c>
      <c r="H7" s="66" t="inlineStr">
        <is>
          <t>44200</t>
        </is>
      </c>
      <c r="I7" s="66" t="inlineStr">
        <is>
          <t>Consulting</t>
        </is>
      </c>
      <c r="K7" s="66" t="inlineStr">
        <is>
          <t>41175</t>
        </is>
      </c>
      <c r="L7" s="66" t="inlineStr">
        <is>
          <t>Subscriptions &amp; Licences - Income</t>
        </is>
      </c>
      <c r="N7" s="67" t="n">
        <v>45199</v>
      </c>
      <c r="P7" s="66" t="inlineStr">
        <is>
          <t>1400</t>
        </is>
      </c>
      <c r="Q7" s="66" t="inlineStr">
        <is>
          <t>DTTL Mel Tech FT 2</t>
        </is>
      </c>
      <c r="R7" s="66" t="inlineStr">
        <is>
          <t>ONSITE</t>
        </is>
      </c>
      <c r="T7" s="32" t="inlineStr">
        <is>
          <t>Optional. Paste the whole Current RMS address straight onto the Production sheet and it links without this. Fill this in only if you would rather type the bare opportunity number - end it with a slash.</t>
        </is>
      </c>
    </row>
    <row r="8">
      <c r="A8" s="66" t="inlineStr">
        <is>
          <t>INTEGRATION</t>
        </is>
      </c>
      <c r="B8" s="66" t="inlineStr">
        <is>
          <t>Project</t>
        </is>
      </c>
      <c r="C8" s="66" t="inlineStr">
        <is>
          <t>BAS Excluded</t>
        </is>
      </c>
      <c r="D8" s="66" t="inlineStr">
        <is>
          <t>Invoiced</t>
        </is>
      </c>
      <c r="F8" s="66" t="inlineStr">
        <is>
          <t>Uploaded</t>
        </is>
      </c>
      <c r="G8" s="66" t="inlineStr">
        <is>
          <t>Release of deferral</t>
        </is>
      </c>
      <c r="I8" s="66" t="inlineStr">
        <is>
          <t>Other</t>
        </is>
      </c>
      <c r="K8" s="66" t="inlineStr">
        <is>
          <t>41200</t>
        </is>
      </c>
      <c r="L8" s="66" t="inlineStr">
        <is>
          <t>Contract Maintenance</t>
        </is>
      </c>
      <c r="N8" s="67" t="n">
        <v>45230</v>
      </c>
      <c r="P8" s="66" t="inlineStr">
        <is>
          <t>1401</t>
        </is>
      </c>
      <c r="Q8" s="66" t="inlineStr">
        <is>
          <t>DTTL SYD FT Tech 2</t>
        </is>
      </c>
      <c r="R8" s="66" t="inlineStr">
        <is>
          <t>ONSITE</t>
        </is>
      </c>
      <c r="T8" s="43" t="inlineStr">
        <is>
          <t>GST rate</t>
        </is>
      </c>
      <c r="U8" s="69" t="n">
        <v>0.1</v>
      </c>
    </row>
    <row r="9">
      <c r="A9" s="66" t="inlineStr">
        <is>
          <t>CONSULTING</t>
        </is>
      </c>
      <c r="B9" s="66" t="inlineStr">
        <is>
          <t>Progress Claim</t>
        </is>
      </c>
      <c r="D9" s="66" t="inlineStr">
        <is>
          <t>Sent</t>
        </is>
      </c>
      <c r="F9" s="66" t="inlineStr">
        <is>
          <t>Approved</t>
        </is>
      </c>
      <c r="G9" s="66" t="inlineStr">
        <is>
          <t>Adjustment / correction</t>
        </is>
      </c>
      <c r="K9" s="66" t="inlineStr">
        <is>
          <t>41500</t>
        </is>
      </c>
      <c r="L9" s="66" t="inlineStr">
        <is>
          <t>Contract Help Desk</t>
        </is>
      </c>
      <c r="N9" s="67" t="n">
        <v>45260</v>
      </c>
      <c r="P9" s="66" t="inlineStr">
        <is>
          <t>1530</t>
        </is>
      </c>
      <c r="Q9" s="66" t="inlineStr">
        <is>
          <t>DTTL BNE Onsite</t>
        </is>
      </c>
      <c r="R9" s="66" t="inlineStr">
        <is>
          <t>ONSITE</t>
        </is>
      </c>
    </row>
    <row r="10">
      <c r="A10" s="66" t="inlineStr">
        <is>
          <t>CTS</t>
        </is>
      </c>
      <c r="B10" s="66" t="inlineStr">
        <is>
          <t>Milestone</t>
        </is>
      </c>
      <c r="D10" s="66" t="inlineStr">
        <is>
          <t>Paid</t>
        </is>
      </c>
      <c r="F10" s="66" t="inlineStr">
        <is>
          <t>Rejected</t>
        </is>
      </c>
      <c r="G10" s="66" t="inlineStr">
        <is>
          <t>Migrated opening balance</t>
        </is>
      </c>
      <c r="K10" s="66" t="inlineStr">
        <is>
          <t>42100</t>
        </is>
      </c>
      <c r="L10" s="66" t="inlineStr">
        <is>
          <t>Production Labour</t>
        </is>
      </c>
      <c r="N10" s="67" t="n">
        <v>45291</v>
      </c>
      <c r="P10" s="66" t="inlineStr">
        <is>
          <t>1668</t>
        </is>
      </c>
      <c r="Q10" s="66" t="inlineStr">
        <is>
          <t>CBA Dedicated Tech</t>
        </is>
      </c>
      <c r="R10" s="66" t="inlineStr">
        <is>
          <t>ONSITE</t>
        </is>
      </c>
    </row>
    <row r="11">
      <c r="B11" s="66" t="inlineStr">
        <is>
          <t>Subscription</t>
        </is>
      </c>
      <c r="D11" s="66" t="inlineStr">
        <is>
          <t>On Hold</t>
        </is>
      </c>
      <c r="K11" s="66" t="inlineStr">
        <is>
          <t>42150</t>
        </is>
      </c>
      <c r="L11" s="66" t="inlineStr">
        <is>
          <t>Video Labour</t>
        </is>
      </c>
      <c r="N11" s="67" t="n">
        <v>45322</v>
      </c>
      <c r="P11" s="66" t="inlineStr">
        <is>
          <t>1750</t>
        </is>
      </c>
      <c r="Q11" s="66" t="inlineStr">
        <is>
          <t>Bankwest Spotify</t>
        </is>
      </c>
      <c r="R11" s="66" t="inlineStr"/>
    </row>
    <row r="12">
      <c r="B12" s="66" t="inlineStr">
        <is>
          <t>Equipment Sale</t>
        </is>
      </c>
      <c r="D12" s="66" t="inlineStr">
        <is>
          <t>Cancelled</t>
        </is>
      </c>
      <c r="K12" s="66" t="inlineStr">
        <is>
          <t>42200</t>
        </is>
      </c>
      <c r="L12" s="66" t="inlineStr">
        <is>
          <t>Ad Hoc Service Labour</t>
        </is>
      </c>
      <c r="N12" s="67" t="n">
        <v>45351</v>
      </c>
      <c r="P12" s="66" t="inlineStr">
        <is>
          <t>1755</t>
        </is>
      </c>
      <c r="Q12" s="66" t="inlineStr">
        <is>
          <t>CBA Spotify</t>
        </is>
      </c>
      <c r="R12" s="66" t="inlineStr">
        <is>
          <t>ONSITE</t>
        </is>
      </c>
    </row>
    <row r="13">
      <c r="B13" s="66" t="inlineStr">
        <is>
          <t>Recharge</t>
        </is>
      </c>
      <c r="D13" s="66" t="inlineStr">
        <is>
          <t>Credited</t>
        </is>
      </c>
      <c r="K13" s="66" t="inlineStr">
        <is>
          <t>42300</t>
        </is>
      </c>
      <c r="L13" s="66" t="inlineStr">
        <is>
          <t>Installation Labour</t>
        </is>
      </c>
      <c r="N13" s="67" t="n">
        <v>45382</v>
      </c>
      <c r="P13" s="66" t="inlineStr">
        <is>
          <t>1771</t>
        </is>
      </c>
      <c r="Q13" s="66" t="inlineStr">
        <is>
          <t>Integration - Training</t>
        </is>
      </c>
      <c r="R13" s="66" t="inlineStr">
        <is>
          <t>INTEGRATION</t>
        </is>
      </c>
    </row>
    <row r="14">
      <c r="B14" s="66" t="inlineStr">
        <is>
          <t>Credit Note</t>
        </is>
      </c>
      <c r="K14" s="66" t="inlineStr">
        <is>
          <t>42500</t>
        </is>
      </c>
      <c r="L14" s="66" t="inlineStr">
        <is>
          <t>Equipment Hires</t>
        </is>
      </c>
      <c r="N14" s="67" t="n">
        <v>45412</v>
      </c>
      <c r="P14" s="66" t="inlineStr">
        <is>
          <t>1862</t>
        </is>
      </c>
      <c r="Q14" s="66" t="inlineStr">
        <is>
          <t>DTTL ADL Onsite</t>
        </is>
      </c>
      <c r="R14" s="66" t="inlineStr">
        <is>
          <t>ONSITE</t>
        </is>
      </c>
    </row>
    <row r="15">
      <c r="K15" s="66" t="inlineStr">
        <is>
          <t>42600</t>
        </is>
      </c>
      <c r="L15" s="66" t="inlineStr">
        <is>
          <t>Equipment Sales</t>
        </is>
      </c>
      <c r="N15" s="67" t="n">
        <v>45443</v>
      </c>
      <c r="P15" s="66" t="inlineStr">
        <is>
          <t>20250731</t>
        </is>
      </c>
      <c r="Q15" s="66" t="inlineStr">
        <is>
          <t>PWC National Pool of Hours</t>
        </is>
      </c>
      <c r="R15" s="66" t="inlineStr">
        <is>
          <t>ONSITE</t>
        </is>
      </c>
    </row>
    <row r="16">
      <c r="K16" s="66" t="inlineStr">
        <is>
          <t>42700</t>
        </is>
      </c>
      <c r="L16" s="66" t="inlineStr">
        <is>
          <t>Conference Call Charge</t>
        </is>
      </c>
      <c r="N16" s="67" t="n">
        <v>45473</v>
      </c>
      <c r="P16" s="66" t="inlineStr">
        <is>
          <t>2026021101</t>
        </is>
      </c>
      <c r="Q16" s="66" t="inlineStr">
        <is>
          <t>AusPayNet Quarterly AV Support &amp; Maintenance 2026</t>
        </is>
      </c>
      <c r="R16" s="66" t="inlineStr">
        <is>
          <t>ONSITE</t>
        </is>
      </c>
    </row>
    <row r="17">
      <c r="K17" s="66" t="inlineStr">
        <is>
          <t>42800</t>
        </is>
      </c>
      <c r="L17" s="66" t="inlineStr">
        <is>
          <t>Tech Consulting/Project Manage</t>
        </is>
      </c>
      <c r="N17" s="67" t="n">
        <v>45504</v>
      </c>
      <c r="P17" s="66" t="inlineStr">
        <is>
          <t>20260801</t>
        </is>
      </c>
      <c r="Q17" s="66" t="inlineStr">
        <is>
          <t>CTS Day 2026</t>
        </is>
      </c>
      <c r="R17" s="66" t="inlineStr">
        <is>
          <t>CTS</t>
        </is>
      </c>
    </row>
    <row r="18">
      <c r="K18" s="66" t="inlineStr">
        <is>
          <t>42900</t>
        </is>
      </c>
      <c r="L18" s="66" t="inlineStr">
        <is>
          <t>Tech Event Management</t>
        </is>
      </c>
      <c r="N18" s="67" t="n">
        <v>45535</v>
      </c>
      <c r="P18" s="66" t="inlineStr">
        <is>
          <t>2192</t>
        </is>
      </c>
      <c r="Q18" s="66" t="inlineStr">
        <is>
          <t>Bankwest Additional Tech</t>
        </is>
      </c>
      <c r="R18" s="66" t="inlineStr">
        <is>
          <t>ONSITE</t>
        </is>
      </c>
    </row>
    <row r="19">
      <c r="K19" s="66" t="inlineStr">
        <is>
          <t>44100</t>
        </is>
      </c>
      <c r="L19" s="66" t="inlineStr">
        <is>
          <t>Opening Work in Progress</t>
        </is>
      </c>
      <c r="N19" s="67" t="n">
        <v>45565</v>
      </c>
      <c r="P19" s="66" t="inlineStr">
        <is>
          <t>2347</t>
        </is>
      </c>
      <c r="Q19" s="66" t="inlineStr">
        <is>
          <t>DTTL Dedicated Tech</t>
        </is>
      </c>
      <c r="R19" s="66" t="inlineStr">
        <is>
          <t>ONSITE</t>
        </is>
      </c>
    </row>
    <row r="20">
      <c r="K20" s="66" t="inlineStr">
        <is>
          <t>44200</t>
        </is>
      </c>
      <c r="L20" s="66" t="inlineStr">
        <is>
          <t>Closing Work in Progress</t>
        </is>
      </c>
      <c r="N20" s="67" t="n">
        <v>45596</v>
      </c>
      <c r="P20" s="66" t="inlineStr">
        <is>
          <t>2392</t>
        </is>
      </c>
      <c r="Q20" s="66" t="inlineStr">
        <is>
          <t>PWC – MEL Technician</t>
        </is>
      </c>
      <c r="R20" s="66" t="inlineStr">
        <is>
          <t>ONSITE</t>
        </is>
      </c>
    </row>
    <row r="21">
      <c r="K21" s="66" t="inlineStr">
        <is>
          <t>45005</t>
        </is>
      </c>
      <c r="L21" s="66" t="inlineStr">
        <is>
          <t>Freight &amp; Travel - ADMIN</t>
        </is>
      </c>
      <c r="N21" s="67" t="n">
        <v>45626</v>
      </c>
      <c r="P21" s="66" t="inlineStr">
        <is>
          <t>2402</t>
        </is>
      </c>
      <c r="Q21" s="66" t="inlineStr">
        <is>
          <t>DTTL SYD FT Tech 1</t>
        </is>
      </c>
      <c r="R21" s="66" t="inlineStr">
        <is>
          <t>ONSITE</t>
        </is>
      </c>
    </row>
    <row r="22">
      <c r="K22" s="66" t="inlineStr">
        <is>
          <t>45010</t>
        </is>
      </c>
      <c r="L22" s="66" t="inlineStr">
        <is>
          <t>Freight &amp; Travel - ONS</t>
        </is>
      </c>
      <c r="N22" s="67" t="n">
        <v>45657</v>
      </c>
      <c r="P22" s="66" t="inlineStr">
        <is>
          <t>2407312</t>
        </is>
      </c>
      <c r="Q22" s="66" t="inlineStr">
        <is>
          <t>Hills Performance Centre</t>
        </is>
      </c>
      <c r="R22" s="66" t="inlineStr">
        <is>
          <t>CONSULTING</t>
        </is>
      </c>
    </row>
    <row r="23">
      <c r="K23" s="66" t="inlineStr">
        <is>
          <t>45015</t>
        </is>
      </c>
      <c r="L23" s="66" t="inlineStr">
        <is>
          <t>Freight &amp; Travel - PRD</t>
        </is>
      </c>
      <c r="N23" s="67" t="n">
        <v>45688</v>
      </c>
      <c r="P23" s="66" t="inlineStr">
        <is>
          <t>24102501</t>
        </is>
      </c>
      <c r="Q23" s="66" t="inlineStr">
        <is>
          <t>PWC - MEL Tech 12Months</t>
        </is>
      </c>
      <c r="R23" s="66" t="inlineStr">
        <is>
          <t>ONSITE</t>
        </is>
      </c>
    </row>
    <row r="24">
      <c r="K24" s="66" t="inlineStr">
        <is>
          <t>45020</t>
        </is>
      </c>
      <c r="L24" s="66" t="inlineStr">
        <is>
          <t>Freight &amp; Travel - VID</t>
        </is>
      </c>
      <c r="N24" s="67" t="n">
        <v>45716</v>
      </c>
      <c r="P24" s="66" t="inlineStr">
        <is>
          <t>24121001</t>
        </is>
      </c>
      <c r="Q24" s="66" t="inlineStr">
        <is>
          <t>BW PER Studio Equipment Supply</t>
        </is>
      </c>
      <c r="R24" s="66" t="inlineStr">
        <is>
          <t>INTEGRATION</t>
        </is>
      </c>
    </row>
    <row r="25">
      <c r="K25" s="66" t="inlineStr">
        <is>
          <t>45025</t>
        </is>
      </c>
      <c r="L25" s="66" t="inlineStr">
        <is>
          <t>Freight &amp; Travel - INTEGRATION</t>
        </is>
      </c>
      <c r="N25" s="67" t="n">
        <v>45747</v>
      </c>
      <c r="P25" s="66" t="inlineStr">
        <is>
          <t>2479</t>
        </is>
      </c>
      <c r="Q25" s="66" t="inlineStr">
        <is>
          <t>CONSULTING - Quotes</t>
        </is>
      </c>
      <c r="R25" s="66" t="inlineStr">
        <is>
          <t>CONSULTING</t>
        </is>
      </c>
    </row>
    <row r="26">
      <c r="K26" s="66" t="inlineStr">
        <is>
          <t>45030</t>
        </is>
      </c>
      <c r="L26" s="66" t="inlineStr">
        <is>
          <t>Freight &amp; Travel - CONS</t>
        </is>
      </c>
      <c r="N26" s="67" t="n">
        <v>45777</v>
      </c>
      <c r="P26" s="66" t="inlineStr">
        <is>
          <t>2480</t>
        </is>
      </c>
      <c r="Q26" s="66" t="inlineStr">
        <is>
          <t>ONSITE - Quotes</t>
        </is>
      </c>
      <c r="R26" s="66" t="inlineStr">
        <is>
          <t>ONSITE</t>
        </is>
      </c>
    </row>
    <row r="27">
      <c r="K27" s="66" t="inlineStr">
        <is>
          <t>46005</t>
        </is>
      </c>
      <c r="L27" s="66" t="inlineStr">
        <is>
          <t>Credit Card Fees - ADMIN</t>
        </is>
      </c>
      <c r="N27" s="67" t="n">
        <v>45808</v>
      </c>
      <c r="P27" s="66" t="inlineStr">
        <is>
          <t>2481</t>
        </is>
      </c>
      <c r="Q27" s="66" t="inlineStr">
        <is>
          <t>Production - Quotes</t>
        </is>
      </c>
      <c r="R27" s="66" t="inlineStr">
        <is>
          <t>PRODUCTION</t>
        </is>
      </c>
    </row>
    <row r="28">
      <c r="K28" s="66" t="inlineStr">
        <is>
          <t>46010</t>
        </is>
      </c>
      <c r="L28" s="66" t="inlineStr">
        <is>
          <t>Credit Card Collected - ONS</t>
        </is>
      </c>
      <c r="N28" s="67" t="n">
        <v>45838</v>
      </c>
      <c r="P28" s="66" t="inlineStr">
        <is>
          <t>2482</t>
        </is>
      </c>
      <c r="Q28" s="66" t="inlineStr">
        <is>
          <t>VIDEO - Quotes</t>
        </is>
      </c>
      <c r="R28" s="66" t="inlineStr">
        <is>
          <t>VIDEO</t>
        </is>
      </c>
    </row>
    <row r="29">
      <c r="K29" s="66" t="inlineStr">
        <is>
          <t>46015</t>
        </is>
      </c>
      <c r="L29" s="66" t="inlineStr">
        <is>
          <t>Credit Card Collected - PRD</t>
        </is>
      </c>
      <c r="N29" s="67" t="n">
        <v>45869</v>
      </c>
      <c r="P29" s="66" t="inlineStr">
        <is>
          <t>2488</t>
        </is>
      </c>
      <c r="Q29" s="66" t="inlineStr">
        <is>
          <t>PWC IT P/T BNE</t>
        </is>
      </c>
      <c r="R29" s="66" t="inlineStr">
        <is>
          <t>ONSITE</t>
        </is>
      </c>
    </row>
    <row r="30">
      <c r="K30" s="66" t="inlineStr">
        <is>
          <t>46020</t>
        </is>
      </c>
      <c r="L30" s="66" t="inlineStr">
        <is>
          <t>Credit Card Collected - VID</t>
        </is>
      </c>
      <c r="N30" s="67" t="n">
        <v>45900</v>
      </c>
      <c r="P30" s="66" t="inlineStr">
        <is>
          <t>25011601</t>
        </is>
      </c>
      <c r="Q30" s="66" t="inlineStr">
        <is>
          <t>DTTL Hobart ITS AV Ref</t>
        </is>
      </c>
      <c r="R30" s="66" t="inlineStr">
        <is>
          <t>INTEGRATION</t>
        </is>
      </c>
    </row>
    <row r="31">
      <c r="K31" s="66" t="inlineStr">
        <is>
          <t>46025</t>
        </is>
      </c>
      <c r="L31" s="66" t="inlineStr">
        <is>
          <t>Credit Card Collected - INTEGRATION</t>
        </is>
      </c>
      <c r="N31" s="67" t="n">
        <v>45930</v>
      </c>
      <c r="P31" s="66" t="inlineStr">
        <is>
          <t>2501738</t>
        </is>
      </c>
      <c r="Q31" s="66" t="inlineStr">
        <is>
          <t>APA HYR25 &amp; FYR25</t>
        </is>
      </c>
      <c r="R31" s="66" t="inlineStr">
        <is>
          <t>PRODUCTION</t>
        </is>
      </c>
    </row>
    <row r="32">
      <c r="K32" s="66" t="inlineStr">
        <is>
          <t>46030</t>
        </is>
      </c>
      <c r="L32" s="66" t="inlineStr">
        <is>
          <t>Credit Card Collected - CONS</t>
        </is>
      </c>
      <c r="N32" s="67" t="n">
        <v>45961</v>
      </c>
      <c r="P32" s="66" t="inlineStr">
        <is>
          <t>2502</t>
        </is>
      </c>
      <c r="Q32" s="66" t="inlineStr">
        <is>
          <t>ONS CBA (non-chargeable)</t>
        </is>
      </c>
      <c r="R32" s="66" t="inlineStr"/>
    </row>
    <row r="33">
      <c r="K33" s="66" t="inlineStr">
        <is>
          <t>47005</t>
        </is>
      </c>
      <c r="L33" s="66" t="inlineStr">
        <is>
          <t>Meal &amp; Travel - ADMIN</t>
        </is>
      </c>
      <c r="N33" s="67" t="n">
        <v>45991</v>
      </c>
      <c r="P33" s="66" t="inlineStr">
        <is>
          <t>25021901</t>
        </is>
      </c>
      <c r="Q33" s="66" t="inlineStr">
        <is>
          <t>DAFF Technology Standard</t>
        </is>
      </c>
      <c r="R33" s="66" t="inlineStr">
        <is>
          <t>CONSULTING</t>
        </is>
      </c>
    </row>
    <row r="34">
      <c r="K34" s="66" t="inlineStr">
        <is>
          <t>47010</t>
        </is>
      </c>
      <c r="L34" s="66" t="inlineStr">
        <is>
          <t>Meal &amp; Travel - ONS</t>
        </is>
      </c>
      <c r="N34" s="67" t="n">
        <v>46022</v>
      </c>
      <c r="P34" s="66" t="inlineStr">
        <is>
          <t>2503</t>
        </is>
      </c>
      <c r="Q34" s="66" t="inlineStr">
        <is>
          <t>ONS DTTL (non-chargeable)</t>
        </is>
      </c>
      <c r="R34" s="66" t="inlineStr"/>
    </row>
    <row r="35">
      <c r="K35" s="66" t="inlineStr">
        <is>
          <t>47015</t>
        </is>
      </c>
      <c r="L35" s="66" t="inlineStr">
        <is>
          <t>Meal &amp; Travel - PRD</t>
        </is>
      </c>
      <c r="N35" s="67" t="n">
        <v>46053</v>
      </c>
      <c r="P35" s="66" t="inlineStr">
        <is>
          <t>25032701</t>
        </is>
      </c>
      <c r="Q35" s="66" t="inlineStr">
        <is>
          <t>St Catherines Chargeable</t>
        </is>
      </c>
      <c r="R35" s="66" t="inlineStr">
        <is>
          <t>ONSITE</t>
        </is>
      </c>
    </row>
    <row r="36">
      <c r="K36" s="66" t="inlineStr">
        <is>
          <t>47020</t>
        </is>
      </c>
      <c r="L36" s="66" t="inlineStr">
        <is>
          <t>Meal &amp; Travel - VID</t>
        </is>
      </c>
      <c r="N36" s="67" t="n">
        <v>46081</v>
      </c>
      <c r="P36" s="66" t="inlineStr">
        <is>
          <t>25032701NC</t>
        </is>
      </c>
      <c r="Q36" s="66" t="inlineStr">
        <is>
          <t>St Catherines Non-Chgble</t>
        </is>
      </c>
      <c r="R36" s="66" t="inlineStr">
        <is>
          <t>ONSITE</t>
        </is>
      </c>
    </row>
    <row r="37">
      <c r="K37" s="66" t="inlineStr">
        <is>
          <t>47025</t>
        </is>
      </c>
      <c r="L37" s="66" t="inlineStr">
        <is>
          <t>Meal &amp; Travel - INTEGRATION</t>
        </is>
      </c>
      <c r="N37" s="67" t="n">
        <v>46112</v>
      </c>
      <c r="P37" s="66" t="inlineStr">
        <is>
          <t>2504</t>
        </is>
      </c>
      <c r="Q37" s="66" t="inlineStr">
        <is>
          <t>ONS WBC (non-chargeable)</t>
        </is>
      </c>
      <c r="R37" s="66" t="inlineStr"/>
    </row>
    <row r="38">
      <c r="K38" s="66" t="inlineStr">
        <is>
          <t>47030</t>
        </is>
      </c>
      <c r="L38" s="66" t="inlineStr">
        <is>
          <t>Meal &amp; Travel - CONS</t>
        </is>
      </c>
      <c r="N38" s="67" t="n">
        <v>46142</v>
      </c>
      <c r="P38" s="66" t="inlineStr">
        <is>
          <t>25041502</t>
        </is>
      </c>
      <c r="Q38" s="66" t="inlineStr">
        <is>
          <t>PDNSW DB License Ext</t>
        </is>
      </c>
      <c r="R38" s="66" t="inlineStr">
        <is>
          <t>INTEGRATION</t>
        </is>
      </c>
    </row>
    <row r="39">
      <c r="K39" s="66" t="inlineStr">
        <is>
          <t>48000</t>
        </is>
      </c>
      <c r="L39" s="66" t="inlineStr">
        <is>
          <t>Miscellaneous Income</t>
        </is>
      </c>
      <c r="N39" s="67" t="n">
        <v>46173</v>
      </c>
      <c r="P39" s="66" t="inlineStr">
        <is>
          <t>2505</t>
        </is>
      </c>
      <c r="Q39" s="66" t="inlineStr">
        <is>
          <t>ONS PWC (non-chargeable)</t>
        </is>
      </c>
      <c r="R39" s="66" t="inlineStr"/>
    </row>
    <row r="40">
      <c r="N40" s="67" t="n">
        <v>46203</v>
      </c>
      <c r="P40" s="66" t="inlineStr">
        <is>
          <t>25051302</t>
        </is>
      </c>
      <c r="Q40" s="66" t="inlineStr">
        <is>
          <t>NSW Prop Bradfield Desk Booking + Penrith Additional</t>
        </is>
      </c>
      <c r="R40" s="66" t="inlineStr">
        <is>
          <t>INTEGRATION</t>
        </is>
      </c>
    </row>
    <row r="41">
      <c r="N41" s="67" t="n">
        <v>46234</v>
      </c>
      <c r="P41" s="66" t="inlineStr">
        <is>
          <t>25051403</t>
        </is>
      </c>
      <c r="Q41" s="66" t="inlineStr">
        <is>
          <t>DTTL SYD Tech Supp TMT AP</t>
        </is>
      </c>
      <c r="R41" s="66" t="inlineStr">
        <is>
          <t>ONSITE</t>
        </is>
      </c>
    </row>
    <row r="42">
      <c r="N42" s="67" t="n">
        <v>46265</v>
      </c>
      <c r="P42" s="66" t="inlineStr">
        <is>
          <t>25052802</t>
        </is>
      </c>
      <c r="Q42" s="66" t="inlineStr">
        <is>
          <t>Aus Retirement Trust Members Meeting 2025</t>
        </is>
      </c>
      <c r="R42" s="66" t="inlineStr">
        <is>
          <t>PRODUCTION</t>
        </is>
      </c>
    </row>
    <row r="43">
      <c r="N43" s="67" t="n">
        <v>46295</v>
      </c>
      <c r="P43" s="66" t="inlineStr">
        <is>
          <t>2505901</t>
        </is>
      </c>
      <c r="Q43" s="66" t="inlineStr">
        <is>
          <t>COS Projector Lens Supply</t>
        </is>
      </c>
      <c r="R43" s="66" t="inlineStr">
        <is>
          <t>INTEGRATION</t>
        </is>
      </c>
    </row>
    <row r="44">
      <c r="N44" s="67" t="n">
        <v>46326</v>
      </c>
      <c r="P44" s="66" t="inlineStr">
        <is>
          <t>2506</t>
        </is>
      </c>
      <c r="Q44" s="66" t="inlineStr">
        <is>
          <t>ONS BWEST (non-chargeable)</t>
        </is>
      </c>
      <c r="R44" s="66" t="inlineStr"/>
    </row>
    <row r="45">
      <c r="N45" s="67" t="n">
        <v>46356</v>
      </c>
      <c r="P45" s="66" t="inlineStr">
        <is>
          <t>25060301</t>
        </is>
      </c>
      <c r="Q45" s="66" t="inlineStr">
        <is>
          <t>6PSQ L12 Desk Booking</t>
        </is>
      </c>
      <c r="R45" s="66" t="inlineStr">
        <is>
          <t>INTEGRATION</t>
        </is>
      </c>
    </row>
    <row r="46">
      <c r="N46" s="67" t="n">
        <v>46387</v>
      </c>
      <c r="P46" s="66" t="inlineStr">
        <is>
          <t>25060307</t>
        </is>
      </c>
      <c r="Q46" s="66" t="inlineStr">
        <is>
          <t>DPIE Molesworth St D/B</t>
        </is>
      </c>
      <c r="R46" s="66" t="inlineStr">
        <is>
          <t>INTEGRATION</t>
        </is>
      </c>
    </row>
    <row r="47">
      <c r="N47" s="67" t="n">
        <v>46418</v>
      </c>
      <c r="P47" s="66" t="inlineStr">
        <is>
          <t>2506208</t>
        </is>
      </c>
      <c r="Q47" s="66" t="inlineStr">
        <is>
          <t>CBA AGM 2026</t>
        </is>
      </c>
      <c r="R47" s="66" t="inlineStr">
        <is>
          <t>PRODUCTION</t>
        </is>
      </c>
    </row>
    <row r="48">
      <c r="N48" s="67" t="n">
        <v>46446</v>
      </c>
      <c r="P48" s="66" t="inlineStr">
        <is>
          <t>2506208V</t>
        </is>
      </c>
      <c r="Q48" s="66" t="inlineStr">
        <is>
          <t>CBA AGM 2026</t>
        </is>
      </c>
      <c r="R48" s="66" t="inlineStr">
        <is>
          <t>VIDEO</t>
        </is>
      </c>
    </row>
    <row r="49">
      <c r="N49" s="67" t="n">
        <v>46477</v>
      </c>
      <c r="P49" s="66" t="inlineStr">
        <is>
          <t>25063001V</t>
        </is>
      </c>
      <c r="Q49" s="66" t="inlineStr">
        <is>
          <t>APA All Hands Staff</t>
        </is>
      </c>
      <c r="R49" s="66" t="inlineStr">
        <is>
          <t>VIDEO</t>
        </is>
      </c>
    </row>
    <row r="50">
      <c r="N50" s="67" t="n">
        <v>46507</v>
      </c>
      <c r="P50" s="66" t="inlineStr">
        <is>
          <t>25070702</t>
        </is>
      </c>
      <c r="Q50" s="66" t="inlineStr">
        <is>
          <t>APA VMS Brisbane &amp; Darwin</t>
        </is>
      </c>
      <c r="R50" s="66" t="inlineStr">
        <is>
          <t>INTEGRATION</t>
        </is>
      </c>
    </row>
    <row r="51">
      <c r="N51" s="67" t="n">
        <v>46538</v>
      </c>
      <c r="P51" s="66" t="inlineStr">
        <is>
          <t>2507203</t>
        </is>
      </c>
      <c r="Q51" s="66" t="inlineStr">
        <is>
          <t>Hills Grammar Airmedia Supply</t>
        </is>
      </c>
      <c r="R51" s="66" t="inlineStr">
        <is>
          <t>INTEGRATION</t>
        </is>
      </c>
    </row>
    <row r="52">
      <c r="N52" s="67" t="n">
        <v>46568</v>
      </c>
      <c r="P52" s="66" t="inlineStr">
        <is>
          <t>25081402</t>
        </is>
      </c>
      <c r="Q52" s="66" t="inlineStr">
        <is>
          <t>Hills Grammar Loan Airmedia Purchase</t>
        </is>
      </c>
      <c r="R52" s="66" t="inlineStr">
        <is>
          <t>INTEGRATION</t>
        </is>
      </c>
    </row>
    <row r="53">
      <c r="N53" s="67" t="n">
        <v>46599</v>
      </c>
      <c r="P53" s="66" t="inlineStr">
        <is>
          <t>25082501</t>
        </is>
      </c>
      <c r="Q53" s="66" t="inlineStr">
        <is>
          <t>APA Sydney Tablet Brackets</t>
        </is>
      </c>
      <c r="R53" s="66" t="inlineStr">
        <is>
          <t>INTEGRATION</t>
        </is>
      </c>
    </row>
    <row r="54">
      <c r="N54" s="67" t="n">
        <v>46630</v>
      </c>
      <c r="P54" s="66" t="inlineStr">
        <is>
          <t>25091703</t>
        </is>
      </c>
      <c r="Q54" s="66" t="inlineStr">
        <is>
          <t>Scentre Group Marion Superscreen (D10396) Test and Cert</t>
        </is>
      </c>
      <c r="R54" s="66" t="inlineStr">
        <is>
          <t>CONSULTING</t>
        </is>
      </c>
    </row>
    <row r="55">
      <c r="N55" s="67" t="n">
        <v>46660</v>
      </c>
      <c r="P55" s="66" t="inlineStr">
        <is>
          <t>25101301</t>
        </is>
      </c>
      <c r="Q55" s="66" t="inlineStr">
        <is>
          <t>PWC IT Support – Melbourne</t>
        </is>
      </c>
      <c r="R55" s="66" t="inlineStr">
        <is>
          <t>ONSITE</t>
        </is>
      </c>
    </row>
    <row r="56">
      <c r="N56" s="67" t="n">
        <v>46691</v>
      </c>
      <c r="P56" s="66" t="inlineStr">
        <is>
          <t>25101301B</t>
        </is>
      </c>
      <c r="Q56" s="66" t="inlineStr">
        <is>
          <t>PWC IT Support – Sydney</t>
        </is>
      </c>
      <c r="R56" s="66" t="inlineStr">
        <is>
          <t>ONSITE</t>
        </is>
      </c>
    </row>
    <row r="57">
      <c r="N57" s="67" t="n">
        <v>46721</v>
      </c>
      <c r="P57" s="66" t="inlineStr">
        <is>
          <t>2510202</t>
        </is>
      </c>
      <c r="Q57" s="66" t="inlineStr">
        <is>
          <t>HP Poly Room Assessment</t>
        </is>
      </c>
      <c r="R57" s="66" t="inlineStr">
        <is>
          <t>CONSULTING</t>
        </is>
      </c>
    </row>
    <row r="58">
      <c r="N58" s="67" t="n">
        <v>46752</v>
      </c>
      <c r="P58" s="66" t="inlineStr">
        <is>
          <t>2510205</t>
        </is>
      </c>
      <c r="Q58" s="66" t="inlineStr">
        <is>
          <t>NSW Property RGB Desk Booking</t>
        </is>
      </c>
      <c r="R58" s="66" t="inlineStr">
        <is>
          <t>INTEGRATION</t>
        </is>
      </c>
    </row>
    <row r="59">
      <c r="N59" s="67" t="n">
        <v>46783</v>
      </c>
      <c r="P59" s="66" t="inlineStr">
        <is>
          <t>2510210</t>
        </is>
      </c>
      <c r="Q59" s="66" t="inlineStr">
        <is>
          <t>Scentre Group Westfield Bondi Screen Tests</t>
        </is>
      </c>
      <c r="R59" s="66" t="inlineStr">
        <is>
          <t>CONSULTING</t>
        </is>
      </c>
    </row>
    <row r="60">
      <c r="N60" s="67" t="n">
        <v>46812</v>
      </c>
      <c r="P60" s="66" t="inlineStr">
        <is>
          <t>25102701</t>
        </is>
      </c>
      <c r="Q60" s="66" t="inlineStr">
        <is>
          <t>DEWR - Studio Upgrade - Consulting, Design</t>
        </is>
      </c>
      <c r="R60" s="66" t="inlineStr">
        <is>
          <t>CONSULTING</t>
        </is>
      </c>
    </row>
    <row r="61">
      <c r="N61" s="67" t="n">
        <v>46843</v>
      </c>
      <c r="P61" s="66" t="inlineStr">
        <is>
          <t>25102801</t>
        </is>
      </c>
      <c r="Q61" s="66" t="inlineStr">
        <is>
          <t>DTTL SYD QQT Additional Mics Install in L45 Seminar Space</t>
        </is>
      </c>
      <c r="R61" s="66" t="inlineStr">
        <is>
          <t>INTEGRATION</t>
        </is>
      </c>
    </row>
    <row r="62">
      <c r="N62" s="67" t="n">
        <v>46873</v>
      </c>
      <c r="P62" s="66" t="inlineStr">
        <is>
          <t>25102802</t>
        </is>
      </c>
      <c r="Q62" s="66" t="inlineStr">
        <is>
          <t>Novigi Meeting Space Inspection</t>
        </is>
      </c>
      <c r="R62" s="66" t="inlineStr">
        <is>
          <t>CONSULTING</t>
        </is>
      </c>
    </row>
    <row r="63">
      <c r="N63" s="67" t="n">
        <v>46904</v>
      </c>
      <c r="P63" s="66" t="inlineStr">
        <is>
          <t>2510804</t>
        </is>
      </c>
      <c r="Q63" s="66" t="inlineStr">
        <is>
          <t>CommSecurity Presynct QLD Desk Booking</t>
        </is>
      </c>
      <c r="R63" s="66" t="inlineStr">
        <is>
          <t>INTEGRATION</t>
        </is>
      </c>
    </row>
    <row r="64">
      <c r="N64" s="67" t="n">
        <v>46934</v>
      </c>
      <c r="P64" s="66" t="inlineStr">
        <is>
          <t>2510805</t>
        </is>
      </c>
      <c r="Q64" s="66" t="inlineStr">
        <is>
          <t>PNSW Reconstruction Authority Newcastle</t>
        </is>
      </c>
      <c r="R64" s="66" t="inlineStr">
        <is>
          <t>INTEGRATION</t>
        </is>
      </c>
    </row>
    <row r="65">
      <c r="N65" s="67" t="n">
        <v>46965</v>
      </c>
      <c r="P65" s="66" t="inlineStr">
        <is>
          <t>25111203</t>
        </is>
      </c>
      <c r="Q65" s="66" t="inlineStr">
        <is>
          <t>CoS | Barco E3 Sale</t>
        </is>
      </c>
      <c r="R65" s="66" t="inlineStr">
        <is>
          <t>INTEGRATION</t>
        </is>
      </c>
    </row>
    <row r="66">
      <c r="N66" s="67" t="n">
        <v>46996</v>
      </c>
      <c r="P66" s="66" t="inlineStr">
        <is>
          <t>25112801</t>
        </is>
      </c>
      <c r="Q66" s="66" t="inlineStr">
        <is>
          <t>APA MEL - iPad &amp; Bouncepad Sale</t>
        </is>
      </c>
      <c r="R66" s="66" t="inlineStr">
        <is>
          <t>INTEGRATION</t>
        </is>
      </c>
    </row>
    <row r="67">
      <c r="N67" s="67" t="n">
        <v>47026</v>
      </c>
      <c r="P67" s="66" t="inlineStr">
        <is>
          <t>25121001</t>
        </is>
      </c>
      <c r="Q67" s="66" t="inlineStr">
        <is>
          <t>HP Poly Mic System Sale and Install at Mission Australia</t>
        </is>
      </c>
      <c r="R67" s="66" t="inlineStr">
        <is>
          <t>INTEGRATION</t>
        </is>
      </c>
    </row>
    <row r="68">
      <c r="N68" s="67" t="n">
        <v>47057</v>
      </c>
      <c r="P68" s="66" t="inlineStr">
        <is>
          <t>25121007</t>
        </is>
      </c>
      <c r="Q68" s="66" t="inlineStr">
        <is>
          <t>Novigi SYD/MEL boardroom Mic upgrade + Cable Tidy</t>
        </is>
      </c>
      <c r="R68" s="66" t="inlineStr">
        <is>
          <t>INTEGRATION</t>
        </is>
      </c>
    </row>
    <row r="69">
      <c r="N69" s="67" t="n">
        <v>47087</v>
      </c>
      <c r="P69" s="66" t="inlineStr">
        <is>
          <t>25121208</t>
        </is>
      </c>
      <c r="Q69" s="66" t="inlineStr">
        <is>
          <t>APA HYR &amp; FYR Package 2026</t>
        </is>
      </c>
      <c r="R69" s="66" t="inlineStr">
        <is>
          <t>PRODUCTION</t>
        </is>
      </c>
    </row>
    <row r="70">
      <c r="N70" s="67" t="n">
        <v>47118</v>
      </c>
      <c r="P70" s="66" t="inlineStr">
        <is>
          <t>2512503</t>
        </is>
      </c>
      <c r="Q70" s="66" t="inlineStr">
        <is>
          <t>Ventia EOY Town Hall 10.12.2025</t>
        </is>
      </c>
      <c r="R70" s="66" t="inlineStr">
        <is>
          <t>PRODUCTION</t>
        </is>
      </c>
    </row>
    <row r="71">
      <c r="N71" s="67" t="n">
        <v>47149</v>
      </c>
      <c r="P71" s="66" t="inlineStr">
        <is>
          <t>2512503V</t>
        </is>
      </c>
      <c r="Q71" s="66" t="inlineStr">
        <is>
          <t>Ventia EOY Town Hall 10.12.2025</t>
        </is>
      </c>
      <c r="R71" s="66" t="inlineStr">
        <is>
          <t>VIDEO</t>
        </is>
      </c>
    </row>
    <row r="72">
      <c r="N72" s="67" t="n">
        <v>47177</v>
      </c>
      <c r="P72" s="66" t="inlineStr">
        <is>
          <t>2512804</t>
        </is>
      </c>
      <c r="Q72" s="66" t="inlineStr">
        <is>
          <t>RSNSW Ordinary General Meeting 5.8.26</t>
        </is>
      </c>
      <c r="R72" s="66" t="inlineStr">
        <is>
          <t>PRODUCTION</t>
        </is>
      </c>
    </row>
    <row r="73">
      <c r="N73" s="67" t="n">
        <v>47208</v>
      </c>
      <c r="P73" s="66" t="inlineStr">
        <is>
          <t>2512804V</t>
        </is>
      </c>
      <c r="Q73" s="66" t="inlineStr">
        <is>
          <t>RSNSW Ordinary General Meeting 5.8.26</t>
        </is>
      </c>
      <c r="R73" s="66" t="inlineStr">
        <is>
          <t>VIDEO</t>
        </is>
      </c>
    </row>
    <row r="74">
      <c r="N74" s="67" t="n">
        <v>47238</v>
      </c>
      <c r="P74" s="66" t="inlineStr">
        <is>
          <t>2512805</t>
        </is>
      </c>
      <c r="Q74" s="66" t="inlineStr">
        <is>
          <t>RSNSW Ordinary General Meeting 7.10.2026</t>
        </is>
      </c>
      <c r="R74" s="66" t="inlineStr">
        <is>
          <t>PRODUCTION</t>
        </is>
      </c>
    </row>
    <row r="75">
      <c r="N75" s="67" t="n">
        <v>47269</v>
      </c>
      <c r="P75" s="66" t="inlineStr">
        <is>
          <t>2512805V</t>
        </is>
      </c>
      <c r="Q75" s="66" t="inlineStr">
        <is>
          <t>RSNSW Ordinary General Meeting 7.10.2026</t>
        </is>
      </c>
      <c r="R75" s="66" t="inlineStr">
        <is>
          <t>VIDEO</t>
        </is>
      </c>
    </row>
    <row r="76">
      <c r="N76" s="67" t="n">
        <v>47299</v>
      </c>
      <c r="P76" s="66" t="inlineStr">
        <is>
          <t>2512806</t>
        </is>
      </c>
      <c r="Q76" s="66" t="inlineStr">
        <is>
          <t>RSNSW Ordinary General Meeting 2.12.26</t>
        </is>
      </c>
      <c r="R76" s="66" t="inlineStr">
        <is>
          <t>PRODUCTION</t>
        </is>
      </c>
    </row>
    <row r="77">
      <c r="N77" s="67" t="n">
        <v>47330</v>
      </c>
      <c r="P77" s="66" t="inlineStr">
        <is>
          <t>2512806V</t>
        </is>
      </c>
      <c r="Q77" s="66" t="inlineStr">
        <is>
          <t>RSNSW Ordinary General Meeting 2.12.26</t>
        </is>
      </c>
      <c r="R77" s="66" t="inlineStr">
        <is>
          <t>VIDEO</t>
        </is>
      </c>
    </row>
    <row r="78">
      <c r="N78" s="67" t="n">
        <v>47361</v>
      </c>
      <c r="P78" s="66" t="inlineStr">
        <is>
          <t>2519</t>
        </is>
      </c>
      <c r="Q78" s="66" t="inlineStr">
        <is>
          <t>NSW Prop-6PSQ Visitor MG</t>
        </is>
      </c>
      <c r="R78" s="66" t="inlineStr">
        <is>
          <t>INTEGRATION</t>
        </is>
      </c>
    </row>
    <row r="79">
      <c r="N79" s="67" t="n">
        <v>47391</v>
      </c>
      <c r="P79" s="66" t="inlineStr">
        <is>
          <t>2521</t>
        </is>
      </c>
      <c r="Q79" s="66" t="inlineStr">
        <is>
          <t>PWC - PER Tech</t>
        </is>
      </c>
      <c r="R79" s="66" t="inlineStr">
        <is>
          <t>ONSITE</t>
        </is>
      </c>
    </row>
    <row r="80">
      <c r="N80" s="67" t="n">
        <v>47422</v>
      </c>
      <c r="P80" s="66" t="inlineStr">
        <is>
          <t>2540</t>
        </is>
      </c>
      <c r="Q80" s="66" t="inlineStr">
        <is>
          <t>PWC - SYD Tech</t>
        </is>
      </c>
      <c r="R80" s="66" t="inlineStr">
        <is>
          <t>ONSITE</t>
        </is>
      </c>
    </row>
    <row r="81">
      <c r="N81" s="67" t="n">
        <v>47452</v>
      </c>
      <c r="P81" s="66" t="inlineStr">
        <is>
          <t>2543</t>
        </is>
      </c>
      <c r="Q81" s="66" t="inlineStr">
        <is>
          <t>DTTL MEL Tech (PT)</t>
        </is>
      </c>
      <c r="R81" s="66" t="inlineStr">
        <is>
          <t>ONSITE</t>
        </is>
      </c>
    </row>
    <row r="82">
      <c r="N82" s="67" t="n">
        <v>47483</v>
      </c>
      <c r="P82" s="66" t="inlineStr">
        <is>
          <t>2591012</t>
        </is>
      </c>
      <c r="Q82" s="66" t="inlineStr">
        <is>
          <t>St. Luke's Non-chargeable</t>
        </is>
      </c>
      <c r="R82" s="66" t="inlineStr">
        <is>
          <t>PRODUCTION</t>
        </is>
      </c>
    </row>
    <row r="83">
      <c r="N83" s="67" t="n">
        <v>47514</v>
      </c>
      <c r="P83" s="66" t="inlineStr">
        <is>
          <t>2591012C</t>
        </is>
      </c>
      <c r="Q83" s="66" t="inlineStr">
        <is>
          <t>St. Luke's Church</t>
        </is>
      </c>
      <c r="R83" s="66" t="inlineStr">
        <is>
          <t>PRODUCTION</t>
        </is>
      </c>
    </row>
    <row r="84">
      <c r="N84" s="67" t="n">
        <v>47542</v>
      </c>
      <c r="P84" s="66" t="inlineStr">
        <is>
          <t>2593</t>
        </is>
      </c>
      <c r="Q84" s="66" t="inlineStr">
        <is>
          <t>PWC CBR Technician</t>
        </is>
      </c>
      <c r="R84" s="66" t="inlineStr">
        <is>
          <t>ONSITE</t>
        </is>
      </c>
    </row>
    <row r="85">
      <c r="N85" s="67" t="n">
        <v>47573</v>
      </c>
      <c r="P85" s="66" t="inlineStr">
        <is>
          <t>2598</t>
        </is>
      </c>
      <c r="Q85" s="66" t="inlineStr">
        <is>
          <t>DTTL WA Tech</t>
        </is>
      </c>
      <c r="R85" s="66" t="inlineStr">
        <is>
          <t>ONSITE</t>
        </is>
      </c>
    </row>
    <row r="86">
      <c r="N86" s="67" t="n">
        <v>47603</v>
      </c>
      <c r="P86" s="66" t="inlineStr">
        <is>
          <t>26011404</t>
        </is>
      </c>
      <c r="Q86" s="66" t="inlineStr">
        <is>
          <t>ASX CEO Connect (Extended Results) 1.9.26</t>
        </is>
      </c>
      <c r="R86" s="66" t="inlineStr">
        <is>
          <t>PRODUCTION</t>
        </is>
      </c>
    </row>
    <row r="87">
      <c r="N87" s="67" t="n">
        <v>47634</v>
      </c>
      <c r="P87" s="66" t="inlineStr">
        <is>
          <t>26011404V</t>
        </is>
      </c>
      <c r="Q87" s="66" t="inlineStr">
        <is>
          <t>ASX CEO Connect (Extended Results) 1.9.26</t>
        </is>
      </c>
      <c r="R87" s="66" t="inlineStr">
        <is>
          <t>VIDEO</t>
        </is>
      </c>
    </row>
    <row r="88">
      <c r="N88" s="67" t="n">
        <v>47664</v>
      </c>
      <c r="P88" s="66" t="inlineStr">
        <is>
          <t>26011407</t>
        </is>
      </c>
      <c r="Q88" s="66" t="inlineStr">
        <is>
          <t>ASX CEO Connect 27.10.26</t>
        </is>
      </c>
      <c r="R88" s="66" t="inlineStr">
        <is>
          <t>PRODUCTION</t>
        </is>
      </c>
    </row>
    <row r="89">
      <c r="N89" s="67" t="n">
        <v>47695</v>
      </c>
      <c r="P89" s="66" t="inlineStr">
        <is>
          <t>26011407V</t>
        </is>
      </c>
      <c r="Q89" s="66" t="inlineStr">
        <is>
          <t>ASX CEO Connect 27.10.26</t>
        </is>
      </c>
      <c r="R89" s="66" t="inlineStr">
        <is>
          <t>VIDEO</t>
        </is>
      </c>
    </row>
    <row r="90">
      <c r="N90" s="67" t="n">
        <v>47726</v>
      </c>
      <c r="P90" s="66" t="inlineStr">
        <is>
          <t>26011408</t>
        </is>
      </c>
      <c r="Q90" s="66" t="inlineStr">
        <is>
          <t>ASX CEO Connect 1.12.26</t>
        </is>
      </c>
      <c r="R90" s="66" t="inlineStr">
        <is>
          <t>PRODUCTION</t>
        </is>
      </c>
    </row>
    <row r="91">
      <c r="N91" s="67" t="n">
        <v>47756</v>
      </c>
      <c r="P91" s="66" t="inlineStr">
        <is>
          <t>26011408V</t>
        </is>
      </c>
      <c r="Q91" s="66" t="inlineStr">
        <is>
          <t>ASX CEO Connect 1.12.26</t>
        </is>
      </c>
      <c r="R91" s="66" t="inlineStr">
        <is>
          <t>VIDEO</t>
        </is>
      </c>
    </row>
    <row r="92">
      <c r="N92" s="67" t="n">
        <v>47787</v>
      </c>
      <c r="P92" s="66" t="inlineStr">
        <is>
          <t>26011409</t>
        </is>
      </c>
      <c r="Q92" s="66" t="inlineStr">
        <is>
          <t>ASX Investor Days Sydney &amp; Melbourne 2026</t>
        </is>
      </c>
      <c r="R92" s="66" t="inlineStr">
        <is>
          <t>PRODUCTION</t>
        </is>
      </c>
    </row>
    <row r="93">
      <c r="N93" s="67" t="n">
        <v>47817</v>
      </c>
      <c r="P93" s="66" t="inlineStr">
        <is>
          <t>26011501</t>
        </is>
      </c>
      <c r="Q93" s="66" t="inlineStr">
        <is>
          <t>ASX Refinitiv Charity Golf Classic H/L Vid 2026</t>
        </is>
      </c>
      <c r="R93" s="66" t="inlineStr">
        <is>
          <t>VIDEO</t>
        </is>
      </c>
    </row>
    <row r="94">
      <c r="N94" s="67" t="n">
        <v>47848</v>
      </c>
      <c r="P94" s="66" t="inlineStr">
        <is>
          <t>26011502</t>
        </is>
      </c>
      <c r="Q94" s="66" t="inlineStr">
        <is>
          <t>ASX Charity Regatta Highlights Video 2026</t>
        </is>
      </c>
      <c r="R94" s="66" t="inlineStr">
        <is>
          <t>VIDEO</t>
        </is>
      </c>
    </row>
    <row r="95">
      <c r="N95" s="67" t="n">
        <v>47879</v>
      </c>
      <c r="P95" s="66" t="inlineStr">
        <is>
          <t>26012301</t>
        </is>
      </c>
      <c r="Q95" s="66" t="inlineStr">
        <is>
          <t>PWC IT Support - Brisbane</t>
        </is>
      </c>
      <c r="R95" s="66" t="inlineStr">
        <is>
          <t>ONSITE</t>
        </is>
      </c>
    </row>
    <row r="96">
      <c r="N96" s="67" t="n">
        <v>47907</v>
      </c>
      <c r="P96" s="66" t="inlineStr">
        <is>
          <t>2601701</t>
        </is>
      </c>
      <c r="Q96" s="66" t="inlineStr">
        <is>
          <t>CEOi - TLP Brand Video</t>
        </is>
      </c>
      <c r="R96" s="66" t="inlineStr">
        <is>
          <t>VIDEO</t>
        </is>
      </c>
    </row>
    <row r="97">
      <c r="N97" s="67" t="n">
        <v>47938</v>
      </c>
      <c r="P97" s="66" t="inlineStr">
        <is>
          <t>26021602</t>
        </is>
      </c>
      <c r="Q97" s="66" t="inlineStr">
        <is>
          <t>Gen E ABS AV Support (Canberra)</t>
        </is>
      </c>
      <c r="R97" s="66" t="inlineStr">
        <is>
          <t>ONSITE</t>
        </is>
      </c>
    </row>
    <row r="98">
      <c r="N98" s="67" t="n">
        <v>47968</v>
      </c>
      <c r="P98" s="66" t="inlineStr">
        <is>
          <t>26021602N</t>
        </is>
      </c>
      <c r="Q98" s="66" t="inlineStr">
        <is>
          <t>Gen E ABS AV Support (Canberra) [ONS non-chargeable]</t>
        </is>
      </c>
      <c r="R98" s="66" t="inlineStr"/>
    </row>
    <row r="99">
      <c r="N99" s="67" t="n">
        <v>47999</v>
      </c>
      <c r="P99" s="66" t="inlineStr">
        <is>
          <t>26021801</t>
        </is>
      </c>
      <c r="Q99" s="66" t="inlineStr">
        <is>
          <t>Aware Super Seminar Room AV Upgrade</t>
        </is>
      </c>
      <c r="R99" s="66" t="inlineStr">
        <is>
          <t>INTEGRATION</t>
        </is>
      </c>
    </row>
    <row r="100">
      <c r="N100" s="67" t="n">
        <v>48029</v>
      </c>
      <c r="P100" s="66" t="inlineStr">
        <is>
          <t>2602203</t>
        </is>
      </c>
      <c r="Q100" s="66" t="inlineStr">
        <is>
          <t>YSG Studio Orange Room Upgrade</t>
        </is>
      </c>
      <c r="R100" s="66" t="inlineStr">
        <is>
          <t>CONSULTING</t>
        </is>
      </c>
    </row>
    <row r="101">
      <c r="P101" s="66" t="inlineStr">
        <is>
          <t>26022301</t>
        </is>
      </c>
      <c r="Q101" s="66" t="inlineStr">
        <is>
          <t>Aware Super AV Maintenance</t>
        </is>
      </c>
      <c r="R101" s="66" t="inlineStr">
        <is>
          <t>ONSITE</t>
        </is>
      </c>
    </row>
    <row r="102">
      <c r="P102" s="66" t="inlineStr">
        <is>
          <t>26022301C</t>
        </is>
      </c>
      <c r="Q102" s="66" t="inlineStr">
        <is>
          <t>Aware Super AV Maintenance</t>
        </is>
      </c>
      <c r="R102" s="66" t="inlineStr">
        <is>
          <t>CONSULTING</t>
        </is>
      </c>
    </row>
    <row r="103">
      <c r="P103" s="66" t="inlineStr">
        <is>
          <t>26022301NC</t>
        </is>
      </c>
      <c r="Q103" s="66" t="inlineStr">
        <is>
          <t>Aware Super AV Maintenance Non-chargeable</t>
        </is>
      </c>
      <c r="R103" s="66" t="inlineStr">
        <is>
          <t>ONSITE</t>
        </is>
      </c>
    </row>
    <row r="104">
      <c r="P104" s="66" t="inlineStr">
        <is>
          <t>26022301P</t>
        </is>
      </c>
      <c r="Q104" s="66" t="inlineStr">
        <is>
          <t>Aware Super AV Maintenance</t>
        </is>
      </c>
      <c r="R104" s="66" t="inlineStr">
        <is>
          <t>PRODUCTION</t>
        </is>
      </c>
    </row>
    <row r="105">
      <c r="P105" s="66" t="inlineStr">
        <is>
          <t>26022302</t>
        </is>
      </c>
      <c r="Q105" s="66" t="inlineStr">
        <is>
          <t>GP - Talking Philanthropy - 18.9.26</t>
        </is>
      </c>
      <c r="R105" s="66" t="inlineStr">
        <is>
          <t>PRODUCTION</t>
        </is>
      </c>
    </row>
    <row r="106">
      <c r="P106" s="66" t="inlineStr">
        <is>
          <t>26022302V</t>
        </is>
      </c>
      <c r="Q106" s="66" t="inlineStr">
        <is>
          <t>GP - Talking Philanthropy - 18.9.26</t>
        </is>
      </c>
      <c r="R106" s="66" t="inlineStr">
        <is>
          <t>VIDEO</t>
        </is>
      </c>
    </row>
    <row r="107">
      <c r="P107" s="66" t="inlineStr">
        <is>
          <t>26022601</t>
        </is>
      </c>
      <c r="Q107" s="66" t="inlineStr">
        <is>
          <t>ART - Annual Members Meeting - 25.11.26</t>
        </is>
      </c>
      <c r="R107" s="66" t="inlineStr">
        <is>
          <t>PRODUCTION</t>
        </is>
      </c>
    </row>
    <row r="108">
      <c r="P108" s="66" t="inlineStr">
        <is>
          <t>26022601V</t>
        </is>
      </c>
      <c r="Q108" s="66" t="inlineStr">
        <is>
          <t>ART - Annual Members Meeting - 25.11.26</t>
        </is>
      </c>
      <c r="R108" s="66" t="inlineStr">
        <is>
          <t>VIDEO</t>
        </is>
      </c>
    </row>
    <row r="109">
      <c r="P109" s="66" t="inlineStr">
        <is>
          <t>2602901</t>
        </is>
      </c>
      <c r="Q109" s="66" t="inlineStr">
        <is>
          <t>HP-Telstra: Phone Modification</t>
        </is>
      </c>
      <c r="R109" s="66" t="inlineStr">
        <is>
          <t>INTEGRATION</t>
        </is>
      </c>
    </row>
    <row r="110">
      <c r="P110" s="66" t="inlineStr">
        <is>
          <t>2603104</t>
        </is>
      </c>
      <c r="Q110" s="66" t="inlineStr">
        <is>
          <t>Cochlear FY26 Results 18.8.26</t>
        </is>
      </c>
      <c r="R110" s="66" t="inlineStr">
        <is>
          <t>PRODUCTION</t>
        </is>
      </c>
    </row>
    <row r="111">
      <c r="P111" s="66" t="inlineStr">
        <is>
          <t>2603104V</t>
        </is>
      </c>
      <c r="Q111" s="66" t="inlineStr">
        <is>
          <t>Cochlear FY26 Results 18.8.26</t>
        </is>
      </c>
      <c r="R111" s="66" t="inlineStr">
        <is>
          <t>VIDEO</t>
        </is>
      </c>
    </row>
    <row r="112">
      <c r="P112" s="66" t="inlineStr">
        <is>
          <t>2603105</t>
        </is>
      </c>
      <c r="Q112" s="66" t="inlineStr">
        <is>
          <t>Cochlear - AGM - 26.10.26</t>
        </is>
      </c>
      <c r="R112" s="66" t="inlineStr">
        <is>
          <t>PRODUCTION</t>
        </is>
      </c>
    </row>
    <row r="113">
      <c r="P113" s="66" t="inlineStr">
        <is>
          <t>2603105V</t>
        </is>
      </c>
      <c r="Q113" s="66" t="inlineStr">
        <is>
          <t>Cochlear - AGM - 26.10.26</t>
        </is>
      </c>
      <c r="R113" s="66" t="inlineStr">
        <is>
          <t>VIDEO</t>
        </is>
      </c>
    </row>
    <row r="114">
      <c r="P114" s="66" t="inlineStr">
        <is>
          <t>2603202</t>
        </is>
      </c>
      <c r="Q114" s="66" t="inlineStr">
        <is>
          <t>Property NSW 5 O’Keefe Ave Nowra Workplace Hub</t>
        </is>
      </c>
      <c r="R114" s="66" t="inlineStr">
        <is>
          <t>INTEGRATION</t>
        </is>
      </c>
    </row>
    <row r="115">
      <c r="P115" s="66" t="inlineStr">
        <is>
          <t>26032301</t>
        </is>
      </c>
      <c r="Q115" s="66" t="inlineStr">
        <is>
          <t>RSNSW - OGM - 1.7.2026</t>
        </is>
      </c>
      <c r="R115" s="66" t="inlineStr">
        <is>
          <t>PRODUCTION</t>
        </is>
      </c>
    </row>
    <row r="116">
      <c r="P116" s="66" t="inlineStr">
        <is>
          <t>26032301V</t>
        </is>
      </c>
      <c r="Q116" s="66" t="inlineStr">
        <is>
          <t>RSNSW - OGM - 1.7.2026</t>
        </is>
      </c>
      <c r="R116" s="66" t="inlineStr">
        <is>
          <t>VIDEO</t>
        </is>
      </c>
    </row>
    <row r="117">
      <c r="P117" s="66" t="inlineStr">
        <is>
          <t>26032302</t>
        </is>
      </c>
      <c r="Q117" s="66" t="inlineStr">
        <is>
          <t>RSNSW - OGM - 2.9.2026</t>
        </is>
      </c>
      <c r="R117" s="66" t="inlineStr">
        <is>
          <t>PRODUCTION</t>
        </is>
      </c>
    </row>
    <row r="118">
      <c r="P118" s="66" t="inlineStr">
        <is>
          <t>26032302V</t>
        </is>
      </c>
      <c r="Q118" s="66" t="inlineStr">
        <is>
          <t>RSNSW - OGM - 2.9.2026</t>
        </is>
      </c>
      <c r="R118" s="66" t="inlineStr">
        <is>
          <t>VIDEO</t>
        </is>
      </c>
    </row>
    <row r="119">
      <c r="P119" s="66" t="inlineStr">
        <is>
          <t>26032501</t>
        </is>
      </c>
      <c r="Q119" s="66" t="inlineStr">
        <is>
          <t>ChorusCall - Regal Partners AGM - 28.5.26</t>
        </is>
      </c>
      <c r="R119" s="66" t="inlineStr">
        <is>
          <t>PRODUCTION</t>
        </is>
      </c>
    </row>
    <row r="120">
      <c r="P120" s="66" t="inlineStr">
        <is>
          <t>26032502</t>
        </is>
      </c>
      <c r="Q120" s="66" t="inlineStr">
        <is>
          <t>3YS Owls - Governance Top 100 2026 - 30.10.26</t>
        </is>
      </c>
      <c r="R120" s="66" t="inlineStr">
        <is>
          <t>PRODUCTION</t>
        </is>
      </c>
    </row>
    <row r="121">
      <c r="P121" s="66" t="inlineStr">
        <is>
          <t>26032502V</t>
        </is>
      </c>
      <c r="Q121" s="66" t="inlineStr">
        <is>
          <t>3YS Owls - Governance Top 100 2026 - 30.10.26</t>
        </is>
      </c>
      <c r="R121" s="66" t="inlineStr">
        <is>
          <t>VIDEO</t>
        </is>
      </c>
    </row>
    <row r="122">
      <c r="P122" s="66" t="inlineStr">
        <is>
          <t>26032701</t>
        </is>
      </c>
      <c r="Q122" s="66" t="inlineStr">
        <is>
          <t>MUFG - A1N AGM - 7.5.26</t>
        </is>
      </c>
      <c r="R122" s="66" t="inlineStr">
        <is>
          <t>PRODUCTION</t>
        </is>
      </c>
    </row>
    <row r="123">
      <c r="P123" s="66" t="inlineStr">
        <is>
          <t>26032701V</t>
        </is>
      </c>
      <c r="Q123" s="66" t="inlineStr">
        <is>
          <t>MUFG - A1N AGM - 7.5.26</t>
        </is>
      </c>
      <c r="R123" s="66" t="inlineStr">
        <is>
          <t>VIDEO</t>
        </is>
      </c>
    </row>
    <row r="124">
      <c r="P124" s="66" t="inlineStr">
        <is>
          <t>26032702</t>
        </is>
      </c>
      <c r="Q124" s="66" t="inlineStr">
        <is>
          <t>Ventia Transport Australia and Ventia Networking 6.5.26</t>
        </is>
      </c>
      <c r="R124" s="66" t="inlineStr">
        <is>
          <t>PRODUCTION</t>
        </is>
      </c>
    </row>
    <row r="125">
      <c r="P125" s="66" t="inlineStr">
        <is>
          <t>26032704</t>
        </is>
      </c>
      <c r="Q125" s="66" t="inlineStr">
        <is>
          <t>CBA LES - April 2026</t>
        </is>
      </c>
      <c r="R125" s="66" t="inlineStr">
        <is>
          <t>PRODUCTION</t>
        </is>
      </c>
    </row>
    <row r="126">
      <c r="P126" s="66" t="inlineStr">
        <is>
          <t>26033003</t>
        </is>
      </c>
      <c r="Q126" s="66" t="inlineStr">
        <is>
          <t>DTTL 8PSQ Dream Big Microphones</t>
        </is>
      </c>
      <c r="R126" s="66" t="inlineStr">
        <is>
          <t>INTEGRATION</t>
        </is>
      </c>
    </row>
    <row r="127">
      <c r="P127" s="66" t="inlineStr">
        <is>
          <t>26033004</t>
        </is>
      </c>
      <c r="Q127" s="66" t="inlineStr">
        <is>
          <t>DTTL Melbourne Bluetooth Audio</t>
        </is>
      </c>
      <c r="R127" s="66" t="inlineStr">
        <is>
          <t>INTEGRATION</t>
        </is>
      </c>
    </row>
    <row r="128">
      <c r="P128" s="66" t="inlineStr">
        <is>
          <t>26033005</t>
        </is>
      </c>
      <c r="Q128" s="66" t="inlineStr">
        <is>
          <t>DTTL QQT &amp; 8PSQ Crestron Connect Adaptor</t>
        </is>
      </c>
      <c r="R128" s="66" t="inlineStr">
        <is>
          <t>INTEGRATION</t>
        </is>
      </c>
    </row>
    <row r="129">
      <c r="P129" s="66" t="inlineStr">
        <is>
          <t>26033006</t>
        </is>
      </c>
      <c r="Q129" s="66" t="inlineStr">
        <is>
          <t>DTTL 8PSQ Bluetooth Audio</t>
        </is>
      </c>
      <c r="R129" s="66" t="inlineStr">
        <is>
          <t>INTEGRATION</t>
        </is>
      </c>
    </row>
    <row r="130">
      <c r="P130" s="66" t="inlineStr">
        <is>
          <t>26033007</t>
        </is>
      </c>
      <c r="Q130" s="66" t="inlineStr">
        <is>
          <t>DTTL QQT Lv45 Seminar Wheels repair</t>
        </is>
      </c>
      <c r="R130" s="66" t="inlineStr">
        <is>
          <t>INTEGRATION</t>
        </is>
      </c>
    </row>
    <row r="131">
      <c r="P131" s="66" t="inlineStr">
        <is>
          <t>26033008</t>
        </is>
      </c>
      <c r="Q131" s="66" t="inlineStr">
        <is>
          <t>DTTL MEL Repair of Lv31 LED panels</t>
        </is>
      </c>
      <c r="R131" s="66" t="inlineStr">
        <is>
          <t>INTEGRATION</t>
        </is>
      </c>
    </row>
    <row r="132">
      <c r="P132" s="66" t="inlineStr">
        <is>
          <t>26041603</t>
        </is>
      </c>
      <c r="Q132" s="66" t="inlineStr">
        <is>
          <t>Optiver - Town Hall - 23.7.26</t>
        </is>
      </c>
      <c r="R132" s="66" t="inlineStr">
        <is>
          <t>PRODUCTION</t>
        </is>
      </c>
    </row>
    <row r="133">
      <c r="P133" s="66" t="inlineStr">
        <is>
          <t>26041603V</t>
        </is>
      </c>
      <c r="Q133" s="66" t="inlineStr">
        <is>
          <t>Optiver - Town Hall - 23.7.26</t>
        </is>
      </c>
      <c r="R133" s="66" t="inlineStr">
        <is>
          <t>VIDEO</t>
        </is>
      </c>
    </row>
    <row r="134">
      <c r="P134" s="66" t="inlineStr">
        <is>
          <t>26041701</t>
        </is>
      </c>
      <c r="Q134" s="66" t="inlineStr">
        <is>
          <t>N2 Dance End of Year Concert Videos 2026</t>
        </is>
      </c>
      <c r="R134" s="66" t="inlineStr">
        <is>
          <t>VIDEO</t>
        </is>
      </c>
    </row>
    <row r="135">
      <c r="P135" s="66" t="inlineStr">
        <is>
          <t>26042001</t>
        </is>
      </c>
      <c r="Q135" s="66" t="inlineStr">
        <is>
          <t>ASX - AGM - 22.10.26</t>
        </is>
      </c>
      <c r="R135" s="66" t="inlineStr">
        <is>
          <t>PRODUCTION</t>
        </is>
      </c>
    </row>
    <row r="136">
      <c r="P136" s="66" t="inlineStr">
        <is>
          <t>26042001V</t>
        </is>
      </c>
      <c r="Q136" s="66" t="inlineStr">
        <is>
          <t>ASX - AGM - 22.10.26</t>
        </is>
      </c>
      <c r="R136" s="66" t="inlineStr">
        <is>
          <t>VIDEO</t>
        </is>
      </c>
    </row>
    <row r="137">
      <c r="P137" s="66" t="inlineStr">
        <is>
          <t>2604201</t>
        </is>
      </c>
      <c r="Q137" s="66" t="inlineStr">
        <is>
          <t>Bankwest - Stage Hire - 27.5.2026</t>
        </is>
      </c>
      <c r="R137" s="66" t="inlineStr">
        <is>
          <t>PRODUCTION</t>
        </is>
      </c>
    </row>
    <row r="138">
      <c r="P138" s="66" t="inlineStr">
        <is>
          <t>2604202</t>
        </is>
      </c>
      <c r="Q138" s="66" t="inlineStr">
        <is>
          <t>Ventia - Ventia Awards - 30.7.26</t>
        </is>
      </c>
      <c r="R138" s="66" t="inlineStr">
        <is>
          <t>PRODUCTION</t>
        </is>
      </c>
    </row>
    <row r="139">
      <c r="P139" s="66" t="inlineStr">
        <is>
          <t>2604202V</t>
        </is>
      </c>
      <c r="Q139" s="66" t="inlineStr">
        <is>
          <t>Ventia - Ventia Awards - 30.7.26</t>
        </is>
      </c>
      <c r="R139" s="66" t="inlineStr">
        <is>
          <t>VIDEO</t>
        </is>
      </c>
    </row>
    <row r="140">
      <c r="P140" s="66" t="inlineStr">
        <is>
          <t>2604203V</t>
        </is>
      </c>
      <c r="Q140" s="66" t="inlineStr">
        <is>
          <t>Ventia - Investor Day - 4.5.2026</t>
        </is>
      </c>
      <c r="R140" s="66" t="inlineStr">
        <is>
          <t>VIDEO</t>
        </is>
      </c>
    </row>
    <row r="141">
      <c r="P141" s="66" t="inlineStr">
        <is>
          <t>2604204</t>
        </is>
      </c>
      <c r="Q141" s="66" t="inlineStr">
        <is>
          <t>Ventia - AGM - 21.5.26</t>
        </is>
      </c>
      <c r="R141" s="66" t="inlineStr">
        <is>
          <t>PRODUCTION</t>
        </is>
      </c>
    </row>
    <row r="142">
      <c r="P142" s="66" t="inlineStr">
        <is>
          <t>2604204V</t>
        </is>
      </c>
      <c r="Q142" s="66" t="inlineStr">
        <is>
          <t>Ventia - AGM - 21.5.26</t>
        </is>
      </c>
      <c r="R142" s="66" t="inlineStr">
        <is>
          <t>VIDEO</t>
        </is>
      </c>
    </row>
    <row r="143">
      <c r="P143" s="66" t="inlineStr">
        <is>
          <t>26042802</t>
        </is>
      </c>
      <c r="Q143" s="66" t="inlineStr">
        <is>
          <t>DTTL DAR Meeting Room Extension Cable Install</t>
        </is>
      </c>
      <c r="R143" s="66" t="inlineStr">
        <is>
          <t>INTEGRATION</t>
        </is>
      </c>
    </row>
    <row r="144">
      <c r="P144" s="66" t="inlineStr">
        <is>
          <t>26043001</t>
        </is>
      </c>
      <c r="Q144" s="66" t="inlineStr">
        <is>
          <t>CBA FT Tech MEL - 12 months</t>
        </is>
      </c>
      <c r="R144" s="66" t="inlineStr">
        <is>
          <t>ONSITE</t>
        </is>
      </c>
    </row>
    <row r="145">
      <c r="P145" s="66" t="inlineStr">
        <is>
          <t>26043002</t>
        </is>
      </c>
      <c r="Q145" s="66" t="inlineStr">
        <is>
          <t>CTS Town Hall</t>
        </is>
      </c>
      <c r="R145" s="66" t="inlineStr">
        <is>
          <t>CTS</t>
        </is>
      </c>
    </row>
    <row r="146">
      <c r="P146" s="66" t="inlineStr">
        <is>
          <t>26043003</t>
        </is>
      </c>
      <c r="Q146" s="66" t="inlineStr">
        <is>
          <t>PwC Screen Replacements SYD+MEL</t>
        </is>
      </c>
      <c r="R146" s="66" t="inlineStr">
        <is>
          <t>INTEGRATION</t>
        </is>
      </c>
    </row>
    <row r="147">
      <c r="P147" s="66" t="inlineStr">
        <is>
          <t>2604704</t>
        </is>
      </c>
      <c r="Q147" s="66" t="inlineStr">
        <is>
          <t>Aware Super Seminar Room Audio Upgrade</t>
        </is>
      </c>
      <c r="R147" s="66" t="inlineStr">
        <is>
          <t>INTEGRATION</t>
        </is>
      </c>
    </row>
    <row r="148">
      <c r="P148" s="66" t="inlineStr">
        <is>
          <t>2604802</t>
        </is>
      </c>
      <c r="Q148" s="66" t="inlineStr">
        <is>
          <t>PwC - Audio Support - 29.4.26</t>
        </is>
      </c>
      <c r="R148" s="66" t="inlineStr">
        <is>
          <t>PRODUCTION</t>
        </is>
      </c>
    </row>
    <row r="149">
      <c r="P149" s="66" t="inlineStr">
        <is>
          <t>26051101</t>
        </is>
      </c>
      <c r="Q149" s="66" t="inlineStr">
        <is>
          <t>DTTL Mardi Gras/Vivid Event 27/05/26</t>
        </is>
      </c>
      <c r="R149" s="66" t="inlineStr">
        <is>
          <t>PRODUCTION</t>
        </is>
      </c>
    </row>
    <row r="150">
      <c r="P150" s="66" t="inlineStr">
        <is>
          <t>26051101V</t>
        </is>
      </c>
      <c r="Q150" s="66" t="inlineStr">
        <is>
          <t>DTTL Mardi Gras/Vivid Event 27/05/26</t>
        </is>
      </c>
      <c r="R150" s="66" t="inlineStr">
        <is>
          <t>VIDEO</t>
        </is>
      </c>
    </row>
    <row r="151">
      <c r="P151" s="66" t="inlineStr">
        <is>
          <t>26051102</t>
        </is>
      </c>
      <c r="Q151" s="66" t="inlineStr">
        <is>
          <t>DTTL - CEO Roadshow - 1.6.26</t>
        </is>
      </c>
      <c r="R151" s="66" t="inlineStr">
        <is>
          <t>PRODUCTION</t>
        </is>
      </c>
    </row>
    <row r="152">
      <c r="P152" s="66" t="inlineStr">
        <is>
          <t>26051102V</t>
        </is>
      </c>
      <c r="Q152" s="66" t="inlineStr">
        <is>
          <t>DTTL - CEO Roadshow - 1.6.26</t>
        </is>
      </c>
      <c r="R152" s="66" t="inlineStr">
        <is>
          <t>VIDEO</t>
        </is>
      </c>
    </row>
    <row r="153">
      <c r="P153" s="66" t="inlineStr">
        <is>
          <t>26051103</t>
        </is>
      </c>
      <c r="Q153" s="66" t="inlineStr">
        <is>
          <t>PwC PER Studio Support 25.05.26</t>
        </is>
      </c>
      <c r="R153" s="66" t="inlineStr">
        <is>
          <t>PRODUCTION</t>
        </is>
      </c>
    </row>
    <row r="154">
      <c r="P154" s="66" t="inlineStr">
        <is>
          <t>26051103V</t>
        </is>
      </c>
      <c r="Q154" s="66" t="inlineStr">
        <is>
          <t>PwC PER Studio Support 25.05.26</t>
        </is>
      </c>
      <c r="R154" s="66" t="inlineStr">
        <is>
          <t>VIDEO</t>
        </is>
      </c>
    </row>
    <row r="155">
      <c r="P155" s="66" t="inlineStr">
        <is>
          <t>26051201</t>
        </is>
      </c>
      <c r="Q155" s="66" t="inlineStr">
        <is>
          <t>ASX CEO Farewell Highlights</t>
        </is>
      </c>
      <c r="R155" s="66" t="inlineStr">
        <is>
          <t>VIDEO</t>
        </is>
      </c>
    </row>
    <row r="156">
      <c r="P156" s="66" t="inlineStr">
        <is>
          <t>26051301</t>
        </is>
      </c>
      <c r="Q156" s="66" t="inlineStr">
        <is>
          <t>HP-BAE | Phone Mod</t>
        </is>
      </c>
      <c r="R156" s="66" t="inlineStr">
        <is>
          <t>INTEGRATION</t>
        </is>
      </c>
    </row>
    <row r="157">
      <c r="P157" s="66" t="inlineStr">
        <is>
          <t>26051401</t>
        </is>
      </c>
      <c r="Q157" s="66" t="inlineStr">
        <is>
          <t>ASX - Business Meeting - 27.5.26</t>
        </is>
      </c>
      <c r="R157" s="66" t="inlineStr">
        <is>
          <t>PRODUCTION</t>
        </is>
      </c>
    </row>
    <row r="158">
      <c r="P158" s="66" t="inlineStr">
        <is>
          <t>26051401V</t>
        </is>
      </c>
      <c r="Q158" s="66" t="inlineStr">
        <is>
          <t>ASX - Business Meeting - 27.5.26</t>
        </is>
      </c>
      <c r="R158" s="66" t="inlineStr">
        <is>
          <t>VIDEO</t>
        </is>
      </c>
    </row>
    <row r="159">
      <c r="P159" s="66" t="inlineStr">
        <is>
          <t>26051402</t>
        </is>
      </c>
      <c r="Q159" s="66" t="inlineStr">
        <is>
          <t>PwC Foldback Monitor Hire</t>
        </is>
      </c>
      <c r="R159" s="66" t="inlineStr">
        <is>
          <t>PRODUCTION</t>
        </is>
      </c>
    </row>
    <row r="160">
      <c r="P160" s="66" t="inlineStr">
        <is>
          <t>26051801</t>
        </is>
      </c>
      <c r="Q160" s="66" t="inlineStr">
        <is>
          <t>PwC | Mel Studio Equipment</t>
        </is>
      </c>
      <c r="R160" s="66" t="inlineStr">
        <is>
          <t>INTEGRATION</t>
        </is>
      </c>
    </row>
    <row r="161">
      <c r="P161" s="66" t="inlineStr">
        <is>
          <t>26051803</t>
        </is>
      </c>
      <c r="Q161" s="66" t="inlineStr">
        <is>
          <t>AVIT - Taronga ZOO AV Support - May 2026</t>
        </is>
      </c>
      <c r="R161" s="66" t="inlineStr">
        <is>
          <t>PRODUCTION</t>
        </is>
      </c>
    </row>
    <row r="162">
      <c r="P162" s="66" t="inlineStr">
        <is>
          <t>26052001</t>
        </is>
      </c>
      <c r="Q162" s="66" t="inlineStr">
        <is>
          <t>MeetMagic - AI Behaviour Event - 29.5.26</t>
        </is>
      </c>
      <c r="R162" s="66" t="inlineStr">
        <is>
          <t>PRODUCTION</t>
        </is>
      </c>
    </row>
    <row r="163">
      <c r="P163" s="66" t="inlineStr">
        <is>
          <t>26052001V</t>
        </is>
      </c>
      <c r="Q163" s="66" t="inlineStr">
        <is>
          <t>MeetMagic - AI Behaviour Event - 29.5.26</t>
        </is>
      </c>
      <c r="R163" s="66" t="inlineStr">
        <is>
          <t>VIDEO</t>
        </is>
      </c>
    </row>
    <row r="164">
      <c r="P164" s="66" t="inlineStr">
        <is>
          <t>26052002</t>
        </is>
      </c>
      <c r="Q164" s="66" t="inlineStr">
        <is>
          <t>DTTL BNE L23 Training Rooms Upgrade</t>
        </is>
      </c>
      <c r="R164" s="66" t="inlineStr">
        <is>
          <t>INTEGRATION</t>
        </is>
      </c>
    </row>
    <row r="165">
      <c r="P165" s="66" t="inlineStr">
        <is>
          <t>26052003</t>
        </is>
      </c>
      <c r="Q165" s="66" t="inlineStr">
        <is>
          <t>DTTL Mobile Commbox Displays</t>
        </is>
      </c>
      <c r="R165" s="66" t="inlineStr">
        <is>
          <t>INTEGRATION</t>
        </is>
      </c>
    </row>
    <row r="166">
      <c r="P166" s="66" t="inlineStr">
        <is>
          <t>26052004</t>
        </is>
      </c>
      <c r="Q166" s="66" t="inlineStr">
        <is>
          <t>CBA - Live Event Support - June 2026</t>
        </is>
      </c>
      <c r="R166" s="66" t="inlineStr">
        <is>
          <t>PRODUCTION</t>
        </is>
      </c>
    </row>
    <row r="167">
      <c r="P167" s="66" t="inlineStr">
        <is>
          <t>26052101</t>
        </is>
      </c>
      <c r="Q167" s="66" t="inlineStr">
        <is>
          <t>MeetMagic - Human AI Event Highlights</t>
        </is>
      </c>
      <c r="R167" s="66" t="inlineStr">
        <is>
          <t>VIDEO</t>
        </is>
      </c>
    </row>
    <row r="168">
      <c r="P168" s="66" t="inlineStr">
        <is>
          <t>26052102</t>
        </is>
      </c>
      <c r="Q168" s="66" t="inlineStr">
        <is>
          <t>HP-D3 | Austrac Phone Mods</t>
        </is>
      </c>
      <c r="R168" s="66" t="inlineStr">
        <is>
          <t>INTEGRATION</t>
        </is>
      </c>
    </row>
    <row r="169">
      <c r="P169" s="66" t="inlineStr">
        <is>
          <t>26052103</t>
        </is>
      </c>
      <c r="Q169" s="66" t="inlineStr">
        <is>
          <t>Ventia - LTI FY26 Video Record</t>
        </is>
      </c>
      <c r="R169" s="66" t="inlineStr">
        <is>
          <t>VIDEO</t>
        </is>
      </c>
    </row>
    <row r="170">
      <c r="P170" s="66" t="inlineStr">
        <is>
          <t>26052501V</t>
        </is>
      </c>
      <c r="Q170" s="66" t="inlineStr">
        <is>
          <t>AVIT - Taronga AV Event Support - 26-27.5.26</t>
        </is>
      </c>
      <c r="R170" s="66" t="inlineStr">
        <is>
          <t>VIDEO</t>
        </is>
      </c>
    </row>
    <row r="171">
      <c r="P171" s="66" t="inlineStr">
        <is>
          <t>26052502</t>
        </is>
      </c>
      <c r="Q171" s="66" t="inlineStr">
        <is>
          <t>AVIT - Taronga AV Event Support 4-5.06.26</t>
        </is>
      </c>
      <c r="R171" s="66" t="inlineStr">
        <is>
          <t>PRODUCTION</t>
        </is>
      </c>
    </row>
    <row r="172">
      <c r="P172" s="66" t="inlineStr">
        <is>
          <t>26052502V</t>
        </is>
      </c>
      <c r="Q172" s="66" t="inlineStr">
        <is>
          <t>AVIT - Taronga AV Event Support 4-5.06.26</t>
        </is>
      </c>
      <c r="R172" s="66" t="inlineStr">
        <is>
          <t>VIDEO</t>
        </is>
      </c>
    </row>
    <row r="173">
      <c r="P173" s="66" t="inlineStr">
        <is>
          <t>26052602</t>
        </is>
      </c>
      <c r="Q173" s="66" t="inlineStr">
        <is>
          <t>DTTL MEL Display Supply</t>
        </is>
      </c>
      <c r="R173" s="66" t="inlineStr">
        <is>
          <t>INTEGRATION</t>
        </is>
      </c>
    </row>
    <row r="174">
      <c r="P174" s="66" t="inlineStr">
        <is>
          <t>26052701</t>
        </is>
      </c>
      <c r="Q174" s="66" t="inlineStr">
        <is>
          <t>Aware | SYD 28.06 Equipment</t>
        </is>
      </c>
      <c r="R174" s="66" t="inlineStr">
        <is>
          <t>INTEGRATION</t>
        </is>
      </c>
    </row>
    <row r="175">
      <c r="P175" s="66" t="inlineStr">
        <is>
          <t>26052702</t>
        </is>
      </c>
      <c r="Q175" s="66" t="inlineStr">
        <is>
          <t>ASX - FYR - 13.8.26</t>
        </is>
      </c>
      <c r="R175" s="66" t="inlineStr">
        <is>
          <t>PRODUCTION</t>
        </is>
      </c>
    </row>
    <row r="176">
      <c r="P176" s="66" t="inlineStr">
        <is>
          <t>26052702V</t>
        </is>
      </c>
      <c r="Q176" s="66" t="inlineStr">
        <is>
          <t>ASX - FYR - 13.8.26</t>
        </is>
      </c>
      <c r="R176" s="66" t="inlineStr">
        <is>
          <t>VIDEO</t>
        </is>
      </c>
    </row>
    <row r="177">
      <c r="P177" s="66" t="inlineStr">
        <is>
          <t>26052703</t>
        </is>
      </c>
      <c r="Q177" s="66" t="inlineStr">
        <is>
          <t>Microsoft Town Hall - 21.7.26</t>
        </is>
      </c>
      <c r="R177" s="66" t="inlineStr">
        <is>
          <t>PRODUCTION</t>
        </is>
      </c>
    </row>
    <row r="178">
      <c r="P178" s="66" t="inlineStr">
        <is>
          <t>26052703V</t>
        </is>
      </c>
      <c r="Q178" s="66" t="inlineStr">
        <is>
          <t>Microsoft Town Hall - 21.7.26</t>
        </is>
      </c>
      <c r="R178" s="66" t="inlineStr">
        <is>
          <t>VIDEO</t>
        </is>
      </c>
    </row>
    <row r="179">
      <c r="P179" s="66" t="inlineStr">
        <is>
          <t>26052704</t>
        </is>
      </c>
      <c r="Q179" s="66" t="inlineStr">
        <is>
          <t>AVIT - Pinsent Masons Technician Callout</t>
        </is>
      </c>
      <c r="R179" s="66" t="inlineStr">
        <is>
          <t>ONSITE</t>
        </is>
      </c>
    </row>
    <row r="180">
      <c r="P180" s="66" t="inlineStr">
        <is>
          <t>26052901</t>
        </is>
      </c>
      <c r="Q180" s="66" t="inlineStr">
        <is>
          <t>Causeway Productions - Stool Hire - 1.6.27</t>
        </is>
      </c>
      <c r="R180" s="66" t="inlineStr">
        <is>
          <t>PRODUCTION</t>
        </is>
      </c>
    </row>
    <row r="181">
      <c r="P181" s="66" t="inlineStr">
        <is>
          <t>26052901V</t>
        </is>
      </c>
      <c r="Q181" s="66" t="inlineStr">
        <is>
          <t>Causeway Productions - Stool Hire - 1.6.27</t>
        </is>
      </c>
      <c r="R181" s="66" t="inlineStr">
        <is>
          <t>VIDEO</t>
        </is>
      </c>
    </row>
    <row r="182">
      <c r="P182" s="66" t="inlineStr">
        <is>
          <t>2605401</t>
        </is>
      </c>
      <c r="Q182" s="66" t="inlineStr">
        <is>
          <t>AGL FYR - Investor Briefing - 12.8.26</t>
        </is>
      </c>
      <c r="R182" s="66" t="inlineStr">
        <is>
          <t>PRODUCTION</t>
        </is>
      </c>
    </row>
    <row r="183">
      <c r="P183" s="66" t="inlineStr">
        <is>
          <t>2605401V</t>
        </is>
      </c>
      <c r="Q183" s="66" t="inlineStr">
        <is>
          <t>AGL FYR - Investor Briefing - 12.8.26</t>
        </is>
      </c>
      <c r="R183" s="66" t="inlineStr">
        <is>
          <t>VIDEO</t>
        </is>
      </c>
    </row>
    <row r="184">
      <c r="P184" s="66" t="inlineStr">
        <is>
          <t>2605402</t>
        </is>
      </c>
      <c r="Q184" s="66" t="inlineStr">
        <is>
          <t>AGL FYR - Employee Town Hall - 12.8.26</t>
        </is>
      </c>
      <c r="R184" s="66" t="inlineStr">
        <is>
          <t>PRODUCTION</t>
        </is>
      </c>
    </row>
    <row r="185">
      <c r="P185" s="66" t="inlineStr">
        <is>
          <t>2605402V</t>
        </is>
      </c>
      <c r="Q185" s="66" t="inlineStr">
        <is>
          <t>AGL FYR - Employee Town Hall - 12.8.26</t>
        </is>
      </c>
      <c r="R185" s="66" t="inlineStr">
        <is>
          <t>VIDEO</t>
        </is>
      </c>
    </row>
    <row r="186">
      <c r="P186" s="66" t="inlineStr">
        <is>
          <t>2605403</t>
        </is>
      </c>
      <c r="Q186" s="66" t="inlineStr">
        <is>
          <t>ARUP - Oves Awards - 23.7.26</t>
        </is>
      </c>
      <c r="R186" s="66" t="inlineStr">
        <is>
          <t>PRODUCTION</t>
        </is>
      </c>
    </row>
    <row r="187">
      <c r="P187" s="66" t="inlineStr">
        <is>
          <t>2605403V</t>
        </is>
      </c>
      <c r="Q187" s="66" t="inlineStr">
        <is>
          <t>ARUP - Oves Awards - 23.7.26</t>
        </is>
      </c>
      <c r="R187" s="66" t="inlineStr">
        <is>
          <t>VIDEO</t>
        </is>
      </c>
    </row>
    <row r="188">
      <c r="P188" s="66" t="inlineStr">
        <is>
          <t>2605501</t>
        </is>
      </c>
      <c r="Q188" s="66" t="inlineStr">
        <is>
          <t>DTTL Tech Support AWS AP AI Symposium</t>
        </is>
      </c>
      <c r="R188" s="66" t="inlineStr">
        <is>
          <t>ONSITE</t>
        </is>
      </c>
    </row>
    <row r="189">
      <c r="P189" s="66" t="inlineStr">
        <is>
          <t>2605502</t>
        </is>
      </c>
      <c r="Q189" s="66" t="inlineStr">
        <is>
          <t>CBA BNE - Event Support - 13.5.26</t>
        </is>
      </c>
      <c r="R189" s="66" t="inlineStr">
        <is>
          <t>PRODUCTION</t>
        </is>
      </c>
    </row>
    <row r="190">
      <c r="P190" s="66" t="inlineStr">
        <is>
          <t>2605502V</t>
        </is>
      </c>
      <c r="Q190" s="66" t="inlineStr">
        <is>
          <t>CBA BNE - Event Support - 13.5.26</t>
        </is>
      </c>
      <c r="R190" s="66" t="inlineStr">
        <is>
          <t>VIDEO</t>
        </is>
      </c>
    </row>
    <row r="191">
      <c r="P191" s="66" t="inlineStr">
        <is>
          <t>2605503</t>
        </is>
      </c>
      <c r="Q191" s="66" t="inlineStr">
        <is>
          <t>DTTL L31 reception Led Wall Audio DSP Repair</t>
        </is>
      </c>
      <c r="R191" s="66" t="inlineStr">
        <is>
          <t>INTEGRATION</t>
        </is>
      </c>
    </row>
    <row r="192">
      <c r="P192" s="66" t="inlineStr">
        <is>
          <t>2605605</t>
        </is>
      </c>
      <c r="Q192" s="66" t="inlineStr">
        <is>
          <t>DTTL Hobart AV Fitout</t>
        </is>
      </c>
      <c r="R192" s="66" t="inlineStr">
        <is>
          <t>INTEGRATION</t>
        </is>
      </c>
    </row>
    <row r="193">
      <c r="P193" s="66" t="inlineStr">
        <is>
          <t>2605606</t>
        </is>
      </c>
      <c r="Q193" s="66" t="inlineStr">
        <is>
          <t>Ventia Internal Townhall 8.05.26</t>
        </is>
      </c>
      <c r="R193" s="66" t="inlineStr">
        <is>
          <t>PRODUCTION</t>
        </is>
      </c>
    </row>
    <row r="194">
      <c r="P194" s="66" t="inlineStr">
        <is>
          <t>2605606V</t>
        </is>
      </c>
      <c r="Q194" s="66" t="inlineStr">
        <is>
          <t>Ventia Internal Townhall 8.05.26</t>
        </is>
      </c>
      <c r="R194" s="66" t="inlineStr">
        <is>
          <t>VIDEO</t>
        </is>
      </c>
    </row>
    <row r="195">
      <c r="P195" s="66" t="inlineStr">
        <is>
          <t>2605609</t>
        </is>
      </c>
      <c r="Q195" s="66" t="inlineStr">
        <is>
          <t>ASX - CEO Farewell - 27.5.26</t>
        </is>
      </c>
      <c r="R195" s="66" t="inlineStr">
        <is>
          <t>PRODUCTION</t>
        </is>
      </c>
    </row>
    <row r="196">
      <c r="P196" s="66" t="inlineStr">
        <is>
          <t>2605609V</t>
        </is>
      </c>
      <c r="Q196" s="66" t="inlineStr">
        <is>
          <t>ASX - CEO Farewell - 27.5.26</t>
        </is>
      </c>
      <c r="R196" s="66" t="inlineStr">
        <is>
          <t>VIDEO</t>
        </is>
      </c>
    </row>
    <row r="197">
      <c r="P197" s="66" t="inlineStr">
        <is>
          <t>2605610</t>
        </is>
      </c>
      <c r="Q197" s="66" t="inlineStr">
        <is>
          <t>ASX CEO Farewell Additional Costs</t>
        </is>
      </c>
      <c r="R197" s="66" t="inlineStr">
        <is>
          <t>PRODUCTION</t>
        </is>
      </c>
    </row>
    <row r="198">
      <c r="P198" s="66" t="inlineStr">
        <is>
          <t>2605704</t>
        </is>
      </c>
      <c r="Q198" s="66" t="inlineStr">
        <is>
          <t>CBA CBPS Auditorium Upgrade</t>
        </is>
      </c>
      <c r="R198" s="66" t="inlineStr">
        <is>
          <t>INTEGRATION</t>
        </is>
      </c>
    </row>
    <row r="199">
      <c r="P199" s="66" t="inlineStr">
        <is>
          <t>2605801</t>
        </is>
      </c>
      <c r="Q199" s="66" t="inlineStr">
        <is>
          <t>Dimensional - AV Support - 3-4.6.26</t>
        </is>
      </c>
      <c r="R199" s="66" t="inlineStr">
        <is>
          <t>PRODUCTION</t>
        </is>
      </c>
    </row>
    <row r="200">
      <c r="P200" s="66" t="inlineStr">
        <is>
          <t>2605803</t>
        </is>
      </c>
      <c r="Q200" s="66" t="inlineStr">
        <is>
          <t>St Catherine's - Dedicated Tech - 12.6.26</t>
        </is>
      </c>
      <c r="R200" s="66" t="inlineStr">
        <is>
          <t>PRODUCTION</t>
        </is>
      </c>
    </row>
    <row r="201">
      <c r="P201" s="66" t="inlineStr">
        <is>
          <t>2605804</t>
        </is>
      </c>
      <c r="Q201" s="66" t="inlineStr">
        <is>
          <t>City of Sydney Supply of Barco Projector Shutters</t>
        </is>
      </c>
      <c r="R201" s="66" t="inlineStr">
        <is>
          <t>INTEGRATION</t>
        </is>
      </c>
    </row>
    <row r="202">
      <c r="P202" s="66" t="inlineStr">
        <is>
          <t>2605806</t>
        </is>
      </c>
      <c r="Q202" s="66" t="inlineStr">
        <is>
          <t>Aware Super AV Fitout @ 555 Collins Street MEL</t>
        </is>
      </c>
      <c r="R202" s="66" t="inlineStr">
        <is>
          <t>INTEGRATION</t>
        </is>
      </c>
    </row>
    <row r="203">
      <c r="P203" s="66" t="inlineStr">
        <is>
          <t>26061001</t>
        </is>
      </c>
      <c r="Q203" s="66" t="inlineStr">
        <is>
          <t>Garvan August All Clear Event 25.8.26</t>
        </is>
      </c>
      <c r="R203" s="66" t="inlineStr">
        <is>
          <t>PRODUCTION</t>
        </is>
      </c>
    </row>
    <row r="204">
      <c r="P204" s="66" t="inlineStr">
        <is>
          <t>26061002</t>
        </is>
      </c>
      <c r="Q204" s="66" t="inlineStr">
        <is>
          <t>Optiver - Fireside Event Support - 18.6.26</t>
        </is>
      </c>
      <c r="R204" s="66" t="inlineStr">
        <is>
          <t>PRODUCTION</t>
        </is>
      </c>
    </row>
    <row r="205">
      <c r="P205" s="66" t="inlineStr">
        <is>
          <t>26061002V</t>
        </is>
      </c>
      <c r="Q205" s="66" t="inlineStr">
        <is>
          <t>Optiver - Fireside Event Support - 18.6.26</t>
        </is>
      </c>
      <c r="R205" s="66" t="inlineStr">
        <is>
          <t>VIDEO</t>
        </is>
      </c>
    </row>
    <row r="206">
      <c r="P206" s="66" t="inlineStr">
        <is>
          <t>26061102</t>
        </is>
      </c>
      <c r="Q206" s="66" t="inlineStr">
        <is>
          <t>CSE Invest Sri Lanka | 16.8.26</t>
        </is>
      </c>
      <c r="R206" s="66" t="inlineStr">
        <is>
          <t>PRODUCTION</t>
        </is>
      </c>
    </row>
    <row r="207">
      <c r="P207" s="66" t="inlineStr">
        <is>
          <t>26061102V</t>
        </is>
      </c>
      <c r="Q207" s="66" t="inlineStr">
        <is>
          <t>CSE Invest Sri Lanka | 16.8.26</t>
        </is>
      </c>
      <c r="R207" s="66" t="inlineStr">
        <is>
          <t>VIDEO</t>
        </is>
      </c>
    </row>
    <row r="208">
      <c r="P208" s="66" t="inlineStr">
        <is>
          <t>26061103</t>
        </is>
      </c>
      <c r="Q208" s="66" t="inlineStr">
        <is>
          <t>Circadia Australia Elevate | 14.8.26</t>
        </is>
      </c>
      <c r="R208" s="66" t="inlineStr">
        <is>
          <t>PRODUCTION</t>
        </is>
      </c>
    </row>
    <row r="209">
      <c r="P209" s="66" t="inlineStr">
        <is>
          <t>26061103V</t>
        </is>
      </c>
      <c r="Q209" s="66" t="inlineStr">
        <is>
          <t>Circadia Australia Elevate | 14.8.26</t>
        </is>
      </c>
      <c r="R209" s="66" t="inlineStr">
        <is>
          <t>VIDEO</t>
        </is>
      </c>
    </row>
    <row r="210">
      <c r="P210" s="66" t="inlineStr">
        <is>
          <t>26061104</t>
        </is>
      </c>
      <c r="Q210" s="66" t="inlineStr">
        <is>
          <t>MUFG - FYR26 - 12.8.26</t>
        </is>
      </c>
      <c r="R210" s="66" t="inlineStr">
        <is>
          <t>PRODUCTION</t>
        </is>
      </c>
    </row>
    <row r="211">
      <c r="P211" s="66" t="inlineStr">
        <is>
          <t>26061104V</t>
        </is>
      </c>
      <c r="Q211" s="66" t="inlineStr">
        <is>
          <t>MUFG - FYR26 - 12.8.26</t>
        </is>
      </c>
      <c r="R211" s="66" t="inlineStr">
        <is>
          <t>VIDEO</t>
        </is>
      </c>
    </row>
    <row r="212">
      <c r="P212" s="66" t="inlineStr">
        <is>
          <t>26061105</t>
        </is>
      </c>
      <c r="Q212" s="66" t="inlineStr">
        <is>
          <t>CBA - FYR 2026 - 12.8.26</t>
        </is>
      </c>
      <c r="R212" s="66" t="inlineStr">
        <is>
          <t>PRODUCTION</t>
        </is>
      </c>
    </row>
    <row r="213">
      <c r="P213" s="66" t="inlineStr">
        <is>
          <t>26061105V</t>
        </is>
      </c>
      <c r="Q213" s="66" t="inlineStr">
        <is>
          <t>CBA - FYR 2026 - 12.8.26</t>
        </is>
      </c>
      <c r="R213" s="66" t="inlineStr">
        <is>
          <t>VIDEO</t>
        </is>
      </c>
    </row>
    <row r="214">
      <c r="P214" s="66" t="inlineStr">
        <is>
          <t>26061106</t>
        </is>
      </c>
      <c r="Q214" s="66" t="inlineStr">
        <is>
          <t>TLC Full Year Results MEL</t>
        </is>
      </c>
      <c r="R214" s="66" t="inlineStr">
        <is>
          <t>PRODUCTION</t>
        </is>
      </c>
    </row>
    <row r="215">
      <c r="P215" s="66" t="inlineStr">
        <is>
          <t>26061106V</t>
        </is>
      </c>
      <c r="Q215" s="66" t="inlineStr">
        <is>
          <t>TLC Full Year Results MEL</t>
        </is>
      </c>
      <c r="R215" s="66" t="inlineStr">
        <is>
          <t>VIDEO</t>
        </is>
      </c>
    </row>
    <row r="216">
      <c r="P216" s="66" t="inlineStr">
        <is>
          <t>26061107</t>
        </is>
      </c>
      <c r="Q216" s="66" t="inlineStr">
        <is>
          <t>Downer - FYR 2026 - 20.8.26</t>
        </is>
      </c>
      <c r="R216" s="66" t="inlineStr">
        <is>
          <t>PRODUCTION</t>
        </is>
      </c>
    </row>
    <row r="217">
      <c r="P217" s="66" t="inlineStr">
        <is>
          <t>26061107V</t>
        </is>
      </c>
      <c r="Q217" s="66" t="inlineStr">
        <is>
          <t>Downer - FYR 2026 - 20.8.26</t>
        </is>
      </c>
      <c r="R217" s="66" t="inlineStr">
        <is>
          <t>VIDEO</t>
        </is>
      </c>
    </row>
    <row r="218">
      <c r="P218" s="66" t="inlineStr">
        <is>
          <t>26061108</t>
        </is>
      </c>
      <c r="Q218" s="66" t="inlineStr">
        <is>
          <t>APA - Qtly All Hands FYR26 - 20.8.26</t>
        </is>
      </c>
      <c r="R218" s="66" t="inlineStr">
        <is>
          <t>PRODUCTION</t>
        </is>
      </c>
    </row>
    <row r="219">
      <c r="P219" s="66" t="inlineStr">
        <is>
          <t>26061108V</t>
        </is>
      </c>
      <c r="Q219" s="66" t="inlineStr">
        <is>
          <t>APA - Qtly All Hands FYR26 - 20.8.26</t>
        </is>
      </c>
      <c r="R219" s="66" t="inlineStr">
        <is>
          <t>VIDEO</t>
        </is>
      </c>
    </row>
    <row r="220">
      <c r="P220" s="66" t="inlineStr">
        <is>
          <t>26061109</t>
        </is>
      </c>
      <c r="Q220" s="66" t="inlineStr">
        <is>
          <t>Ventia - FYR26 - 24.8.26</t>
        </is>
      </c>
      <c r="R220" s="66" t="inlineStr">
        <is>
          <t>PRODUCTION</t>
        </is>
      </c>
    </row>
    <row r="221">
      <c r="P221" s="66" t="inlineStr">
        <is>
          <t>26061109V</t>
        </is>
      </c>
      <c r="Q221" s="66" t="inlineStr">
        <is>
          <t>Ventia - FYR26 - 24.8.26</t>
        </is>
      </c>
      <c r="R221" s="66" t="inlineStr">
        <is>
          <t>VIDEO</t>
        </is>
      </c>
    </row>
    <row r="222">
      <c r="P222" s="66" t="inlineStr">
        <is>
          <t>26061201</t>
        </is>
      </c>
      <c r="Q222" s="66" t="inlineStr">
        <is>
          <t>PWC - Firmwide Webcast - 30.6.26</t>
        </is>
      </c>
      <c r="R222" s="66" t="inlineStr">
        <is>
          <t>PRODUCTION</t>
        </is>
      </c>
    </row>
    <row r="223">
      <c r="P223" s="66" t="inlineStr">
        <is>
          <t>26061201V</t>
        </is>
      </c>
      <c r="Q223" s="66" t="inlineStr">
        <is>
          <t>PWC - Firmwide Webcast - 30.6.26</t>
        </is>
      </c>
      <c r="R223" s="66" t="inlineStr">
        <is>
          <t>VIDEO</t>
        </is>
      </c>
    </row>
    <row r="224">
      <c r="P224" s="66" t="inlineStr">
        <is>
          <t>26061202</t>
        </is>
      </c>
      <c r="Q224" s="66" t="inlineStr">
        <is>
          <t>CBA AGM 2027</t>
        </is>
      </c>
      <c r="R224" s="66" t="inlineStr">
        <is>
          <t>PRODUCTION</t>
        </is>
      </c>
    </row>
    <row r="225">
      <c r="P225" s="66" t="inlineStr">
        <is>
          <t>26061202V</t>
        </is>
      </c>
      <c r="Q225" s="66" t="inlineStr">
        <is>
          <t>CBA AGM 2027</t>
        </is>
      </c>
      <c r="R225" s="66" t="inlineStr">
        <is>
          <t>VIDEO</t>
        </is>
      </c>
    </row>
    <row r="226">
      <c r="P226" s="66" t="inlineStr">
        <is>
          <t>26061501</t>
        </is>
      </c>
      <c r="Q226" s="66" t="inlineStr">
        <is>
          <t>DTTL MEL Lv29 Display Supply</t>
        </is>
      </c>
      <c r="R226" s="66" t="inlineStr">
        <is>
          <t>INTEGRATION</t>
        </is>
      </c>
    </row>
    <row r="227">
      <c r="P227" s="66" t="inlineStr">
        <is>
          <t>26061602</t>
        </is>
      </c>
      <c r="Q227" s="66" t="inlineStr">
        <is>
          <t>ASX - CEO Connect (Extended) - 1.9.26</t>
        </is>
      </c>
      <c r="R227" s="66" t="inlineStr">
        <is>
          <t>PRODUCTION</t>
        </is>
      </c>
    </row>
    <row r="228">
      <c r="P228" s="66" t="inlineStr">
        <is>
          <t>26061602V</t>
        </is>
      </c>
      <c r="Q228" s="66" t="inlineStr">
        <is>
          <t>ASX - CEO Connect (Extended) - 1.9.26</t>
        </is>
      </c>
      <c r="R228" s="66" t="inlineStr">
        <is>
          <t>VIDEO</t>
        </is>
      </c>
    </row>
    <row r="229">
      <c r="P229" s="66" t="inlineStr">
        <is>
          <t>26061605</t>
        </is>
      </c>
      <c r="Q229" s="66" t="inlineStr">
        <is>
          <t>MUFG - IBM Ltd AGM - 27.10.26</t>
        </is>
      </c>
      <c r="R229" s="66" t="inlineStr">
        <is>
          <t>PRODUCTION</t>
        </is>
      </c>
    </row>
    <row r="230">
      <c r="P230" s="66" t="inlineStr">
        <is>
          <t>26061605V</t>
        </is>
      </c>
      <c r="Q230" s="66" t="inlineStr">
        <is>
          <t>MUFG - IBM Ltd AGM - 27.10.26</t>
        </is>
      </c>
      <c r="R230" s="66" t="inlineStr">
        <is>
          <t>VIDEO</t>
        </is>
      </c>
    </row>
    <row r="231">
      <c r="P231" s="66" t="inlineStr">
        <is>
          <t>26061606</t>
        </is>
      </c>
      <c r="Q231" s="66" t="inlineStr">
        <is>
          <t>MUFG - Endeavour AGM - 30.10.26</t>
        </is>
      </c>
      <c r="R231" s="66" t="inlineStr">
        <is>
          <t>PRODUCTION</t>
        </is>
      </c>
    </row>
    <row r="232">
      <c r="P232" s="66" t="inlineStr">
        <is>
          <t>26061606V</t>
        </is>
      </c>
      <c r="Q232" s="66" t="inlineStr">
        <is>
          <t>MUFG - Endeavour AGM - 30.10.26</t>
        </is>
      </c>
      <c r="R232" s="66" t="inlineStr">
        <is>
          <t>VIDEO</t>
        </is>
      </c>
    </row>
    <row r="233">
      <c r="P233" s="66" t="inlineStr">
        <is>
          <t>26061607</t>
        </is>
      </c>
      <c r="Q233" s="66" t="inlineStr">
        <is>
          <t>APA - Qtly All Hands (BNE) - 4.11.26</t>
        </is>
      </c>
      <c r="R233" s="66" t="inlineStr">
        <is>
          <t>PRODUCTION</t>
        </is>
      </c>
    </row>
    <row r="234">
      <c r="P234" s="66" t="inlineStr">
        <is>
          <t>26061607V</t>
        </is>
      </c>
      <c r="Q234" s="66" t="inlineStr">
        <is>
          <t>APA - Qtly All Hands (BNE) - 4.11.26</t>
        </is>
      </c>
      <c r="R234" s="66" t="inlineStr">
        <is>
          <t>VIDEO</t>
        </is>
      </c>
    </row>
    <row r="235">
      <c r="P235" s="66" t="inlineStr">
        <is>
          <t>26061608</t>
        </is>
      </c>
      <c r="Q235" s="66" t="inlineStr">
        <is>
          <t>APA - Qtly All Hands Sydney - Feb 27</t>
        </is>
      </c>
      <c r="R235" s="66" t="inlineStr">
        <is>
          <t>PRODUCTION</t>
        </is>
      </c>
    </row>
    <row r="236">
      <c r="P236" s="66" t="inlineStr">
        <is>
          <t>26061608V</t>
        </is>
      </c>
      <c r="Q236" s="66" t="inlineStr">
        <is>
          <t>APA - Qtly All Hands Sydney - Feb 27</t>
        </is>
      </c>
      <c r="R236" s="66" t="inlineStr">
        <is>
          <t>VIDEO</t>
        </is>
      </c>
    </row>
    <row r="237">
      <c r="P237" s="66" t="inlineStr">
        <is>
          <t>26061609</t>
        </is>
      </c>
      <c r="Q237" s="66" t="inlineStr">
        <is>
          <t>APA Qtly All Hands Perth - May 2027</t>
        </is>
      </c>
      <c r="R237" s="66" t="inlineStr">
        <is>
          <t>PRODUCTION</t>
        </is>
      </c>
    </row>
    <row r="238">
      <c r="P238" s="66" t="inlineStr">
        <is>
          <t>26061609V</t>
        </is>
      </c>
      <c r="Q238" s="66" t="inlineStr">
        <is>
          <t>APA Qtly All Hands Perth - May 2027</t>
        </is>
      </c>
      <c r="R238" s="66" t="inlineStr">
        <is>
          <t>VIDEO</t>
        </is>
      </c>
    </row>
    <row r="239">
      <c r="P239" s="66" t="inlineStr">
        <is>
          <t>26061611</t>
        </is>
      </c>
      <c r="Q239" s="66" t="inlineStr">
        <is>
          <t>QBE - Keynote Event - 27.10.26</t>
        </is>
      </c>
      <c r="R239" s="66" t="inlineStr">
        <is>
          <t>PRODUCTION</t>
        </is>
      </c>
    </row>
    <row r="240">
      <c r="P240" s="66" t="inlineStr">
        <is>
          <t>26061611V</t>
        </is>
      </c>
      <c r="Q240" s="66" t="inlineStr">
        <is>
          <t>QBE - Keynote Event - 27.10.26</t>
        </is>
      </c>
      <c r="R240" s="66" t="inlineStr">
        <is>
          <t>VIDEO</t>
        </is>
      </c>
    </row>
    <row r="241">
      <c r="P241" s="66" t="inlineStr">
        <is>
          <t>26061612</t>
        </is>
      </c>
      <c r="Q241" s="66" t="inlineStr">
        <is>
          <t>Chorus Call - Redox AGM - 7.10.26</t>
        </is>
      </c>
      <c r="R241" s="66" t="inlineStr">
        <is>
          <t>PRODUCTION</t>
        </is>
      </c>
    </row>
    <row r="242">
      <c r="P242" s="66" t="inlineStr">
        <is>
          <t>26061612V</t>
        </is>
      </c>
      <c r="Q242" s="66" t="inlineStr">
        <is>
          <t>Chorus Call - Redox AGM - 7.10.26</t>
        </is>
      </c>
      <c r="R242" s="66" t="inlineStr">
        <is>
          <t>VIDEO</t>
        </is>
      </c>
    </row>
    <row r="243">
      <c r="P243" s="66" t="inlineStr">
        <is>
          <t>26061701</t>
        </is>
      </c>
      <c r="Q243" s="66" t="inlineStr">
        <is>
          <t>CBA - LES - July 2026</t>
        </is>
      </c>
      <c r="R243" s="66" t="inlineStr">
        <is>
          <t>PRODUCTION</t>
        </is>
      </c>
    </row>
    <row r="244">
      <c r="P244" s="66" t="inlineStr">
        <is>
          <t>26061702</t>
        </is>
      </c>
      <c r="Q244" s="66" t="inlineStr">
        <is>
          <t>Garvan - Morning Tea Event - 31.7.26</t>
        </is>
      </c>
      <c r="R244" s="66" t="inlineStr">
        <is>
          <t>PRODUCTION</t>
        </is>
      </c>
    </row>
    <row r="245">
      <c r="P245" s="66" t="inlineStr">
        <is>
          <t>26061801</t>
        </is>
      </c>
      <c r="Q245" s="66" t="inlineStr">
        <is>
          <t>APA - Investor Briefing FYR26 - 20.8.26</t>
        </is>
      </c>
      <c r="R245" s="66" t="inlineStr">
        <is>
          <t>PRODUCTION</t>
        </is>
      </c>
    </row>
    <row r="246">
      <c r="P246" s="66" t="inlineStr">
        <is>
          <t>26061801V</t>
        </is>
      </c>
      <c r="Q246" s="66" t="inlineStr">
        <is>
          <t>APA - Investor Briefing FYR26 - 20.8.26</t>
        </is>
      </c>
      <c r="R246" s="66" t="inlineStr">
        <is>
          <t>VIDEO</t>
        </is>
      </c>
    </row>
    <row r="247">
      <c r="P247" s="66" t="inlineStr">
        <is>
          <t>26062201</t>
        </is>
      </c>
      <c r="Q247" s="66" t="inlineStr">
        <is>
          <t>PWC - Tax &amp; Legal Webcast 02.07.26</t>
        </is>
      </c>
      <c r="R247" s="66" t="inlineStr">
        <is>
          <t>PRODUCTION</t>
        </is>
      </c>
    </row>
    <row r="248">
      <c r="P248" s="66" t="inlineStr">
        <is>
          <t>26062201V</t>
        </is>
      </c>
      <c r="Q248" s="66" t="inlineStr">
        <is>
          <t>PWC - Tax &amp; Legal Webcast 02.07.26</t>
        </is>
      </c>
      <c r="R248" s="66" t="inlineStr">
        <is>
          <t>VIDEO</t>
        </is>
      </c>
    </row>
    <row r="249">
      <c r="P249" s="66" t="inlineStr">
        <is>
          <t>26062202</t>
        </is>
      </c>
      <c r="Q249" s="66" t="inlineStr">
        <is>
          <t>PWC - Early Careers Webcast - 29.7.26</t>
        </is>
      </c>
      <c r="R249" s="66" t="inlineStr">
        <is>
          <t>PRODUCTION</t>
        </is>
      </c>
    </row>
    <row r="250">
      <c r="P250" s="66" t="inlineStr">
        <is>
          <t>26062202V</t>
        </is>
      </c>
      <c r="Q250" s="66" t="inlineStr">
        <is>
          <t>PWC - Early Careers Webcast - 29.7.26</t>
        </is>
      </c>
      <c r="R250" s="66" t="inlineStr">
        <is>
          <t>VIDEO</t>
        </is>
      </c>
    </row>
    <row r="251">
      <c r="P251" s="66" t="inlineStr">
        <is>
          <t>26062403</t>
        </is>
      </c>
      <c r="Q251" s="66" t="inlineStr">
        <is>
          <t>CBA - CommBank Private Hosting 25.6.26</t>
        </is>
      </c>
      <c r="R251" s="66" t="inlineStr">
        <is>
          <t>PRODUCTION</t>
        </is>
      </c>
    </row>
    <row r="252">
      <c r="P252" s="66" t="inlineStr">
        <is>
          <t>26062403V</t>
        </is>
      </c>
      <c r="Q252" s="66" t="inlineStr">
        <is>
          <t>CBA - CommBank Private Hosting 25.6.26</t>
        </is>
      </c>
      <c r="R252" s="66" t="inlineStr">
        <is>
          <t>VIDEO</t>
        </is>
      </c>
    </row>
    <row r="253">
      <c r="P253" s="66" t="inlineStr">
        <is>
          <t>26062501</t>
        </is>
      </c>
      <c r="Q253" s="66" t="inlineStr">
        <is>
          <t>DTTL STL Travel (SYD-MEL Return)</t>
        </is>
      </c>
      <c r="R253" s="66" t="inlineStr">
        <is>
          <t>ONSITE</t>
        </is>
      </c>
    </row>
    <row r="254">
      <c r="P254" s="66" t="inlineStr">
        <is>
          <t>26062503</t>
        </is>
      </c>
      <c r="Q254" s="66" t="inlineStr">
        <is>
          <t>Aware Super 24.16 UC Engine Replacement</t>
        </is>
      </c>
      <c r="R254" s="66" t="inlineStr">
        <is>
          <t>INTEGRATION</t>
        </is>
      </c>
    </row>
    <row r="255">
      <c r="P255" s="66" t="inlineStr">
        <is>
          <t>26062601</t>
        </is>
      </c>
      <c r="Q255" s="66" t="inlineStr">
        <is>
          <t>Ventia - XELT Event - 29.6.26</t>
        </is>
      </c>
      <c r="R255" s="66" t="inlineStr">
        <is>
          <t>PRODUCTION</t>
        </is>
      </c>
    </row>
    <row r="256">
      <c r="P256" s="66" t="inlineStr">
        <is>
          <t>26062601V</t>
        </is>
      </c>
      <c r="Q256" s="66" t="inlineStr">
        <is>
          <t>Ventia - XELT Event - 29.6.26</t>
        </is>
      </c>
      <c r="R256" s="66" t="inlineStr">
        <is>
          <t>VIDEO</t>
        </is>
      </c>
    </row>
    <row r="257">
      <c r="P257" s="66" t="inlineStr">
        <is>
          <t>26062901</t>
        </is>
      </c>
      <c r="Q257" s="66" t="inlineStr">
        <is>
          <t>Aware | SYD 28.06 Services</t>
        </is>
      </c>
      <c r="R257" s="66" t="inlineStr">
        <is>
          <t>INTEGRATION</t>
        </is>
      </c>
    </row>
    <row r="258">
      <c r="P258" s="66" t="inlineStr">
        <is>
          <t>26062902</t>
        </is>
      </c>
      <c r="Q258" s="66" t="inlineStr">
        <is>
          <t>Aware | SYD Occupancy Sensors</t>
        </is>
      </c>
      <c r="R258" s="66" t="inlineStr">
        <is>
          <t>INTEGRATION</t>
        </is>
      </c>
    </row>
    <row r="259">
      <c r="P259" s="66" t="inlineStr">
        <is>
          <t>26063002</t>
        </is>
      </c>
      <c r="Q259" s="66" t="inlineStr">
        <is>
          <t>CEOi - CEO Connect - 11.8.26</t>
        </is>
      </c>
      <c r="R259" s="66" t="inlineStr">
        <is>
          <t>PRODUCTION</t>
        </is>
      </c>
    </row>
    <row r="260">
      <c r="P260" s="66" t="inlineStr">
        <is>
          <t>26063002V</t>
        </is>
      </c>
      <c r="Q260" s="66" t="inlineStr">
        <is>
          <t>CEOi - CEO Connect - 11.8.26</t>
        </is>
      </c>
      <c r="R260" s="66" t="inlineStr">
        <is>
          <t>VIDEO</t>
        </is>
      </c>
    </row>
    <row r="261">
      <c r="P261" s="66" t="inlineStr">
        <is>
          <t>2606401V</t>
        </is>
      </c>
      <c r="Q261" s="66" t="inlineStr">
        <is>
          <t>PWC - NRW Webcast - 11.6.26</t>
        </is>
      </c>
      <c r="R261" s="66" t="inlineStr">
        <is>
          <t>VIDEO</t>
        </is>
      </c>
    </row>
    <row r="262">
      <c r="P262" s="66" t="inlineStr">
        <is>
          <t>2606901</t>
        </is>
      </c>
      <c r="Q262" s="66" t="inlineStr">
        <is>
          <t>PwC | Syd Studio Equipment</t>
        </is>
      </c>
      <c r="R262" s="66" t="inlineStr">
        <is>
          <t>INTEGRATION</t>
        </is>
      </c>
    </row>
    <row r="263">
      <c r="P263" s="66" t="inlineStr">
        <is>
          <t>2606902</t>
        </is>
      </c>
      <c r="Q263" s="66" t="inlineStr">
        <is>
          <t>AVIT - Taronga AV Support - 9-11.6.26</t>
        </is>
      </c>
      <c r="R263" s="66" t="inlineStr">
        <is>
          <t>PRODUCTION</t>
        </is>
      </c>
    </row>
    <row r="264">
      <c r="P264" s="66" t="inlineStr">
        <is>
          <t>2606903</t>
        </is>
      </c>
      <c r="Q264" s="66" t="inlineStr">
        <is>
          <t>Virgin FY26 Results</t>
        </is>
      </c>
      <c r="R264" s="66" t="inlineStr">
        <is>
          <t>PRODUCTION</t>
        </is>
      </c>
    </row>
    <row r="265">
      <c r="P265" s="66" t="inlineStr">
        <is>
          <t>2606903V</t>
        </is>
      </c>
      <c r="Q265" s="66" t="inlineStr">
        <is>
          <t>Virgin FY26 Results</t>
        </is>
      </c>
      <c r="R265" s="66" t="inlineStr">
        <is>
          <t>VIDEO</t>
        </is>
      </c>
    </row>
    <row r="266">
      <c r="P266" s="66" t="inlineStr">
        <is>
          <t>2606904</t>
        </is>
      </c>
      <c r="Q266" s="66" t="inlineStr">
        <is>
          <t>Symal - FYR26 (Melb) - 24.8.26</t>
        </is>
      </c>
      <c r="R266" s="66" t="inlineStr">
        <is>
          <t>PRODUCTION</t>
        </is>
      </c>
    </row>
    <row r="267">
      <c r="P267" s="66" t="inlineStr">
        <is>
          <t>2606904V</t>
        </is>
      </c>
      <c r="Q267" s="66" t="inlineStr">
        <is>
          <t>Symal - FYR26 (Melb) - 24.8.26</t>
        </is>
      </c>
      <c r="R267" s="66" t="inlineStr">
        <is>
          <t>VIDEO</t>
        </is>
      </c>
    </row>
    <row r="268">
      <c r="P268" s="66" t="inlineStr">
        <is>
          <t>2606905</t>
        </is>
      </c>
      <c r="Q268" s="66" t="inlineStr">
        <is>
          <t>Dimensional - Audio Tech Support - 22.6.26</t>
        </is>
      </c>
      <c r="R268" s="66" t="inlineStr">
        <is>
          <t>PRODUCTION</t>
        </is>
      </c>
    </row>
    <row r="269">
      <c r="P269" s="66" t="inlineStr">
        <is>
          <t>2606906</t>
        </is>
      </c>
      <c r="Q269" s="66" t="inlineStr">
        <is>
          <t>St Catherines Case Study Video Non-Chrgable</t>
        </is>
      </c>
      <c r="R269" s="66" t="inlineStr">
        <is>
          <t>VIDEO</t>
        </is>
      </c>
    </row>
    <row r="270">
      <c r="P270" s="66" t="inlineStr">
        <is>
          <t>26071303</t>
        </is>
      </c>
      <c r="Q270" s="66" t="inlineStr">
        <is>
          <t>Ventia - Melbourne Office Event - 30.7.26</t>
        </is>
      </c>
      <c r="R270" s="66" t="inlineStr">
        <is>
          <t>PRODUCTION</t>
        </is>
      </c>
    </row>
    <row r="271">
      <c r="P271" s="66" t="inlineStr">
        <is>
          <t>26071304</t>
        </is>
      </c>
      <c r="Q271" s="66" t="inlineStr">
        <is>
          <t>YSG | Orange Room Upgrade</t>
        </is>
      </c>
      <c r="R271" s="66" t="inlineStr">
        <is>
          <t>INTEGRATION</t>
        </is>
      </c>
    </row>
    <row r="272">
      <c r="P272" s="66" t="inlineStr">
        <is>
          <t>26071403</t>
        </is>
      </c>
      <c r="Q272" s="66" t="inlineStr">
        <is>
          <t>Elkiem - Studio Support - 4.11.26</t>
        </is>
      </c>
      <c r="R272" s="66" t="inlineStr">
        <is>
          <t>PRODUCTION</t>
        </is>
      </c>
    </row>
    <row r="273">
      <c r="P273" s="66" t="inlineStr">
        <is>
          <t>26071404</t>
        </is>
      </c>
      <c r="Q273" s="66" t="inlineStr">
        <is>
          <t>Elkiem - Studio Support - 9.12.26</t>
        </is>
      </c>
      <c r="R273" s="66" t="inlineStr">
        <is>
          <t>PRODUCTION</t>
        </is>
      </c>
    </row>
    <row r="274">
      <c r="P274" s="66" t="inlineStr">
        <is>
          <t>26071405</t>
        </is>
      </c>
      <c r="Q274" s="66" t="inlineStr">
        <is>
          <t>PWC - Event Technician - 29.7.26</t>
        </is>
      </c>
      <c r="R274" s="66" t="inlineStr">
        <is>
          <t>PRODUCTION</t>
        </is>
      </c>
    </row>
    <row r="275">
      <c r="P275" s="66" t="inlineStr">
        <is>
          <t>26071501</t>
        </is>
      </c>
      <c r="Q275" s="66" t="inlineStr">
        <is>
          <t>Ventia - Half Year Results Briefing - 24.8.26</t>
        </is>
      </c>
      <c r="R275" s="66" t="inlineStr">
        <is>
          <t>PRODUCTION</t>
        </is>
      </c>
    </row>
    <row r="276">
      <c r="P276" s="66" t="inlineStr">
        <is>
          <t>26071501V</t>
        </is>
      </c>
      <c r="Q276" s="66" t="inlineStr">
        <is>
          <t>Ventia - Half Year Results Briefing - 24.8.26</t>
        </is>
      </c>
      <c r="R276" s="66" t="inlineStr">
        <is>
          <t>VIDEO</t>
        </is>
      </c>
    </row>
    <row r="277">
      <c r="P277" s="66" t="inlineStr">
        <is>
          <t>26071601</t>
        </is>
      </c>
      <c r="Q277" s="66" t="inlineStr">
        <is>
          <t>Aware | PER | Barry Marshall and Albany Rooms BYOD USB-C Replcmnt</t>
        </is>
      </c>
      <c r="R277" s="66" t="inlineStr">
        <is>
          <t>INTEGRATION</t>
        </is>
      </c>
    </row>
    <row r="278">
      <c r="P278" s="66" t="inlineStr">
        <is>
          <t>26071701</t>
        </is>
      </c>
      <c r="Q278" s="66" t="inlineStr">
        <is>
          <t>ASX Live - 9.9.26</t>
        </is>
      </c>
      <c r="R278" s="66" t="inlineStr">
        <is>
          <t>PRODUCTION</t>
        </is>
      </c>
    </row>
    <row r="279">
      <c r="P279" s="66" t="inlineStr">
        <is>
          <t>26071701V</t>
        </is>
      </c>
      <c r="Q279" s="66" t="inlineStr">
        <is>
          <t>ASX Live - 9.9.26</t>
        </is>
      </c>
      <c r="R279" s="66" t="inlineStr">
        <is>
          <t>VIDEO</t>
        </is>
      </c>
    </row>
    <row r="280">
      <c r="P280" s="66" t="inlineStr">
        <is>
          <t>26071901</t>
        </is>
      </c>
      <c r="Q280" s="66" t="inlineStr">
        <is>
          <t>Elkiem - Studio Support - 11.8.26</t>
        </is>
      </c>
      <c r="R280" s="66" t="inlineStr">
        <is>
          <t>PRODUCTION</t>
        </is>
      </c>
    </row>
    <row r="281">
      <c r="P281" s="66" t="inlineStr">
        <is>
          <t>26072003</t>
        </is>
      </c>
      <c r="Q281" s="66" t="inlineStr">
        <is>
          <t>CBA Live Event Support August 2026</t>
        </is>
      </c>
      <c r="R281" s="66" t="inlineStr">
        <is>
          <t>PRODUCTION</t>
        </is>
      </c>
    </row>
    <row r="282">
      <c r="P282" s="66" t="inlineStr">
        <is>
          <t>26072101</t>
        </is>
      </c>
      <c r="Q282" s="66" t="inlineStr">
        <is>
          <t>Aware MEL 17.02 Amp Replacement</t>
        </is>
      </c>
      <c r="R282" s="66" t="inlineStr">
        <is>
          <t>INTEGRATION</t>
        </is>
      </c>
    </row>
    <row r="283">
      <c r="P283" s="66" t="inlineStr">
        <is>
          <t>26072101</t>
        </is>
      </c>
      <c r="Q283" s="66" t="inlineStr">
        <is>
          <t>Aware_Mel 17.02 Amp Replacement</t>
        </is>
      </c>
      <c r="R283" s="66" t="inlineStr">
        <is>
          <t>INTEGRATION</t>
        </is>
      </c>
    </row>
    <row r="284">
      <c r="P284" s="66" t="inlineStr">
        <is>
          <t>26072102</t>
        </is>
      </c>
      <c r="Q284" s="66" t="inlineStr">
        <is>
          <t>Ventia - RUOK? Day - 10.09.2026</t>
        </is>
      </c>
      <c r="R284" s="66" t="inlineStr">
        <is>
          <t>PRODUCTION</t>
        </is>
      </c>
    </row>
    <row r="285">
      <c r="P285" s="66" t="inlineStr">
        <is>
          <t>26072102V</t>
        </is>
      </c>
      <c r="Q285" s="66" t="inlineStr">
        <is>
          <t>Ventia - RUOK? Day - 10.09.2026</t>
        </is>
      </c>
      <c r="R285" s="66" t="inlineStr">
        <is>
          <t>VIDEO</t>
        </is>
      </c>
    </row>
    <row r="286">
      <c r="P286" s="66" t="inlineStr">
        <is>
          <t>26072802</t>
        </is>
      </c>
      <c r="Q286" s="66" t="inlineStr">
        <is>
          <t>ON24 KWM Sydney Event - 18.08.2026</t>
        </is>
      </c>
      <c r="R286" s="66" t="inlineStr">
        <is>
          <t>PRODUCTION</t>
        </is>
      </c>
    </row>
    <row r="287">
      <c r="P287" s="66" t="inlineStr">
        <is>
          <t>26072802V</t>
        </is>
      </c>
      <c r="Q287" s="66" t="inlineStr">
        <is>
          <t>ON24 KWM Sydney Event - 18.08.2026</t>
        </is>
      </c>
      <c r="R287" s="66" t="inlineStr">
        <is>
          <t>VIDEO</t>
        </is>
      </c>
    </row>
    <row r="288">
      <c r="P288" s="66" t="inlineStr">
        <is>
          <t>26072902</t>
        </is>
      </c>
      <c r="Q288" s="66" t="inlineStr">
        <is>
          <t>PWC AI Townhall 6.8.26</t>
        </is>
      </c>
      <c r="R288" s="66" t="inlineStr">
        <is>
          <t>PRODUCTION</t>
        </is>
      </c>
    </row>
    <row r="289">
      <c r="P289" s="66" t="inlineStr">
        <is>
          <t>26072902V</t>
        </is>
      </c>
      <c r="Q289" s="66" t="inlineStr">
        <is>
          <t>PWC AI Townhall 6.8.26</t>
        </is>
      </c>
      <c r="R289" s="66" t="inlineStr">
        <is>
          <t>VIDEO</t>
        </is>
      </c>
    </row>
    <row r="290">
      <c r="P290" s="66" t="inlineStr">
        <is>
          <t>26072903</t>
        </is>
      </c>
      <c r="Q290" s="66" t="inlineStr">
        <is>
          <t>PWC - GB Webcast - 11.8.26</t>
        </is>
      </c>
      <c r="R290" s="66" t="inlineStr">
        <is>
          <t>PRODUCTION</t>
        </is>
      </c>
    </row>
    <row r="291">
      <c r="P291" s="66" t="inlineStr">
        <is>
          <t>26072903V</t>
        </is>
      </c>
      <c r="Q291" s="66" t="inlineStr">
        <is>
          <t>PWC - GB Webcast - 11.8.26</t>
        </is>
      </c>
      <c r="R291" s="66" t="inlineStr">
        <is>
          <t>VIDEO</t>
        </is>
      </c>
    </row>
    <row r="292">
      <c r="P292" s="66" t="inlineStr">
        <is>
          <t>26072906</t>
        </is>
      </c>
      <c r="Q292" s="66" t="inlineStr">
        <is>
          <t>ASX Advisory Group on Corporate Governance</t>
        </is>
      </c>
      <c r="R292" s="66" t="inlineStr">
        <is>
          <t>PRODUCTION</t>
        </is>
      </c>
    </row>
    <row r="293">
      <c r="P293" s="66" t="inlineStr">
        <is>
          <t>26072906V</t>
        </is>
      </c>
      <c r="Q293" s="66" t="inlineStr">
        <is>
          <t>ASX Advisory Group on Corporate Governance</t>
        </is>
      </c>
      <c r="R293" s="66" t="inlineStr">
        <is>
          <t>VIDEO</t>
        </is>
      </c>
    </row>
    <row r="294">
      <c r="P294" s="66" t="inlineStr">
        <is>
          <t>26073103</t>
        </is>
      </c>
      <c r="Q294" s="66" t="inlineStr">
        <is>
          <t>DTTL PER AV &amp; Hospitality Tech (SEP26-FEB27)</t>
        </is>
      </c>
      <c r="R294" s="66" t="inlineStr">
        <is>
          <t>ONSITE</t>
        </is>
      </c>
    </row>
    <row r="295">
      <c r="P295" s="66" t="inlineStr">
        <is>
          <t>26073103N</t>
        </is>
      </c>
      <c r="Q295" s="66" t="inlineStr">
        <is>
          <t>DTTL PER AV &amp; Hospitality Tech (SEP26-FEB27) [ONS] non-chargeable</t>
        </is>
      </c>
      <c r="R295" s="66" t="inlineStr"/>
    </row>
    <row r="296">
      <c r="P296" s="66" t="inlineStr">
        <is>
          <t>26073105</t>
        </is>
      </c>
      <c r="Q296" s="66" t="inlineStr">
        <is>
          <t>Elkiem - Studio Support - 25.8.26</t>
        </is>
      </c>
      <c r="R296" s="66" t="inlineStr">
        <is>
          <t>PRODUCTION</t>
        </is>
      </c>
    </row>
    <row r="297">
      <c r="P297" s="66" t="inlineStr">
        <is>
          <t>26073106</t>
        </is>
      </c>
      <c r="Q297" s="66" t="inlineStr">
        <is>
          <t>Elkiem - Studio Support - 18.9.26</t>
        </is>
      </c>
      <c r="R297" s="66" t="inlineStr">
        <is>
          <t>PRODUCTION</t>
        </is>
      </c>
    </row>
    <row r="298">
      <c r="P298" s="66" t="inlineStr">
        <is>
          <t>26073107</t>
        </is>
      </c>
      <c r="Q298" s="66" t="inlineStr">
        <is>
          <t>DTTL Travel for Technician &amp; Coverage ADL-HOB</t>
        </is>
      </c>
      <c r="R298" s="66" t="inlineStr">
        <is>
          <t>ONSITE</t>
        </is>
      </c>
    </row>
    <row r="299">
      <c r="P299" s="66" t="inlineStr">
        <is>
          <t>26073110</t>
        </is>
      </c>
      <c r="Q299" s="66" t="inlineStr">
        <is>
          <t>Garvan - Weizmann Dinner Event - 20.8.26</t>
        </is>
      </c>
      <c r="R299" s="66" t="inlineStr">
        <is>
          <t>PRODUCTION</t>
        </is>
      </c>
    </row>
    <row r="300">
      <c r="P300" s="66" t="inlineStr">
        <is>
          <t>26073110V</t>
        </is>
      </c>
      <c r="Q300" s="66" t="inlineStr">
        <is>
          <t>Garvan - Weizmann Dinner Event - 20.8.26</t>
        </is>
      </c>
      <c r="R300" s="66" t="inlineStr">
        <is>
          <t>VIDEO</t>
        </is>
      </c>
    </row>
    <row r="301">
      <c r="P301" s="66" t="inlineStr">
        <is>
          <t>26073111</t>
        </is>
      </c>
      <c r="Q301" s="66" t="inlineStr">
        <is>
          <t>Downer - FYR &amp; Employee Webcast - 25.8.26</t>
        </is>
      </c>
      <c r="R301" s="66" t="inlineStr">
        <is>
          <t>PRODUCTION</t>
        </is>
      </c>
    </row>
    <row r="302">
      <c r="P302" s="66" t="inlineStr">
        <is>
          <t>26073111V</t>
        </is>
      </c>
      <c r="Q302" s="66" t="inlineStr">
        <is>
          <t>Downer - FYR &amp; Employee Webcast - 25.8.26</t>
        </is>
      </c>
      <c r="R302" s="66" t="inlineStr">
        <is>
          <t>VIDEO</t>
        </is>
      </c>
    </row>
    <row r="303">
      <c r="P303" s="66" t="inlineStr">
        <is>
          <t>2607703</t>
        </is>
      </c>
      <c r="Q303" s="66" t="inlineStr">
        <is>
          <t>Garvan - YPO Event - 6.8.2026</t>
        </is>
      </c>
      <c r="R303" s="66" t="inlineStr">
        <is>
          <t>PRODUCTION</t>
        </is>
      </c>
    </row>
    <row r="304">
      <c r="P304" s="66" t="inlineStr">
        <is>
          <t>2607703V</t>
        </is>
      </c>
      <c r="Q304" s="66" t="inlineStr">
        <is>
          <t>Garvan - YPO Event - 6.8.2026</t>
        </is>
      </c>
      <c r="R304" s="66" t="inlineStr">
        <is>
          <t>VIDEO</t>
        </is>
      </c>
    </row>
    <row r="305">
      <c r="P305" s="66" t="inlineStr">
        <is>
          <t>2608101</t>
        </is>
      </c>
      <c r="Q305" s="66" t="inlineStr">
        <is>
          <t>ART - AMM Captioning - 25.11.26</t>
        </is>
      </c>
      <c r="R305" s="66" t="inlineStr">
        <is>
          <t>PRODUCTION</t>
        </is>
      </c>
    </row>
    <row r="306">
      <c r="P306" s="66" t="inlineStr">
        <is>
          <t>2608101V</t>
        </is>
      </c>
      <c r="Q306" s="66" t="inlineStr">
        <is>
          <t>ART - AMM Captioning - 25.11.26</t>
        </is>
      </c>
      <c r="R306" s="66" t="inlineStr">
        <is>
          <t>VIDEO</t>
        </is>
      </c>
    </row>
    <row r="307">
      <c r="P307" s="66" t="inlineStr">
        <is>
          <t>2608102</t>
        </is>
      </c>
      <c r="Q307" s="66" t="inlineStr">
        <is>
          <t>ART - Education Session Captioning - 25.11.26</t>
        </is>
      </c>
      <c r="R307" s="66" t="inlineStr">
        <is>
          <t>PRODUCTION</t>
        </is>
      </c>
    </row>
    <row r="308">
      <c r="P308" s="66" t="inlineStr">
        <is>
          <t>26081101</t>
        </is>
      </c>
      <c r="Q308" s="66" t="inlineStr">
        <is>
          <t>Vega Global - Payments Forum - 17.9.26</t>
        </is>
      </c>
      <c r="R308" s="66" t="inlineStr">
        <is>
          <t>PRODUCTION</t>
        </is>
      </c>
    </row>
    <row r="309">
      <c r="P309" s="66" t="inlineStr">
        <is>
          <t>26081302</t>
        </is>
      </c>
      <c r="Q309" s="66" t="inlineStr">
        <is>
          <t>Ubank - Volunteer Day - 11.11.26</t>
        </is>
      </c>
      <c r="R309" s="66" t="inlineStr">
        <is>
          <t>PRODUCTION</t>
        </is>
      </c>
    </row>
    <row r="310">
      <c r="P310" s="66" t="inlineStr">
        <is>
          <t>26081302V</t>
        </is>
      </c>
      <c r="Q310" s="66" t="inlineStr">
        <is>
          <t>Ubank - Volunteer Day - 11.11.26</t>
        </is>
      </c>
      <c r="R310" s="66" t="inlineStr">
        <is>
          <t>VIDEO</t>
        </is>
      </c>
    </row>
    <row r="311">
      <c r="P311" s="66" t="inlineStr">
        <is>
          <t>26081402</t>
        </is>
      </c>
      <c r="Q311" s="66" t="inlineStr">
        <is>
          <t>Dimensional - AV Support - 19.8.26</t>
        </is>
      </c>
      <c r="R311" s="66" t="inlineStr">
        <is>
          <t>PRODUCTION</t>
        </is>
      </c>
    </row>
    <row r="312">
      <c r="P312" s="66" t="inlineStr">
        <is>
          <t>26081801</t>
        </is>
      </c>
      <c r="Q312" s="66" t="inlineStr">
        <is>
          <t>Microsoft - SME&amp;C Town Hall 14.10.2026</t>
        </is>
      </c>
      <c r="R312" s="66" t="inlineStr">
        <is>
          <t>PRODUCTION</t>
        </is>
      </c>
    </row>
    <row r="313">
      <c r="P313" s="66" t="inlineStr">
        <is>
          <t>26081801V</t>
        </is>
      </c>
      <c r="Q313" s="66" t="inlineStr">
        <is>
          <t>Microsoft - SME&amp;C Town Hall 14.10.2026</t>
        </is>
      </c>
      <c r="R313" s="66" t="inlineStr">
        <is>
          <t>VIDEO</t>
        </is>
      </c>
    </row>
    <row r="314">
      <c r="P314" s="66" t="inlineStr">
        <is>
          <t>26081901</t>
        </is>
      </c>
      <c r="Q314" s="66" t="inlineStr">
        <is>
          <t>AusPayNet Logitech Essentials for Room License Renewal</t>
        </is>
      </c>
      <c r="R314" s="66" t="inlineStr">
        <is>
          <t>INTEGRATION</t>
        </is>
      </c>
    </row>
    <row r="315">
      <c r="P315" s="66" t="inlineStr">
        <is>
          <t>26081904</t>
        </is>
      </c>
      <c r="Q315" s="66" t="inlineStr">
        <is>
          <t>Garvan - AllClear Program Meeting - 2.9.26</t>
        </is>
      </c>
      <c r="R315" s="66" t="inlineStr">
        <is>
          <t>PRODUCTION</t>
        </is>
      </c>
    </row>
    <row r="316">
      <c r="P316" s="66" t="inlineStr">
        <is>
          <t>26082402</t>
        </is>
      </c>
      <c r="Q316" s="66" t="inlineStr">
        <is>
          <t>TLC - 2026 AGM - 14.10.26</t>
        </is>
      </c>
      <c r="R316" s="66" t="inlineStr">
        <is>
          <t>PRODUCTION</t>
        </is>
      </c>
    </row>
    <row r="317">
      <c r="P317" s="66" t="inlineStr">
        <is>
          <t>26082402V</t>
        </is>
      </c>
      <c r="Q317" s="66" t="inlineStr">
        <is>
          <t>TLC - 2026 AGM - 14.10.26</t>
        </is>
      </c>
      <c r="R317" s="66" t="inlineStr">
        <is>
          <t>VIDEO</t>
        </is>
      </c>
    </row>
    <row r="318">
      <c r="P318" s="66" t="inlineStr">
        <is>
          <t>26082501</t>
        </is>
      </c>
      <c r="Q318" s="66" t="inlineStr">
        <is>
          <t>CBA - LES - September 2026</t>
        </is>
      </c>
      <c r="R318" s="66" t="inlineStr">
        <is>
          <t>PRODUCTION</t>
        </is>
      </c>
    </row>
    <row r="319">
      <c r="P319" s="66" t="inlineStr">
        <is>
          <t>26082502</t>
        </is>
      </c>
      <c r="Q319" s="66" t="inlineStr">
        <is>
          <t>ICC - Presenter &amp; Speaker Preparation - September 2026</t>
        </is>
      </c>
      <c r="R319" s="66" t="inlineStr">
        <is>
          <t>PRODUCTION</t>
        </is>
      </c>
    </row>
    <row r="320">
      <c r="P320" s="66" t="inlineStr">
        <is>
          <t>26082502V</t>
        </is>
      </c>
      <c r="Q320" s="66" t="inlineStr">
        <is>
          <t>ICC - Presenter &amp; Speaker Preparation - September 2026</t>
        </is>
      </c>
      <c r="R320" s="66" t="inlineStr">
        <is>
          <t>VIDEO</t>
        </is>
      </c>
    </row>
    <row r="321">
      <c r="P321" s="66" t="inlineStr">
        <is>
          <t>26082702</t>
        </is>
      </c>
      <c r="Q321" s="66" t="inlineStr">
        <is>
          <t>Garvan - Breast Cancer Public Lecture - 1.10.26</t>
        </is>
      </c>
      <c r="R321" s="66" t="inlineStr">
        <is>
          <t>PRODUCTION</t>
        </is>
      </c>
    </row>
    <row r="322">
      <c r="P322" s="66" t="inlineStr">
        <is>
          <t>26082703</t>
        </is>
      </c>
      <c r="Q322" s="66" t="inlineStr">
        <is>
          <t>APA - RUOK Day - 10.9.26</t>
        </is>
      </c>
      <c r="R322" s="66" t="inlineStr">
        <is>
          <t>PRODUCTION</t>
        </is>
      </c>
    </row>
    <row r="323">
      <c r="P323" s="66" t="inlineStr">
        <is>
          <t>26082703V</t>
        </is>
      </c>
      <c r="Q323" s="66" t="inlineStr">
        <is>
          <t>APA - RUOK Day - 10.9.26</t>
        </is>
      </c>
      <c r="R323" s="66" t="inlineStr">
        <is>
          <t>VIDEO</t>
        </is>
      </c>
    </row>
    <row r="324">
      <c r="P324" s="66" t="inlineStr">
        <is>
          <t>26082704</t>
        </is>
      </c>
      <c r="Q324" s="66" t="inlineStr">
        <is>
          <t>DTTL Travel for National STL &amp; Coverage SYD-PER</t>
        </is>
      </c>
      <c r="R324" s="66" t="inlineStr">
        <is>
          <t>ONSITE</t>
        </is>
      </c>
    </row>
    <row r="325">
      <c r="P325" s="66" t="inlineStr">
        <is>
          <t>26082801</t>
        </is>
      </c>
      <c r="Q325" s="66" t="inlineStr">
        <is>
          <t>Ricoh Australia - SHELL AV Support</t>
        </is>
      </c>
      <c r="R325" s="66" t="inlineStr">
        <is>
          <t>ONSITE</t>
        </is>
      </c>
    </row>
    <row r="326">
      <c r="P326" s="66" t="inlineStr">
        <is>
          <t>2608402</t>
        </is>
      </c>
      <c r="Q326" s="66" t="inlineStr">
        <is>
          <t>Garvan - Suttons Event - 15.10.26</t>
        </is>
      </c>
      <c r="R326" s="66" t="inlineStr">
        <is>
          <t>PRODUCTION</t>
        </is>
      </c>
    </row>
    <row r="327">
      <c r="P327" s="66" t="inlineStr">
        <is>
          <t>2608404</t>
        </is>
      </c>
      <c r="Q327" s="66" t="inlineStr">
        <is>
          <t>St Vincents Public Hospital - Awards Night - 26.8.25</t>
        </is>
      </c>
      <c r="R327" s="66" t="inlineStr">
        <is>
          <t>PRODUCTION</t>
        </is>
      </c>
    </row>
    <row r="328">
      <c r="P328" s="66" t="inlineStr">
        <is>
          <t>2608404V</t>
        </is>
      </c>
      <c r="Q328" s="66" t="inlineStr">
        <is>
          <t>St Vincents Public Hospital - Awards Night - 26.8.25</t>
        </is>
      </c>
      <c r="R328" s="66" t="inlineStr">
        <is>
          <t>VIDEO</t>
        </is>
      </c>
    </row>
    <row r="329">
      <c r="P329" s="66" t="inlineStr">
        <is>
          <t>2608604</t>
        </is>
      </c>
      <c r="Q329" s="66" t="inlineStr">
        <is>
          <t>ASX - FYR Employee Town Hall - 13.8.26</t>
        </is>
      </c>
      <c r="R329" s="66" t="inlineStr">
        <is>
          <t>PRODUCTION</t>
        </is>
      </c>
    </row>
    <row r="330">
      <c r="P330" s="66" t="inlineStr">
        <is>
          <t>2608604V</t>
        </is>
      </c>
      <c r="Q330" s="66" t="inlineStr">
        <is>
          <t>ASX - FYR Employee Town Hall - 13.8.26</t>
        </is>
      </c>
      <c r="R330" s="66" t="inlineStr">
        <is>
          <t>VIDEO</t>
        </is>
      </c>
    </row>
    <row r="331">
      <c r="P331" s="66" t="inlineStr">
        <is>
          <t>2608701</t>
        </is>
      </c>
      <c r="Q331" s="66" t="inlineStr">
        <is>
          <t>Elkeim - Studio Support - 10.9.26</t>
        </is>
      </c>
      <c r="R331" s="66" t="inlineStr">
        <is>
          <t>PRODUCTION</t>
        </is>
      </c>
    </row>
    <row r="332">
      <c r="P332" s="66" t="inlineStr">
        <is>
          <t>2608702</t>
        </is>
      </c>
      <c r="Q332" s="66" t="inlineStr">
        <is>
          <t>APA - Qtly All Hands SYD Screen Hire - 20.8.26</t>
        </is>
      </c>
      <c r="R332" s="66" t="inlineStr">
        <is>
          <t>PRODUCTION</t>
        </is>
      </c>
    </row>
    <row r="333">
      <c r="P333" s="66" t="inlineStr">
        <is>
          <t>26091002</t>
        </is>
      </c>
      <c r="Q333" s="66" t="inlineStr">
        <is>
          <t>GP - Talking Philanthropy - Event Videography 18.9.26</t>
        </is>
      </c>
      <c r="R333" s="66" t="inlineStr">
        <is>
          <t>PRODUCTION</t>
        </is>
      </c>
    </row>
    <row r="334">
      <c r="P334" s="66" t="inlineStr">
        <is>
          <t>26091002V</t>
        </is>
      </c>
      <c r="Q334" s="66" t="inlineStr">
        <is>
          <t>GP - Talking Philanthropy - Event Videography 18.9.26</t>
        </is>
      </c>
      <c r="R334" s="66" t="inlineStr">
        <is>
          <t>VIDEO</t>
        </is>
      </c>
    </row>
    <row r="335">
      <c r="P335" s="66" t="inlineStr">
        <is>
          <t>26091601</t>
        </is>
      </c>
      <c r="Q335" s="66" t="inlineStr">
        <is>
          <t>Automic - September All Hands - 25.9.26</t>
        </is>
      </c>
      <c r="R335" s="66" t="inlineStr">
        <is>
          <t>PRODUCTION</t>
        </is>
      </c>
    </row>
    <row r="336">
      <c r="P336" s="66" t="inlineStr">
        <is>
          <t>26091601V</t>
        </is>
      </c>
      <c r="Q336" s="66" t="inlineStr">
        <is>
          <t>Automic - September All Hands - 25.9.26</t>
        </is>
      </c>
      <c r="R336" s="66" t="inlineStr">
        <is>
          <t>VIDEO</t>
        </is>
      </c>
    </row>
    <row r="337">
      <c r="P337" s="66" t="inlineStr">
        <is>
          <t>26091604</t>
        </is>
      </c>
      <c r="Q337" s="66" t="inlineStr">
        <is>
          <t>The George Institute - SYD CV Symposium - 29-30.10.26</t>
        </is>
      </c>
      <c r="R337" s="66" t="inlineStr">
        <is>
          <t>PRODUCTION</t>
        </is>
      </c>
    </row>
    <row r="338">
      <c r="P338" s="66" t="inlineStr">
        <is>
          <t>26091604V</t>
        </is>
      </c>
      <c r="Q338" s="66" t="inlineStr">
        <is>
          <t>The George Institute - SYD CV Symposium - 29-30.10.26</t>
        </is>
      </c>
      <c r="R338" s="66" t="inlineStr">
        <is>
          <t>VIDEO</t>
        </is>
      </c>
    </row>
    <row r="339">
      <c r="P339" s="66" t="inlineStr">
        <is>
          <t>2609402</t>
        </is>
      </c>
      <c r="Q339" s="66" t="inlineStr">
        <is>
          <t>MUFG - SUN Investor Day - 29.10.26</t>
        </is>
      </c>
      <c r="R339" s="66" t="inlineStr">
        <is>
          <t>PRODUCTION</t>
        </is>
      </c>
    </row>
    <row r="340">
      <c r="P340" s="66" t="inlineStr">
        <is>
          <t>2609402V</t>
        </is>
      </c>
      <c r="Q340" s="66" t="inlineStr">
        <is>
          <t>MUFG - SUN Investor Day - 29.10.26</t>
        </is>
      </c>
      <c r="R340" s="66" t="inlineStr">
        <is>
          <t>VIDEO</t>
        </is>
      </c>
    </row>
    <row r="341">
      <c r="P341" s="66" t="inlineStr">
        <is>
          <t>2609801</t>
        </is>
      </c>
      <c r="Q341" s="66" t="inlineStr">
        <is>
          <t>Elkiem - Studio Support - 16.9.26</t>
        </is>
      </c>
      <c r="R341" s="66" t="inlineStr">
        <is>
          <t>PRODUCTION</t>
        </is>
      </c>
    </row>
    <row r="342">
      <c r="P342" s="66" t="inlineStr">
        <is>
          <t>2645</t>
        </is>
      </c>
      <c r="Q342" s="66" t="inlineStr">
        <is>
          <t>EY SYD Tech Support</t>
        </is>
      </c>
      <c r="R342" s="66" t="inlineStr">
        <is>
          <t>ONSITE</t>
        </is>
      </c>
    </row>
    <row r="343">
      <c r="P343" s="66" t="inlineStr">
        <is>
          <t>2648</t>
        </is>
      </c>
      <c r="Q343" s="66" t="inlineStr">
        <is>
          <t>DTTL MEL Additional Tech</t>
        </is>
      </c>
      <c r="R343" s="66" t="inlineStr">
        <is>
          <t>ONSITE</t>
        </is>
      </c>
    </row>
    <row r="344">
      <c r="P344" s="66" t="inlineStr">
        <is>
          <t>2658</t>
        </is>
      </c>
      <c r="Q344" s="66" t="inlineStr">
        <is>
          <t>EY MELB Tech</t>
        </is>
      </c>
      <c r="R344" s="66" t="inlineStr">
        <is>
          <t>ONSITE</t>
        </is>
      </c>
    </row>
    <row r="345">
      <c r="P345" s="66" t="inlineStr">
        <is>
          <t>2675</t>
        </is>
      </c>
      <c r="Q345" s="66" t="inlineStr">
        <is>
          <t>ONS EY (non-chargeable)</t>
        </is>
      </c>
      <c r="R345" s="66" t="inlineStr"/>
    </row>
    <row r="346">
      <c r="P346" s="66" t="inlineStr">
        <is>
          <t>2685</t>
        </is>
      </c>
      <c r="Q346" s="66" t="inlineStr">
        <is>
          <t>APA Proxyclick BNE &amp; DRW</t>
        </is>
      </c>
      <c r="R346" s="66" t="inlineStr">
        <is>
          <t>INTEGRATION</t>
        </is>
      </c>
    </row>
    <row r="347">
      <c r="P347" s="66" t="inlineStr">
        <is>
          <t>2706</t>
        </is>
      </c>
      <c r="Q347" s="66" t="inlineStr">
        <is>
          <t>EPA 6PSQ Proxyclick VMS</t>
        </is>
      </c>
      <c r="R347" s="66" t="inlineStr">
        <is>
          <t>INTEGRATION</t>
        </is>
      </c>
    </row>
    <row r="348">
      <c r="P348" s="66" t="inlineStr">
        <is>
          <t>2719</t>
        </is>
      </c>
      <c r="Q348" s="66" t="inlineStr">
        <is>
          <t>GSP - 6PSQProxyclickOnb</t>
        </is>
      </c>
      <c r="R348" s="66" t="inlineStr">
        <is>
          <t>INTEGRATION</t>
        </is>
      </c>
    </row>
    <row r="349">
      <c r="P349" s="66" t="inlineStr">
        <is>
          <t>2722</t>
        </is>
      </c>
      <c r="Q349" s="66" t="inlineStr">
        <is>
          <t>PWC Monthly Consulting</t>
        </is>
      </c>
      <c r="R349" s="66" t="inlineStr">
        <is>
          <t>CONSULTING</t>
        </is>
      </c>
    </row>
    <row r="350">
      <c r="P350" s="66" t="inlineStr">
        <is>
          <t>2726</t>
        </is>
      </c>
      <c r="Q350" s="66" t="inlineStr">
        <is>
          <t>KPMG MEL Tech</t>
        </is>
      </c>
      <c r="R350" s="66" t="inlineStr">
        <is>
          <t>ONSITE</t>
        </is>
      </c>
    </row>
    <row r="351">
      <c r="P351" s="66" t="inlineStr">
        <is>
          <t>2756</t>
        </is>
      </c>
      <c r="Q351" s="66" t="inlineStr">
        <is>
          <t>CTS Mgmt Meetings</t>
        </is>
      </c>
      <c r="R351" s="66" t="inlineStr">
        <is>
          <t>CTS</t>
        </is>
      </c>
    </row>
    <row r="352">
      <c r="P352" s="66" t="inlineStr">
        <is>
          <t>2834</t>
        </is>
      </c>
      <c r="Q352" s="66" t="inlineStr">
        <is>
          <t>APA Young - Visitor Mgmt</t>
        </is>
      </c>
      <c r="R352" s="66" t="inlineStr">
        <is>
          <t>INTEGRATION</t>
        </is>
      </c>
    </row>
    <row r="353">
      <c r="P353" s="66" t="inlineStr">
        <is>
          <t>2838</t>
        </is>
      </c>
      <c r="Q353" s="66" t="inlineStr">
        <is>
          <t>KPMG SYD Tech</t>
        </is>
      </c>
      <c r="R353" s="66" t="inlineStr">
        <is>
          <t>ONSITE</t>
        </is>
      </c>
    </row>
    <row r="354">
      <c r="P354" s="66" t="inlineStr">
        <is>
          <t>2846</t>
        </is>
      </c>
      <c r="Q354" s="66" t="inlineStr">
        <is>
          <t>DTTL National STL</t>
        </is>
      </c>
      <c r="R354" s="66" t="inlineStr">
        <is>
          <t>ONSITE</t>
        </is>
      </c>
    </row>
    <row r="355">
      <c r="P355" s="66" t="inlineStr">
        <is>
          <t>2848</t>
        </is>
      </c>
      <c r="Q355" s="66" t="inlineStr">
        <is>
          <t>APA ADL Visitor Mgmt</t>
        </is>
      </c>
      <c r="R355" s="66" t="inlineStr">
        <is>
          <t>INTEGRATION</t>
        </is>
      </c>
    </row>
    <row r="356">
      <c r="P356" s="66" t="inlineStr">
        <is>
          <t>2849</t>
        </is>
      </c>
      <c r="Q356" s="66" t="inlineStr">
        <is>
          <t>DTTL SYD Internal</t>
        </is>
      </c>
      <c r="R356" s="66" t="inlineStr">
        <is>
          <t>ONSITE</t>
        </is>
      </c>
    </row>
    <row r="357">
      <c r="P357" s="66" t="inlineStr">
        <is>
          <t>2855</t>
        </is>
      </c>
      <c r="Q357" s="66" t="inlineStr">
        <is>
          <t>APA Melbourne VMS</t>
        </is>
      </c>
      <c r="R357" s="66" t="inlineStr">
        <is>
          <t>INTEGRATION</t>
        </is>
      </c>
    </row>
    <row r="358">
      <c r="P358" s="66" t="inlineStr">
        <is>
          <t>2857</t>
        </is>
      </c>
      <c r="Q358" s="66" t="inlineStr">
        <is>
          <t>APA Sydney Visitor Mgmt</t>
        </is>
      </c>
      <c r="R358" s="66" t="inlineStr">
        <is>
          <t>INTEGRATION</t>
        </is>
      </c>
    </row>
    <row r="359">
      <c r="P359" s="66" t="inlineStr">
        <is>
          <t>2877</t>
        </is>
      </c>
      <c r="Q359" s="66" t="inlineStr">
        <is>
          <t>DEWR Maintenance Ext</t>
        </is>
      </c>
      <c r="R359" s="66" t="inlineStr">
        <is>
          <t>INTEGRATION</t>
        </is>
      </c>
    </row>
    <row r="360">
      <c r="P360" s="66" t="inlineStr">
        <is>
          <t>2879</t>
        </is>
      </c>
      <c r="Q360" s="66" t="inlineStr">
        <is>
          <t>ONS Ricoh-QANTAS (non-chgble)</t>
        </is>
      </c>
      <c r="R360" s="66" t="inlineStr"/>
    </row>
    <row r="361">
      <c r="P361" s="66" t="inlineStr">
        <is>
          <t>2880</t>
        </is>
      </c>
      <c r="Q361" s="66" t="inlineStr">
        <is>
          <t>Ricoh - QANTAS</t>
        </is>
      </c>
      <c r="R361" s="66" t="inlineStr">
        <is>
          <t>ONSITE</t>
        </is>
      </c>
    </row>
    <row r="362">
      <c r="P362" s="66" t="inlineStr">
        <is>
          <t>2892</t>
        </is>
      </c>
      <c r="Q362" s="66" t="inlineStr">
        <is>
          <t>JP Morgan Onsite Tech</t>
        </is>
      </c>
      <c r="R362" s="66" t="inlineStr">
        <is>
          <t>ONSITE</t>
        </is>
      </c>
    </row>
    <row r="363">
      <c r="P363" s="66" t="inlineStr">
        <is>
          <t>2896</t>
        </is>
      </c>
      <c r="Q363" s="66" t="inlineStr">
        <is>
          <t>ONS KPMG (non-chargeable)</t>
        </is>
      </c>
      <c r="R363" s="66" t="inlineStr"/>
    </row>
    <row r="364">
      <c r="P364" s="66" t="inlineStr">
        <is>
          <t>2897</t>
        </is>
      </c>
      <c r="Q364" s="66" t="inlineStr">
        <is>
          <t>ONS JPM (non-chargeable)</t>
        </is>
      </c>
      <c r="R364" s="66" t="inlineStr"/>
    </row>
    <row r="365">
      <c r="P365" s="66" t="inlineStr">
        <is>
          <t>2900</t>
        </is>
      </c>
      <c r="Q365" s="66" t="inlineStr">
        <is>
          <t>ONS Ammacus-Woolworths (non-chargeable)</t>
        </is>
      </c>
      <c r="R365" s="66" t="inlineStr"/>
    </row>
    <row r="366">
      <c r="P366" s="66" t="inlineStr">
        <is>
          <t>2906</t>
        </is>
      </c>
      <c r="Q366" s="66" t="inlineStr">
        <is>
          <t>KPMG BNE Tech</t>
        </is>
      </c>
      <c r="R366" s="66" t="inlineStr">
        <is>
          <t>ONSITE</t>
        </is>
      </c>
    </row>
    <row r="367">
      <c r="P367" s="66" t="inlineStr">
        <is>
          <t>2907</t>
        </is>
      </c>
      <c r="Q367" s="66" t="inlineStr">
        <is>
          <t>Ammacus-Woolworths Tech</t>
        </is>
      </c>
      <c r="R367" s="66" t="inlineStr">
        <is>
          <t>ONSITE</t>
        </is>
      </c>
    </row>
    <row r="368">
      <c r="P368" s="66" t="inlineStr">
        <is>
          <t>2910</t>
        </is>
      </c>
      <c r="Q368" s="66" t="inlineStr">
        <is>
          <t>Office Move 2024</t>
        </is>
      </c>
      <c r="R368" s="66" t="inlineStr">
        <is>
          <t>CTS</t>
        </is>
      </c>
    </row>
    <row r="369">
      <c r="P369" s="66" t="inlineStr">
        <is>
          <t>2977</t>
        </is>
      </c>
      <c r="Q369" s="66" t="inlineStr">
        <is>
          <t>St Catherine's School (CONS)</t>
        </is>
      </c>
      <c r="R369" s="66" t="inlineStr"/>
    </row>
    <row r="370">
      <c r="P370" s="66" t="inlineStr">
        <is>
          <t>3014</t>
        </is>
      </c>
      <c r="Q370" s="66" t="inlineStr">
        <is>
          <t>ONS Ricoh/Campari (Chargeable)</t>
        </is>
      </c>
      <c r="R370" s="66" t="inlineStr"/>
    </row>
    <row r="371">
      <c r="P371" s="66" t="inlineStr">
        <is>
          <t>3015</t>
        </is>
      </c>
      <c r="Q371" s="66" t="inlineStr">
        <is>
          <t>ONS Ricoh/Campari (Non Chgble)</t>
        </is>
      </c>
      <c r="R371" s="66" t="inlineStr"/>
    </row>
    <row r="372">
      <c r="P372" s="66" t="inlineStr">
        <is>
          <t>3027</t>
        </is>
      </c>
      <c r="Q372" s="66" t="inlineStr">
        <is>
          <t>DPIE Elizabeth St Booking</t>
        </is>
      </c>
      <c r="R372" s="66" t="inlineStr">
        <is>
          <t>INTEGRATION</t>
        </is>
      </c>
    </row>
    <row r="373">
      <c r="P373" s="66" t="inlineStr">
        <is>
          <t>3028</t>
        </is>
      </c>
      <c r="Q373" s="66" t="inlineStr">
        <is>
          <t>APA Kidman Park VMS</t>
        </is>
      </c>
      <c r="R373" s="66" t="inlineStr">
        <is>
          <t>INTEGRATION</t>
        </is>
      </c>
    </row>
    <row r="374">
      <c r="P374" s="66" t="inlineStr">
        <is>
          <t>3034</t>
        </is>
      </c>
      <c r="Q374" s="66" t="inlineStr">
        <is>
          <t>ARUP ONS (non-chargeable)</t>
        </is>
      </c>
      <c r="R374" s="66" t="inlineStr"/>
    </row>
    <row r="375">
      <c r="P375" s="66" t="inlineStr">
        <is>
          <t>3035</t>
        </is>
      </c>
      <c r="Q375" s="66" t="inlineStr">
        <is>
          <t>ARUP ONS National (Chargeable)</t>
        </is>
      </c>
      <c r="R375" s="66" t="inlineStr"/>
    </row>
    <row r="376">
      <c r="P376" s="66" t="inlineStr">
        <is>
          <t>3040</t>
        </is>
      </c>
      <c r="Q376" s="66" t="inlineStr">
        <is>
          <t>Corrs MELB Office Reloc</t>
        </is>
      </c>
      <c r="R376" s="66" t="inlineStr">
        <is>
          <t>CONSULTING</t>
        </is>
      </c>
    </row>
    <row r="377">
      <c r="P377" s="66" t="inlineStr">
        <is>
          <t>3042</t>
        </is>
      </c>
      <c r="Q377" s="66" t="inlineStr">
        <is>
          <t>Corrs-PER Office Reloc</t>
        </is>
      </c>
      <c r="R377" s="66" t="inlineStr">
        <is>
          <t>CONSULTING</t>
        </is>
      </c>
    </row>
    <row r="378">
      <c r="P378" s="66" t="inlineStr">
        <is>
          <t>3046</t>
        </is>
      </c>
      <c r="Q378" s="66" t="inlineStr">
        <is>
          <t>Stone&amp;Chalk ONS [chargeable]</t>
        </is>
      </c>
      <c r="R378" s="66" t="inlineStr"/>
    </row>
    <row r="379">
      <c r="P379" s="66" t="inlineStr">
        <is>
          <t>3047</t>
        </is>
      </c>
      <c r="Q379" s="66" t="inlineStr">
        <is>
          <t>Stone&amp;Chalk ONS [non-chargable]</t>
        </is>
      </c>
      <c r="R379" s="66" t="inlineStr"/>
    </row>
    <row r="380">
      <c r="P380" s="66" t="inlineStr">
        <is>
          <t>3048</t>
        </is>
      </c>
      <c r="Q380" s="66" t="inlineStr">
        <is>
          <t>Stone &amp; Chalk Audit 2</t>
        </is>
      </c>
      <c r="R380" s="66" t="inlineStr">
        <is>
          <t>CONSULTING</t>
        </is>
      </c>
    </row>
    <row r="381">
      <c r="P381" s="66" t="inlineStr">
        <is>
          <t>3056</t>
        </is>
      </c>
      <c r="Q381" s="66" t="inlineStr">
        <is>
          <t>AusPayNet Onsite [Chargeable]</t>
        </is>
      </c>
      <c r="R381" s="66" t="inlineStr"/>
    </row>
    <row r="382">
      <c r="P382" s="66" t="inlineStr">
        <is>
          <t>3057</t>
        </is>
      </c>
      <c r="Q382" s="66" t="inlineStr">
        <is>
          <t>AusPayNet ONS[Non-Chargeable]</t>
        </is>
      </c>
      <c r="R382" s="66" t="inlineStr"/>
    </row>
    <row r="383">
      <c r="P383" s="66" t="inlineStr">
        <is>
          <t>3059</t>
        </is>
      </c>
      <c r="Q383" s="66" t="inlineStr">
        <is>
          <t>CBA AGM 2025</t>
        </is>
      </c>
      <c r="R383" s="66" t="inlineStr">
        <is>
          <t>PRODUCTION</t>
        </is>
      </c>
    </row>
    <row r="384">
      <c r="P384" s="66" t="inlineStr">
        <is>
          <t>3068</t>
        </is>
      </c>
      <c r="Q384" s="66" t="inlineStr">
        <is>
          <t>DPIE Pitt and Penrith</t>
        </is>
      </c>
      <c r="R384" s="66" t="inlineStr">
        <is>
          <t>INTEGRATION</t>
        </is>
      </c>
    </row>
    <row r="385">
      <c r="P385" s="66" t="inlineStr">
        <is>
          <t>3072</t>
        </is>
      </c>
      <c r="Q385" s="66" t="inlineStr">
        <is>
          <t>APA Thomastown</t>
        </is>
      </c>
      <c r="R385" s="66" t="inlineStr">
        <is>
          <t>INTEGRATION</t>
        </is>
      </c>
    </row>
    <row r="386">
      <c r="P386" s="66" t="inlineStr">
        <is>
          <t>585</t>
        </is>
      </c>
      <c r="Q386" s="66" t="inlineStr">
        <is>
          <t>CBA Team Leader</t>
        </is>
      </c>
      <c r="R386" s="66" t="inlineStr">
        <is>
          <t>ONSITE</t>
        </is>
      </c>
    </row>
    <row r="387">
      <c r="P387" s="66" t="inlineStr">
        <is>
          <t>586</t>
        </is>
      </c>
      <c r="Q387" s="66" t="inlineStr">
        <is>
          <t>CBA Tech NP</t>
        </is>
      </c>
      <c r="R387" s="66" t="inlineStr">
        <is>
          <t>ONSITE</t>
        </is>
      </c>
    </row>
    <row r="388">
      <c r="P388" s="66" t="inlineStr">
        <is>
          <t>587</t>
        </is>
      </c>
      <c r="Q388" s="66" t="inlineStr">
        <is>
          <t>CBA Tech TN</t>
        </is>
      </c>
      <c r="R388" s="66" t="inlineStr">
        <is>
          <t>ONSITE</t>
        </is>
      </c>
    </row>
    <row r="389">
      <c r="P389" s="66" t="inlineStr">
        <is>
          <t>724</t>
        </is>
      </c>
      <c r="Q389" s="66" t="inlineStr">
        <is>
          <t>DTTL SYD NTSL</t>
        </is>
      </c>
      <c r="R389" s="66" t="inlineStr">
        <is>
          <t>ONSITE</t>
        </is>
      </c>
    </row>
    <row r="390">
      <c r="P390" s="66" t="inlineStr">
        <is>
          <t>725</t>
        </is>
      </c>
      <c r="Q390" s="66" t="inlineStr">
        <is>
          <t>DTTL Mel Tech FT 1</t>
        </is>
      </c>
      <c r="R390" s="66" t="inlineStr">
        <is>
          <t>ONSITE</t>
        </is>
      </c>
    </row>
    <row r="391">
      <c r="P391" s="66" t="inlineStr">
        <is>
          <t>729</t>
        </is>
      </c>
      <c r="Q391" s="66" t="inlineStr">
        <is>
          <t>DTTL Consulting</t>
        </is>
      </c>
      <c r="R391" s="66" t="inlineStr">
        <is>
          <t>CONSULTING</t>
        </is>
      </c>
    </row>
    <row r="392">
      <c r="P392" s="66" t="inlineStr">
        <is>
          <t>732</t>
        </is>
      </c>
      <c r="Q392" s="66" t="inlineStr">
        <is>
          <t>Bank West Contract</t>
        </is>
      </c>
      <c r="R392" s="66" t="inlineStr">
        <is>
          <t>ONSITE</t>
        </is>
      </c>
    </row>
    <row r="393">
      <c r="P393" s="66" t="inlineStr">
        <is>
          <t>9000</t>
        </is>
      </c>
      <c r="Q393" s="66" t="inlineStr">
        <is>
          <t>OFFICE / ADMIN</t>
        </is>
      </c>
      <c r="R393" s="66" t="inlineStr">
        <is>
          <t>CTS</t>
        </is>
      </c>
    </row>
    <row r="394">
      <c r="P394" s="66" t="inlineStr">
        <is>
          <t>9001</t>
        </is>
      </c>
      <c r="Q394" s="66" t="inlineStr">
        <is>
          <t>OFFICE/ADMIN Orientation</t>
        </is>
      </c>
      <c r="R394" s="66" t="inlineStr">
        <is>
          <t>CTS</t>
        </is>
      </c>
    </row>
    <row r="395">
      <c r="P395" s="66" t="inlineStr">
        <is>
          <t>9050</t>
        </is>
      </c>
      <c r="Q395" s="66" t="inlineStr">
        <is>
          <t>OFFICE ASSETS</t>
        </is>
      </c>
      <c r="R395" s="66" t="inlineStr">
        <is>
          <t>CTS</t>
        </is>
      </c>
    </row>
    <row r="396">
      <c r="P396" s="66" t="inlineStr">
        <is>
          <t>9100</t>
        </is>
      </c>
      <c r="Q396" s="66" t="inlineStr">
        <is>
          <t>PRODUCTION</t>
        </is>
      </c>
      <c r="R396" s="66" t="inlineStr">
        <is>
          <t>PRODUCTION</t>
        </is>
      </c>
    </row>
    <row r="397">
      <c r="P397" s="66" t="inlineStr">
        <is>
          <t>9101</t>
        </is>
      </c>
      <c r="Q397" s="66" t="inlineStr">
        <is>
          <t>PRODUCTION - Orientation</t>
        </is>
      </c>
      <c r="R397" s="66" t="inlineStr">
        <is>
          <t>PRODUCTION</t>
        </is>
      </c>
    </row>
    <row r="398">
      <c r="P398" s="66" t="inlineStr">
        <is>
          <t>9102</t>
        </is>
      </c>
      <c r="Q398" s="66" t="inlineStr">
        <is>
          <t>Production - Training</t>
        </is>
      </c>
      <c r="R398" s="66" t="inlineStr">
        <is>
          <t>PRODUCTION</t>
        </is>
      </c>
    </row>
    <row r="399">
      <c r="P399" s="66" t="inlineStr">
        <is>
          <t>9105</t>
        </is>
      </c>
      <c r="Q399" s="66" t="inlineStr">
        <is>
          <t>ONSITE (including PROD backup)</t>
        </is>
      </c>
      <c r="R399" s="66" t="inlineStr"/>
    </row>
    <row r="400">
      <c r="P400" s="66" t="inlineStr">
        <is>
          <t>9106</t>
        </is>
      </c>
      <c r="Q400" s="66" t="inlineStr">
        <is>
          <t>ONSITE - Orientation</t>
        </is>
      </c>
      <c r="R400" s="66" t="inlineStr">
        <is>
          <t>ONSITE</t>
        </is>
      </c>
    </row>
    <row r="401">
      <c r="P401" s="66" t="inlineStr">
        <is>
          <t>9107</t>
        </is>
      </c>
      <c r="Q401" s="66" t="inlineStr">
        <is>
          <t>ONSITE - Assets</t>
        </is>
      </c>
      <c r="R401" s="66" t="inlineStr">
        <is>
          <t>ONSITE</t>
        </is>
      </c>
    </row>
    <row r="402">
      <c r="P402" s="66" t="inlineStr">
        <is>
          <t>9108</t>
        </is>
      </c>
      <c r="Q402" s="66" t="inlineStr">
        <is>
          <t>ONSITE - Sales</t>
        </is>
      </c>
      <c r="R402" s="66" t="inlineStr">
        <is>
          <t>ONSITE</t>
        </is>
      </c>
    </row>
    <row r="403">
      <c r="P403" s="66" t="inlineStr">
        <is>
          <t>9109</t>
        </is>
      </c>
      <c r="Q403" s="66" t="inlineStr">
        <is>
          <t>ONSITE - Marketing</t>
        </is>
      </c>
      <c r="R403" s="66" t="inlineStr">
        <is>
          <t>ONSITE</t>
        </is>
      </c>
    </row>
    <row r="404">
      <c r="P404" s="66" t="inlineStr">
        <is>
          <t>9125</t>
        </is>
      </c>
      <c r="Q404" s="66" t="inlineStr">
        <is>
          <t>VIDEO DEPT</t>
        </is>
      </c>
      <c r="R404" s="66" t="inlineStr">
        <is>
          <t>VIDEO</t>
        </is>
      </c>
    </row>
    <row r="405">
      <c r="P405" s="66" t="inlineStr">
        <is>
          <t>9126</t>
        </is>
      </c>
      <c r="Q405" s="66" t="inlineStr">
        <is>
          <t>VIDEO - Orientation</t>
        </is>
      </c>
      <c r="R405" s="66" t="inlineStr">
        <is>
          <t>VIDEO</t>
        </is>
      </c>
    </row>
    <row r="406">
      <c r="P406" s="66" t="inlineStr">
        <is>
          <t>9127</t>
        </is>
      </c>
      <c r="Q406" s="66" t="inlineStr">
        <is>
          <t>VIDEO - Assets</t>
        </is>
      </c>
      <c r="R406" s="66" t="inlineStr">
        <is>
          <t>VIDEO</t>
        </is>
      </c>
    </row>
    <row r="407">
      <c r="P407" s="66" t="inlineStr">
        <is>
          <t>9128</t>
        </is>
      </c>
      <c r="Q407" s="66" t="inlineStr">
        <is>
          <t>VIDEO - Sales</t>
        </is>
      </c>
      <c r="R407" s="66" t="inlineStr">
        <is>
          <t>VIDEO</t>
        </is>
      </c>
    </row>
    <row r="408">
      <c r="P408" s="66" t="inlineStr">
        <is>
          <t>9129</t>
        </is>
      </c>
      <c r="Q408" s="66" t="inlineStr">
        <is>
          <t>VIDEO - Marketing</t>
        </is>
      </c>
      <c r="R408" s="66" t="inlineStr">
        <is>
          <t>VIDEO</t>
        </is>
      </c>
    </row>
    <row r="409">
      <c r="P409" s="66" t="inlineStr">
        <is>
          <t>9150</t>
        </is>
      </c>
      <c r="Q409" s="66" t="inlineStr">
        <is>
          <t>PRODUCTION - Assets</t>
        </is>
      </c>
      <c r="R409" s="66" t="inlineStr">
        <is>
          <t>PRODUCTION</t>
        </is>
      </c>
    </row>
    <row r="410">
      <c r="P410" s="66" t="inlineStr">
        <is>
          <t>9175</t>
        </is>
      </c>
      <c r="Q410" s="66" t="inlineStr">
        <is>
          <t>PRODUCTION - Sales</t>
        </is>
      </c>
      <c r="R410" s="66" t="inlineStr">
        <is>
          <t>PRODUCTION</t>
        </is>
      </c>
    </row>
    <row r="411">
      <c r="P411" s="66" t="inlineStr">
        <is>
          <t>9176</t>
        </is>
      </c>
      <c r="Q411" s="66" t="inlineStr">
        <is>
          <t>Production - Marketing</t>
        </is>
      </c>
      <c r="R411" s="66" t="inlineStr">
        <is>
          <t>PRODUCTION</t>
        </is>
      </c>
    </row>
    <row r="412">
      <c r="P412" s="66" t="inlineStr">
        <is>
          <t>9178</t>
        </is>
      </c>
      <c r="Q412" s="66" t="inlineStr">
        <is>
          <t>Production – Webcasts</t>
        </is>
      </c>
      <c r="R412" s="66" t="inlineStr">
        <is>
          <t>PRODUCTION</t>
        </is>
      </c>
    </row>
    <row r="413">
      <c r="P413" s="66" t="inlineStr">
        <is>
          <t>9200</t>
        </is>
      </c>
      <c r="Q413" s="66" t="inlineStr">
        <is>
          <t>INTEGRATION</t>
        </is>
      </c>
      <c r="R413" s="66" t="inlineStr">
        <is>
          <t>INTEGRATION</t>
        </is>
      </c>
    </row>
    <row r="414">
      <c r="P414" s="66" t="inlineStr">
        <is>
          <t>9201</t>
        </is>
      </c>
      <c r="Q414" s="66" t="inlineStr">
        <is>
          <t>INTEGRATION - Orientation [INT</t>
        </is>
      </c>
      <c r="R414" s="66" t="inlineStr"/>
    </row>
    <row r="415">
      <c r="P415" s="66" t="inlineStr">
        <is>
          <t>9202</t>
        </is>
      </c>
      <c r="Q415" s="66" t="inlineStr">
        <is>
          <t>INTEGRATION - Quotes</t>
        </is>
      </c>
      <c r="R415" s="66" t="inlineStr">
        <is>
          <t>INTEGRATION</t>
        </is>
      </c>
    </row>
    <row r="416">
      <c r="P416" s="66" t="inlineStr">
        <is>
          <t>9225</t>
        </is>
      </c>
      <c r="Q416" s="66" t="inlineStr">
        <is>
          <t>Integration - SALES</t>
        </is>
      </c>
      <c r="R416" s="66" t="inlineStr">
        <is>
          <t>INTEGRATION</t>
        </is>
      </c>
    </row>
    <row r="417">
      <c r="P417" s="66" t="inlineStr">
        <is>
          <t>9226</t>
        </is>
      </c>
      <c r="Q417" s="66" t="inlineStr">
        <is>
          <t>Integration - Marketing</t>
        </is>
      </c>
      <c r="R417" s="66" t="inlineStr">
        <is>
          <t>INTEGRATION</t>
        </is>
      </c>
    </row>
    <row r="418">
      <c r="P418" s="66" t="inlineStr">
        <is>
          <t>9300</t>
        </is>
      </c>
      <c r="Q418" s="66" t="inlineStr">
        <is>
          <t>HUMAN RESOURCES</t>
        </is>
      </c>
      <c r="R418" s="66" t="inlineStr">
        <is>
          <t>CTS</t>
        </is>
      </c>
    </row>
    <row r="419">
      <c r="P419" s="66" t="inlineStr">
        <is>
          <t>9301</t>
        </is>
      </c>
      <c r="Q419" s="66" t="inlineStr">
        <is>
          <t>Recruitment</t>
        </is>
      </c>
      <c r="R419" s="66" t="inlineStr">
        <is>
          <t>CTS</t>
        </is>
      </c>
    </row>
    <row r="420">
      <c r="P420" s="66" t="inlineStr">
        <is>
          <t>9350</t>
        </is>
      </c>
      <c r="Q420" s="66" t="inlineStr">
        <is>
          <t>MARKETING (external)</t>
        </is>
      </c>
      <c r="R420" s="66" t="inlineStr">
        <is>
          <t>CTS</t>
        </is>
      </c>
    </row>
    <row r="421">
      <c r="P421" s="66" t="inlineStr">
        <is>
          <t>9375</t>
        </is>
      </c>
      <c r="Q421" s="66" t="inlineStr">
        <is>
          <t>MARKETING / COMMS</t>
        </is>
      </c>
      <c r="R421" s="66" t="inlineStr">
        <is>
          <t>CTS</t>
        </is>
      </c>
    </row>
    <row r="422">
      <c r="P422" s="66" t="inlineStr">
        <is>
          <t>9400</t>
        </is>
      </c>
      <c r="Q422" s="66" t="inlineStr">
        <is>
          <t>CONSULTING</t>
        </is>
      </c>
      <c r="R422" s="66" t="inlineStr">
        <is>
          <t>CONSULTING</t>
        </is>
      </c>
    </row>
    <row r="423">
      <c r="P423" s="66" t="inlineStr">
        <is>
          <t>9402</t>
        </is>
      </c>
      <c r="Q423" s="66" t="inlineStr">
        <is>
          <t>CONSULTING - Assets</t>
        </is>
      </c>
      <c r="R423" s="66" t="inlineStr">
        <is>
          <t>CONSULTING</t>
        </is>
      </c>
    </row>
    <row r="424">
      <c r="P424" s="66" t="inlineStr">
        <is>
          <t>9403</t>
        </is>
      </c>
      <c r="Q424" s="66" t="inlineStr">
        <is>
          <t>CONSULTING - Sales</t>
        </is>
      </c>
      <c r="R424" s="66" t="inlineStr">
        <is>
          <t>CONSULTING</t>
        </is>
      </c>
    </row>
    <row r="425">
      <c r="P425" s="66" t="inlineStr">
        <is>
          <t>9405</t>
        </is>
      </c>
      <c r="Q425" s="66" t="inlineStr">
        <is>
          <t>CONSULTING - Marketing</t>
        </is>
      </c>
      <c r="R425" s="66" t="inlineStr">
        <is>
          <t>CONSULTING</t>
        </is>
      </c>
    </row>
    <row r="426">
      <c r="P426" s="66" t="inlineStr">
        <is>
          <t>9407</t>
        </is>
      </c>
      <c r="Q426" s="66" t="inlineStr">
        <is>
          <t>CONSULTING - Training</t>
        </is>
      </c>
      <c r="R426" s="66" t="inlineStr">
        <is>
          <t>CONSULTING</t>
        </is>
      </c>
    </row>
    <row r="427">
      <c r="P427" s="66" t="inlineStr">
        <is>
          <t>974</t>
        </is>
      </c>
      <c r="Q427" s="66" t="inlineStr">
        <is>
          <t>DTTL 1300 Number</t>
        </is>
      </c>
      <c r="R427" s="66" t="inlineStr">
        <is>
          <t>ONSITE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2026-09-23T00:25:44Z</dcterms:created>
  <dcterms:modified xsi:type="dcterms:W3CDTF">2026-09-23T00:25:49Z</dcterms:modified>
</cp:coreProperties>
</file>