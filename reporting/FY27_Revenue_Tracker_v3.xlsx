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Other"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2" fillId="0" borderId="0" pivotButton="0" quotePrefix="0" xfId="0"/>
    <xf numFmtId="166" fontId="13" fillId="6" borderId="1" pivotButton="0" quotePrefix="0" xfId="0"/>
    <xf numFmtId="167" fontId="13"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Discount %"/>
    <tableColumn id="31" name="Cross Hire Expense"/>
    <tableColumn id="32" name="Labour Expense (Internal)"/>
    <tableColumn id="33" name="Net Tot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5"/>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video/production split, the WIP reconciliation, sixteen data checks, and a sign-off box.</t>
        </is>
      </c>
    </row>
    <row r="16" ht="30" customHeight="1">
      <c r="B16" s="5" t="inlineStr">
        <is>
          <t>WIP Summary</t>
        </is>
      </c>
      <c r="C16" s="6" t="inlineStr">
        <is>
          <t>WIP opening / movement / closing for every job, for the selected month, so you can tie job by job back to the WIP Schedule file.</t>
        </is>
      </c>
    </row>
    <row r="17" ht="45" customHeight="1">
      <c r="B17" s="5" t="inlineStr">
        <is>
          <t>Lists</t>
        </is>
      </c>
      <c r="C17" s="6" t="inlineStr">
        <is>
          <t>Every dropdown reads from here. The cost centres, job numbers and revenue GL codes were pulled straight out of your Xero organisation, so they already match. Add a new value at the bottom of a list and it appears in the dropdowns straight away.</t>
        </is>
      </c>
    </row>
    <row r="18" ht="10" customHeight="1"/>
    <row r="19" ht="22" customHeight="1">
      <c r="B19" s="3" t="inlineStr">
        <is>
          <t>THE COLUMNS EVERY DEPARTMENT SHARES</t>
        </is>
      </c>
    </row>
    <row r="20" ht="42" customHeight="1">
      <c r="C20"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1" ht="10" customHeight="1"/>
    <row r="22" ht="22" customHeight="1">
      <c r="B22" s="3" t="inlineStr">
        <is>
          <t>VIDEO REVENUE  -  how the Production sheet splits it</t>
        </is>
      </c>
    </row>
    <row r="23" ht="28" customHeight="1">
      <c r="C23" s="4" t="inlineStr">
        <is>
          <t>An invoice can carry both production and video work, and in Xero those are two different Cost Centres on the same invoice. So the Production sheet splits the money rather than the row.</t>
        </is>
      </c>
    </row>
    <row r="24" ht="28" customHeight="1">
      <c r="C24" s="4" t="inlineStr">
        <is>
          <t xml:space="preserve">   Video Revenue (column T) is the only figure you type. It is the ex-GST portion of the invoice coded to VIDEO in Xero. Leave it blank for a job with no video.</t>
        </is>
      </c>
    </row>
    <row r="25" ht="14" customHeight="1">
      <c r="C25" s="4" t="inlineStr">
        <is>
          <t xml:space="preserve">   Production Revenue (column U) is the remainder, worked out for you.</t>
        </is>
      </c>
    </row>
    <row r="26" ht="28" customHeight="1">
      <c r="C26" s="4" t="inlineStr">
        <is>
          <t xml:space="preserve">   Video Split (column V) tells you what the row is: All production, Split, All video, or CHECK if the numbers do not add up. Amber means split, red means something is wrong.</t>
        </is>
      </c>
    </row>
    <row r="27" ht="28" customHeight="1">
      <c r="C27" s="4" t="inlineStr">
        <is>
          <t xml:space="preserve">   Video GST (column W) apportions the GST the same way, so Inc GST still adds up on every line of the Month-End breakdown.</t>
        </is>
      </c>
    </row>
    <row r="28" ht="42" customHeight="1">
      <c r="C28" s="4"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29" ht="42" customHeight="1">
      <c r="C29" s="4"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0" ht="10" customHeight="1"/>
    <row r="31" ht="22" customHeight="1">
      <c r="B31" s="3" t="inlineStr">
        <is>
          <t>THE WIP SIGN RULE  -  read this once and it will always make sense</t>
        </is>
      </c>
    </row>
    <row r="32" ht="14" customHeight="1">
      <c r="C32" s="4" t="inlineStr">
        <is>
          <t>One signed Amount column does both jobs, because GL 11300 nets accrued and deferred revenue.</t>
        </is>
      </c>
    </row>
    <row r="33" ht="28" customHeight="1">
      <c r="C33" s="4" t="inlineStr">
        <is>
          <t xml:space="preserve">   Positive  =  revenue recognised this month.  Work done but not yet invoiced (Dr 11300, Cr Revenue), or a deferral being released.</t>
        </is>
      </c>
    </row>
    <row r="34" ht="14" customHeight="1">
      <c r="C34" s="4" t="inlineStr">
        <is>
          <t xml:space="preserve">   Negative  =  revenue pushed out of this month.  Invoiced in advance (Dr Revenue, Cr 11300).</t>
        </is>
      </c>
    </row>
    <row r="35" ht="42" customHeight="1">
      <c r="C35" s="4" t="inlineStr">
        <is>
          <t>So: Revenue recognised  =  Invoiced Ex GST  +  WIP movement.  And the running total of the Amount column is the GL 11300 balance. A negative closing balance means you are net deferred, which is what your current WIP Schedule shows (-128,544.93 at Aug-26).</t>
        </is>
      </c>
    </row>
    <row r="36" ht="10" customHeight="1"/>
    <row r="37" ht="22" customHeight="1">
      <c r="B37" s="3" t="inlineStr">
        <is>
          <t>MONTH-END, IN ORDER</t>
        </is>
      </c>
    </row>
    <row r="38" ht="14" customHeight="1">
      <c r="C38" s="4" t="inlineStr">
        <is>
          <t>1.  Chase the departments until every invoice for the month is on their sheet and Posted to Xero is Y.</t>
        </is>
      </c>
    </row>
    <row r="39" ht="14" customHeight="1">
      <c r="C39" s="4" t="inlineStr">
        <is>
          <t>2.  Open Month-End and set the month.</t>
        </is>
      </c>
    </row>
    <row r="40" ht="14" customHeight="1">
      <c r="C40" s="4" t="inlineStr">
        <is>
          <t>3.  Work section 3 (Data checks) first. Every count must be zero. Fix on the department sheet, not here.</t>
        </is>
      </c>
    </row>
    <row r="41" ht="28" customHeight="1">
      <c r="C41" s="4" t="inlineStr">
        <is>
          <t>4.  Section 1: run the Xero P&amp;L for the month by Cost Centre tracking category and type the revenue into the yellow column. Each line should read Reconciled.</t>
        </is>
      </c>
    </row>
    <row r="42" ht="28" customHeight="1">
      <c r="C42" s="4" t="inlineStr">
        <is>
          <t>5.  Section 2: type the WIP Schedule closing balance and the Xero GL 11300 balance. Both should read Reconciled.</t>
        </is>
      </c>
    </row>
    <row r="43" ht="28" customHeight="1">
      <c r="C43" s="4" t="inlineStr">
        <is>
          <t>6.  Breaks in section 2 - open WIP Summary, paste the WIP Schedule balances into column G and the variance column shows you which job is out.</t>
        </is>
      </c>
    </row>
    <row r="44" ht="14" customHeight="1">
      <c r="C44" s="4" t="inlineStr">
        <is>
          <t>7.  Sign off in section 4.</t>
        </is>
      </c>
    </row>
    <row r="45" ht="10" customHeight="1"/>
    <row r="46" ht="22" customHeight="1">
      <c r="B46" s="3" t="inlineStr">
        <is>
          <t>RULES THAT KEEP IT FAST</t>
        </is>
      </c>
    </row>
    <row r="47" ht="14" customHeight="1">
      <c r="C47" s="4" t="inlineStr">
        <is>
          <t xml:space="preserve">   Never insert or delete rows above the header row on a department sheet.</t>
        </is>
      </c>
    </row>
    <row r="48" ht="28" customHeight="1">
      <c r="C48" s="4" t="inlineStr">
        <is>
          <t xml:space="preserve">   Add new rows by clicking the last cell of the table and pressing Tab - the table grows and the formulas follow.</t>
        </is>
      </c>
    </row>
    <row r="49" ht="14" customHeight="1">
      <c r="C49" s="4" t="inlineStr">
        <is>
          <t xml:space="preserve">   Do not paste whole columns in. Paste values only, into the table.</t>
        </is>
      </c>
    </row>
    <row r="50" ht="28" customHeight="1">
      <c r="C50" s="4" t="inlineStr">
        <is>
          <t xml:space="preserve">   Do not add conditional formatting over whole columns (A:A). That is the other classic way to make Excel crawl.</t>
        </is>
      </c>
    </row>
    <row r="51" ht="28" customHeight="1">
      <c r="C51" s="4" t="inlineStr">
        <is>
          <t xml:space="preserve">   Leave calculation on Automatic. There is nothing volatile in here - no OFFSET, no INDIRECT, no TODAY in bulk.</t>
        </is>
      </c>
    </row>
    <row r="52" ht="14" customHeight="1">
      <c r="C52" s="4" t="inlineStr">
        <is>
          <t xml:space="preserve">   Keep it as .xlsx. The moment someone saves it as .xlsm and adds a macro, you are back where you started.</t>
        </is>
      </c>
    </row>
    <row r="53" ht="10" customHeight="1"/>
    <row r="54" ht="22" customHeight="1">
      <c r="B54" s="3" t="inlineStr">
        <is>
          <t>WHAT WAS BROUGHT ACROSS FROM THE OLD FILE</t>
        </is>
      </c>
    </row>
    <row r="55" ht="28" customHeight="1">
      <c r="C55" s="4" t="inlineStr">
        <is>
          <t xml:space="preserve">   Onsite (was "Support"): 54 rows.   Production: 61 rows.   Consulting: 34 rows.   WIP Movements: 126 rows.</t>
        </is>
      </c>
    </row>
    <row r="56" ht="14" customHeight="1">
      <c r="C56" s="4" t="inlineStr">
        <is>
          <t xml:space="preserve">   "Support" was renamed ONSITE to match the Cost Centre tracking category in Xero.</t>
        </is>
      </c>
    </row>
    <row r="57" ht="28" customHeight="1">
      <c r="C57" s="4" t="inlineStr">
        <is>
          <t xml:space="preserve">   Department totals tie to the cent: Onsite 512,023.81, Production 460,883.46, Consulting 857,950.27, WIP 17,537.91.</t>
        </is>
      </c>
    </row>
    <row r="58" ht="28" customHeight="1">
      <c r="C58" s="4" t="inlineStr">
        <is>
          <t xml:space="preserve">   Margins, GST, net totals and discount percentages were all recalculated by formula rather than copied, so the numbers are derived, not stale.</t>
        </is>
      </c>
    </row>
    <row r="59" ht="28" customHeight="1">
      <c r="C59" s="4" t="inlineStr">
        <is>
          <t xml:space="preserve">   Revenue GL codes were assigned by rule on migration (Onsite 41100, Production 42100, Video 42150, Consulting 42800, Integration 42300). Spot-check these - they are a starting point, not gospel.</t>
        </is>
      </c>
    </row>
    <row r="60" ht="28" customHeight="1">
      <c r="C60" s="4" t="inlineStr">
        <is>
          <t xml:space="preserve">   The 126 migrated WIP rows were given a Type based on the sign of the amount. Confirm those before you rely on them.</t>
        </is>
      </c>
    </row>
    <row r="61" ht="10" customHeight="1"/>
    <row r="62" ht="22" customHeight="1">
      <c r="B62" s="7" t="inlineStr">
        <is>
          <t>TWO THINGS TO CONFIRM BEFORE YOU RELY ON THIS</t>
        </is>
      </c>
    </row>
    <row r="63" ht="70" customHeight="1">
      <c r="C63" s="4" t="inlineStr">
        <is>
          <t>Production revenue basis. The old Dashboard reported Production on "Net Total", which is Invoice Value minus Discounts Included - $415,476.74 against an invoice value of $460,883.46, a gap of $45,406.72. Xero holds the invoice value, so this workbook reconciles on Ex GST (invoice value) and keeps Net Total as a separate management column. If the discount is applied inside the Xero invoice, Ex GST is the right basis and the old Dashboard was under-reporting Production by the discount. Confirm this.</t>
        </is>
      </c>
    </row>
    <row r="64" ht="42" customHeight="1">
      <c r="C64"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65" ht="42" customHeight="1">
      <c r="C65"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9">
    <mergeCell ref="B54:C54"/>
    <mergeCell ref="B62:C62"/>
    <mergeCell ref="B11:C11"/>
    <mergeCell ref="B19:C19"/>
    <mergeCell ref="B5:C5"/>
    <mergeCell ref="B37:C37"/>
    <mergeCell ref="B46:C46"/>
    <mergeCell ref="B22:C22"/>
    <mergeCell ref="B31:C31"/>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d,_xlfn.VSTACK(_xlfn.CHOOSECOLS(tbl_Onsite[#Data],1,2,3,4,5,6,7,8,9,10,11,12,13,14,15,16,17,18,19),_xlfn.CHOOSECOLS(tbl_Production[#Data],1,2,3,4,5,6,7,8,9,10,11,12,13,14,15,16,17,18,19),_xlfn.CHOOSECOLS(tbl_Consulting[#Data],1,2,3,4,5,6,7,8,9,10,11,12,13,14,15,16,17,18,19),_xlfn.CHOOSECOLS(tbl_Other[#Data],1,2,3,4,5,6,7,8,9,10,11,12,13,14,15,16,17,18,19)),keep,--((_xlfn.CHOOSECOLS(d,1)&amp;_xlfn.CHOOSECOLS(d,5)&amp;_xlfn.CHOOSECOLS(d,10)&amp;_xlfn.CHOOSECOLS(d,12))&lt;&gt;""),fTeam,IF($A$5="All",1,--(_xlfn.CHOOSECOLS(d,3)=$A$5)),fCC,IF($C$5="All",1,--(_xlfn.CHOOSECOLS(d,4)=$C$5)),fMonth,IF($E$5="All",1,--(_xlfn.CHOOSECOLS(d,2)=$E$5)),fStat,IF($G$5="All",1,--(_xlfn.CHOOSECOLS(d,18)=$G$5)),fFind,IF($I$5="",1,--ISNUMBER(SEARCH($I$5,_xlfn.CHOOSECOLS(d,5)&amp;"|"&amp;_xlfn.CHOOSECOLS(d,6)&amp;"|"&amp;_xlfn.CHOOSECOLS(d,8)&amp;"|"&amp;_xlfn.CHOOSECOLS(d,10)))),k,keep*fTeam*fCC*fMonth*fStat*fFind,cnt,SUM(k),tot,SUM(keep),ex,SUMPRODUCT(k,IFERROR(_xlfn.CHOOSECOLS(d,12)*1,0)),gs,SUMPRODUCT(k,IFERROR(_xlfn.CHOOSECOLS(d,13)*1,0)),ic,SUMPRODUCT(k,IFERROR(_xlfn.CHOOSECOLS(d,14)*1,0)),"Showing "&amp;TEXT(cnt,"#,##0")&amp;" of "&amp;TEXT(tot,"#,##0")&amp;" records"&amp;"      Ex GST "&amp;TEXT(ex,"$#,##0.00")&amp;"      GST "&amp;TEXT(gs,"$#,##0.00")&amp;"      Inc GST "&amp;TEXT(ic,"$#,##0.00"))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d,_xlfn.VSTACK(_xlfn.CHOOSECOLS(tbl_Onsite[#Data],1,2,3,4,5,6,7,8,9,10,11,12,13,14,15,16,17,18,19),_xlfn.CHOOSECOLS(tbl_Production[#Data],1,2,3,4,5,6,7,8,9,10,11,12,13,14,15,16,17,18,19),_xlfn.CHOOSECOLS(tbl_Consulting[#Data],1,2,3,4,5,6,7,8,9,10,11,12,13,14,15,16,17,18,19),_xlfn.CHOOSECOLS(tbl_Other[#Data],1,2,3,4,5,6,7,8,9,10,11,12,13,14,15,16,17,18,19)),keep,--((_xlfn.CHOOSECOLS(d,1)&amp;_xlfn.CHOOSECOLS(d,5)&amp;_xlfn.CHOOSECOLS(d,10)&amp;_xlfn.CHOOSECOLS(d,12))&lt;&gt;""),fTeam,IF($A$5="All",1,--(_xlfn.CHOOSECOLS(d,3)=$A$5)),fCC,IF($C$5="All",1,--(_xlfn.CHOOSECOLS(d,4)=$C$5)),fMonth,IF($E$5="All",1,--(_xlfn.CHOOSECOLS(d,2)=$E$5)),fStat,IF($G$5="All",1,--(_xlfn.CHOOSECOLS(d,18)=$G$5)),fFind,IF($I$5="",1,--ISNUMBER(SEARCH($I$5,_xlfn.CHOOSECOLS(d,5)&amp;"|"&amp;_xlfn.CHOOSECOLS(d,6)&amp;"|"&amp;_xlfn.CHOOSECOLS(d,8)&amp;"|"&amp;_xlfn.CHOOSECOLS(d,10)))),k,keep*fTeam*fCC*fMonth*fStat*fFind,_xlfn._xlws.SORT(_xlfn._xlws.FILTER(d,k=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4">
        <f>SUMIFS(tbl_Onsite[GST],tbl_Onsite[Month],$C$4,tbl_Onsite[Cost Centre],$A8)+SUMIFS(tbl_Production[GST],tbl_Production[Month],$C$4,tbl_Production[Cost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(SUMIFS(tbl_Production[Ex GST],tbl_Production[Month],$C$4,tbl_Production[Cost Centre],"PRODUCTION")+SUMIFS(tbl_Production[Ex GST],tbl_Production[Month],$C$4,tbl_Production[Cost Centre],"VIDEO"))-(SUMIFS(tbl_Production[Video Revenue],tbl_Production[Month],$C$4,tbl_Production[Cost Centre],"PRODUCTION")+SUMIFS(tbl_Production[Video Revenue],tbl_Production[Month],$C$4,tbl_Production[Cost Centre],"VIDEO"))+SUMIFS(tbl_Onsite[Ex GST],tbl_Onsite[Month],$C$4,tbl_Onsite[Cost Centre],$A9)+SUMIFS(tbl_Consulting[Ex GST],tbl_Consulting[Month],$C$4,tbl_Consulting[Cost Centre],$A9)+SUMIFS(tbl_Other[Ex GST],tbl_Other[Month],$C$4,tbl_Other[Cost Centre],$A9)</f>
        <v/>
      </c>
      <c r="C9" s="24">
        <f>(SUMIFS(tbl_Production[GST],tbl_Production[Month],$C$4,tbl_Production[Cost Centre],"PRODUCTION")+SUMIFS(tbl_Production[GST],tbl_Production[Month],$C$4,tbl_Production[Cost Centre],"VIDEO"))-(SUMIFS(tbl_Production[Video GST],tbl_Production[Month],$C$4,tbl_Production[Cost Centre],"PRODUCTION")+SUMIFS(tbl_Production[Video GST],tbl_Production[Month],$C$4,tbl_Production[Cost Centre],"VIDEO"))+SUMIFS(tbl_Onsite[GST],tbl_Onsite[Month],$C$4,tbl_Onsite[Cost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SUMIFS(tbl_Production[Video Revenue],tbl_Production[Month],$C$4,tbl_Production[Cost Centre],"PRODUCTION")+SUMIFS(tbl_Production[Video Revenue],tbl_Production[Month],$C$4,tbl_Production[Cost Centre],"VIDEO")+SUMIFS(tbl_Onsite[Ex GST],tbl_Onsite[Month],$C$4,tbl_Onsite[Cost Centre],$A10)+SUMIFS(tbl_Consulting[Ex GST],tbl_Consulting[Month],$C$4,tbl_Consulting[Cost Centre],$A10)+SUMIFS(tbl_Other[Ex GST],tbl_Other[Month],$C$4,tbl_Other[Cost Centre],$A10)</f>
        <v/>
      </c>
      <c r="C10" s="24">
        <f>SUMIFS(tbl_Production[Video GST],tbl_Production[Month],$C$4,tbl_Production[Cost Centre],"PRODUCTION")+SUMIFS(tbl_Production[Video GST],tbl_Production[Month],$C$4,tbl_Production[Cost Centre],"VIDEO")+SUMIFS(tbl_Onsite[GST],tbl_Onsite[Month],$C$4,tbl_Onsite[Cost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4">
        <f>SUMIFS(tbl_Onsite[GST],tbl_Onsite[Month],$C$4,tbl_Onsite[Cost Centre],$A11)+SUMIFS(tbl_Production[GST],tbl_Production[Month],$C$4,tbl_Production[Cost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4">
        <f>SUMIFS(tbl_Onsite[GST],tbl_Onsite[Month],$C$4,tbl_Onsite[Cost Centre],$A12)+SUMIFS(tbl_Production[GST],tbl_Production[Month],$C$4,tbl_Production[Cost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4">
        <f>SUMIFS(tbl_Onsite[GST],tbl_Onsite[Month],$C$4,tbl_Onsite[Cost Centre],$A13)+SUMIFS(tbl_Production[GST],tbl_Production[Month],$C$4,tbl_Production[Cost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VIDEO / PRODUCTION SPLIT  -  from the Production sheet</t>
        </is>
      </c>
    </row>
    <row r="17" ht="30" customHeight="1">
      <c r="A17" s="22" t="inlineStr"/>
      <c r="B17" s="22" t="inlineStr">
        <is>
          <t>Amount</t>
        </is>
      </c>
      <c r="C17" s="22" t="inlineStr"/>
      <c r="D17" s="22" t="inlineStr"/>
      <c r="E17" s="22" t="inlineStr"/>
      <c r="F17" s="22" t="inlineStr"/>
      <c r="G17" s="22" t="inlineStr"/>
      <c r="H17" s="22" t="inlineStr"/>
      <c r="I17" s="22" t="inlineStr"/>
    </row>
    <row r="18">
      <c r="A18" s="29" t="inlineStr">
        <is>
          <t>Video revenue (ex GST)</t>
        </is>
      </c>
      <c r="B18" s="25">
        <f>SUMIFS(tbl_Production[Video Revenue],tbl_Production[Month],$C$4)</f>
        <v/>
      </c>
    </row>
    <row r="19">
      <c r="A19" s="29" t="inlineStr">
        <is>
          <t>Production revenue (ex GST)</t>
        </is>
      </c>
      <c r="B19" s="25">
        <f>SUMIFS(tbl_Production[Production Revenue],tbl_Production[Month],$C$4)</f>
        <v/>
      </c>
    </row>
    <row r="20">
      <c r="A20" s="30" t="inlineStr">
        <is>
          <t>Total Production sheet revenue (ex GST)</t>
        </is>
      </c>
      <c r="B20" s="31">
        <f>B18+B19</f>
        <v/>
      </c>
    </row>
    <row r="21">
      <c r="A21" s="30" t="inlineStr">
        <is>
          <t>Video as a share of the Production sheet</t>
        </is>
      </c>
      <c r="B21" s="32">
        <f>IFERROR(B18/B20,"")</f>
        <v/>
      </c>
    </row>
    <row r="22">
      <c r="A22" s="29" t="inlineStr">
        <is>
          <t>Jobs with a video component</t>
        </is>
      </c>
      <c r="B22" s="33">
        <f>SUMPRODUCT(--(tbl_Production[Month]=$C$4),--(IFERROR(tbl_Production[Video Revenue]*1,0)&lt;&gt;0))</f>
        <v/>
      </c>
    </row>
    <row r="23">
      <c r="A23" s="29" t="inlineStr">
        <is>
          <t>Video hours (filming + editing + project management)</t>
        </is>
      </c>
      <c r="B23" s="34">
        <f>SUMPRODUCT(--(tbl_Production[Month]=$C$4),IFERROR(tbl_Production[Video Filming Hrs]*1,0)+IFERROR(tbl_Production[Video Editing Hrs]*1,0)+IFERROR(tbl_Production[Video Project Mgmt Hrs]*1,0))</f>
        <v/>
      </c>
    </row>
    <row r="24">
      <c r="A24" s="17" t="inlineStr">
        <is>
          <t>Video revenue is typed on the Production sheet (column T). Production Revenue next to it is the remainder, so one figure does the whole split.</t>
        </is>
      </c>
    </row>
    <row r="26" ht="20" customHeight="1">
      <c r="A26" s="3" t="inlineStr">
        <is>
          <t>3.  WORK IN PROGRESS  -  GL 11300</t>
        </is>
      </c>
    </row>
    <row r="27" ht="30" customHeight="1">
      <c r="A27" s="22" t="inlineStr"/>
      <c r="B27" s="22" t="inlineStr">
        <is>
          <t>Amount</t>
        </is>
      </c>
      <c r="C27" s="22" t="inlineStr"/>
      <c r="D27" s="22" t="inlineStr"/>
      <c r="E27" s="22" t="inlineStr"/>
      <c r="F27" s="22" t="inlineStr"/>
      <c r="G27" s="22" t="inlineStr"/>
      <c r="H27" s="22" t="inlineStr"/>
      <c r="I27" s="22" t="inlineStr">
        <is>
          <t>Check</t>
        </is>
      </c>
    </row>
    <row r="28">
      <c r="A28" s="29" t="inlineStr">
        <is>
          <t>Opening WIP balance (all months before this one)</t>
        </is>
      </c>
      <c r="B28" s="25">
        <f>SUMIFS(tbl_WIP[Amount],tbl_WIP[Month],"&lt;&gt;",tbl_WIP[Month],"&lt;"&amp;$C$4)</f>
        <v/>
      </c>
      <c r="I28" s="35" t="n"/>
    </row>
    <row r="29">
      <c r="A29" s="29" t="inlineStr">
        <is>
          <t>Movement this month</t>
        </is>
      </c>
      <c r="B29" s="25">
        <f>SUMIFS(tbl_WIP[Amount],tbl_WIP[Month],$C$4)</f>
        <v/>
      </c>
      <c r="I29" s="35" t="n"/>
    </row>
    <row r="30">
      <c r="A30" s="30" t="inlineStr">
        <is>
          <t>Closing WIP balance per this tracker</t>
        </is>
      </c>
      <c r="B30" s="31">
        <f>B28+B29</f>
        <v/>
      </c>
      <c r="I30" s="35" t="n"/>
    </row>
    <row r="31">
      <c r="A31" s="29" t="inlineStr">
        <is>
          <t>Closing balance per the WIP Schedule file</t>
        </is>
      </c>
      <c r="B31" s="26" t="n"/>
      <c r="I31" s="35" t="n"/>
    </row>
    <row r="32">
      <c r="A32" s="30" t="inlineStr">
        <is>
          <t>Variance - tracker vs WIP Schedule</t>
        </is>
      </c>
      <c r="B32" s="36">
        <f>IF(B31="","",B30-B31)</f>
        <v/>
      </c>
      <c r="I32" s="37">
        <f>IF(B31="","Enter WIP Schedule figure",IF(ROUND(B32,2)=0,"Reconciled","CHECK"))</f>
        <v/>
      </c>
    </row>
    <row r="33">
      <c r="A33" s="29" t="inlineStr">
        <is>
          <t>Closing balance per Xero GL 11300</t>
        </is>
      </c>
      <c r="B33" s="26" t="n"/>
      <c r="I33" s="35" t="n"/>
    </row>
    <row r="34">
      <c r="A34" s="30" t="inlineStr">
        <is>
          <t>Variance - tracker vs Xero</t>
        </is>
      </c>
      <c r="B34" s="36">
        <f>IF(B33="","",B30-B33)</f>
        <v/>
      </c>
      <c r="I34" s="37">
        <f>IF(B33="","Enter Xero 11300 balance",IF(ROUND(B34,2)=0,"Reconciled","CHECK"))</f>
        <v/>
      </c>
    </row>
    <row r="35">
      <c r="A35" s="17" t="inlineStr">
        <is>
          <t>Sign rule: + = revenue recognised this month and WIP balance goes up.  - = revenue deferred out of this month and WIP balance goes down.</t>
        </is>
      </c>
    </row>
    <row r="37" ht="20" customHeight="1">
      <c r="A37" s="3" t="inlineStr">
        <is>
          <t>4.  DATA CHECKS  -  every count should be zero before you close</t>
        </is>
      </c>
    </row>
    <row r="38" ht="30" customHeight="1">
      <c r="A38" s="22" t="inlineStr">
        <is>
          <t>Check</t>
        </is>
      </c>
      <c r="B38" s="22" t="inlineStr">
        <is>
          <t>Count</t>
        </is>
      </c>
      <c r="C38" s="22" t="inlineStr"/>
      <c r="D38" s="22" t="inlineStr"/>
      <c r="E38" s="22" t="inlineStr"/>
      <c r="F38" s="22" t="inlineStr"/>
      <c r="G38" s="22" t="inlineStr"/>
      <c r="H38" s="22" t="inlineStr"/>
      <c r="I38" s="22" t="inlineStr">
        <is>
          <t>Status</t>
        </is>
      </c>
    </row>
    <row r="39">
      <c r="A39" s="29" t="inlineStr">
        <is>
          <t>Invoice rows with an amount but no date</t>
        </is>
      </c>
      <c r="B39" s="38">
        <f>SUMPRODUCT(--(tbl_Onsite[Date]=""),--(tbl_Onsite[Ex GST]&lt;&gt;""))+SUMPRODUCT(--(tbl_Production[Date]=""),--(tbl_Production[Ex GST]&lt;&gt;""))+SUMPRODUCT(--(tbl_Consulting[Date]=""),--(tbl_Consulting[Ex GST]&lt;&gt;""))+SUMPRODUCT(--(tbl_Other[Date]=""),--(tbl_Other[Ex GST]&lt;&gt;""))</f>
        <v/>
      </c>
      <c r="I39" s="37">
        <f>IF(B39=0,"Clear","REVIEW")</f>
        <v/>
      </c>
    </row>
    <row r="40">
      <c r="A40" s="29" t="inlineStr">
        <is>
          <t>Invoice rows with an amount but no job number</t>
        </is>
      </c>
      <c r="B40" s="38">
        <f>COUNTIFS(tbl_Onsite[Ex GST],"&lt;&gt;",tbl_Onsite[Job Number],"")+COUNTIFS(tbl_Production[Ex GST],"&lt;&gt;",tbl_Production[Job Number],"")+COUNTIFS(tbl_Consulting[Ex GST],"&lt;&gt;",tbl_Consulting[Job Number],"")+COUNTIFS(tbl_Other[Ex GST],"&lt;&gt;",tbl_Other[Job Number],"")</f>
        <v/>
      </c>
      <c r="I40" s="37">
        <f>IF(B40=0,"Clear","REVIEW")</f>
        <v/>
      </c>
    </row>
    <row r="41">
      <c r="A41" s="29" t="inlineStr">
        <is>
          <t>Job numbers not found in the Xero job list</t>
        </is>
      </c>
      <c r="B41" s="38">
        <f>COUNTIF(tbl_Onsite[Job in Xero?],"CHECK")+COUNTIF(tbl_Production[Job in Xero?],"CHECK")+COUNTIF(tbl_Consulting[Job in Xero?],"CHECK")+COUNTIF(tbl_Other[Job in Xero?],"CHECK")</f>
        <v/>
      </c>
      <c r="I41" s="37">
        <f>IF(B41=0,"Clear","REVIEW")</f>
        <v/>
      </c>
    </row>
    <row r="42">
      <c r="A42" s="29" t="inlineStr">
        <is>
          <t>Marked posted to Xero but no Xero invoice number</t>
        </is>
      </c>
      <c r="B42" s="38">
        <f>COUNTIFS(tbl_Onsite[Posted to Xero],"Y",tbl_Onsite[Xero Invoice No],"")+COUNTIFS(tbl_Production[Posted to Xero],"Y",tbl_Production[Xero Invoice No],"")+COUNTIFS(tbl_Consulting[Posted to Xero],"Y",tbl_Consulting[Xero Invoice No],"")+COUNTIFS(tbl_Other[Posted to Xero],"Y",tbl_Other[Xero Invoice No],"")</f>
        <v/>
      </c>
      <c r="I42" s="37">
        <f>IF(B42=0,"Clear","REVIEW")</f>
        <v/>
      </c>
    </row>
    <row r="43">
      <c r="A43" s="29" t="inlineStr">
        <is>
          <t>Duplicate Xero invoice numbers across all departments</t>
        </is>
      </c>
      <c r="B43" s="38">
        <f>IFERROR(_xlfn.LET(a,_xlfn.VSTACK(tbl_Onsite[Xero Invoice No],tbl_Production[Xero Invoice No],tbl_Consulting[Xero Invoice No],tbl_Other[Xero Invoice No]),v,_xlfn._xlws.FILTER(a,a&lt;&gt;""),ROWS(v)-ROWS(_xlfn.UNIQUE(v))),0)</f>
        <v/>
      </c>
      <c r="I43" s="37">
        <f>IF(B43=0,"Clear","REVIEW")</f>
        <v/>
      </c>
    </row>
    <row r="44">
      <c r="A44" s="29" t="inlineStr">
        <is>
          <t>Invoice rows with an amount but no tax code</t>
        </is>
      </c>
      <c r="B44" s="38">
        <f>COUNTIFS(tbl_Onsite[Ex GST],"&lt;&gt;",tbl_Onsite[Tax Code],"")+COUNTIFS(tbl_Production[Ex GST],"&lt;&gt;",tbl_Production[Tax Code],"")+COUNTIFS(tbl_Consulting[Ex GST],"&lt;&gt;",tbl_Consulting[Tax Code],"")+COUNTIFS(tbl_Other[Ex GST],"&lt;&gt;",tbl_Other[Tax Code],"")</f>
        <v/>
      </c>
      <c r="I44" s="37">
        <f>IF(B44=0,"Clear","REVIEW")</f>
        <v/>
      </c>
    </row>
    <row r="45">
      <c r="A45" s="29" t="inlineStr">
        <is>
          <t>Invoice rows with an amount but no revenue GL code</t>
        </is>
      </c>
      <c r="B45" s="38">
        <f>COUNTIFS(tbl_Onsite[Ex GST],"&lt;&gt;",tbl_Onsite[Revenue GL],"")+COUNTIFS(tbl_Production[Ex GST],"&lt;&gt;",tbl_Production[Revenue GL],"")+COUNTIFS(tbl_Consulting[Ex GST],"&lt;&gt;",tbl_Consulting[Revenue GL],"")+COUNTIFS(tbl_Other[Ex GST],"&lt;&gt;",tbl_Other[Revenue GL],"")</f>
        <v/>
      </c>
      <c r="I45" s="37">
        <f>IF(B45=0,"Clear","REVIEW")</f>
        <v/>
      </c>
    </row>
    <row r="46">
      <c r="A46" s="29" t="inlineStr">
        <is>
          <t>Flagged "To WIP = Y" but no matching WIP movement</t>
        </is>
      </c>
      <c r="B46" s="38">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37">
        <f>IF(B46=0,"Clear","REVIEW")</f>
        <v/>
      </c>
    </row>
    <row r="47">
      <c r="A47" s="29" t="inlineStr">
        <is>
          <t>WIP movements with an amount but no month or no job</t>
        </is>
      </c>
      <c r="B47" s="38">
        <f>COUNTIFS(tbl_WIP[Month],"",tbl_WIP[Amount],"&lt;&gt;")+COUNTIFS(tbl_WIP[Job Number],"",tbl_WIP[Amount],"&lt;&gt;")</f>
        <v/>
      </c>
      <c r="I47" s="37">
        <f>IF(B47=0,"Clear","REVIEW")</f>
        <v/>
      </c>
    </row>
    <row r="48">
      <c r="A48" s="29" t="inlineStr">
        <is>
          <t>WIP job numbers not found in the Xero job list</t>
        </is>
      </c>
      <c r="B48" s="38">
        <f>COUNTIF(tbl_WIP[Job in Xero?],"CHECK")</f>
        <v/>
      </c>
      <c r="I48" s="37">
        <f>IF(B48=0,"Clear","REVIEW")</f>
        <v/>
      </c>
    </row>
    <row r="49">
      <c r="A49" s="29" t="inlineStr">
        <is>
          <t>Consulting revenue split does not equal the invoice</t>
        </is>
      </c>
      <c r="B49" s="38">
        <f>COUNTIF(tbl_Consulting[Revenue Split Check],"MISMATCH")</f>
        <v/>
      </c>
      <c r="I49" s="37">
        <f>IF(B49=0,"Clear","REVIEW")</f>
        <v/>
      </c>
    </row>
    <row r="50">
      <c r="A50" s="29" t="inlineStr">
        <is>
          <t>Production rows where the video split does not add up</t>
        </is>
      </c>
      <c r="B50" s="38">
        <f>COUNTIF(tbl_Production[Video Split],"CHECK*")</f>
        <v/>
      </c>
      <c r="I50" s="37">
        <f>IF(B50=0,"Clear","REVIEW")</f>
        <v/>
      </c>
    </row>
    <row r="51">
      <c r="A51" s="29" t="inlineStr">
        <is>
          <t>Production rows coded to neither PRODUCTION nor VIDEO</t>
        </is>
      </c>
      <c r="B51" s="38">
        <f>SUMPRODUCT(--(tbl_Production[Cost Centre]&lt;&gt;"PRODUCTION"),--(tbl_Production[Cost Centre]&lt;&gt;"VIDEO"),--(tbl_Production[Cost Centre]&lt;&gt;""))</f>
        <v/>
      </c>
      <c r="I51" s="37">
        <f>IF(B51=0,"Clear","REVIEW")</f>
        <v/>
      </c>
    </row>
    <row r="52">
      <c r="A52" s="29" t="inlineStr">
        <is>
          <t>Production rows with video hours but no video revenue</t>
        </is>
      </c>
      <c r="B52" s="38">
        <f>SUMPRODUCT(--(IFERROR(tbl_Production[Video Filming Hrs]*1,0)+IFERROR(tbl_Production[Video Editing Hrs]*1,0)+IFERROR(tbl_Production[Video Project Mgmt Hrs]*1,0)&gt;0),--(IFERROR(tbl_Production[Video Revenue]*1,0)=0))</f>
        <v/>
      </c>
      <c r="I52" s="37">
        <f>IF(B52=0,"Clear","REVIEW")</f>
        <v/>
      </c>
    </row>
    <row r="53">
      <c r="A53" s="29" t="inlineStr">
        <is>
          <t>Still sitting at "To Invoice" for the selected month</t>
        </is>
      </c>
      <c r="B53" s="38">
        <f>COUNTIFS(tbl_Onsite[Month],$C$4,tbl_Onsite[Status],"To Invoice")+COUNTIFS(tbl_Production[Month],$C$4,tbl_Production[Status],"To Invoice")+COUNTIFS(tbl_Consulting[Month],$C$4,tbl_Consulting[Status],"To Invoice")+COUNTIFS(tbl_Other[Month],$C$4,tbl_Other[Status],"To Invoice")</f>
        <v/>
      </c>
      <c r="I53" s="37">
        <f>IF(B53=0,"Clear","REVIEW")</f>
        <v/>
      </c>
    </row>
    <row r="54">
      <c r="A54" s="30" t="inlineStr">
        <is>
          <t>Value of invoice rows with no date (excluded from every month)</t>
        </is>
      </c>
      <c r="B54" s="39">
        <f>SUMPRODUCT(--(tbl_Onsite[Date]=""),IFERROR(tbl_Onsite[Ex GST]*1,0))+SUMPRODUCT(--(tbl_Production[Date]=""),IFERROR(tbl_Production[Ex GST]*1,0))+SUMPRODUCT(--(tbl_Consulting[Date]=""),IFERROR(tbl_Consulting[Ex GST]*1,0))+SUMPRODUCT(--(tbl_Other[Date]=""),IFERROR(tbl_Other[Ex GST]*1,0))</f>
        <v/>
      </c>
      <c r="I54" s="37">
        <f>IF(ROUND(B54,2)=0,"Clear","REVIEW")</f>
        <v/>
      </c>
    </row>
    <row r="56" ht="20" customHeight="1">
      <c r="A56" s="3" t="inlineStr">
        <is>
          <t>5.  SIGN-OFF</t>
        </is>
      </c>
    </row>
    <row r="57">
      <c r="A57" s="30" t="inlineStr">
        <is>
          <t>Prepared by</t>
        </is>
      </c>
      <c r="B57" s="40" t="n"/>
      <c r="C57" s="41" t="n"/>
      <c r="D57" s="42" t="n"/>
      <c r="E57" s="17" t="inlineStr">
        <is>
          <t>Accounts Assistant</t>
        </is>
      </c>
    </row>
    <row r="58">
      <c r="A58" s="30" t="inlineStr">
        <is>
          <t>Reviewed by</t>
        </is>
      </c>
      <c r="B58" s="40" t="n"/>
      <c r="C58" s="41" t="n"/>
      <c r="D58" s="42" t="n"/>
      <c r="E58" s="17" t="inlineStr">
        <is>
          <t>Finance Operations Manager</t>
        </is>
      </c>
    </row>
    <row r="59">
      <c r="A59" s="30" t="inlineStr">
        <is>
          <t>Date closed</t>
        </is>
      </c>
      <c r="B59" s="40" t="n"/>
      <c r="C59" s="41" t="n"/>
      <c r="D59" s="42" t="n"/>
    </row>
    <row r="60">
      <c r="A60" s="30" t="inlineStr">
        <is>
          <t>Notes / carried forward items</t>
        </is>
      </c>
      <c r="B60" s="40" t="n"/>
      <c r="C60" s="41" t="n"/>
      <c r="D60" s="42"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3" min="1" max="1"/>
    <col width="26" customWidth="1" style="43" min="2" max="2"/>
    <col width="14" customWidth="1" style="43" min="3" max="3"/>
    <col width="15" customWidth="1" style="44" min="4" max="4"/>
    <col width="15" customWidth="1" style="44" min="5" max="5"/>
    <col width="15" customWidth="1" style="44" min="6" max="6"/>
    <col width="20" customWidth="1" style="44" min="7" max="7"/>
    <col width="14" customWidth="1" style="44"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5">
        <f>'Month-End'!C4</f>
        <v/>
      </c>
      <c r="D4" s="17" t="inlineStr">
        <is>
          <t>&lt;- set this on the Month-End sheet</t>
        </is>
      </c>
    </row>
    <row r="6">
      <c r="A6" s="30" t="inlineStr">
        <is>
          <t>Opening total</t>
        </is>
      </c>
      <c r="B6" s="46">
        <f>SUMIFS(tbl_WIP[Amount],tbl_WIP[Month],"&lt;&gt;",tbl_WIP[Month],"&lt;"&amp;$C$4)</f>
        <v/>
      </c>
    </row>
    <row r="7">
      <c r="A7" s="30" t="inlineStr">
        <is>
          <t>Movement this month</t>
        </is>
      </c>
      <c r="B7" s="46">
        <f>SUMIFS(tbl_WIP[Amount],tbl_WIP[Month],$C$4)</f>
        <v/>
      </c>
    </row>
    <row r="8">
      <c r="A8" s="30" t="inlineStr">
        <is>
          <t>Closing total</t>
        </is>
      </c>
      <c r="B8" s="31">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_xlfn.LET(m,$C$4,j,_xlfn._xlws.SORT(_xlfn.UNIQUE(_xlfn._xlws.FILTER(tbl_WIP[Job Number],tbl_WIP[Job Number]&lt;&gt;"","No WIP rows"))),o,SUMIFS(tbl_WIP[Amount],tbl_WIP[Job Number],j,tbl_WIP[Month],"&lt;&gt;",tbl_WIP[Month],"&lt;"&amp;m),v,SUMIFS(tbl_WIP[Amount],tbl_WIP[Job Number],j,tbl_WIP[Month],m),_xlfn.HSTACK(j,_xlfn.XLOOKUP(j,tbl_WIP[Job Number],tbl_WIP[Client],""),_xlfn.XLOOKUP(j,tbl_WIP[Job Number],tbl_WIP[Cost Centre],""),o,v,o+v))</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8" t="n">
        <v>46234</v>
      </c>
      <c r="B5" s="49">
        <f>IF(A5="","",EOMONTH(A5,0))</f>
        <v/>
      </c>
      <c r="C5" s="50">
        <f>"Onsite"</f>
        <v/>
      </c>
      <c r="D5" s="51" t="inlineStr">
        <is>
          <t>ONSITE</t>
        </is>
      </c>
      <c r="E5" s="51" t="inlineStr">
        <is>
          <t>CBA</t>
        </is>
      </c>
      <c r="F5" s="51" t="inlineStr">
        <is>
          <t>1350</t>
        </is>
      </c>
      <c r="G5" s="50">
        <f>IF(F5="","",IF(COUNTIF(lst_Jobs,F5&amp;"")&gt;0,"OK","CHECK"))</f>
        <v/>
      </c>
      <c r="H5" s="51" t="inlineStr">
        <is>
          <t>CBA BNE July 2026</t>
        </is>
      </c>
      <c r="I5" s="51" t="inlineStr">
        <is>
          <t>Contract</t>
        </is>
      </c>
      <c r="J5" s="51" t="inlineStr">
        <is>
          <t>INV-10525</t>
        </is>
      </c>
      <c r="K5" s="51" t="inlineStr">
        <is>
          <t>GST 10%</t>
        </is>
      </c>
      <c r="L5" s="52" t="n">
        <v>8588.450000000001</v>
      </c>
      <c r="M5" s="53">
        <f>IF(L5="","",IF(K5="GST 10%",ROUND(L5*0.1,2),0))</f>
        <v/>
      </c>
      <c r="N5" s="53">
        <f>IF(L5="","",L5+M5)</f>
        <v/>
      </c>
      <c r="O5" s="51" t="inlineStr">
        <is>
          <t>41100</t>
        </is>
      </c>
      <c r="P5" s="51" t="inlineStr">
        <is>
          <t>Y</t>
        </is>
      </c>
      <c r="Q5" s="51" t="inlineStr">
        <is>
          <t>N</t>
        </is>
      </c>
      <c r="R5" s="51" t="inlineStr">
        <is>
          <t>Invoiced</t>
        </is>
      </c>
      <c r="S5" s="51" t="inlineStr">
        <is>
          <t>174.05 hours</t>
        </is>
      </c>
      <c r="T5" s="51" t="n"/>
      <c r="U5" s="51" t="inlineStr">
        <is>
          <t>N/A</t>
        </is>
      </c>
      <c r="V5" s="54" t="n"/>
      <c r="W5" s="51" t="n"/>
    </row>
    <row r="6" ht="15" customHeight="1">
      <c r="A6" s="48" t="n">
        <v>46234</v>
      </c>
      <c r="B6" s="49">
        <f>IF(A6="","",EOMONTH(A6,0))</f>
        <v/>
      </c>
      <c r="C6" s="50">
        <f>"Onsite"</f>
        <v/>
      </c>
      <c r="D6" s="51" t="inlineStr">
        <is>
          <t>ONSITE</t>
        </is>
      </c>
      <c r="E6" s="51" t="inlineStr">
        <is>
          <t>CBA</t>
        </is>
      </c>
      <c r="F6" s="51" t="inlineStr">
        <is>
          <t>585/586/1755</t>
        </is>
      </c>
      <c r="G6" s="50">
        <f>IF(F6="","",IF(COUNTIF(lst_Jobs,F6&amp;"")&gt;0,"OK","CHECK"))</f>
        <v/>
      </c>
      <c r="H6" s="51" t="inlineStr">
        <is>
          <t>CBP July 2026</t>
        </is>
      </c>
      <c r="I6" s="51" t="inlineStr">
        <is>
          <t>Contract</t>
        </is>
      </c>
      <c r="J6" s="51" t="inlineStr">
        <is>
          <t>INV-10526</t>
        </is>
      </c>
      <c r="K6" s="51" t="inlineStr">
        <is>
          <t>GST 10%</t>
        </is>
      </c>
      <c r="L6" s="52" t="n">
        <v>22120.57</v>
      </c>
      <c r="M6" s="53">
        <f>IF(L6="","",IF(K6="GST 10%",ROUND(L6*0.1,2),0))</f>
        <v/>
      </c>
      <c r="N6" s="53">
        <f>IF(L6="","",L6+M6)</f>
        <v/>
      </c>
      <c r="O6" s="51" t="inlineStr">
        <is>
          <t>41100</t>
        </is>
      </c>
      <c r="P6" s="51" t="inlineStr">
        <is>
          <t>Y</t>
        </is>
      </c>
      <c r="Q6" s="51" t="inlineStr">
        <is>
          <t>N</t>
        </is>
      </c>
      <c r="R6" s="51" t="inlineStr">
        <is>
          <t>Invoiced</t>
        </is>
      </c>
      <c r="S6" s="51" t="inlineStr">
        <is>
          <t>Deduct 3hrs for TN 01/07 &amp; 6hrs for NP 14/07</t>
        </is>
      </c>
      <c r="T6" s="51" t="n"/>
      <c r="U6" s="51" t="inlineStr">
        <is>
          <t>N/A</t>
        </is>
      </c>
      <c r="V6" s="54" t="n"/>
      <c r="W6" s="51" t="n"/>
    </row>
    <row r="7" ht="15" customHeight="1">
      <c r="A7" s="48" t="n">
        <v>46234</v>
      </c>
      <c r="B7" s="49">
        <f>IF(A7="","",EOMONTH(A7,0))</f>
        <v/>
      </c>
      <c r="C7" s="50">
        <f>"Onsite"</f>
        <v/>
      </c>
      <c r="D7" s="51" t="inlineStr">
        <is>
          <t>ONSITE</t>
        </is>
      </c>
      <c r="E7" s="51" t="inlineStr">
        <is>
          <t>CBA</t>
        </is>
      </c>
      <c r="F7" s="51" t="inlineStr">
        <is>
          <t>587</t>
        </is>
      </c>
      <c r="G7" s="50">
        <f>IF(F7="","",IF(COUNTIF(lst_Jobs,F7&amp;"")&gt;0,"OK","CHECK"))</f>
        <v/>
      </c>
      <c r="H7" s="51" t="inlineStr">
        <is>
          <t>CBS July 2026</t>
        </is>
      </c>
      <c r="I7" s="51" t="inlineStr">
        <is>
          <t>Contract</t>
        </is>
      </c>
      <c r="J7" s="51" t="inlineStr">
        <is>
          <t>INV-10527</t>
        </is>
      </c>
      <c r="K7" s="51" t="inlineStr">
        <is>
          <t>GST 10%</t>
        </is>
      </c>
      <c r="L7" s="52" t="n">
        <v>10720</v>
      </c>
      <c r="M7" s="53">
        <f>IF(L7="","",IF(K7="GST 10%",ROUND(L7*0.1,2),0))</f>
        <v/>
      </c>
      <c r="N7" s="53">
        <f>IF(L7="","",L7+M7)</f>
        <v/>
      </c>
      <c r="O7" s="51" t="inlineStr">
        <is>
          <t>41100</t>
        </is>
      </c>
      <c r="P7" s="51" t="inlineStr">
        <is>
          <t>Y</t>
        </is>
      </c>
      <c r="Q7" s="51" t="inlineStr">
        <is>
          <t>N</t>
        </is>
      </c>
      <c r="R7" s="51" t="inlineStr">
        <is>
          <t>Invoiced</t>
        </is>
      </c>
      <c r="S7" s="51" t="n"/>
      <c r="T7" s="51" t="n"/>
      <c r="U7" s="51" t="inlineStr">
        <is>
          <t>N/A</t>
        </is>
      </c>
      <c r="V7" s="54" t="n"/>
      <c r="W7" s="51" t="n"/>
    </row>
    <row r="8" ht="15" customHeight="1">
      <c r="A8" s="48" t="n">
        <v>46234</v>
      </c>
      <c r="B8" s="49">
        <f>IF(A8="","",EOMONTH(A8,0))</f>
        <v/>
      </c>
      <c r="C8" s="50">
        <f>"Onsite"</f>
        <v/>
      </c>
      <c r="D8" s="51" t="inlineStr">
        <is>
          <t>ONSITE</t>
        </is>
      </c>
      <c r="E8" s="51" t="inlineStr">
        <is>
          <t>DTTL</t>
        </is>
      </c>
      <c r="F8" s="51" t="inlineStr">
        <is>
          <t>2846/1401/725/1400/1530/1862/2402/2849/974</t>
        </is>
      </c>
      <c r="G8" s="50">
        <f>IF(F8="","",IF(COUNTIF(lst_Jobs,F8&amp;"")&gt;0,"OK","CHECK"))</f>
        <v/>
      </c>
      <c r="H8" s="51" t="inlineStr">
        <is>
          <t>DTTL Contract July 2026</t>
        </is>
      </c>
      <c r="I8" s="51" t="inlineStr">
        <is>
          <t>Contract</t>
        </is>
      </c>
      <c r="J8" s="51" t="inlineStr">
        <is>
          <t>INV-10528</t>
        </is>
      </c>
      <c r="K8" s="51" t="inlineStr">
        <is>
          <t>GST 10%</t>
        </is>
      </c>
      <c r="L8" s="52" t="n">
        <v>103625.44</v>
      </c>
      <c r="M8" s="53">
        <f>IF(L8="","",IF(K8="GST 10%",ROUND(L8*0.1,2),0))</f>
        <v/>
      </c>
      <c r="N8" s="53">
        <f>IF(L8="","",L8+M8)</f>
        <v/>
      </c>
      <c r="O8" s="51" t="inlineStr">
        <is>
          <t>41100</t>
        </is>
      </c>
      <c r="P8" s="51" t="inlineStr">
        <is>
          <t>Y</t>
        </is>
      </c>
      <c r="Q8" s="51" t="inlineStr">
        <is>
          <t>N</t>
        </is>
      </c>
      <c r="R8" s="51" t="inlineStr">
        <is>
          <t>Invoiced</t>
        </is>
      </c>
      <c r="S8" s="51" t="n"/>
      <c r="T8" s="51" t="n"/>
      <c r="U8" s="51" t="inlineStr">
        <is>
          <t>N/A</t>
        </is>
      </c>
      <c r="V8" s="54" t="n"/>
      <c r="W8" s="51" t="n"/>
    </row>
    <row r="9" ht="15" customHeight="1">
      <c r="A9" s="48" t="n">
        <v>46234</v>
      </c>
      <c r="B9" s="49">
        <f>IF(A9="","",EOMONTH(A9,0))</f>
        <v/>
      </c>
      <c r="C9" s="50">
        <f>"Onsite"</f>
        <v/>
      </c>
      <c r="D9" s="51" t="inlineStr">
        <is>
          <t>ONSITE</t>
        </is>
      </c>
      <c r="E9" s="51" t="inlineStr">
        <is>
          <t>BW</t>
        </is>
      </c>
      <c r="F9" s="51" t="inlineStr">
        <is>
          <t>732/1144</t>
        </is>
      </c>
      <c r="G9" s="50">
        <f>IF(F9="","",IF(COUNTIF(lst_Jobs,F9&amp;"")&gt;0,"OK","CHECK"))</f>
        <v/>
      </c>
      <c r="H9" s="51" t="inlineStr">
        <is>
          <t>BW Contract July 2026</t>
        </is>
      </c>
      <c r="I9" s="51" t="inlineStr">
        <is>
          <t>Contract</t>
        </is>
      </c>
      <c r="J9" s="51" t="inlineStr">
        <is>
          <t>INV-10529</t>
        </is>
      </c>
      <c r="K9" s="51" t="inlineStr">
        <is>
          <t>GST 10%</t>
        </is>
      </c>
      <c r="L9" s="52" t="n">
        <v>19427.5</v>
      </c>
      <c r="M9" s="53">
        <f>IF(L9="","",IF(K9="GST 10%",ROUND(L9*0.1,2),0))</f>
        <v/>
      </c>
      <c r="N9" s="53">
        <f>IF(L9="","",L9+M9)</f>
        <v/>
      </c>
      <c r="O9" s="51" t="inlineStr">
        <is>
          <t>41100</t>
        </is>
      </c>
      <c r="P9" s="51" t="inlineStr">
        <is>
          <t>Y</t>
        </is>
      </c>
      <c r="Q9" s="51" t="inlineStr">
        <is>
          <t>N</t>
        </is>
      </c>
      <c r="R9" s="51" t="inlineStr">
        <is>
          <t>Invoiced</t>
        </is>
      </c>
      <c r="S9" s="51" t="n"/>
      <c r="T9" s="51" t="n"/>
      <c r="U9" s="51" t="inlineStr">
        <is>
          <t>N/A</t>
        </is>
      </c>
      <c r="V9" s="54" t="n"/>
      <c r="W9" s="51" t="n"/>
    </row>
    <row r="10" ht="15" customHeight="1">
      <c r="A10" s="48" t="n">
        <v>46234</v>
      </c>
      <c r="B10" s="49">
        <f>IF(A10="","",EOMONTH(A10,0))</f>
        <v/>
      </c>
      <c r="C10" s="50">
        <f>"Onsite"</f>
        <v/>
      </c>
      <c r="D10" s="51" t="inlineStr">
        <is>
          <t>ONSITE</t>
        </is>
      </c>
      <c r="E10" s="51" t="inlineStr">
        <is>
          <t>BW</t>
        </is>
      </c>
      <c r="F10" s="51" t="inlineStr">
        <is>
          <t>2192</t>
        </is>
      </c>
      <c r="G10" s="50">
        <f>IF(F10="","",IF(COUNTIF(lst_Jobs,F10&amp;"")&gt;0,"OK","CHECK"))</f>
        <v/>
      </c>
      <c r="H10" s="51" t="inlineStr">
        <is>
          <t>BW Additionals July 2026</t>
        </is>
      </c>
      <c r="I10" s="51" t="inlineStr">
        <is>
          <t>Contract</t>
        </is>
      </c>
      <c r="J10" s="51" t="inlineStr">
        <is>
          <t>INV-10530</t>
        </is>
      </c>
      <c r="K10" s="51" t="inlineStr">
        <is>
          <t>GST 10%</t>
        </is>
      </c>
      <c r="L10" s="52" t="n">
        <v>1120</v>
      </c>
      <c r="M10" s="53">
        <f>IF(L10="","",IF(K10="GST 10%",ROUND(L10*0.1,2),0))</f>
        <v/>
      </c>
      <c r="N10" s="53">
        <f>IF(L10="","",L10+M10)</f>
        <v/>
      </c>
      <c r="O10" s="51" t="inlineStr">
        <is>
          <t>41100</t>
        </is>
      </c>
      <c r="P10" s="51" t="inlineStr">
        <is>
          <t>Y</t>
        </is>
      </c>
      <c r="Q10" s="51" t="inlineStr">
        <is>
          <t>N</t>
        </is>
      </c>
      <c r="R10" s="51" t="inlineStr">
        <is>
          <t>Invoiced</t>
        </is>
      </c>
      <c r="S10" s="51" t="n"/>
      <c r="T10" s="51" t="n"/>
      <c r="U10" s="51" t="inlineStr">
        <is>
          <t>N/A</t>
        </is>
      </c>
      <c r="V10" s="54" t="n"/>
      <c r="W10" s="51" t="n"/>
    </row>
    <row r="11" ht="15" customHeight="1">
      <c r="A11" s="48" t="n">
        <v>46234</v>
      </c>
      <c r="B11" s="49">
        <f>IF(A11="","",EOMONTH(A11,0))</f>
        <v/>
      </c>
      <c r="C11" s="50">
        <f>"Onsite"</f>
        <v/>
      </c>
      <c r="D11" s="51" t="inlineStr">
        <is>
          <t>ONSITE</t>
        </is>
      </c>
      <c r="E11" s="51" t="inlineStr">
        <is>
          <t>PWC</t>
        </is>
      </c>
      <c r="F11" s="51" t="inlineStr">
        <is>
          <t>2488</t>
        </is>
      </c>
      <c r="G11" s="50">
        <f>IF(F11="","",IF(COUNTIF(lst_Jobs,F11&amp;"")&gt;0,"OK","CHECK"))</f>
        <v/>
      </c>
      <c r="H11" s="51" t="inlineStr">
        <is>
          <t>PWC Brisbane July 2026</t>
        </is>
      </c>
      <c r="I11" s="51" t="inlineStr">
        <is>
          <t>Contract</t>
        </is>
      </c>
      <c r="J11" s="51" t="inlineStr">
        <is>
          <t>INV-10531</t>
        </is>
      </c>
      <c r="K11" s="51" t="inlineStr">
        <is>
          <t>GST 10%</t>
        </is>
      </c>
      <c r="L11" s="52" t="n">
        <v>7150</v>
      </c>
      <c r="M11" s="53">
        <f>IF(L11="","",IF(K11="GST 10%",ROUND(L11*0.1,2),0))</f>
        <v/>
      </c>
      <c r="N11" s="53">
        <f>IF(L11="","",L11+M11)</f>
        <v/>
      </c>
      <c r="O11" s="51" t="inlineStr">
        <is>
          <t>41100</t>
        </is>
      </c>
      <c r="P11" s="51" t="inlineStr">
        <is>
          <t>Y</t>
        </is>
      </c>
      <c r="Q11" s="51" t="inlineStr">
        <is>
          <t>N</t>
        </is>
      </c>
      <c r="R11" s="51" t="inlineStr">
        <is>
          <t>Invoiced</t>
        </is>
      </c>
      <c r="S11" s="51" t="n"/>
      <c r="T11" s="51" t="n"/>
      <c r="U11" s="51" t="inlineStr">
        <is>
          <t>N/A</t>
        </is>
      </c>
      <c r="V11" s="54" t="n"/>
      <c r="W11" s="51" t="n"/>
    </row>
    <row r="12" ht="15" customHeight="1">
      <c r="A12" s="48" t="n">
        <v>46234</v>
      </c>
      <c r="B12" s="49">
        <f>IF(A12="","",EOMONTH(A12,0))</f>
        <v/>
      </c>
      <c r="C12" s="50">
        <f>"Onsite"</f>
        <v/>
      </c>
      <c r="D12" s="51" t="inlineStr">
        <is>
          <t>ONSITE</t>
        </is>
      </c>
      <c r="E12" s="51" t="inlineStr">
        <is>
          <t>Gen-E</t>
        </is>
      </c>
      <c r="F12" s="51" t="inlineStr">
        <is>
          <t>26021602</t>
        </is>
      </c>
      <c r="G12" s="50">
        <f>IF(F12="","",IF(COUNTIF(lst_Jobs,F12&amp;"")&gt;0,"OK","CHECK"))</f>
        <v/>
      </c>
      <c r="H12" s="51" t="inlineStr">
        <is>
          <t>Gen-E ABS July 2026</t>
        </is>
      </c>
      <c r="I12" s="51" t="inlineStr">
        <is>
          <t>Contract</t>
        </is>
      </c>
      <c r="J12" s="51" t="inlineStr">
        <is>
          <t>INV-10532</t>
        </is>
      </c>
      <c r="K12" s="51" t="inlineStr">
        <is>
          <t>GST 10%</t>
        </is>
      </c>
      <c r="L12" s="52" t="n">
        <v>12388.8</v>
      </c>
      <c r="M12" s="53">
        <f>IF(L12="","",IF(K12="GST 10%",ROUND(L12*0.1,2),0))</f>
        <v/>
      </c>
      <c r="N12" s="53">
        <f>IF(L12="","",L12+M12)</f>
        <v/>
      </c>
      <c r="O12" s="51" t="inlineStr">
        <is>
          <t>41100</t>
        </is>
      </c>
      <c r="P12" s="51" t="inlineStr">
        <is>
          <t>Y</t>
        </is>
      </c>
      <c r="Q12" s="51" t="inlineStr">
        <is>
          <t>N</t>
        </is>
      </c>
      <c r="R12" s="51" t="inlineStr">
        <is>
          <t>Invoiced</t>
        </is>
      </c>
      <c r="S12" s="51" t="n"/>
      <c r="T12" s="51" t="n"/>
      <c r="U12" s="51" t="inlineStr">
        <is>
          <t>N/A</t>
        </is>
      </c>
      <c r="V12" s="54" t="n"/>
      <c r="W12" s="51" t="n"/>
    </row>
    <row r="13" ht="15" customHeight="1">
      <c r="A13" s="48" t="n">
        <v>46234</v>
      </c>
      <c r="B13" s="49">
        <f>IF(A13="","",EOMONTH(A13,0))</f>
        <v/>
      </c>
      <c r="C13" s="50">
        <f>"Onsite"</f>
        <v/>
      </c>
      <c r="D13" s="51" t="inlineStr">
        <is>
          <t>ONSITE</t>
        </is>
      </c>
      <c r="E13" s="51" t="inlineStr">
        <is>
          <t>CBA</t>
        </is>
      </c>
      <c r="F13" s="51" t="inlineStr">
        <is>
          <t>26043001</t>
        </is>
      </c>
      <c r="G13" s="50">
        <f>IF(F13="","",IF(COUNTIF(lst_Jobs,F13&amp;"")&gt;0,"OK","CHECK"))</f>
        <v/>
      </c>
      <c r="H13" s="51" t="inlineStr">
        <is>
          <t>CBA Mel July 2026</t>
        </is>
      </c>
      <c r="I13" s="51" t="inlineStr">
        <is>
          <t>Contract</t>
        </is>
      </c>
      <c r="J13" s="51" t="inlineStr">
        <is>
          <t>INV-10534</t>
        </is>
      </c>
      <c r="K13" s="51" t="inlineStr">
        <is>
          <t>GST 10%</t>
        </is>
      </c>
      <c r="L13" s="52" t="n">
        <v>11377.12</v>
      </c>
      <c r="M13" s="53">
        <f>IF(L13="","",IF(K13="GST 10%",ROUND(L13*0.1,2),0))</f>
        <v/>
      </c>
      <c r="N13" s="53">
        <f>IF(L13="","",L13+M13)</f>
        <v/>
      </c>
      <c r="O13" s="51" t="inlineStr">
        <is>
          <t>41100</t>
        </is>
      </c>
      <c r="P13" s="51" t="inlineStr">
        <is>
          <t>Y</t>
        </is>
      </c>
      <c r="Q13" s="51" t="inlineStr">
        <is>
          <t>N</t>
        </is>
      </c>
      <c r="R13" s="51" t="inlineStr">
        <is>
          <t>Invoiced</t>
        </is>
      </c>
      <c r="S13" s="51" t="inlineStr">
        <is>
          <t>Deduct 8hrs CN for 03/07</t>
        </is>
      </c>
      <c r="T13" s="51" t="n"/>
      <c r="U13" s="51" t="inlineStr">
        <is>
          <t>N/A</t>
        </is>
      </c>
      <c r="V13" s="54" t="n"/>
      <c r="W13" s="51" t="n"/>
    </row>
    <row r="14" ht="15" customHeight="1">
      <c r="A14" s="48" t="n">
        <v>46234</v>
      </c>
      <c r="B14" s="49">
        <f>IF(A14="","",EOMONTH(A14,0))</f>
        <v/>
      </c>
      <c r="C14" s="50">
        <f>"Onsite"</f>
        <v/>
      </c>
      <c r="D14" s="51" t="inlineStr">
        <is>
          <t>ONSITE</t>
        </is>
      </c>
      <c r="E14" s="51" t="inlineStr">
        <is>
          <t>PWC</t>
        </is>
      </c>
      <c r="F14" s="51" t="inlineStr">
        <is>
          <t>25101301B</t>
        </is>
      </c>
      <c r="G14" s="50">
        <f>IF(F14="","",IF(COUNTIF(lst_Jobs,F14&amp;"")&gt;0,"OK","CHECK"))</f>
        <v/>
      </c>
      <c r="H14" s="51" t="inlineStr">
        <is>
          <t>PWC Sydney IT July 2026</t>
        </is>
      </c>
      <c r="I14" s="51" t="inlineStr">
        <is>
          <t>Contract</t>
        </is>
      </c>
      <c r="J14" s="51" t="inlineStr">
        <is>
          <t>INV-10535</t>
        </is>
      </c>
      <c r="K14" s="51" t="inlineStr">
        <is>
          <t>GST 10%</t>
        </is>
      </c>
      <c r="L14" s="52" t="n">
        <v>11907</v>
      </c>
      <c r="M14" s="53">
        <f>IF(L14="","",IF(K14="GST 10%",ROUND(L14*0.1,2),0))</f>
        <v/>
      </c>
      <c r="N14" s="53">
        <f>IF(L14="","",L14+M14)</f>
        <v/>
      </c>
      <c r="O14" s="51" t="inlineStr">
        <is>
          <t>41100</t>
        </is>
      </c>
      <c r="P14" s="51" t="inlineStr">
        <is>
          <t>Y</t>
        </is>
      </c>
      <c r="Q14" s="51" t="inlineStr">
        <is>
          <t>N</t>
        </is>
      </c>
      <c r="R14" s="51" t="inlineStr">
        <is>
          <t>Invoiced</t>
        </is>
      </c>
      <c r="S14" s="51" t="n"/>
      <c r="T14" s="51" t="n"/>
      <c r="U14" s="51" t="inlineStr">
        <is>
          <t>N/A</t>
        </is>
      </c>
      <c r="V14" s="54" t="n"/>
      <c r="W14" s="51" t="n"/>
    </row>
    <row r="15" ht="15" customHeight="1">
      <c r="A15" s="48" t="n">
        <v>46234</v>
      </c>
      <c r="B15" s="49">
        <f>IF(A15="","",EOMONTH(A15,0))</f>
        <v/>
      </c>
      <c r="C15" s="50">
        <f>"Onsite"</f>
        <v/>
      </c>
      <c r="D15" s="51" t="inlineStr">
        <is>
          <t>ONSITE</t>
        </is>
      </c>
      <c r="E15" s="51" t="inlineStr">
        <is>
          <t>RICOH</t>
        </is>
      </c>
      <c r="F15" s="51" t="inlineStr">
        <is>
          <t>2880</t>
        </is>
      </c>
      <c r="G15" s="50">
        <f>IF(F15="","",IF(COUNTIF(lst_Jobs,F15&amp;"")&gt;0,"OK","CHECK"))</f>
        <v/>
      </c>
      <c r="H15" s="51" t="inlineStr">
        <is>
          <t>Ricoh Contract July 2026</t>
        </is>
      </c>
      <c r="I15" s="51" t="inlineStr">
        <is>
          <t>Contract</t>
        </is>
      </c>
      <c r="J15" s="51" t="inlineStr">
        <is>
          <t>INV-10536</t>
        </is>
      </c>
      <c r="K15" s="51" t="inlineStr">
        <is>
          <t>GST 10%</t>
        </is>
      </c>
      <c r="L15" s="52" t="n">
        <v>11860.5</v>
      </c>
      <c r="M15" s="53">
        <f>IF(L15="","",IF(K15="GST 10%",ROUND(L15*0.1,2),0))</f>
        <v/>
      </c>
      <c r="N15" s="53">
        <f>IF(L15="","",L15+M15)</f>
        <v/>
      </c>
      <c r="O15" s="51" t="inlineStr">
        <is>
          <t>41100</t>
        </is>
      </c>
      <c r="P15" s="51" t="inlineStr">
        <is>
          <t>Y</t>
        </is>
      </c>
      <c r="Q15" s="51" t="inlineStr">
        <is>
          <t>N</t>
        </is>
      </c>
      <c r="R15" s="51" t="inlineStr">
        <is>
          <t>Invoiced</t>
        </is>
      </c>
      <c r="S15" s="51" t="inlineStr">
        <is>
          <t>2 months extension</t>
        </is>
      </c>
      <c r="T15" s="51" t="n"/>
      <c r="U15" s="51" t="inlineStr">
        <is>
          <t>N/A</t>
        </is>
      </c>
      <c r="V15" s="54" t="n"/>
      <c r="W15" s="51" t="n"/>
    </row>
    <row r="16" ht="15" customHeight="1">
      <c r="A16" s="48" t="n">
        <v>46234</v>
      </c>
      <c r="B16" s="49">
        <f>IF(A16="","",EOMONTH(A16,0))</f>
        <v/>
      </c>
      <c r="C16" s="50">
        <f>"Onsite"</f>
        <v/>
      </c>
      <c r="D16" s="51" t="inlineStr">
        <is>
          <t>ONSITE</t>
        </is>
      </c>
      <c r="E16" s="51" t="inlineStr">
        <is>
          <t>PWC</t>
        </is>
      </c>
      <c r="F16" s="51" t="n"/>
      <c r="G16" s="50">
        <f>IF(F16="","",IF(COUNTIF(lst_Jobs,F16&amp;"")&gt;0,"OK","CHECK"))</f>
        <v/>
      </c>
      <c r="H16" s="51" t="inlineStr">
        <is>
          <t>PWC Dedicated Tech 29/07/2026</t>
        </is>
      </c>
      <c r="I16" s="51" t="inlineStr">
        <is>
          <t>Contract</t>
        </is>
      </c>
      <c r="J16" s="51" t="inlineStr">
        <is>
          <t>INV-10537</t>
        </is>
      </c>
      <c r="K16" s="51" t="inlineStr">
        <is>
          <t>GST 10%</t>
        </is>
      </c>
      <c r="L16" s="52" t="n">
        <v>340</v>
      </c>
      <c r="M16" s="53">
        <f>IF(L16="","",IF(K16="GST 10%",ROUND(L16*0.1,2),0))</f>
        <v/>
      </c>
      <c r="N16" s="53">
        <f>IF(L16="","",L16+M16)</f>
        <v/>
      </c>
      <c r="O16" s="51" t="inlineStr">
        <is>
          <t>41100</t>
        </is>
      </c>
      <c r="P16" s="51" t="inlineStr">
        <is>
          <t>Y</t>
        </is>
      </c>
      <c r="Q16" s="51" t="inlineStr">
        <is>
          <t>N</t>
        </is>
      </c>
      <c r="R16" s="51" t="inlineStr">
        <is>
          <t>Invoiced</t>
        </is>
      </c>
      <c r="S16" s="51" t="inlineStr">
        <is>
          <t>29/07/2026 4hours</t>
        </is>
      </c>
      <c r="T16" s="51" t="n"/>
      <c r="U16" s="51" t="inlineStr">
        <is>
          <t>N/A</t>
        </is>
      </c>
      <c r="V16" s="54" t="n"/>
      <c r="W16" s="51" t="n"/>
    </row>
    <row r="17" ht="15" customHeight="1">
      <c r="A17" s="48" t="n">
        <v>46234</v>
      </c>
      <c r="B17" s="49">
        <f>IF(A17="","",EOMONTH(A17,0))</f>
        <v/>
      </c>
      <c r="C17" s="50">
        <f>"Onsite"</f>
        <v/>
      </c>
      <c r="D17" s="51" t="inlineStr">
        <is>
          <t>ONSITE</t>
        </is>
      </c>
      <c r="E17" s="51" t="inlineStr">
        <is>
          <t>APN</t>
        </is>
      </c>
      <c r="F17" s="51" t="inlineStr">
        <is>
          <t>3056</t>
        </is>
      </c>
      <c r="G17" s="50">
        <f>IF(F17="","",IF(COUNTIF(lst_Jobs,F17&amp;"")&gt;0,"OK","CHECK"))</f>
        <v/>
      </c>
      <c r="H17" s="51" t="inlineStr">
        <is>
          <t>APN Tech Support July 22 &amp; 24</t>
        </is>
      </c>
      <c r="I17" s="51" t="inlineStr">
        <is>
          <t>Contract</t>
        </is>
      </c>
      <c r="J17" s="51" t="inlineStr">
        <is>
          <t>INV-10541</t>
        </is>
      </c>
      <c r="K17" s="51" t="inlineStr">
        <is>
          <t>GST 10%</t>
        </is>
      </c>
      <c r="L17" s="52" t="n">
        <v>680</v>
      </c>
      <c r="M17" s="53">
        <f>IF(L17="","",IF(K17="GST 10%",ROUND(L17*0.1,2),0))</f>
        <v/>
      </c>
      <c r="N17" s="53">
        <f>IF(L17="","",L17+M17)</f>
        <v/>
      </c>
      <c r="O17" s="51" t="inlineStr">
        <is>
          <t>41100</t>
        </is>
      </c>
      <c r="P17" s="51" t="inlineStr">
        <is>
          <t>Y</t>
        </is>
      </c>
      <c r="Q17" s="51" t="inlineStr">
        <is>
          <t>N</t>
        </is>
      </c>
      <c r="R17" s="51" t="inlineStr">
        <is>
          <t>Invoiced</t>
        </is>
      </c>
      <c r="S17" s="51" t="n"/>
      <c r="T17" s="51" t="n"/>
      <c r="U17" s="51" t="inlineStr">
        <is>
          <t>N/A</t>
        </is>
      </c>
      <c r="V17" s="54" t="n"/>
      <c r="W17" s="51" t="n"/>
    </row>
    <row r="18" ht="15" customHeight="1">
      <c r="A18" s="48" t="n">
        <v>46234</v>
      </c>
      <c r="B18" s="49">
        <f>IF(A18="","",EOMONTH(A18,0))</f>
        <v/>
      </c>
      <c r="C18" s="50">
        <f>"Onsite"</f>
        <v/>
      </c>
      <c r="D18" s="51" t="inlineStr">
        <is>
          <t>ONSITE</t>
        </is>
      </c>
      <c r="E18" s="51" t="inlineStr">
        <is>
          <t>PWC</t>
        </is>
      </c>
      <c r="F18" s="51" t="inlineStr">
        <is>
          <t>20250731</t>
        </is>
      </c>
      <c r="G18" s="50">
        <f>IF(F18="","",IF(COUNTIF(lst_Jobs,F18&amp;"")&gt;0,"OK","CHECK"))</f>
        <v/>
      </c>
      <c r="H18" s="51" t="inlineStr">
        <is>
          <t>PWC Pool of Hours (50 hours)</t>
        </is>
      </c>
      <c r="I18" s="51" t="inlineStr">
        <is>
          <t>Contract</t>
        </is>
      </c>
      <c r="J18" s="51" t="inlineStr">
        <is>
          <t>INV-10539</t>
        </is>
      </c>
      <c r="K18" s="51" t="inlineStr">
        <is>
          <t>GST 10%</t>
        </is>
      </c>
      <c r="L18" s="52" t="n">
        <v>4250</v>
      </c>
      <c r="M18" s="53">
        <f>IF(L18="","",IF(K18="GST 10%",ROUND(L18*0.1,2),0))</f>
        <v/>
      </c>
      <c r="N18" s="53">
        <f>IF(L18="","",L18+M18)</f>
        <v/>
      </c>
      <c r="O18" s="51" t="inlineStr">
        <is>
          <t>41100</t>
        </is>
      </c>
      <c r="P18" s="51" t="inlineStr">
        <is>
          <t>Y</t>
        </is>
      </c>
      <c r="Q18" s="51" t="inlineStr">
        <is>
          <t>N</t>
        </is>
      </c>
      <c r="R18" s="51" t="inlineStr">
        <is>
          <t>Invoiced</t>
        </is>
      </c>
      <c r="S18" s="51" t="inlineStr">
        <is>
          <t>PO2601703215</t>
        </is>
      </c>
      <c r="T18" s="51" t="n"/>
      <c r="U18" s="51" t="inlineStr">
        <is>
          <t>N/A</t>
        </is>
      </c>
      <c r="V18" s="54" t="n"/>
      <c r="W18" s="51" t="n"/>
    </row>
    <row r="19" ht="15" customHeight="1">
      <c r="A19" s="48" t="n">
        <v>46234</v>
      </c>
      <c r="B19" s="49">
        <f>IF(A19="","",EOMONTH(A19,0))</f>
        <v/>
      </c>
      <c r="C19" s="50">
        <f>"Onsite"</f>
        <v/>
      </c>
      <c r="D19" s="51" t="inlineStr">
        <is>
          <t>ONSITE</t>
        </is>
      </c>
      <c r="E19" s="51" t="inlineStr">
        <is>
          <t>CBA</t>
        </is>
      </c>
      <c r="F19" s="51" t="inlineStr">
        <is>
          <t>1668</t>
        </is>
      </c>
      <c r="G19" s="50">
        <f>IF(F19="","",IF(COUNTIF(lst_Jobs,F19&amp;"")&gt;0,"OK","CHECK"))</f>
        <v/>
      </c>
      <c r="H19" s="51" t="inlineStr">
        <is>
          <t>AH Support 02/07/2026</t>
        </is>
      </c>
      <c r="I19" s="51" t="inlineStr">
        <is>
          <t>Contract</t>
        </is>
      </c>
      <c r="J19" s="51" t="inlineStr">
        <is>
          <t>INV-10542</t>
        </is>
      </c>
      <c r="K19" s="51" t="inlineStr">
        <is>
          <t>GST 10%</t>
        </is>
      </c>
      <c r="L19" s="52" t="n">
        <v>180</v>
      </c>
      <c r="M19" s="53">
        <f>IF(L19="","",IF(K19="GST 10%",ROUND(L19*0.1,2),0))</f>
        <v/>
      </c>
      <c r="N19" s="53">
        <f>IF(L19="","",L19+M19)</f>
        <v/>
      </c>
      <c r="O19" s="51" t="inlineStr">
        <is>
          <t>41100</t>
        </is>
      </c>
      <c r="P19" s="51" t="inlineStr">
        <is>
          <t>Y</t>
        </is>
      </c>
      <c r="Q19" s="51" t="inlineStr">
        <is>
          <t>N</t>
        </is>
      </c>
      <c r="R19" s="51" t="inlineStr">
        <is>
          <t>Invoiced</t>
        </is>
      </c>
      <c r="S19" s="51" t="n"/>
      <c r="T19" s="51" t="n"/>
      <c r="U19" s="51" t="inlineStr">
        <is>
          <t>N/A</t>
        </is>
      </c>
      <c r="V19" s="54" t="n"/>
      <c r="W19" s="51" t="n"/>
    </row>
    <row r="20" ht="15" customHeight="1">
      <c r="A20" s="48" t="n">
        <v>46234</v>
      </c>
      <c r="B20" s="49">
        <f>IF(A20="","",EOMONTH(A20,0))</f>
        <v/>
      </c>
      <c r="C20" s="50">
        <f>"Onsite"</f>
        <v/>
      </c>
      <c r="D20" s="51" t="inlineStr">
        <is>
          <t>ONSITE</t>
        </is>
      </c>
      <c r="E20" s="51" t="inlineStr">
        <is>
          <t>CBA</t>
        </is>
      </c>
      <c r="F20" s="51" t="inlineStr">
        <is>
          <t>1668</t>
        </is>
      </c>
      <c r="G20" s="50">
        <f>IF(F20="","",IF(COUNTIF(lst_Jobs,F20&amp;"")&gt;0,"OK","CHECK"))</f>
        <v/>
      </c>
      <c r="H20" s="51" t="inlineStr">
        <is>
          <t>DT Support 02/07/2026</t>
        </is>
      </c>
      <c r="I20" s="51" t="inlineStr">
        <is>
          <t>Contract</t>
        </is>
      </c>
      <c r="J20" s="51" t="inlineStr">
        <is>
          <t>INV-10543</t>
        </is>
      </c>
      <c r="K20" s="51" t="inlineStr">
        <is>
          <t>GST 10%</t>
        </is>
      </c>
      <c r="L20" s="52" t="n">
        <v>425</v>
      </c>
      <c r="M20" s="53">
        <f>IF(L20="","",IF(K20="GST 10%",ROUND(L20*0.1,2),0))</f>
        <v/>
      </c>
      <c r="N20" s="53">
        <f>IF(L20="","",L20+M20)</f>
        <v/>
      </c>
      <c r="O20" s="51" t="inlineStr">
        <is>
          <t>41100</t>
        </is>
      </c>
      <c r="P20" s="51" t="inlineStr">
        <is>
          <t>Y</t>
        </is>
      </c>
      <c r="Q20" s="51" t="inlineStr">
        <is>
          <t>N</t>
        </is>
      </c>
      <c r="R20" s="51" t="inlineStr">
        <is>
          <t>Invoiced</t>
        </is>
      </c>
      <c r="S20" s="51" t="n"/>
      <c r="T20" s="51" t="n"/>
      <c r="U20" s="51" t="inlineStr">
        <is>
          <t>N/A</t>
        </is>
      </c>
      <c r="V20" s="54" t="n"/>
      <c r="W20" s="51" t="n"/>
    </row>
    <row r="21" ht="15" customHeight="1">
      <c r="A21" s="48" t="n">
        <v>46234</v>
      </c>
      <c r="B21" s="49">
        <f>IF(A21="","",EOMONTH(A21,0))</f>
        <v/>
      </c>
      <c r="C21" s="50">
        <f>"Onsite"</f>
        <v/>
      </c>
      <c r="D21" s="51" t="inlineStr">
        <is>
          <t>ONSITE</t>
        </is>
      </c>
      <c r="E21" s="51" t="inlineStr">
        <is>
          <t>CBA</t>
        </is>
      </c>
      <c r="F21" s="51" t="inlineStr">
        <is>
          <t>1668</t>
        </is>
      </c>
      <c r="G21" s="50">
        <f>IF(F21="","",IF(COUNTIF(lst_Jobs,F21&amp;"")&gt;0,"OK","CHECK"))</f>
        <v/>
      </c>
      <c r="H21" s="51" t="inlineStr">
        <is>
          <t>DT Support 23/07/2026</t>
        </is>
      </c>
      <c r="I21" s="51" t="inlineStr">
        <is>
          <t>Contract</t>
        </is>
      </c>
      <c r="J21" s="51" t="inlineStr">
        <is>
          <t>INV-10544</t>
        </is>
      </c>
      <c r="K21" s="51" t="inlineStr">
        <is>
          <t>GST 10%</t>
        </is>
      </c>
      <c r="L21" s="52" t="n">
        <v>510</v>
      </c>
      <c r="M21" s="53">
        <f>IF(L21="","",IF(K21="GST 10%",ROUND(L21*0.1,2),0))</f>
        <v/>
      </c>
      <c r="N21" s="53">
        <f>IF(L21="","",L21+M21)</f>
        <v/>
      </c>
      <c r="O21" s="51" t="inlineStr">
        <is>
          <t>41100</t>
        </is>
      </c>
      <c r="P21" s="51" t="inlineStr">
        <is>
          <t>Y</t>
        </is>
      </c>
      <c r="Q21" s="51" t="inlineStr">
        <is>
          <t>N</t>
        </is>
      </c>
      <c r="R21" s="51" t="inlineStr">
        <is>
          <t>Invoiced</t>
        </is>
      </c>
      <c r="S21" s="51" t="n"/>
      <c r="T21" s="51" t="n"/>
      <c r="U21" s="51" t="inlineStr">
        <is>
          <t>N/A</t>
        </is>
      </c>
      <c r="V21" s="54" t="n"/>
      <c r="W21" s="51" t="n"/>
    </row>
    <row r="22" ht="15" customHeight="1">
      <c r="A22" s="48" t="n">
        <v>46233</v>
      </c>
      <c r="B22" s="49">
        <f>IF(A22="","",EOMONTH(A22,0))</f>
        <v/>
      </c>
      <c r="C22" s="50">
        <f>"Onsite"</f>
        <v/>
      </c>
      <c r="D22" s="51" t="inlineStr">
        <is>
          <t>ONSITE</t>
        </is>
      </c>
      <c r="E22" s="51" t="inlineStr">
        <is>
          <t>PWC</t>
        </is>
      </c>
      <c r="F22" s="51" t="inlineStr">
        <is>
          <t>2540</t>
        </is>
      </c>
      <c r="G22" s="50">
        <f>IF(F22="","",IF(COUNTIF(lst_Jobs,F22&amp;"")&gt;0,"OK","CHECK"))</f>
        <v/>
      </c>
      <c r="H22" s="51" t="inlineStr">
        <is>
          <t>PWC Dedicated Tech 30/07/2026</t>
        </is>
      </c>
      <c r="I22" s="51" t="inlineStr">
        <is>
          <t>Contract</t>
        </is>
      </c>
      <c r="J22" s="51" t="inlineStr">
        <is>
          <t>INV-10545</t>
        </is>
      </c>
      <c r="K22" s="51" t="inlineStr">
        <is>
          <t>GST 10%</t>
        </is>
      </c>
      <c r="L22" s="52" t="n">
        <v>340</v>
      </c>
      <c r="M22" s="53">
        <f>IF(L22="","",IF(K22="GST 10%",ROUND(L22*0.1,2),0))</f>
        <v/>
      </c>
      <c r="N22" s="53">
        <f>IF(L22="","",L22+M22)</f>
        <v/>
      </c>
      <c r="O22" s="51" t="inlineStr">
        <is>
          <t>41100</t>
        </is>
      </c>
      <c r="P22" s="51" t="inlineStr">
        <is>
          <t>Y</t>
        </is>
      </c>
      <c r="Q22" s="51" t="inlineStr">
        <is>
          <t>N</t>
        </is>
      </c>
      <c r="R22" s="51" t="inlineStr">
        <is>
          <t>Invoiced</t>
        </is>
      </c>
      <c r="S22" s="51" t="inlineStr">
        <is>
          <t>PO2601703274</t>
        </is>
      </c>
      <c r="T22" s="51" t="n"/>
      <c r="U22" s="51" t="inlineStr">
        <is>
          <t>N/A</t>
        </is>
      </c>
      <c r="V22" s="54" t="n"/>
      <c r="W22" s="51" t="n"/>
    </row>
    <row r="23" ht="15" customHeight="1">
      <c r="A23" s="48" t="n">
        <v>46233</v>
      </c>
      <c r="B23" s="49">
        <f>IF(A23="","",EOMONTH(A23,0))</f>
        <v/>
      </c>
      <c r="C23" s="50">
        <f>"Onsite"</f>
        <v/>
      </c>
      <c r="D23" s="51" t="inlineStr">
        <is>
          <t>ONSITE</t>
        </is>
      </c>
      <c r="E23" s="51" t="inlineStr">
        <is>
          <t>DTTL</t>
        </is>
      </c>
      <c r="F23" s="51" t="inlineStr">
        <is>
          <t>26062501/2347</t>
        </is>
      </c>
      <c r="G23" s="50">
        <f>IF(F23="","",IF(COUNTIF(lst_Jobs,F23&amp;"")&gt;0,"OK","CHECK"))</f>
        <v/>
      </c>
      <c r="H23" s="51" t="inlineStr">
        <is>
          <t>DH Travel 06-07/07 &amp; Ad-hoc Tech Support 30/07 &amp; Market Shapers</t>
        </is>
      </c>
      <c r="I23" s="51" t="inlineStr">
        <is>
          <t>Contract</t>
        </is>
      </c>
      <c r="J23" s="51" t="inlineStr">
        <is>
          <t>INV-10546</t>
        </is>
      </c>
      <c r="K23" s="51" t="inlineStr">
        <is>
          <t>GST 10%</t>
        </is>
      </c>
      <c r="L23" s="52" t="n">
        <v>1672.5</v>
      </c>
      <c r="M23" s="53">
        <f>IF(L23="","",IF(K23="GST 10%",ROUND(L23*0.1,2),0))</f>
        <v/>
      </c>
      <c r="N23" s="53">
        <f>IF(L23="","",L23+M23)</f>
        <v/>
      </c>
      <c r="O23" s="51" t="inlineStr">
        <is>
          <t>41100</t>
        </is>
      </c>
      <c r="P23" s="51" t="inlineStr">
        <is>
          <t>Y</t>
        </is>
      </c>
      <c r="Q23" s="51" t="inlineStr">
        <is>
          <t>N</t>
        </is>
      </c>
      <c r="R23" s="51" t="inlineStr">
        <is>
          <t>Invoiced</t>
        </is>
      </c>
      <c r="S23" s="51" t="n"/>
      <c r="T23" s="51" t="n"/>
      <c r="U23" s="51" t="inlineStr">
        <is>
          <t>N/A</t>
        </is>
      </c>
      <c r="V23" s="54" t="n"/>
      <c r="W23" s="51" t="n"/>
    </row>
    <row r="24" ht="15" customHeight="1">
      <c r="A24" s="48" t="n">
        <v>46233</v>
      </c>
      <c r="B24" s="49">
        <f>IF(A24="","",EOMONTH(A24,0))</f>
        <v/>
      </c>
      <c r="C24" s="50">
        <f>"Onsite"</f>
        <v/>
      </c>
      <c r="D24" s="51" t="inlineStr">
        <is>
          <t>ONSITE</t>
        </is>
      </c>
      <c r="E24" s="51" t="inlineStr">
        <is>
          <t>APN</t>
        </is>
      </c>
      <c r="F24" s="51" t="inlineStr">
        <is>
          <t>2026021101</t>
        </is>
      </c>
      <c r="G24" s="50">
        <f>IF(F24="","",IF(COUNTIF(lst_Jobs,F24&amp;"")&gt;0,"OK","CHECK"))</f>
        <v/>
      </c>
      <c r="H24" s="51" t="inlineStr">
        <is>
          <t>APN Quarterly AV Support</t>
        </is>
      </c>
      <c r="I24" s="51" t="inlineStr">
        <is>
          <t>Contract</t>
        </is>
      </c>
      <c r="J24" s="51" t="inlineStr">
        <is>
          <t>INV-10550</t>
        </is>
      </c>
      <c r="K24" s="51" t="inlineStr">
        <is>
          <t>GST 10%</t>
        </is>
      </c>
      <c r="L24" s="52" t="n">
        <v>1670</v>
      </c>
      <c r="M24" s="53">
        <f>IF(L24="","",IF(K24="GST 10%",ROUND(L24*0.1,2),0))</f>
        <v/>
      </c>
      <c r="N24" s="53">
        <f>IF(L24="","",L24+M24)</f>
        <v/>
      </c>
      <c r="O24" s="51" t="inlineStr">
        <is>
          <t>41100</t>
        </is>
      </c>
      <c r="P24" s="51" t="inlineStr">
        <is>
          <t>Y</t>
        </is>
      </c>
      <c r="Q24" s="51" t="inlineStr">
        <is>
          <t>N</t>
        </is>
      </c>
      <c r="R24" s="51" t="inlineStr">
        <is>
          <t>Invoiced</t>
        </is>
      </c>
      <c r="S24" s="51" t="inlineStr">
        <is>
          <t>Invoice 1/2</t>
        </is>
      </c>
      <c r="T24" s="51" t="n"/>
      <c r="U24" s="51" t="inlineStr">
        <is>
          <t>N/A</t>
        </is>
      </c>
      <c r="V24" s="54" t="n"/>
      <c r="W24" s="51" t="n"/>
    </row>
    <row r="25" ht="15" customHeight="1">
      <c r="A25" s="48" t="n">
        <v>46234</v>
      </c>
      <c r="B25" s="49">
        <f>IF(A25="","",EOMONTH(A25,0))</f>
        <v/>
      </c>
      <c r="C25" s="50">
        <f>"Onsite"</f>
        <v/>
      </c>
      <c r="D25" s="51" t="inlineStr">
        <is>
          <t>ONSITE</t>
        </is>
      </c>
      <c r="E25" s="51" t="inlineStr">
        <is>
          <t>Aware Super</t>
        </is>
      </c>
      <c r="F25" s="51" t="inlineStr">
        <is>
          <t>26022301</t>
        </is>
      </c>
      <c r="G25" s="50">
        <f>IF(F25="","",IF(COUNTIF(lst_Jobs,F25&amp;"")&gt;0,"OK","CHECK"))</f>
        <v/>
      </c>
      <c r="H25" s="51" t="inlineStr">
        <is>
          <t>Aware Super Contract July 2026</t>
        </is>
      </c>
      <c r="I25" s="51" t="inlineStr">
        <is>
          <t>Contract</t>
        </is>
      </c>
      <c r="J25" s="51" t="inlineStr">
        <is>
          <t>INV-10551</t>
        </is>
      </c>
      <c r="K25" s="51" t="inlineStr">
        <is>
          <t>GST 10%</t>
        </is>
      </c>
      <c r="L25" s="52" t="n">
        <v>11000</v>
      </c>
      <c r="M25" s="53">
        <f>IF(L25="","",IF(K25="GST 10%",ROUND(L25*0.1,2),0))</f>
        <v/>
      </c>
      <c r="N25" s="53">
        <f>IF(L25="","",L25+M25)</f>
        <v/>
      </c>
      <c r="O25" s="51" t="inlineStr">
        <is>
          <t>41100</t>
        </is>
      </c>
      <c r="P25" s="51" t="inlineStr">
        <is>
          <t>Y</t>
        </is>
      </c>
      <c r="Q25" s="51" t="inlineStr">
        <is>
          <t>N</t>
        </is>
      </c>
      <c r="R25" s="51" t="inlineStr">
        <is>
          <t>Invoiced</t>
        </is>
      </c>
      <c r="S25" s="51" t="n"/>
      <c r="T25" s="51" t="n"/>
      <c r="U25" s="51" t="inlineStr">
        <is>
          <t>N/A</t>
        </is>
      </c>
      <c r="V25" s="54" t="n"/>
      <c r="W25" s="51" t="n"/>
    </row>
    <row r="26" ht="15" customHeight="1">
      <c r="A26" s="48" t="n">
        <v>46265</v>
      </c>
      <c r="B26" s="49">
        <f>IF(A26="","",EOMONTH(A26,0))</f>
        <v/>
      </c>
      <c r="C26" s="50">
        <f>"Onsite"</f>
        <v/>
      </c>
      <c r="D26" s="51" t="inlineStr">
        <is>
          <t>ONSITE</t>
        </is>
      </c>
      <c r="E26" s="51" t="inlineStr">
        <is>
          <t>DTTL</t>
        </is>
      </c>
      <c r="F26" s="51" t="inlineStr">
        <is>
          <t>2608502</t>
        </is>
      </c>
      <c r="G26" s="50">
        <f>IF(F26="","",IF(COUNTIF(lst_Jobs,F26&amp;"")&gt;0,"OK","CHECK"))</f>
        <v/>
      </c>
      <c r="H26" s="51" t="inlineStr">
        <is>
          <t>DTTL Additionals August 2026</t>
        </is>
      </c>
      <c r="I26" s="51" t="inlineStr">
        <is>
          <t>Contract</t>
        </is>
      </c>
      <c r="J26" s="51" t="inlineStr">
        <is>
          <t>INV-10597</t>
        </is>
      </c>
      <c r="K26" s="51" t="inlineStr">
        <is>
          <t>GST 10%</t>
        </is>
      </c>
      <c r="L26" s="52" t="n">
        <v>1275</v>
      </c>
      <c r="M26" s="53">
        <f>IF(L26="","",IF(K26="GST 10%",ROUND(L26*0.1,2),0))</f>
        <v/>
      </c>
      <c r="N26" s="53">
        <f>IF(L26="","",L26+M26)</f>
        <v/>
      </c>
      <c r="O26" s="51" t="inlineStr">
        <is>
          <t>41100</t>
        </is>
      </c>
      <c r="P26" s="51" t="inlineStr">
        <is>
          <t>Y</t>
        </is>
      </c>
      <c r="Q26" s="51" t="inlineStr">
        <is>
          <t>N</t>
        </is>
      </c>
      <c r="R26" s="51" t="inlineStr">
        <is>
          <t>Invoiced</t>
        </is>
      </c>
      <c r="S26" s="51" t="inlineStr">
        <is>
          <t xml:space="preserve">8419.62 differe from invoice amount </t>
        </is>
      </c>
      <c r="T26" s="51" t="n"/>
      <c r="U26" s="51" t="inlineStr">
        <is>
          <t>N/A</t>
        </is>
      </c>
      <c r="V26" s="54" t="n"/>
      <c r="W26" s="51" t="n"/>
    </row>
    <row r="27" ht="15" customHeight="1">
      <c r="A27" s="48" t="n">
        <v>46265</v>
      </c>
      <c r="B27" s="49">
        <f>IF(A27="","",EOMONTH(A27,0))</f>
        <v/>
      </c>
      <c r="C27" s="50">
        <f>"Onsite"</f>
        <v/>
      </c>
      <c r="D27" s="51" t="inlineStr">
        <is>
          <t>ONSITE</t>
        </is>
      </c>
      <c r="E27" s="51" t="inlineStr">
        <is>
          <t>PWC</t>
        </is>
      </c>
      <c r="F27" s="51" t="inlineStr">
        <is>
          <t>26073102</t>
        </is>
      </c>
      <c r="G27" s="50">
        <f>IF(F27="","",IF(COUNTIF(lst_Jobs,F27&amp;"")&gt;0,"OK","CHECK"))</f>
        <v/>
      </c>
      <c r="H27" s="51" t="inlineStr">
        <is>
          <t>Pool of Hours - National AV/IT Support</t>
        </is>
      </c>
      <c r="I27" s="51" t="inlineStr">
        <is>
          <t>Contract</t>
        </is>
      </c>
      <c r="J27" s="51" t="inlineStr">
        <is>
          <t>INV-10598</t>
        </is>
      </c>
      <c r="K27" s="51" t="inlineStr">
        <is>
          <t>GST 10%</t>
        </is>
      </c>
      <c r="L27" s="52" t="n">
        <v>8500</v>
      </c>
      <c r="M27" s="53">
        <f>IF(L27="","",IF(K27="GST 10%",ROUND(L27*0.1,2),0))</f>
        <v/>
      </c>
      <c r="N27" s="53">
        <f>IF(L27="","",L27+M27)</f>
        <v/>
      </c>
      <c r="O27" s="51" t="inlineStr">
        <is>
          <t>41100</t>
        </is>
      </c>
      <c r="P27" s="51" t="inlineStr">
        <is>
          <t>Y</t>
        </is>
      </c>
      <c r="Q27" s="51" t="inlineStr">
        <is>
          <t>N</t>
        </is>
      </c>
      <c r="R27" s="51" t="inlineStr">
        <is>
          <t>Invoiced</t>
        </is>
      </c>
      <c r="S27" s="51" t="n"/>
      <c r="T27" s="51" t="n"/>
      <c r="U27" s="51" t="inlineStr">
        <is>
          <t>N/A</t>
        </is>
      </c>
      <c r="V27" s="54" t="n"/>
      <c r="W27" s="51" t="n"/>
    </row>
    <row r="28" ht="15" customHeight="1">
      <c r="A28" s="48" t="n">
        <v>46265</v>
      </c>
      <c r="B28" s="49">
        <f>IF(A28="","",EOMONTH(A28,0))</f>
        <v/>
      </c>
      <c r="C28" s="50">
        <f>"Onsite"</f>
        <v/>
      </c>
      <c r="D28" s="51" t="inlineStr">
        <is>
          <t>ONSITE</t>
        </is>
      </c>
      <c r="E28" s="51" t="inlineStr">
        <is>
          <t>CBA</t>
        </is>
      </c>
      <c r="F28" s="51" t="inlineStr">
        <is>
          <t>1350</t>
        </is>
      </c>
      <c r="G28" s="50">
        <f>IF(F28="","",IF(COUNTIF(lst_Jobs,F28&amp;"")&gt;0,"OK","CHECK"))</f>
        <v/>
      </c>
      <c r="H28" s="51" t="inlineStr">
        <is>
          <t>CBA BNE August 2026</t>
        </is>
      </c>
      <c r="I28" s="51" t="inlineStr">
        <is>
          <t>Contract</t>
        </is>
      </c>
      <c r="J28" s="51" t="inlineStr">
        <is>
          <t>INV-10565</t>
        </is>
      </c>
      <c r="K28" s="51" t="inlineStr">
        <is>
          <t>GST 10%</t>
        </is>
      </c>
      <c r="L28" s="52" t="n">
        <v>8022.5</v>
      </c>
      <c r="M28" s="53">
        <f>IF(L28="","",IF(K28="GST 10%",ROUND(L28*0.1,2),0))</f>
        <v/>
      </c>
      <c r="N28" s="53">
        <f>IF(L28="","",L28+M28)</f>
        <v/>
      </c>
      <c r="O28" s="51" t="inlineStr">
        <is>
          <t>41100</t>
        </is>
      </c>
      <c r="P28" s="51" t="inlineStr">
        <is>
          <t>Y</t>
        </is>
      </c>
      <c r="Q28" s="51" t="inlineStr">
        <is>
          <t>N</t>
        </is>
      </c>
      <c r="R28" s="51" t="inlineStr">
        <is>
          <t>Invoiced</t>
        </is>
      </c>
      <c r="S28" s="51" t="n"/>
      <c r="T28" s="51" t="n"/>
      <c r="U28" s="51" t="inlineStr">
        <is>
          <t>N/A</t>
        </is>
      </c>
      <c r="V28" s="54" t="n"/>
      <c r="W28" s="51" t="n"/>
    </row>
    <row r="29" ht="15" customHeight="1">
      <c r="A29" s="48" t="n"/>
      <c r="B29" s="49">
        <f>IF(A29="","",EOMONTH(A29,0))</f>
        <v/>
      </c>
      <c r="C29" s="50">
        <f>"Onsite"</f>
        <v/>
      </c>
      <c r="D29" s="51" t="inlineStr">
        <is>
          <t>ONSITE</t>
        </is>
      </c>
      <c r="E29" s="51" t="inlineStr">
        <is>
          <t>CBA</t>
        </is>
      </c>
      <c r="F29" s="51" t="inlineStr">
        <is>
          <t>585/586/1755</t>
        </is>
      </c>
      <c r="G29" s="50">
        <f>IF(F29="","",IF(COUNTIF(lst_Jobs,F29&amp;"")&gt;0,"OK","CHECK"))</f>
        <v/>
      </c>
      <c r="H29" s="51" t="inlineStr">
        <is>
          <t>CBP August 2026</t>
        </is>
      </c>
      <c r="I29" s="51" t="inlineStr">
        <is>
          <t>Contract</t>
        </is>
      </c>
      <c r="J29" s="51" t="n"/>
      <c r="K29" s="51" t="inlineStr">
        <is>
          <t>GST 10%</t>
        </is>
      </c>
      <c r="L29" s="52" t="n"/>
      <c r="M29" s="53">
        <f>IF(L29="","",IF(K29="GST 10%",ROUND(L29*0.1,2),0))</f>
        <v/>
      </c>
      <c r="N29" s="53">
        <f>IF(L29="","",L29+M29)</f>
        <v/>
      </c>
      <c r="O29" s="51" t="inlineStr">
        <is>
          <t>41100</t>
        </is>
      </c>
      <c r="P29" s="51" t="inlineStr">
        <is>
          <t>N</t>
        </is>
      </c>
      <c r="Q29" s="51" t="inlineStr">
        <is>
          <t>N</t>
        </is>
      </c>
      <c r="R29" s="51" t="inlineStr">
        <is>
          <t>To Invoice</t>
        </is>
      </c>
      <c r="S29" s="51" t="n"/>
      <c r="T29" s="51" t="n"/>
      <c r="U29" s="51" t="inlineStr">
        <is>
          <t>N/A</t>
        </is>
      </c>
      <c r="V29" s="54" t="n"/>
      <c r="W29" s="51" t="n"/>
    </row>
    <row r="30" ht="15" customHeight="1">
      <c r="A30" s="48" t="n"/>
      <c r="B30" s="49">
        <f>IF(A30="","",EOMONTH(A30,0))</f>
        <v/>
      </c>
      <c r="C30" s="50">
        <f>"Onsite"</f>
        <v/>
      </c>
      <c r="D30" s="51" t="inlineStr">
        <is>
          <t>ONSITE</t>
        </is>
      </c>
      <c r="E30" s="51" t="inlineStr">
        <is>
          <t>CBA</t>
        </is>
      </c>
      <c r="F30" s="51" t="inlineStr">
        <is>
          <t>587</t>
        </is>
      </c>
      <c r="G30" s="50">
        <f>IF(F30="","",IF(COUNTIF(lst_Jobs,F30&amp;"")&gt;0,"OK","CHECK"))</f>
        <v/>
      </c>
      <c r="H30" s="51" t="inlineStr">
        <is>
          <t>CBS August 2026</t>
        </is>
      </c>
      <c r="I30" s="51" t="inlineStr">
        <is>
          <t>Contract</t>
        </is>
      </c>
      <c r="J30" s="51" t="n"/>
      <c r="K30" s="51" t="inlineStr">
        <is>
          <t>GST 10%</t>
        </is>
      </c>
      <c r="L30" s="52" t="n"/>
      <c r="M30" s="53">
        <f>IF(L30="","",IF(K30="GST 10%",ROUND(L30*0.1,2),0))</f>
        <v/>
      </c>
      <c r="N30" s="53">
        <f>IF(L30="","",L30+M30)</f>
        <v/>
      </c>
      <c r="O30" s="51" t="inlineStr">
        <is>
          <t>41100</t>
        </is>
      </c>
      <c r="P30" s="51" t="inlineStr">
        <is>
          <t>N</t>
        </is>
      </c>
      <c r="Q30" s="51" t="inlineStr">
        <is>
          <t>N</t>
        </is>
      </c>
      <c r="R30" s="51" t="inlineStr">
        <is>
          <t>To Invoice</t>
        </is>
      </c>
      <c r="S30" s="51" t="n"/>
      <c r="T30" s="51" t="n"/>
      <c r="U30" s="51" t="inlineStr">
        <is>
          <t>N/A</t>
        </is>
      </c>
      <c r="V30" s="54" t="n"/>
      <c r="W30" s="51" t="n"/>
    </row>
    <row r="31" ht="15" customHeight="1">
      <c r="A31" s="48" t="n">
        <v>46265</v>
      </c>
      <c r="B31" s="49">
        <f>IF(A31="","",EOMONTH(A31,0))</f>
        <v/>
      </c>
      <c r="C31" s="50">
        <f>"Onsite"</f>
        <v/>
      </c>
      <c r="D31" s="51" t="inlineStr">
        <is>
          <t>ONSITE</t>
        </is>
      </c>
      <c r="E31" s="51" t="inlineStr">
        <is>
          <t>DTTL</t>
        </is>
      </c>
      <c r="F31" s="51" t="inlineStr">
        <is>
          <t>2846/1401/725/1400/1530/1862/2402/2849/974</t>
        </is>
      </c>
      <c r="G31" s="50">
        <f>IF(F31="","",IF(COUNTIF(lst_Jobs,F31&amp;"")&gt;0,"OK","CHECK"))</f>
        <v/>
      </c>
      <c r="H31" s="51" t="inlineStr">
        <is>
          <t>DTTL Contract August 2026</t>
        </is>
      </c>
      <c r="I31" s="51" t="inlineStr">
        <is>
          <t>Contract</t>
        </is>
      </c>
      <c r="J31" s="51" t="inlineStr">
        <is>
          <t>INV-10569</t>
        </is>
      </c>
      <c r="K31" s="51" t="inlineStr">
        <is>
          <t>GST 10%</t>
        </is>
      </c>
      <c r="L31" s="52" t="n">
        <v>103625.44</v>
      </c>
      <c r="M31" s="53">
        <f>IF(L31="","",IF(K31="GST 10%",ROUND(L31*0.1,2),0))</f>
        <v/>
      </c>
      <c r="N31" s="53">
        <f>IF(L31="","",L31+M31)</f>
        <v/>
      </c>
      <c r="O31" s="51" t="inlineStr">
        <is>
          <t>41100</t>
        </is>
      </c>
      <c r="P31" s="51" t="inlineStr">
        <is>
          <t>Y</t>
        </is>
      </c>
      <c r="Q31" s="51" t="inlineStr">
        <is>
          <t>N</t>
        </is>
      </c>
      <c r="R31" s="51" t="inlineStr">
        <is>
          <t>Invoiced</t>
        </is>
      </c>
      <c r="S31" s="51" t="n"/>
      <c r="T31" s="51" t="n"/>
      <c r="U31" s="51" t="inlineStr">
        <is>
          <t>N/A</t>
        </is>
      </c>
      <c r="V31" s="54" t="n"/>
      <c r="W31" s="51" t="n"/>
    </row>
    <row r="32" ht="15" customHeight="1">
      <c r="A32" s="48" t="n">
        <v>46265</v>
      </c>
      <c r="B32" s="49">
        <f>IF(A32="","",EOMONTH(A32,0))</f>
        <v/>
      </c>
      <c r="C32" s="50">
        <f>"Onsite"</f>
        <v/>
      </c>
      <c r="D32" s="51" t="inlineStr">
        <is>
          <t>ONSITE</t>
        </is>
      </c>
      <c r="E32" s="51" t="inlineStr">
        <is>
          <t>BW</t>
        </is>
      </c>
      <c r="F32" s="51" t="inlineStr">
        <is>
          <t>732/1144</t>
        </is>
      </c>
      <c r="G32" s="50">
        <f>IF(F32="","",IF(COUNTIF(lst_Jobs,F32&amp;"")&gt;0,"OK","CHECK"))</f>
        <v/>
      </c>
      <c r="H32" s="51" t="inlineStr">
        <is>
          <t>BW Contract August 2026</t>
        </is>
      </c>
      <c r="I32" s="51" t="inlineStr">
        <is>
          <t>Contract</t>
        </is>
      </c>
      <c r="J32" s="51" t="inlineStr">
        <is>
          <t>INV-10570</t>
        </is>
      </c>
      <c r="K32" s="51" t="inlineStr">
        <is>
          <t>GST 10%</t>
        </is>
      </c>
      <c r="L32" s="52" t="n">
        <v>15113.75</v>
      </c>
      <c r="M32" s="53">
        <f>IF(L32="","",IF(K32="GST 10%",ROUND(L32*0.1,2),0))</f>
        <v/>
      </c>
      <c r="N32" s="53">
        <f>IF(L32="","",L32+M32)</f>
        <v/>
      </c>
      <c r="O32" s="51" t="inlineStr">
        <is>
          <t>41100</t>
        </is>
      </c>
      <c r="P32" s="51" t="inlineStr">
        <is>
          <t>Y</t>
        </is>
      </c>
      <c r="Q32" s="51" t="inlineStr">
        <is>
          <t>N</t>
        </is>
      </c>
      <c r="R32" s="51" t="inlineStr">
        <is>
          <t>Invoiced</t>
        </is>
      </c>
      <c r="S32" s="51" t="n"/>
      <c r="T32" s="51" t="n"/>
      <c r="U32" s="51" t="inlineStr">
        <is>
          <t>N/A</t>
        </is>
      </c>
      <c r="V32" s="54" t="n"/>
      <c r="W32" s="51" t="n"/>
    </row>
    <row r="33" ht="15" customHeight="1">
      <c r="A33" s="48" t="n">
        <v>46265</v>
      </c>
      <c r="B33" s="49">
        <f>IF(A33="","",EOMONTH(A33,0))</f>
        <v/>
      </c>
      <c r="C33" s="50">
        <f>"Onsite"</f>
        <v/>
      </c>
      <c r="D33" s="51" t="inlineStr">
        <is>
          <t>ONSITE</t>
        </is>
      </c>
      <c r="E33" s="51" t="inlineStr">
        <is>
          <t>BW</t>
        </is>
      </c>
      <c r="F33" s="51" t="inlineStr">
        <is>
          <t>2192</t>
        </is>
      </c>
      <c r="G33" s="50">
        <f>IF(F33="","",IF(COUNTIF(lst_Jobs,F33&amp;"")&gt;0,"OK","CHECK"))</f>
        <v/>
      </c>
      <c r="H33" s="51" t="inlineStr">
        <is>
          <t>BW Additionals August 2026</t>
        </is>
      </c>
      <c r="I33" s="51" t="inlineStr">
        <is>
          <t>Contract</t>
        </is>
      </c>
      <c r="J33" s="51" t="inlineStr">
        <is>
          <t>INV-10571</t>
        </is>
      </c>
      <c r="K33" s="51" t="inlineStr">
        <is>
          <t>GST 10%</t>
        </is>
      </c>
      <c r="L33" s="52" t="n">
        <v>2080</v>
      </c>
      <c r="M33" s="53">
        <f>IF(L33="","",IF(K33="GST 10%",ROUND(L33*0.1,2),0))</f>
        <v/>
      </c>
      <c r="N33" s="53">
        <f>IF(L33="","",L33+M33)</f>
        <v/>
      </c>
      <c r="O33" s="51" t="inlineStr">
        <is>
          <t>41100</t>
        </is>
      </c>
      <c r="P33" s="51" t="inlineStr">
        <is>
          <t>Y</t>
        </is>
      </c>
      <c r="Q33" s="51" t="inlineStr">
        <is>
          <t>N</t>
        </is>
      </c>
      <c r="R33" s="51" t="inlineStr">
        <is>
          <t>Invoiced</t>
        </is>
      </c>
      <c r="S33" s="51" t="n"/>
      <c r="T33" s="51" t="n"/>
      <c r="U33" s="51" t="inlineStr">
        <is>
          <t>N/A</t>
        </is>
      </c>
      <c r="V33" s="54" t="n"/>
      <c r="W33" s="51" t="n"/>
    </row>
    <row r="34" ht="15" customHeight="1">
      <c r="A34" s="48" t="n">
        <v>46265</v>
      </c>
      <c r="B34" s="49">
        <f>IF(A34="","",EOMONTH(A34,0))</f>
        <v/>
      </c>
      <c r="C34" s="50">
        <f>"Onsite"</f>
        <v/>
      </c>
      <c r="D34" s="51" t="inlineStr">
        <is>
          <t>ONSITE</t>
        </is>
      </c>
      <c r="E34" s="51" t="inlineStr">
        <is>
          <t>PWC</t>
        </is>
      </c>
      <c r="F34" s="51" t="inlineStr">
        <is>
          <t>2488</t>
        </is>
      </c>
      <c r="G34" s="50">
        <f>IF(F34="","",IF(COUNTIF(lst_Jobs,F34&amp;"")&gt;0,"OK","CHECK"))</f>
        <v/>
      </c>
      <c r="H34" s="51" t="inlineStr">
        <is>
          <t>PWC Brisbane August 2026</t>
        </is>
      </c>
      <c r="I34" s="51" t="inlineStr">
        <is>
          <t>Contract</t>
        </is>
      </c>
      <c r="J34" s="51" t="inlineStr">
        <is>
          <t>INV-10572</t>
        </is>
      </c>
      <c r="K34" s="51" t="inlineStr">
        <is>
          <t>GST 10%</t>
        </is>
      </c>
      <c r="L34" s="52" t="n">
        <v>7150</v>
      </c>
      <c r="M34" s="53">
        <f>IF(L34="","",IF(K34="GST 10%",ROUND(L34*0.1,2),0))</f>
        <v/>
      </c>
      <c r="N34" s="53">
        <f>IF(L34="","",L34+M34)</f>
        <v/>
      </c>
      <c r="O34" s="51" t="inlineStr">
        <is>
          <t>41100</t>
        </is>
      </c>
      <c r="P34" s="51" t="inlineStr">
        <is>
          <t>Y</t>
        </is>
      </c>
      <c r="Q34" s="51" t="inlineStr">
        <is>
          <t>N</t>
        </is>
      </c>
      <c r="R34" s="51" t="inlineStr">
        <is>
          <t>Invoiced</t>
        </is>
      </c>
      <c r="S34" s="51" t="n"/>
      <c r="T34" s="51" t="n"/>
      <c r="U34" s="51" t="inlineStr">
        <is>
          <t>N/A</t>
        </is>
      </c>
      <c r="V34" s="54" t="n"/>
      <c r="W34" s="51" t="n"/>
    </row>
    <row r="35" ht="15" customHeight="1">
      <c r="A35" s="48" t="n">
        <v>46265</v>
      </c>
      <c r="B35" s="49">
        <f>IF(A35="","",EOMONTH(A35,0))</f>
        <v/>
      </c>
      <c r="C35" s="50">
        <f>"Onsite"</f>
        <v/>
      </c>
      <c r="D35" s="51" t="inlineStr">
        <is>
          <t>ONSITE</t>
        </is>
      </c>
      <c r="E35" s="51" t="inlineStr">
        <is>
          <t>Gen-E</t>
        </is>
      </c>
      <c r="F35" s="51" t="inlineStr">
        <is>
          <t>26021602</t>
        </is>
      </c>
      <c r="G35" s="50">
        <f>IF(F35="","",IF(COUNTIF(lst_Jobs,F35&amp;"")&gt;0,"OK","CHECK"))</f>
        <v/>
      </c>
      <c r="H35" s="51" t="inlineStr">
        <is>
          <t>Gen-E ABS August 2026</t>
        </is>
      </c>
      <c r="I35" s="51" t="inlineStr">
        <is>
          <t>Contract</t>
        </is>
      </c>
      <c r="J35" s="51" t="inlineStr">
        <is>
          <t>INV-10573</t>
        </is>
      </c>
      <c r="K35" s="51" t="inlineStr">
        <is>
          <t>GST 10%</t>
        </is>
      </c>
      <c r="L35" s="52" t="n">
        <v>12388.8</v>
      </c>
      <c r="M35" s="53">
        <f>IF(L35="","",IF(K35="GST 10%",ROUND(L35*0.1,2),0))</f>
        <v/>
      </c>
      <c r="N35" s="53">
        <f>IF(L35="","",L35+M35)</f>
        <v/>
      </c>
      <c r="O35" s="51" t="inlineStr">
        <is>
          <t>41100</t>
        </is>
      </c>
      <c r="P35" s="51" t="inlineStr">
        <is>
          <t>Y</t>
        </is>
      </c>
      <c r="Q35" s="51" t="inlineStr">
        <is>
          <t>N</t>
        </is>
      </c>
      <c r="R35" s="51" t="inlineStr">
        <is>
          <t>Invoiced</t>
        </is>
      </c>
      <c r="S35" s="51" t="n"/>
      <c r="T35" s="51" t="n"/>
      <c r="U35" s="51" t="inlineStr">
        <is>
          <t>N/A</t>
        </is>
      </c>
      <c r="V35" s="54" t="n"/>
      <c r="W35" s="51" t="n"/>
    </row>
    <row r="36" ht="15" customHeight="1">
      <c r="A36" s="48" t="n">
        <v>46265</v>
      </c>
      <c r="B36" s="49">
        <f>IF(A36="","",EOMONTH(A36,0))</f>
        <v/>
      </c>
      <c r="C36" s="50">
        <f>"Onsite"</f>
        <v/>
      </c>
      <c r="D36" s="51" t="inlineStr">
        <is>
          <t>ONSITE</t>
        </is>
      </c>
      <c r="E36" s="51" t="inlineStr">
        <is>
          <t>CBA</t>
        </is>
      </c>
      <c r="F36" s="51" t="inlineStr">
        <is>
          <t>26043001</t>
        </is>
      </c>
      <c r="G36" s="50">
        <f>IF(F36="","",IF(COUNTIF(lst_Jobs,F36&amp;"")&gt;0,"OK","CHECK"))</f>
        <v/>
      </c>
      <c r="H36" s="51" t="inlineStr">
        <is>
          <t>CBA Mel August 2026</t>
        </is>
      </c>
      <c r="I36" s="51" t="inlineStr">
        <is>
          <t>Contract</t>
        </is>
      </c>
      <c r="J36" s="51" t="inlineStr">
        <is>
          <t>INV-10582</t>
        </is>
      </c>
      <c r="K36" s="51" t="inlineStr">
        <is>
          <t>GST 10%</t>
        </is>
      </c>
      <c r="L36" s="52" t="n">
        <v>11960</v>
      </c>
      <c r="M36" s="53">
        <f>IF(L36="","",IF(K36="GST 10%",ROUND(L36*0.1,2),0))</f>
        <v/>
      </c>
      <c r="N36" s="53">
        <f>IF(L36="","",L36+M36)</f>
        <v/>
      </c>
      <c r="O36" s="51" t="inlineStr">
        <is>
          <t>41100</t>
        </is>
      </c>
      <c r="P36" s="51" t="inlineStr">
        <is>
          <t>Y</t>
        </is>
      </c>
      <c r="Q36" s="51" t="inlineStr">
        <is>
          <t>N</t>
        </is>
      </c>
      <c r="R36" s="51" t="inlineStr">
        <is>
          <t>Invoiced</t>
        </is>
      </c>
      <c r="S36" s="51" t="n"/>
      <c r="T36" s="51" t="n"/>
      <c r="U36" s="51" t="inlineStr">
        <is>
          <t>N/A</t>
        </is>
      </c>
      <c r="V36" s="54" t="n"/>
      <c r="W36" s="51" t="n"/>
    </row>
    <row r="37" ht="15" customHeight="1">
      <c r="A37" s="48" t="n">
        <v>46265</v>
      </c>
      <c r="B37" s="49">
        <f>IF(A37="","",EOMONTH(A37,0))</f>
        <v/>
      </c>
      <c r="C37" s="50">
        <f>"Onsite"</f>
        <v/>
      </c>
      <c r="D37" s="51" t="inlineStr">
        <is>
          <t>ONSITE</t>
        </is>
      </c>
      <c r="E37" s="51" t="inlineStr">
        <is>
          <t>Aware Super</t>
        </is>
      </c>
      <c r="F37" s="51" t="inlineStr">
        <is>
          <t>26022301</t>
        </is>
      </c>
      <c r="G37" s="50">
        <f>IF(F37="","",IF(COUNTIF(lst_Jobs,F37&amp;"")&gt;0,"OK","CHECK"))</f>
        <v/>
      </c>
      <c r="H37" s="51" t="inlineStr">
        <is>
          <t>Aware Super Contract August 2026</t>
        </is>
      </c>
      <c r="I37" s="51" t="inlineStr">
        <is>
          <t>Contract</t>
        </is>
      </c>
      <c r="J37" s="51" t="inlineStr">
        <is>
          <t>INV-10615</t>
        </is>
      </c>
      <c r="K37" s="51" t="inlineStr">
        <is>
          <t>GST 10%</t>
        </is>
      </c>
      <c r="L37" s="52" t="n">
        <v>11000</v>
      </c>
      <c r="M37" s="53">
        <f>IF(L37="","",IF(K37="GST 10%",ROUND(L37*0.1,2),0))</f>
        <v/>
      </c>
      <c r="N37" s="53">
        <f>IF(L37="","",L37+M37)</f>
        <v/>
      </c>
      <c r="O37" s="51" t="inlineStr">
        <is>
          <t>41100</t>
        </is>
      </c>
      <c r="P37" s="51" t="inlineStr">
        <is>
          <t>Y</t>
        </is>
      </c>
      <c r="Q37" s="51" t="inlineStr">
        <is>
          <t>N</t>
        </is>
      </c>
      <c r="R37" s="51" t="inlineStr">
        <is>
          <t>Invoiced</t>
        </is>
      </c>
      <c r="S37" s="51" t="inlineStr">
        <is>
          <t xml:space="preserve">Split TBC - Xero split this with production ($850) </t>
        </is>
      </c>
      <c r="T37" s="51" t="n"/>
      <c r="U37" s="51" t="inlineStr">
        <is>
          <t>N/A</t>
        </is>
      </c>
      <c r="V37" s="54" t="n"/>
      <c r="W37" s="51" t="n"/>
    </row>
    <row r="38" ht="15" customHeight="1">
      <c r="A38" s="48" t="n">
        <v>46265</v>
      </c>
      <c r="B38" s="49">
        <f>IF(A38="","",EOMONTH(A38,0))</f>
        <v/>
      </c>
      <c r="C38" s="50">
        <f>"Onsite"</f>
        <v/>
      </c>
      <c r="D38" s="51" t="inlineStr">
        <is>
          <t>ONSITE</t>
        </is>
      </c>
      <c r="E38" s="51" t="inlineStr">
        <is>
          <t>PWC</t>
        </is>
      </c>
      <c r="F38" s="51" t="inlineStr">
        <is>
          <t>25101301B</t>
        </is>
      </c>
      <c r="G38" s="50">
        <f>IF(F38="","",IF(COUNTIF(lst_Jobs,F38&amp;"")&gt;0,"OK","CHECK"))</f>
        <v/>
      </c>
      <c r="H38" s="51" t="inlineStr">
        <is>
          <t>PWC Sydney IT August 2026</t>
        </is>
      </c>
      <c r="I38" s="51" t="inlineStr">
        <is>
          <t>Contract</t>
        </is>
      </c>
      <c r="J38" s="51" t="inlineStr">
        <is>
          <t>INV-10585</t>
        </is>
      </c>
      <c r="K38" s="51" t="inlineStr">
        <is>
          <t>GST 10%</t>
        </is>
      </c>
      <c r="L38" s="52" t="n">
        <v>11907</v>
      </c>
      <c r="M38" s="53">
        <f>IF(L38="","",IF(K38="GST 10%",ROUND(L38*0.1,2),0))</f>
        <v/>
      </c>
      <c r="N38" s="53">
        <f>IF(L38="","",L38+M38)</f>
        <v/>
      </c>
      <c r="O38" s="51" t="inlineStr">
        <is>
          <t>41100</t>
        </is>
      </c>
      <c r="P38" s="51" t="inlineStr">
        <is>
          <t>Y</t>
        </is>
      </c>
      <c r="Q38" s="51" t="inlineStr">
        <is>
          <t>N</t>
        </is>
      </c>
      <c r="R38" s="51" t="inlineStr">
        <is>
          <t>Invoiced</t>
        </is>
      </c>
      <c r="S38" s="51" t="n"/>
      <c r="T38" s="51" t="n"/>
      <c r="U38" s="51" t="inlineStr">
        <is>
          <t>N/A</t>
        </is>
      </c>
      <c r="V38" s="54" t="n"/>
      <c r="W38" s="51" t="n"/>
    </row>
    <row r="39" ht="15" customHeight="1">
      <c r="A39" s="48" t="n"/>
      <c r="B39" s="49">
        <f>IF(A39="","",EOMONTH(A39,0))</f>
        <v/>
      </c>
      <c r="C39" s="50">
        <f>"Onsite"</f>
        <v/>
      </c>
      <c r="D39" s="51" t="inlineStr">
        <is>
          <t>ONSITE</t>
        </is>
      </c>
      <c r="E39" s="51" t="inlineStr">
        <is>
          <t>TWG</t>
        </is>
      </c>
      <c r="F39" s="51" t="inlineStr">
        <is>
          <t>26081301</t>
        </is>
      </c>
      <c r="G39" s="50">
        <f>IF(F39="","",IF(COUNTIF(lst_Jobs,F39&amp;"")&gt;0,"OK","CHECK"))</f>
        <v/>
      </c>
      <c r="H39" s="51" t="inlineStr">
        <is>
          <t>EY Support Technician BNE</t>
        </is>
      </c>
      <c r="I39" s="51" t="inlineStr">
        <is>
          <t>Contract</t>
        </is>
      </c>
      <c r="J39" s="51" t="n"/>
      <c r="K39" s="51" t="inlineStr">
        <is>
          <t>GST 10%</t>
        </is>
      </c>
      <c r="L39" s="52" t="n">
        <v>3740</v>
      </c>
      <c r="M39" s="53">
        <f>IF(L39="","",IF(K39="GST 10%",ROUND(L39*0.1,2),0))</f>
        <v/>
      </c>
      <c r="N39" s="53">
        <f>IF(L39="","",L39+M39)</f>
        <v/>
      </c>
      <c r="O39" s="51" t="inlineStr">
        <is>
          <t>41100</t>
        </is>
      </c>
      <c r="P39" s="51" t="inlineStr">
        <is>
          <t>N</t>
        </is>
      </c>
      <c r="Q39" s="51" t="inlineStr">
        <is>
          <t>N</t>
        </is>
      </c>
      <c r="R39" s="51" t="inlineStr">
        <is>
          <t>To Invoice</t>
        </is>
      </c>
      <c r="S39" s="51" t="inlineStr">
        <is>
          <t>November</t>
        </is>
      </c>
      <c r="T39" s="51" t="n"/>
      <c r="U39" s="51" t="inlineStr">
        <is>
          <t>N/A</t>
        </is>
      </c>
      <c r="V39" s="54" t="n"/>
      <c r="W39" s="51" t="n"/>
    </row>
    <row r="40" ht="15" customHeight="1">
      <c r="A40" s="48" t="n">
        <v>46265</v>
      </c>
      <c r="B40" s="49">
        <f>IF(A40="","",EOMONTH(A40,0))</f>
        <v/>
      </c>
      <c r="C40" s="50">
        <f>"Onsite"</f>
        <v/>
      </c>
      <c r="D40" s="51" t="inlineStr">
        <is>
          <t>ONSITE</t>
        </is>
      </c>
      <c r="E40" s="51" t="inlineStr">
        <is>
          <t>CBA</t>
        </is>
      </c>
      <c r="F40" s="51" t="inlineStr">
        <is>
          <t>1668</t>
        </is>
      </c>
      <c r="G40" s="50">
        <f>IF(F40="","",IF(COUNTIF(lst_Jobs,F40&amp;"")&gt;0,"OK","CHECK"))</f>
        <v/>
      </c>
      <c r="H40" s="51" t="inlineStr">
        <is>
          <t>85720001CBPSCSJUN27 AFTERHOUR</t>
        </is>
      </c>
      <c r="I40" s="51" t="inlineStr">
        <is>
          <t>Contract</t>
        </is>
      </c>
      <c r="J40" s="51" t="inlineStr">
        <is>
          <t>INV-10603</t>
        </is>
      </c>
      <c r="K40" s="51" t="inlineStr">
        <is>
          <t>GST 10%</t>
        </is>
      </c>
      <c r="L40" s="52" t="n">
        <v>775</v>
      </c>
      <c r="M40" s="53">
        <f>IF(L40="","",IF(K40="GST 10%",ROUND(L40*0.1,2),0))</f>
        <v/>
      </c>
      <c r="N40" s="53">
        <f>IF(L40="","",L40+M40)</f>
        <v/>
      </c>
      <c r="O40" s="51" t="inlineStr">
        <is>
          <t>41100</t>
        </is>
      </c>
      <c r="P40" s="51" t="inlineStr">
        <is>
          <t>Y</t>
        </is>
      </c>
      <c r="Q40" s="51" t="inlineStr">
        <is>
          <t>N</t>
        </is>
      </c>
      <c r="R40" s="51" t="inlineStr">
        <is>
          <t>Invoiced</t>
        </is>
      </c>
      <c r="S40" s="51" t="n"/>
      <c r="T40" s="51" t="n"/>
      <c r="U40" s="51" t="inlineStr">
        <is>
          <t>N/A</t>
        </is>
      </c>
      <c r="V40" s="54" t="n"/>
      <c r="W40" s="51" t="n"/>
    </row>
    <row r="41" ht="15" customHeight="1">
      <c r="A41" s="48" t="n">
        <v>46265</v>
      </c>
      <c r="B41" s="49">
        <f>IF(A41="","",EOMONTH(A41,0))</f>
        <v/>
      </c>
      <c r="C41" s="50">
        <f>"Onsite"</f>
        <v/>
      </c>
      <c r="D41" s="51" t="inlineStr">
        <is>
          <t>ONSITE</t>
        </is>
      </c>
      <c r="E41" s="51" t="inlineStr">
        <is>
          <t>CBA</t>
        </is>
      </c>
      <c r="F41" s="51" t="inlineStr">
        <is>
          <t>1668</t>
        </is>
      </c>
      <c r="G41" s="50">
        <f>IF(F41="","",IF(COUNTIF(lst_Jobs,F41&amp;"")&gt;0,"OK","CHECK"))</f>
        <v/>
      </c>
      <c r="H41" s="51" t="inlineStr">
        <is>
          <t>85720001CBPSCSJUN27 DEDICATED TECH</t>
        </is>
      </c>
      <c r="I41" s="51" t="inlineStr">
        <is>
          <t>Contract</t>
        </is>
      </c>
      <c r="J41" s="51" t="inlineStr">
        <is>
          <t>INV-10604</t>
        </is>
      </c>
      <c r="K41" s="51" t="inlineStr">
        <is>
          <t>GST 10%</t>
        </is>
      </c>
      <c r="L41" s="52" t="n">
        <v>510</v>
      </c>
      <c r="M41" s="53">
        <f>IF(L41="","",IF(K41="GST 10%",ROUND(L41*0.1,2),0))</f>
        <v/>
      </c>
      <c r="N41" s="53">
        <f>IF(L41="","",L41+M41)</f>
        <v/>
      </c>
      <c r="O41" s="51" t="inlineStr">
        <is>
          <t>41100</t>
        </is>
      </c>
      <c r="P41" s="51" t="inlineStr">
        <is>
          <t>Y</t>
        </is>
      </c>
      <c r="Q41" s="51" t="inlineStr">
        <is>
          <t>N</t>
        </is>
      </c>
      <c r="R41" s="51" t="inlineStr">
        <is>
          <t>Invoiced</t>
        </is>
      </c>
      <c r="S41" s="51" t="n"/>
      <c r="T41" s="51" t="n"/>
      <c r="U41" s="51" t="inlineStr">
        <is>
          <t>N/A</t>
        </is>
      </c>
      <c r="V41" s="54" t="n"/>
      <c r="W41" s="51" t="n"/>
    </row>
    <row r="42" ht="15" customHeight="1">
      <c r="A42" s="48" t="n">
        <v>46265</v>
      </c>
      <c r="B42" s="49">
        <f>IF(A42="","",EOMONTH(A42,0))</f>
        <v/>
      </c>
      <c r="C42" s="50">
        <f>"Onsite"</f>
        <v/>
      </c>
      <c r="D42" s="51" t="inlineStr">
        <is>
          <t>ONSITE</t>
        </is>
      </c>
      <c r="E42" s="51" t="inlineStr">
        <is>
          <t>CBA</t>
        </is>
      </c>
      <c r="F42" s="51" t="inlineStr">
        <is>
          <t>1668</t>
        </is>
      </c>
      <c r="G42" s="50">
        <f>IF(F42="","",IF(COUNTIF(lst_Jobs,F42&amp;"")&gt;0,"OK","CHECK"))</f>
        <v/>
      </c>
      <c r="H42" s="51" t="inlineStr">
        <is>
          <t>85720001CBPSCSJUN27 DEDICATED TECH</t>
        </is>
      </c>
      <c r="I42" s="51" t="inlineStr">
        <is>
          <t>Contract</t>
        </is>
      </c>
      <c r="J42" s="51" t="inlineStr">
        <is>
          <t>INV-10605</t>
        </is>
      </c>
      <c r="K42" s="51" t="inlineStr">
        <is>
          <t>GST 10%</t>
        </is>
      </c>
      <c r="L42" s="52" t="n">
        <v>340</v>
      </c>
      <c r="M42" s="53">
        <f>IF(L42="","",IF(K42="GST 10%",ROUND(L42*0.1,2),0))</f>
        <v/>
      </c>
      <c r="N42" s="53">
        <f>IF(L42="","",L42+M42)</f>
        <v/>
      </c>
      <c r="O42" s="51" t="inlineStr">
        <is>
          <t>41100</t>
        </is>
      </c>
      <c r="P42" s="51" t="inlineStr">
        <is>
          <t>Y</t>
        </is>
      </c>
      <c r="Q42" s="51" t="inlineStr">
        <is>
          <t>N</t>
        </is>
      </c>
      <c r="R42" s="51" t="inlineStr">
        <is>
          <t>Invoiced</t>
        </is>
      </c>
      <c r="S42" s="51" t="n"/>
      <c r="T42" s="51" t="n"/>
      <c r="U42" s="51" t="inlineStr">
        <is>
          <t>N/A</t>
        </is>
      </c>
      <c r="V42" s="54" t="n"/>
      <c r="W42" s="51" t="n"/>
    </row>
    <row r="43" ht="15" customHeight="1">
      <c r="A43" s="48" t="n">
        <v>46265</v>
      </c>
      <c r="B43" s="49">
        <f>IF(A43="","",EOMONTH(A43,0))</f>
        <v/>
      </c>
      <c r="C43" s="50">
        <f>"Onsite"</f>
        <v/>
      </c>
      <c r="D43" s="51" t="inlineStr">
        <is>
          <t>ONSITE</t>
        </is>
      </c>
      <c r="E43" s="51" t="inlineStr">
        <is>
          <t>CBA</t>
        </is>
      </c>
      <c r="F43" s="51" t="inlineStr">
        <is>
          <t>1668</t>
        </is>
      </c>
      <c r="G43" s="50">
        <f>IF(F43="","",IF(COUNTIF(lst_Jobs,F43&amp;"")&gt;0,"OK","CHECK"))</f>
        <v/>
      </c>
      <c r="H43" s="51" t="inlineStr">
        <is>
          <t>85720001CBPSCSJUN27 DEDICATED TECH</t>
        </is>
      </c>
      <c r="I43" s="51" t="inlineStr">
        <is>
          <t>Contract</t>
        </is>
      </c>
      <c r="J43" s="51" t="inlineStr">
        <is>
          <t>INV-10606</t>
        </is>
      </c>
      <c r="K43" s="51" t="inlineStr">
        <is>
          <t>GST 10%</t>
        </is>
      </c>
      <c r="L43" s="52" t="n">
        <v>510</v>
      </c>
      <c r="M43" s="53">
        <f>IF(L43="","",IF(K43="GST 10%",ROUND(L43*0.1,2),0))</f>
        <v/>
      </c>
      <c r="N43" s="53">
        <f>IF(L43="","",L43+M43)</f>
        <v/>
      </c>
      <c r="O43" s="51" t="inlineStr">
        <is>
          <t>41100</t>
        </is>
      </c>
      <c r="P43" s="51" t="inlineStr">
        <is>
          <t>Y</t>
        </is>
      </c>
      <c r="Q43" s="51" t="inlineStr">
        <is>
          <t>N</t>
        </is>
      </c>
      <c r="R43" s="51" t="inlineStr">
        <is>
          <t>Invoiced</t>
        </is>
      </c>
      <c r="S43" s="51" t="n"/>
      <c r="T43" s="51" t="n"/>
      <c r="U43" s="51" t="inlineStr">
        <is>
          <t>N/A</t>
        </is>
      </c>
      <c r="V43" s="54" t="n"/>
      <c r="W43" s="51" t="n"/>
    </row>
    <row r="44" ht="15" customHeight="1">
      <c r="A44" s="48" t="n">
        <v>46265</v>
      </c>
      <c r="B44" s="49">
        <f>IF(A44="","",EOMONTH(A44,0))</f>
        <v/>
      </c>
      <c r="C44" s="50">
        <f>"Onsite"</f>
        <v/>
      </c>
      <c r="D44" s="51" t="inlineStr">
        <is>
          <t>ONSITE</t>
        </is>
      </c>
      <c r="E44" s="51" t="inlineStr">
        <is>
          <t>CBA</t>
        </is>
      </c>
      <c r="F44" s="51" t="inlineStr">
        <is>
          <t>1668</t>
        </is>
      </c>
      <c r="G44" s="50">
        <f>IF(F44="","",IF(COUNTIF(lst_Jobs,F44&amp;"")&gt;0,"OK","CHECK"))</f>
        <v/>
      </c>
      <c r="H44" s="51" t="inlineStr">
        <is>
          <t>85720001CBPSCSJUN27 DEDICATED TECH</t>
        </is>
      </c>
      <c r="I44" s="51" t="inlineStr">
        <is>
          <t>Contract</t>
        </is>
      </c>
      <c r="J44" s="51" t="inlineStr">
        <is>
          <t>INV-10607</t>
        </is>
      </c>
      <c r="K44" s="51" t="inlineStr">
        <is>
          <t>GST 10%</t>
        </is>
      </c>
      <c r="L44" s="52" t="n">
        <v>510</v>
      </c>
      <c r="M44" s="53">
        <f>IF(L44="","",IF(K44="GST 10%",ROUND(L44*0.1,2),0))</f>
        <v/>
      </c>
      <c r="N44" s="53">
        <f>IF(L44="","",L44+M44)</f>
        <v/>
      </c>
      <c r="O44" s="51" t="inlineStr">
        <is>
          <t>41100</t>
        </is>
      </c>
      <c r="P44" s="51" t="inlineStr">
        <is>
          <t>Y</t>
        </is>
      </c>
      <c r="Q44" s="51" t="inlineStr">
        <is>
          <t>N</t>
        </is>
      </c>
      <c r="R44" s="51" t="inlineStr">
        <is>
          <t>Invoiced</t>
        </is>
      </c>
      <c r="S44" s="51" t="n"/>
      <c r="T44" s="51" t="n"/>
      <c r="U44" s="51" t="inlineStr">
        <is>
          <t>N/A</t>
        </is>
      </c>
      <c r="V44" s="54" t="n"/>
      <c r="W44" s="51" t="n"/>
    </row>
    <row r="45" ht="15" customHeight="1">
      <c r="A45" s="48" t="n">
        <v>46265</v>
      </c>
      <c r="B45" s="49">
        <f>IF(A45="","",EOMONTH(A45,0))</f>
        <v/>
      </c>
      <c r="C45" s="50">
        <f>"Onsite"</f>
        <v/>
      </c>
      <c r="D45" s="51" t="inlineStr">
        <is>
          <t>ONSITE</t>
        </is>
      </c>
      <c r="E45" s="51" t="inlineStr">
        <is>
          <t>CBA</t>
        </is>
      </c>
      <c r="F45" s="51" t="inlineStr">
        <is>
          <t>1668</t>
        </is>
      </c>
      <c r="G45" s="50">
        <f>IF(F45="","",IF(COUNTIF(lst_Jobs,F45&amp;"")&gt;0,"OK","CHECK"))</f>
        <v/>
      </c>
      <c r="H45" s="51" t="inlineStr">
        <is>
          <t>85720001CBPSCSJUN27 DEDICATED TECH</t>
        </is>
      </c>
      <c r="I45" s="51" t="inlineStr">
        <is>
          <t>Contract</t>
        </is>
      </c>
      <c r="J45" s="51" t="inlineStr">
        <is>
          <t>INV-10608</t>
        </is>
      </c>
      <c r="K45" s="51" t="inlineStr">
        <is>
          <t>GST 10%</t>
        </is>
      </c>
      <c r="L45" s="52" t="n">
        <v>340</v>
      </c>
      <c r="M45" s="53">
        <f>IF(L45="","",IF(K45="GST 10%",ROUND(L45*0.1,2),0))</f>
        <v/>
      </c>
      <c r="N45" s="53">
        <f>IF(L45="","",L45+M45)</f>
        <v/>
      </c>
      <c r="O45" s="51" t="inlineStr">
        <is>
          <t>41100</t>
        </is>
      </c>
      <c r="P45" s="51" t="inlineStr">
        <is>
          <t>Y</t>
        </is>
      </c>
      <c r="Q45" s="51" t="inlineStr">
        <is>
          <t>N</t>
        </is>
      </c>
      <c r="R45" s="51" t="inlineStr">
        <is>
          <t>Invoiced</t>
        </is>
      </c>
      <c r="S45" s="51" t="n"/>
      <c r="T45" s="51" t="n"/>
      <c r="U45" s="51" t="inlineStr">
        <is>
          <t>N/A</t>
        </is>
      </c>
      <c r="V45" s="54" t="n"/>
      <c r="W45" s="51" t="n"/>
    </row>
    <row r="46" ht="15" customHeight="1">
      <c r="A46" s="48" t="n">
        <v>46265</v>
      </c>
      <c r="B46" s="49">
        <f>IF(A46="","",EOMONTH(A46,0))</f>
        <v/>
      </c>
      <c r="C46" s="50">
        <f>"Onsite"</f>
        <v/>
      </c>
      <c r="D46" s="51" t="inlineStr">
        <is>
          <t>ONSITE</t>
        </is>
      </c>
      <c r="E46" s="51" t="inlineStr">
        <is>
          <t>CBA</t>
        </is>
      </c>
      <c r="F46" s="51" t="inlineStr">
        <is>
          <t>1668</t>
        </is>
      </c>
      <c r="G46" s="50">
        <f>IF(F46="","",IF(COUNTIF(lst_Jobs,F46&amp;"")&gt;0,"OK","CHECK"))</f>
        <v/>
      </c>
      <c r="H46" s="51" t="inlineStr">
        <is>
          <t>85720001CBPSCSJUN27 DEDICATED TECH</t>
        </is>
      </c>
      <c r="I46" s="51" t="inlineStr">
        <is>
          <t>Contract</t>
        </is>
      </c>
      <c r="J46" s="51" t="inlineStr">
        <is>
          <t>INV-10609</t>
        </is>
      </c>
      <c r="K46" s="51" t="inlineStr">
        <is>
          <t>GST 10%</t>
        </is>
      </c>
      <c r="L46" s="52" t="n">
        <v>425</v>
      </c>
      <c r="M46" s="53">
        <f>IF(L46="","",IF(K46="GST 10%",ROUND(L46*0.1,2),0))</f>
        <v/>
      </c>
      <c r="N46" s="53">
        <f>IF(L46="","",L46+M46)</f>
        <v/>
      </c>
      <c r="O46" s="51" t="inlineStr">
        <is>
          <t>41100</t>
        </is>
      </c>
      <c r="P46" s="51" t="inlineStr">
        <is>
          <t>Y</t>
        </is>
      </c>
      <c r="Q46" s="51" t="inlineStr">
        <is>
          <t>N</t>
        </is>
      </c>
      <c r="R46" s="51" t="inlineStr">
        <is>
          <t>Invoiced</t>
        </is>
      </c>
      <c r="S46" s="51" t="n"/>
      <c r="T46" s="51" t="n"/>
      <c r="U46" s="51" t="inlineStr">
        <is>
          <t>N/A</t>
        </is>
      </c>
      <c r="V46" s="54" t="n"/>
      <c r="W46" s="51" t="n"/>
    </row>
    <row r="47" ht="15" customHeight="1">
      <c r="A47" s="48" t="n">
        <v>46265</v>
      </c>
      <c r="B47" s="49">
        <f>IF(A47="","",EOMONTH(A47,0))</f>
        <v/>
      </c>
      <c r="C47" s="50">
        <f>"Onsite"</f>
        <v/>
      </c>
      <c r="D47" s="51" t="inlineStr">
        <is>
          <t>ONSITE</t>
        </is>
      </c>
      <c r="E47" s="51" t="inlineStr">
        <is>
          <t>CBA</t>
        </is>
      </c>
      <c r="F47" s="51" t="inlineStr">
        <is>
          <t>1668</t>
        </is>
      </c>
      <c r="G47" s="50">
        <f>IF(F47="","",IF(COUNTIF(lst_Jobs,F47&amp;"")&gt;0,"OK","CHECK"))</f>
        <v/>
      </c>
      <c r="H47" s="51" t="inlineStr">
        <is>
          <t>85720001CBPSCSJUN27 DEDICATED TECH</t>
        </is>
      </c>
      <c r="I47" s="51" t="inlineStr">
        <is>
          <t>Contract</t>
        </is>
      </c>
      <c r="J47" s="51" t="inlineStr">
        <is>
          <t>INV-10610</t>
        </is>
      </c>
      <c r="K47" s="51" t="inlineStr">
        <is>
          <t>GST 10%</t>
        </is>
      </c>
      <c r="L47" s="52" t="n">
        <v>595</v>
      </c>
      <c r="M47" s="53">
        <f>IF(L47="","",IF(K47="GST 10%",ROUND(L47*0.1,2),0))</f>
        <v/>
      </c>
      <c r="N47" s="53">
        <f>IF(L47="","",L47+M47)</f>
        <v/>
      </c>
      <c r="O47" s="51" t="inlineStr">
        <is>
          <t>41100</t>
        </is>
      </c>
      <c r="P47" s="51" t="inlineStr">
        <is>
          <t>Y</t>
        </is>
      </c>
      <c r="Q47" s="51" t="inlineStr">
        <is>
          <t>N</t>
        </is>
      </c>
      <c r="R47" s="51" t="inlineStr">
        <is>
          <t>Invoiced</t>
        </is>
      </c>
      <c r="S47" s="51" t="n"/>
      <c r="T47" s="51" t="n"/>
      <c r="U47" s="51" t="inlineStr">
        <is>
          <t>N/A</t>
        </is>
      </c>
      <c r="V47" s="54" t="n"/>
      <c r="W47" s="51" t="n"/>
    </row>
    <row r="48" ht="15" customHeight="1">
      <c r="A48" s="48" t="n">
        <v>46265</v>
      </c>
      <c r="B48" s="49">
        <f>IF(A48="","",EOMONTH(A48,0))</f>
        <v/>
      </c>
      <c r="C48" s="50">
        <f>"Onsite"</f>
        <v/>
      </c>
      <c r="D48" s="51" t="inlineStr">
        <is>
          <t>ONSITE</t>
        </is>
      </c>
      <c r="E48" s="51" t="inlineStr">
        <is>
          <t>CBA</t>
        </is>
      </c>
      <c r="F48" s="51" t="inlineStr">
        <is>
          <t>585, 586</t>
        </is>
      </c>
      <c r="G48" s="50">
        <f>IF(F48="","",IF(COUNTIF(lst_Jobs,F48&amp;"")&gt;0,"OK","CHECK"))</f>
        <v/>
      </c>
      <c r="H48" s="51" t="inlineStr">
        <is>
          <t>85720001CBPSCSJUN27</t>
        </is>
      </c>
      <c r="I48" s="51" t="inlineStr">
        <is>
          <t>Contract</t>
        </is>
      </c>
      <c r="J48" s="51" t="inlineStr">
        <is>
          <t>INV-10614</t>
        </is>
      </c>
      <c r="K48" s="51" t="inlineStr">
        <is>
          <t>GST 10%</t>
        </is>
      </c>
      <c r="L48" s="52" t="n">
        <v>22680</v>
      </c>
      <c r="M48" s="53">
        <f>IF(L48="","",IF(K48="GST 10%",ROUND(L48*0.1,2),0))</f>
        <v/>
      </c>
      <c r="N48" s="53">
        <f>IF(L48="","",L48+M48)</f>
        <v/>
      </c>
      <c r="O48" s="51" t="inlineStr">
        <is>
          <t>41100</t>
        </is>
      </c>
      <c r="P48" s="51" t="inlineStr">
        <is>
          <t>Y</t>
        </is>
      </c>
      <c r="Q48" s="51" t="inlineStr">
        <is>
          <t>N</t>
        </is>
      </c>
      <c r="R48" s="51" t="inlineStr">
        <is>
          <t>Invoiced</t>
        </is>
      </c>
      <c r="S48" s="51" t="n"/>
      <c r="T48" s="51" t="n"/>
      <c r="U48" s="51" t="inlineStr">
        <is>
          <t>N/A</t>
        </is>
      </c>
      <c r="V48" s="54" t="n"/>
      <c r="W48" s="51" t="n"/>
    </row>
    <row r="49" ht="15" customHeight="1">
      <c r="A49" s="48" t="n">
        <v>46265</v>
      </c>
      <c r="B49" s="49">
        <f>IF(A49="","",EOMONTH(A49,0))</f>
        <v/>
      </c>
      <c r="C49" s="50">
        <f>"Onsite"</f>
        <v/>
      </c>
      <c r="D49" s="51" t="inlineStr">
        <is>
          <t>ONSITE</t>
        </is>
      </c>
      <c r="E49" s="51" t="inlineStr">
        <is>
          <t>CBA</t>
        </is>
      </c>
      <c r="F49" s="51" t="inlineStr">
        <is>
          <t>587</t>
        </is>
      </c>
      <c r="G49" s="50">
        <f>IF(F49="","",IF(COUNTIF(lst_Jobs,F49&amp;"")&gt;0,"OK","CHECK"))</f>
        <v/>
      </c>
      <c r="H49" s="51" t="inlineStr">
        <is>
          <t>85720001CBSCSJUN27</t>
        </is>
      </c>
      <c r="I49" s="51" t="inlineStr">
        <is>
          <t>Contract</t>
        </is>
      </c>
      <c r="J49" s="51" t="inlineStr">
        <is>
          <t>INV-10613</t>
        </is>
      </c>
      <c r="K49" s="51" t="inlineStr">
        <is>
          <t>GST 10%</t>
        </is>
      </c>
      <c r="L49" s="52" t="n">
        <v>10197.88</v>
      </c>
      <c r="M49" s="53">
        <f>IF(L49="","",IF(K49="GST 10%",ROUND(L49*0.1,2),0))</f>
        <v/>
      </c>
      <c r="N49" s="53">
        <f>IF(L49="","",L49+M49)</f>
        <v/>
      </c>
      <c r="O49" s="51" t="inlineStr">
        <is>
          <t>41100</t>
        </is>
      </c>
      <c r="P49" s="51" t="inlineStr">
        <is>
          <t>Y</t>
        </is>
      </c>
      <c r="Q49" s="51" t="inlineStr">
        <is>
          <t>N</t>
        </is>
      </c>
      <c r="R49" s="51" t="inlineStr">
        <is>
          <t>Invoiced</t>
        </is>
      </c>
      <c r="S49" s="51" t="n"/>
      <c r="T49" s="51" t="n"/>
      <c r="U49" s="51" t="inlineStr">
        <is>
          <t>N/A</t>
        </is>
      </c>
      <c r="V49" s="54" t="n"/>
      <c r="W49" s="51" t="n"/>
    </row>
    <row r="50" ht="15" customHeight="1">
      <c r="A50" s="48" t="n">
        <v>46265</v>
      </c>
      <c r="B50" s="49">
        <f>IF(A50="","",EOMONTH(A50,0))</f>
        <v/>
      </c>
      <c r="C50" s="50">
        <f>"Onsite"</f>
        <v/>
      </c>
      <c r="D50" s="51" t="inlineStr">
        <is>
          <t>ONSITE</t>
        </is>
      </c>
      <c r="E50" s="51" t="inlineStr">
        <is>
          <t>CBA</t>
        </is>
      </c>
      <c r="F50" s="51" t="inlineStr">
        <is>
          <t>1668</t>
        </is>
      </c>
      <c r="G50" s="50">
        <f>IF(F50="","",IF(COUNTIF(lst_Jobs,F50&amp;"")&gt;0,"OK","CHECK"))</f>
        <v/>
      </c>
      <c r="H50" s="51" t="inlineStr">
        <is>
          <t>85720001CBPSCSJUN27 DEDICATED TECH</t>
        </is>
      </c>
      <c r="I50" s="51" t="inlineStr">
        <is>
          <t>Contract</t>
        </is>
      </c>
      <c r="J50" s="51" t="inlineStr">
        <is>
          <t>INV-10602</t>
        </is>
      </c>
      <c r="K50" s="51" t="inlineStr">
        <is>
          <t>GST 10%</t>
        </is>
      </c>
      <c r="L50" s="52" t="n">
        <v>170</v>
      </c>
      <c r="M50" s="53">
        <f>IF(L50="","",IF(K50="GST 10%",ROUND(L50*0.1,2),0))</f>
        <v/>
      </c>
      <c r="N50" s="53">
        <f>IF(L50="","",L50+M50)</f>
        <v/>
      </c>
      <c r="O50" s="51" t="inlineStr">
        <is>
          <t>41100</t>
        </is>
      </c>
      <c r="P50" s="51" t="inlineStr">
        <is>
          <t>Y</t>
        </is>
      </c>
      <c r="Q50" s="51" t="inlineStr">
        <is>
          <t>N</t>
        </is>
      </c>
      <c r="R50" s="51" t="inlineStr">
        <is>
          <t>Invoiced</t>
        </is>
      </c>
      <c r="S50" s="51" t="n"/>
      <c r="T50" s="51" t="n"/>
      <c r="U50" s="51" t="inlineStr">
        <is>
          <t>N/A</t>
        </is>
      </c>
      <c r="V50" s="54" t="n"/>
      <c r="W50" s="51" t="n"/>
    </row>
    <row r="51" ht="15" customHeight="1">
      <c r="A51" s="48" t="n">
        <v>46265</v>
      </c>
      <c r="B51" s="49">
        <f>IF(A51="","",EOMONTH(A51,0))</f>
        <v/>
      </c>
      <c r="C51" s="50">
        <f>"Onsite"</f>
        <v/>
      </c>
      <c r="D51" s="51" t="inlineStr">
        <is>
          <t>ONSITE</t>
        </is>
      </c>
      <c r="E51" s="51" t="inlineStr">
        <is>
          <t>Ricoh Australia Pty Ltd</t>
        </is>
      </c>
      <c r="F51" s="51" t="inlineStr">
        <is>
          <t>2880</t>
        </is>
      </c>
      <c r="G51" s="50">
        <f>IF(F51="","",IF(COUNTIF(lst_Jobs,F51&amp;"")&gt;0,"OK","CHECK"))</f>
        <v/>
      </c>
      <c r="H51" s="51" t="inlineStr">
        <is>
          <t>CONTRACT</t>
        </is>
      </c>
      <c r="I51" s="51" t="inlineStr">
        <is>
          <t>Contract</t>
        </is>
      </c>
      <c r="J51" s="51" t="inlineStr">
        <is>
          <t>INV-10618</t>
        </is>
      </c>
      <c r="K51" s="51" t="inlineStr">
        <is>
          <t>GST 10%</t>
        </is>
      </c>
      <c r="L51" s="52" t="n">
        <v>11860.56</v>
      </c>
      <c r="M51" s="53">
        <f>IF(L51="","",IF(K51="GST 10%",ROUND(L51*0.1,2),0))</f>
        <v/>
      </c>
      <c r="N51" s="53">
        <f>IF(L51="","",L51+M51)</f>
        <v/>
      </c>
      <c r="O51" s="51" t="inlineStr">
        <is>
          <t>41100</t>
        </is>
      </c>
      <c r="P51" s="51" t="inlineStr">
        <is>
          <t>Y</t>
        </is>
      </c>
      <c r="Q51" s="51" t="inlineStr">
        <is>
          <t>N</t>
        </is>
      </c>
      <c r="R51" s="51" t="inlineStr">
        <is>
          <t>Invoiced</t>
        </is>
      </c>
      <c r="S51" s="51" t="n"/>
      <c r="T51" s="51" t="n"/>
      <c r="U51" s="51" t="inlineStr">
        <is>
          <t>N/A</t>
        </is>
      </c>
      <c r="V51" s="54" t="n"/>
      <c r="W51" s="51" t="n"/>
    </row>
    <row r="52" ht="15" customHeight="1">
      <c r="A52" s="48" t="n"/>
      <c r="B52" s="49">
        <f>IF(A52="","",EOMONTH(A52,0))</f>
        <v/>
      </c>
      <c r="C52" s="50">
        <f>"Onsite"</f>
        <v/>
      </c>
      <c r="D52" s="51" t="inlineStr">
        <is>
          <t>ONSITE</t>
        </is>
      </c>
      <c r="E52" s="51" t="inlineStr">
        <is>
          <t>DTTL</t>
        </is>
      </c>
      <c r="F52" s="51" t="inlineStr">
        <is>
          <t>26073103</t>
        </is>
      </c>
      <c r="G52" s="50">
        <f>IF(F52="","",IF(COUNTIF(lst_Jobs,F52&amp;"")&gt;0,"OK","CHECK"))</f>
        <v/>
      </c>
      <c r="H52" s="51" t="inlineStr">
        <is>
          <t>Perth AV &amp; Hospitality Technician (SEP26-FEB27)</t>
        </is>
      </c>
      <c r="I52" s="51" t="inlineStr">
        <is>
          <t>Contract</t>
        </is>
      </c>
      <c r="J52" s="51" t="n"/>
      <c r="K52" s="51" t="inlineStr">
        <is>
          <t>GST 10%</t>
        </is>
      </c>
      <c r="L52" s="52" t="n"/>
      <c r="M52" s="53">
        <f>IF(L52="","",IF(K52="GST 10%",ROUND(L52*0.1,2),0))</f>
        <v/>
      </c>
      <c r="N52" s="53">
        <f>IF(L52="","",L52+M52)</f>
        <v/>
      </c>
      <c r="O52" s="51" t="inlineStr">
        <is>
          <t>41100</t>
        </is>
      </c>
      <c r="P52" s="51" t="inlineStr">
        <is>
          <t>N</t>
        </is>
      </c>
      <c r="Q52" s="51" t="inlineStr">
        <is>
          <t>N</t>
        </is>
      </c>
      <c r="R52" s="51" t="inlineStr">
        <is>
          <t>To Invoice</t>
        </is>
      </c>
      <c r="S52" s="51"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1" t="n"/>
      <c r="U52" s="51" t="inlineStr">
        <is>
          <t>N/A</t>
        </is>
      </c>
      <c r="V52" s="54" t="n"/>
      <c r="W52" s="51" t="n"/>
    </row>
    <row r="53" ht="15" customHeight="1">
      <c r="A53" s="48" t="n">
        <v>46268</v>
      </c>
      <c r="B53" s="49">
        <f>IF(A53="","",EOMONTH(A53,0))</f>
        <v/>
      </c>
      <c r="C53" s="50">
        <f>"Onsite"</f>
        <v/>
      </c>
      <c r="D53" s="51" t="inlineStr">
        <is>
          <t>ONSITE</t>
        </is>
      </c>
      <c r="E53" s="51" t="inlineStr">
        <is>
          <t>Ricoh Australia Pty Ltd</t>
        </is>
      </c>
      <c r="F53" s="51" t="inlineStr">
        <is>
          <t>26082801</t>
        </is>
      </c>
      <c r="G53" s="50">
        <f>IF(F53="","",IF(COUNTIF(lst_Jobs,F53&amp;"")&gt;0,"OK","CHECK"))</f>
        <v/>
      </c>
      <c r="H53" s="51" t="inlineStr">
        <is>
          <t>Ricoh Australia - SHELL AV Support</t>
        </is>
      </c>
      <c r="I53" s="51" t="inlineStr">
        <is>
          <t>Contract</t>
        </is>
      </c>
      <c r="J53" s="51" t="inlineStr">
        <is>
          <t>INV-10620</t>
        </is>
      </c>
      <c r="K53" s="51" t="inlineStr">
        <is>
          <t>GST 10%</t>
        </is>
      </c>
      <c r="L53" s="52" t="n">
        <v>340</v>
      </c>
      <c r="M53" s="53">
        <f>IF(L53="","",IF(K53="GST 10%",ROUND(L53*0.1,2),0))</f>
        <v/>
      </c>
      <c r="N53" s="53">
        <f>IF(L53="","",L53+M53)</f>
        <v/>
      </c>
      <c r="O53" s="51" t="inlineStr">
        <is>
          <t>41100</t>
        </is>
      </c>
      <c r="P53" s="51" t="inlineStr">
        <is>
          <t>Y</t>
        </is>
      </c>
      <c r="Q53" s="51" t="inlineStr">
        <is>
          <t>N</t>
        </is>
      </c>
      <c r="R53" s="51" t="inlineStr">
        <is>
          <t>Invoiced</t>
        </is>
      </c>
      <c r="S53" s="51" t="inlineStr">
        <is>
          <t>This was not actually for Shell - error in quote. End client was Wotton Kearney.</t>
        </is>
      </c>
      <c r="T53" s="51" t="n"/>
      <c r="U53" s="51" t="inlineStr">
        <is>
          <t>N/A</t>
        </is>
      </c>
      <c r="V53" s="54" t="n"/>
      <c r="W53" s="51" t="n"/>
    </row>
    <row r="54" ht="15" customHeight="1">
      <c r="A54" s="48" t="n"/>
      <c r="B54" s="49">
        <f>IF(A54="","",EOMONTH(A54,0))</f>
        <v/>
      </c>
      <c r="C54" s="50">
        <f>"Onsite"</f>
        <v/>
      </c>
      <c r="D54" s="51" t="inlineStr">
        <is>
          <t>ONSITE</t>
        </is>
      </c>
      <c r="E54" s="51" t="inlineStr">
        <is>
          <t>PWC</t>
        </is>
      </c>
      <c r="F54" s="51" t="inlineStr">
        <is>
          <t>2608603</t>
        </is>
      </c>
      <c r="G54" s="50">
        <f>IF(F54="","",IF(COUNTIF(lst_Jobs,F54&amp;"")&gt;0,"OK","CHECK"))</f>
        <v/>
      </c>
      <c r="H54" s="51" t="inlineStr">
        <is>
          <t xml:space="preserve">Pool of Hours - National AV / IT Support </t>
        </is>
      </c>
      <c r="I54" s="51" t="inlineStr">
        <is>
          <t>Contract</t>
        </is>
      </c>
      <c r="J54" s="51" t="n"/>
      <c r="K54" s="51" t="inlineStr">
        <is>
          <t>GST 10%</t>
        </is>
      </c>
      <c r="L54" s="52" t="n">
        <v>8500</v>
      </c>
      <c r="M54" s="53">
        <f>IF(L54="","",IF(K54="GST 10%",ROUND(L54*0.1,2),0))</f>
        <v/>
      </c>
      <c r="N54" s="53">
        <f>IF(L54="","",L54+M54)</f>
        <v/>
      </c>
      <c r="O54" s="51" t="inlineStr">
        <is>
          <t>41100</t>
        </is>
      </c>
      <c r="P54" s="51" t="inlineStr">
        <is>
          <t>N</t>
        </is>
      </c>
      <c r="Q54" s="51" t="inlineStr">
        <is>
          <t>N</t>
        </is>
      </c>
      <c r="R54" s="51" t="inlineStr">
        <is>
          <t>To Invoice</t>
        </is>
      </c>
      <c r="S54" s="51" t="n"/>
      <c r="T54" s="51" t="n"/>
      <c r="U54" s="51" t="inlineStr">
        <is>
          <t>N/A</t>
        </is>
      </c>
      <c r="V54" s="54" t="n"/>
      <c r="W54" s="51" t="n"/>
    </row>
    <row r="55" ht="15" customHeight="1">
      <c r="A55" s="48" t="n"/>
      <c r="B55" s="49">
        <f>IF(A55="","",EOMONTH(A55,0))</f>
        <v/>
      </c>
      <c r="C55" s="50">
        <f>"Onsite"</f>
        <v/>
      </c>
      <c r="D55" s="51" t="inlineStr">
        <is>
          <t>ONSITE</t>
        </is>
      </c>
      <c r="E55" s="51" t="inlineStr">
        <is>
          <t>DTTL</t>
        </is>
      </c>
      <c r="F55" s="51" t="inlineStr">
        <is>
          <t>26073107</t>
        </is>
      </c>
      <c r="G55" s="50">
        <f>IF(F55="","",IF(COUNTIF(lst_Jobs,F55&amp;"")&gt;0,"OK","CHECK"))</f>
        <v/>
      </c>
      <c r="H55" s="51" t="inlineStr">
        <is>
          <t>Technician Travel (ADL-HOB Return)</t>
        </is>
      </c>
      <c r="I55" s="51" t="inlineStr">
        <is>
          <t>Contract</t>
        </is>
      </c>
      <c r="J55" s="51" t="n"/>
      <c r="K55" s="51" t="inlineStr">
        <is>
          <t>GST 10%</t>
        </is>
      </c>
      <c r="L55" s="52" t="n">
        <v>7145</v>
      </c>
      <c r="M55" s="53">
        <f>IF(L55="","",IF(K55="GST 10%",ROUND(L55*0.1,2),0))</f>
        <v/>
      </c>
      <c r="N55" s="53">
        <f>IF(L55="","",L55+M55)</f>
        <v/>
      </c>
      <c r="O55" s="51" t="inlineStr">
        <is>
          <t>41100</t>
        </is>
      </c>
      <c r="P55" s="51" t="inlineStr">
        <is>
          <t>N</t>
        </is>
      </c>
      <c r="Q55" s="51" t="inlineStr">
        <is>
          <t>N</t>
        </is>
      </c>
      <c r="R55" s="51" t="inlineStr">
        <is>
          <t>To Invoice</t>
        </is>
      </c>
      <c r="S55" s="51" t="n"/>
      <c r="T55" s="51" t="n"/>
      <c r="U55" s="51" t="inlineStr">
        <is>
          <t>N/A</t>
        </is>
      </c>
      <c r="V55" s="54" t="n"/>
      <c r="W55" s="51" t="n"/>
    </row>
    <row r="56" ht="15" customHeight="1">
      <c r="A56" s="48" t="n"/>
      <c r="B56" s="49">
        <f>IF(A56="","",EOMONTH(A56,0))</f>
        <v/>
      </c>
      <c r="C56" s="50">
        <f>"Onsite"</f>
        <v/>
      </c>
      <c r="D56" s="51" t="inlineStr">
        <is>
          <t>ONSITE</t>
        </is>
      </c>
      <c r="E56" s="51" t="inlineStr">
        <is>
          <t>DTTL</t>
        </is>
      </c>
      <c r="F56" s="51" t="inlineStr">
        <is>
          <t>2608502</t>
        </is>
      </c>
      <c r="G56" s="50">
        <f>IF(F56="","",IF(COUNTIF(lst_Jobs,F56&amp;"")&gt;0,"OK","CHECK"))</f>
        <v/>
      </c>
      <c r="H56" s="51" t="inlineStr">
        <is>
          <t>Change Maker</t>
        </is>
      </c>
      <c r="I56" s="51" t="inlineStr">
        <is>
          <t>Contract</t>
        </is>
      </c>
      <c r="J56" s="51" t="n"/>
      <c r="K56" s="51" t="inlineStr">
        <is>
          <t>GST 10%</t>
        </is>
      </c>
      <c r="L56" s="52" t="n">
        <v>1275</v>
      </c>
      <c r="M56" s="53">
        <f>IF(L56="","",IF(K56="GST 10%",ROUND(L56*0.1,2),0))</f>
        <v/>
      </c>
      <c r="N56" s="53">
        <f>IF(L56="","",L56+M56)</f>
        <v/>
      </c>
      <c r="O56" s="51" t="inlineStr">
        <is>
          <t>41100</t>
        </is>
      </c>
      <c r="P56" s="51" t="inlineStr">
        <is>
          <t>N</t>
        </is>
      </c>
      <c r="Q56" s="51" t="inlineStr">
        <is>
          <t>N</t>
        </is>
      </c>
      <c r="R56" s="51" t="inlineStr">
        <is>
          <t>To Invoice</t>
        </is>
      </c>
      <c r="S56" s="51" t="n"/>
      <c r="T56" s="51" t="n"/>
      <c r="U56" s="51" t="inlineStr">
        <is>
          <t>N/A</t>
        </is>
      </c>
      <c r="V56" s="54" t="n"/>
      <c r="W56" s="51" t="n"/>
    </row>
    <row r="57" ht="15" customHeight="1">
      <c r="A57" s="48" t="n"/>
      <c r="B57" s="49">
        <f>IF(A57="","",EOMONTH(A57,0))</f>
        <v/>
      </c>
      <c r="C57" s="50">
        <f>"Onsite"</f>
        <v/>
      </c>
      <c r="D57" s="51" t="inlineStr">
        <is>
          <t>ONSITE</t>
        </is>
      </c>
      <c r="E57" s="51" t="inlineStr">
        <is>
          <t>DTTL</t>
        </is>
      </c>
      <c r="F57" s="51" t="inlineStr">
        <is>
          <t>26082704</t>
        </is>
      </c>
      <c r="G57" s="50">
        <f>IF(F57="","",IF(COUNTIF(lst_Jobs,F57&amp;"")&gt;0,"OK","CHECK"))</f>
        <v/>
      </c>
      <c r="H57" s="51" t="inlineStr">
        <is>
          <t>STL Travel (SYD-PER)</t>
        </is>
      </c>
      <c r="I57" s="51" t="inlineStr">
        <is>
          <t>Contract</t>
        </is>
      </c>
      <c r="J57" s="51" t="n"/>
      <c r="K57" s="51" t="inlineStr">
        <is>
          <t>GST 10%</t>
        </is>
      </c>
      <c r="L57" s="52" t="n">
        <v>7735</v>
      </c>
      <c r="M57" s="53">
        <f>IF(L57="","",IF(K57="GST 10%",ROUND(L57*0.1,2),0))</f>
        <v/>
      </c>
      <c r="N57" s="53">
        <f>IF(L57="","",L57+M57)</f>
        <v/>
      </c>
      <c r="O57" s="51" t="inlineStr">
        <is>
          <t>41100</t>
        </is>
      </c>
      <c r="P57" s="51" t="inlineStr">
        <is>
          <t>N</t>
        </is>
      </c>
      <c r="Q57" s="51" t="inlineStr">
        <is>
          <t>N</t>
        </is>
      </c>
      <c r="R57" s="51" t="inlineStr">
        <is>
          <t>To Invoice</t>
        </is>
      </c>
      <c r="S57" s="51" t="n"/>
      <c r="T57" s="51" t="n"/>
      <c r="U57" s="51" t="inlineStr">
        <is>
          <t>N/A</t>
        </is>
      </c>
      <c r="V57" s="54" t="n"/>
      <c r="W57" s="51" t="n"/>
    </row>
    <row r="58" ht="15" customHeight="1">
      <c r="A58" s="48" t="n"/>
      <c r="B58" s="49">
        <f>IF(A58="","",EOMONTH(A58,0))</f>
        <v/>
      </c>
      <c r="C58" s="50">
        <f>"Onsite"</f>
        <v/>
      </c>
      <c r="D58" s="51" t="inlineStr">
        <is>
          <t>ONSITE</t>
        </is>
      </c>
      <c r="E58" s="51" t="inlineStr">
        <is>
          <t>CBA</t>
        </is>
      </c>
      <c r="F58" s="51" t="inlineStr">
        <is>
          <t>26043001</t>
        </is>
      </c>
      <c r="G58" s="50">
        <f>IF(F58="","",IF(COUNTIF(lst_Jobs,F58&amp;"")&gt;0,"OK","CHECK"))</f>
        <v/>
      </c>
      <c r="H58" s="51" t="n"/>
      <c r="I58" s="51" t="inlineStr">
        <is>
          <t>Contract</t>
        </is>
      </c>
      <c r="J58" s="51" t="n"/>
      <c r="K58" s="51" t="inlineStr">
        <is>
          <t>GST 10%</t>
        </is>
      </c>
      <c r="L58" s="52" t="n"/>
      <c r="M58" s="53">
        <f>IF(L58="","",IF(K58="GST 10%",ROUND(L58*0.1,2),0))</f>
        <v/>
      </c>
      <c r="N58" s="53">
        <f>IF(L58="","",L58+M58)</f>
        <v/>
      </c>
      <c r="O58" s="51" t="inlineStr">
        <is>
          <t>41100</t>
        </is>
      </c>
      <c r="P58" s="51" t="inlineStr">
        <is>
          <t>N</t>
        </is>
      </c>
      <c r="Q58" s="51" t="inlineStr">
        <is>
          <t>N</t>
        </is>
      </c>
      <c r="R58" s="51" t="inlineStr">
        <is>
          <t>To Invoice</t>
        </is>
      </c>
      <c r="S58" s="51" t="n"/>
      <c r="T58" s="51" t="n"/>
      <c r="U58" s="51" t="inlineStr">
        <is>
          <t>N/A</t>
        </is>
      </c>
      <c r="V58" s="54" t="n"/>
      <c r="W58"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U5:U20000" showDropDown="0" showInputMessage="0" showErrorMessage="1"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11" customWidth="1" min="30" max="30"/>
    <col width="17" customWidth="1" min="31" max="31"/>
    <col width="22"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Video Revenue</t>
        </is>
      </c>
      <c r="U4" s="47" t="inlineStr">
        <is>
          <t>Production Revenue</t>
        </is>
      </c>
      <c r="V4" s="47" t="inlineStr">
        <is>
          <t>Video Split</t>
        </is>
      </c>
      <c r="W4" s="47" t="inlineStr">
        <is>
          <t>Video GST</t>
        </is>
      </c>
      <c r="X4" s="19" t="inlineStr">
        <is>
          <t>Client Email</t>
        </is>
      </c>
      <c r="Y4" s="19" t="inlineStr">
        <is>
          <t>Event Date</t>
        </is>
      </c>
      <c r="Z4" s="19" t="inlineStr">
        <is>
          <t>Current RMS No</t>
        </is>
      </c>
      <c r="AA4" s="19" t="inlineStr">
        <is>
          <t>Zoho Number</t>
        </is>
      </c>
      <c r="AB4" s="19" t="inlineStr">
        <is>
          <t>Job Closed</t>
        </is>
      </c>
      <c r="AC4" s="19" t="inlineStr">
        <is>
          <t>Discounts Included</t>
        </is>
      </c>
      <c r="AD4" s="47" t="inlineStr">
        <is>
          <t>Discount %</t>
        </is>
      </c>
      <c r="AE4" s="19" t="inlineStr">
        <is>
          <t>Cross Hire Expense</t>
        </is>
      </c>
      <c r="AF4" s="19" t="inlineStr">
        <is>
          <t>Labour Expense (Internal)</t>
        </is>
      </c>
      <c r="AG4" s="47" t="inlineStr">
        <is>
          <t>Net Total</t>
        </is>
      </c>
      <c r="AH4" s="47" t="inlineStr">
        <is>
          <t>Margin</t>
        </is>
      </c>
      <c r="AI4" s="47" t="inlineStr">
        <is>
          <t>Margin %</t>
        </is>
      </c>
      <c r="AJ4" s="19" t="inlineStr">
        <is>
          <t>Video Filming Hrs</t>
        </is>
      </c>
      <c r="AK4" s="19" t="inlineStr">
        <is>
          <t>Video Editing Hrs</t>
        </is>
      </c>
      <c r="AL4" s="19" t="inlineStr">
        <is>
          <t>Project Mgmt Hrs</t>
        </is>
      </c>
      <c r="AM4" s="19" t="inlineStr">
        <is>
          <t>Video Project Mgmt Hrs</t>
        </is>
      </c>
      <c r="AN4" s="19" t="inlineStr">
        <is>
          <t>Production Labour Hrs</t>
        </is>
      </c>
    </row>
    <row r="5" ht="15" customHeight="1">
      <c r="A5" s="48" t="n">
        <v>46205</v>
      </c>
      <c r="B5" s="49">
        <f>IF(A5="","",EOMONTH(A5,0))</f>
        <v/>
      </c>
      <c r="C5" s="50">
        <f>"Production"</f>
        <v/>
      </c>
      <c r="D5" s="51" t="inlineStr">
        <is>
          <t>PRODUCTION</t>
        </is>
      </c>
      <c r="E5" s="51" t="inlineStr">
        <is>
          <t>Elkiem</t>
        </is>
      </c>
      <c r="F5" s="51" t="inlineStr">
        <is>
          <t>2602309</t>
        </is>
      </c>
      <c r="G5" s="50">
        <f>IF(F5="","",IF(COUNTIF(lst_Jobs,F5&amp;"")&gt;0,"OK","CHECK"))</f>
        <v/>
      </c>
      <c r="H5" s="51" t="inlineStr">
        <is>
          <t>Studio Support | 1.7.26</t>
        </is>
      </c>
      <c r="I5" s="51" t="inlineStr">
        <is>
          <t>Project</t>
        </is>
      </c>
      <c r="J5" s="51" t="inlineStr">
        <is>
          <t>INV-10513</t>
        </is>
      </c>
      <c r="K5" s="51" t="inlineStr">
        <is>
          <t>GST 10%</t>
        </is>
      </c>
      <c r="L5" s="52" t="n">
        <v>380</v>
      </c>
      <c r="M5" s="53">
        <f>IF(L5="","",IF(K5="GST 10%",ROUND(L5*0.1,2),0))</f>
        <v/>
      </c>
      <c r="N5" s="53">
        <f>IF(L5="","",L5+M5)</f>
        <v/>
      </c>
      <c r="O5" s="51" t="inlineStr">
        <is>
          <t>42100</t>
        </is>
      </c>
      <c r="P5" s="51" t="inlineStr">
        <is>
          <t>Y</t>
        </is>
      </c>
      <c r="Q5" s="51" t="inlineStr">
        <is>
          <t>N</t>
        </is>
      </c>
      <c r="R5" s="51" t="inlineStr">
        <is>
          <t>Invoiced</t>
        </is>
      </c>
      <c r="S5" s="51" t="n"/>
      <c r="T5" s="52" t="n"/>
      <c r="U5" s="53">
        <f>IF(L5="","",L5-N(T5))</f>
        <v/>
      </c>
      <c r="V5" s="50">
        <f>IF(L5="","",IF(SIGN(N(T5))*SIGN(L5)=-1,"CHECK - video sign",IF(ABS(N(T5))&gt;ABS(L5),"CHECK - video exceeds invoice",IF(AND(D5="VIDEO",ROUND(N(T5),2)&lt;&gt;ROUND(L5,2)),"CHECK - VIDEO job not fully split",IF(N(T5)=0,"All production",IF(ROUND(N(T5),2)=ROUND(L5,2),"All video","Split"))))))</f>
        <v/>
      </c>
      <c r="W5" s="53">
        <f>IF(L5="","",IF(N(T5)=0,0,ROUND(M5*N(T5)/L5,2)))</f>
        <v/>
      </c>
      <c r="X5" s="51" t="inlineStr">
        <is>
          <t>Ben.woodlock@elkiem.com</t>
        </is>
      </c>
      <c r="Y5" s="48" t="inlineStr">
        <is>
          <t>7/1/2026</t>
        </is>
      </c>
      <c r="Z5" s="51" t="inlineStr">
        <is>
          <t>5879</t>
        </is>
      </c>
      <c r="AA5" s="51" t="inlineStr">
        <is>
          <t>2602309</t>
        </is>
      </c>
      <c r="AB5" s="51" t="inlineStr">
        <is>
          <t>Y</t>
        </is>
      </c>
      <c r="AC5" s="52" t="n"/>
      <c r="AD5" s="55">
        <f>IFERROR(AC5/AG5,"")</f>
        <v/>
      </c>
      <c r="AE5" s="52" t="n"/>
      <c r="AF5" s="52" t="n">
        <v>229.56</v>
      </c>
      <c r="AG5" s="53">
        <f>IF(L5="","",L5-N(AC5))</f>
        <v/>
      </c>
      <c r="AH5" s="53">
        <f>IF(L5="","",L5-N(AE5)-N(AF5))</f>
        <v/>
      </c>
      <c r="AI5" s="55">
        <f>IFERROR(AH5/L5,"")</f>
        <v/>
      </c>
      <c r="AJ5" s="54" t="n"/>
      <c r="AK5" s="54" t="n"/>
      <c r="AL5" s="54" t="n"/>
      <c r="AM5" s="54" t="n"/>
      <c r="AN5" s="54" t="n">
        <v>4</v>
      </c>
    </row>
    <row r="6" ht="15" customHeight="1">
      <c r="A6" s="48" t="n">
        <v>46210</v>
      </c>
      <c r="B6" s="49">
        <f>IF(A6="","",EOMONTH(A6,0))</f>
        <v/>
      </c>
      <c r="C6" s="50">
        <f>"Production"</f>
        <v/>
      </c>
      <c r="D6" s="51" t="inlineStr">
        <is>
          <t>PRODUCTION</t>
        </is>
      </c>
      <c r="E6" s="51" t="inlineStr">
        <is>
          <t>RSNSW</t>
        </is>
      </c>
      <c r="F6" s="51" t="inlineStr">
        <is>
          <t>26032301</t>
        </is>
      </c>
      <c r="G6" s="50">
        <f>IF(F6="","",IF(COUNTIF(lst_Jobs,F6&amp;"")&gt;0,"OK","CHECK"))</f>
        <v/>
      </c>
      <c r="H6" s="51" t="inlineStr">
        <is>
          <t>Ordinary General Meeting | 1.7.26</t>
        </is>
      </c>
      <c r="I6" s="51" t="inlineStr">
        <is>
          <t>Project</t>
        </is>
      </c>
      <c r="J6" s="51" t="inlineStr">
        <is>
          <t>INV-10519</t>
        </is>
      </c>
      <c r="K6" s="51" t="inlineStr">
        <is>
          <t>GST 10%</t>
        </is>
      </c>
      <c r="L6" s="52" t="n">
        <v>3071</v>
      </c>
      <c r="M6" s="53">
        <f>IF(L6="","",IF(K6="GST 10%",ROUND(L6*0.1,2),0))</f>
        <v/>
      </c>
      <c r="N6" s="53">
        <f>IF(L6="","",L6+M6)</f>
        <v/>
      </c>
      <c r="O6" s="51" t="inlineStr">
        <is>
          <t>42100</t>
        </is>
      </c>
      <c r="P6" s="51" t="inlineStr">
        <is>
          <t>Y</t>
        </is>
      </c>
      <c r="Q6" s="51" t="inlineStr">
        <is>
          <t>N</t>
        </is>
      </c>
      <c r="R6" s="51" t="inlineStr">
        <is>
          <t>Invoiced</t>
        </is>
      </c>
      <c r="S6" s="51" t="n"/>
      <c r="T6" s="52" t="n">
        <v>1029</v>
      </c>
      <c r="U6" s="53">
        <f>IF(L6="","",L6-N(T6))</f>
        <v/>
      </c>
      <c r="V6" s="50">
        <f>IF(L6="","",IF(SIGN(N(T6))*SIGN(L6)=-1,"CHECK - video sign",IF(ABS(N(T6))&gt;ABS(L6),"CHECK - video exceeds invoice",IF(AND(D6="VIDEO",ROUND(N(T6),2)&lt;&gt;ROUND(L6,2)),"CHECK - VIDEO job not fully split",IF(N(T6)=0,"All production",IF(ROUND(N(T6),2)=ROUND(L6,2),"All video","Split"))))))</f>
        <v/>
      </c>
      <c r="W6" s="53">
        <f>IF(L6="","",IF(N(T6)=0,0,ROUND(M6*N(T6)/L6,2)))</f>
        <v/>
      </c>
      <c r="X6" s="51" t="inlineStr">
        <is>
          <t>lindsay.botten@outlook.com</t>
        </is>
      </c>
      <c r="Y6" s="48" t="inlineStr">
        <is>
          <t>7/1/2026</t>
        </is>
      </c>
      <c r="Z6" s="51" t="inlineStr">
        <is>
          <t>5924</t>
        </is>
      </c>
      <c r="AA6" s="51" t="inlineStr">
        <is>
          <t>26032301</t>
        </is>
      </c>
      <c r="AB6" s="51" t="inlineStr">
        <is>
          <t>Y</t>
        </is>
      </c>
      <c r="AC6" s="52" t="n">
        <v>334</v>
      </c>
      <c r="AD6" s="55">
        <f>IFERROR(AC6/AG6,"")</f>
        <v/>
      </c>
      <c r="AE6" s="52" t="n"/>
      <c r="AF6" s="52" t="n">
        <v>977.23</v>
      </c>
      <c r="AG6" s="53">
        <f>IF(L6="","",L6-N(AC6))</f>
        <v/>
      </c>
      <c r="AH6" s="53">
        <f>IF(L6="","",L6-N(AE6)-N(AF6))</f>
        <v/>
      </c>
      <c r="AI6" s="55">
        <f>IFERROR(AH6/L6,"")</f>
        <v/>
      </c>
      <c r="AJ6" s="54" t="n">
        <v>4</v>
      </c>
      <c r="AK6" s="54" t="n"/>
      <c r="AL6" s="54" t="n"/>
      <c r="AM6" s="54" t="n"/>
      <c r="AN6" s="54" t="n">
        <v>10</v>
      </c>
    </row>
    <row r="7" ht="15" customHeight="1">
      <c r="A7" s="48" t="n">
        <v>46210</v>
      </c>
      <c r="B7" s="49">
        <f>IF(A7="","",EOMONTH(A7,0))</f>
        <v/>
      </c>
      <c r="C7" s="50">
        <f>"Production"</f>
        <v/>
      </c>
      <c r="D7" s="51" t="inlineStr">
        <is>
          <t>PRODUCTION</t>
        </is>
      </c>
      <c r="E7" s="51" t="inlineStr">
        <is>
          <t>PWC</t>
        </is>
      </c>
      <c r="F7" s="51" t="inlineStr">
        <is>
          <t>26062201</t>
        </is>
      </c>
      <c r="G7" s="50">
        <f>IF(F7="","",IF(COUNTIF(lst_Jobs,F7&amp;"")&gt;0,"OK","CHECK"))</f>
        <v/>
      </c>
      <c r="H7" s="51" t="inlineStr">
        <is>
          <t>Tax and Legal Webcast 2.7.26</t>
        </is>
      </c>
      <c r="I7" s="51" t="inlineStr">
        <is>
          <t>Project</t>
        </is>
      </c>
      <c r="J7" s="51" t="inlineStr">
        <is>
          <t>INV-10515</t>
        </is>
      </c>
      <c r="K7" s="51" t="inlineStr">
        <is>
          <t>GST 10%</t>
        </is>
      </c>
      <c r="L7" s="52" t="n">
        <v>1925</v>
      </c>
      <c r="M7" s="53">
        <f>IF(L7="","",IF(K7="GST 10%",ROUND(L7*0.1,2),0))</f>
        <v/>
      </c>
      <c r="N7" s="53">
        <f>IF(L7="","",L7+M7)</f>
        <v/>
      </c>
      <c r="O7" s="51" t="inlineStr">
        <is>
          <t>42100</t>
        </is>
      </c>
      <c r="P7" s="51" t="inlineStr">
        <is>
          <t>Y</t>
        </is>
      </c>
      <c r="Q7" s="51" t="inlineStr">
        <is>
          <t>N</t>
        </is>
      </c>
      <c r="R7" s="51" t="inlineStr">
        <is>
          <t>Invoiced</t>
        </is>
      </c>
      <c r="S7" s="51" t="n"/>
      <c r="T7" s="52" t="n">
        <v>970</v>
      </c>
      <c r="U7" s="53">
        <f>IF(L7="","",L7-N(T7))</f>
        <v/>
      </c>
      <c r="V7" s="50">
        <f>IF(L7="","",IF(SIGN(N(T7))*SIGN(L7)=-1,"CHECK - video sign",IF(ABS(N(T7))&gt;ABS(L7),"CHECK - video exceeds invoice",IF(AND(D7="VIDEO",ROUND(N(T7),2)&lt;&gt;ROUND(L7,2)),"CHECK - VIDEO job not fully split",IF(N(T7)=0,"All production",IF(ROUND(N(T7),2)=ROUND(L7,2),"All video","Split"))))))</f>
        <v/>
      </c>
      <c r="W7" s="53">
        <f>IF(L7="","",IF(N(T7)=0,0,ROUND(M7*N(T7)/L7,2)))</f>
        <v/>
      </c>
      <c r="X7" s="51" t="inlineStr">
        <is>
          <t>libby.kovac@au.pwc.com</t>
        </is>
      </c>
      <c r="Y7" s="48" t="inlineStr">
        <is>
          <t>7/2/2026</t>
        </is>
      </c>
      <c r="Z7" s="51" t="inlineStr">
        <is>
          <t>6076</t>
        </is>
      </c>
      <c r="AA7" s="51" t="inlineStr">
        <is>
          <t>26062201</t>
        </is>
      </c>
      <c r="AB7" s="51" t="inlineStr">
        <is>
          <t>Y</t>
        </is>
      </c>
      <c r="AC7" s="52" t="n"/>
      <c r="AD7" s="55">
        <f>IFERROR(AC7/AG7,"")</f>
        <v/>
      </c>
      <c r="AE7" s="52" t="n"/>
      <c r="AF7" s="52" t="n">
        <v>821.5599999999999</v>
      </c>
      <c r="AG7" s="53">
        <f>IF(L7="","",L7-N(AC7))</f>
        <v/>
      </c>
      <c r="AH7" s="53">
        <f>IF(L7="","",L7-N(AE7)-N(AF7))</f>
        <v/>
      </c>
      <c r="AI7" s="55">
        <f>IFERROR(AH7/L7,"")</f>
        <v/>
      </c>
      <c r="AJ7" s="54" t="n">
        <v>8</v>
      </c>
      <c r="AK7" s="54" t="n"/>
      <c r="AL7" s="54" t="n">
        <v>1</v>
      </c>
      <c r="AM7" s="54" t="n"/>
      <c r="AN7" s="54" t="n">
        <v>8</v>
      </c>
    </row>
    <row r="8" ht="15" customHeight="1">
      <c r="A8" s="48" t="n">
        <v>46219</v>
      </c>
      <c r="B8" s="49">
        <f>IF(A8="","",EOMONTH(A8,0))</f>
        <v/>
      </c>
      <c r="C8" s="50">
        <f>"Production"</f>
        <v/>
      </c>
      <c r="D8" s="51" t="inlineStr">
        <is>
          <t>PRODUCTION</t>
        </is>
      </c>
      <c r="E8" s="51" t="inlineStr">
        <is>
          <t>Elkiem - PM** Cancelled</t>
        </is>
      </c>
      <c r="F8" s="51" t="inlineStr">
        <is>
          <t>2605802</t>
        </is>
      </c>
      <c r="G8" s="50">
        <f>IF(F8="","",IF(COUNTIF(lst_Jobs,F8&amp;"")&gt;0,"OK","CHECK"))</f>
        <v/>
      </c>
      <c r="H8" s="51" t="inlineStr">
        <is>
          <t>Elkiem Studio Support | 15.7.26</t>
        </is>
      </c>
      <c r="I8" s="51" t="inlineStr">
        <is>
          <t>Project</t>
        </is>
      </c>
      <c r="J8" s="51" t="inlineStr">
        <is>
          <t>INV-10524</t>
        </is>
      </c>
      <c r="K8" s="51" t="inlineStr">
        <is>
          <t>GST 10%</t>
        </is>
      </c>
      <c r="L8" s="52" t="n">
        <v>261.25</v>
      </c>
      <c r="M8" s="53">
        <f>IF(L8="","",IF(K8="GST 10%",ROUND(L8*0.1,2),0))</f>
        <v/>
      </c>
      <c r="N8" s="53">
        <f>IF(L8="","",L8+M8)</f>
        <v/>
      </c>
      <c r="O8" s="51" t="inlineStr">
        <is>
          <t>42100</t>
        </is>
      </c>
      <c r="P8" s="51" t="inlineStr">
        <is>
          <t>Y</t>
        </is>
      </c>
      <c r="Q8" s="51" t="inlineStr">
        <is>
          <t>N</t>
        </is>
      </c>
      <c r="R8" s="51" t="inlineStr">
        <is>
          <t>Invoiced</t>
        </is>
      </c>
      <c r="S8" s="51" t="n"/>
      <c r="T8" s="52" t="n"/>
      <c r="U8" s="53">
        <f>IF(L8="","",L8-N(T8))</f>
        <v/>
      </c>
      <c r="V8" s="50">
        <f>IF(L8="","",IF(SIGN(N(T8))*SIGN(L8)=-1,"CHECK - video sign",IF(ABS(N(T8))&gt;ABS(L8),"CHECK - video exceeds invoice",IF(AND(D8="VIDEO",ROUND(N(T8),2)&lt;&gt;ROUND(L8,2)),"CHECK - VIDEO job not fully split",IF(N(T8)=0,"All production",IF(ROUND(N(T8),2)=ROUND(L8,2),"All video","Split"))))))</f>
        <v/>
      </c>
      <c r="W8" s="53">
        <f>IF(L8="","",IF(N(T8)=0,0,ROUND(M8*N(T8)/L8,2)))</f>
        <v/>
      </c>
      <c r="X8" s="51" t="inlineStr">
        <is>
          <t>Ben.woodlock@elkiem.com</t>
        </is>
      </c>
      <c r="Y8" s="48" t="inlineStr">
        <is>
          <t>7/15/2026</t>
        </is>
      </c>
      <c r="Z8" s="51" t="inlineStr">
        <is>
          <t>6013</t>
        </is>
      </c>
      <c r="AA8" s="51" t="inlineStr">
        <is>
          <t>2605802</t>
        </is>
      </c>
      <c r="AB8" s="51" t="inlineStr">
        <is>
          <t>Y</t>
        </is>
      </c>
      <c r="AC8" s="52" t="n"/>
      <c r="AD8" s="55">
        <f>IFERROR(AC8/AG8,"")</f>
        <v/>
      </c>
      <c r="AE8" s="52" t="n"/>
      <c r="AF8" s="52" t="n"/>
      <c r="AG8" s="53">
        <f>IF(L8="","",L8-N(AC8))</f>
        <v/>
      </c>
      <c r="AH8" s="53">
        <f>IF(L8="","",L8-N(AE8)-N(AF8))</f>
        <v/>
      </c>
      <c r="AI8" s="55">
        <f>IFERROR(AH8/L8,"")</f>
        <v/>
      </c>
      <c r="AJ8" s="54" t="n"/>
      <c r="AK8" s="54" t="n"/>
      <c r="AL8" s="54" t="n">
        <v>2</v>
      </c>
      <c r="AM8" s="54" t="n"/>
      <c r="AN8" s="54" t="n">
        <v>4</v>
      </c>
    </row>
    <row r="9" ht="15" customHeight="1">
      <c r="A9" s="48" t="n">
        <v>46210</v>
      </c>
      <c r="B9" s="49">
        <f>IF(A9="","",EOMONTH(A9,0))</f>
        <v/>
      </c>
      <c r="C9" s="50">
        <f>"Production"</f>
        <v/>
      </c>
      <c r="D9" s="51" t="inlineStr">
        <is>
          <t>PRODUCTION</t>
        </is>
      </c>
      <c r="E9" s="51" t="inlineStr">
        <is>
          <t>Litecard</t>
        </is>
      </c>
      <c r="F9" s="51" t="inlineStr">
        <is>
          <t>2607701</t>
        </is>
      </c>
      <c r="G9" s="50">
        <f>IF(F9="","",IF(COUNTIF(lst_Jobs,F9&amp;"")&gt;0,"OK","CHECK"))</f>
        <v/>
      </c>
      <c r="H9" s="51" t="inlineStr">
        <is>
          <t>Screen &amp; Mic Hire 16.7.26</t>
        </is>
      </c>
      <c r="I9" s="51" t="inlineStr">
        <is>
          <t>Project</t>
        </is>
      </c>
      <c r="J9" s="51" t="inlineStr">
        <is>
          <t>INV-10518</t>
        </is>
      </c>
      <c r="K9" s="51" t="inlineStr">
        <is>
          <t>GST 10%</t>
        </is>
      </c>
      <c r="L9" s="52" t="n">
        <v>500</v>
      </c>
      <c r="M9" s="53">
        <f>IF(L9="","",IF(K9="GST 10%",ROUND(L9*0.1,2),0))</f>
        <v/>
      </c>
      <c r="N9" s="53">
        <f>IF(L9="","",L9+M9)</f>
        <v/>
      </c>
      <c r="O9" s="51" t="inlineStr">
        <is>
          <t>42100</t>
        </is>
      </c>
      <c r="P9" s="51" t="inlineStr">
        <is>
          <t>Y</t>
        </is>
      </c>
      <c r="Q9" s="51" t="inlineStr">
        <is>
          <t>N</t>
        </is>
      </c>
      <c r="R9" s="51" t="inlineStr">
        <is>
          <t>Invoiced</t>
        </is>
      </c>
      <c r="S9" s="51" t="n"/>
      <c r="T9" s="52" t="n"/>
      <c r="U9" s="53">
        <f>IF(L9="","",L9-N(T9))</f>
        <v/>
      </c>
      <c r="V9" s="50">
        <f>IF(L9="","",IF(SIGN(N(T9))*SIGN(L9)=-1,"CHECK - video sign",IF(ABS(N(T9))&gt;ABS(L9),"CHECK - video exceeds invoice",IF(AND(D9="VIDEO",ROUND(N(T9),2)&lt;&gt;ROUND(L9,2)),"CHECK - VIDEO job not fully split",IF(N(T9)=0,"All production",IF(ROUND(N(T9),2)=ROUND(L9,2),"All video","Split"))))))</f>
        <v/>
      </c>
      <c r="W9" s="53">
        <f>IF(L9="","",IF(N(T9)=0,0,ROUND(M9*N(T9)/L9,2)))</f>
        <v/>
      </c>
      <c r="X9" s="51" t="inlineStr">
        <is>
          <t>brian@litecard.com.au</t>
        </is>
      </c>
      <c r="Y9" s="48" t="inlineStr">
        <is>
          <t>7/16/2026</t>
        </is>
      </c>
      <c r="Z9" s="51" t="inlineStr">
        <is>
          <t>6089</t>
        </is>
      </c>
      <c r="AA9" s="51" t="inlineStr">
        <is>
          <t>2607701</t>
        </is>
      </c>
      <c r="AB9" s="51" t="inlineStr">
        <is>
          <t>Y</t>
        </is>
      </c>
      <c r="AC9" s="52" t="n">
        <v>465</v>
      </c>
      <c r="AD9" s="55">
        <f>IFERROR(AC9/AG9,"")</f>
        <v/>
      </c>
      <c r="AE9" s="52" t="n"/>
      <c r="AF9" s="52" t="n"/>
      <c r="AG9" s="53">
        <f>IF(L9="","",L9-N(AC9))</f>
        <v/>
      </c>
      <c r="AH9" s="53">
        <f>IF(L9="","",L9-N(AE9)-N(AF9))</f>
        <v/>
      </c>
      <c r="AI9" s="55">
        <f>IFERROR(AH9/L9,"")</f>
        <v/>
      </c>
      <c r="AJ9" s="54" t="n"/>
      <c r="AK9" s="54" t="n"/>
      <c r="AL9" s="54" t="n"/>
      <c r="AM9" s="54" t="n"/>
      <c r="AN9" s="54" t="n">
        <v>2</v>
      </c>
    </row>
    <row r="10" ht="15" customHeight="1">
      <c r="A10" s="48" t="n">
        <v>46216</v>
      </c>
      <c r="B10" s="49">
        <f>IF(A10="","",EOMONTH(A10,0))</f>
        <v/>
      </c>
      <c r="C10" s="50">
        <f>"Production"</f>
        <v/>
      </c>
      <c r="D10" s="51" t="inlineStr">
        <is>
          <t>VIDEO</t>
        </is>
      </c>
      <c r="E10" s="51" t="inlineStr">
        <is>
          <t>Litecard</t>
        </is>
      </c>
      <c r="F10" s="51" t="inlineStr">
        <is>
          <t>2607701</t>
        </is>
      </c>
      <c r="G10" s="50">
        <f>IF(F10="","",IF(COUNTIF(lst_Jobs,F10&amp;"")&gt;0,"OK","CHECK"))</f>
        <v/>
      </c>
      <c r="H10" s="51" t="inlineStr">
        <is>
          <t>Litecard - Event Photographer - 16.7.26</t>
        </is>
      </c>
      <c r="I10" s="51" t="inlineStr">
        <is>
          <t>Project</t>
        </is>
      </c>
      <c r="J10" s="51" t="inlineStr">
        <is>
          <t>INV-10522</t>
        </is>
      </c>
      <c r="K10" s="51" t="inlineStr">
        <is>
          <t>GST 10%</t>
        </is>
      </c>
      <c r="L10" s="52" t="n">
        <v>550</v>
      </c>
      <c r="M10" s="53">
        <f>IF(L10="","",IF(K10="GST 10%",ROUND(L10*0.1,2),0))</f>
        <v/>
      </c>
      <c r="N10" s="53">
        <f>IF(L10="","",L10+M10)</f>
        <v/>
      </c>
      <c r="O10" s="51" t="inlineStr">
        <is>
          <t>42150</t>
        </is>
      </c>
      <c r="P10" s="51" t="inlineStr">
        <is>
          <t>Y</t>
        </is>
      </c>
      <c r="Q10" s="51" t="inlineStr">
        <is>
          <t>N</t>
        </is>
      </c>
      <c r="R10" s="51" t="inlineStr">
        <is>
          <t>Invoiced</t>
        </is>
      </c>
      <c r="S10" s="51" t="n"/>
      <c r="T10" s="52" t="n">
        <v>550</v>
      </c>
      <c r="U10" s="53">
        <f>IF(L10="","",L10-N(T10))</f>
        <v/>
      </c>
      <c r="V10" s="50">
        <f>IF(L10="","",IF(SIGN(N(T10))*SIGN(L10)=-1,"CHECK - video sign",IF(ABS(N(T10))&gt;ABS(L10),"CHECK - video exceeds invoice",IF(AND(D10="VIDEO",ROUND(N(T10),2)&lt;&gt;ROUND(L10,2)),"CHECK - VIDEO job not fully split",IF(N(T10)=0,"All production",IF(ROUND(N(T10),2)=ROUND(L10,2),"All video","Split"))))))</f>
        <v/>
      </c>
      <c r="W10" s="53">
        <f>IF(L10="","",IF(N(T10)=0,0,ROUND(M10*N(T10)/L10,2)))</f>
        <v/>
      </c>
      <c r="X10" s="51" t="inlineStr">
        <is>
          <t>brian@litecard.com.au</t>
        </is>
      </c>
      <c r="Y10" s="48" t="n">
        <v>46219</v>
      </c>
      <c r="Z10" s="51" t="inlineStr">
        <is>
          <t>6102</t>
        </is>
      </c>
      <c r="AA10" s="51" t="inlineStr">
        <is>
          <t>2607701</t>
        </is>
      </c>
      <c r="AB10" s="51" t="inlineStr">
        <is>
          <t>Y</t>
        </is>
      </c>
      <c r="AC10" s="52" t="n"/>
      <c r="AD10" s="55">
        <f>IFERROR(AC10/AG10,"")</f>
        <v/>
      </c>
      <c r="AE10" s="52" t="n"/>
      <c r="AF10" s="52" t="n">
        <v>312.18</v>
      </c>
      <c r="AG10" s="53">
        <f>IF(L10="","",L10-N(AC10))</f>
        <v/>
      </c>
      <c r="AH10" s="53">
        <f>IF(L10="","",L10-N(AE10)-N(AF10))</f>
        <v/>
      </c>
      <c r="AI10" s="55">
        <f>IFERROR(AH10/L10,"")</f>
        <v/>
      </c>
      <c r="AJ10" s="54" t="n">
        <v>4</v>
      </c>
      <c r="AK10" s="54" t="n"/>
      <c r="AL10" s="54" t="n"/>
      <c r="AM10" s="54" t="n"/>
      <c r="AN10" s="54" t="n"/>
    </row>
    <row r="11" ht="15" customHeight="1">
      <c r="A11" s="48" t="n">
        <v>46234</v>
      </c>
      <c r="B11" s="49">
        <f>IF(A11="","",EOMONTH(A11,0))</f>
        <v/>
      </c>
      <c r="C11" s="50">
        <f>"Production"</f>
        <v/>
      </c>
      <c r="D11" s="51" t="inlineStr">
        <is>
          <t>PRODUCTION</t>
        </is>
      </c>
      <c r="E11" s="51" t="inlineStr">
        <is>
          <t>Microsoft</t>
        </is>
      </c>
      <c r="F11" s="51" t="inlineStr">
        <is>
          <t>26052703</t>
        </is>
      </c>
      <c r="G11" s="50">
        <f>IF(F11="","",IF(COUNTIF(lst_Jobs,F11&amp;"")&gt;0,"OK","CHECK"))</f>
        <v/>
      </c>
      <c r="H11" s="51" t="inlineStr">
        <is>
          <t>Microsoft Town Hall 21.7.26</t>
        </is>
      </c>
      <c r="I11" s="51" t="inlineStr">
        <is>
          <t>Project</t>
        </is>
      </c>
      <c r="J11" s="51" t="inlineStr">
        <is>
          <t>INV-10554</t>
        </is>
      </c>
      <c r="K11" s="51" t="inlineStr">
        <is>
          <t>GST 10%</t>
        </is>
      </c>
      <c r="L11" s="52" t="n">
        <v>12587</v>
      </c>
      <c r="M11" s="53">
        <f>IF(L11="","",IF(K11="GST 10%",ROUND(L11*0.1,2),0))</f>
        <v/>
      </c>
      <c r="N11" s="53">
        <f>IF(L11="","",L11+M11)</f>
        <v/>
      </c>
      <c r="O11" s="51" t="inlineStr">
        <is>
          <t>42100</t>
        </is>
      </c>
      <c r="P11" s="51" t="inlineStr">
        <is>
          <t>Y</t>
        </is>
      </c>
      <c r="Q11" s="51" t="inlineStr">
        <is>
          <t>N</t>
        </is>
      </c>
      <c r="R11" s="51" t="inlineStr">
        <is>
          <t>Invoiced</t>
        </is>
      </c>
      <c r="S11" s="51" t="n"/>
      <c r="T11" s="52" t="n">
        <v>1702</v>
      </c>
      <c r="U11" s="53">
        <f>IF(L11="","",L11-N(T11))</f>
        <v/>
      </c>
      <c r="V11" s="50">
        <f>IF(L11="","",IF(SIGN(N(T11))*SIGN(L11)=-1,"CHECK - video sign",IF(ABS(N(T11))&gt;ABS(L11),"CHECK - video exceeds invoice",IF(AND(D11="VIDEO",ROUND(N(T11),2)&lt;&gt;ROUND(L11,2)),"CHECK - VIDEO job not fully split",IF(N(T11)=0,"All production",IF(ROUND(N(T11),2)=ROUND(L11,2),"All video","Split"))))))</f>
        <v/>
      </c>
      <c r="W11" s="53">
        <f>IF(L11="","",IF(N(T11)=0,0,ROUND(M11*N(T11)/L11,2)))</f>
        <v/>
      </c>
      <c r="X11" s="51" t="inlineStr">
        <is>
          <t>helenkingham@microsoft.com</t>
        </is>
      </c>
      <c r="Y11" s="48" t="n">
        <v>46224</v>
      </c>
      <c r="Z11" s="51" t="inlineStr">
        <is>
          <t>6034</t>
        </is>
      </c>
      <c r="AA11" s="51" t="inlineStr">
        <is>
          <t>26052703</t>
        </is>
      </c>
      <c r="AB11" s="51" t="inlineStr">
        <is>
          <t>Y</t>
        </is>
      </c>
      <c r="AC11" s="52" t="n">
        <v>580</v>
      </c>
      <c r="AD11" s="55">
        <f>IFERROR(AC11/AG11,"")</f>
        <v/>
      </c>
      <c r="AE11" s="52" t="n">
        <v>631.5</v>
      </c>
      <c r="AF11" s="52" t="n">
        <v>3148.7</v>
      </c>
      <c r="AG11" s="53">
        <f>IF(L11="","",L11-N(AC11))</f>
        <v/>
      </c>
      <c r="AH11" s="53">
        <f>IF(L11="","",L11-N(AE11)-N(AF11))</f>
        <v/>
      </c>
      <c r="AI11" s="55">
        <f>IFERROR(AH11/L11,"")</f>
        <v/>
      </c>
      <c r="AJ11" s="54" t="n">
        <v>4</v>
      </c>
      <c r="AK11" s="54" t="n"/>
      <c r="AL11" s="54" t="n"/>
      <c r="AM11" s="54" t="n"/>
      <c r="AN11" s="54" t="n">
        <v>44</v>
      </c>
    </row>
    <row r="12" ht="15" customHeight="1">
      <c r="A12" s="48" t="n">
        <v>46232</v>
      </c>
      <c r="B12" s="49">
        <f>IF(A12="","",EOMONTH(A12,0))</f>
        <v/>
      </c>
      <c r="C12" s="50">
        <f>"Production"</f>
        <v/>
      </c>
      <c r="D12" s="51" t="inlineStr">
        <is>
          <t>PRODUCTION</t>
        </is>
      </c>
      <c r="E12" s="51" t="inlineStr">
        <is>
          <t>Optiver</t>
        </is>
      </c>
      <c r="F12" s="51" t="inlineStr">
        <is>
          <t>26041603</t>
        </is>
      </c>
      <c r="G12" s="50">
        <f>IF(F12="","",IF(COUNTIF(lst_Jobs,F12&amp;"")&gt;0,"OK","CHECK"))</f>
        <v/>
      </c>
      <c r="H12" s="51" t="inlineStr">
        <is>
          <t>Mid-Year Town Hall 23.7.26</t>
        </is>
      </c>
      <c r="I12" s="51" t="inlineStr">
        <is>
          <t>Project</t>
        </is>
      </c>
      <c r="J12" s="51" t="inlineStr">
        <is>
          <t>INV-10538</t>
        </is>
      </c>
      <c r="K12" s="51" t="inlineStr">
        <is>
          <t>GST 10%</t>
        </is>
      </c>
      <c r="L12" s="52" t="n">
        <v>745</v>
      </c>
      <c r="M12" s="53">
        <f>IF(L12="","",IF(K12="GST 10%",ROUND(L12*0.1,2),0))</f>
        <v/>
      </c>
      <c r="N12" s="53">
        <f>IF(L12="","",L12+M12)</f>
        <v/>
      </c>
      <c r="O12" s="51" t="inlineStr">
        <is>
          <t>42100</t>
        </is>
      </c>
      <c r="P12" s="51" t="inlineStr">
        <is>
          <t>Y</t>
        </is>
      </c>
      <c r="Q12" s="51" t="inlineStr">
        <is>
          <t>N</t>
        </is>
      </c>
      <c r="R12" s="51" t="inlineStr">
        <is>
          <t>Invoiced</t>
        </is>
      </c>
      <c r="S12" s="51" t="n"/>
      <c r="T12" s="52" t="n"/>
      <c r="U12" s="53">
        <f>IF(L12="","",L12-N(T12))</f>
        <v/>
      </c>
      <c r="V12" s="50">
        <f>IF(L12="","",IF(SIGN(N(T12))*SIGN(L12)=-1,"CHECK - video sign",IF(ABS(N(T12))&gt;ABS(L12),"CHECK - video exceeds invoice",IF(AND(D12="VIDEO",ROUND(N(T12),2)&lt;&gt;ROUND(L12,2)),"CHECK - VIDEO job not fully split",IF(N(T12)=0,"All production",IF(ROUND(N(T12),2)=ROUND(L12,2),"All video","Split"))))))</f>
        <v/>
      </c>
      <c r="W12" s="53">
        <f>IF(L12="","",IF(N(T12)=0,0,ROUND(M12*N(T12)/L12,2)))</f>
        <v/>
      </c>
      <c r="X12" s="51" t="inlineStr">
        <is>
          <t>jo.rosewarne@optiver.com.au</t>
        </is>
      </c>
      <c r="Y12" s="48" t="n">
        <v>46226</v>
      </c>
      <c r="Z12" s="51" t="inlineStr">
        <is>
          <t>6085</t>
        </is>
      </c>
      <c r="AA12" s="51" t="inlineStr">
        <is>
          <t>26041603</t>
        </is>
      </c>
      <c r="AB12" s="51" t="inlineStr">
        <is>
          <t>Y</t>
        </is>
      </c>
      <c r="AC12" s="52" t="n"/>
      <c r="AD12" s="55">
        <f>IFERROR(AC12/AG12,"")</f>
        <v/>
      </c>
      <c r="AE12" s="52" t="n"/>
      <c r="AF12" s="52" t="n">
        <v>153.84</v>
      </c>
      <c r="AG12" s="53">
        <f>IF(L12="","",L12-N(AC12))</f>
        <v/>
      </c>
      <c r="AH12" s="53">
        <f>IF(L12="","",L12-N(AE12)-N(AF12))</f>
        <v/>
      </c>
      <c r="AI12" s="55">
        <f>IFERROR(AH12/L12,"")</f>
        <v/>
      </c>
      <c r="AJ12" s="54" t="n"/>
      <c r="AK12" s="54" t="n"/>
      <c r="AL12" s="54" t="n"/>
      <c r="AM12" s="54" t="n"/>
      <c r="AN12" s="54" t="n">
        <v>4</v>
      </c>
    </row>
    <row r="13" ht="15" customHeight="1">
      <c r="A13" s="48" t="n">
        <v>46234</v>
      </c>
      <c r="B13" s="49">
        <f>IF(A13="","",EOMONTH(A13,0))</f>
        <v/>
      </c>
      <c r="C13" s="50">
        <f>"Production"</f>
        <v/>
      </c>
      <c r="D13" s="51" t="inlineStr">
        <is>
          <t>PRODUCTION</t>
        </is>
      </c>
      <c r="E13" s="51" t="inlineStr">
        <is>
          <t>Arup</t>
        </is>
      </c>
      <c r="F13" s="51" t="inlineStr">
        <is>
          <t>2605403</t>
        </is>
      </c>
      <c r="G13" s="50">
        <f>IF(F13="","",IF(COUNTIF(lst_Jobs,F13&amp;"")&gt;0,"OK","CHECK"))</f>
        <v/>
      </c>
      <c r="H13" s="51" t="inlineStr">
        <is>
          <t>Oves Awards Night 23.7.26</t>
        </is>
      </c>
      <c r="I13" s="51" t="inlineStr">
        <is>
          <t>Project</t>
        </is>
      </c>
      <c r="J13" s="51" t="inlineStr">
        <is>
          <t>INV-10540</t>
        </is>
      </c>
      <c r="K13" s="51" t="inlineStr">
        <is>
          <t>GST 10%</t>
        </is>
      </c>
      <c r="L13" s="52" t="n">
        <v>5636</v>
      </c>
      <c r="M13" s="53">
        <f>IF(L13="","",IF(K13="GST 10%",ROUND(L13*0.1,2),0))</f>
        <v/>
      </c>
      <c r="N13" s="53">
        <f>IF(L13="","",L13+M13)</f>
        <v/>
      </c>
      <c r="O13" s="51" t="inlineStr">
        <is>
          <t>42100</t>
        </is>
      </c>
      <c r="P13" s="51" t="inlineStr">
        <is>
          <t>Y</t>
        </is>
      </c>
      <c r="Q13" s="51" t="inlineStr">
        <is>
          <t>N</t>
        </is>
      </c>
      <c r="R13" s="51" t="inlineStr">
        <is>
          <t>Invoiced</t>
        </is>
      </c>
      <c r="S13" s="51" t="n"/>
      <c r="T13" s="52" t="n">
        <v>176</v>
      </c>
      <c r="U13" s="53">
        <f>IF(L13="","",L13-N(T13))</f>
        <v/>
      </c>
      <c r="V13" s="50">
        <f>IF(L13="","",IF(SIGN(N(T13))*SIGN(L13)=-1,"CHECK - video sign",IF(ABS(N(T13))&gt;ABS(L13),"CHECK - video exceeds invoice",IF(AND(D13="VIDEO",ROUND(N(T13),2)&lt;&gt;ROUND(L13,2)),"CHECK - VIDEO job not fully split",IF(N(T13)=0,"All production",IF(ROUND(N(T13),2)=ROUND(L13,2),"All video","Split"))))))</f>
        <v/>
      </c>
      <c r="W13" s="53">
        <f>IF(L13="","",IF(N(T13)=0,0,ROUND(M13*N(T13)/L13,2)))</f>
        <v/>
      </c>
      <c r="X13" s="51" t="inlineStr">
        <is>
          <t>Timothy.Hicks@arup.com</t>
        </is>
      </c>
      <c r="Y13" s="48" t="n">
        <v>46226</v>
      </c>
      <c r="Z13" s="51" t="inlineStr">
        <is>
          <t>5956</t>
        </is>
      </c>
      <c r="AA13" s="51" t="inlineStr">
        <is>
          <t>2605403</t>
        </is>
      </c>
      <c r="AB13" s="51" t="inlineStr">
        <is>
          <t>Y</t>
        </is>
      </c>
      <c r="AC13" s="52" t="n">
        <v>839</v>
      </c>
      <c r="AD13" s="55">
        <f>IFERROR(AC13/AG13,"")</f>
        <v/>
      </c>
      <c r="AE13" s="52" t="n"/>
      <c r="AF13" s="52" t="n">
        <v>1375.96</v>
      </c>
      <c r="AG13" s="53">
        <f>IF(L13="","",L13-N(AC13))</f>
        <v/>
      </c>
      <c r="AH13" s="53">
        <f>IF(L13="","",L13-N(AE13)-N(AF13))</f>
        <v/>
      </c>
      <c r="AI13" s="55">
        <f>IFERROR(AH13/L13,"")</f>
        <v/>
      </c>
      <c r="AJ13" s="54" t="n"/>
      <c r="AK13" s="54" t="n"/>
      <c r="AL13" s="54" t="n"/>
      <c r="AM13" s="54" t="n"/>
      <c r="AN13" s="54" t="n">
        <v>16</v>
      </c>
    </row>
    <row r="14" ht="15" customHeight="1">
      <c r="A14" s="48" t="n">
        <v>46234</v>
      </c>
      <c r="B14" s="49">
        <f>IF(A14="","",EOMONTH(A14,0))</f>
        <v/>
      </c>
      <c r="C14" s="50">
        <f>"Production"</f>
        <v/>
      </c>
      <c r="D14" s="51" t="inlineStr">
        <is>
          <t>PRODUCTION</t>
        </is>
      </c>
      <c r="E14" s="51" t="inlineStr">
        <is>
          <t>On24</t>
        </is>
      </c>
      <c r="F14" s="51" t="inlineStr">
        <is>
          <t>2607901</t>
        </is>
      </c>
      <c r="G14" s="50">
        <f>IF(F14="","",IF(COUNTIF(lst_Jobs,F14&amp;"")&gt;0,"OK","CHECK"))</f>
        <v/>
      </c>
      <c r="H14" s="51" t="inlineStr">
        <is>
          <t>KWM Event 23.7.26 (PO #25962)</t>
        </is>
      </c>
      <c r="I14" s="51" t="inlineStr">
        <is>
          <t>Project</t>
        </is>
      </c>
      <c r="J14" s="51" t="inlineStr">
        <is>
          <t>INV-10552</t>
        </is>
      </c>
      <c r="K14" s="51" t="inlineStr">
        <is>
          <t>GST 10%</t>
        </is>
      </c>
      <c r="L14" s="52" t="n">
        <v>2575</v>
      </c>
      <c r="M14" s="53">
        <f>IF(L14="","",IF(K14="GST 10%",ROUND(L14*0.1,2),0))</f>
        <v/>
      </c>
      <c r="N14" s="53">
        <f>IF(L14="","",L14+M14)</f>
        <v/>
      </c>
      <c r="O14" s="51" t="inlineStr">
        <is>
          <t>42100</t>
        </is>
      </c>
      <c r="P14" s="51" t="inlineStr">
        <is>
          <t>Y</t>
        </is>
      </c>
      <c r="Q14" s="51" t="inlineStr">
        <is>
          <t>N</t>
        </is>
      </c>
      <c r="R14" s="51" t="inlineStr">
        <is>
          <t>Invoiced</t>
        </is>
      </c>
      <c r="S14" s="51" t="n"/>
      <c r="T14" s="52" t="n"/>
      <c r="U14" s="53">
        <f>IF(L14="","",L14-N(T14))</f>
        <v/>
      </c>
      <c r="V14" s="50">
        <f>IF(L14="","",IF(SIGN(N(T14))*SIGN(L14)=-1,"CHECK - video sign",IF(ABS(N(T14))&gt;ABS(L14),"CHECK - video exceeds invoice",IF(AND(D14="VIDEO",ROUND(N(T14),2)&lt;&gt;ROUND(L14,2)),"CHECK - VIDEO job not fully split",IF(N(T14)=0,"All production",IF(ROUND(N(T14),2)=ROUND(L14,2),"All video","Split"))))))</f>
        <v/>
      </c>
      <c r="W14" s="53">
        <f>IF(L14="","",IF(N(T14)=0,0,ROUND(M14*N(T14)/L14,2)))</f>
        <v/>
      </c>
      <c r="X14" s="51" t="inlineStr">
        <is>
          <t>lisa.caraccio@on24.com</t>
        </is>
      </c>
      <c r="Y14" s="48" t="n">
        <v>46226</v>
      </c>
      <c r="Z14" s="51" t="inlineStr">
        <is>
          <t>6097</t>
        </is>
      </c>
      <c r="AA14" s="51" t="inlineStr">
        <is>
          <t>2607901</t>
        </is>
      </c>
      <c r="AB14" s="51" t="inlineStr">
        <is>
          <t>Y</t>
        </is>
      </c>
      <c r="AC14" s="52" t="n">
        <v>95</v>
      </c>
      <c r="AD14" s="55">
        <f>IFERROR(AC14/AG14,"")</f>
        <v/>
      </c>
      <c r="AE14" s="52" t="n"/>
      <c r="AF14" s="52" t="n">
        <v>453.31</v>
      </c>
      <c r="AG14" s="53">
        <f>IF(L14="","",L14-N(AC14))</f>
        <v/>
      </c>
      <c r="AH14" s="53">
        <f>IF(L14="","",L14-N(AE14)-N(AF14))</f>
        <v/>
      </c>
      <c r="AI14" s="55">
        <f>IFERROR(AH14/L14,"")</f>
        <v/>
      </c>
      <c r="AJ14" s="54" t="n"/>
      <c r="AK14" s="54" t="n"/>
      <c r="AL14" s="54" t="n"/>
      <c r="AM14" s="54" t="n"/>
      <c r="AN14" s="54" t="n">
        <v>6</v>
      </c>
    </row>
    <row r="15" ht="15" customHeight="1">
      <c r="A15" s="48" t="n">
        <v>46223</v>
      </c>
      <c r="B15" s="49">
        <f>IF(A15="","",EOMONTH(A15,0))</f>
        <v/>
      </c>
      <c r="C15" s="50">
        <f>"Production"</f>
        <v/>
      </c>
      <c r="D15" s="51" t="inlineStr">
        <is>
          <t>PRODUCTION</t>
        </is>
      </c>
      <c r="E15" s="51" t="inlineStr">
        <is>
          <t>Skykick Ranger</t>
        </is>
      </c>
      <c r="F15" s="51" t="inlineStr">
        <is>
          <t>26063001</t>
        </is>
      </c>
      <c r="G15" s="50">
        <f>IF(F15="","",IF(COUNTIF(lst_Jobs,F15&amp;"")&gt;0,"OK","CHECK"))</f>
        <v/>
      </c>
      <c r="H15" s="51" t="inlineStr">
        <is>
          <t>Sydney Performance Dry Hire 26.7.26</t>
        </is>
      </c>
      <c r="I15" s="51" t="inlineStr">
        <is>
          <t>Project</t>
        </is>
      </c>
      <c r="J15" s="51" t="inlineStr">
        <is>
          <t>INV-10533</t>
        </is>
      </c>
      <c r="K15" s="51" t="inlineStr">
        <is>
          <t>GST 10%</t>
        </is>
      </c>
      <c r="L15" s="52" t="n">
        <v>975</v>
      </c>
      <c r="M15" s="53">
        <f>IF(L15="","",IF(K15="GST 10%",ROUND(L15*0.1,2),0))</f>
        <v/>
      </c>
      <c r="N15" s="53">
        <f>IF(L15="","",L15+M15)</f>
        <v/>
      </c>
      <c r="O15" s="51" t="inlineStr">
        <is>
          <t>42100</t>
        </is>
      </c>
      <c r="P15" s="51" t="inlineStr">
        <is>
          <t>Y</t>
        </is>
      </c>
      <c r="Q15" s="51" t="inlineStr">
        <is>
          <t>N</t>
        </is>
      </c>
      <c r="R15" s="51" t="inlineStr">
        <is>
          <t>Invoiced</t>
        </is>
      </c>
      <c r="S15" s="51" t="n"/>
      <c r="T15" s="52" t="n"/>
      <c r="U15" s="53">
        <f>IF(L15="","",L15-N(T15))</f>
        <v/>
      </c>
      <c r="V15" s="50">
        <f>IF(L15="","",IF(SIGN(N(T15))*SIGN(L15)=-1,"CHECK - video sign",IF(ABS(N(T15))&gt;ABS(L15),"CHECK - video exceeds invoice",IF(AND(D15="VIDEO",ROUND(N(T15),2)&lt;&gt;ROUND(L15,2)),"CHECK - VIDEO job not fully split",IF(N(T15)=0,"All production",IF(ROUND(N(T15),2)=ROUND(L15,2),"All video","Split"))))))</f>
        <v/>
      </c>
      <c r="W15" s="53">
        <f>IF(L15="","",IF(N(T15)=0,0,ROUND(M15*N(T15)/L15,2)))</f>
        <v/>
      </c>
      <c r="X15" s="51" t="inlineStr">
        <is>
          <t>park_za_888@hotmail.com</t>
        </is>
      </c>
      <c r="Y15" s="48" t="n">
        <v>46229</v>
      </c>
      <c r="Z15" s="51" t="inlineStr">
        <is>
          <t>6114</t>
        </is>
      </c>
      <c r="AA15" s="51" t="inlineStr">
        <is>
          <t>26063001</t>
        </is>
      </c>
      <c r="AB15" s="51" t="inlineStr">
        <is>
          <t>Y</t>
        </is>
      </c>
      <c r="AC15" s="52" t="n"/>
      <c r="AD15" s="55">
        <f>IFERROR(AC15/AG15,"")</f>
        <v/>
      </c>
      <c r="AE15" s="52" t="n">
        <v>850</v>
      </c>
      <c r="AF15" s="52" t="n"/>
      <c r="AG15" s="53">
        <f>IF(L15="","",L15-N(AC15))</f>
        <v/>
      </c>
      <c r="AH15" s="53">
        <f>IF(L15="","",L15-N(AE15)-N(AF15))</f>
        <v/>
      </c>
      <c r="AI15" s="55">
        <f>IFERROR(AH15/L15,"")</f>
        <v/>
      </c>
      <c r="AJ15" s="54" t="n"/>
      <c r="AK15" s="54" t="n"/>
      <c r="AL15" s="54" t="n"/>
      <c r="AM15" s="54" t="n"/>
      <c r="AN15" s="54" t="n">
        <v>0</v>
      </c>
    </row>
    <row r="16" ht="15" customHeight="1">
      <c r="A16" s="48" t="n">
        <v>46234</v>
      </c>
      <c r="B16" s="49">
        <f>IF(A16="","",EOMONTH(A16,0))</f>
        <v/>
      </c>
      <c r="C16" s="50">
        <f>"Production"</f>
        <v/>
      </c>
      <c r="D16" s="51" t="inlineStr">
        <is>
          <t>PRODUCTION</t>
        </is>
      </c>
      <c r="E16" s="51" t="inlineStr">
        <is>
          <t>Ventia</t>
        </is>
      </c>
      <c r="F16" s="51" t="inlineStr">
        <is>
          <t>2604202</t>
        </is>
      </c>
      <c r="G16" s="50">
        <f>IF(F16="","",IF(COUNTIF(lst_Jobs,F16&amp;"")&gt;0,"OK","CHECK"))</f>
        <v/>
      </c>
      <c r="H16" s="51" t="inlineStr">
        <is>
          <t>Ventia Awards 28 &amp; 30.7.26 (PO 4701355678)</t>
        </is>
      </c>
      <c r="I16" s="51" t="inlineStr">
        <is>
          <t>Project</t>
        </is>
      </c>
      <c r="J16" s="51" t="inlineStr">
        <is>
          <t>INV-10557</t>
        </is>
      </c>
      <c r="K16" s="51" t="inlineStr">
        <is>
          <t>GST 10%</t>
        </is>
      </c>
      <c r="L16" s="52" t="n">
        <v>52749.78</v>
      </c>
      <c r="M16" s="53">
        <f>IF(L16="","",IF(K16="GST 10%",ROUND(L16*0.1,2),0))</f>
        <v/>
      </c>
      <c r="N16" s="53">
        <f>IF(L16="","",L16+M16)</f>
        <v/>
      </c>
      <c r="O16" s="51" t="inlineStr">
        <is>
          <t>42100</t>
        </is>
      </c>
      <c r="P16" s="51" t="inlineStr">
        <is>
          <t>Y</t>
        </is>
      </c>
      <c r="Q16" s="51" t="inlineStr">
        <is>
          <t>N</t>
        </is>
      </c>
      <c r="R16" s="51" t="inlineStr">
        <is>
          <t>Invoiced</t>
        </is>
      </c>
      <c r="S16" s="51" t="n"/>
      <c r="T16" s="52" t="n"/>
      <c r="U16" s="53">
        <f>IF(L16="","",L16-N(T16))</f>
        <v/>
      </c>
      <c r="V16" s="50">
        <f>IF(L16="","",IF(SIGN(N(T16))*SIGN(L16)=-1,"CHECK - video sign",IF(ABS(N(T16))&gt;ABS(L16),"CHECK - video exceeds invoice",IF(AND(D16="VIDEO",ROUND(N(T16),2)&lt;&gt;ROUND(L16,2)),"CHECK - VIDEO job not fully split",IF(N(T16)=0,"All production",IF(ROUND(N(T16),2)=ROUND(L16,2),"All video","Split"))))))</f>
        <v/>
      </c>
      <c r="W16" s="53">
        <f>IF(L16="","",IF(N(T16)=0,0,ROUND(M16*N(T16)/L16,2)))</f>
        <v/>
      </c>
      <c r="X16" s="51" t="inlineStr">
        <is>
          <t>amy.johnson@ventia.com</t>
        </is>
      </c>
      <c r="Y16" s="48" t="n">
        <v>46231</v>
      </c>
      <c r="Z16" s="51" t="inlineStr">
        <is>
          <t>6099</t>
        </is>
      </c>
      <c r="AA16" s="51" t="inlineStr">
        <is>
          <t>2604202</t>
        </is>
      </c>
      <c r="AB16" s="51" t="inlineStr">
        <is>
          <t>Y</t>
        </is>
      </c>
      <c r="AC16" s="52" t="n">
        <v>4452.72</v>
      </c>
      <c r="AD16" s="55">
        <f>IFERROR(AC16/AG16,"")</f>
        <v/>
      </c>
      <c r="AE16" s="52" t="n">
        <v>19155.02</v>
      </c>
      <c r="AF16" s="52" t="n">
        <v>462.23</v>
      </c>
      <c r="AG16" s="53">
        <f>IF(L16="","",L16-N(AC16))</f>
        <v/>
      </c>
      <c r="AH16" s="53">
        <f>IF(L16="","",L16-N(AE16)-N(AF16))</f>
        <v/>
      </c>
      <c r="AI16" s="55">
        <f>IFERROR(AH16/L16,"")</f>
        <v/>
      </c>
      <c r="AJ16" s="54" t="n"/>
      <c r="AK16" s="54" t="n"/>
      <c r="AL16" s="54" t="n">
        <v>8</v>
      </c>
      <c r="AM16" s="54" t="n"/>
      <c r="AN16" s="54" t="n">
        <v>142</v>
      </c>
    </row>
    <row r="17" ht="15" customHeight="1">
      <c r="A17" s="48" t="n">
        <v>46234</v>
      </c>
      <c r="B17" s="49">
        <f>IF(A17="","",EOMONTH(A17,0))</f>
        <v/>
      </c>
      <c r="C17" s="50">
        <f>"Production"</f>
        <v/>
      </c>
      <c r="D17" s="51" t="inlineStr">
        <is>
          <t>PRODUCTION</t>
        </is>
      </c>
      <c r="E17" s="51" t="inlineStr">
        <is>
          <t>PWC</t>
        </is>
      </c>
      <c r="F17" s="51" t="inlineStr">
        <is>
          <t>26062202</t>
        </is>
      </c>
      <c r="G17" s="50">
        <f>IF(F17="","",IF(COUNTIF(lst_Jobs,F17&amp;"")&gt;0,"OK","CHECK"))</f>
        <v/>
      </c>
      <c r="H17" s="51" t="inlineStr">
        <is>
          <t>Early Careers Webcast 29.7.26</t>
        </is>
      </c>
      <c r="I17" s="51" t="inlineStr">
        <is>
          <t>Project</t>
        </is>
      </c>
      <c r="J17" s="51" t="inlineStr">
        <is>
          <t>INV-10555</t>
        </is>
      </c>
      <c r="K17" s="51" t="inlineStr">
        <is>
          <t>GST 10%</t>
        </is>
      </c>
      <c r="L17" s="52" t="n">
        <v>1925</v>
      </c>
      <c r="M17" s="53">
        <f>IF(L17="","",IF(K17="GST 10%",ROUND(L17*0.1,2),0))</f>
        <v/>
      </c>
      <c r="N17" s="53">
        <f>IF(L17="","",L17+M17)</f>
        <v/>
      </c>
      <c r="O17" s="51" t="inlineStr">
        <is>
          <t>42100</t>
        </is>
      </c>
      <c r="P17" s="51" t="inlineStr">
        <is>
          <t>Y</t>
        </is>
      </c>
      <c r="Q17" s="51" t="inlineStr">
        <is>
          <t>N</t>
        </is>
      </c>
      <c r="R17" s="51" t="inlineStr">
        <is>
          <t>Invoiced</t>
        </is>
      </c>
      <c r="S17" s="51" t="n"/>
      <c r="T17" s="52" t="n"/>
      <c r="U17" s="53">
        <f>IF(L17="","",L17-N(T17))</f>
        <v/>
      </c>
      <c r="V17" s="50">
        <f>IF(L17="","",IF(SIGN(N(T17))*SIGN(L17)=-1,"CHECK - video sign",IF(ABS(N(T17))&gt;ABS(L17),"CHECK - video exceeds invoice",IF(AND(D17="VIDEO",ROUND(N(T17),2)&lt;&gt;ROUND(L17,2)),"CHECK - VIDEO job not fully split",IF(N(T17)=0,"All production",IF(ROUND(N(T17),2)=ROUND(L17,2),"All video","Split"))))))</f>
        <v/>
      </c>
      <c r="W17" s="53">
        <f>IF(L17="","",IF(N(T17)=0,0,ROUND(M17*N(T17)/L17,2)))</f>
        <v/>
      </c>
      <c r="X17" s="51" t="inlineStr">
        <is>
          <t>libby.kovac@au.pwc.com</t>
        </is>
      </c>
      <c r="Y17" s="48" t="n">
        <v>46232</v>
      </c>
      <c r="Z17" s="51" t="inlineStr">
        <is>
          <t>6075</t>
        </is>
      </c>
      <c r="AA17" s="51" t="inlineStr">
        <is>
          <t>26062202</t>
        </is>
      </c>
      <c r="AB17" s="51" t="inlineStr">
        <is>
          <t>Y</t>
        </is>
      </c>
      <c r="AC17" s="52" t="n"/>
      <c r="AD17" s="55">
        <f>IFERROR(AC17/AG17,"")</f>
        <v/>
      </c>
      <c r="AE17" s="52" t="n"/>
      <c r="AF17" s="52" t="n">
        <v>812.09</v>
      </c>
      <c r="AG17" s="53">
        <f>IF(L17="","",L17-N(AC17))</f>
        <v/>
      </c>
      <c r="AH17" s="53">
        <f>IF(L17="","",L17-N(AE17)-N(AF17))</f>
        <v/>
      </c>
      <c r="AI17" s="55">
        <f>IFERROR(AH17/L17,"")</f>
        <v/>
      </c>
      <c r="AJ17" s="54" t="n">
        <v>8</v>
      </c>
      <c r="AK17" s="54" t="n"/>
      <c r="AL17" s="54" t="n">
        <v>1</v>
      </c>
      <c r="AM17" s="54" t="n"/>
      <c r="AN17" s="54" t="n">
        <v>8</v>
      </c>
    </row>
    <row r="18" ht="15" customHeight="1">
      <c r="A18" s="48" t="n">
        <v>46234</v>
      </c>
      <c r="B18" s="49">
        <f>IF(A18="","",EOMONTH(A18,0))</f>
        <v/>
      </c>
      <c r="C18" s="50">
        <f>"Production"</f>
        <v/>
      </c>
      <c r="D18" s="51" t="inlineStr">
        <is>
          <t>PRODUCTION</t>
        </is>
      </c>
      <c r="E18" s="51" t="inlineStr">
        <is>
          <t>Ventia (Melbourne)</t>
        </is>
      </c>
      <c r="F18" s="51" t="inlineStr">
        <is>
          <t>26071303</t>
        </is>
      </c>
      <c r="G18" s="50">
        <f>IF(F18="","",IF(COUNTIF(lst_Jobs,F18&amp;"")&gt;0,"OK","CHECK"))</f>
        <v/>
      </c>
      <c r="H18" s="51" t="inlineStr">
        <is>
          <t>Melbourne Office Event 30&amp;31.7.26</t>
        </is>
      </c>
      <c r="I18" s="51" t="inlineStr">
        <is>
          <t>Project</t>
        </is>
      </c>
      <c r="J18" s="51" t="inlineStr">
        <is>
          <t>INV-10558</t>
        </is>
      </c>
      <c r="K18" s="51" t="inlineStr">
        <is>
          <t>GST 10%</t>
        </is>
      </c>
      <c r="L18" s="52" t="n">
        <v>11570</v>
      </c>
      <c r="M18" s="53">
        <f>IF(L18="","",IF(K18="GST 10%",ROUND(L18*0.1,2),0))</f>
        <v/>
      </c>
      <c r="N18" s="53">
        <f>IF(L18="","",L18+M18)</f>
        <v/>
      </c>
      <c r="O18" s="51" t="inlineStr">
        <is>
          <t>42100</t>
        </is>
      </c>
      <c r="P18" s="51" t="inlineStr">
        <is>
          <t>Y</t>
        </is>
      </c>
      <c r="Q18" s="51" t="inlineStr">
        <is>
          <t>N</t>
        </is>
      </c>
      <c r="R18" s="51" t="inlineStr">
        <is>
          <t>Invoiced</t>
        </is>
      </c>
      <c r="S18" s="51" t="n"/>
      <c r="T18" s="52" t="n"/>
      <c r="U18" s="53">
        <f>IF(L18="","",L18-N(T18))</f>
        <v/>
      </c>
      <c r="V18" s="50">
        <f>IF(L18="","",IF(SIGN(N(T18))*SIGN(L18)=-1,"CHECK - video sign",IF(ABS(N(T18))&gt;ABS(L18),"CHECK - video exceeds invoice",IF(AND(D18="VIDEO",ROUND(N(T18),2)&lt;&gt;ROUND(L18,2)),"CHECK - VIDEO job not fully split",IF(N(T18)=0,"All production",IF(ROUND(N(T18),2)=ROUND(L18,2),"All video","Split"))))))</f>
        <v/>
      </c>
      <c r="W18" s="53">
        <f>IF(L18="","",IF(N(T18)=0,0,ROUND(M18*N(T18)/L18,2)))</f>
        <v/>
      </c>
      <c r="X18" s="51" t="inlineStr">
        <is>
          <t>Lauren.Quinn@ventia.com</t>
        </is>
      </c>
      <c r="Y18" s="48" t="n">
        <v>46233</v>
      </c>
      <c r="Z18" s="51" t="inlineStr">
        <is>
          <t>6125</t>
        </is>
      </c>
      <c r="AA18" s="51" t="inlineStr">
        <is>
          <t>26071303</t>
        </is>
      </c>
      <c r="AB18" s="51" t="inlineStr">
        <is>
          <t>Y</t>
        </is>
      </c>
      <c r="AC18" s="52" t="n"/>
      <c r="AD18" s="55">
        <f>IFERROR(AC18/AG18,"")</f>
        <v/>
      </c>
      <c r="AE18" s="52" t="n">
        <v>9487</v>
      </c>
      <c r="AF18" s="52" t="n">
        <v>283.18</v>
      </c>
      <c r="AG18" s="53">
        <f>IF(L18="","",L18-N(AC18))</f>
        <v/>
      </c>
      <c r="AH18" s="53">
        <f>IF(L18="","",L18-N(AE18)-N(AF18))</f>
        <v/>
      </c>
      <c r="AI18" s="55">
        <f>IFERROR(AH18/L18,"")</f>
        <v/>
      </c>
      <c r="AJ18" s="54" t="n"/>
      <c r="AK18" s="54" t="n"/>
      <c r="AL18" s="54" t="n"/>
      <c r="AM18" s="54" t="n"/>
      <c r="AN18" s="54" t="n">
        <v>40</v>
      </c>
    </row>
    <row r="19" ht="15" customHeight="1">
      <c r="A19" s="48" t="n">
        <v>46234</v>
      </c>
      <c r="B19" s="49">
        <f>IF(A19="","",EOMONTH(A19,0))</f>
        <v/>
      </c>
      <c r="C19" s="50">
        <f>"Production"</f>
        <v/>
      </c>
      <c r="D19" s="51" t="inlineStr">
        <is>
          <t>PRODUCTION</t>
        </is>
      </c>
      <c r="E19" s="51" t="inlineStr">
        <is>
          <t>Garvan</t>
        </is>
      </c>
      <c r="F19" s="51" t="inlineStr">
        <is>
          <t>26061702</t>
        </is>
      </c>
      <c r="G19" s="50">
        <f>IF(F19="","",IF(COUNTIF(lst_Jobs,F19&amp;"")&gt;0,"OK","CHECK"))</f>
        <v/>
      </c>
      <c r="H19" s="51" t="inlineStr">
        <is>
          <t>Morning Tea Event 31.7.26 (PO-58817)</t>
        </is>
      </c>
      <c r="I19" s="51" t="inlineStr">
        <is>
          <t>Project</t>
        </is>
      </c>
      <c r="J19" s="51" t="inlineStr">
        <is>
          <t>INV-10556</t>
        </is>
      </c>
      <c r="K19" s="51" t="inlineStr">
        <is>
          <t>GST 10%</t>
        </is>
      </c>
      <c r="L19" s="52" t="n">
        <v>1120</v>
      </c>
      <c r="M19" s="53">
        <f>IF(L19="","",IF(K19="GST 10%",ROUND(L19*0.1,2),0))</f>
        <v/>
      </c>
      <c r="N19" s="53">
        <f>IF(L19="","",L19+M19)</f>
        <v/>
      </c>
      <c r="O19" s="51" t="inlineStr">
        <is>
          <t>42100</t>
        </is>
      </c>
      <c r="P19" s="51" t="inlineStr">
        <is>
          <t>Y</t>
        </is>
      </c>
      <c r="Q19" s="51" t="inlineStr">
        <is>
          <t>N</t>
        </is>
      </c>
      <c r="R19" s="51" t="inlineStr">
        <is>
          <t>Invoiced</t>
        </is>
      </c>
      <c r="S19" s="51" t="n"/>
      <c r="T19" s="52" t="n"/>
      <c r="U19" s="53">
        <f>IF(L19="","",L19-N(T19))</f>
        <v/>
      </c>
      <c r="V19" s="50">
        <f>IF(L19="","",IF(SIGN(N(T19))*SIGN(L19)=-1,"CHECK - video sign",IF(ABS(N(T19))&gt;ABS(L19),"CHECK - video exceeds invoice",IF(AND(D19="VIDEO",ROUND(N(T19),2)&lt;&gt;ROUND(L19,2)),"CHECK - VIDEO job not fully split",IF(N(T19)=0,"All production",IF(ROUND(N(T19),2)=ROUND(L19,2),"All video","Split"))))))</f>
        <v/>
      </c>
      <c r="W19" s="53">
        <f>IF(L19="","",IF(N(T19)=0,0,ROUND(M19*N(T19)/L19,2)))</f>
        <v/>
      </c>
      <c r="X19" s="51" t="inlineStr">
        <is>
          <t>l.cordt@garvan.org.au</t>
        </is>
      </c>
      <c r="Y19" s="48" t="n">
        <v>46234</v>
      </c>
      <c r="Z19" s="51" t="inlineStr">
        <is>
          <t>6066</t>
        </is>
      </c>
      <c r="AA19" s="51" t="inlineStr">
        <is>
          <t>26061702</t>
        </is>
      </c>
      <c r="AB19" s="51" t="inlineStr">
        <is>
          <t>Y</t>
        </is>
      </c>
      <c r="AC19" s="52" t="n"/>
      <c r="AD19" s="55">
        <f>IFERROR(AC19/AG19,"")</f>
        <v/>
      </c>
      <c r="AE19" s="52" t="n"/>
      <c r="AF19" s="52" t="n">
        <v>626.92</v>
      </c>
      <c r="AG19" s="53">
        <f>IF(L19="","",L19-N(AC19))</f>
        <v/>
      </c>
      <c r="AH19" s="53">
        <f>IF(L19="","",L19-N(AE19)-N(AF19))</f>
        <v/>
      </c>
      <c r="AI19" s="55">
        <f>IFERROR(AH19/L19,"")</f>
        <v/>
      </c>
      <c r="AJ19" s="54" t="n"/>
      <c r="AK19" s="54" t="n"/>
      <c r="AL19" s="54" t="n"/>
      <c r="AM19" s="54" t="n"/>
      <c r="AN19" s="54" t="n">
        <v>10</v>
      </c>
    </row>
    <row r="20" ht="15" customHeight="1">
      <c r="A20" s="48" t="n">
        <v>46234</v>
      </c>
      <c r="B20" s="49">
        <f>IF(A20="","",EOMONTH(A20,0))</f>
        <v/>
      </c>
      <c r="C20" s="50">
        <f>"Production"</f>
        <v/>
      </c>
      <c r="D20" s="51" t="inlineStr">
        <is>
          <t>PRODUCTION</t>
        </is>
      </c>
      <c r="E20" s="51" t="inlineStr">
        <is>
          <t>CBA</t>
        </is>
      </c>
      <c r="F20" s="51" t="inlineStr">
        <is>
          <t>26061701</t>
        </is>
      </c>
      <c r="G20" s="50">
        <f>IF(F20="","",IF(COUNTIF(lst_Jobs,F20&amp;"")&gt;0,"OK","CHECK"))</f>
        <v/>
      </c>
      <c r="H20" s="51" t="inlineStr">
        <is>
          <t>CBA LES July 2026</t>
        </is>
      </c>
      <c r="I20" s="51" t="inlineStr">
        <is>
          <t>Project</t>
        </is>
      </c>
      <c r="J20" s="51" t="inlineStr">
        <is>
          <t>INV-10559</t>
        </is>
      </c>
      <c r="K20" s="51" t="inlineStr">
        <is>
          <t>GST 10%</t>
        </is>
      </c>
      <c r="L20" s="52" t="n">
        <v>8550</v>
      </c>
      <c r="M20" s="53">
        <f>IF(L20="","",IF(K20="GST 10%",ROUND(L20*0.1,2),0))</f>
        <v/>
      </c>
      <c r="N20" s="53">
        <f>IF(L20="","",L20+M20)</f>
        <v/>
      </c>
      <c r="O20" s="51" t="inlineStr">
        <is>
          <t>42100</t>
        </is>
      </c>
      <c r="P20" s="51" t="inlineStr">
        <is>
          <t>Y</t>
        </is>
      </c>
      <c r="Q20" s="51" t="inlineStr">
        <is>
          <t>N</t>
        </is>
      </c>
      <c r="R20" s="51" t="inlineStr">
        <is>
          <t>Invoiced</t>
        </is>
      </c>
      <c r="S20" s="51" t="n"/>
      <c r="T20" s="52" t="n"/>
      <c r="U20" s="53">
        <f>IF(L20="","",L20-N(T20))</f>
        <v/>
      </c>
      <c r="V20" s="50">
        <f>IF(L20="","",IF(SIGN(N(T20))*SIGN(L20)=-1,"CHECK - video sign",IF(ABS(N(T20))&gt;ABS(L20),"CHECK - video exceeds invoice",IF(AND(D20="VIDEO",ROUND(N(T20),2)&lt;&gt;ROUND(L20,2)),"CHECK - VIDEO job not fully split",IF(N(T20)=0,"All production",IF(ROUND(N(T20),2)=ROUND(L20,2),"All video","Split"))))))</f>
        <v/>
      </c>
      <c r="W20" s="53">
        <f>IF(L20="","",IF(N(T20)=0,0,ROUND(M20*N(T20)/L20,2)))</f>
        <v/>
      </c>
      <c r="X20" s="51" t="inlineStr">
        <is>
          <t>steve.chezzi@cba.com.au</t>
        </is>
      </c>
      <c r="Y20" s="48" t="n">
        <v>46234</v>
      </c>
      <c r="Z20" s="51" t="inlineStr">
        <is>
          <t>6145</t>
        </is>
      </c>
      <c r="AA20" s="51" t="inlineStr">
        <is>
          <t>26061701</t>
        </is>
      </c>
      <c r="AB20" s="51" t="inlineStr">
        <is>
          <t>Y</t>
        </is>
      </c>
      <c r="AC20" s="52" t="n"/>
      <c r="AD20" s="55">
        <f>IFERROR(AC20/AG20,"")</f>
        <v/>
      </c>
      <c r="AE20" s="52" t="n"/>
      <c r="AF20" s="52" t="n"/>
      <c r="AG20" s="53">
        <f>IF(L20="","",L20-N(AC20))</f>
        <v/>
      </c>
      <c r="AH20" s="53">
        <f>IF(L20="","",L20-N(AE20)-N(AF20))</f>
        <v/>
      </c>
      <c r="AI20" s="55">
        <f>IFERROR(AH20/L20,"")</f>
        <v/>
      </c>
      <c r="AJ20" s="54" t="n"/>
      <c r="AK20" s="54" t="n"/>
      <c r="AL20" s="54" t="n"/>
      <c r="AM20" s="54" t="n"/>
      <c r="AN20" s="54" t="n"/>
    </row>
    <row r="21" ht="15" customHeight="1">
      <c r="A21" s="48" t="n">
        <v>46247</v>
      </c>
      <c r="B21" s="49">
        <f>IF(A21="","",EOMONTH(A21,0))</f>
        <v/>
      </c>
      <c r="C21" s="50">
        <f>"Production"</f>
        <v/>
      </c>
      <c r="D21" s="51" t="inlineStr">
        <is>
          <t>PRODUCTION</t>
        </is>
      </c>
      <c r="E21" s="51" t="inlineStr">
        <is>
          <t>CBA</t>
        </is>
      </c>
      <c r="F21" s="51" t="inlineStr">
        <is>
          <t>26061701</t>
        </is>
      </c>
      <c r="G21" s="50">
        <f>IF(F21="","",IF(COUNTIF(lst_Jobs,F21&amp;"")&gt;0,"OK","CHECK"))</f>
        <v/>
      </c>
      <c r="H21" s="51" t="inlineStr">
        <is>
          <t>CBA LES July 2026 Loading Reversal</t>
        </is>
      </c>
      <c r="I21" s="51" t="inlineStr">
        <is>
          <t>Project</t>
        </is>
      </c>
      <c r="J21" s="51" t="inlineStr">
        <is>
          <t>CN-10563</t>
        </is>
      </c>
      <c r="K21" s="51" t="inlineStr">
        <is>
          <t>GST 10%</t>
        </is>
      </c>
      <c r="L21" s="52" t="n">
        <v>-332.5</v>
      </c>
      <c r="M21" s="53">
        <f>IF(L21="","",IF(K21="GST 10%",ROUND(L21*0.1,2),0))</f>
        <v/>
      </c>
      <c r="N21" s="53">
        <f>IF(L21="","",L21+M21)</f>
        <v/>
      </c>
      <c r="O21" s="51" t="inlineStr">
        <is>
          <t>42100</t>
        </is>
      </c>
      <c r="P21" s="51" t="inlineStr">
        <is>
          <t>Y</t>
        </is>
      </c>
      <c r="Q21" s="51" t="inlineStr">
        <is>
          <t>N</t>
        </is>
      </c>
      <c r="R21" s="51" t="inlineStr">
        <is>
          <t>Invoiced</t>
        </is>
      </c>
      <c r="S21" s="51" t="n"/>
      <c r="T21" s="52" t="n"/>
      <c r="U21" s="53">
        <f>IF(L21="","",L21-N(T21))</f>
        <v/>
      </c>
      <c r="V21" s="50">
        <f>IF(L21="","",IF(SIGN(N(T21))*SIGN(L21)=-1,"CHECK - video sign",IF(ABS(N(T21))&gt;ABS(L21),"CHECK - video exceeds invoice",IF(AND(D21="VIDEO",ROUND(N(T21),2)&lt;&gt;ROUND(L21,2)),"CHECK - VIDEO job not fully split",IF(N(T21)=0,"All production",IF(ROUND(N(T21),2)=ROUND(L21,2),"All video","Split"))))))</f>
        <v/>
      </c>
      <c r="W21" s="53">
        <f>IF(L21="","",IF(N(T21)=0,0,ROUND(M21*N(T21)/L21,2)))</f>
        <v/>
      </c>
      <c r="X21" s="51" t="inlineStr">
        <is>
          <t>steve.chezzi@cba.com.au</t>
        </is>
      </c>
      <c r="Y21" s="48" t="n">
        <v>46234</v>
      </c>
      <c r="Z21" s="51" t="inlineStr">
        <is>
          <t>6145</t>
        </is>
      </c>
      <c r="AA21" s="51" t="inlineStr">
        <is>
          <t>26061701</t>
        </is>
      </c>
      <c r="AB21" s="51" t="inlineStr">
        <is>
          <t>Y</t>
        </is>
      </c>
      <c r="AC21" s="52" t="n"/>
      <c r="AD21" s="55">
        <f>IFERROR(AC21/AG21,"")</f>
        <v/>
      </c>
      <c r="AE21" s="52" t="n"/>
      <c r="AF21" s="52" t="n"/>
      <c r="AG21" s="53">
        <f>IF(L21="","",L21-N(AC21))</f>
        <v/>
      </c>
      <c r="AH21" s="53">
        <f>IF(L21="","",L21-N(AE21)-N(AF21))</f>
        <v/>
      </c>
      <c r="AI21" s="55">
        <f>IFERROR(AH21/L21,"")</f>
        <v/>
      </c>
      <c r="AJ21" s="54" t="n"/>
      <c r="AK21" s="54" t="n"/>
      <c r="AL21" s="54" t="n"/>
      <c r="AM21" s="54" t="n"/>
      <c r="AN21" s="54" t="n"/>
    </row>
    <row r="22" ht="15" customHeight="1">
      <c r="A22" s="48" t="n">
        <v>46247</v>
      </c>
      <c r="B22" s="49">
        <f>IF(A22="","",EOMONTH(A22,0))</f>
        <v/>
      </c>
      <c r="C22" s="50">
        <f>"Production"</f>
        <v/>
      </c>
      <c r="D22" s="51" t="inlineStr">
        <is>
          <t>PRODUCTION</t>
        </is>
      </c>
      <c r="E22" s="51" t="inlineStr">
        <is>
          <t>RSNSW</t>
        </is>
      </c>
      <c r="F22" s="51" t="inlineStr">
        <is>
          <t>2512804</t>
        </is>
      </c>
      <c r="G22" s="50">
        <f>IF(F22="","",IF(COUNTIF(lst_Jobs,F22&amp;"")&gt;0,"OK","CHECK"))</f>
        <v/>
      </c>
      <c r="H22" s="51" t="inlineStr">
        <is>
          <t>Ordinary General Meeting 5.8.26</t>
        </is>
      </c>
      <c r="I22" s="51" t="inlineStr">
        <is>
          <t>Project</t>
        </is>
      </c>
      <c r="J22" s="51" t="inlineStr">
        <is>
          <t>INV-10561</t>
        </is>
      </c>
      <c r="K22" s="51" t="inlineStr">
        <is>
          <t>GST 10%</t>
        </is>
      </c>
      <c r="L22" s="52" t="n">
        <v>3261</v>
      </c>
      <c r="M22" s="53">
        <f>IF(L22="","",IF(K22="GST 10%",ROUND(L22*0.1,2),0))</f>
        <v/>
      </c>
      <c r="N22" s="53">
        <f>IF(L22="","",L22+M22)</f>
        <v/>
      </c>
      <c r="O22" s="51" t="inlineStr">
        <is>
          <t>42100</t>
        </is>
      </c>
      <c r="P22" s="51" t="inlineStr">
        <is>
          <t>Y</t>
        </is>
      </c>
      <c r="Q22" s="51" t="inlineStr">
        <is>
          <t>N</t>
        </is>
      </c>
      <c r="R22" s="51" t="inlineStr">
        <is>
          <t>Invoiced</t>
        </is>
      </c>
      <c r="S22" s="51" t="n"/>
      <c r="T22" s="52" t="n">
        <v>1029</v>
      </c>
      <c r="U22" s="53">
        <f>IF(L22="","",L22-N(T22))</f>
        <v/>
      </c>
      <c r="V22" s="50">
        <f>IF(L22="","",IF(SIGN(N(T22))*SIGN(L22)=-1,"CHECK - video sign",IF(ABS(N(T22))&gt;ABS(L22),"CHECK - video exceeds invoice",IF(AND(D22="VIDEO",ROUND(N(T22),2)&lt;&gt;ROUND(L22,2)),"CHECK - VIDEO job not fully split",IF(N(T22)=0,"All production",IF(ROUND(N(T22),2)=ROUND(L22,2),"All video","Split"))))))</f>
        <v/>
      </c>
      <c r="W22" s="53">
        <f>IF(L22="","",IF(N(T22)=0,0,ROUND(M22*N(T22)/L22,2)))</f>
        <v/>
      </c>
      <c r="X22" s="51" t="inlineStr">
        <is>
          <t>lindsay.botten@outlook.com</t>
        </is>
      </c>
      <c r="Y22" s="48" t="n">
        <v>46239</v>
      </c>
      <c r="Z22" s="51" t="inlineStr">
        <is>
          <t>5826</t>
        </is>
      </c>
      <c r="AA22" s="51" t="inlineStr">
        <is>
          <t>2512804</t>
        </is>
      </c>
      <c r="AB22" s="51" t="inlineStr">
        <is>
          <t>Y</t>
        </is>
      </c>
      <c r="AC22" s="52" t="n">
        <v>334</v>
      </c>
      <c r="AD22" s="55">
        <f>IFERROR(AC22/AG22,"")</f>
        <v/>
      </c>
      <c r="AE22" s="52" t="n"/>
      <c r="AF22" s="52" t="n"/>
      <c r="AG22" s="53">
        <f>IF(L22="","",L22-N(AC22))</f>
        <v/>
      </c>
      <c r="AH22" s="53">
        <f>IF(L22="","",L22-N(AE22)-N(AF22))</f>
        <v/>
      </c>
      <c r="AI22" s="55">
        <f>IFERROR(AH22/L22,"")</f>
        <v/>
      </c>
      <c r="AJ22" s="54" t="n">
        <v>4</v>
      </c>
      <c r="AK22" s="54" t="n"/>
      <c r="AL22" s="54" t="n"/>
      <c r="AM22" s="54" t="n"/>
      <c r="AN22" s="54" t="n">
        <v>12</v>
      </c>
    </row>
    <row r="23" ht="15" customHeight="1">
      <c r="A23" s="48" t="n">
        <v>46247</v>
      </c>
      <c r="B23" s="49">
        <f>IF(A23="","",EOMONTH(A23,0))</f>
        <v/>
      </c>
      <c r="C23" s="50">
        <f>"Production"</f>
        <v/>
      </c>
      <c r="D23" s="51" t="inlineStr">
        <is>
          <t>PRODUCTION</t>
        </is>
      </c>
      <c r="E23" s="51" t="inlineStr">
        <is>
          <t>Garvan</t>
        </is>
      </c>
      <c r="F23" s="51" t="inlineStr">
        <is>
          <t>2607703</t>
        </is>
      </c>
      <c r="G23" s="50">
        <f>IF(F23="","",IF(COUNTIF(lst_Jobs,F23&amp;"")&gt;0,"OK","CHECK"))</f>
        <v/>
      </c>
      <c r="H23" s="51" t="inlineStr">
        <is>
          <t>YPO Event 6.8.26 (PO-58493)</t>
        </is>
      </c>
      <c r="I23" s="51" t="inlineStr">
        <is>
          <t>Project</t>
        </is>
      </c>
      <c r="J23" s="51" t="inlineStr">
        <is>
          <t>INV-10560</t>
        </is>
      </c>
      <c r="K23" s="51" t="inlineStr">
        <is>
          <t>GST 10%</t>
        </is>
      </c>
      <c r="L23" s="52" t="n">
        <v>2152.5</v>
      </c>
      <c r="M23" s="53">
        <f>IF(L23="","",IF(K23="GST 10%",ROUND(L23*0.1,2),0))</f>
        <v/>
      </c>
      <c r="N23" s="53">
        <f>IF(L23="","",L23+M23)</f>
        <v/>
      </c>
      <c r="O23" s="51" t="inlineStr">
        <is>
          <t>42100</t>
        </is>
      </c>
      <c r="P23" s="51" t="inlineStr">
        <is>
          <t>Y</t>
        </is>
      </c>
      <c r="Q23" s="51" t="inlineStr">
        <is>
          <t>N</t>
        </is>
      </c>
      <c r="R23" s="51" t="inlineStr">
        <is>
          <t>Invoiced</t>
        </is>
      </c>
      <c r="S23" s="51" t="n"/>
      <c r="T23" s="52" t="n"/>
      <c r="U23" s="53">
        <f>IF(L23="","",L23-N(T23))</f>
        <v/>
      </c>
      <c r="V23" s="50">
        <f>IF(L23="","",IF(SIGN(N(T23))*SIGN(L23)=-1,"CHECK - video sign",IF(ABS(N(T23))&gt;ABS(L23),"CHECK - video exceeds invoice",IF(AND(D23="VIDEO",ROUND(N(T23),2)&lt;&gt;ROUND(L23,2)),"CHECK - VIDEO job not fully split",IF(N(T23)=0,"All production",IF(ROUND(N(T23),2)=ROUND(L23,2),"All video","Split"))))))</f>
        <v/>
      </c>
      <c r="W23" s="53">
        <f>IF(L23="","",IF(N(T23)=0,0,ROUND(M23*N(T23)/L23,2)))</f>
        <v/>
      </c>
      <c r="X23" s="51" t="inlineStr">
        <is>
          <t>m.gonzalezhuerta@garvan.org.au</t>
        </is>
      </c>
      <c r="Y23" s="48" t="n">
        <v>46240</v>
      </c>
      <c r="Z23" s="51" t="inlineStr">
        <is>
          <t>6088</t>
        </is>
      </c>
      <c r="AA23" s="51" t="inlineStr">
        <is>
          <t>2607703</t>
        </is>
      </c>
      <c r="AB23" s="51" t="inlineStr">
        <is>
          <t>Y</t>
        </is>
      </c>
      <c r="AC23" s="52" t="n">
        <v>0</v>
      </c>
      <c r="AD23" s="55">
        <f>IFERROR(AC23/AG23,"")</f>
        <v/>
      </c>
      <c r="AE23" s="52" t="n"/>
      <c r="AF23" s="52" t="n"/>
      <c r="AG23" s="53">
        <f>IF(L23="","",L23-N(AC23))</f>
        <v/>
      </c>
      <c r="AH23" s="53">
        <f>IF(L23="","",L23-N(AE23)-N(AF23))</f>
        <v/>
      </c>
      <c r="AI23" s="55">
        <f>IFERROR(AH23/L23,"")</f>
        <v/>
      </c>
      <c r="AJ23" s="54" t="n"/>
      <c r="AK23" s="54" t="n"/>
      <c r="AL23" s="54" t="n"/>
      <c r="AM23" s="54" t="n"/>
      <c r="AN23" s="54" t="n">
        <v>11</v>
      </c>
    </row>
    <row r="24" ht="15" customHeight="1">
      <c r="A24" s="48" t="n">
        <v>46247</v>
      </c>
      <c r="B24" s="49">
        <f>IF(A24="","",EOMONTH(A24,0))</f>
        <v/>
      </c>
      <c r="C24" s="50">
        <f>"Production"</f>
        <v/>
      </c>
      <c r="D24" s="51" t="inlineStr">
        <is>
          <t>PRODUCTION</t>
        </is>
      </c>
      <c r="E24" s="51" t="inlineStr">
        <is>
          <t>PwC</t>
        </is>
      </c>
      <c r="F24" s="51" t="inlineStr">
        <is>
          <t>26072902</t>
        </is>
      </c>
      <c r="G24" s="50">
        <f>IF(F24="","",IF(COUNTIF(lst_Jobs,F24&amp;"")&gt;0,"OK","CHECK"))</f>
        <v/>
      </c>
      <c r="H24" s="51" t="inlineStr">
        <is>
          <t>AI Townhall 6.8.26 (PO2601703328)</t>
        </is>
      </c>
      <c r="I24" s="51" t="inlineStr">
        <is>
          <t>Project</t>
        </is>
      </c>
      <c r="J24" s="51" t="inlineStr">
        <is>
          <t>INV-10562</t>
        </is>
      </c>
      <c r="K24" s="51" t="inlineStr">
        <is>
          <t>GST 10%</t>
        </is>
      </c>
      <c r="L24" s="52" t="n">
        <v>1650</v>
      </c>
      <c r="M24" s="53">
        <f>IF(L24="","",IF(K24="GST 10%",ROUND(L24*0.1,2),0))</f>
        <v/>
      </c>
      <c r="N24" s="53">
        <f>IF(L24="","",L24+M24)</f>
        <v/>
      </c>
      <c r="O24" s="51" t="inlineStr">
        <is>
          <t>42100</t>
        </is>
      </c>
      <c r="P24" s="51" t="inlineStr">
        <is>
          <t>Y</t>
        </is>
      </c>
      <c r="Q24" s="51" t="inlineStr">
        <is>
          <t>N</t>
        </is>
      </c>
      <c r="R24" s="51" t="inlineStr">
        <is>
          <t>Invoiced</t>
        </is>
      </c>
      <c r="S24" s="51" t="n"/>
      <c r="T24" s="52" t="n">
        <v>485</v>
      </c>
      <c r="U24" s="53">
        <f>IF(L24="","",L24-N(T24))</f>
        <v/>
      </c>
      <c r="V24" s="50">
        <f>IF(L24="","",IF(SIGN(N(T24))*SIGN(L24)=-1,"CHECK - video sign",IF(ABS(N(T24))&gt;ABS(L24),"CHECK - video exceeds invoice",IF(AND(D24="VIDEO",ROUND(N(T24),2)&lt;&gt;ROUND(L24,2)),"CHECK - VIDEO job not fully split",IF(N(T24)=0,"All production",IF(ROUND(N(T24),2)=ROUND(L24,2),"All video","Split"))))))</f>
        <v/>
      </c>
      <c r="W24" s="53">
        <f>IF(L24="","",IF(N(T24)=0,0,ROUND(M24*N(T24)/L24,2)))</f>
        <v/>
      </c>
      <c r="X24" s="51" t="inlineStr">
        <is>
          <t>libby.kovac@au.pwc.com</t>
        </is>
      </c>
      <c r="Y24" s="48" t="n">
        <v>46240</v>
      </c>
      <c r="Z24" s="51" t="inlineStr">
        <is>
          <t>6128</t>
        </is>
      </c>
      <c r="AA24" s="51" t="inlineStr">
        <is>
          <t>26072902</t>
        </is>
      </c>
      <c r="AB24" s="51" t="inlineStr">
        <is>
          <t>Y</t>
        </is>
      </c>
      <c r="AC24" s="52" t="n"/>
      <c r="AD24" s="55">
        <f>IFERROR(AC24/AG24,"")</f>
        <v/>
      </c>
      <c r="AE24" s="52" t="n">
        <v>1092.36</v>
      </c>
      <c r="AF24" s="52" t="n"/>
      <c r="AG24" s="53">
        <f>IF(L24="","",L24-N(AC24))</f>
        <v/>
      </c>
      <c r="AH24" s="53">
        <f>IF(L24="","",L24-N(AE24)-N(AF24))</f>
        <v/>
      </c>
      <c r="AI24" s="55">
        <f>IFERROR(AH24/L24,"")</f>
        <v/>
      </c>
      <c r="AJ24" s="54" t="n">
        <v>4</v>
      </c>
      <c r="AK24" s="54" t="n"/>
      <c r="AL24" s="54" t="n">
        <v>1</v>
      </c>
      <c r="AM24" s="54" t="n"/>
      <c r="AN24" s="54" t="n">
        <v>10</v>
      </c>
    </row>
    <row r="25" ht="15" customHeight="1">
      <c r="A25" s="48" t="n">
        <v>46255</v>
      </c>
      <c r="B25" s="49">
        <f>IF(A25="","",EOMONTH(A25,0))</f>
        <v/>
      </c>
      <c r="C25" s="50">
        <f>"Production"</f>
        <v/>
      </c>
      <c r="D25" s="51" t="inlineStr">
        <is>
          <t>PRODUCTION</t>
        </is>
      </c>
      <c r="E25" s="51" t="inlineStr">
        <is>
          <t>Elkiem</t>
        </is>
      </c>
      <c r="F25" s="51" t="inlineStr">
        <is>
          <t>26071901</t>
        </is>
      </c>
      <c r="G25" s="50">
        <f>IF(F25="","",IF(COUNTIF(lst_Jobs,F25&amp;"")&gt;0,"OK","CHECK"))</f>
        <v/>
      </c>
      <c r="H25" s="51" t="inlineStr">
        <is>
          <t>Studio Support 11.8.26</t>
        </is>
      </c>
      <c r="I25" s="51" t="inlineStr">
        <is>
          <t>Project</t>
        </is>
      </c>
      <c r="J25" s="51" t="inlineStr">
        <is>
          <t>INV-10580</t>
        </is>
      </c>
      <c r="K25" s="51" t="inlineStr">
        <is>
          <t>GST 10%</t>
        </is>
      </c>
      <c r="L25" s="52" t="n">
        <v>380</v>
      </c>
      <c r="M25" s="53">
        <f>IF(L25="","",IF(K25="GST 10%",ROUND(L25*0.1,2),0))</f>
        <v/>
      </c>
      <c r="N25" s="53">
        <f>IF(L25="","",L25+M25)</f>
        <v/>
      </c>
      <c r="O25" s="51" t="inlineStr">
        <is>
          <t>42100</t>
        </is>
      </c>
      <c r="P25" s="51" t="inlineStr">
        <is>
          <t>Y</t>
        </is>
      </c>
      <c r="Q25" s="51" t="inlineStr">
        <is>
          <t>N</t>
        </is>
      </c>
      <c r="R25" s="51" t="inlineStr">
        <is>
          <t>Invoiced</t>
        </is>
      </c>
      <c r="S25" s="51" t="n"/>
      <c r="T25" s="52" t="n"/>
      <c r="U25" s="53">
        <f>IF(L25="","",L25-N(T25))</f>
        <v/>
      </c>
      <c r="V25" s="50">
        <f>IF(L25="","",IF(SIGN(N(T25))*SIGN(L25)=-1,"CHECK - video sign",IF(ABS(N(T25))&gt;ABS(L25),"CHECK - video exceeds invoice",IF(AND(D25="VIDEO",ROUND(N(T25),2)&lt;&gt;ROUND(L25,2)),"CHECK - VIDEO job not fully split",IF(N(T25)=0,"All production",IF(ROUND(N(T25),2)=ROUND(L25,2),"All video","Split"))))))</f>
        <v/>
      </c>
      <c r="W25" s="53">
        <f>IF(L25="","",IF(N(T25)=0,0,ROUND(M25*N(T25)/L25,2)))</f>
        <v/>
      </c>
      <c r="X25" s="51" t="inlineStr">
        <is>
          <t>ben.woodlock@elkiem.com</t>
        </is>
      </c>
      <c r="Y25" s="48" t="n">
        <v>46245</v>
      </c>
      <c r="Z25" s="51" t="inlineStr">
        <is>
          <t>6127</t>
        </is>
      </c>
      <c r="AA25" s="51" t="inlineStr">
        <is>
          <t>26071901</t>
        </is>
      </c>
      <c r="AB25" s="51" t="inlineStr">
        <is>
          <t>Y</t>
        </is>
      </c>
      <c r="AC25" s="52" t="n"/>
      <c r="AD25" s="55">
        <f>IFERROR(AC25/AG25,"")</f>
        <v/>
      </c>
      <c r="AE25" s="52" t="n"/>
      <c r="AF25" s="52" t="n"/>
      <c r="AG25" s="53">
        <f>IF(L25="","",L25-N(AC25))</f>
        <v/>
      </c>
      <c r="AH25" s="53">
        <f>IF(L25="","",L25-N(AE25)-N(AF25))</f>
        <v/>
      </c>
      <c r="AI25" s="55">
        <f>IFERROR(AH25/L25,"")</f>
        <v/>
      </c>
      <c r="AJ25" s="54" t="n"/>
      <c r="AK25" s="54" t="n"/>
      <c r="AL25" s="54" t="n"/>
      <c r="AM25" s="54" t="n"/>
      <c r="AN25" s="54" t="n">
        <v>4</v>
      </c>
    </row>
    <row r="26" ht="15" customHeight="1">
      <c r="A26" s="48" t="n">
        <v>46255</v>
      </c>
      <c r="B26" s="49">
        <f>IF(A26="","",EOMONTH(A26,0))</f>
        <v/>
      </c>
      <c r="C26" s="50">
        <f>"Production"</f>
        <v/>
      </c>
      <c r="D26" s="51" t="inlineStr">
        <is>
          <t>PRODUCTION</t>
        </is>
      </c>
      <c r="E26" s="51" t="inlineStr">
        <is>
          <t>CEO Institute</t>
        </is>
      </c>
      <c r="F26" s="51" t="inlineStr">
        <is>
          <t>26063002</t>
        </is>
      </c>
      <c r="G26" s="50">
        <f>IF(F26="","",IF(COUNTIF(lst_Jobs,F26&amp;"")&gt;0,"OK","CHECK"))</f>
        <v/>
      </c>
      <c r="H26" s="51" t="inlineStr">
        <is>
          <t>CEO Connect 11.8.26</t>
        </is>
      </c>
      <c r="I26" s="51" t="inlineStr">
        <is>
          <t>Project</t>
        </is>
      </c>
      <c r="J26" s="51" t="inlineStr">
        <is>
          <t>INV-10581</t>
        </is>
      </c>
      <c r="K26" s="51" t="inlineStr">
        <is>
          <t>GST 10%</t>
        </is>
      </c>
      <c r="L26" s="52" t="n">
        <v>8260.35</v>
      </c>
      <c r="M26" s="53">
        <f>IF(L26="","",IF(K26="GST 10%",ROUND(L26*0.1,2),0))</f>
        <v/>
      </c>
      <c r="N26" s="53">
        <f>IF(L26="","",L26+M26)</f>
        <v/>
      </c>
      <c r="O26" s="51" t="inlineStr">
        <is>
          <t>42100</t>
        </is>
      </c>
      <c r="P26" s="51" t="inlineStr">
        <is>
          <t>Y</t>
        </is>
      </c>
      <c r="Q26" s="51" t="inlineStr">
        <is>
          <t>N</t>
        </is>
      </c>
      <c r="R26" s="51" t="inlineStr">
        <is>
          <t>Invoiced</t>
        </is>
      </c>
      <c r="S26" s="51" t="n"/>
      <c r="T26" s="52" t="n">
        <v>1977.35</v>
      </c>
      <c r="U26" s="53">
        <f>IF(L26="","",L26-N(T26))</f>
        <v/>
      </c>
      <c r="V26" s="50">
        <f>IF(L26="","",IF(SIGN(N(T26))*SIGN(L26)=-1,"CHECK - video sign",IF(ABS(N(T26))&gt;ABS(L26),"CHECK - video exceeds invoice",IF(AND(D26="VIDEO",ROUND(N(T26),2)&lt;&gt;ROUND(L26,2)),"CHECK - VIDEO job not fully split",IF(N(T26)=0,"All production",IF(ROUND(N(T26),2)=ROUND(L26,2),"All video","Split"))))))</f>
        <v/>
      </c>
      <c r="W26" s="53">
        <f>IF(L26="","",IF(N(T26)=0,0,ROUND(M26*N(T26)/L26,2)))</f>
        <v/>
      </c>
      <c r="X26" s="51" t="inlineStr">
        <is>
          <t>taniaa@ceoinstitute.com</t>
        </is>
      </c>
      <c r="Y26" s="48" t="n">
        <v>46245</v>
      </c>
      <c r="Z26" s="51" t="inlineStr">
        <is>
          <t>6084</t>
        </is>
      </c>
      <c r="AA26" s="51" t="inlineStr">
        <is>
          <t>26063002</t>
        </is>
      </c>
      <c r="AB26" s="51" t="inlineStr">
        <is>
          <t>Y</t>
        </is>
      </c>
      <c r="AC26" s="52" t="n">
        <v>2104.4</v>
      </c>
      <c r="AD26" s="55">
        <f>IFERROR(AC26/AG26,"")</f>
        <v/>
      </c>
      <c r="AE26" s="52" t="n"/>
      <c r="AF26" s="52" t="n"/>
      <c r="AG26" s="53">
        <f>IF(L26="","",L26-N(AC26))</f>
        <v/>
      </c>
      <c r="AH26" s="53">
        <f>IF(L26="","",L26-N(AE26)-N(AF26))</f>
        <v/>
      </c>
      <c r="AI26" s="55">
        <f>IFERROR(AH26/L26,"")</f>
        <v/>
      </c>
      <c r="AJ26" s="54" t="n">
        <v>7</v>
      </c>
      <c r="AK26" s="54" t="n"/>
      <c r="AL26" s="54" t="n">
        <v>2</v>
      </c>
      <c r="AM26" s="54" t="n"/>
      <c r="AN26" s="54" t="n">
        <v>37</v>
      </c>
    </row>
    <row r="27" ht="15" customHeight="1">
      <c r="A27" s="48" t="n">
        <v>46259</v>
      </c>
      <c r="B27" s="49">
        <f>IF(A27="","",EOMONTH(A27,0))</f>
        <v/>
      </c>
      <c r="C27" s="50">
        <f>"Production"</f>
        <v/>
      </c>
      <c r="D27" s="51" t="inlineStr">
        <is>
          <t>PRODUCTION</t>
        </is>
      </c>
      <c r="E27" s="51" t="inlineStr">
        <is>
          <t>PwC</t>
        </is>
      </c>
      <c r="F27" s="51" t="inlineStr">
        <is>
          <t>26072903</t>
        </is>
      </c>
      <c r="G27" s="50">
        <f>IF(F27="","",IF(COUNTIF(lst_Jobs,F27&amp;"")&gt;0,"OK","CHECK"))</f>
        <v/>
      </c>
      <c r="H27" s="51" t="inlineStr">
        <is>
          <t>GB Webcast 11.8.26</t>
        </is>
      </c>
      <c r="I27" s="51" t="inlineStr">
        <is>
          <t>Project</t>
        </is>
      </c>
      <c r="J27" s="51" t="inlineStr">
        <is>
          <t>INV-10577</t>
        </is>
      </c>
      <c r="K27" s="51" t="inlineStr">
        <is>
          <t>GST 10%</t>
        </is>
      </c>
      <c r="L27" s="52" t="n">
        <v>4300</v>
      </c>
      <c r="M27" s="53">
        <f>IF(L27="","",IF(K27="GST 10%",ROUND(L27*0.1,2),0))</f>
        <v/>
      </c>
      <c r="N27" s="53">
        <f>IF(L27="","",L27+M27)</f>
        <v/>
      </c>
      <c r="O27" s="51" t="inlineStr">
        <is>
          <t>42100</t>
        </is>
      </c>
      <c r="P27" s="51" t="inlineStr">
        <is>
          <t>Y</t>
        </is>
      </c>
      <c r="Q27" s="51" t="inlineStr">
        <is>
          <t>N</t>
        </is>
      </c>
      <c r="R27" s="51" t="inlineStr">
        <is>
          <t>Invoiced</t>
        </is>
      </c>
      <c r="S27" s="51" t="n"/>
      <c r="T27" s="52" t="n">
        <v>1065</v>
      </c>
      <c r="U27" s="53">
        <f>IF(L27="","",L27-N(T27))</f>
        <v/>
      </c>
      <c r="V27" s="50">
        <f>IF(L27="","",IF(SIGN(N(T27))*SIGN(L27)=-1,"CHECK - video sign",IF(ABS(N(T27))&gt;ABS(L27),"CHECK - video exceeds invoice",IF(AND(D27="VIDEO",ROUND(N(T27),2)&lt;&gt;ROUND(L27,2)),"CHECK - VIDEO job not fully split",IF(N(T27)=0,"All production",IF(ROUND(N(T27),2)=ROUND(L27,2),"All video","Split"))))))</f>
        <v/>
      </c>
      <c r="W27" s="53">
        <f>IF(L27="","",IF(N(T27)=0,0,ROUND(M27*N(T27)/L27,2)))</f>
        <v/>
      </c>
      <c r="X27" s="51" t="inlineStr">
        <is>
          <t>libby.kovac@au.pwc.com</t>
        </is>
      </c>
      <c r="Y27" s="48" t="n">
        <v>46245</v>
      </c>
      <c r="Z27" s="51" t="inlineStr">
        <is>
          <t>6134</t>
        </is>
      </c>
      <c r="AA27" s="51" t="inlineStr">
        <is>
          <t>26072903</t>
        </is>
      </c>
      <c r="AB27" s="51" t="inlineStr">
        <is>
          <t>Y</t>
        </is>
      </c>
      <c r="AC27" s="52" t="n"/>
      <c r="AD27" s="55">
        <f>IFERROR(AC27/AG27,"")</f>
        <v/>
      </c>
      <c r="AE27" s="52" t="n">
        <v>1092.36</v>
      </c>
      <c r="AF27" s="52" t="n"/>
      <c r="AG27" s="53">
        <f>IF(L27="","",L27-N(AC27))</f>
        <v/>
      </c>
      <c r="AH27" s="53">
        <f>IF(L27="","",L27-N(AE27)-N(AF27))</f>
        <v/>
      </c>
      <c r="AI27" s="55">
        <f>IFERROR(AH27/L27,"")</f>
        <v/>
      </c>
      <c r="AJ27" s="54" t="n">
        <v>9</v>
      </c>
      <c r="AK27" s="54" t="n"/>
      <c r="AL27" s="54" t="n"/>
      <c r="AM27" s="54" t="n"/>
      <c r="AN27" s="54" t="n">
        <v>9</v>
      </c>
    </row>
    <row r="28" ht="15" customHeight="1">
      <c r="A28" s="48" t="n">
        <v>46259</v>
      </c>
      <c r="B28" s="49">
        <f>IF(A28="","",EOMONTH(A28,0))</f>
        <v/>
      </c>
      <c r="C28" s="50">
        <f>"Production"</f>
        <v/>
      </c>
      <c r="D28" s="51" t="inlineStr">
        <is>
          <t>PRODUCTION</t>
        </is>
      </c>
      <c r="E28" s="51" t="inlineStr">
        <is>
          <t>MUFG</t>
        </is>
      </c>
      <c r="F28" s="51" t="inlineStr">
        <is>
          <t>26061104</t>
        </is>
      </c>
      <c r="G28" s="50">
        <f>IF(F28="","",IF(COUNTIF(lst_Jobs,F28&amp;"")&gt;0,"OK","CHECK"))</f>
        <v/>
      </c>
      <c r="H28" s="51" t="inlineStr">
        <is>
          <t>MUFG - Suncorp FYR</t>
        </is>
      </c>
      <c r="I28" s="51" t="inlineStr">
        <is>
          <t>Project</t>
        </is>
      </c>
      <c r="J28" s="51" t="inlineStr">
        <is>
          <t>INV - 10584
INV - 10585</t>
        </is>
      </c>
      <c r="K28" s="51" t="inlineStr">
        <is>
          <t>GST 10%</t>
        </is>
      </c>
      <c r="L28" s="52" t="n">
        <v>28652.25</v>
      </c>
      <c r="M28" s="53">
        <f>IF(L28="","",IF(K28="GST 10%",ROUND(L28*0.1,2),0))</f>
        <v/>
      </c>
      <c r="N28" s="53">
        <f>IF(L28="","",L28+M28)</f>
        <v/>
      </c>
      <c r="O28" s="51" t="inlineStr">
        <is>
          <t>42100</t>
        </is>
      </c>
      <c r="P28" s="51" t="inlineStr">
        <is>
          <t>Y</t>
        </is>
      </c>
      <c r="Q28" s="51" t="inlineStr">
        <is>
          <t>N</t>
        </is>
      </c>
      <c r="R28" s="51" t="inlineStr">
        <is>
          <t>Invoiced</t>
        </is>
      </c>
      <c r="S28" s="51" t="n"/>
      <c r="T28" s="52" t="n">
        <v>3017</v>
      </c>
      <c r="U28" s="53">
        <f>IF(L28="","",L28-N(T28))</f>
        <v/>
      </c>
      <c r="V28" s="50">
        <f>IF(L28="","",IF(SIGN(N(T28))*SIGN(L28)=-1,"CHECK - video sign",IF(ABS(N(T28))&gt;ABS(L28),"CHECK - video exceeds invoice",IF(AND(D28="VIDEO",ROUND(N(T28),2)&lt;&gt;ROUND(L28,2)),"CHECK - VIDEO job not fully split",IF(N(T28)=0,"All production",IF(ROUND(N(T28),2)=ROUND(L28,2),"All video","Split"))))))</f>
        <v/>
      </c>
      <c r="W28" s="53">
        <f>IF(L28="","",IF(N(T28)=0,0,ROUND(M28*N(T28)/L28,2)))</f>
        <v/>
      </c>
      <c r="X28" s="51" t="inlineStr">
        <is>
          <t>events@cm.mpms.mufg.com</t>
        </is>
      </c>
      <c r="Y28" s="48" t="n">
        <v>46246</v>
      </c>
      <c r="Z28" s="51" t="inlineStr">
        <is>
          <t>Proj: 0016</t>
        </is>
      </c>
      <c r="AA28" s="51" t="inlineStr">
        <is>
          <t>26061104</t>
        </is>
      </c>
      <c r="AB28" s="51" t="inlineStr">
        <is>
          <t>Y</t>
        </is>
      </c>
      <c r="AC28" s="52" t="n">
        <v>5271.5</v>
      </c>
      <c r="AD28" s="55">
        <f>IFERROR(AC28/AG28,"")</f>
        <v/>
      </c>
      <c r="AE28" s="52" t="n">
        <v>980.16</v>
      </c>
      <c r="AF28" s="52" t="n"/>
      <c r="AG28" s="53">
        <f>IF(L28="","",L28-N(AC28))</f>
        <v/>
      </c>
      <c r="AH28" s="53">
        <f>IF(L28="","",L28-N(AE28)-N(AF28))</f>
        <v/>
      </c>
      <c r="AI28" s="55">
        <f>IFERROR(AH28/L28,"")</f>
        <v/>
      </c>
      <c r="AJ28" s="54" t="n">
        <v>8</v>
      </c>
      <c r="AK28" s="54" t="n"/>
      <c r="AL28" s="54" t="n">
        <v>12</v>
      </c>
      <c r="AM28" s="54" t="n"/>
      <c r="AN28" s="54" t="n">
        <v>104</v>
      </c>
    </row>
    <row r="29" ht="15" customHeight="1">
      <c r="A29" s="48" t="n">
        <v>46247</v>
      </c>
      <c r="B29" s="49">
        <f>IF(A29="","",EOMONTH(A29,0))</f>
        <v/>
      </c>
      <c r="C29" s="50">
        <f>"Production"</f>
        <v/>
      </c>
      <c r="D29" s="51" t="inlineStr">
        <is>
          <t>PRODUCTION</t>
        </is>
      </c>
      <c r="E29" s="51" t="inlineStr">
        <is>
          <t xml:space="preserve">CBA </t>
        </is>
      </c>
      <c r="F29" s="51" t="inlineStr">
        <is>
          <t>26061105</t>
        </is>
      </c>
      <c r="G29" s="50">
        <f>IF(F29="","",IF(COUNTIF(lst_Jobs,F29&amp;"")&gt;0,"OK","CHECK"))</f>
        <v/>
      </c>
      <c r="H29" s="51" t="inlineStr">
        <is>
          <t>CBA FYR 2026 (Order PO3308779)</t>
        </is>
      </c>
      <c r="I29" s="51" t="inlineStr">
        <is>
          <t>Project</t>
        </is>
      </c>
      <c r="J29" s="51" t="inlineStr">
        <is>
          <t>INV-10563</t>
        </is>
      </c>
      <c r="K29" s="51" t="inlineStr">
        <is>
          <t>GST 10%</t>
        </is>
      </c>
      <c r="L29" s="52" t="n">
        <v>12170</v>
      </c>
      <c r="M29" s="53">
        <f>IF(L29="","",IF(K29="GST 10%",ROUND(L29*0.1,2),0))</f>
        <v/>
      </c>
      <c r="N29" s="53">
        <f>IF(L29="","",L29+M29)</f>
        <v/>
      </c>
      <c r="O29" s="51" t="inlineStr">
        <is>
          <t>42100</t>
        </is>
      </c>
      <c r="P29" s="51" t="inlineStr">
        <is>
          <t>Y</t>
        </is>
      </c>
      <c r="Q29" s="51" t="inlineStr">
        <is>
          <t>N</t>
        </is>
      </c>
      <c r="R29" s="51" t="inlineStr">
        <is>
          <t>Invoiced</t>
        </is>
      </c>
      <c r="S29" s="51" t="n"/>
      <c r="T29" s="52" t="n">
        <v>850</v>
      </c>
      <c r="U29" s="53">
        <f>IF(L29="","",L29-N(T29))</f>
        <v/>
      </c>
      <c r="V29" s="50">
        <f>IF(L29="","",IF(SIGN(N(T29))*SIGN(L29)=-1,"CHECK - video sign",IF(ABS(N(T29))&gt;ABS(L29),"CHECK - video exceeds invoice",IF(AND(D29="VIDEO",ROUND(N(T29),2)&lt;&gt;ROUND(L29,2)),"CHECK - VIDEO job not fully split",IF(N(T29)=0,"All production",IF(ROUND(N(T29),2)=ROUND(L29,2),"All video","Split"))))))</f>
        <v/>
      </c>
      <c r="W29" s="53">
        <f>IF(L29="","",IF(N(T29)=0,0,ROUND(M29*N(T29)/L29,2)))</f>
        <v/>
      </c>
      <c r="X29" s="51" t="inlineStr">
        <is>
          <t>Rebecca.Rodger@cba.com.au</t>
        </is>
      </c>
      <c r="Y29" s="48" t="n">
        <v>46246</v>
      </c>
      <c r="Z29" s="51" t="inlineStr">
        <is>
          <t>6093</t>
        </is>
      </c>
      <c r="AA29" s="51" t="inlineStr">
        <is>
          <t>26061105</t>
        </is>
      </c>
      <c r="AB29" s="51" t="inlineStr">
        <is>
          <t>Y</t>
        </is>
      </c>
      <c r="AC29" s="52" t="n">
        <v>1680</v>
      </c>
      <c r="AD29" s="55">
        <f>IFERROR(AC29/AG29,"")</f>
        <v/>
      </c>
      <c r="AE29" s="52" t="n">
        <v>3111.2</v>
      </c>
      <c r="AF29" s="52" t="n"/>
      <c r="AG29" s="53">
        <f>IF(L29="","",L29-N(AC29))</f>
        <v/>
      </c>
      <c r="AH29" s="53">
        <f>IF(L29="","",L29-N(AE29)-N(AF29))</f>
        <v/>
      </c>
      <c r="AI29" s="55">
        <f>IFERROR(AH29/L29,"")</f>
        <v/>
      </c>
      <c r="AJ29" s="54" t="n"/>
      <c r="AK29" s="54" t="n"/>
      <c r="AL29" s="54" t="n"/>
      <c r="AM29" s="54" t="n"/>
      <c r="AN29" s="54" t="n">
        <v>16</v>
      </c>
    </row>
    <row r="30" ht="15" customHeight="1">
      <c r="A30" s="48" t="n">
        <v>46255</v>
      </c>
      <c r="B30" s="49">
        <f>IF(A30="","",EOMONTH(A30,0))</f>
        <v/>
      </c>
      <c r="C30" s="50">
        <f>"Production"</f>
        <v/>
      </c>
      <c r="D30" s="51" t="inlineStr">
        <is>
          <t>PRODUCTION</t>
        </is>
      </c>
      <c r="E30" s="51" t="inlineStr">
        <is>
          <t>AGL</t>
        </is>
      </c>
      <c r="F30" s="51" t="inlineStr">
        <is>
          <t>2605401</t>
        </is>
      </c>
      <c r="G30" s="50">
        <f>IF(F30="","",IF(COUNTIF(lst_Jobs,F30&amp;"")&gt;0,"OK","CHECK"))</f>
        <v/>
      </c>
      <c r="H30" s="51" t="inlineStr">
        <is>
          <t>AGL FYR - Investor Briefing</t>
        </is>
      </c>
      <c r="I30" s="51" t="inlineStr">
        <is>
          <t>Project</t>
        </is>
      </c>
      <c r="J30" s="51" t="inlineStr">
        <is>
          <t>INV-10579</t>
        </is>
      </c>
      <c r="K30" s="51" t="inlineStr">
        <is>
          <t>GST 10%</t>
        </is>
      </c>
      <c r="L30" s="52" t="n">
        <v>14271.5</v>
      </c>
      <c r="M30" s="53">
        <f>IF(L30="","",IF(K30="GST 10%",ROUND(L30*0.1,2),0))</f>
        <v/>
      </c>
      <c r="N30" s="53">
        <f>IF(L30="","",L30+M30)</f>
        <v/>
      </c>
      <c r="O30" s="51" t="inlineStr">
        <is>
          <t>42100</t>
        </is>
      </c>
      <c r="P30" s="51" t="inlineStr">
        <is>
          <t>Y</t>
        </is>
      </c>
      <c r="Q30" s="51" t="inlineStr">
        <is>
          <t>N</t>
        </is>
      </c>
      <c r="R30" s="51" t="inlineStr">
        <is>
          <t>Invoiced</t>
        </is>
      </c>
      <c r="S30" s="51" t="n"/>
      <c r="T30" s="52" t="n">
        <v>1806</v>
      </c>
      <c r="U30" s="53">
        <f>IF(L30="","",L30-N(T30))</f>
        <v/>
      </c>
      <c r="V30" s="50">
        <f>IF(L30="","",IF(SIGN(N(T30))*SIGN(L30)=-1,"CHECK - video sign",IF(ABS(N(T30))&gt;ABS(L30),"CHECK - video exceeds invoice",IF(AND(D30="VIDEO",ROUND(N(T30),2)&lt;&gt;ROUND(L30,2)),"CHECK - VIDEO job not fully split",IF(N(T30)=0,"All production",IF(ROUND(N(T30),2)=ROUND(L30,2),"All video","Split"))))))</f>
        <v/>
      </c>
      <c r="W30" s="53">
        <f>IF(L30="","",IF(N(T30)=0,0,ROUND(M30*N(T30)/L30,2)))</f>
        <v/>
      </c>
      <c r="X30" s="51" t="inlineStr">
        <is>
          <t>KDraisey@agl.com.au</t>
        </is>
      </c>
      <c r="Y30" s="48" t="n">
        <v>46246</v>
      </c>
      <c r="Z30" s="51" t="inlineStr">
        <is>
          <t>Proj: 0019</t>
        </is>
      </c>
      <c r="AA30" s="51" t="inlineStr">
        <is>
          <t>2605401</t>
        </is>
      </c>
      <c r="AB30" s="51" t="inlineStr">
        <is>
          <t>Y</t>
        </is>
      </c>
      <c r="AC30" s="52" t="n">
        <v>2351.5</v>
      </c>
      <c r="AD30" s="55">
        <f>IFERROR(AC30/AG30,"")</f>
        <v/>
      </c>
      <c r="AE30" s="52" t="n">
        <v>3520.25</v>
      </c>
      <c r="AF30" s="52" t="n"/>
      <c r="AG30" s="53">
        <f>IF(L30="","",L30-N(AC30))</f>
        <v/>
      </c>
      <c r="AH30" s="53">
        <f>IF(L30="","",L30-N(AE30)-N(AF30))</f>
        <v/>
      </c>
      <c r="AI30" s="55">
        <f>IFERROR(AH30/L30,"")</f>
        <v/>
      </c>
      <c r="AJ30" s="54" t="n"/>
      <c r="AK30" s="54" t="n">
        <v>8</v>
      </c>
      <c r="AL30" s="54" t="n"/>
      <c r="AM30" s="54" t="n"/>
      <c r="AN30" s="54" t="n">
        <v>18</v>
      </c>
    </row>
    <row r="31" ht="15" customHeight="1">
      <c r="A31" s="48" t="n">
        <v>46255</v>
      </c>
      <c r="B31" s="49">
        <f>IF(A31="","",EOMONTH(A31,0))</f>
        <v/>
      </c>
      <c r="C31" s="50">
        <f>"Production"</f>
        <v/>
      </c>
      <c r="D31" s="51" t="inlineStr">
        <is>
          <t>PRODUCTION</t>
        </is>
      </c>
      <c r="E31" s="51" t="inlineStr">
        <is>
          <t>AGL</t>
        </is>
      </c>
      <c r="F31" s="51" t="inlineStr">
        <is>
          <t>2605402</t>
        </is>
      </c>
      <c r="G31" s="50">
        <f>IF(F31="","",IF(COUNTIF(lst_Jobs,F31&amp;"")&gt;0,"OK","CHECK"))</f>
        <v/>
      </c>
      <c r="H31" s="51" t="inlineStr">
        <is>
          <t xml:space="preserve">AGL FYR - Employee Town Hall </t>
        </is>
      </c>
      <c r="I31" s="51" t="inlineStr">
        <is>
          <t>Project</t>
        </is>
      </c>
      <c r="J31" s="51" t="inlineStr">
        <is>
          <t>INV-10578</t>
        </is>
      </c>
      <c r="K31" s="51" t="inlineStr">
        <is>
          <t>GST 10%</t>
        </is>
      </c>
      <c r="L31" s="52" t="n">
        <v>7148.75</v>
      </c>
      <c r="M31" s="53">
        <f>IF(L31="","",IF(K31="GST 10%",ROUND(L31*0.1,2),0))</f>
        <v/>
      </c>
      <c r="N31" s="53">
        <f>IF(L31="","",L31+M31)</f>
        <v/>
      </c>
      <c r="O31" s="51" t="inlineStr">
        <is>
          <t>42100</t>
        </is>
      </c>
      <c r="P31" s="51" t="inlineStr">
        <is>
          <t>Y</t>
        </is>
      </c>
      <c r="Q31" s="51" t="inlineStr">
        <is>
          <t>N</t>
        </is>
      </c>
      <c r="R31" s="51" t="inlineStr">
        <is>
          <t>Invoiced</t>
        </is>
      </c>
      <c r="S31" s="51" t="n"/>
      <c r="T31" s="52" t="n"/>
      <c r="U31" s="53">
        <f>IF(L31="","",L31-N(T31))</f>
        <v/>
      </c>
      <c r="V31" s="50">
        <f>IF(L31="","",IF(SIGN(N(T31))*SIGN(L31)=-1,"CHECK - video sign",IF(ABS(N(T31))&gt;ABS(L31),"CHECK - video exceeds invoice",IF(AND(D31="VIDEO",ROUND(N(T31),2)&lt;&gt;ROUND(L31,2)),"CHECK - VIDEO job not fully split",IF(N(T31)=0,"All production",IF(ROUND(N(T31),2)=ROUND(L31,2),"All video","Split"))))))</f>
        <v/>
      </c>
      <c r="W31" s="53">
        <f>IF(L31="","",IF(N(T31)=0,0,ROUND(M31*N(T31)/L31,2)))</f>
        <v/>
      </c>
      <c r="X31" s="51" t="inlineStr">
        <is>
          <t>KDraisey@agl.com.au</t>
        </is>
      </c>
      <c r="Y31" s="48" t="n">
        <v>46246</v>
      </c>
      <c r="Z31" s="51" t="inlineStr">
        <is>
          <t>Proj: 0019</t>
        </is>
      </c>
      <c r="AA31" s="51" t="inlineStr">
        <is>
          <t>2605402</t>
        </is>
      </c>
      <c r="AB31" s="51" t="inlineStr">
        <is>
          <t>Y</t>
        </is>
      </c>
      <c r="AC31" s="52" t="n">
        <v>1309.25</v>
      </c>
      <c r="AD31" s="55">
        <f>IFERROR(AC31/AG31,"")</f>
        <v/>
      </c>
      <c r="AE31" s="52" t="n">
        <v>706.67</v>
      </c>
      <c r="AF31" s="52" t="n"/>
      <c r="AG31" s="53">
        <f>IF(L31="","",L31-N(AC31))</f>
        <v/>
      </c>
      <c r="AH31" s="53">
        <f>IF(L31="","",L31-N(AE31)-N(AF31))</f>
        <v/>
      </c>
      <c r="AI31" s="55">
        <f>IFERROR(AH31/L31,"")</f>
        <v/>
      </c>
      <c r="AJ31" s="54" t="n">
        <v>4</v>
      </c>
      <c r="AK31" s="54" t="n"/>
      <c r="AL31" s="54" t="n"/>
      <c r="AM31" s="54" t="n"/>
      <c r="AN31" s="54" t="n">
        <v>31</v>
      </c>
    </row>
    <row r="32" ht="15" customHeight="1">
      <c r="A32" s="48" t="n">
        <v>46255</v>
      </c>
      <c r="B32" s="49">
        <f>IF(A32="","",EOMONTH(A32,0))</f>
        <v/>
      </c>
      <c r="C32" s="50">
        <f>"Production"</f>
        <v/>
      </c>
      <c r="D32" s="51" t="inlineStr">
        <is>
          <t>PRODUCTION</t>
        </is>
      </c>
      <c r="E32" s="51" t="inlineStr">
        <is>
          <t>ASX</t>
        </is>
      </c>
      <c r="F32" s="51" t="inlineStr">
        <is>
          <t>2608604</t>
        </is>
      </c>
      <c r="G32" s="50">
        <f>IF(F32="","",IF(COUNTIF(lst_Jobs,F32&amp;"")&gt;0,"OK","CHECK"))</f>
        <v/>
      </c>
      <c r="H32" s="51" t="inlineStr">
        <is>
          <t>ASX Employee Townhall 13.8.26</t>
        </is>
      </c>
      <c r="I32" s="51" t="inlineStr">
        <is>
          <t>Project</t>
        </is>
      </c>
      <c r="J32" s="51" t="inlineStr">
        <is>
          <t>INV-10599</t>
        </is>
      </c>
      <c r="K32" s="51" t="inlineStr">
        <is>
          <t>GST 10%</t>
        </is>
      </c>
      <c r="L32" s="52" t="n">
        <v>1510</v>
      </c>
      <c r="M32" s="53">
        <f>IF(L32="","",IF(K32="GST 10%",ROUND(L32*0.1,2),0))</f>
        <v/>
      </c>
      <c r="N32" s="53">
        <f>IF(L32="","",L32+M32)</f>
        <v/>
      </c>
      <c r="O32" s="51" t="inlineStr">
        <is>
          <t>42100</t>
        </is>
      </c>
      <c r="P32" s="51" t="inlineStr">
        <is>
          <t>Y</t>
        </is>
      </c>
      <c r="Q32" s="51" t="inlineStr">
        <is>
          <t>N</t>
        </is>
      </c>
      <c r="R32" s="51" t="inlineStr">
        <is>
          <t>Invoiced</t>
        </is>
      </c>
      <c r="S32" s="51" t="n"/>
      <c r="T32" s="52" t="n">
        <v>485</v>
      </c>
      <c r="U32" s="53">
        <f>IF(L32="","",L32-N(T32))</f>
        <v/>
      </c>
      <c r="V32" s="50">
        <f>IF(L32="","",IF(SIGN(N(T32))*SIGN(L32)=-1,"CHECK - video sign",IF(ABS(N(T32))&gt;ABS(L32),"CHECK - video exceeds invoice",IF(AND(D32="VIDEO",ROUND(N(T32),2)&lt;&gt;ROUND(L32,2)),"CHECK - VIDEO job not fully split",IF(N(T32)=0,"All production",IF(ROUND(N(T32),2)=ROUND(L32,2),"All video","Split"))))))</f>
        <v/>
      </c>
      <c r="W32" s="53">
        <f>IF(L32="","",IF(N(T32)=0,0,ROUND(M32*N(T32)/L32,2)))</f>
        <v/>
      </c>
      <c r="X32" s="51" t="inlineStr">
        <is>
          <t>Aimee.Kuipers@asx.com.au</t>
        </is>
      </c>
      <c r="Y32" s="48" t="n">
        <v>46247</v>
      </c>
      <c r="Z32" s="51" t="inlineStr">
        <is>
          <t>6138</t>
        </is>
      </c>
      <c r="AA32" s="51" t="inlineStr">
        <is>
          <t>2608604</t>
        </is>
      </c>
      <c r="AB32" s="51" t="inlineStr">
        <is>
          <t>Y</t>
        </is>
      </c>
      <c r="AC32" s="52" t="n">
        <v>25</v>
      </c>
      <c r="AD32" s="55">
        <f>IFERROR(AC32/AG32,"")</f>
        <v/>
      </c>
      <c r="AE32" s="52" t="n"/>
      <c r="AF32" s="52" t="n"/>
      <c r="AG32" s="53">
        <f>IF(L32="","",L32-N(AC32))</f>
        <v/>
      </c>
      <c r="AH32" s="53">
        <f>IF(L32="","",L32-N(AE32)-N(AF32))</f>
        <v/>
      </c>
      <c r="AI32" s="55">
        <f>IFERROR(AH32/L32,"")</f>
        <v/>
      </c>
      <c r="AJ32" s="54" t="n">
        <v>4</v>
      </c>
      <c r="AK32" s="54" t="n"/>
      <c r="AL32" s="54" t="n">
        <v>2</v>
      </c>
      <c r="AM32" s="54" t="n"/>
      <c r="AN32" s="54" t="n">
        <v>6</v>
      </c>
    </row>
    <row r="33" ht="15" customHeight="1">
      <c r="A33" s="48" t="n">
        <v>46255</v>
      </c>
      <c r="B33" s="49">
        <f>IF(A33="","",EOMONTH(A33,0))</f>
        <v/>
      </c>
      <c r="C33" s="50">
        <f>"Production"</f>
        <v/>
      </c>
      <c r="D33" s="51" t="inlineStr">
        <is>
          <t>PRODUCTION</t>
        </is>
      </c>
      <c r="E33" s="51" t="inlineStr">
        <is>
          <t>ASX</t>
        </is>
      </c>
      <c r="F33" s="51" t="inlineStr">
        <is>
          <t>26052702</t>
        </is>
      </c>
      <c r="G33" s="50">
        <f>IF(F33="","",IF(COUNTIF(lst_Jobs,F33&amp;"")&gt;0,"OK","CHECK"))</f>
        <v/>
      </c>
      <c r="H33" s="51" t="inlineStr">
        <is>
          <t>ASX FYR Briefing 13.8.26</t>
        </is>
      </c>
      <c r="I33" s="51" t="inlineStr">
        <is>
          <t>Project</t>
        </is>
      </c>
      <c r="J33" s="51" t="inlineStr">
        <is>
          <t>INV-10576</t>
        </is>
      </c>
      <c r="K33" s="51" t="inlineStr">
        <is>
          <t>GST 10%</t>
        </is>
      </c>
      <c r="L33" s="52" t="n">
        <v>37579</v>
      </c>
      <c r="M33" s="53">
        <f>IF(L33="","",IF(K33="GST 10%",ROUND(L33*0.1,2),0))</f>
        <v/>
      </c>
      <c r="N33" s="53">
        <f>IF(L33="","",L33+M33)</f>
        <v/>
      </c>
      <c r="O33" s="51" t="inlineStr">
        <is>
          <t>42100</t>
        </is>
      </c>
      <c r="P33" s="51" t="inlineStr">
        <is>
          <t>Y</t>
        </is>
      </c>
      <c r="Q33" s="51" t="inlineStr">
        <is>
          <t>N</t>
        </is>
      </c>
      <c r="R33" s="51" t="inlineStr">
        <is>
          <t>Invoiced</t>
        </is>
      </c>
      <c r="S33" s="51" t="n"/>
      <c r="T33" s="52" t="n">
        <v>3357</v>
      </c>
      <c r="U33" s="53">
        <f>IF(L33="","",L33-N(T33))</f>
        <v/>
      </c>
      <c r="V33" s="50">
        <f>IF(L33="","",IF(SIGN(N(T33))*SIGN(L33)=-1,"CHECK - video sign",IF(ABS(N(T33))&gt;ABS(L33),"CHECK - video exceeds invoice",IF(AND(D33="VIDEO",ROUND(N(T33),2)&lt;&gt;ROUND(L33,2)),"CHECK - VIDEO job not fully split",IF(N(T33)=0,"All production",IF(ROUND(N(T33),2)=ROUND(L33,2),"All video","Split"))))))</f>
        <v/>
      </c>
      <c r="W33" s="53">
        <f>IF(L33="","",IF(N(T33)=0,0,ROUND(M33*N(T33)/L33,2)))</f>
        <v/>
      </c>
      <c r="X33" s="51" t="inlineStr">
        <is>
          <t>simon.starr@asx.com.au</t>
        </is>
      </c>
      <c r="Y33" s="48" t="n">
        <v>46247</v>
      </c>
      <c r="Z33" s="51" t="inlineStr">
        <is>
          <t>6045</t>
        </is>
      </c>
      <c r="AA33" s="51" t="inlineStr">
        <is>
          <t>26052702</t>
        </is>
      </c>
      <c r="AB33" s="51" t="inlineStr">
        <is>
          <t>Y</t>
        </is>
      </c>
      <c r="AC33" s="52" t="n">
        <v>2181</v>
      </c>
      <c r="AD33" s="55">
        <f>IFERROR(AC33/AG33,"")</f>
        <v/>
      </c>
      <c r="AE33" s="52" t="n">
        <v>5005.78</v>
      </c>
      <c r="AF33" s="52" t="n"/>
      <c r="AG33" s="53">
        <f>IF(L33="","",L33-N(AC33))</f>
        <v/>
      </c>
      <c r="AH33" s="53">
        <f>IF(L33="","",L33-N(AE33)-N(AF33))</f>
        <v/>
      </c>
      <c r="AI33" s="55">
        <f>IFERROR(AH33/L33,"")</f>
        <v/>
      </c>
      <c r="AJ33" s="54" t="n"/>
      <c r="AK33" s="54" t="n"/>
      <c r="AL33" s="54" t="n">
        <v>6</v>
      </c>
      <c r="AM33" s="54" t="n"/>
      <c r="AN33" s="54" t="n">
        <v>78</v>
      </c>
    </row>
    <row r="34" ht="15" customHeight="1">
      <c r="A34" s="48" t="n">
        <v>46261</v>
      </c>
      <c r="B34" s="49">
        <f>IF(A34="","",EOMONTH(A34,0))</f>
        <v/>
      </c>
      <c r="C34" s="50">
        <f>"Production"</f>
        <v/>
      </c>
      <c r="D34" s="51" t="inlineStr">
        <is>
          <t>VIDEO</t>
        </is>
      </c>
      <c r="E34" s="51" t="inlineStr">
        <is>
          <t>ASX</t>
        </is>
      </c>
      <c r="F34" s="51" t="inlineStr">
        <is>
          <t>26072906</t>
        </is>
      </c>
      <c r="G34" s="50">
        <f>IF(F34="","",IF(COUNTIF(lst_Jobs,F34&amp;"")&gt;0,"OK","CHECK"))</f>
        <v/>
      </c>
      <c r="H34" s="51" t="inlineStr">
        <is>
          <t>ASX Advisory Group on Corporate Governance</t>
        </is>
      </c>
      <c r="I34" s="51" t="inlineStr">
        <is>
          <t>Project</t>
        </is>
      </c>
      <c r="J34" s="51" t="inlineStr">
        <is>
          <t>INV-10600</t>
        </is>
      </c>
      <c r="K34" s="51" t="inlineStr">
        <is>
          <t>GST 10%</t>
        </is>
      </c>
      <c r="L34" s="52" t="n">
        <v>4601.7</v>
      </c>
      <c r="M34" s="53">
        <f>IF(L34="","",IF(K34="GST 10%",ROUND(L34*0.1,2),0))</f>
        <v/>
      </c>
      <c r="N34" s="53">
        <f>IF(L34="","",L34+M34)</f>
        <v/>
      </c>
      <c r="O34" s="51" t="inlineStr">
        <is>
          <t>42150</t>
        </is>
      </c>
      <c r="P34" s="51" t="inlineStr">
        <is>
          <t>Y</t>
        </is>
      </c>
      <c r="Q34" s="51" t="inlineStr">
        <is>
          <t>N</t>
        </is>
      </c>
      <c r="R34" s="51" t="inlineStr">
        <is>
          <t>Invoiced</t>
        </is>
      </c>
      <c r="S34" s="51" t="n"/>
      <c r="T34" s="52" t="n">
        <v>4221.7</v>
      </c>
      <c r="U34" s="53">
        <f>IF(L34="","",L34-N(T34))</f>
        <v/>
      </c>
      <c r="V34" s="50">
        <f>IF(L34="","",IF(SIGN(N(T34))*SIGN(L34)=-1,"CHECK - video sign",IF(ABS(N(T34))&gt;ABS(L34),"CHECK - video exceeds invoice",IF(AND(D34="VIDEO",ROUND(N(T34),2)&lt;&gt;ROUND(L34,2)),"CHECK - VIDEO job not fully split",IF(N(T34)=0,"All production",IF(ROUND(N(T34),2)=ROUND(L34,2),"All video","Split"))))))</f>
        <v/>
      </c>
      <c r="W34" s="53">
        <f>IF(L34="","",IF(N(T34)=0,0,ROUND(M34*N(T34)/L34,2)))</f>
        <v/>
      </c>
      <c r="X34" s="51" t="inlineStr">
        <is>
          <t>vicky.duan@asx.com.au</t>
        </is>
      </c>
      <c r="Y34" s="48" t="n">
        <v>46252</v>
      </c>
      <c r="Z34" s="51" t="inlineStr">
        <is>
          <t>6130</t>
        </is>
      </c>
      <c r="AA34" s="51" t="inlineStr">
        <is>
          <t>26072906</t>
        </is>
      </c>
      <c r="AB34" s="51" t="inlineStr">
        <is>
          <t>Y</t>
        </is>
      </c>
      <c r="AC34" s="52" t="n">
        <v>148.8</v>
      </c>
      <c r="AD34" s="55">
        <f>IFERROR(AC34/AG34,"")</f>
        <v/>
      </c>
      <c r="AE34" s="52" t="n"/>
      <c r="AF34" s="52" t="n"/>
      <c r="AG34" s="53">
        <f>IF(L34="","",L34-N(AC34))</f>
        <v/>
      </c>
      <c r="AH34" s="53">
        <f>IF(L34="","",L34-N(AE34)-N(AF34))</f>
        <v/>
      </c>
      <c r="AI34" s="55">
        <f>IFERROR(AH34/L34,"")</f>
        <v/>
      </c>
      <c r="AJ34" s="54" t="n">
        <v>8</v>
      </c>
      <c r="AK34" s="54" t="n">
        <v>8</v>
      </c>
      <c r="AL34" s="54" t="n"/>
      <c r="AM34" s="54" t="n"/>
      <c r="AN34" s="54" t="n">
        <v>8</v>
      </c>
    </row>
    <row r="35" ht="15" customHeight="1">
      <c r="A35" s="48" t="n">
        <v>46265</v>
      </c>
      <c r="B35" s="49">
        <f>IF(A35="","",EOMONTH(A35,0))</f>
        <v/>
      </c>
      <c r="C35" s="50">
        <f>"Production"</f>
        <v/>
      </c>
      <c r="D35" s="51" t="inlineStr">
        <is>
          <t>PRODUCTION</t>
        </is>
      </c>
      <c r="E35" s="51" t="inlineStr">
        <is>
          <t>Cochlear</t>
        </is>
      </c>
      <c r="F35" s="51" t="inlineStr">
        <is>
          <t>2603104</t>
        </is>
      </c>
      <c r="G35" s="50">
        <f>IF(F35="","",IF(COUNTIF(lst_Jobs,F35&amp;"")&gt;0,"OK","CHECK"))</f>
        <v/>
      </c>
      <c r="H35" s="51" t="inlineStr">
        <is>
          <t>Cochlear FY26 Results 18.8.26</t>
        </is>
      </c>
      <c r="I35" s="51" t="inlineStr">
        <is>
          <t>Project</t>
        </is>
      </c>
      <c r="J35" s="51" t="inlineStr">
        <is>
          <t>INV-10590</t>
        </is>
      </c>
      <c r="K35" s="51" t="inlineStr">
        <is>
          <t>GST 10%</t>
        </is>
      </c>
      <c r="L35" s="52" t="n">
        <v>10540.5</v>
      </c>
      <c r="M35" s="53">
        <f>IF(L35="","",IF(K35="GST 10%",ROUND(L35*0.1,2),0))</f>
        <v/>
      </c>
      <c r="N35" s="53">
        <f>IF(L35="","",L35+M35)</f>
        <v/>
      </c>
      <c r="O35" s="51" t="inlineStr">
        <is>
          <t>42100</t>
        </is>
      </c>
      <c r="P35" s="51" t="inlineStr">
        <is>
          <t>Y</t>
        </is>
      </c>
      <c r="Q35" s="51" t="inlineStr">
        <is>
          <t>N</t>
        </is>
      </c>
      <c r="R35" s="51" t="inlineStr">
        <is>
          <t>Invoiced</t>
        </is>
      </c>
      <c r="S35" s="51" t="n"/>
      <c r="T35" s="52" t="n"/>
      <c r="U35" s="53">
        <f>IF(L35="","",L35-N(T35))</f>
        <v/>
      </c>
      <c r="V35" s="50">
        <f>IF(L35="","",IF(SIGN(N(T35))*SIGN(L35)=-1,"CHECK - video sign",IF(ABS(N(T35))&gt;ABS(L35),"CHECK - video exceeds invoice",IF(AND(D35="VIDEO",ROUND(N(T35),2)&lt;&gt;ROUND(L35,2)),"CHECK - VIDEO job not fully split",IF(N(T35)=0,"All production",IF(ROUND(N(T35),2)=ROUND(L35,2),"All video","Split"))))))</f>
        <v/>
      </c>
      <c r="W35" s="53">
        <f>IF(L35="","",IF(N(T35)=0,0,ROUND(M35*N(T35)/L35,2)))</f>
        <v/>
      </c>
      <c r="X35" s="51" t="inlineStr">
        <is>
          <t>jbarrish@cochlear.com</t>
        </is>
      </c>
      <c r="Y35" s="48" t="n">
        <v>46252</v>
      </c>
      <c r="Z35" s="51" t="inlineStr">
        <is>
          <t>6091</t>
        </is>
      </c>
      <c r="AA35" s="51" t="inlineStr">
        <is>
          <t>2603104</t>
        </is>
      </c>
      <c r="AB35" s="51" t="inlineStr">
        <is>
          <t>Y</t>
        </is>
      </c>
      <c r="AC35" s="52" t="n">
        <v>2984.5</v>
      </c>
      <c r="AD35" s="55">
        <f>IFERROR(AC35/AG35,"")</f>
        <v/>
      </c>
      <c r="AE35" s="52" t="n">
        <v>2166.76</v>
      </c>
      <c r="AF35" s="52" t="n"/>
      <c r="AG35" s="53">
        <f>IF(L35="","",L35-N(AC35))</f>
        <v/>
      </c>
      <c r="AH35" s="53">
        <f>IF(L35="","",L35-N(AE35)-N(AF35))</f>
        <v/>
      </c>
      <c r="AI35" s="55">
        <f>IFERROR(AH35/L35,"")</f>
        <v/>
      </c>
      <c r="AJ35" s="54" t="n">
        <v>8</v>
      </c>
      <c r="AK35" s="54" t="n"/>
      <c r="AL35" s="54" t="n"/>
      <c r="AM35" s="54" t="n"/>
      <c r="AN35" s="54" t="n">
        <v>18</v>
      </c>
    </row>
    <row r="36" ht="15" customHeight="1">
      <c r="A36" s="48" t="n">
        <v>46260</v>
      </c>
      <c r="B36" s="49">
        <f>IF(A36="","",EOMONTH(A36,0))</f>
        <v/>
      </c>
      <c r="C36" s="50">
        <f>"Production"</f>
        <v/>
      </c>
      <c r="D36" s="51" t="inlineStr">
        <is>
          <t>PRODUCTION</t>
        </is>
      </c>
      <c r="E36" s="51" t="inlineStr">
        <is>
          <t>ON24</t>
        </is>
      </c>
      <c r="F36" s="51" t="inlineStr">
        <is>
          <t>26072802</t>
        </is>
      </c>
      <c r="G36" s="50">
        <f>IF(F36="","",IF(COUNTIF(lst_Jobs,F36&amp;"")&gt;0,"OK","CHECK"))</f>
        <v/>
      </c>
      <c r="H36" s="51" t="inlineStr">
        <is>
          <t>KWM Sydney Event 18.8.26 (PO25962)</t>
        </is>
      </c>
      <c r="I36" s="51" t="inlineStr">
        <is>
          <t>Project</t>
        </is>
      </c>
      <c r="J36" s="51" t="inlineStr">
        <is>
          <t>INV-10589</t>
        </is>
      </c>
      <c r="K36" s="51" t="inlineStr">
        <is>
          <t>GST 10%</t>
        </is>
      </c>
      <c r="L36" s="52" t="n">
        <v>2732.5</v>
      </c>
      <c r="M36" s="53">
        <f>IF(L36="","",IF(K36="GST 10%",ROUND(L36*0.1,2),0))</f>
        <v/>
      </c>
      <c r="N36" s="53">
        <f>IF(L36="","",L36+M36)</f>
        <v/>
      </c>
      <c r="O36" s="51" t="inlineStr">
        <is>
          <t>42100</t>
        </is>
      </c>
      <c r="P36" s="51" t="inlineStr">
        <is>
          <t>Y</t>
        </is>
      </c>
      <c r="Q36" s="51" t="inlineStr">
        <is>
          <t>N</t>
        </is>
      </c>
      <c r="R36" s="51" t="inlineStr">
        <is>
          <t>Invoiced</t>
        </is>
      </c>
      <c r="S36" s="51" t="n"/>
      <c r="T36" s="52" t="n"/>
      <c r="U36" s="53">
        <f>IF(L36="","",L36-N(T36))</f>
        <v/>
      </c>
      <c r="V36" s="50">
        <f>IF(L36="","",IF(SIGN(N(T36))*SIGN(L36)=-1,"CHECK - video sign",IF(ABS(N(T36))&gt;ABS(L36),"CHECK - video exceeds invoice",IF(AND(D36="VIDEO",ROUND(N(T36),2)&lt;&gt;ROUND(L36,2)),"CHECK - VIDEO job not fully split",IF(N(T36)=0,"All production",IF(ROUND(N(T36),2)=ROUND(L36,2),"All video","Split"))))))</f>
        <v/>
      </c>
      <c r="W36" s="53">
        <f>IF(L36="","",IF(N(T36)=0,0,ROUND(M36*N(T36)/L36,2)))</f>
        <v/>
      </c>
      <c r="X36" s="51" t="inlineStr">
        <is>
          <t>lisa.caraccio@on24.com</t>
        </is>
      </c>
      <c r="Y36" s="48" t="n">
        <v>46252</v>
      </c>
      <c r="Z36" s="51" t="inlineStr">
        <is>
          <t>6131</t>
        </is>
      </c>
      <c r="AA36" s="51" t="inlineStr">
        <is>
          <t>26072802</t>
        </is>
      </c>
      <c r="AB36" s="51" t="inlineStr">
        <is>
          <t>Y</t>
        </is>
      </c>
      <c r="AC36" s="52" t="n">
        <v>95</v>
      </c>
      <c r="AD36" s="55">
        <f>IFERROR(AC36/AG36,"")</f>
        <v/>
      </c>
      <c r="AE36" s="52" t="n"/>
      <c r="AF36" s="52" t="n"/>
      <c r="AG36" s="53">
        <f>IF(L36="","",L36-N(AC36))</f>
        <v/>
      </c>
      <c r="AH36" s="53">
        <f>IF(L36="","",L36-N(AE36)-N(AF36))</f>
        <v/>
      </c>
      <c r="AI36" s="55">
        <f>IFERROR(AH36/L36,"")</f>
        <v/>
      </c>
      <c r="AJ36" s="54" t="n"/>
      <c r="AK36" s="54" t="n"/>
      <c r="AL36" s="54" t="n"/>
      <c r="AM36" s="54" t="n"/>
      <c r="AN36" s="54" t="n">
        <v>6.5</v>
      </c>
    </row>
    <row r="37" ht="15" customHeight="1">
      <c r="A37" s="48" t="n">
        <v>46260</v>
      </c>
      <c r="B37" s="49">
        <f>IF(A37="","",EOMONTH(A37,0))</f>
        <v/>
      </c>
      <c r="C37" s="50">
        <f>"Production"</f>
        <v/>
      </c>
      <c r="D37" s="51" t="inlineStr">
        <is>
          <t>PRODUCTION</t>
        </is>
      </c>
      <c r="E37" s="51" t="inlineStr">
        <is>
          <t>Dimensional</t>
        </is>
      </c>
      <c r="F37" s="51" t="inlineStr">
        <is>
          <t>26081402</t>
        </is>
      </c>
      <c r="G37" s="50">
        <f>IF(F37="","",IF(COUNTIF(lst_Jobs,F37&amp;"")&gt;0,"OK","CHECK"))</f>
        <v/>
      </c>
      <c r="H37" s="51" t="inlineStr">
        <is>
          <t>AV Support 19.8.26</t>
        </is>
      </c>
      <c r="I37" s="51" t="inlineStr">
        <is>
          <t>Project</t>
        </is>
      </c>
      <c r="J37" s="51" t="inlineStr">
        <is>
          <t>INV-10588</t>
        </is>
      </c>
      <c r="K37" s="51" t="inlineStr">
        <is>
          <t>GST 10%</t>
        </is>
      </c>
      <c r="L37" s="52" t="n">
        <v>460</v>
      </c>
      <c r="M37" s="53">
        <f>IF(L37="","",IF(K37="GST 10%",ROUND(L37*0.1,2),0))</f>
        <v/>
      </c>
      <c r="N37" s="53">
        <f>IF(L37="","",L37+M37)</f>
        <v/>
      </c>
      <c r="O37" s="51" t="inlineStr">
        <is>
          <t>42100</t>
        </is>
      </c>
      <c r="P37" s="51" t="inlineStr">
        <is>
          <t>Y</t>
        </is>
      </c>
      <c r="Q37" s="51" t="inlineStr">
        <is>
          <t>N</t>
        </is>
      </c>
      <c r="R37" s="51" t="inlineStr">
        <is>
          <t>Invoiced</t>
        </is>
      </c>
      <c r="S37" s="51" t="n"/>
      <c r="T37" s="52" t="n"/>
      <c r="U37" s="53">
        <f>IF(L37="","",L37-N(T37))</f>
        <v/>
      </c>
      <c r="V37" s="50">
        <f>IF(L37="","",IF(SIGN(N(T37))*SIGN(L37)=-1,"CHECK - video sign",IF(ABS(N(T37))&gt;ABS(L37),"CHECK - video exceeds invoice",IF(AND(D37="VIDEO",ROUND(N(T37),2)&lt;&gt;ROUND(L37,2)),"CHECK - VIDEO job not fully split",IF(N(T37)=0,"All production",IF(ROUND(N(T37),2)=ROUND(L37,2),"All video","Split"))))))</f>
        <v/>
      </c>
      <c r="W37" s="53">
        <f>IF(L37="","",IF(N(T37)=0,0,ROUND(M37*N(T37)/L37,2)))</f>
        <v/>
      </c>
      <c r="X37" s="51" t="inlineStr">
        <is>
          <t>Mahan.Noori@dimensional.com.au</t>
        </is>
      </c>
      <c r="Y37" s="48" t="n">
        <v>46253</v>
      </c>
      <c r="Z37" s="51" t="inlineStr">
        <is>
          <t>6153</t>
        </is>
      </c>
      <c r="AA37" s="51" t="inlineStr">
        <is>
          <t>26081402</t>
        </is>
      </c>
      <c r="AB37" s="51" t="inlineStr">
        <is>
          <t>Y</t>
        </is>
      </c>
      <c r="AC37" s="52" t="n"/>
      <c r="AD37" s="55">
        <f>IFERROR(AC37/AG37,"")</f>
        <v/>
      </c>
      <c r="AE37" s="52" t="n"/>
      <c r="AF37" s="52" t="n"/>
      <c r="AG37" s="53">
        <f>IF(L37="","",L37-N(AC37))</f>
        <v/>
      </c>
      <c r="AH37" s="53">
        <f>IF(L37="","",L37-N(AE37)-N(AF37))</f>
        <v/>
      </c>
      <c r="AI37" s="55">
        <f>IFERROR(AH37/L37,"")</f>
        <v/>
      </c>
      <c r="AJ37" s="54" t="n"/>
      <c r="AK37" s="54" t="n"/>
      <c r="AL37" s="54" t="n"/>
      <c r="AM37" s="54" t="n"/>
      <c r="AN37" s="54" t="n">
        <v>4</v>
      </c>
    </row>
    <row r="38" ht="15" customHeight="1">
      <c r="A38" s="48" t="n">
        <v>46259</v>
      </c>
      <c r="B38" s="49">
        <f>IF(A38="","",EOMONTH(A38,0))</f>
        <v/>
      </c>
      <c r="C38" s="50">
        <f>"Production"</f>
        <v/>
      </c>
      <c r="D38" s="51" t="inlineStr">
        <is>
          <t>PRODUCTION</t>
        </is>
      </c>
      <c r="E38" s="51" t="inlineStr">
        <is>
          <t>TLC -  Melbourne</t>
        </is>
      </c>
      <c r="F38" s="51" t="inlineStr">
        <is>
          <t>26061106</t>
        </is>
      </c>
      <c r="G38" s="50">
        <f>IF(F38="","",IF(COUNTIF(lst_Jobs,F38&amp;"")&gt;0,"OK","CHECK"))</f>
        <v/>
      </c>
      <c r="H38" s="51" t="inlineStr">
        <is>
          <t>TLC Full Year Results</t>
        </is>
      </c>
      <c r="I38" s="51" t="inlineStr">
        <is>
          <t>Project</t>
        </is>
      </c>
      <c r="J38" s="51" t="inlineStr">
        <is>
          <t>INV-10591</t>
        </is>
      </c>
      <c r="K38" s="51" t="inlineStr">
        <is>
          <t>GST 10%</t>
        </is>
      </c>
      <c r="L38" s="52" t="n">
        <v>13661</v>
      </c>
      <c r="M38" s="53">
        <f>IF(L38="","",IF(K38="GST 10%",ROUND(L38*0.1,2),0))</f>
        <v/>
      </c>
      <c r="N38" s="53">
        <f>IF(L38="","",L38+M38)</f>
        <v/>
      </c>
      <c r="O38" s="51" t="inlineStr">
        <is>
          <t>42100</t>
        </is>
      </c>
      <c r="P38" s="51" t="inlineStr">
        <is>
          <t>Y</t>
        </is>
      </c>
      <c r="Q38" s="51" t="inlineStr">
        <is>
          <t>N</t>
        </is>
      </c>
      <c r="R38" s="51" t="inlineStr">
        <is>
          <t>Invoiced</t>
        </is>
      </c>
      <c r="S38" s="51" t="n"/>
      <c r="T38" s="52" t="n">
        <v>674</v>
      </c>
      <c r="U38" s="53">
        <f>IF(L38="","",L38-N(T38))</f>
        <v/>
      </c>
      <c r="V38" s="50">
        <f>IF(L38="","",IF(SIGN(N(T38))*SIGN(L38)=-1,"CHECK - video sign",IF(ABS(N(T38))&gt;ABS(L38),"CHECK - video exceeds invoice",IF(AND(D38="VIDEO",ROUND(N(T38),2)&lt;&gt;ROUND(L38,2)),"CHECK - VIDEO job not fully split",IF(N(T38)=0,"All production",IF(ROUND(N(T38),2)=ROUND(L38,2),"All video","Split"))))))</f>
        <v/>
      </c>
      <c r="W38" s="53">
        <f>IF(L38="","",IF(N(T38)=0,0,ROUND(M38*N(T38)/L38,2)))</f>
        <v/>
      </c>
      <c r="X38" s="51" t="inlineStr">
        <is>
          <t>sharne.flanagan@thelotterycorporation.com</t>
        </is>
      </c>
      <c r="Y38" s="48" t="n">
        <v>46253</v>
      </c>
      <c r="Z38" s="51" t="inlineStr">
        <is>
          <t>5853</t>
        </is>
      </c>
      <c r="AA38" s="51" t="inlineStr">
        <is>
          <t>26061106</t>
        </is>
      </c>
      <c r="AB38" s="51" t="inlineStr">
        <is>
          <t>Y</t>
        </is>
      </c>
      <c r="AC38" s="52" t="n">
        <v>611.5</v>
      </c>
      <c r="AD38" s="55">
        <f>IFERROR(AC38/AG38,"")</f>
        <v/>
      </c>
      <c r="AE38" s="52" t="n">
        <v>4272.26</v>
      </c>
      <c r="AF38" s="52" t="n"/>
      <c r="AG38" s="53">
        <f>IF(L38="","",L38-N(AC38))</f>
        <v/>
      </c>
      <c r="AH38" s="53">
        <f>IF(L38="","",L38-N(AE38)-N(AF38))</f>
        <v/>
      </c>
      <c r="AI38" s="55">
        <f>IFERROR(AH38/L38,"")</f>
        <v/>
      </c>
      <c r="AJ38" s="54" t="n"/>
      <c r="AK38" s="54" t="n">
        <v>4</v>
      </c>
      <c r="AL38" s="54" t="n">
        <v>2</v>
      </c>
      <c r="AM38" s="54" t="n"/>
      <c r="AN38" s="54" t="n">
        <v>25</v>
      </c>
    </row>
    <row r="39" ht="15" customHeight="1">
      <c r="A39" s="48" t="n">
        <v>46259</v>
      </c>
      <c r="B39" s="49">
        <f>IF(A39="","",EOMONTH(A39,0))</f>
        <v/>
      </c>
      <c r="C39" s="50">
        <f>"Production"</f>
        <v/>
      </c>
      <c r="D39" s="51" t="inlineStr">
        <is>
          <t>PRODUCTION</t>
        </is>
      </c>
      <c r="E39" s="51" t="inlineStr">
        <is>
          <t>Downer</t>
        </is>
      </c>
      <c r="F39" s="51" t="inlineStr">
        <is>
          <t>26061107</t>
        </is>
      </c>
      <c r="G39" s="50">
        <f>IF(F39="","",IF(COUNTIF(lst_Jobs,F39&amp;"")&gt;0,"OK","CHECK"))</f>
        <v/>
      </c>
      <c r="H39" s="51" t="inlineStr">
        <is>
          <t>Downer FYR26 20.8.26</t>
        </is>
      </c>
      <c r="I39" s="51" t="inlineStr">
        <is>
          <t>Project</t>
        </is>
      </c>
      <c r="J39" s="51" t="inlineStr">
        <is>
          <t>INV-10587</t>
        </is>
      </c>
      <c r="K39" s="51" t="inlineStr">
        <is>
          <t>GST 10%</t>
        </is>
      </c>
      <c r="L39" s="52" t="n">
        <v>11644.25</v>
      </c>
      <c r="M39" s="53">
        <f>IF(L39="","",IF(K39="GST 10%",ROUND(L39*0.1,2),0))</f>
        <v/>
      </c>
      <c r="N39" s="53">
        <f>IF(L39="","",L39+M39)</f>
        <v/>
      </c>
      <c r="O39" s="51" t="inlineStr">
        <is>
          <t>42100</t>
        </is>
      </c>
      <c r="P39" s="51" t="inlineStr">
        <is>
          <t>Y</t>
        </is>
      </c>
      <c r="Q39" s="51" t="inlineStr">
        <is>
          <t>N</t>
        </is>
      </c>
      <c r="R39" s="51" t="inlineStr">
        <is>
          <t>Invoiced</t>
        </is>
      </c>
      <c r="S39" s="51" t="n"/>
      <c r="T39" s="52" t="n">
        <v>263.5</v>
      </c>
      <c r="U39" s="53">
        <f>IF(L39="","",L39-N(T39))</f>
        <v/>
      </c>
      <c r="V39" s="50">
        <f>IF(L39="","",IF(SIGN(N(T39))*SIGN(L39)=-1,"CHECK - video sign",IF(ABS(N(T39))&gt;ABS(L39),"CHECK - video exceeds invoice",IF(AND(D39="VIDEO",ROUND(N(T39),2)&lt;&gt;ROUND(L39,2)),"CHECK - VIDEO job not fully split",IF(N(T39)=0,"All production",IF(ROUND(N(T39),2)=ROUND(L39,2),"All video","Split"))))))</f>
        <v/>
      </c>
      <c r="W39" s="53">
        <f>IF(L39="","",IF(N(T39)=0,0,ROUND(M39*N(T39)/L39,2)))</f>
        <v/>
      </c>
      <c r="X39" s="51" t="inlineStr">
        <is>
          <t>mitchell.dale@downergroup.com</t>
        </is>
      </c>
      <c r="Y39" s="48" t="n">
        <v>46254</v>
      </c>
      <c r="Z39" s="51" t="inlineStr">
        <is>
          <t>6092</t>
        </is>
      </c>
      <c r="AA39" s="51" t="inlineStr">
        <is>
          <t>26061107</t>
        </is>
      </c>
      <c r="AB39" s="51" t="inlineStr">
        <is>
          <t>Y</t>
        </is>
      </c>
      <c r="AC39" s="52" t="n">
        <v>885.75</v>
      </c>
      <c r="AD39" s="55">
        <f>IFERROR(AC39/AG39,"")</f>
        <v/>
      </c>
      <c r="AE39" s="52" t="n">
        <v>1221.04</v>
      </c>
      <c r="AF39" s="52" t="n"/>
      <c r="AG39" s="53">
        <f>IF(L39="","",L39-N(AC39))</f>
        <v/>
      </c>
      <c r="AH39" s="53">
        <f>IF(L39="","",L39-N(AE39)-N(AF39))</f>
        <v/>
      </c>
      <c r="AI39" s="55">
        <f>IFERROR(AH39/L39,"")</f>
        <v/>
      </c>
      <c r="AJ39" s="54" t="n"/>
      <c r="AK39" s="54" t="n"/>
      <c r="AL39" s="54" t="n">
        <v>3</v>
      </c>
      <c r="AM39" s="54" t="n"/>
      <c r="AN39" s="54" t="n">
        <v>18</v>
      </c>
    </row>
    <row r="40" ht="15" customHeight="1">
      <c r="A40" s="48" t="n">
        <v>46260</v>
      </c>
      <c r="B40" s="49">
        <f>IF(A40="","",EOMONTH(A40,0))</f>
        <v/>
      </c>
      <c r="C40" s="50">
        <f>"Production"</f>
        <v/>
      </c>
      <c r="D40" s="51" t="inlineStr">
        <is>
          <t>PRODUCTION</t>
        </is>
      </c>
      <c r="E40" s="51" t="inlineStr">
        <is>
          <t>Garvan</t>
        </is>
      </c>
      <c r="F40" s="51" t="inlineStr">
        <is>
          <t>26073110</t>
        </is>
      </c>
      <c r="G40" s="50">
        <f>IF(F40="","",IF(COUNTIF(lst_Jobs,F40&amp;"")&gt;0,"OK","CHECK"))</f>
        <v/>
      </c>
      <c r="H40" s="51" t="inlineStr">
        <is>
          <t>Garvan - Weizmann Dinner Event</t>
        </is>
      </c>
      <c r="I40" s="51" t="inlineStr">
        <is>
          <t>Project</t>
        </is>
      </c>
      <c r="J40" s="51" t="inlineStr">
        <is>
          <t>INV-10586</t>
        </is>
      </c>
      <c r="K40" s="51" t="inlineStr">
        <is>
          <t>GST 10%</t>
        </is>
      </c>
      <c r="L40" s="52" t="n">
        <v>1055</v>
      </c>
      <c r="M40" s="53">
        <f>IF(L40="","",IF(K40="GST 10%",ROUND(L40*0.1,2),0))</f>
        <v/>
      </c>
      <c r="N40" s="53">
        <f>IF(L40="","",L40+M40)</f>
        <v/>
      </c>
      <c r="O40" s="51" t="inlineStr">
        <is>
          <t>42100</t>
        </is>
      </c>
      <c r="P40" s="51" t="inlineStr">
        <is>
          <t>Y</t>
        </is>
      </c>
      <c r="Q40" s="51" t="inlineStr">
        <is>
          <t>N</t>
        </is>
      </c>
      <c r="R40" s="51" t="inlineStr">
        <is>
          <t>Invoiced</t>
        </is>
      </c>
      <c r="S40" s="51" t="n"/>
      <c r="T40" s="52" t="n"/>
      <c r="U40" s="53">
        <f>IF(L40="","",L40-N(T40))</f>
        <v/>
      </c>
      <c r="V40" s="50">
        <f>IF(L40="","",IF(SIGN(N(T40))*SIGN(L40)=-1,"CHECK - video sign",IF(ABS(N(T40))&gt;ABS(L40),"CHECK - video exceeds invoice",IF(AND(D40="VIDEO",ROUND(N(T40),2)&lt;&gt;ROUND(L40,2)),"CHECK - VIDEO job not fully split",IF(N(T40)=0,"All production",IF(ROUND(N(T40),2)=ROUND(L40,2),"All video","Split"))))))</f>
        <v/>
      </c>
      <c r="W40" s="53">
        <f>IF(L40="","",IF(N(T40)=0,0,ROUND(M40*N(T40)/L40,2)))</f>
        <v/>
      </c>
      <c r="X40" s="51" t="inlineStr">
        <is>
          <t>m.gonzalezhuerta@garvan.org.au</t>
        </is>
      </c>
      <c r="Y40" s="48" t="n">
        <v>46254</v>
      </c>
      <c r="Z40" s="51" t="inlineStr">
        <is>
          <t>6117</t>
        </is>
      </c>
      <c r="AA40" s="51" t="inlineStr">
        <is>
          <t>26073110</t>
        </is>
      </c>
      <c r="AB40" s="51" t="inlineStr">
        <is>
          <t>Y</t>
        </is>
      </c>
      <c r="AC40" s="52" t="n"/>
      <c r="AD40" s="55">
        <f>IFERROR(AC40/AG40,"")</f>
        <v/>
      </c>
      <c r="AE40" s="52" t="n"/>
      <c r="AF40" s="52" t="n"/>
      <c r="AG40" s="53">
        <f>IF(L40="","",L40-N(AC40))</f>
        <v/>
      </c>
      <c r="AH40" s="53">
        <f>IF(L40="","",L40-N(AE40)-N(AF40))</f>
        <v/>
      </c>
      <c r="AI40" s="55">
        <f>IFERROR(AH40/L40,"")</f>
        <v/>
      </c>
      <c r="AJ40" s="54" t="n"/>
      <c r="AK40" s="54" t="n"/>
      <c r="AL40" s="54" t="n">
        <v>1</v>
      </c>
      <c r="AM40" s="54" t="n"/>
      <c r="AN40" s="54" t="n">
        <v>8</v>
      </c>
    </row>
    <row r="41" ht="15" customHeight="1">
      <c r="A41" s="48" t="n"/>
      <c r="B41" s="49">
        <f>IF(A41="","",EOMONTH(A41,0))</f>
        <v/>
      </c>
      <c r="C41" s="50">
        <f>"Production"</f>
        <v/>
      </c>
      <c r="D41" s="51" t="inlineStr">
        <is>
          <t>PRODUCTION</t>
        </is>
      </c>
      <c r="E41" s="51" t="inlineStr">
        <is>
          <t xml:space="preserve">APA </t>
        </is>
      </c>
      <c r="F41" s="51" t="inlineStr">
        <is>
          <t>25121208</t>
        </is>
      </c>
      <c r="G41" s="50">
        <f>IF(F41="","",IF(COUNTIF(lst_Jobs,F41&amp;"")&gt;0,"OK","CHECK"))</f>
        <v/>
      </c>
      <c r="H41" s="51" t="inlineStr">
        <is>
          <t>APA FYR Investor Briefing 20.8.26</t>
        </is>
      </c>
      <c r="I41" s="51" t="inlineStr">
        <is>
          <t>Project</t>
        </is>
      </c>
      <c r="J41" s="51" t="inlineStr">
        <is>
          <t>Package</t>
        </is>
      </c>
      <c r="K41" s="51" t="inlineStr">
        <is>
          <t>GST 10%</t>
        </is>
      </c>
      <c r="L41" s="52" t="n">
        <v>8472.5</v>
      </c>
      <c r="M41" s="53">
        <f>IF(L41="","",IF(K41="GST 10%",ROUND(L41*0.1,2),0))</f>
        <v/>
      </c>
      <c r="N41" s="53">
        <f>IF(L41="","",L41+M41)</f>
        <v/>
      </c>
      <c r="O41" s="51" t="inlineStr">
        <is>
          <t>42100</t>
        </is>
      </c>
      <c r="P41" s="51" t="inlineStr">
        <is>
          <t>Y</t>
        </is>
      </c>
      <c r="Q41" s="51" t="inlineStr">
        <is>
          <t>N</t>
        </is>
      </c>
      <c r="R41" s="51" t="inlineStr">
        <is>
          <t>Invoiced</t>
        </is>
      </c>
      <c r="S41" s="51" t="n"/>
      <c r="T41" s="52" t="n"/>
      <c r="U41" s="53">
        <f>IF(L41="","",L41-N(T41))</f>
        <v/>
      </c>
      <c r="V41" s="50">
        <f>IF(L41="","",IF(SIGN(N(T41))*SIGN(L41)=-1,"CHECK - video sign",IF(ABS(N(T41))&gt;ABS(L41),"CHECK - video exceeds invoice",IF(AND(D41="VIDEO",ROUND(N(T41),2)&lt;&gt;ROUND(L41,2)),"CHECK - VIDEO job not fully split",IF(N(T41)=0,"All production",IF(ROUND(N(T41),2)=ROUND(L41,2),"All video","Split"))))))</f>
        <v/>
      </c>
      <c r="W41" s="53">
        <f>IF(L41="","",IF(N(T41)=0,0,ROUND(M41*N(T41)/L41,2)))</f>
        <v/>
      </c>
      <c r="X41" s="51" t="inlineStr">
        <is>
          <t>anna.sampson@apa.com.au</t>
        </is>
      </c>
      <c r="Y41" s="48" t="n">
        <v>46254</v>
      </c>
      <c r="Z41" s="51" t="inlineStr">
        <is>
          <t>5821</t>
        </is>
      </c>
      <c r="AA41" s="51" t="inlineStr">
        <is>
          <t>25121208</t>
        </is>
      </c>
      <c r="AB41" s="51" t="inlineStr">
        <is>
          <t>Y</t>
        </is>
      </c>
      <c r="AC41" s="52" t="n">
        <v>3652.5</v>
      </c>
      <c r="AD41" s="55">
        <f>IFERROR(AC41/AG41,"")</f>
        <v/>
      </c>
      <c r="AE41" s="52" t="n">
        <v>1805.72</v>
      </c>
      <c r="AF41" s="52" t="n"/>
      <c r="AG41" s="53">
        <f>IF(L41="","",L41-N(AC41))</f>
        <v/>
      </c>
      <c r="AH41" s="53">
        <f>IF(L41="","",L41-N(AE41)-N(AF41))</f>
        <v/>
      </c>
      <c r="AI41" s="55">
        <f>IFERROR(AH41/L41,"")</f>
        <v/>
      </c>
      <c r="AJ41" s="54" t="n"/>
      <c r="AK41" s="54" t="n"/>
      <c r="AL41" s="54" t="n">
        <v>2</v>
      </c>
      <c r="AM41" s="54" t="n"/>
      <c r="AN41" s="54" t="n">
        <v>20</v>
      </c>
    </row>
    <row r="42" ht="15" customHeight="1">
      <c r="A42" s="48" t="n"/>
      <c r="B42" s="49">
        <f>IF(A42="","",EOMONTH(A42,0))</f>
        <v/>
      </c>
      <c r="C42" s="50">
        <f>"Production"</f>
        <v/>
      </c>
      <c r="D42" s="51" t="inlineStr">
        <is>
          <t>PRODUCTION</t>
        </is>
      </c>
      <c r="E42" s="51" t="inlineStr">
        <is>
          <t>APA</t>
        </is>
      </c>
      <c r="F42" s="51" t="inlineStr">
        <is>
          <t>26061108</t>
        </is>
      </c>
      <c r="G42" s="50">
        <f>IF(F42="","",IF(COUNTIF(lst_Jobs,F42&amp;"")&gt;0,"OK","CHECK"))</f>
        <v/>
      </c>
      <c r="H42" s="51" t="inlineStr">
        <is>
          <t>APA FYR Town Hall 20.8.26</t>
        </is>
      </c>
      <c r="I42" s="51" t="inlineStr">
        <is>
          <t>Project</t>
        </is>
      </c>
      <c r="J42" s="51" t="inlineStr">
        <is>
          <t>Package</t>
        </is>
      </c>
      <c r="K42" s="51" t="inlineStr">
        <is>
          <t>GST 10%</t>
        </is>
      </c>
      <c r="L42" s="52" t="n">
        <v>12600.6</v>
      </c>
      <c r="M42" s="53">
        <f>IF(L42="","",IF(K42="GST 10%",ROUND(L42*0.1,2),0))</f>
        <v/>
      </c>
      <c r="N42" s="53">
        <f>IF(L42="","",L42+M42)</f>
        <v/>
      </c>
      <c r="O42" s="51" t="inlineStr">
        <is>
          <t>42100</t>
        </is>
      </c>
      <c r="P42" s="51" t="inlineStr">
        <is>
          <t>Y</t>
        </is>
      </c>
      <c r="Q42" s="51" t="inlineStr">
        <is>
          <t>N</t>
        </is>
      </c>
      <c r="R42" s="51" t="inlineStr">
        <is>
          <t>Invoiced</t>
        </is>
      </c>
      <c r="S42" s="51" t="n"/>
      <c r="T42" s="52" t="n">
        <v>1261.6</v>
      </c>
      <c r="U42" s="53">
        <f>IF(L42="","",L42-N(T42))</f>
        <v/>
      </c>
      <c r="V42" s="50">
        <f>IF(L42="","",IF(SIGN(N(T42))*SIGN(L42)=-1,"CHECK - video sign",IF(ABS(N(T42))&gt;ABS(L42),"CHECK - video exceeds invoice",IF(AND(D42="VIDEO",ROUND(N(T42),2)&lt;&gt;ROUND(L42,2)),"CHECK - VIDEO job not fully split",IF(N(T42)=0,"All production",IF(ROUND(N(T42),2)=ROUND(L42,2),"All video","Split"))))))</f>
        <v/>
      </c>
      <c r="W42" s="53">
        <f>IF(L42="","",IF(N(T42)=0,0,ROUND(M42*N(T42)/L42,2)))</f>
        <v/>
      </c>
      <c r="X42" s="51" t="inlineStr">
        <is>
          <t>steph.bennett@apa.com.au</t>
        </is>
      </c>
      <c r="Y42" s="48" t="n">
        <v>46254</v>
      </c>
      <c r="Z42" s="51" t="inlineStr">
        <is>
          <t>6073</t>
        </is>
      </c>
      <c r="AA42" s="51" t="inlineStr">
        <is>
          <t>26061108</t>
        </is>
      </c>
      <c r="AB42" s="51" t="inlineStr">
        <is>
          <t>Y</t>
        </is>
      </c>
      <c r="AC42" s="52" t="n">
        <v>1651.4</v>
      </c>
      <c r="AD42" s="55">
        <f>IFERROR(AC42/AG42,"")</f>
        <v/>
      </c>
      <c r="AE42" s="52" t="n"/>
      <c r="AF42" s="52" t="n"/>
      <c r="AG42" s="53">
        <f>IF(L42="","",L42-N(AC42))</f>
        <v/>
      </c>
      <c r="AH42" s="53">
        <f>IF(L42="","",L42-N(AE42)-N(AF42))</f>
        <v/>
      </c>
      <c r="AI42" s="55">
        <f>IFERROR(AH42/L42,"")</f>
        <v/>
      </c>
      <c r="AJ42" s="54" t="n">
        <v>5</v>
      </c>
      <c r="AK42" s="54" t="n"/>
      <c r="AL42" s="54" t="n">
        <v>6</v>
      </c>
      <c r="AM42" s="54" t="n"/>
      <c r="AN42" s="54" t="n">
        <v>45</v>
      </c>
    </row>
    <row r="43" ht="15" customHeight="1">
      <c r="A43" s="48" t="n">
        <v>46265</v>
      </c>
      <c r="B43" s="49">
        <f>IF(A43="","",EOMONTH(A43,0))</f>
        <v/>
      </c>
      <c r="C43" s="50">
        <f>"Production"</f>
        <v/>
      </c>
      <c r="D43" s="51" t="inlineStr">
        <is>
          <t>PRODUCTION</t>
        </is>
      </c>
      <c r="E43" s="51" t="inlineStr">
        <is>
          <t>Ventia</t>
        </is>
      </c>
      <c r="F43" s="51" t="inlineStr">
        <is>
          <t>26061109</t>
        </is>
      </c>
      <c r="G43" s="50">
        <f>IF(F43="","",IF(COUNTIF(lst_Jobs,F43&amp;"")&gt;0,"OK","CHECK"))</f>
        <v/>
      </c>
      <c r="H43" s="51" t="inlineStr">
        <is>
          <t>Ventia HYR Employee Town Hall 24.8.26 (PO 4701366307)</t>
        </is>
      </c>
      <c r="I43" s="51" t="inlineStr">
        <is>
          <t>Project</t>
        </is>
      </c>
      <c r="J43" s="51" t="inlineStr">
        <is>
          <t>INV-10593</t>
        </is>
      </c>
      <c r="K43" s="51" t="inlineStr">
        <is>
          <t>GST 10%</t>
        </is>
      </c>
      <c r="L43" s="52" t="n">
        <v>13401.5</v>
      </c>
      <c r="M43" s="53">
        <f>IF(L43="","",IF(K43="GST 10%",ROUND(L43*0.1,2),0))</f>
        <v/>
      </c>
      <c r="N43" s="53">
        <f>IF(L43="","",L43+M43)</f>
        <v/>
      </c>
      <c r="O43" s="51" t="inlineStr">
        <is>
          <t>42100</t>
        </is>
      </c>
      <c r="P43" s="51" t="inlineStr">
        <is>
          <t>Y</t>
        </is>
      </c>
      <c r="Q43" s="51" t="inlineStr">
        <is>
          <t>N</t>
        </is>
      </c>
      <c r="R43" s="51" t="inlineStr">
        <is>
          <t>Invoiced</t>
        </is>
      </c>
      <c r="S43" s="51" t="n"/>
      <c r="T43" s="52" t="n">
        <v>1771</v>
      </c>
      <c r="U43" s="53">
        <f>IF(L43="","",L43-N(T43))</f>
        <v/>
      </c>
      <c r="V43" s="50">
        <f>IF(L43="","",IF(SIGN(N(T43))*SIGN(L43)=-1,"CHECK - video sign",IF(ABS(N(T43))&gt;ABS(L43),"CHECK - video exceeds invoice",IF(AND(D43="VIDEO",ROUND(N(T43),2)&lt;&gt;ROUND(L43,2)),"CHECK - VIDEO job not fully split",IF(N(T43)=0,"All production",IF(ROUND(N(T43),2)=ROUND(L43,2),"All video","Split"))))))</f>
        <v/>
      </c>
      <c r="W43" s="53">
        <f>IF(L43="","",IF(N(T43)=0,0,ROUND(M43*N(T43)/L43,2)))</f>
        <v/>
      </c>
      <c r="X43" s="51" t="inlineStr">
        <is>
          <t>amy.johnson@ventia.com</t>
        </is>
      </c>
      <c r="Y43" s="48" t="n">
        <v>46258</v>
      </c>
      <c r="Z43" s="51" t="inlineStr">
        <is>
          <t>6095</t>
        </is>
      </c>
      <c r="AA43" s="51" t="inlineStr">
        <is>
          <t>26061109</t>
        </is>
      </c>
      <c r="AB43" s="51" t="inlineStr">
        <is>
          <t>Y</t>
        </is>
      </c>
      <c r="AC43" s="52" t="n">
        <v>524.5</v>
      </c>
      <c r="AD43" s="55">
        <f>IFERROR(AC43/AG43,"")</f>
        <v/>
      </c>
      <c r="AE43" s="52" t="n">
        <v>1350</v>
      </c>
      <c r="AF43" s="52" t="n"/>
      <c r="AG43" s="53">
        <f>IF(L43="","",L43-N(AC43))</f>
        <v/>
      </c>
      <c r="AH43" s="53">
        <f>IF(L43="","",L43-N(AE43)-N(AF43))</f>
        <v/>
      </c>
      <c r="AI43" s="55">
        <f>IFERROR(AH43/L43,"")</f>
        <v/>
      </c>
      <c r="AJ43" s="54" t="n">
        <v>4</v>
      </c>
      <c r="AK43" s="54" t="n"/>
      <c r="AL43" s="54" t="n"/>
      <c r="AM43" s="54" t="n"/>
      <c r="AN43" s="54" t="n">
        <v>41</v>
      </c>
    </row>
    <row r="44" ht="15" customHeight="1">
      <c r="A44" s="48" t="n">
        <v>46265</v>
      </c>
      <c r="B44" s="49">
        <f>IF(A44="","",EOMONTH(A44,0))</f>
        <v/>
      </c>
      <c r="C44" s="50">
        <f>"Production"</f>
        <v/>
      </c>
      <c r="D44" s="51" t="inlineStr">
        <is>
          <t>PRODUCTION</t>
        </is>
      </c>
      <c r="E44" s="51" t="inlineStr">
        <is>
          <t>Ventia</t>
        </is>
      </c>
      <c r="F44" s="51" t="inlineStr">
        <is>
          <t>26071501</t>
        </is>
      </c>
      <c r="G44" s="50">
        <f>IF(F44="","",IF(COUNTIF(lst_Jobs,F44&amp;"")&gt;0,"OK","CHECK"))</f>
        <v/>
      </c>
      <c r="H44" s="51" t="inlineStr">
        <is>
          <t>Ventia Half Year Results Briefing</t>
        </is>
      </c>
      <c r="I44" s="51" t="inlineStr">
        <is>
          <t>Project</t>
        </is>
      </c>
      <c r="J44" s="51" t="inlineStr">
        <is>
          <t>INV-10612</t>
        </is>
      </c>
      <c r="K44" s="51" t="inlineStr">
        <is>
          <t>GST 10%</t>
        </is>
      </c>
      <c r="L44" s="52" t="n">
        <v>10835.49</v>
      </c>
      <c r="M44" s="53">
        <f>IF(L44="","",IF(K44="GST 10%",ROUND(L44*0.1,2),0))</f>
        <v/>
      </c>
      <c r="N44" s="53">
        <f>IF(L44="","",L44+M44)</f>
        <v/>
      </c>
      <c r="O44" s="51" t="inlineStr">
        <is>
          <t>42100</t>
        </is>
      </c>
      <c r="P44" s="51" t="inlineStr">
        <is>
          <t>Y</t>
        </is>
      </c>
      <c r="Q44" s="51" t="inlineStr">
        <is>
          <t>N</t>
        </is>
      </c>
      <c r="R44" s="51" t="inlineStr">
        <is>
          <t>Invoiced</t>
        </is>
      </c>
      <c r="S44" s="51" t="n"/>
      <c r="T44" s="52" t="n"/>
      <c r="U44" s="53">
        <f>IF(L44="","",L44-N(T44))</f>
        <v/>
      </c>
      <c r="V44" s="50">
        <f>IF(L44="","",IF(SIGN(N(T44))*SIGN(L44)=-1,"CHECK - video sign",IF(ABS(N(T44))&gt;ABS(L44),"CHECK - video exceeds invoice",IF(AND(D44="VIDEO",ROUND(N(T44),2)&lt;&gt;ROUND(L44,2)),"CHECK - VIDEO job not fully split",IF(N(T44)=0,"All production",IF(ROUND(N(T44),2)=ROUND(L44,2),"All video","Split"))))))</f>
        <v/>
      </c>
      <c r="W44" s="53">
        <f>IF(L44="","",IF(N(T44)=0,0,ROUND(M44*N(T44)/L44,2)))</f>
        <v/>
      </c>
      <c r="X44" s="51" t="inlineStr">
        <is>
          <t>chantal.travers@ventia.com</t>
        </is>
      </c>
      <c r="Y44" s="48" t="n">
        <v>46258</v>
      </c>
      <c r="Z44" s="51" t="inlineStr">
        <is>
          <t>6094</t>
        </is>
      </c>
      <c r="AA44" s="51" t="inlineStr">
        <is>
          <t>26071501</t>
        </is>
      </c>
      <c r="AB44" s="51" t="inlineStr">
        <is>
          <t>Y</t>
        </is>
      </c>
      <c r="AC44" s="52" t="n">
        <v>495</v>
      </c>
      <c r="AD44" s="55">
        <f>IFERROR(AC44/AG44,"")</f>
        <v/>
      </c>
      <c r="AE44" s="52" t="n">
        <v>2303.09</v>
      </c>
      <c r="AF44" s="52" t="n"/>
      <c r="AG44" s="53">
        <f>IF(L44="","",L44-N(AC44))</f>
        <v/>
      </c>
      <c r="AH44" s="53">
        <f>IF(L44="","",L44-N(AE44)-N(AF44))</f>
        <v/>
      </c>
      <c r="AI44" s="55">
        <f>IFERROR(AH44/L44,"")</f>
        <v/>
      </c>
      <c r="AJ44" s="54" t="n"/>
      <c r="AK44" s="54" t="n"/>
      <c r="AL44" s="54" t="n"/>
      <c r="AM44" s="54" t="n"/>
      <c r="AN44" s="54" t="n">
        <v>11</v>
      </c>
    </row>
    <row r="45" ht="15" customHeight="1">
      <c r="A45" s="48" t="n">
        <v>46265</v>
      </c>
      <c r="B45" s="49">
        <f>IF(A45="","",EOMONTH(A45,0))</f>
        <v/>
      </c>
      <c r="C45" s="50">
        <f>"Production"</f>
        <v/>
      </c>
      <c r="D45" s="51" t="inlineStr">
        <is>
          <t>PRODUCTION</t>
        </is>
      </c>
      <c r="E45" s="51" t="inlineStr">
        <is>
          <t>Downer - Melbourne</t>
        </is>
      </c>
      <c r="F45" s="51" t="inlineStr">
        <is>
          <t>26073111</t>
        </is>
      </c>
      <c r="G45" s="50">
        <f>IF(F45="","",IF(COUNTIF(lst_Jobs,F45&amp;"")&gt;0,"OK","CHECK"))</f>
        <v/>
      </c>
      <c r="H45" s="51" t="inlineStr">
        <is>
          <t>Employee Results Briefing</t>
        </is>
      </c>
      <c r="I45" s="51" t="inlineStr">
        <is>
          <t>Project</t>
        </is>
      </c>
      <c r="J45" s="51" t="inlineStr">
        <is>
          <t>INV-10611</t>
        </is>
      </c>
      <c r="K45" s="51" t="inlineStr">
        <is>
          <t>GST 10%</t>
        </is>
      </c>
      <c r="L45" s="52" t="n">
        <v>24413.75</v>
      </c>
      <c r="M45" s="53">
        <f>IF(L45="","",IF(K45="GST 10%",ROUND(L45*0.1,2),0))</f>
        <v/>
      </c>
      <c r="N45" s="53">
        <f>IF(L45="","",L45+M45)</f>
        <v/>
      </c>
      <c r="O45" s="51" t="inlineStr">
        <is>
          <t>42100</t>
        </is>
      </c>
      <c r="P45" s="51" t="inlineStr">
        <is>
          <t>Y</t>
        </is>
      </c>
      <c r="Q45" s="51" t="inlineStr">
        <is>
          <t>N</t>
        </is>
      </c>
      <c r="R45" s="51" t="inlineStr">
        <is>
          <t>Invoiced</t>
        </is>
      </c>
      <c r="S45" s="51" t="n"/>
      <c r="T45" s="52" t="n">
        <v>1785</v>
      </c>
      <c r="U45" s="53">
        <f>IF(L45="","",L45-N(T45))</f>
        <v/>
      </c>
      <c r="V45" s="50">
        <f>IF(L45="","",IF(SIGN(N(T45))*SIGN(L45)=-1,"CHECK - video sign",IF(ABS(N(T45))&gt;ABS(L45),"CHECK - video exceeds invoice",IF(AND(D45="VIDEO",ROUND(N(T45),2)&lt;&gt;ROUND(L45,2)),"CHECK - VIDEO job not fully split",IF(N(T45)=0,"All production",IF(ROUND(N(T45),2)=ROUND(L45,2),"All video","Split"))))))</f>
        <v/>
      </c>
      <c r="W45" s="53">
        <f>IF(L45="","",IF(N(T45)=0,0,ROUND(M45*N(T45)/L45,2)))</f>
        <v/>
      </c>
      <c r="X45" s="51" t="inlineStr">
        <is>
          <t>mitchell.dale@downergroup.com</t>
        </is>
      </c>
      <c r="Y45" s="48" t="n">
        <v>46259</v>
      </c>
      <c r="Z45" s="51" t="inlineStr">
        <is>
          <t>6144</t>
        </is>
      </c>
      <c r="AA45" s="51" t="inlineStr">
        <is>
          <t>26073111</t>
        </is>
      </c>
      <c r="AB45" s="51" t="inlineStr">
        <is>
          <t>Y</t>
        </is>
      </c>
      <c r="AC45" s="52" t="n">
        <v>2281.25</v>
      </c>
      <c r="AD45" s="55">
        <f>IFERROR(AC45/AG45,"")</f>
        <v/>
      </c>
      <c r="AE45" s="52" t="n">
        <v>14754.3</v>
      </c>
      <c r="AF45" s="52" t="n"/>
      <c r="AG45" s="53">
        <f>IF(L45="","",L45-N(AC45))</f>
        <v/>
      </c>
      <c r="AH45" s="53">
        <f>IF(L45="","",L45-N(AE45)-N(AF45))</f>
        <v/>
      </c>
      <c r="AI45" s="55">
        <f>IFERROR(AH45/L45,"")</f>
        <v/>
      </c>
      <c r="AJ45" s="54" t="n">
        <v>5</v>
      </c>
      <c r="AK45" s="54" t="n"/>
      <c r="AL45" s="54" t="n">
        <v>3</v>
      </c>
      <c r="AM45" s="54" t="n"/>
      <c r="AN45" s="54" t="n">
        <v>37</v>
      </c>
    </row>
    <row r="46" ht="15" customHeight="1">
      <c r="A46" s="48" t="n">
        <v>46253</v>
      </c>
      <c r="B46" s="49">
        <f>IF(A46="","",EOMONTH(A46,0))</f>
        <v/>
      </c>
      <c r="C46" s="50">
        <f>"Production"</f>
        <v/>
      </c>
      <c r="D46" s="51" t="inlineStr">
        <is>
          <t>PRODUCTION</t>
        </is>
      </c>
      <c r="E46" s="51" t="inlineStr">
        <is>
          <t>Symal - Melbourne</t>
        </is>
      </c>
      <c r="F46" s="51" t="inlineStr">
        <is>
          <t>2606904</t>
        </is>
      </c>
      <c r="G46" s="50">
        <f>IF(F46="","",IF(COUNTIF(lst_Jobs,F46&amp;"")&gt;0,"OK","CHECK"))</f>
        <v/>
      </c>
      <c r="H46" s="51" t="inlineStr">
        <is>
          <t>Symal FYR 2026</t>
        </is>
      </c>
      <c r="I46" s="51" t="inlineStr">
        <is>
          <t>Project</t>
        </is>
      </c>
      <c r="J46" s="51" t="inlineStr">
        <is>
          <t>INV10567</t>
        </is>
      </c>
      <c r="K46" s="51" t="inlineStr">
        <is>
          <t>GST 10%</t>
        </is>
      </c>
      <c r="L46" s="52" t="n">
        <v>13347</v>
      </c>
      <c r="M46" s="53">
        <f>IF(L46="","",IF(K46="GST 10%",ROUND(L46*0.1,2),0))</f>
        <v/>
      </c>
      <c r="N46" s="53">
        <f>IF(L46="","",L46+M46)</f>
        <v/>
      </c>
      <c r="O46" s="51" t="inlineStr">
        <is>
          <t>42100</t>
        </is>
      </c>
      <c r="P46" s="51" t="inlineStr">
        <is>
          <t>Y</t>
        </is>
      </c>
      <c r="Q46" s="51" t="inlineStr">
        <is>
          <t>N</t>
        </is>
      </c>
      <c r="R46" s="51" t="inlineStr">
        <is>
          <t>Invoiced</t>
        </is>
      </c>
      <c r="S46" s="51" t="n"/>
      <c r="T46" s="52" t="n">
        <v>86.5</v>
      </c>
      <c r="U46" s="53">
        <f>IF(L46="","",L46-N(T46))</f>
        <v/>
      </c>
      <c r="V46" s="50">
        <f>IF(L46="","",IF(SIGN(N(T46))*SIGN(L46)=-1,"CHECK - video sign",IF(ABS(N(T46))&gt;ABS(L46),"CHECK - video exceeds invoice",IF(AND(D46="VIDEO",ROUND(N(T46),2)&lt;&gt;ROUND(L46,2)),"CHECK - VIDEO job not fully split",IF(N(T46)=0,"All production",IF(ROUND(N(T46),2)=ROUND(L46,2),"All video","Split"))))))</f>
        <v/>
      </c>
      <c r="W46" s="53">
        <f>IF(L46="","",IF(N(T46)=0,0,ROUND(M46*N(T46)/L46,2)))</f>
        <v/>
      </c>
      <c r="X46" s="51" t="inlineStr">
        <is>
          <t>pia.witt@symal.com.au</t>
        </is>
      </c>
      <c r="Y46" s="48" t="n">
        <v>46259</v>
      </c>
      <c r="Z46" s="51" t="inlineStr">
        <is>
          <t>6044</t>
        </is>
      </c>
      <c r="AA46" s="51" t="inlineStr">
        <is>
          <t>2606904</t>
        </is>
      </c>
      <c r="AB46" s="51" t="inlineStr">
        <is>
          <t>Y</t>
        </is>
      </c>
      <c r="AC46" s="52" t="n">
        <v>3563</v>
      </c>
      <c r="AD46" s="55">
        <f>IFERROR(AC46/AG46,"")</f>
        <v/>
      </c>
      <c r="AE46" s="52" t="n">
        <v>1874</v>
      </c>
      <c r="AF46" s="52" t="n"/>
      <c r="AG46" s="53">
        <f>IF(L46="","",L46-N(AC46))</f>
        <v/>
      </c>
      <c r="AH46" s="53">
        <f>IF(L46="","",L46-N(AE46)-N(AF46))</f>
        <v/>
      </c>
      <c r="AI46" s="55">
        <f>IFERROR(AH46/L46,"")</f>
        <v/>
      </c>
      <c r="AJ46" s="54" t="n"/>
      <c r="AK46" s="54" t="n"/>
      <c r="AL46" s="54" t="n">
        <v>2</v>
      </c>
      <c r="AM46" s="54" t="n"/>
      <c r="AN46" s="54" t="n">
        <v>22</v>
      </c>
    </row>
    <row r="47" ht="15" customHeight="1">
      <c r="A47" s="48" t="n">
        <v>46261</v>
      </c>
      <c r="B47" s="49">
        <f>IF(A47="","",EOMONTH(A47,0))</f>
        <v/>
      </c>
      <c r="C47" s="50">
        <f>"Production"</f>
        <v/>
      </c>
      <c r="D47" s="51" t="inlineStr">
        <is>
          <t>PRODUCTION</t>
        </is>
      </c>
      <c r="E47" s="51" t="inlineStr">
        <is>
          <t>Garvan</t>
        </is>
      </c>
      <c r="F47" s="51" t="inlineStr">
        <is>
          <t>26061001</t>
        </is>
      </c>
      <c r="G47" s="50">
        <f>IF(F47="","",IF(COUNTIF(lst_Jobs,F47&amp;"")&gt;0,"OK","CHECK"))</f>
        <v/>
      </c>
      <c r="H47" s="51" t="inlineStr">
        <is>
          <t>Garvan August All Clear Event 25.8.26</t>
        </is>
      </c>
      <c r="I47" s="51" t="inlineStr">
        <is>
          <t>Project</t>
        </is>
      </c>
      <c r="J47" s="51" t="inlineStr">
        <is>
          <t>INV-10595</t>
        </is>
      </c>
      <c r="K47" s="51" t="inlineStr">
        <is>
          <t>GST 10%</t>
        </is>
      </c>
      <c r="L47" s="52" t="n">
        <v>770</v>
      </c>
      <c r="M47" s="53">
        <f>IF(L47="","",IF(K47="GST 10%",ROUND(L47*0.1,2),0))</f>
        <v/>
      </c>
      <c r="N47" s="53">
        <f>IF(L47="","",L47+M47)</f>
        <v/>
      </c>
      <c r="O47" s="51" t="inlineStr">
        <is>
          <t>42100</t>
        </is>
      </c>
      <c r="P47" s="51" t="inlineStr">
        <is>
          <t>Y</t>
        </is>
      </c>
      <c r="Q47" s="51" t="inlineStr">
        <is>
          <t>N</t>
        </is>
      </c>
      <c r="R47" s="51" t="inlineStr">
        <is>
          <t>Invoiced</t>
        </is>
      </c>
      <c r="S47" s="51" t="n"/>
      <c r="T47" s="52" t="n"/>
      <c r="U47" s="53">
        <f>IF(L47="","",L47-N(T47))</f>
        <v/>
      </c>
      <c r="V47" s="50">
        <f>IF(L47="","",IF(SIGN(N(T47))*SIGN(L47)=-1,"CHECK - video sign",IF(ABS(N(T47))&gt;ABS(L47),"CHECK - video exceeds invoice",IF(AND(D47="VIDEO",ROUND(N(T47),2)&lt;&gt;ROUND(L47,2)),"CHECK - VIDEO job not fully split",IF(N(T47)=0,"All production",IF(ROUND(N(T47),2)=ROUND(L47,2),"All video","Split"))))))</f>
        <v/>
      </c>
      <c r="W47" s="53">
        <f>IF(L47="","",IF(N(T47)=0,0,ROUND(M47*N(T47)/L47,2)))</f>
        <v/>
      </c>
      <c r="X47" s="51" t="inlineStr">
        <is>
          <t>t.choi@garvan.org.au</t>
        </is>
      </c>
      <c r="Y47" s="48" t="n">
        <v>46259</v>
      </c>
      <c r="Z47" s="51" t="inlineStr">
        <is>
          <t>6055</t>
        </is>
      </c>
      <c r="AA47" s="51" t="inlineStr">
        <is>
          <t>26061001</t>
        </is>
      </c>
      <c r="AB47" s="51" t="inlineStr">
        <is>
          <t>Y</t>
        </is>
      </c>
      <c r="AC47" s="52" t="n">
        <v>90</v>
      </c>
      <c r="AD47" s="55">
        <f>IFERROR(AC47/AG47,"")</f>
        <v/>
      </c>
      <c r="AE47" s="52" t="n"/>
      <c r="AF47" s="52" t="n"/>
      <c r="AG47" s="53">
        <f>IF(L47="","",L47-N(AC47))</f>
        <v/>
      </c>
      <c r="AH47" s="53">
        <f>IF(L47="","",L47-N(AE47)-N(AF47))</f>
        <v/>
      </c>
      <c r="AI47" s="55">
        <f>IFERROR(AH47/L47,"")</f>
        <v/>
      </c>
      <c r="AJ47" s="54" t="n"/>
      <c r="AK47" s="54" t="n"/>
      <c r="AL47" s="54" t="n">
        <v>1</v>
      </c>
      <c r="AM47" s="54" t="n"/>
      <c r="AN47" s="54" t="n">
        <v>4</v>
      </c>
    </row>
    <row r="48" ht="15" customHeight="1">
      <c r="A48" s="48" t="n">
        <v>46260</v>
      </c>
      <c r="B48" s="49">
        <f>IF(A48="","",EOMONTH(A48,0))</f>
        <v/>
      </c>
      <c r="C48" s="50">
        <f>"Production"</f>
        <v/>
      </c>
      <c r="D48" s="51" t="inlineStr">
        <is>
          <t>PRODUCTION</t>
        </is>
      </c>
      <c r="E48" s="51" t="inlineStr">
        <is>
          <t>Elkiem</t>
        </is>
      </c>
      <c r="F48" s="51" t="inlineStr">
        <is>
          <t>26073105</t>
        </is>
      </c>
      <c r="G48" s="50">
        <f>IF(F48="","",IF(COUNTIF(lst_Jobs,F48&amp;"")&gt;0,"OK","CHECK"))</f>
        <v/>
      </c>
      <c r="H48" s="51" t="inlineStr">
        <is>
          <t>Studio Support 25.8.26</t>
        </is>
      </c>
      <c r="I48" s="51" t="inlineStr">
        <is>
          <t>Project</t>
        </is>
      </c>
      <c r="J48" s="51" t="inlineStr">
        <is>
          <t>INV-10594</t>
        </is>
      </c>
      <c r="K48" s="51" t="inlineStr">
        <is>
          <t>GST 10%</t>
        </is>
      </c>
      <c r="L48" s="52" t="n">
        <v>380</v>
      </c>
      <c r="M48" s="53">
        <f>IF(L48="","",IF(K48="GST 10%",ROUND(L48*0.1,2),0))</f>
        <v/>
      </c>
      <c r="N48" s="53">
        <f>IF(L48="","",L48+M48)</f>
        <v/>
      </c>
      <c r="O48" s="51" t="inlineStr">
        <is>
          <t>42100</t>
        </is>
      </c>
      <c r="P48" s="51" t="inlineStr">
        <is>
          <t>Y</t>
        </is>
      </c>
      <c r="Q48" s="51" t="inlineStr">
        <is>
          <t>N</t>
        </is>
      </c>
      <c r="R48" s="51" t="inlineStr">
        <is>
          <t>Invoiced</t>
        </is>
      </c>
      <c r="S48" s="51" t="n"/>
      <c r="T48" s="52" t="n"/>
      <c r="U48" s="53">
        <f>IF(L48="","",L48-N(T48))</f>
        <v/>
      </c>
      <c r="V48" s="50">
        <f>IF(L48="","",IF(SIGN(N(T48))*SIGN(L48)=-1,"CHECK - video sign",IF(ABS(N(T48))&gt;ABS(L48),"CHECK - video exceeds invoice",IF(AND(D48="VIDEO",ROUND(N(T48),2)&lt;&gt;ROUND(L48,2)),"CHECK - VIDEO job not fully split",IF(N(T48)=0,"All production",IF(ROUND(N(T48),2)=ROUND(L48,2),"All video","Split"))))))</f>
        <v/>
      </c>
      <c r="W48" s="53">
        <f>IF(L48="","",IF(N(T48)=0,0,ROUND(M48*N(T48)/L48,2)))</f>
        <v/>
      </c>
      <c r="X48" s="51" t="inlineStr">
        <is>
          <t>ben.woodlock@elkiem.com</t>
        </is>
      </c>
      <c r="Y48" s="48" t="n">
        <v>46259</v>
      </c>
      <c r="Z48" s="51" t="inlineStr">
        <is>
          <t>6129</t>
        </is>
      </c>
      <c r="AA48" s="51" t="inlineStr">
        <is>
          <t>26073105</t>
        </is>
      </c>
      <c r="AB48" s="51" t="inlineStr">
        <is>
          <t>Y</t>
        </is>
      </c>
      <c r="AC48" s="52" t="n"/>
      <c r="AD48" s="55">
        <f>IFERROR(AC48/AG48,"")</f>
        <v/>
      </c>
      <c r="AE48" s="52" t="n"/>
      <c r="AF48" s="52" t="n"/>
      <c r="AG48" s="53">
        <f>IF(L48="","",L48-N(AC48))</f>
        <v/>
      </c>
      <c r="AH48" s="53">
        <f>IF(L48="","",L48-N(AE48)-N(AF48))</f>
        <v/>
      </c>
      <c r="AI48" s="55">
        <f>IFERROR(AH48/L48,"")</f>
        <v/>
      </c>
      <c r="AJ48" s="54" t="n"/>
      <c r="AK48" s="54" t="n"/>
      <c r="AL48" s="54" t="n"/>
      <c r="AM48" s="54" t="n"/>
      <c r="AN48" s="54" t="n">
        <v>4</v>
      </c>
    </row>
    <row r="49" ht="15" customHeight="1">
      <c r="A49" s="48" t="n">
        <v>46265</v>
      </c>
      <c r="B49" s="49">
        <f>IF(A49="","",EOMONTH(A49,0))</f>
        <v/>
      </c>
      <c r="C49" s="50">
        <f>"Production"</f>
        <v/>
      </c>
      <c r="D49" s="51" t="inlineStr">
        <is>
          <t>PRODUCTION</t>
        </is>
      </c>
      <c r="E49" s="51" t="inlineStr">
        <is>
          <t xml:space="preserve">APA </t>
        </is>
      </c>
      <c r="F49" s="51" t="inlineStr">
        <is>
          <t>2608702</t>
        </is>
      </c>
      <c r="G49" s="50">
        <f>IF(F49="","",IF(COUNTIF(lst_Jobs,F49&amp;"")&gt;0,"OK","CHECK"))</f>
        <v/>
      </c>
      <c r="H49" s="51" t="inlineStr">
        <is>
          <t>APA FYR Town Hall Screen Hire 20.8.26</t>
        </is>
      </c>
      <c r="I49" s="51" t="inlineStr">
        <is>
          <t>Project</t>
        </is>
      </c>
      <c r="J49" s="51" t="inlineStr">
        <is>
          <t>INV-10592</t>
        </is>
      </c>
      <c r="K49" s="51" t="inlineStr">
        <is>
          <t>GST 10%</t>
        </is>
      </c>
      <c r="L49" s="52" t="n">
        <v>830</v>
      </c>
      <c r="M49" s="53">
        <f>IF(L49="","",IF(K49="GST 10%",ROUND(L49*0.1,2),0))</f>
        <v/>
      </c>
      <c r="N49" s="53">
        <f>IF(L49="","",L49+M49)</f>
        <v/>
      </c>
      <c r="O49" s="51" t="inlineStr">
        <is>
          <t>42100</t>
        </is>
      </c>
      <c r="P49" s="51" t="inlineStr">
        <is>
          <t>Y</t>
        </is>
      </c>
      <c r="Q49" s="51" t="inlineStr">
        <is>
          <t>N</t>
        </is>
      </c>
      <c r="R49" s="51" t="inlineStr">
        <is>
          <t>Invoiced</t>
        </is>
      </c>
      <c r="S49" s="51" t="n"/>
      <c r="T49" s="52" t="n"/>
      <c r="U49" s="53">
        <f>IF(L49="","",L49-N(T49))</f>
        <v/>
      </c>
      <c r="V49" s="50">
        <f>IF(L49="","",IF(SIGN(N(T49))*SIGN(L49)=-1,"CHECK - video sign",IF(ABS(N(T49))&gt;ABS(L49),"CHECK - video exceeds invoice",IF(AND(D49="VIDEO",ROUND(N(T49),2)&lt;&gt;ROUND(L49,2)),"CHECK - VIDEO job not fully split",IF(N(T49)=0,"All production",IF(ROUND(N(T49),2)=ROUND(L49,2),"All video","Split"))))))</f>
        <v/>
      </c>
      <c r="W49" s="53">
        <f>IF(L49="","",IF(N(T49)=0,0,ROUND(M49*N(T49)/L49,2)))</f>
        <v/>
      </c>
      <c r="X49" s="51" t="inlineStr">
        <is>
          <t>anna.sampson@apa.com.au</t>
        </is>
      </c>
      <c r="Y49" s="48" t="n">
        <v>46260</v>
      </c>
      <c r="Z49" s="51" t="inlineStr">
        <is>
          <t>6149</t>
        </is>
      </c>
      <c r="AA49" s="51" t="inlineStr">
        <is>
          <t>2608702</t>
        </is>
      </c>
      <c r="AB49" s="51" t="inlineStr">
        <is>
          <t>Y</t>
        </is>
      </c>
      <c r="AC49" s="52" t="n"/>
      <c r="AD49" s="55">
        <f>IFERROR(AC49/AG49,"")</f>
        <v/>
      </c>
      <c r="AE49" s="52" t="n">
        <v>784.5</v>
      </c>
      <c r="AF49" s="52" t="n"/>
      <c r="AG49" s="53">
        <f>IF(L49="","",L49-N(AC49))</f>
        <v/>
      </c>
      <c r="AH49" s="53">
        <f>IF(L49="","",L49-N(AE49)-N(AF49))</f>
        <v/>
      </c>
      <c r="AI49" s="55">
        <f>IFERROR(AH49/L49,"")</f>
        <v/>
      </c>
      <c r="AJ49" s="54" t="n"/>
      <c r="AK49" s="54" t="n"/>
      <c r="AL49" s="54" t="n"/>
      <c r="AM49" s="54" t="n"/>
      <c r="AN49" s="54" t="n"/>
    </row>
    <row r="50" ht="15" customHeight="1">
      <c r="A50" s="48" t="n">
        <v>46265</v>
      </c>
      <c r="B50" s="49">
        <f>IF(A50="","",EOMONTH(A50,0))</f>
        <v/>
      </c>
      <c r="C50" s="50">
        <f>"Production"</f>
        <v/>
      </c>
      <c r="D50" s="51" t="inlineStr">
        <is>
          <t>PRODUCTION</t>
        </is>
      </c>
      <c r="E50" s="51" t="inlineStr">
        <is>
          <t>Virgin - BNE</t>
        </is>
      </c>
      <c r="F50" s="51" t="inlineStr">
        <is>
          <t>2606903</t>
        </is>
      </c>
      <c r="G50" s="50">
        <f>IF(F50="","",IF(COUNTIF(lst_Jobs,F50&amp;"")&gt;0,"OK","CHECK"))</f>
        <v/>
      </c>
      <c r="H50" s="51" t="inlineStr">
        <is>
          <t>FY26 Results - 28.8.26</t>
        </is>
      </c>
      <c r="I50" s="51" t="inlineStr">
        <is>
          <t>Project</t>
        </is>
      </c>
      <c r="J50" s="51" t="inlineStr">
        <is>
          <t>INV-10617</t>
        </is>
      </c>
      <c r="K50" s="51" t="inlineStr">
        <is>
          <t>GST 10%</t>
        </is>
      </c>
      <c r="L50" s="52" t="n">
        <v>13389.5</v>
      </c>
      <c r="M50" s="53">
        <f>IF(L50="","",IF(K50="GST 10%",ROUND(L50*0.1,2),0))</f>
        <v/>
      </c>
      <c r="N50" s="53">
        <f>IF(L50="","",L50+M50)</f>
        <v/>
      </c>
      <c r="O50" s="51" t="inlineStr">
        <is>
          <t>42100</t>
        </is>
      </c>
      <c r="P50" s="51" t="inlineStr">
        <is>
          <t>Y</t>
        </is>
      </c>
      <c r="Q50" s="51" t="inlineStr">
        <is>
          <t>N</t>
        </is>
      </c>
      <c r="R50" s="51" t="inlineStr">
        <is>
          <t>Invoiced</t>
        </is>
      </c>
      <c r="S50" s="51" t="n"/>
      <c r="T50" s="52" t="n"/>
      <c r="U50" s="53">
        <f>IF(L50="","",L50-N(T50))</f>
        <v/>
      </c>
      <c r="V50" s="50">
        <f>IF(L50="","",IF(SIGN(N(T50))*SIGN(L50)=-1,"CHECK - video sign",IF(ABS(N(T50))&gt;ABS(L50),"CHECK - video exceeds invoice",IF(AND(D50="VIDEO",ROUND(N(T50),2)&lt;&gt;ROUND(L50,2)),"CHECK - VIDEO job not fully split",IF(N(T50)=0,"All production",IF(ROUND(N(T50),2)=ROUND(L50,2),"All video","Split"))))))</f>
        <v/>
      </c>
      <c r="W50" s="53">
        <f>IF(L50="","",IF(N(T50)=0,0,ROUND(M50*N(T50)/L50,2)))</f>
        <v/>
      </c>
      <c r="X50" s="51" t="inlineStr">
        <is>
          <t>Saranya.Nagpal@virginaustralia.com</t>
        </is>
      </c>
      <c r="Y50" s="48" t="n">
        <v>46262</v>
      </c>
      <c r="Z50" s="51" t="inlineStr">
        <is>
          <t>6024</t>
        </is>
      </c>
      <c r="AA50" s="51" t="inlineStr">
        <is>
          <t>2606903</t>
        </is>
      </c>
      <c r="AB50" s="51" t="inlineStr">
        <is>
          <t>Y</t>
        </is>
      </c>
      <c r="AC50" s="52" t="n">
        <v>3530.5</v>
      </c>
      <c r="AD50" s="55">
        <f>IFERROR(AC50/AG50,"")</f>
        <v/>
      </c>
      <c r="AE50" s="52" t="n">
        <v>4749.88</v>
      </c>
      <c r="AF50" s="52" t="n"/>
      <c r="AG50" s="53">
        <f>IF(L50="","",L50-N(AC50))</f>
        <v/>
      </c>
      <c r="AH50" s="53">
        <f>IF(L50="","",L50-N(AE50)-N(AF50))</f>
        <v/>
      </c>
      <c r="AI50" s="55">
        <f>IFERROR(AH50/L50,"")</f>
        <v/>
      </c>
      <c r="AJ50" s="54" t="n"/>
      <c r="AK50" s="54" t="n"/>
      <c r="AL50" s="54" t="n">
        <v>4</v>
      </c>
      <c r="AM50" s="54" t="n"/>
      <c r="AN50" s="54" t="n">
        <v>23</v>
      </c>
    </row>
    <row r="51" ht="15" customHeight="1">
      <c r="A51" s="48" t="n">
        <v>46265</v>
      </c>
      <c r="B51" s="49">
        <f>IF(A51="","",EOMONTH(A51,0))</f>
        <v/>
      </c>
      <c r="C51" s="50">
        <f>"Production"</f>
        <v/>
      </c>
      <c r="D51" s="51" t="inlineStr">
        <is>
          <t>PRODUCTION</t>
        </is>
      </c>
      <c r="E51" s="51" t="inlineStr">
        <is>
          <t>CBA</t>
        </is>
      </c>
      <c r="F51" s="51" t="inlineStr">
        <is>
          <t>26072003</t>
        </is>
      </c>
      <c r="G51" s="50">
        <f>IF(F51="","",IF(COUNTIF(lst_Jobs,F51&amp;"")&gt;0,"OK","CHECK"))</f>
        <v/>
      </c>
      <c r="H51" s="51" t="inlineStr">
        <is>
          <t>CBA - Live Event Support - August</t>
        </is>
      </c>
      <c r="I51" s="51" t="inlineStr">
        <is>
          <t>Project</t>
        </is>
      </c>
      <c r="J51" s="51" t="inlineStr">
        <is>
          <t>INV-10616</t>
        </is>
      </c>
      <c r="K51" s="51" t="inlineStr">
        <is>
          <t>GST 10%</t>
        </is>
      </c>
      <c r="L51" s="52" t="n">
        <v>3990</v>
      </c>
      <c r="M51" s="53">
        <f>IF(L51="","",IF(K51="GST 10%",ROUND(L51*0.1,2),0))</f>
        <v/>
      </c>
      <c r="N51" s="53">
        <f>IF(L51="","",L51+M51)</f>
        <v/>
      </c>
      <c r="O51" s="51" t="inlineStr">
        <is>
          <t>42100</t>
        </is>
      </c>
      <c r="P51" s="51" t="inlineStr">
        <is>
          <t>Y</t>
        </is>
      </c>
      <c r="Q51" s="51" t="inlineStr">
        <is>
          <t>N</t>
        </is>
      </c>
      <c r="R51" s="51" t="inlineStr">
        <is>
          <t>Invoiced</t>
        </is>
      </c>
      <c r="S51" s="51" t="n"/>
      <c r="T51" s="52" t="n"/>
      <c r="U51" s="53">
        <f>IF(L51="","",L51-N(T51))</f>
        <v/>
      </c>
      <c r="V51" s="50">
        <f>IF(L51="","",IF(SIGN(N(T51))*SIGN(L51)=-1,"CHECK - video sign",IF(ABS(N(T51))&gt;ABS(L51),"CHECK - video exceeds invoice",IF(AND(D51="VIDEO",ROUND(N(T51),2)&lt;&gt;ROUND(L51,2)),"CHECK - VIDEO job not fully split",IF(N(T51)=0,"All production",IF(ROUND(N(T51),2)=ROUND(L51,2),"All video","Split"))))))</f>
        <v/>
      </c>
      <c r="W51" s="53">
        <f>IF(L51="","",IF(N(T51)=0,0,ROUND(M51*N(T51)/L51,2)))</f>
        <v/>
      </c>
      <c r="X51" s="51" t="inlineStr">
        <is>
          <t>Steve.chezzi@cba.com.au</t>
        </is>
      </c>
      <c r="Y51" s="48" t="n">
        <v>46265</v>
      </c>
      <c r="Z51" s="51" t="inlineStr">
        <is>
          <t>6169</t>
        </is>
      </c>
      <c r="AA51" s="51" t="inlineStr">
        <is>
          <t>26072003</t>
        </is>
      </c>
      <c r="AB51" s="51" t="inlineStr">
        <is>
          <t>Y</t>
        </is>
      </c>
      <c r="AC51" s="52" t="n"/>
      <c r="AD51" s="55">
        <f>IFERROR(AC51/AG51,"")</f>
        <v/>
      </c>
      <c r="AE51" s="52" t="n"/>
      <c r="AF51" s="52" t="n"/>
      <c r="AG51" s="53">
        <f>IF(L51="","",L51-N(AC51))</f>
        <v/>
      </c>
      <c r="AH51" s="53">
        <f>IF(L51="","",L51-N(AE51)-N(AF51))</f>
        <v/>
      </c>
      <c r="AI51" s="55">
        <f>IFERROR(AH51/L51,"")</f>
        <v/>
      </c>
      <c r="AJ51" s="54" t="n"/>
      <c r="AK51" s="54" t="n"/>
      <c r="AL51" s="54" t="n"/>
      <c r="AM51" s="54" t="n"/>
      <c r="AN51" s="54" t="n">
        <v>56</v>
      </c>
    </row>
    <row r="52" ht="15" customHeight="1">
      <c r="A52" s="48" t="n">
        <v>46218</v>
      </c>
      <c r="B52" s="49">
        <f>IF(A52="","",EOMONTH(A52,0))</f>
        <v/>
      </c>
      <c r="C52" s="50">
        <f>"Production"</f>
        <v/>
      </c>
      <c r="D52" s="51" t="inlineStr">
        <is>
          <t>PRODUCTION</t>
        </is>
      </c>
      <c r="E52" s="51" t="inlineStr">
        <is>
          <t>APA</t>
        </is>
      </c>
      <c r="F52" s="51" t="inlineStr">
        <is>
          <t>26061609/26061608/26061607/26061108</t>
        </is>
      </c>
      <c r="G52" s="50">
        <f>IF(F52="","",IF(COUNTIF(lst_Jobs,F52&amp;"")&gt;0,"OK","CHECK"))</f>
        <v/>
      </c>
      <c r="H52" s="51" t="inlineStr">
        <is>
          <t>APA - All Hands Package FY27 (PO-00030766)</t>
        </is>
      </c>
      <c r="I52" s="51" t="inlineStr">
        <is>
          <t>Project</t>
        </is>
      </c>
      <c r="J52" s="51" t="inlineStr">
        <is>
          <t>INV-10521</t>
        </is>
      </c>
      <c r="K52" s="51" t="inlineStr">
        <is>
          <t>GST 10%</t>
        </is>
      </c>
      <c r="L52" s="52" t="n">
        <v>54051.4</v>
      </c>
      <c r="M52" s="53">
        <f>IF(L52="","",IF(K52="GST 10%",ROUND(L52*0.1,2),0))</f>
        <v/>
      </c>
      <c r="N52" s="53">
        <f>IF(L52="","",L52+M52)</f>
        <v/>
      </c>
      <c r="O52" s="51" t="inlineStr">
        <is>
          <t>42100</t>
        </is>
      </c>
      <c r="P52" s="51" t="inlineStr">
        <is>
          <t>Y</t>
        </is>
      </c>
      <c r="Q52" s="51" t="inlineStr">
        <is>
          <t>N</t>
        </is>
      </c>
      <c r="R52" s="51" t="inlineStr">
        <is>
          <t>Invoiced</t>
        </is>
      </c>
      <c r="S52" s="51" t="n"/>
      <c r="T52" s="52" t="n">
        <v>4308</v>
      </c>
      <c r="U52" s="53">
        <f>IF(L52="","",L52-N(T52))</f>
        <v/>
      </c>
      <c r="V52" s="50">
        <f>IF(L52="","",IF(SIGN(N(T52))*SIGN(L52)=-1,"CHECK - video sign",IF(ABS(N(T52))&gt;ABS(L52),"CHECK - video exceeds invoice",IF(AND(D52="VIDEO",ROUND(N(T52),2)&lt;&gt;ROUND(L52,2)),"CHECK - VIDEO job not fully split",IF(N(T52)=0,"All production",IF(ROUND(N(T52),2)=ROUND(L52,2),"All video","Split"))))))</f>
        <v/>
      </c>
      <c r="W52" s="53">
        <f>IF(L52="","",IF(N(T52)=0,0,ROUND(M52*N(T52)/L52,2)))</f>
        <v/>
      </c>
      <c r="X52" s="51" t="n"/>
      <c r="Y52" s="48" t="inlineStr">
        <is>
          <t>N/A</t>
        </is>
      </c>
      <c r="Z52" s="51" t="inlineStr">
        <is>
          <t>Proj: 0017</t>
        </is>
      </c>
      <c r="AA52" s="51" t="inlineStr">
        <is>
          <t>26061609</t>
        </is>
      </c>
      <c r="AB52" s="51" t="inlineStr">
        <is>
          <t>Y</t>
        </is>
      </c>
      <c r="AC52" s="52" t="n"/>
      <c r="AD52" s="55">
        <f>IFERROR(AC52/AG52,"")</f>
        <v/>
      </c>
      <c r="AE52" s="52" t="n"/>
      <c r="AF52" s="52" t="n"/>
      <c r="AG52" s="53">
        <f>IF(L52="","",L52-N(AC52))</f>
        <v/>
      </c>
      <c r="AH52" s="53">
        <f>IF(L52="","",L52-N(AE52)-N(AF52))</f>
        <v/>
      </c>
      <c r="AI52" s="55">
        <f>IFERROR(AH52/L52,"")</f>
        <v/>
      </c>
      <c r="AJ52" s="54" t="n"/>
      <c r="AK52" s="54" t="n"/>
      <c r="AL52" s="54" t="n"/>
      <c r="AM52" s="54" t="n"/>
      <c r="AN52" s="54" t="n"/>
    </row>
    <row r="53" ht="15" customHeight="1">
      <c r="A53" s="48" t="n">
        <v>46216</v>
      </c>
      <c r="B53" s="49">
        <f>IF(A53="","",EOMONTH(A53,0))</f>
        <v/>
      </c>
      <c r="C53" s="50">
        <f>"Production"</f>
        <v/>
      </c>
      <c r="D53" s="51" t="inlineStr">
        <is>
          <t>CTS</t>
        </is>
      </c>
      <c r="E53" s="51" t="inlineStr">
        <is>
          <t>Jaaz Salanoa</t>
        </is>
      </c>
      <c r="F53" s="51" t="inlineStr">
        <is>
          <t>9100</t>
        </is>
      </c>
      <c r="G53" s="50">
        <f>IF(F53="","",IF(COUNTIF(lst_Jobs,F53&amp;"")&gt;0,"OK","CHECK"))</f>
        <v/>
      </c>
      <c r="H53" s="51" t="inlineStr">
        <is>
          <t>Jaaz - Goget Hire</t>
        </is>
      </c>
      <c r="I53" s="51" t="inlineStr">
        <is>
          <t>Project</t>
        </is>
      </c>
      <c r="J53" s="51" t="inlineStr">
        <is>
          <t>INV-10523</t>
        </is>
      </c>
      <c r="K53" s="51" t="inlineStr">
        <is>
          <t>GST 10%</t>
        </is>
      </c>
      <c r="L53" s="52" t="n"/>
      <c r="M53" s="53">
        <f>IF(L53="","",IF(K53="GST 10%",ROUND(L53*0.1,2),0))</f>
        <v/>
      </c>
      <c r="N53" s="53">
        <f>IF(L53="","",L53+M53)</f>
        <v/>
      </c>
      <c r="O53" s="51" t="inlineStr">
        <is>
          <t>42100</t>
        </is>
      </c>
      <c r="P53" s="51" t="inlineStr">
        <is>
          <t>Y</t>
        </is>
      </c>
      <c r="Q53" s="51" t="inlineStr">
        <is>
          <t>N</t>
        </is>
      </c>
      <c r="R53" s="51" t="inlineStr">
        <is>
          <t>Invoiced</t>
        </is>
      </c>
      <c r="S53" s="51" t="n"/>
      <c r="T53" s="52" t="n"/>
      <c r="U53" s="53">
        <f>IF(L53="","",L53-N(T53))</f>
        <v/>
      </c>
      <c r="V53" s="50">
        <f>IF(L53="","",IF(SIGN(N(T53))*SIGN(L53)=-1,"CHECK - video sign",IF(ABS(N(T53))&gt;ABS(L53),"CHECK - video exceeds invoice",IF(AND(D53="VIDEO",ROUND(N(T53),2)&lt;&gt;ROUND(L53,2)),"CHECK - VIDEO job not fully split",IF(N(T53)=0,"All production",IF(ROUND(N(T53),2)=ROUND(L53,2),"All video","Split"))))))</f>
        <v/>
      </c>
      <c r="W53" s="53">
        <f>IF(L53="","",IF(N(T53)=0,0,ROUND(M53*N(T53)/L53,2)))</f>
        <v/>
      </c>
      <c r="X53" s="51" t="inlineStr">
        <is>
          <t>jaaz.salanoa@ctsav.com.au</t>
        </is>
      </c>
      <c r="Y53" s="48" t="inlineStr">
        <is>
          <t>N/A</t>
        </is>
      </c>
      <c r="Z53" s="51" t="n"/>
      <c r="AA53" s="51" t="inlineStr">
        <is>
          <t>N/A</t>
        </is>
      </c>
      <c r="AB53" s="51" t="inlineStr">
        <is>
          <t>Y</t>
        </is>
      </c>
      <c r="AC53" s="52" t="n"/>
      <c r="AD53" s="55">
        <f>IFERROR(AC53/AG53,"")</f>
        <v/>
      </c>
      <c r="AE53" s="52" t="n"/>
      <c r="AF53" s="52" t="n"/>
      <c r="AG53" s="53">
        <f>IF(L53="","",L53-N(AC53))</f>
        <v/>
      </c>
      <c r="AH53" s="53">
        <f>IF(L53="","",L53-N(AE53)-N(AF53))</f>
        <v/>
      </c>
      <c r="AI53" s="55">
        <f>IFERROR(AH53/L53,"")</f>
        <v/>
      </c>
      <c r="AJ53" s="54" t="n"/>
      <c r="AK53" s="54" t="n"/>
      <c r="AL53" s="54" t="n"/>
      <c r="AM53" s="54" t="n"/>
      <c r="AN53" s="54" t="n"/>
    </row>
    <row r="54" ht="15" customHeight="1">
      <c r="A54" s="48" t="n">
        <v>46265</v>
      </c>
      <c r="B54" s="49">
        <f>IF(A54="","",EOMONTH(A54,0))</f>
        <v/>
      </c>
      <c r="C54" s="50">
        <f>"Production"</f>
        <v/>
      </c>
      <c r="D54" s="51" t="inlineStr">
        <is>
          <t>CTS</t>
        </is>
      </c>
      <c r="E54" s="51" t="inlineStr">
        <is>
          <t>Jaaz Salanoa</t>
        </is>
      </c>
      <c r="F54" s="51" t="inlineStr">
        <is>
          <t>9100</t>
        </is>
      </c>
      <c r="G54" s="50">
        <f>IF(F54="","",IF(COUNTIF(lst_Jobs,F54&amp;"")&gt;0,"OK","CHECK"))</f>
        <v/>
      </c>
      <c r="H54" s="51" t="inlineStr">
        <is>
          <t>Jaaz - Goget Hire</t>
        </is>
      </c>
      <c r="I54" s="51" t="inlineStr">
        <is>
          <t>Project</t>
        </is>
      </c>
      <c r="J54" s="51" t="inlineStr">
        <is>
          <t>INV-10621</t>
        </is>
      </c>
      <c r="K54" s="51" t="inlineStr">
        <is>
          <t>GST 10%</t>
        </is>
      </c>
      <c r="L54" s="52" t="n"/>
      <c r="M54" s="53">
        <f>IF(L54="","",IF(K54="GST 10%",ROUND(L54*0.1,2),0))</f>
        <v/>
      </c>
      <c r="N54" s="53">
        <f>IF(L54="","",L54+M54)</f>
        <v/>
      </c>
      <c r="O54" s="51" t="inlineStr">
        <is>
          <t>42100</t>
        </is>
      </c>
      <c r="P54" s="51" t="inlineStr">
        <is>
          <t>Y</t>
        </is>
      </c>
      <c r="Q54" s="51" t="inlineStr">
        <is>
          <t>N</t>
        </is>
      </c>
      <c r="R54" s="51" t="inlineStr">
        <is>
          <t>Invoiced</t>
        </is>
      </c>
      <c r="S54" s="51" t="n"/>
      <c r="T54" s="52" t="n"/>
      <c r="U54" s="53">
        <f>IF(L54="","",L54-N(T54))</f>
        <v/>
      </c>
      <c r="V54" s="50">
        <f>IF(L54="","",IF(SIGN(N(T54))*SIGN(L54)=-1,"CHECK - video sign",IF(ABS(N(T54))&gt;ABS(L54),"CHECK - video exceeds invoice",IF(AND(D54="VIDEO",ROUND(N(T54),2)&lt;&gt;ROUND(L54,2)),"CHECK - VIDEO job not fully split",IF(N(T54)=0,"All production",IF(ROUND(N(T54),2)=ROUND(L54,2),"All video","Split"))))))</f>
        <v/>
      </c>
      <c r="W54" s="53">
        <f>IF(L54="","",IF(N(T54)=0,0,ROUND(M54*N(T54)/L54,2)))</f>
        <v/>
      </c>
      <c r="X54" s="51" t="inlineStr">
        <is>
          <t>jaaz.salanoa@ctsav.com.au</t>
        </is>
      </c>
      <c r="Y54" s="48" t="inlineStr">
        <is>
          <t>N/A</t>
        </is>
      </c>
      <c r="Z54" s="51" t="n"/>
      <c r="AA54" s="51" t="inlineStr">
        <is>
          <t>N/A</t>
        </is>
      </c>
      <c r="AB54" s="51" t="inlineStr">
        <is>
          <t>Y</t>
        </is>
      </c>
      <c r="AC54" s="52" t="n"/>
      <c r="AD54" s="55">
        <f>IFERROR(AC54/AG54,"")</f>
        <v/>
      </c>
      <c r="AE54" s="52" t="n"/>
      <c r="AF54" s="52" t="n"/>
      <c r="AG54" s="53">
        <f>IF(L54="","",L54-N(AC54))</f>
        <v/>
      </c>
      <c r="AH54" s="53">
        <f>IF(L54="","",L54-N(AE54)-N(AF54))</f>
        <v/>
      </c>
      <c r="AI54" s="55">
        <f>IFERROR(AH54/L54,"")</f>
        <v/>
      </c>
      <c r="AJ54" s="54" t="n"/>
      <c r="AK54" s="54" t="n"/>
      <c r="AL54" s="54" t="n"/>
      <c r="AM54" s="54" t="n"/>
      <c r="AN54" s="54" t="n"/>
    </row>
    <row r="55" ht="15" customHeight="1">
      <c r="A55" s="48" t="n"/>
      <c r="B55" s="49">
        <f>IF(A55="","",EOMONTH(A55,0))</f>
        <v/>
      </c>
      <c r="C55" s="50">
        <f>"Production"</f>
        <v/>
      </c>
      <c r="D55" s="51" t="inlineStr">
        <is>
          <t>PRODUCTION</t>
        </is>
      </c>
      <c r="E55" s="51" t="inlineStr">
        <is>
          <t>ASX</t>
        </is>
      </c>
      <c r="F55" s="51" t="inlineStr">
        <is>
          <t>26061602</t>
        </is>
      </c>
      <c r="G55" s="50">
        <f>IF(F55="","",IF(COUNTIF(lst_Jobs,F55&amp;"")&gt;0,"OK","CHECK"))</f>
        <v/>
      </c>
      <c r="H55" s="51" t="inlineStr">
        <is>
          <t>CEO Connect (Extended Results)</t>
        </is>
      </c>
      <c r="I55" s="51" t="inlineStr">
        <is>
          <t>Project</t>
        </is>
      </c>
      <c r="J55" s="51" t="n"/>
      <c r="K55" s="51" t="inlineStr">
        <is>
          <t>GST 10%</t>
        </is>
      </c>
      <c r="L55" s="52" t="n">
        <v>4174</v>
      </c>
      <c r="M55" s="53">
        <f>IF(L55="","",IF(K55="GST 10%",ROUND(L55*0.1,2),0))</f>
        <v/>
      </c>
      <c r="N55" s="53">
        <f>IF(L55="","",L55+M55)</f>
        <v/>
      </c>
      <c r="O55" s="51" t="inlineStr">
        <is>
          <t>42100</t>
        </is>
      </c>
      <c r="P55" s="51" t="inlineStr">
        <is>
          <t>Y</t>
        </is>
      </c>
      <c r="Q55" s="51" t="inlineStr">
        <is>
          <t>N</t>
        </is>
      </c>
      <c r="R55" s="51" t="inlineStr">
        <is>
          <t>To Invoice</t>
        </is>
      </c>
      <c r="S55" s="51" t="n"/>
      <c r="T55" s="52" t="n">
        <v>1500</v>
      </c>
      <c r="U55" s="53">
        <f>IF(L55="","",L55-N(T55))</f>
        <v/>
      </c>
      <c r="V55" s="50">
        <f>IF(L55="","",IF(SIGN(N(T55))*SIGN(L55)=-1,"CHECK - video sign",IF(ABS(N(T55))&gt;ABS(L55),"CHECK - video exceeds invoice",IF(AND(D55="VIDEO",ROUND(N(T55),2)&lt;&gt;ROUND(L55,2)),"CHECK - VIDEO job not fully split",IF(N(T55)=0,"All production",IF(ROUND(N(T55),2)=ROUND(L55,2),"All video","Split"))))))</f>
        <v/>
      </c>
      <c r="W55" s="53">
        <f>IF(L55="","",IF(N(T55)=0,0,ROUND(M55*N(T55)/L55,2)))</f>
        <v/>
      </c>
      <c r="X55" s="51" t="inlineStr">
        <is>
          <t>oliver.mariano@asx.com.au</t>
        </is>
      </c>
      <c r="Y55" s="48" t="n">
        <v>46266</v>
      </c>
      <c r="Z55" s="51" t="inlineStr">
        <is>
          <t>5849</t>
        </is>
      </c>
      <c r="AA55" s="51" t="inlineStr">
        <is>
          <t>26061602</t>
        </is>
      </c>
      <c r="AB55" s="51" t="inlineStr">
        <is>
          <t>Y</t>
        </is>
      </c>
      <c r="AC55" s="52" t="n">
        <v>261</v>
      </c>
      <c r="AD55" s="55">
        <f>IFERROR(AC55/AG55,"")</f>
        <v/>
      </c>
      <c r="AE55" s="52" t="n"/>
      <c r="AF55" s="52" t="n"/>
      <c r="AG55" s="53">
        <f>IF(L55="","",L55-N(AC55))</f>
        <v/>
      </c>
      <c r="AH55" s="53">
        <f>IF(L55="","",L55-N(AE55)-N(AF55))</f>
        <v/>
      </c>
      <c r="AI55" s="55">
        <f>IFERROR(AH55/L55,"")</f>
        <v/>
      </c>
      <c r="AJ55" s="54" t="n"/>
      <c r="AK55" s="54" t="n">
        <v>9</v>
      </c>
      <c r="AL55" s="54" t="n"/>
      <c r="AM55" s="54" t="n"/>
      <c r="AN55" s="54" t="n">
        <v>16</v>
      </c>
    </row>
    <row r="56" ht="15" customHeight="1">
      <c r="A56" s="48" t="n"/>
      <c r="B56" s="49">
        <f>IF(A56="","",EOMONTH(A56,0))</f>
        <v/>
      </c>
      <c r="C56" s="50">
        <f>"Production"</f>
        <v/>
      </c>
      <c r="D56" s="51" t="inlineStr">
        <is>
          <t>PRODUCTION</t>
        </is>
      </c>
      <c r="E56" s="51" t="inlineStr">
        <is>
          <t>ASX</t>
        </is>
      </c>
      <c r="F56" s="51" t="inlineStr">
        <is>
          <t>26071701</t>
        </is>
      </c>
      <c r="G56" s="50">
        <f>IF(F56="","",IF(COUNTIF(lst_Jobs,F56&amp;"")&gt;0,"OK","CHECK"))</f>
        <v/>
      </c>
      <c r="H56" s="51" t="inlineStr">
        <is>
          <t>ASX Live 1.9.26</t>
        </is>
      </c>
      <c r="I56" s="51" t="inlineStr">
        <is>
          <t>Project</t>
        </is>
      </c>
      <c r="J56" s="51" t="n"/>
      <c r="K56" s="51" t="inlineStr">
        <is>
          <t>GST 10%</t>
        </is>
      </c>
      <c r="L56" s="52" t="n">
        <v>7768</v>
      </c>
      <c r="M56" s="53">
        <f>IF(L56="","",IF(K56="GST 10%",ROUND(L56*0.1,2),0))</f>
        <v/>
      </c>
      <c r="N56" s="53">
        <f>IF(L56="","",L56+M56)</f>
        <v/>
      </c>
      <c r="O56" s="51" t="inlineStr">
        <is>
          <t>42100</t>
        </is>
      </c>
      <c r="P56" s="51" t="inlineStr">
        <is>
          <t>Y</t>
        </is>
      </c>
      <c r="Q56" s="51" t="inlineStr">
        <is>
          <t>N</t>
        </is>
      </c>
      <c r="R56" s="51" t="inlineStr">
        <is>
          <t>To Invoice</t>
        </is>
      </c>
      <c r="S56" s="51" t="n"/>
      <c r="T56" s="52" t="n">
        <v>1508</v>
      </c>
      <c r="U56" s="53">
        <f>IF(L56="","",L56-N(T56))</f>
        <v/>
      </c>
      <c r="V56" s="50">
        <f>IF(L56="","",IF(SIGN(N(T56))*SIGN(L56)=-1,"CHECK - video sign",IF(ABS(N(T56))&gt;ABS(L56),"CHECK - video exceeds invoice",IF(AND(D56="VIDEO",ROUND(N(T56),2)&lt;&gt;ROUND(L56,2)),"CHECK - VIDEO job not fully split",IF(N(T56)=0,"All production",IF(ROUND(N(T56),2)=ROUND(L56,2),"All video","Split"))))))</f>
        <v/>
      </c>
      <c r="W56" s="53">
        <f>IF(L56="","",IF(N(T56)=0,0,ROUND(M56*N(T56)/L56,2)))</f>
        <v/>
      </c>
      <c r="X56" s="51" t="inlineStr">
        <is>
          <t>Aimee.Kuipers@asx.com.au</t>
        </is>
      </c>
      <c r="Y56" s="48" t="n">
        <v>46266</v>
      </c>
      <c r="Z56" s="51" t="inlineStr">
        <is>
          <t>6143</t>
        </is>
      </c>
      <c r="AA56" s="51" t="inlineStr">
        <is>
          <t>26071701</t>
        </is>
      </c>
      <c r="AB56" s="51" t="inlineStr">
        <is>
          <t>Y</t>
        </is>
      </c>
      <c r="AC56" s="52" t="n">
        <v>180</v>
      </c>
      <c r="AD56" s="55">
        <f>IFERROR(AC56/AG56,"")</f>
        <v/>
      </c>
      <c r="AE56" s="52" t="n"/>
      <c r="AF56" s="52" t="n"/>
      <c r="AG56" s="53">
        <f>IF(L56="","",L56-N(AC56))</f>
        <v/>
      </c>
      <c r="AH56" s="53">
        <f>IF(L56="","",L56-N(AE56)-N(AF56))</f>
        <v/>
      </c>
      <c r="AI56" s="55">
        <f>IFERROR(AH56/L56,"")</f>
        <v/>
      </c>
      <c r="AJ56" s="54" t="n">
        <v>4</v>
      </c>
      <c r="AK56" s="54" t="n"/>
      <c r="AL56" s="54" t="n"/>
      <c r="AM56" s="54" t="n"/>
      <c r="AN56" s="54" t="n">
        <v>31</v>
      </c>
    </row>
    <row r="57" ht="15" customHeight="1">
      <c r="A57" s="48" t="n"/>
      <c r="B57" s="49">
        <f>IF(A57="","",EOMONTH(A57,0))</f>
        <v/>
      </c>
      <c r="C57" s="50">
        <f>"Production"</f>
        <v/>
      </c>
      <c r="D57" s="51" t="inlineStr">
        <is>
          <t>PRODUCTION</t>
        </is>
      </c>
      <c r="E57" s="51" t="inlineStr">
        <is>
          <t>SVHS</t>
        </is>
      </c>
      <c r="F57" s="51" t="inlineStr">
        <is>
          <t>2608404</t>
        </is>
      </c>
      <c r="G57" s="50">
        <f>IF(F57="","",IF(COUNTIF(lst_Jobs,F57&amp;"")&gt;0,"OK","CHECK"))</f>
        <v/>
      </c>
      <c r="H57" s="51" t="inlineStr">
        <is>
          <t>St Vincent's Hospital - Award Ceremony 2.9.26</t>
        </is>
      </c>
      <c r="I57" s="51" t="inlineStr">
        <is>
          <t>Project</t>
        </is>
      </c>
      <c r="J57" s="51" t="n"/>
      <c r="K57" s="51" t="inlineStr">
        <is>
          <t>GST 10%</t>
        </is>
      </c>
      <c r="L57" s="52" t="n">
        <v>495</v>
      </c>
      <c r="M57" s="53">
        <f>IF(L57="","",IF(K57="GST 10%",ROUND(L57*0.1,2),0))</f>
        <v/>
      </c>
      <c r="N57" s="53">
        <f>IF(L57="","",L57+M57)</f>
        <v/>
      </c>
      <c r="O57" s="51" t="inlineStr">
        <is>
          <t>42100</t>
        </is>
      </c>
      <c r="P57" s="51" t="inlineStr">
        <is>
          <t>Y</t>
        </is>
      </c>
      <c r="Q57" s="51" t="inlineStr">
        <is>
          <t>N</t>
        </is>
      </c>
      <c r="R57" s="51" t="inlineStr">
        <is>
          <t>To Invoice</t>
        </is>
      </c>
      <c r="S57" s="51" t="n"/>
      <c r="T57" s="52" t="n"/>
      <c r="U57" s="53">
        <f>IF(L57="","",L57-N(T57))</f>
        <v/>
      </c>
      <c r="V57" s="50">
        <f>IF(L57="","",IF(SIGN(N(T57))*SIGN(L57)=-1,"CHECK - video sign",IF(ABS(N(T57))&gt;ABS(L57),"CHECK - video exceeds invoice",IF(AND(D57="VIDEO",ROUND(N(T57),2)&lt;&gt;ROUND(L57,2)),"CHECK - VIDEO job not fully split",IF(N(T57)=0,"All production",IF(ROUND(N(T57),2)=ROUND(L57,2),"All video","Split"))))))</f>
        <v/>
      </c>
      <c r="W57" s="53">
        <f>IF(L57="","",IF(N(T57)=0,0,ROUND(M57*N(T57)/L57,2)))</f>
        <v/>
      </c>
      <c r="X57" s="51" t="inlineStr">
        <is>
          <t>juan.velozo@svha.org.au</t>
        </is>
      </c>
      <c r="Y57" s="48" t="n">
        <v>46267</v>
      </c>
      <c r="Z57" s="51" t="inlineStr">
        <is>
          <t>6115</t>
        </is>
      </c>
      <c r="AA57" s="51" t="inlineStr">
        <is>
          <t>2608404</t>
        </is>
      </c>
      <c r="AB57" s="51" t="inlineStr">
        <is>
          <t>Y</t>
        </is>
      </c>
      <c r="AC57" s="52" t="n"/>
      <c r="AD57" s="55">
        <f>IFERROR(AC57/AG57,"")</f>
        <v/>
      </c>
      <c r="AE57" s="52" t="n"/>
      <c r="AF57" s="52" t="n"/>
      <c r="AG57" s="53">
        <f>IF(L57="","",L57-N(AC57))</f>
        <v/>
      </c>
      <c r="AH57" s="53">
        <f>IF(L57="","",L57-N(AE57)-N(AF57))</f>
        <v/>
      </c>
      <c r="AI57" s="55">
        <f>IFERROR(AH57/L57,"")</f>
        <v/>
      </c>
      <c r="AJ57" s="54" t="n"/>
      <c r="AK57" s="54" t="n">
        <v>1</v>
      </c>
      <c r="AL57" s="54" t="n">
        <v>1</v>
      </c>
      <c r="AM57" s="54" t="n"/>
      <c r="AN57" s="54" t="n">
        <v>4</v>
      </c>
    </row>
    <row r="58" ht="15" customHeight="1">
      <c r="A58" s="48" t="n"/>
      <c r="B58" s="49">
        <f>IF(A58="","",EOMONTH(A58,0))</f>
        <v/>
      </c>
      <c r="C58" s="50">
        <f>"Production"</f>
        <v/>
      </c>
      <c r="D58" s="51" t="inlineStr">
        <is>
          <t>PRODUCTION</t>
        </is>
      </c>
      <c r="E58" s="51" t="inlineStr">
        <is>
          <t xml:space="preserve">Garvan </t>
        </is>
      </c>
      <c r="F58" s="51" t="inlineStr">
        <is>
          <t>26081904</t>
        </is>
      </c>
      <c r="G58" s="50">
        <f>IF(F58="","",IF(COUNTIF(lst_Jobs,F58&amp;"")&gt;0,"OK","CHECK"))</f>
        <v/>
      </c>
      <c r="H58" s="51" t="inlineStr">
        <is>
          <t>AllClear Program Meeting - 2.9.26</t>
        </is>
      </c>
      <c r="I58" s="51" t="inlineStr">
        <is>
          <t>Project</t>
        </is>
      </c>
      <c r="J58" s="51" t="n"/>
      <c r="K58" s="51" t="inlineStr">
        <is>
          <t>GST 10%</t>
        </is>
      </c>
      <c r="L58" s="52" t="n">
        <v>865</v>
      </c>
      <c r="M58" s="53">
        <f>IF(L58="","",IF(K58="GST 10%",ROUND(L58*0.1,2),0))</f>
        <v/>
      </c>
      <c r="N58" s="53">
        <f>IF(L58="","",L58+M58)</f>
        <v/>
      </c>
      <c r="O58" s="51" t="inlineStr">
        <is>
          <t>42100</t>
        </is>
      </c>
      <c r="P58" s="51" t="inlineStr">
        <is>
          <t>Y</t>
        </is>
      </c>
      <c r="Q58" s="51" t="inlineStr">
        <is>
          <t>N</t>
        </is>
      </c>
      <c r="R58" s="51" t="inlineStr">
        <is>
          <t>To Invoice</t>
        </is>
      </c>
      <c r="S58" s="51" t="n"/>
      <c r="T58" s="52" t="n"/>
      <c r="U58" s="53">
        <f>IF(L58="","",L58-N(T58))</f>
        <v/>
      </c>
      <c r="V58" s="50">
        <f>IF(L58="","",IF(SIGN(N(T58))*SIGN(L58)=-1,"CHECK - video sign",IF(ABS(N(T58))&gt;ABS(L58),"CHECK - video exceeds invoice",IF(AND(D58="VIDEO",ROUND(N(T58),2)&lt;&gt;ROUND(L58,2)),"CHECK - VIDEO job not fully split",IF(N(T58)=0,"All production",IF(ROUND(N(T58),2)=ROUND(L58,2),"All video","Split"))))))</f>
        <v/>
      </c>
      <c r="W58" s="53">
        <f>IF(L58="","",IF(N(T58)=0,0,ROUND(M58*N(T58)/L58,2)))</f>
        <v/>
      </c>
      <c r="X58" s="51" t="inlineStr">
        <is>
          <t>r.vieyra@garvan.org.au</t>
        </is>
      </c>
      <c r="Y58" s="48" t="n">
        <v>46267</v>
      </c>
      <c r="Z58" s="51" t="inlineStr">
        <is>
          <t>6160</t>
        </is>
      </c>
      <c r="AA58" s="51" t="inlineStr">
        <is>
          <t>26081904</t>
        </is>
      </c>
      <c r="AB58" s="51" t="inlineStr">
        <is>
          <t>Y</t>
        </is>
      </c>
      <c r="AC58" s="52" t="n">
        <v>90</v>
      </c>
      <c r="AD58" s="55">
        <f>IFERROR(AC58/AG58,"")</f>
        <v/>
      </c>
      <c r="AE58" s="52" t="n"/>
      <c r="AF58" s="52" t="n"/>
      <c r="AG58" s="53">
        <f>IF(L58="","",L58-N(AC58))</f>
        <v/>
      </c>
      <c r="AH58" s="53">
        <f>IF(L58="","",L58-N(AE58)-N(AF58))</f>
        <v/>
      </c>
      <c r="AI58" s="55">
        <f>IFERROR(AH58/L58,"")</f>
        <v/>
      </c>
      <c r="AJ58" s="54" t="n"/>
      <c r="AK58" s="54" t="n">
        <v>1</v>
      </c>
      <c r="AL58" s="54" t="n">
        <v>1</v>
      </c>
      <c r="AM58" s="54" t="n"/>
      <c r="AN58" s="54" t="n">
        <v>5</v>
      </c>
    </row>
    <row r="59" ht="15" customHeight="1">
      <c r="A59" s="48" t="n"/>
      <c r="B59" s="49">
        <f>IF(A59="","",EOMONTH(A59,0))</f>
        <v/>
      </c>
      <c r="C59" s="50">
        <f>"Production"</f>
        <v/>
      </c>
      <c r="D59" s="51" t="inlineStr">
        <is>
          <t>PRODUCTION</t>
        </is>
      </c>
      <c r="E59" s="51" t="inlineStr">
        <is>
          <t>RSNSW</t>
        </is>
      </c>
      <c r="F59" s="51" t="inlineStr">
        <is>
          <t>26032302</t>
        </is>
      </c>
      <c r="G59" s="50">
        <f>IF(F59="","",IF(COUNTIF(lst_Jobs,F59&amp;"")&gt;0,"OK","CHECK"))</f>
        <v/>
      </c>
      <c r="H59" s="51" t="inlineStr">
        <is>
          <t>Ordinary General Meeting 2.9.26</t>
        </is>
      </c>
      <c r="I59" s="51" t="inlineStr">
        <is>
          <t>Project</t>
        </is>
      </c>
      <c r="J59" s="51" t="n"/>
      <c r="K59" s="51" t="inlineStr">
        <is>
          <t>GST 10%</t>
        </is>
      </c>
      <c r="L59" s="52" t="n">
        <v>3261</v>
      </c>
      <c r="M59" s="53">
        <f>IF(L59="","",IF(K59="GST 10%",ROUND(L59*0.1,2),0))</f>
        <v/>
      </c>
      <c r="N59" s="53">
        <f>IF(L59="","",L59+M59)</f>
        <v/>
      </c>
      <c r="O59" s="51" t="inlineStr">
        <is>
          <t>42100</t>
        </is>
      </c>
      <c r="P59" s="51" t="inlineStr">
        <is>
          <t>Y</t>
        </is>
      </c>
      <c r="Q59" s="51" t="inlineStr">
        <is>
          <t>N</t>
        </is>
      </c>
      <c r="R59" s="51" t="inlineStr">
        <is>
          <t>To Invoice</t>
        </is>
      </c>
      <c r="S59" s="51" t="n"/>
      <c r="T59" s="52" t="n">
        <v>1029</v>
      </c>
      <c r="U59" s="53">
        <f>IF(L59="","",L59-N(T59))</f>
        <v/>
      </c>
      <c r="V59" s="50">
        <f>IF(L59="","",IF(SIGN(N(T59))*SIGN(L59)=-1,"CHECK - video sign",IF(ABS(N(T59))&gt;ABS(L59),"CHECK - video exceeds invoice",IF(AND(D59="VIDEO",ROUND(N(T59),2)&lt;&gt;ROUND(L59,2)),"CHECK - VIDEO job not fully split",IF(N(T59)=0,"All production",IF(ROUND(N(T59),2)=ROUND(L59,2),"All video","Split"))))))</f>
        <v/>
      </c>
      <c r="W59" s="53">
        <f>IF(L59="","",IF(N(T59)=0,0,ROUND(M59*N(T59)/L59,2)))</f>
        <v/>
      </c>
      <c r="X59" s="51" t="inlineStr">
        <is>
          <t>lindsay.botten@outlook.com</t>
        </is>
      </c>
      <c r="Y59" s="48" t="n">
        <v>46267</v>
      </c>
      <c r="Z59" s="51" t="inlineStr">
        <is>
          <t>5925</t>
        </is>
      </c>
      <c r="AA59" s="51" t="inlineStr">
        <is>
          <t>26032302</t>
        </is>
      </c>
      <c r="AB59" s="51" t="inlineStr">
        <is>
          <t>Y</t>
        </is>
      </c>
      <c r="AC59" s="52" t="n">
        <v>334</v>
      </c>
      <c r="AD59" s="55">
        <f>IFERROR(AC59/AG59,"")</f>
        <v/>
      </c>
      <c r="AE59" s="52" t="n"/>
      <c r="AF59" s="52" t="n"/>
      <c r="AG59" s="53">
        <f>IF(L59="","",L59-N(AC59))</f>
        <v/>
      </c>
      <c r="AH59" s="53">
        <f>IF(L59="","",L59-N(AE59)-N(AF59))</f>
        <v/>
      </c>
      <c r="AI59" s="55">
        <f>IFERROR(AH59/L59,"")</f>
        <v/>
      </c>
      <c r="AJ59" s="54" t="n">
        <v>4</v>
      </c>
      <c r="AK59" s="54" t="n"/>
      <c r="AL59" s="54" t="n"/>
      <c r="AM59" s="54" t="n"/>
      <c r="AN59" s="54" t="n">
        <v>12</v>
      </c>
    </row>
    <row r="60" ht="15" customHeight="1">
      <c r="A60" s="48" t="n"/>
      <c r="B60" s="49">
        <f>IF(A60="","",EOMONTH(A60,0))</f>
        <v/>
      </c>
      <c r="C60" s="50">
        <f>"Production"</f>
        <v/>
      </c>
      <c r="D60" s="51" t="inlineStr">
        <is>
          <t>PRODUCTION</t>
        </is>
      </c>
      <c r="E60" s="51" t="inlineStr">
        <is>
          <t>Ventia</t>
        </is>
      </c>
      <c r="F60" s="51" t="inlineStr">
        <is>
          <t>26072102</t>
        </is>
      </c>
      <c r="G60" s="50">
        <f>IF(F60="","",IF(COUNTIF(lst_Jobs,F60&amp;"")&gt;0,"OK","CHECK"))</f>
        <v/>
      </c>
      <c r="H60" s="51" t="inlineStr">
        <is>
          <t>RUOK? Day 10.9.26</t>
        </is>
      </c>
      <c r="I60" s="51" t="inlineStr">
        <is>
          <t>Project</t>
        </is>
      </c>
      <c r="J60" s="51" t="n"/>
      <c r="K60" s="51" t="inlineStr">
        <is>
          <t>GST 10%</t>
        </is>
      </c>
      <c r="L60" s="52" t="n">
        <v>10015.89</v>
      </c>
      <c r="M60" s="53">
        <f>IF(L60="","",IF(K60="GST 10%",ROUND(L60*0.1,2),0))</f>
        <v/>
      </c>
      <c r="N60" s="53">
        <f>IF(L60="","",L60+M60)</f>
        <v/>
      </c>
      <c r="O60" s="51" t="inlineStr">
        <is>
          <t>42100</t>
        </is>
      </c>
      <c r="P60" s="51" t="inlineStr">
        <is>
          <t>Y</t>
        </is>
      </c>
      <c r="Q60" s="51" t="inlineStr">
        <is>
          <t>N</t>
        </is>
      </c>
      <c r="R60" s="51" t="inlineStr">
        <is>
          <t>To Invoice</t>
        </is>
      </c>
      <c r="S60" s="51" t="n"/>
      <c r="T60" s="52" t="n">
        <v>1578.1</v>
      </c>
      <c r="U60" s="53">
        <f>IF(L60="","",L60-N(T60))</f>
        <v/>
      </c>
      <c r="V60" s="50">
        <f>IF(L60="","",IF(SIGN(N(T60))*SIGN(L60)=-1,"CHECK - video sign",IF(ABS(N(T60))&gt;ABS(L60),"CHECK - video exceeds invoice",IF(AND(D60="VIDEO",ROUND(N(T60),2)&lt;&gt;ROUND(L60,2)),"CHECK - VIDEO job not fully split",IF(N(T60)=0,"All production",IF(ROUND(N(T60),2)=ROUND(L60,2),"All video","Split"))))))</f>
        <v/>
      </c>
      <c r="W60" s="53">
        <f>IF(L60="","",IF(N(T60)=0,0,ROUND(M60*N(T60)/L60,2)))</f>
        <v/>
      </c>
      <c r="X60" s="51" t="inlineStr">
        <is>
          <t>amy.johnson@ventia.com</t>
        </is>
      </c>
      <c r="Y60" s="48" t="n">
        <v>46275</v>
      </c>
      <c r="Z60" s="51" t="inlineStr">
        <is>
          <t>6122</t>
        </is>
      </c>
      <c r="AA60" s="51" t="inlineStr">
        <is>
          <t>26072102</t>
        </is>
      </c>
      <c r="AB60" s="51" t="inlineStr">
        <is>
          <t>Y</t>
        </is>
      </c>
      <c r="AC60" s="52" t="n">
        <v>2005.65</v>
      </c>
      <c r="AD60" s="55">
        <f>IFERROR(AC60/AG60,"")</f>
        <v/>
      </c>
      <c r="AE60" s="52" t="n"/>
      <c r="AF60" s="52" t="n"/>
      <c r="AG60" s="53">
        <f>IF(L60="","",L60-N(AC60))</f>
        <v/>
      </c>
      <c r="AH60" s="53">
        <f>IF(L60="","",L60-N(AE60)-N(AF60))</f>
        <v/>
      </c>
      <c r="AI60" s="55">
        <f>IFERROR(AH60/L60,"")</f>
        <v/>
      </c>
      <c r="AJ60" s="54" t="n">
        <v>4</v>
      </c>
      <c r="AK60" s="54" t="n"/>
      <c r="AL60" s="54" t="n"/>
      <c r="AM60" s="54" t="n"/>
      <c r="AN60" s="54" t="n">
        <v>28</v>
      </c>
    </row>
    <row r="61" ht="15" customHeight="1">
      <c r="A61" s="48" t="n"/>
      <c r="B61" s="49">
        <f>IF(A61="","",EOMONTH(A61,0))</f>
        <v/>
      </c>
      <c r="C61" s="50">
        <f>"Production"</f>
        <v/>
      </c>
      <c r="D61" s="51" t="inlineStr">
        <is>
          <t>PRODUCTION</t>
        </is>
      </c>
      <c r="E61" s="51" t="inlineStr">
        <is>
          <t>APA</t>
        </is>
      </c>
      <c r="F61" s="51" t="inlineStr">
        <is>
          <t>26082703</t>
        </is>
      </c>
      <c r="G61" s="50">
        <f>IF(F61="","",IF(COUNTIF(lst_Jobs,F61&amp;"")&gt;0,"OK","CHECK"))</f>
        <v/>
      </c>
      <c r="H61" s="51" t="inlineStr">
        <is>
          <t>RUOK? Day 10.9.26</t>
        </is>
      </c>
      <c r="I61" s="51" t="inlineStr">
        <is>
          <t>Project</t>
        </is>
      </c>
      <c r="J61" s="51" t="n"/>
      <c r="K61" s="51" t="inlineStr">
        <is>
          <t>GST 10%</t>
        </is>
      </c>
      <c r="L61" s="52" t="n">
        <v>570</v>
      </c>
      <c r="M61" s="53">
        <f>IF(L61="","",IF(K61="GST 10%",ROUND(L61*0.1,2),0))</f>
        <v/>
      </c>
      <c r="N61" s="53">
        <f>IF(L61="","",L61+M61)</f>
        <v/>
      </c>
      <c r="O61" s="51" t="inlineStr">
        <is>
          <t>42100</t>
        </is>
      </c>
      <c r="P61" s="51" t="inlineStr">
        <is>
          <t>Y</t>
        </is>
      </c>
      <c r="Q61" s="51" t="inlineStr">
        <is>
          <t>N</t>
        </is>
      </c>
      <c r="R61" s="51" t="inlineStr">
        <is>
          <t>To Invoice</t>
        </is>
      </c>
      <c r="S61" s="51" t="n"/>
      <c r="T61" s="52" t="n"/>
      <c r="U61" s="53">
        <f>IF(L61="","",L61-N(T61))</f>
        <v/>
      </c>
      <c r="V61" s="50">
        <f>IF(L61="","",IF(SIGN(N(T61))*SIGN(L61)=-1,"CHECK - video sign",IF(ABS(N(T61))&gt;ABS(L61),"CHECK - video exceeds invoice",IF(AND(D61="VIDEO",ROUND(N(T61),2)&lt;&gt;ROUND(L61,2)),"CHECK - VIDEO job not fully split",IF(N(T61)=0,"All production",IF(ROUND(N(T61),2)=ROUND(L61,2),"All video","Split"))))))</f>
        <v/>
      </c>
      <c r="W61" s="53">
        <f>IF(L61="","",IF(N(T61)=0,0,ROUND(M61*N(T61)/L61,2)))</f>
        <v/>
      </c>
      <c r="X61" s="51" t="inlineStr">
        <is>
          <t>candice.gaillard@apa.com.au</t>
        </is>
      </c>
      <c r="Y61" s="48" t="n">
        <v>46275</v>
      </c>
      <c r="Z61" s="51" t="inlineStr">
        <is>
          <t>6168</t>
        </is>
      </c>
      <c r="AA61" s="51" t="inlineStr">
        <is>
          <t>26082703</t>
        </is>
      </c>
      <c r="AB61" s="51" t="inlineStr">
        <is>
          <t>Y</t>
        </is>
      </c>
      <c r="AC61" s="52" t="n"/>
      <c r="AD61" s="55">
        <f>IFERROR(AC61/AG61,"")</f>
        <v/>
      </c>
      <c r="AE61" s="52" t="n"/>
      <c r="AF61" s="52" t="n"/>
      <c r="AG61" s="53">
        <f>IF(L61="","",L61-N(AC61))</f>
        <v/>
      </c>
      <c r="AH61" s="53">
        <f>IF(L61="","",L61-N(AE61)-N(AF61))</f>
        <v/>
      </c>
      <c r="AI61" s="55">
        <f>IFERROR(AH61/L61,"")</f>
        <v/>
      </c>
      <c r="AJ61" s="54" t="n"/>
      <c r="AK61" s="54" t="n"/>
      <c r="AL61" s="54" t="n"/>
      <c r="AM61" s="54" t="n"/>
      <c r="AN61" s="54" t="n">
        <v>6</v>
      </c>
    </row>
    <row r="62" ht="15" customHeight="1">
      <c r="A62" s="48" t="n"/>
      <c r="B62" s="49">
        <f>IF(A62="","",EOMONTH(A62,0))</f>
        <v/>
      </c>
      <c r="C62" s="50">
        <f>"Production"</f>
        <v/>
      </c>
      <c r="D62" s="51" t="inlineStr">
        <is>
          <t>PRODUCTION</t>
        </is>
      </c>
      <c r="E62" s="51" t="inlineStr">
        <is>
          <t>Ventia</t>
        </is>
      </c>
      <c r="F62" s="51" t="inlineStr">
        <is>
          <t>2608701</t>
        </is>
      </c>
      <c r="G62" s="50">
        <f>IF(F62="","",IF(COUNTIF(lst_Jobs,F62&amp;"")&gt;0,"OK","CHECK"))</f>
        <v/>
      </c>
      <c r="H62" s="51" t="inlineStr">
        <is>
          <t>Elkiem Studio Support 10.9.26</t>
        </is>
      </c>
      <c r="I62" s="51" t="inlineStr">
        <is>
          <t>Project</t>
        </is>
      </c>
      <c r="J62" s="51" t="n"/>
      <c r="K62" s="51" t="inlineStr">
        <is>
          <t>GST 10%</t>
        </is>
      </c>
      <c r="L62" s="52" t="n">
        <v>380</v>
      </c>
      <c r="M62" s="53">
        <f>IF(L62="","",IF(K62="GST 10%",ROUND(L62*0.1,2),0))</f>
        <v/>
      </c>
      <c r="N62" s="53">
        <f>IF(L62="","",L62+M62)</f>
        <v/>
      </c>
      <c r="O62" s="51" t="inlineStr">
        <is>
          <t>42100</t>
        </is>
      </c>
      <c r="P62" s="51" t="inlineStr">
        <is>
          <t>Y</t>
        </is>
      </c>
      <c r="Q62" s="51" t="inlineStr">
        <is>
          <t>N</t>
        </is>
      </c>
      <c r="R62" s="51" t="inlineStr">
        <is>
          <t>To Invoice</t>
        </is>
      </c>
      <c r="S62" s="51" t="n"/>
      <c r="T62" s="52" t="n"/>
      <c r="U62" s="53">
        <f>IF(L62="","",L62-N(T62))</f>
        <v/>
      </c>
      <c r="V62" s="50">
        <f>IF(L62="","",IF(SIGN(N(T62))*SIGN(L62)=-1,"CHECK - video sign",IF(ABS(N(T62))&gt;ABS(L62),"CHECK - video exceeds invoice",IF(AND(D62="VIDEO",ROUND(N(T62),2)&lt;&gt;ROUND(L62,2)),"CHECK - VIDEO job not fully split",IF(N(T62)=0,"All production",IF(ROUND(N(T62),2)=ROUND(L62,2),"All video","Split"))))))</f>
        <v/>
      </c>
      <c r="W62" s="53">
        <f>IF(L62="","",IF(N(T62)=0,0,ROUND(M62*N(T62)/L62,2)))</f>
        <v/>
      </c>
      <c r="X62" s="51" t="inlineStr">
        <is>
          <t>ben.woodlock@elkiem.com</t>
        </is>
      </c>
      <c r="Y62" s="48" t="n">
        <v>46275</v>
      </c>
      <c r="Z62" s="51" t="inlineStr">
        <is>
          <t>6148</t>
        </is>
      </c>
      <c r="AA62" s="51" t="inlineStr">
        <is>
          <t>2608701</t>
        </is>
      </c>
      <c r="AB62" s="51" t="inlineStr">
        <is>
          <t>Y</t>
        </is>
      </c>
      <c r="AC62" s="52" t="n"/>
      <c r="AD62" s="55">
        <f>IFERROR(AC62/AG62,"")</f>
        <v/>
      </c>
      <c r="AE62" s="52" t="n"/>
      <c r="AF62" s="52" t="n"/>
      <c r="AG62" s="53">
        <f>IF(L62="","",L62-N(AC62))</f>
        <v/>
      </c>
      <c r="AH62" s="53">
        <f>IF(L62="","",L62-N(AE62)-N(AF62))</f>
        <v/>
      </c>
      <c r="AI62" s="55">
        <f>IFERROR(AH62/L62,"")</f>
        <v/>
      </c>
      <c r="AJ62" s="54" t="n"/>
      <c r="AK62" s="54" t="n"/>
      <c r="AL62" s="54" t="n"/>
      <c r="AM62" s="54" t="n"/>
      <c r="AN62" s="54" t="n">
        <v>4</v>
      </c>
    </row>
    <row r="63" ht="15" customHeight="1">
      <c r="A63" s="48" t="n"/>
      <c r="B63" s="49">
        <f>IF(A63="","",EOMONTH(A63,0))</f>
        <v/>
      </c>
      <c r="C63" s="50">
        <f>"Production"</f>
        <v/>
      </c>
      <c r="D63" s="51" t="inlineStr">
        <is>
          <t>PRODUCTION</t>
        </is>
      </c>
      <c r="E63" s="51" t="inlineStr">
        <is>
          <t>Elkeim</t>
        </is>
      </c>
      <c r="F63" s="51" t="inlineStr">
        <is>
          <t>2609801</t>
        </is>
      </c>
      <c r="G63" s="50">
        <f>IF(F63="","",IF(COUNTIF(lst_Jobs,F63&amp;"")&gt;0,"OK","CHECK"))</f>
        <v/>
      </c>
      <c r="H63" s="51" t="inlineStr">
        <is>
          <t>Elkiem Studio Support 16.9.26</t>
        </is>
      </c>
      <c r="I63" s="51" t="inlineStr">
        <is>
          <t>Project</t>
        </is>
      </c>
      <c r="J63" s="51" t="n"/>
      <c r="K63" s="51" t="inlineStr">
        <is>
          <t>GST 10%</t>
        </is>
      </c>
      <c r="L63" s="52" t="n">
        <v>380</v>
      </c>
      <c r="M63" s="53">
        <f>IF(L63="","",IF(K63="GST 10%",ROUND(L63*0.1,2),0))</f>
        <v/>
      </c>
      <c r="N63" s="53">
        <f>IF(L63="","",L63+M63)</f>
        <v/>
      </c>
      <c r="O63" s="51" t="inlineStr">
        <is>
          <t>42100</t>
        </is>
      </c>
      <c r="P63" s="51" t="inlineStr">
        <is>
          <t>Y</t>
        </is>
      </c>
      <c r="Q63" s="51" t="inlineStr">
        <is>
          <t>N</t>
        </is>
      </c>
      <c r="R63" s="51" t="inlineStr">
        <is>
          <t>To Invoice</t>
        </is>
      </c>
      <c r="S63" s="51" t="n"/>
      <c r="T63" s="52" t="n"/>
      <c r="U63" s="53">
        <f>IF(L63="","",L63-N(T63))</f>
        <v/>
      </c>
      <c r="V63" s="50">
        <f>IF(L63="","",IF(SIGN(N(T63))*SIGN(L63)=-1,"CHECK - video sign",IF(ABS(N(T63))&gt;ABS(L63),"CHECK - video exceeds invoice",IF(AND(D63="VIDEO",ROUND(N(T63),2)&lt;&gt;ROUND(L63,2)),"CHECK - VIDEO job not fully split",IF(N(T63)=0,"All production",IF(ROUND(N(T63),2)=ROUND(L63,2),"All video","Split"))))))</f>
        <v/>
      </c>
      <c r="W63" s="53">
        <f>IF(L63="","",IF(N(T63)=0,0,ROUND(M63*N(T63)/L63,2)))</f>
        <v/>
      </c>
      <c r="X63" s="51" t="inlineStr">
        <is>
          <t>ben.woodlock@elkiem.com</t>
        </is>
      </c>
      <c r="Y63" s="48" t="n">
        <v>46281</v>
      </c>
      <c r="Z63" s="51" t="inlineStr">
        <is>
          <t>6175</t>
        </is>
      </c>
      <c r="AA63" s="51" t="inlineStr">
        <is>
          <t>2609801</t>
        </is>
      </c>
      <c r="AB63" s="51" t="inlineStr">
        <is>
          <t>Y</t>
        </is>
      </c>
      <c r="AC63" s="52" t="n"/>
      <c r="AD63" s="55">
        <f>IFERROR(AC63/AG63,"")</f>
        <v/>
      </c>
      <c r="AE63" s="52" t="n"/>
      <c r="AF63" s="52" t="n"/>
      <c r="AG63" s="53">
        <f>IF(L63="","",L63-N(AC63))</f>
        <v/>
      </c>
      <c r="AH63" s="53">
        <f>IF(L63="","",L63-N(AE63)-N(AF63))</f>
        <v/>
      </c>
      <c r="AI63" s="55">
        <f>IFERROR(AH63/L63,"")</f>
        <v/>
      </c>
      <c r="AJ63" s="54" t="n"/>
      <c r="AK63" s="54" t="n"/>
      <c r="AL63" s="54" t="n"/>
      <c r="AM63" s="54" t="n"/>
      <c r="AN63" s="54" t="n">
        <v>4</v>
      </c>
    </row>
    <row r="64" ht="15" customHeight="1">
      <c r="A64" s="48" t="n"/>
      <c r="B64" s="49">
        <f>IF(A64="","",EOMONTH(A64,0))</f>
        <v/>
      </c>
      <c r="C64" s="50">
        <f>"Production"</f>
        <v/>
      </c>
      <c r="D64" s="51" t="inlineStr">
        <is>
          <t>PRODUCTION</t>
        </is>
      </c>
      <c r="E64" s="51" t="inlineStr">
        <is>
          <t>ICC</t>
        </is>
      </c>
      <c r="F64" s="51" t="inlineStr">
        <is>
          <t>26082502</t>
        </is>
      </c>
      <c r="G64" s="50">
        <f>IF(F64="","",IF(COUNTIF(lst_Jobs,F64&amp;"")&gt;0,"OK","CHECK"))</f>
        <v/>
      </c>
      <c r="H64" s="51" t="inlineStr">
        <is>
          <t>ICC - September Presenter Support Presentations - ISE</t>
        </is>
      </c>
      <c r="I64" s="51" t="inlineStr">
        <is>
          <t>Project</t>
        </is>
      </c>
      <c r="J64" s="51" t="n"/>
      <c r="K64" s="51" t="inlineStr">
        <is>
          <t>GST 10%</t>
        </is>
      </c>
      <c r="L64" s="52" t="n">
        <v>4729</v>
      </c>
      <c r="M64" s="53">
        <f>IF(L64="","",IF(K64="GST 10%",ROUND(L64*0.1,2),0))</f>
        <v/>
      </c>
      <c r="N64" s="53">
        <f>IF(L64="","",L64+M64)</f>
        <v/>
      </c>
      <c r="O64" s="51" t="inlineStr">
        <is>
          <t>42100</t>
        </is>
      </c>
      <c r="P64" s="51" t="inlineStr">
        <is>
          <t>Y</t>
        </is>
      </c>
      <c r="Q64" s="51" t="inlineStr">
        <is>
          <t>N</t>
        </is>
      </c>
      <c r="R64" s="51" t="inlineStr">
        <is>
          <t>To Invoice</t>
        </is>
      </c>
      <c r="S64" s="51" t="n"/>
      <c r="T64" s="52" t="n"/>
      <c r="U64" s="53">
        <f>IF(L64="","",L64-N(T64))</f>
        <v/>
      </c>
      <c r="V64" s="50">
        <f>IF(L64="","",IF(SIGN(N(T64))*SIGN(L64)=-1,"CHECK - video sign",IF(ABS(N(T64))&gt;ABS(L64),"CHECK - video exceeds invoice",IF(AND(D64="VIDEO",ROUND(N(T64),2)&lt;&gt;ROUND(L64,2)),"CHECK - VIDEO job not fully split",IF(N(T64)=0,"All production",IF(ROUND(N(T64),2)=ROUND(L64,2),"All video","Split"))))))</f>
        <v/>
      </c>
      <c r="W64" s="53">
        <f>IF(L64="","",IF(N(T64)=0,0,ROUND(M64*N(T64)/L64,2)))</f>
        <v/>
      </c>
      <c r="X64" s="51" t="inlineStr">
        <is>
          <t>jbell@iccsydney.com</t>
        </is>
      </c>
      <c r="Y64" s="48" t="n">
        <v>46271</v>
      </c>
      <c r="Z64" s="51" t="inlineStr">
        <is>
          <t>6186</t>
        </is>
      </c>
      <c r="AA64" s="51" t="inlineStr">
        <is>
          <t>26082502</t>
        </is>
      </c>
      <c r="AB64" s="51" t="inlineStr">
        <is>
          <t>Y</t>
        </is>
      </c>
      <c r="AC64" s="52" t="n"/>
      <c r="AD64" s="55">
        <f>IFERROR(AC64/AG64,"")</f>
        <v/>
      </c>
      <c r="AE64" s="52" t="n"/>
      <c r="AF64" s="52" t="n"/>
      <c r="AG64" s="53">
        <f>IF(L64="","",L64-N(AC64))</f>
        <v/>
      </c>
      <c r="AH64" s="53">
        <f>IF(L64="","",L64-N(AE64)-N(AF64))</f>
        <v/>
      </c>
      <c r="AI64" s="55">
        <f>IFERROR(AH64/L64,"")</f>
        <v/>
      </c>
      <c r="AJ64" s="54" t="n"/>
      <c r="AK64" s="54" t="n"/>
      <c r="AL64" s="54" t="n"/>
      <c r="AM64" s="54" t="n"/>
      <c r="AN64" s="54" t="n">
        <v>55</v>
      </c>
    </row>
    <row r="65" ht="15" customHeight="1">
      <c r="A65" s="48" t="n"/>
      <c r="B65" s="49">
        <f>IF(A65="","",EOMONTH(A65,0))</f>
        <v/>
      </c>
      <c r="C65" s="50">
        <f>"Production"</f>
        <v/>
      </c>
      <c r="D65" s="51" t="inlineStr">
        <is>
          <t>PRODUCTION</t>
        </is>
      </c>
      <c r="E65" s="51" t="inlineStr">
        <is>
          <t>ICC</t>
        </is>
      </c>
      <c r="F65" s="51" t="inlineStr">
        <is>
          <t>26082503</t>
        </is>
      </c>
      <c r="G65" s="50">
        <f>IF(F65="","",IF(COUNTIF(lst_Jobs,F65&amp;"")&gt;0,"OK","CHECK"))</f>
        <v/>
      </c>
      <c r="H65" s="51" t="inlineStr">
        <is>
          <t>ICC - September Presenter Support Presentations - ICAS</t>
        </is>
      </c>
      <c r="I65" s="51" t="inlineStr">
        <is>
          <t>Project</t>
        </is>
      </c>
      <c r="J65" s="51" t="n"/>
      <c r="K65" s="51" t="inlineStr">
        <is>
          <t>GST 10%</t>
        </is>
      </c>
      <c r="L65" s="52" t="n">
        <v>946</v>
      </c>
      <c r="M65" s="53">
        <f>IF(L65="","",IF(K65="GST 10%",ROUND(L65*0.1,2),0))</f>
        <v/>
      </c>
      <c r="N65" s="53">
        <f>IF(L65="","",L65+M65)</f>
        <v/>
      </c>
      <c r="O65" s="51" t="inlineStr">
        <is>
          <t>42100</t>
        </is>
      </c>
      <c r="P65" s="51" t="inlineStr">
        <is>
          <t>Y</t>
        </is>
      </c>
      <c r="Q65" s="51" t="inlineStr">
        <is>
          <t>N</t>
        </is>
      </c>
      <c r="R65" s="51" t="inlineStr">
        <is>
          <t>To Invoice</t>
        </is>
      </c>
      <c r="S65" s="51" t="n"/>
      <c r="T65" s="52" t="n"/>
      <c r="U65" s="53">
        <f>IF(L65="","",L65-N(T65))</f>
        <v/>
      </c>
      <c r="V65" s="50">
        <f>IF(L65="","",IF(SIGN(N(T65))*SIGN(L65)=-1,"CHECK - video sign",IF(ABS(N(T65))&gt;ABS(L65),"CHECK - video exceeds invoice",IF(AND(D65="VIDEO",ROUND(N(T65),2)&lt;&gt;ROUND(L65,2)),"CHECK - VIDEO job not fully split",IF(N(T65)=0,"All production",IF(ROUND(N(T65),2)=ROUND(L65,2),"All video","Split"))))))</f>
        <v/>
      </c>
      <c r="W65" s="53">
        <f>IF(L65="","",IF(N(T65)=0,0,ROUND(M65*N(T65)/L65,2)))</f>
        <v/>
      </c>
      <c r="X65" s="51" t="inlineStr">
        <is>
          <t>jbell@iccsydney.com</t>
        </is>
      </c>
      <c r="Y65" s="48" t="n">
        <v>46279</v>
      </c>
      <c r="Z65" s="51" t="inlineStr">
        <is>
          <t>6187</t>
        </is>
      </c>
      <c r="AA65" s="51" t="inlineStr">
        <is>
          <t>26082502</t>
        </is>
      </c>
      <c r="AB65" s="51" t="inlineStr">
        <is>
          <t>Y</t>
        </is>
      </c>
      <c r="AC65" s="52" t="n"/>
      <c r="AD65" s="55">
        <f>IFERROR(AC65/AG65,"")</f>
        <v/>
      </c>
      <c r="AE65" s="52" t="n"/>
      <c r="AF65" s="52" t="n"/>
      <c r="AG65" s="53">
        <f>IF(L65="","",L65-N(AC65))</f>
        <v/>
      </c>
      <c r="AH65" s="53">
        <f>IF(L65="","",L65-N(AE65)-N(AF65))</f>
        <v/>
      </c>
      <c r="AI65" s="55">
        <f>IFERROR(AH65/L65,"")</f>
        <v/>
      </c>
      <c r="AJ65" s="54" t="n"/>
      <c r="AK65" s="54" t="n"/>
      <c r="AL65" s="54" t="n"/>
      <c r="AM65" s="54" t="n"/>
      <c r="AN65" s="54"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7" t="inlineStr">
        <is>
          <t>Total Expense</t>
        </is>
      </c>
      <c r="AC4" s="47" t="inlineStr">
        <is>
          <t>Margin</t>
        </is>
      </c>
      <c r="AD4" s="47" t="inlineStr">
        <is>
          <t>Margin %</t>
        </is>
      </c>
      <c r="AE4" s="47" t="inlineStr">
        <is>
          <t>Revenue Split Check</t>
        </is>
      </c>
    </row>
    <row r="5" ht="15" customHeight="1">
      <c r="A5" s="48" t="n">
        <v>45805</v>
      </c>
      <c r="B5" s="49">
        <f>IF(A5="","",EOMONTH(A5,0))</f>
        <v/>
      </c>
      <c r="C5" s="50">
        <f>"Consulting"</f>
        <v/>
      </c>
      <c r="D5" s="51" t="inlineStr">
        <is>
          <t>CONSULTING</t>
        </is>
      </c>
      <c r="E5" s="51" t="inlineStr">
        <is>
          <t>DAFF</t>
        </is>
      </c>
      <c r="F5" s="51" t="inlineStr">
        <is>
          <t>25021901</t>
        </is>
      </c>
      <c r="G5" s="50">
        <f>IF(F5="","",IF(COUNTIF(lst_Jobs,F5&amp;"")&gt;0,"OK","CHECK"))</f>
        <v/>
      </c>
      <c r="H5" s="51" t="inlineStr">
        <is>
          <t>Technology Standards Evaluation</t>
        </is>
      </c>
      <c r="I5" s="51" t="inlineStr">
        <is>
          <t>Project</t>
        </is>
      </c>
      <c r="J5" s="51" t="inlineStr">
        <is>
          <t>INV-9860</t>
        </is>
      </c>
      <c r="K5" s="51" t="inlineStr">
        <is>
          <t>GST 10%</t>
        </is>
      </c>
      <c r="L5" s="52" t="n">
        <v>9875</v>
      </c>
      <c r="M5" s="53">
        <f>IF(L5="","",IF(K5="GST 10%",ROUND(L5*0.1,2),0))</f>
        <v/>
      </c>
      <c r="N5" s="53">
        <f>IF(L5="","",L5+M5)</f>
        <v/>
      </c>
      <c r="O5" s="51" t="inlineStr">
        <is>
          <t>42800</t>
        </is>
      </c>
      <c r="P5" s="51" t="inlineStr">
        <is>
          <t>Y</t>
        </is>
      </c>
      <c r="Q5" s="51" t="inlineStr">
        <is>
          <t>N</t>
        </is>
      </c>
      <c r="R5" s="51" t="inlineStr">
        <is>
          <t>Invoiced</t>
        </is>
      </c>
      <c r="S5" s="51" t="inlineStr">
        <is>
          <t>Revenue still in WIP</t>
        </is>
      </c>
      <c r="T5" s="51" t="inlineStr">
        <is>
          <t>https://cts.qwilr.com/25021901-DAFF-Technology-Standards-Evaluation-A7PRmNNwQ5Wn</t>
        </is>
      </c>
      <c r="U5" s="51" t="n"/>
      <c r="V5" s="52" t="n">
        <v>9875</v>
      </c>
      <c r="W5" s="52" t="n"/>
      <c r="X5" s="52" t="n"/>
      <c r="Y5" s="52" t="n"/>
      <c r="Z5" s="52" t="n"/>
      <c r="AA5" s="52" t="n"/>
      <c r="AB5" s="53">
        <f>IF(L5="","",N(Y5)+N(Z5)+N(AA5))</f>
        <v/>
      </c>
      <c r="AC5" s="53">
        <f>IF(L5="","",L5-AB5)</f>
        <v/>
      </c>
      <c r="AD5" s="55">
        <f>IFERROR(AC5/L5,"")</f>
        <v/>
      </c>
      <c r="AE5" s="50">
        <f>IF(L5="","",IF(N(V5)+N(W5)+N(X5)=0,"Not split",IF(ROUND(N(V5)+N(W5)+N(X5),2)=ROUND(L5,2),"OK","MISMATCH")))</f>
        <v/>
      </c>
    </row>
    <row r="6" ht="15" customHeight="1">
      <c r="A6" s="48" t="n">
        <v>46101</v>
      </c>
      <c r="B6" s="49">
        <f>IF(A6="","",EOMONTH(A6,0))</f>
        <v/>
      </c>
      <c r="C6" s="50">
        <f>"Consulting"</f>
        <v/>
      </c>
      <c r="D6" s="51" t="inlineStr">
        <is>
          <t>CONSULTING</t>
        </is>
      </c>
      <c r="E6" s="51" t="inlineStr">
        <is>
          <t>DEWR</t>
        </is>
      </c>
      <c r="F6" s="51" t="inlineStr">
        <is>
          <t>25102701</t>
        </is>
      </c>
      <c r="G6" s="50">
        <f>IF(F6="","",IF(COUNTIF(lst_Jobs,F6&amp;"")&gt;0,"OK","CHECK"))</f>
        <v/>
      </c>
      <c r="H6" s="51" t="inlineStr">
        <is>
          <t>DEWR Studio Upgrade</t>
        </is>
      </c>
      <c r="I6" s="51" t="inlineStr">
        <is>
          <t>Project</t>
        </is>
      </c>
      <c r="J6" s="51" t="inlineStr">
        <is>
          <t>INV-10319</t>
        </is>
      </c>
      <c r="K6" s="51" t="inlineStr">
        <is>
          <t>GST 10%</t>
        </is>
      </c>
      <c r="L6" s="52" t="n">
        <v>23050</v>
      </c>
      <c r="M6" s="53">
        <f>IF(L6="","",IF(K6="GST 10%",ROUND(L6*0.1,2),0))</f>
        <v/>
      </c>
      <c r="N6" s="53">
        <f>IF(L6="","",L6+M6)</f>
        <v/>
      </c>
      <c r="O6" s="51" t="inlineStr">
        <is>
          <t>42800</t>
        </is>
      </c>
      <c r="P6" s="51" t="inlineStr">
        <is>
          <t>Y</t>
        </is>
      </c>
      <c r="Q6" s="51" t="inlineStr">
        <is>
          <t>N</t>
        </is>
      </c>
      <c r="R6" s="51" t="inlineStr">
        <is>
          <t>To Invoice</t>
        </is>
      </c>
      <c r="S6" s="51" t="inlineStr">
        <is>
          <t>Progress Claim 01</t>
        </is>
      </c>
      <c r="T6" s="51" t="inlineStr">
        <is>
          <t>https://cts.qwilr.com/25102701-DEWR-Studio-Upgrade-ESE25-143997-Rev-4-KTqWXx2QQz6f</t>
        </is>
      </c>
      <c r="U6" s="51" t="n"/>
      <c r="V6" s="52" t="n">
        <v>23050</v>
      </c>
      <c r="W6" s="52" t="n"/>
      <c r="X6" s="52" t="n"/>
      <c r="Y6" s="52" t="n"/>
      <c r="Z6" s="52" t="n"/>
      <c r="AA6" s="52" t="n"/>
      <c r="AB6" s="53">
        <f>IF(L6="","",N(Y6)+N(Z6)+N(AA6))</f>
        <v/>
      </c>
      <c r="AC6" s="53">
        <f>IF(L6="","",L6-AB6)</f>
        <v/>
      </c>
      <c r="AD6" s="55">
        <f>IFERROR(AC6/L6,"")</f>
        <v/>
      </c>
      <c r="AE6" s="50">
        <f>IF(L6="","",IF(N(V6)+N(W6)+N(X6)=0,"Not split",IF(ROUND(N(V6)+N(W6)+N(X6),2)=ROUND(L6,2),"OK","MISMATCH")))</f>
        <v/>
      </c>
    </row>
    <row r="7" ht="15" customHeight="1">
      <c r="A7" s="48" t="n">
        <v>46104</v>
      </c>
      <c r="B7" s="49">
        <f>IF(A7="","",EOMONTH(A7,0))</f>
        <v/>
      </c>
      <c r="C7" s="50">
        <f>"Consulting"</f>
        <v/>
      </c>
      <c r="D7" s="51" t="inlineStr">
        <is>
          <t>CONSULTING</t>
        </is>
      </c>
      <c r="E7" s="51" t="inlineStr">
        <is>
          <t>DEWR</t>
        </is>
      </c>
      <c r="F7" s="51" t="inlineStr">
        <is>
          <t>25102701</t>
        </is>
      </c>
      <c r="G7" s="50">
        <f>IF(F7="","",IF(COUNTIF(lst_Jobs,F7&amp;"")&gt;0,"OK","CHECK"))</f>
        <v/>
      </c>
      <c r="H7" s="51" t="inlineStr">
        <is>
          <t>DEWR Studio Upgrade</t>
        </is>
      </c>
      <c r="I7" s="51" t="inlineStr">
        <is>
          <t>Project</t>
        </is>
      </c>
      <c r="J7" s="51" t="inlineStr">
        <is>
          <t>INV-10320</t>
        </is>
      </c>
      <c r="K7" s="51" t="inlineStr">
        <is>
          <t>GST 10%</t>
        </is>
      </c>
      <c r="L7" s="52" t="n">
        <v>13250</v>
      </c>
      <c r="M7" s="53">
        <f>IF(L7="","",IF(K7="GST 10%",ROUND(L7*0.1,2),0))</f>
        <v/>
      </c>
      <c r="N7" s="53">
        <f>IF(L7="","",L7+M7)</f>
        <v/>
      </c>
      <c r="O7" s="51" t="inlineStr">
        <is>
          <t>42800</t>
        </is>
      </c>
      <c r="P7" s="51" t="inlineStr">
        <is>
          <t>Y</t>
        </is>
      </c>
      <c r="Q7" s="51" t="inlineStr">
        <is>
          <t>N</t>
        </is>
      </c>
      <c r="R7" s="51" t="inlineStr">
        <is>
          <t>To Invoice</t>
        </is>
      </c>
      <c r="S7" s="51" t="inlineStr">
        <is>
          <t>Progress Claim 02</t>
        </is>
      </c>
      <c r="T7" s="51" t="inlineStr">
        <is>
          <t>https://cts.qwilr.com/25102701-DEWR-Studio-Upgrade-ESE25-143997-Rev-4-KTqWXx2QQz6f</t>
        </is>
      </c>
      <c r="U7" s="51" t="n"/>
      <c r="V7" s="52" t="n">
        <v>13250</v>
      </c>
      <c r="W7" s="52" t="n"/>
      <c r="X7" s="52" t="n"/>
      <c r="Y7" s="52" t="n"/>
      <c r="Z7" s="52" t="n"/>
      <c r="AA7" s="52" t="n"/>
      <c r="AB7" s="53">
        <f>IF(L7="","",N(Y7)+N(Z7)+N(AA7))</f>
        <v/>
      </c>
      <c r="AC7" s="53">
        <f>IF(L7="","",L7-AB7)</f>
        <v/>
      </c>
      <c r="AD7" s="55">
        <f>IFERROR(AC7/L7,"")</f>
        <v/>
      </c>
      <c r="AE7" s="50">
        <f>IF(L7="","",IF(N(V7)+N(W7)+N(X7)=0,"Not split",IF(ROUND(N(V7)+N(W7)+N(X7),2)=ROUND(L7,2),"OK","MISMATCH")))</f>
        <v/>
      </c>
    </row>
    <row r="8" ht="15" customHeight="1">
      <c r="A8" s="48" t="n">
        <v>46128</v>
      </c>
      <c r="B8" s="49">
        <f>IF(A8="","",EOMONTH(A8,0))</f>
        <v/>
      </c>
      <c r="C8" s="50">
        <f>"Consulting"</f>
        <v/>
      </c>
      <c r="D8" s="51" t="inlineStr">
        <is>
          <t>CONSULTING</t>
        </is>
      </c>
      <c r="E8" s="51" t="inlineStr">
        <is>
          <t>DEWR</t>
        </is>
      </c>
      <c r="F8" s="51" t="inlineStr">
        <is>
          <t>25102701</t>
        </is>
      </c>
      <c r="G8" s="50">
        <f>IF(F8="","",IF(COUNTIF(lst_Jobs,F8&amp;"")&gt;0,"OK","CHECK"))</f>
        <v/>
      </c>
      <c r="H8" s="51" t="inlineStr">
        <is>
          <t>DEWR Studio Upgrade</t>
        </is>
      </c>
      <c r="I8" s="51" t="inlineStr">
        <is>
          <t>Project</t>
        </is>
      </c>
      <c r="J8" s="51" t="inlineStr">
        <is>
          <t>INV-10353</t>
        </is>
      </c>
      <c r="K8" s="51" t="inlineStr">
        <is>
          <t>GST 10%</t>
        </is>
      </c>
      <c r="L8" s="52" t="n">
        <v>24410</v>
      </c>
      <c r="M8" s="53">
        <f>IF(L8="","",IF(K8="GST 10%",ROUND(L8*0.1,2),0))</f>
        <v/>
      </c>
      <c r="N8" s="53">
        <f>IF(L8="","",L8+M8)</f>
        <v/>
      </c>
      <c r="O8" s="51" t="inlineStr">
        <is>
          <t>42800</t>
        </is>
      </c>
      <c r="P8" s="51" t="inlineStr">
        <is>
          <t>Y</t>
        </is>
      </c>
      <c r="Q8" s="51" t="inlineStr">
        <is>
          <t>N</t>
        </is>
      </c>
      <c r="R8" s="51" t="inlineStr">
        <is>
          <t>To Invoice</t>
        </is>
      </c>
      <c r="S8" s="51" t="inlineStr">
        <is>
          <t>Progress Claim 03</t>
        </is>
      </c>
      <c r="T8" s="51" t="inlineStr">
        <is>
          <t>https://cts.qwilr.com/25102701-DEWR-Studio-Upgrade-ESE25-143997-Rev-4-KTqWXx2QQz6f</t>
        </is>
      </c>
      <c r="U8" s="51" t="n"/>
      <c r="V8" s="52" t="n">
        <v>24410</v>
      </c>
      <c r="W8" s="52" t="n"/>
      <c r="X8" s="52" t="n"/>
      <c r="Y8" s="52" t="n"/>
      <c r="Z8" s="52" t="n"/>
      <c r="AA8" s="52" t="n"/>
      <c r="AB8" s="53">
        <f>IF(L8="","",N(Y8)+N(Z8)+N(AA8))</f>
        <v/>
      </c>
      <c r="AC8" s="53">
        <f>IF(L8="","",L8-AB8)</f>
        <v/>
      </c>
      <c r="AD8" s="55">
        <f>IFERROR(AC8/L8,"")</f>
        <v/>
      </c>
      <c r="AE8" s="50">
        <f>IF(L8="","",IF(N(V8)+N(W8)+N(X8)=0,"Not split",IF(ROUND(N(V8)+N(W8)+N(X8),2)=ROUND(L8,2),"OK","MISMATCH")))</f>
        <v/>
      </c>
    </row>
    <row r="9" ht="15" customHeight="1">
      <c r="A9" s="48" t="n">
        <v>46162</v>
      </c>
      <c r="B9" s="49">
        <f>IF(A9="","",EOMONTH(A9,0))</f>
        <v/>
      </c>
      <c r="C9" s="50">
        <f>"Consulting"</f>
        <v/>
      </c>
      <c r="D9" s="51" t="inlineStr">
        <is>
          <t>INTEGRATION</t>
        </is>
      </c>
      <c r="E9" s="51" t="inlineStr">
        <is>
          <t>DTTL</t>
        </is>
      </c>
      <c r="F9" s="51" t="inlineStr">
        <is>
          <t>26052002</t>
        </is>
      </c>
      <c r="G9" s="50">
        <f>IF(F9="","",IF(COUNTIF(lst_Jobs,F9&amp;"")&gt;0,"OK","CHECK"))</f>
        <v/>
      </c>
      <c r="H9" s="51" t="inlineStr">
        <is>
          <t>BNE ​L23 Training Rooms Upgrade</t>
        </is>
      </c>
      <c r="I9" s="51" t="inlineStr">
        <is>
          <t>Project</t>
        </is>
      </c>
      <c r="J9" s="51" t="inlineStr">
        <is>
          <t>INV-10425</t>
        </is>
      </c>
      <c r="K9" s="51" t="inlineStr">
        <is>
          <t>GST 10%</t>
        </is>
      </c>
      <c r="L9" s="52" t="n">
        <v>57706</v>
      </c>
      <c r="M9" s="53">
        <f>IF(L9="","",IF(K9="GST 10%",ROUND(L9*0.1,2),0))</f>
        <v/>
      </c>
      <c r="N9" s="53">
        <f>IF(L9="","",L9+M9)</f>
        <v/>
      </c>
      <c r="O9" s="51" t="inlineStr">
        <is>
          <t>42300</t>
        </is>
      </c>
      <c r="P9" s="51" t="inlineStr">
        <is>
          <t>Y</t>
        </is>
      </c>
      <c r="Q9" s="51" t="inlineStr">
        <is>
          <t>N</t>
        </is>
      </c>
      <c r="R9" s="51" t="inlineStr">
        <is>
          <t>To Invoice</t>
        </is>
      </c>
      <c r="S9" s="51" t="n"/>
      <c r="T9" s="51" t="inlineStr">
        <is>
          <t>https://cts.qwilr.com/26052002-DeloitteBNE-Proposal-v1-0-Agx8wV5qTcax</t>
        </is>
      </c>
      <c r="U9" s="51" t="n"/>
      <c r="V9" s="52" t="n">
        <v>18262</v>
      </c>
      <c r="W9" s="52" t="n">
        <v>39444</v>
      </c>
      <c r="X9" s="52" t="n"/>
      <c r="Y9" s="52" t="n">
        <v>15600</v>
      </c>
      <c r="Z9" s="52" t="n">
        <v>36400</v>
      </c>
      <c r="AA9" s="52" t="n"/>
      <c r="AB9" s="53">
        <f>IF(L9="","",N(Y9)+N(Z9)+N(AA9))</f>
        <v/>
      </c>
      <c r="AC9" s="53">
        <f>IF(L9="","",L9-AB9)</f>
        <v/>
      </c>
      <c r="AD9" s="55">
        <f>IFERROR(AC9/L9,"")</f>
        <v/>
      </c>
      <c r="AE9" s="50">
        <f>IF(L9="","",IF(N(V9)+N(W9)+N(X9)=0,"Not split",IF(ROUND(N(V9)+N(W9)+N(X9),2)=ROUND(L9,2),"OK","MISMATCH")))</f>
        <v/>
      </c>
    </row>
    <row r="10" ht="15" customHeight="1">
      <c r="A10" s="48" t="n">
        <v>46163</v>
      </c>
      <c r="B10" s="49">
        <f>IF(A10="","",EOMONTH(A10,0))</f>
        <v/>
      </c>
      <c r="C10" s="50">
        <f>"Consulting"</f>
        <v/>
      </c>
      <c r="D10" s="51" t="inlineStr">
        <is>
          <t>INTEGRATION</t>
        </is>
      </c>
      <c r="E10" s="51" t="inlineStr">
        <is>
          <t>DTTL</t>
        </is>
      </c>
      <c r="F10" s="51" t="inlineStr">
        <is>
          <t>26052003</t>
        </is>
      </c>
      <c r="G10" s="50">
        <f>IF(F10="","",IF(COUNTIF(lst_Jobs,F10&amp;"")&gt;0,"OK","CHECK"))</f>
        <v/>
      </c>
      <c r="H10" s="51" t="inlineStr">
        <is>
          <t>SYD Mobile Display Supply</t>
        </is>
      </c>
      <c r="I10" s="51" t="inlineStr">
        <is>
          <t>Project</t>
        </is>
      </c>
      <c r="J10" s="51" t="inlineStr">
        <is>
          <t>INV-10426</t>
        </is>
      </c>
      <c r="K10" s="51" t="inlineStr">
        <is>
          <t>GST 10%</t>
        </is>
      </c>
      <c r="L10" s="52" t="n">
        <v>26234</v>
      </c>
      <c r="M10" s="53">
        <f>IF(L10="","",IF(K10="GST 10%",ROUND(L10*0.1,2),0))</f>
        <v/>
      </c>
      <c r="N10" s="53">
        <f>IF(L10="","",L10+M10)</f>
        <v/>
      </c>
      <c r="O10" s="51" t="inlineStr">
        <is>
          <t>42300</t>
        </is>
      </c>
      <c r="P10" s="51" t="inlineStr">
        <is>
          <t>Y</t>
        </is>
      </c>
      <c r="Q10" s="51" t="inlineStr">
        <is>
          <t>N</t>
        </is>
      </c>
      <c r="R10" s="51" t="inlineStr">
        <is>
          <t>Paid</t>
        </is>
      </c>
      <c r="S10" s="51" t="n"/>
      <c r="T10" s="51" t="inlineStr">
        <is>
          <t>https://cts.qwilr.com/26052003-DTTL-Costing-v1-0-0mJlWQroQJWo</t>
        </is>
      </c>
      <c r="U10" s="51" t="n"/>
      <c r="V10" s="52" t="n">
        <v>2984</v>
      </c>
      <c r="W10" s="52" t="n">
        <v>23250</v>
      </c>
      <c r="X10" s="52" t="n"/>
      <c r="Y10" s="52" t="n">
        <v>602</v>
      </c>
      <c r="Z10" s="52" t="n">
        <v>19094.31</v>
      </c>
      <c r="AA10" s="52" t="n"/>
      <c r="AB10" s="53">
        <f>IF(L10="","",N(Y10)+N(Z10)+N(AA10))</f>
        <v/>
      </c>
      <c r="AC10" s="53">
        <f>IF(L10="","",L10-AB10)</f>
        <v/>
      </c>
      <c r="AD10" s="55">
        <f>IFERROR(AC10/L10,"")</f>
        <v/>
      </c>
      <c r="AE10" s="50">
        <f>IF(L10="","",IF(N(V10)+N(W10)+N(X10)=0,"Not split",IF(ROUND(N(V10)+N(W10)+N(X10),2)=ROUND(L10,2),"OK","MISMATCH")))</f>
        <v/>
      </c>
    </row>
    <row r="11" ht="15" customHeight="1">
      <c r="A11" s="48" t="n">
        <v>46171</v>
      </c>
      <c r="B11" s="49">
        <f>IF(A11="","",EOMONTH(A11,0))</f>
        <v/>
      </c>
      <c r="C11" s="50">
        <f>"Consulting"</f>
        <v/>
      </c>
      <c r="D11" s="51" t="inlineStr">
        <is>
          <t>CONSULTING</t>
        </is>
      </c>
      <c r="E11" s="51" t="inlineStr">
        <is>
          <t>DEWR</t>
        </is>
      </c>
      <c r="F11" s="51" t="inlineStr">
        <is>
          <t>25102701</t>
        </is>
      </c>
      <c r="G11" s="50">
        <f>IF(F11="","",IF(COUNTIF(lst_Jobs,F11&amp;"")&gt;0,"OK","CHECK"))</f>
        <v/>
      </c>
      <c r="H11" s="51" t="inlineStr">
        <is>
          <t>DEWR Studio Upgrade</t>
        </is>
      </c>
      <c r="I11" s="51" t="inlineStr">
        <is>
          <t>Project</t>
        </is>
      </c>
      <c r="J11" s="51" t="inlineStr">
        <is>
          <t>INV-10442</t>
        </is>
      </c>
      <c r="K11" s="51" t="inlineStr">
        <is>
          <t>GST 10%</t>
        </is>
      </c>
      <c r="L11" s="52" t="n">
        <v>7563</v>
      </c>
      <c r="M11" s="53">
        <f>IF(L11="","",IF(K11="GST 10%",ROUND(L11*0.1,2),0))</f>
        <v/>
      </c>
      <c r="N11" s="53">
        <f>IF(L11="","",L11+M11)</f>
        <v/>
      </c>
      <c r="O11" s="51" t="inlineStr">
        <is>
          <t>42800</t>
        </is>
      </c>
      <c r="P11" s="51" t="inlineStr">
        <is>
          <t>Y</t>
        </is>
      </c>
      <c r="Q11" s="51" t="inlineStr">
        <is>
          <t>N</t>
        </is>
      </c>
      <c r="R11" s="51" t="inlineStr">
        <is>
          <t>To Invoice</t>
        </is>
      </c>
      <c r="S11" s="51" t="inlineStr">
        <is>
          <t>Progress Claim 04</t>
        </is>
      </c>
      <c r="T11" s="51" t="inlineStr">
        <is>
          <t>https://cts.qwilr.com/25102701-DEWR-Studio-Upgrade-ESE25-143997-Rev-4-KTqWXx2QQz6f</t>
        </is>
      </c>
      <c r="U11" s="51" t="n"/>
      <c r="V11" s="52" t="n">
        <v>7563</v>
      </c>
      <c r="W11" s="52" t="n"/>
      <c r="X11" s="52" t="n"/>
      <c r="Y11" s="52" t="n"/>
      <c r="Z11" s="52" t="n">
        <v>149604.26</v>
      </c>
      <c r="AA11" s="52" t="n"/>
      <c r="AB11" s="53">
        <f>IF(L11="","",N(Y11)+N(Z11)+N(AA11))</f>
        <v/>
      </c>
      <c r="AC11" s="53">
        <f>IF(L11="","",L11-AB11)</f>
        <v/>
      </c>
      <c r="AD11" s="55">
        <f>IFERROR(AC11/L11,"")</f>
        <v/>
      </c>
      <c r="AE11" s="50">
        <f>IF(L11="","",IF(N(V11)+N(W11)+N(X11)=0,"Not split",IF(ROUND(N(V11)+N(W11)+N(X11),2)=ROUND(L11,2),"OK","MISMATCH")))</f>
        <v/>
      </c>
    </row>
    <row r="12" ht="15" customHeight="1">
      <c r="A12" s="48" t="n">
        <v>46190</v>
      </c>
      <c r="B12" s="49">
        <f>IF(A12="","",EOMONTH(A12,0))</f>
        <v/>
      </c>
      <c r="C12" s="50">
        <f>"Consulting"</f>
        <v/>
      </c>
      <c r="D12" s="51" t="inlineStr">
        <is>
          <t>INTEGRATION</t>
        </is>
      </c>
      <c r="E12" s="51" t="inlineStr">
        <is>
          <t>PwC</t>
        </is>
      </c>
      <c r="F12" s="51" t="inlineStr">
        <is>
          <t>26051801</t>
        </is>
      </c>
      <c r="G12" s="50">
        <f>IF(F12="","",IF(COUNTIF(lst_Jobs,F12&amp;"")&gt;0,"OK","CHECK"))</f>
        <v/>
      </c>
      <c r="H12" s="51" t="inlineStr">
        <is>
          <t>Mel Studio Equipment</t>
        </is>
      </c>
      <c r="I12" s="51" t="inlineStr">
        <is>
          <t>Project</t>
        </is>
      </c>
      <c r="J12" s="51" t="inlineStr">
        <is>
          <t>INV-10462</t>
        </is>
      </c>
      <c r="K12" s="51" t="inlineStr">
        <is>
          <t>GST 10%</t>
        </is>
      </c>
      <c r="L12" s="52" t="n">
        <v>12039</v>
      </c>
      <c r="M12" s="53">
        <f>IF(L12="","",IF(K12="GST 10%",ROUND(L12*0.1,2),0))</f>
        <v/>
      </c>
      <c r="N12" s="53">
        <f>IF(L12="","",L12+M12)</f>
        <v/>
      </c>
      <c r="O12" s="51" t="inlineStr">
        <is>
          <t>42300</t>
        </is>
      </c>
      <c r="P12" s="51" t="inlineStr">
        <is>
          <t>Y</t>
        </is>
      </c>
      <c r="Q12" s="51" t="inlineStr">
        <is>
          <t>N</t>
        </is>
      </c>
      <c r="R12" s="51" t="inlineStr">
        <is>
          <t>Invoiced</t>
        </is>
      </c>
      <c r="S12" s="51" t="n"/>
      <c r="T12" s="51" t="inlineStr">
        <is>
          <t>https://cts.qwilr.com/26051801-PwC-Costing-v3-0-HUL2JaYQCO39</t>
        </is>
      </c>
      <c r="U12" s="51" t="n"/>
      <c r="V12" s="52" t="n">
        <v>289</v>
      </c>
      <c r="W12" s="52" t="n">
        <v>11750</v>
      </c>
      <c r="X12" s="52" t="n"/>
      <c r="Y12" s="52" t="n">
        <v>237</v>
      </c>
      <c r="Z12" s="52" t="n">
        <v>8810</v>
      </c>
      <c r="AA12" s="52" t="n"/>
      <c r="AB12" s="53">
        <f>IF(L12="","",N(Y12)+N(Z12)+N(AA12))</f>
        <v/>
      </c>
      <c r="AC12" s="53">
        <f>IF(L12="","",L12-AB12)</f>
        <v/>
      </c>
      <c r="AD12" s="55">
        <f>IFERROR(AC12/L12,"")</f>
        <v/>
      </c>
      <c r="AE12" s="50">
        <f>IF(L12="","",IF(N(V12)+N(W12)+N(X12)=0,"Not split",IF(ROUND(N(V12)+N(W12)+N(X12),2)=ROUND(L12,2),"OK","MISMATCH")))</f>
        <v/>
      </c>
    </row>
    <row r="13" ht="15" customHeight="1">
      <c r="A13" s="48" t="n">
        <v>46190</v>
      </c>
      <c r="B13" s="49">
        <f>IF(A13="","",EOMONTH(A13,0))</f>
        <v/>
      </c>
      <c r="C13" s="50">
        <f>"Consulting"</f>
        <v/>
      </c>
      <c r="D13" s="51" t="inlineStr">
        <is>
          <t>INTEGRATION</t>
        </is>
      </c>
      <c r="E13" s="51" t="inlineStr">
        <is>
          <t>PwC</t>
        </is>
      </c>
      <c r="F13" s="51" t="inlineStr">
        <is>
          <t>26043003</t>
        </is>
      </c>
      <c r="G13" s="50">
        <f>IF(F13="","",IF(COUNTIF(lst_Jobs,F13&amp;"")&gt;0,"OK","CHECK"))</f>
        <v/>
      </c>
      <c r="H13" s="51" t="inlineStr">
        <is>
          <t xml:space="preserve">Screen Replacements (SYD/MEL) </t>
        </is>
      </c>
      <c r="I13" s="51" t="inlineStr">
        <is>
          <t>Project</t>
        </is>
      </c>
      <c r="J13" s="51" t="inlineStr">
        <is>
          <t>INV-10461</t>
        </is>
      </c>
      <c r="K13" s="51" t="inlineStr">
        <is>
          <t>GST 10%</t>
        </is>
      </c>
      <c r="L13" s="52" t="n">
        <v>96068</v>
      </c>
      <c r="M13" s="53">
        <f>IF(L13="","",IF(K13="GST 10%",ROUND(L13*0.1,2),0))</f>
        <v/>
      </c>
      <c r="N13" s="53">
        <f>IF(L13="","",L13+M13)</f>
        <v/>
      </c>
      <c r="O13" s="51" t="inlineStr">
        <is>
          <t>42300</t>
        </is>
      </c>
      <c r="P13" s="51" t="inlineStr">
        <is>
          <t>Y</t>
        </is>
      </c>
      <c r="Q13" s="51" t="inlineStr">
        <is>
          <t>N</t>
        </is>
      </c>
      <c r="R13" s="51" t="inlineStr">
        <is>
          <t>Paid</t>
        </is>
      </c>
      <c r="S13" s="51" t="n"/>
      <c r="T13" s="51" t="inlineStr">
        <is>
          <t>https://cts.qwilr.com/26043003-PwC-Costing-v1-0-LoPgcYilSIWh</t>
        </is>
      </c>
      <c r="U13" s="51" t="n"/>
      <c r="V13" s="52" t="n">
        <v>17766</v>
      </c>
      <c r="W13" s="52" t="n">
        <v>78301</v>
      </c>
      <c r="X13" s="52" t="n"/>
      <c r="Y13" s="52" t="n">
        <v>13439</v>
      </c>
      <c r="Z13" s="52" t="n">
        <v>74537</v>
      </c>
      <c r="AA13" s="52" t="n"/>
      <c r="AB13" s="53">
        <f>IF(L13="","",N(Y13)+N(Z13)+N(AA13))</f>
        <v/>
      </c>
      <c r="AC13" s="53">
        <f>IF(L13="","",L13-AB13)</f>
        <v/>
      </c>
      <c r="AD13" s="55">
        <f>IFERROR(AC13/L13,"")</f>
        <v/>
      </c>
      <c r="AE13" s="50">
        <f>IF(L13="","",IF(N(V13)+N(W13)+N(X13)=0,"Not split",IF(ROUND(N(V13)+N(W13)+N(X13),2)=ROUND(L13,2),"OK","MISMATCH")))</f>
        <v/>
      </c>
    </row>
    <row r="14" ht="15" customHeight="1">
      <c r="A14" s="48" t="n">
        <v>46198</v>
      </c>
      <c r="B14" s="49">
        <f>IF(A14="","",EOMONTH(A14,0))</f>
        <v/>
      </c>
      <c r="C14" s="50">
        <f>"Consulting"</f>
        <v/>
      </c>
      <c r="D14" s="51" t="inlineStr">
        <is>
          <t>INTEGRATION</t>
        </is>
      </c>
      <c r="E14" s="51" t="inlineStr">
        <is>
          <t>PwC</t>
        </is>
      </c>
      <c r="F14" s="51" t="inlineStr">
        <is>
          <t>2606901</t>
        </is>
      </c>
      <c r="G14" s="50">
        <f>IF(F14="","",IF(COUNTIF(lst_Jobs,F14&amp;"")&gt;0,"OK","CHECK"))</f>
        <v/>
      </c>
      <c r="H14" s="51" t="inlineStr">
        <is>
          <t>Sydney Office box drop</t>
        </is>
      </c>
      <c r="I14" s="51" t="inlineStr">
        <is>
          <t>Project</t>
        </is>
      </c>
      <c r="J14" s="51" t="inlineStr">
        <is>
          <t>INV-10500</t>
        </is>
      </c>
      <c r="K14" s="51" t="inlineStr">
        <is>
          <t>GST 10%</t>
        </is>
      </c>
      <c r="L14" s="52" t="n">
        <v>561</v>
      </c>
      <c r="M14" s="53">
        <f>IF(L14="","",IF(K14="GST 10%",ROUND(L14*0.1,2),0))</f>
        <v/>
      </c>
      <c r="N14" s="53">
        <f>IF(L14="","",L14+M14)</f>
        <v/>
      </c>
      <c r="O14" s="51" t="inlineStr">
        <is>
          <t>42300</t>
        </is>
      </c>
      <c r="P14" s="51" t="inlineStr">
        <is>
          <t>Y</t>
        </is>
      </c>
      <c r="Q14" s="51" t="inlineStr">
        <is>
          <t>N</t>
        </is>
      </c>
      <c r="R14" s="51" t="inlineStr">
        <is>
          <t>Paid</t>
        </is>
      </c>
      <c r="S14" s="51" t="n"/>
      <c r="T14" s="51" t="inlineStr">
        <is>
          <t>https://app.qwilr.com/#/page-view/6a336995d5bfec1e1c7a08ed</t>
        </is>
      </c>
      <c r="U14" s="51" t="n"/>
      <c r="V14" s="52" t="n">
        <v>41</v>
      </c>
      <c r="W14" s="52" t="n">
        <v>520</v>
      </c>
      <c r="X14" s="52" t="n"/>
      <c r="Y14" s="52" t="n">
        <v>30.98</v>
      </c>
      <c r="Z14" s="52" t="n">
        <v>389</v>
      </c>
      <c r="AA14" s="52" t="n"/>
      <c r="AB14" s="53">
        <f>IF(L14="","",N(Y14)+N(Z14)+N(AA14))</f>
        <v/>
      </c>
      <c r="AC14" s="53">
        <f>IF(L14="","",L14-AB14)</f>
        <v/>
      </c>
      <c r="AD14" s="55">
        <f>IFERROR(AC14/L14,"")</f>
        <v/>
      </c>
      <c r="AE14" s="50">
        <f>IF(L14="","",IF(N(V14)+N(W14)+N(X14)=0,"Not split",IF(ROUND(N(V14)+N(W14)+N(X14),2)=ROUND(L14,2),"OK","MISMATCH")))</f>
        <v/>
      </c>
    </row>
    <row r="15" ht="15" customHeight="1">
      <c r="A15" s="48" t="n">
        <v>46198</v>
      </c>
      <c r="B15" s="49">
        <f>IF(A15="","",EOMONTH(A15,0))</f>
        <v/>
      </c>
      <c r="C15" s="50">
        <f>"Consulting"</f>
        <v/>
      </c>
      <c r="D15" s="51" t="inlineStr">
        <is>
          <t>CONSULTING</t>
        </is>
      </c>
      <c r="E15" s="51" t="inlineStr">
        <is>
          <t>YSG Studio</t>
        </is>
      </c>
      <c r="F15" s="51" t="inlineStr">
        <is>
          <t>2602203</t>
        </is>
      </c>
      <c r="G15" s="50">
        <f>IF(F15="","",IF(COUNTIF(lst_Jobs,F15&amp;"")&gt;0,"OK","CHECK"))</f>
        <v/>
      </c>
      <c r="H15" s="51" t="inlineStr">
        <is>
          <t xml:space="preserve">Orange Room Upgrade CONS </t>
        </is>
      </c>
      <c r="I15" s="51" t="inlineStr">
        <is>
          <t>Project</t>
        </is>
      </c>
      <c r="J15" s="51" t="inlineStr">
        <is>
          <t>INV-10499</t>
        </is>
      </c>
      <c r="K15" s="51" t="inlineStr">
        <is>
          <t>GST 10%</t>
        </is>
      </c>
      <c r="L15" s="52" t="n">
        <v>2247.5</v>
      </c>
      <c r="M15" s="53">
        <f>IF(L15="","",IF(K15="GST 10%",ROUND(L15*0.1,2),0))</f>
        <v/>
      </c>
      <c r="N15" s="53">
        <f>IF(L15="","",L15+M15)</f>
        <v/>
      </c>
      <c r="O15" s="51" t="inlineStr">
        <is>
          <t>42800</t>
        </is>
      </c>
      <c r="P15" s="51" t="inlineStr">
        <is>
          <t>Y</t>
        </is>
      </c>
      <c r="Q15" s="51" t="inlineStr">
        <is>
          <t>N</t>
        </is>
      </c>
      <c r="R15" s="51" t="inlineStr">
        <is>
          <t>To Invoice</t>
        </is>
      </c>
      <c r="S15" s="51" t="inlineStr">
        <is>
          <t>Progress Claim 03</t>
        </is>
      </c>
      <c r="T15" s="51" t="inlineStr">
        <is>
          <t>https://cts.qwilr.com/2602203-YSGStudio-Proposal-A-Yw8447MlTUK7</t>
        </is>
      </c>
      <c r="U15" s="51" t="n"/>
      <c r="V15" s="52" t="n">
        <v>2247.5</v>
      </c>
      <c r="W15" s="52" t="n"/>
      <c r="X15" s="52" t="n"/>
      <c r="Y15" s="52" t="n">
        <v>4840.96</v>
      </c>
      <c r="Z15" s="52" t="n">
        <v>17621.33</v>
      </c>
      <c r="AA15" s="52" t="n"/>
      <c r="AB15" s="53">
        <f>IF(L15="","",N(Y15)+N(Z15)+N(AA15))</f>
        <v/>
      </c>
      <c r="AC15" s="53">
        <f>IF(L15="","",L15-AB15)</f>
        <v/>
      </c>
      <c r="AD15" s="55">
        <f>IFERROR(AC15/L15,"")</f>
        <v/>
      </c>
      <c r="AE15" s="50">
        <f>IF(L15="","",IF(N(V15)+N(W15)+N(X15)=0,"Not split",IF(ROUND(N(V15)+N(W15)+N(X15),2)=ROUND(L15,2),"OK","MISMATCH")))</f>
        <v/>
      </c>
    </row>
    <row r="16" ht="15" customHeight="1">
      <c r="A16" s="48" t="n">
        <v>46203</v>
      </c>
      <c r="B16" s="49">
        <f>IF(A16="","",EOMONTH(A16,0))</f>
        <v/>
      </c>
      <c r="C16" s="50">
        <f>"Consulting"</f>
        <v/>
      </c>
      <c r="D16" s="51" t="inlineStr">
        <is>
          <t>INTEGRATION</t>
        </is>
      </c>
      <c r="E16" s="51" t="inlineStr">
        <is>
          <t>CoS</t>
        </is>
      </c>
      <c r="F16" s="51" t="inlineStr">
        <is>
          <t>25111203</t>
        </is>
      </c>
      <c r="G16" s="50">
        <f>IF(F16="","",IF(COUNTIF(lst_Jobs,F16&amp;"")&gt;0,"OK","CHECK"))</f>
        <v/>
      </c>
      <c r="H16" s="51" t="inlineStr">
        <is>
          <t>Barco E3 Sale</t>
        </is>
      </c>
      <c r="I16" s="51" t="inlineStr">
        <is>
          <t>Project</t>
        </is>
      </c>
      <c r="J16" s="51" t="inlineStr">
        <is>
          <t>INV-10510</t>
        </is>
      </c>
      <c r="K16" s="51" t="inlineStr">
        <is>
          <t>GST 10%</t>
        </is>
      </c>
      <c r="L16" s="52" t="n">
        <v>159150</v>
      </c>
      <c r="M16" s="53">
        <f>IF(L16="","",IF(K16="GST 10%",ROUND(L16*0.1,2),0))</f>
        <v/>
      </c>
      <c r="N16" s="53">
        <f>IF(L16="","",L16+M16)</f>
        <v/>
      </c>
      <c r="O16" s="51" t="inlineStr">
        <is>
          <t>42300</t>
        </is>
      </c>
      <c r="P16" s="51" t="inlineStr">
        <is>
          <t>Y</t>
        </is>
      </c>
      <c r="Q16" s="51" t="inlineStr">
        <is>
          <t>N</t>
        </is>
      </c>
      <c r="R16" s="51" t="inlineStr">
        <is>
          <t>Paid</t>
        </is>
      </c>
      <c r="S16" s="51" t="n"/>
      <c r="T16" s="51" t="inlineStr">
        <is>
          <t>https://cts.qwilr.com/25111203-CoS-Proposal-v3-0-SyP1MwQ2TcKi</t>
        </is>
      </c>
      <c r="U16" s="51" t="n"/>
      <c r="V16" s="52" t="n"/>
      <c r="W16" s="52" t="n">
        <v>159150</v>
      </c>
      <c r="X16" s="52" t="n"/>
      <c r="Y16" s="52" t="n"/>
      <c r="Z16" s="52" t="n">
        <v>149604.26</v>
      </c>
      <c r="AA16" s="52" t="n"/>
      <c r="AB16" s="53">
        <f>IF(L16="","",N(Y16)+N(Z16)+N(AA16))</f>
        <v/>
      </c>
      <c r="AC16" s="53">
        <f>IF(L16="","",L16-AB16)</f>
        <v/>
      </c>
      <c r="AD16" s="55">
        <f>IFERROR(AC16/L16,"")</f>
        <v/>
      </c>
      <c r="AE16" s="50">
        <f>IF(L16="","",IF(N(V16)+N(W16)+N(X16)=0,"Not split",IF(ROUND(N(V16)+N(W16)+N(X16),2)=ROUND(L16,2),"OK","MISMATCH")))</f>
        <v/>
      </c>
    </row>
    <row r="17" ht="15" customHeight="1">
      <c r="A17" s="48" t="n">
        <v>46203</v>
      </c>
      <c r="B17" s="49">
        <f>IF(A17="","",EOMONTH(A17,0))</f>
        <v/>
      </c>
      <c r="C17" s="50">
        <f>"Consulting"</f>
        <v/>
      </c>
      <c r="D17" s="51" t="inlineStr">
        <is>
          <t>INTEGRATION</t>
        </is>
      </c>
      <c r="E17" s="51" t="inlineStr">
        <is>
          <t>DTTL</t>
        </is>
      </c>
      <c r="F17" s="51" t="inlineStr">
        <is>
          <t>26033003</t>
        </is>
      </c>
      <c r="G17" s="50">
        <f>IF(F17="","",IF(COUNTIF(lst_Jobs,F17&amp;"")&gt;0,"OK","CHECK"))</f>
        <v/>
      </c>
      <c r="H17" s="51" t="inlineStr">
        <is>
          <t>8PSQ-Dream-Big-Microphones</t>
        </is>
      </c>
      <c r="I17" s="51" t="inlineStr">
        <is>
          <t>Project</t>
        </is>
      </c>
      <c r="J17" s="51" t="inlineStr">
        <is>
          <t>INV-10355</t>
        </is>
      </c>
      <c r="K17" s="51" t="inlineStr">
        <is>
          <t>GST 10%</t>
        </is>
      </c>
      <c r="L17" s="52" t="n">
        <v>27408</v>
      </c>
      <c r="M17" s="53">
        <f>IF(L17="","",IF(K17="GST 10%",ROUND(L17*0.1,2),0))</f>
        <v/>
      </c>
      <c r="N17" s="53">
        <f>IF(L17="","",L17+M17)</f>
        <v/>
      </c>
      <c r="O17" s="51" t="inlineStr">
        <is>
          <t>42300</t>
        </is>
      </c>
      <c r="P17" s="51" t="inlineStr">
        <is>
          <t>Y</t>
        </is>
      </c>
      <c r="Q17" s="51" t="inlineStr">
        <is>
          <t>N</t>
        </is>
      </c>
      <c r="R17" s="51" t="inlineStr">
        <is>
          <t>Paid</t>
        </is>
      </c>
      <c r="S17" s="51" t="inlineStr">
        <is>
          <t>Invoiced in DTTL Additionals</t>
        </is>
      </c>
      <c r="T17" s="51" t="inlineStr">
        <is>
          <t>26033003-Deloitte-8PSQ-Dream-Big-Microphones-v1-0-E9jd4w9T62Y1</t>
        </is>
      </c>
      <c r="U17" s="51" t="n"/>
      <c r="V17" s="52" t="n">
        <v>5904</v>
      </c>
      <c r="W17" s="52" t="n">
        <v>21504</v>
      </c>
      <c r="X17" s="52" t="n"/>
      <c r="Y17" s="52" t="n">
        <v>4840.8</v>
      </c>
      <c r="Z17" s="52" t="n">
        <v>17621.2</v>
      </c>
      <c r="AA17" s="52" t="n"/>
      <c r="AB17" s="53">
        <f>IF(L17="","",N(Y17)+N(Z17)+N(AA17))</f>
        <v/>
      </c>
      <c r="AC17" s="53">
        <f>IF(L17="","",L17-AB17)</f>
        <v/>
      </c>
      <c r="AD17" s="55">
        <f>IFERROR(AC17/L17,"")</f>
        <v/>
      </c>
      <c r="AE17" s="50">
        <f>IF(L17="","",IF(N(V17)+N(W17)+N(X17)=0,"Not split",IF(ROUND(N(V17)+N(W17)+N(X17),2)=ROUND(L17,2),"OK","MISMATCH")))</f>
        <v/>
      </c>
    </row>
    <row r="18" ht="15" customHeight="1">
      <c r="A18" s="48" t="n">
        <v>46203</v>
      </c>
      <c r="B18" s="49">
        <f>IF(A18="","",EOMONTH(A18,0))</f>
        <v/>
      </c>
      <c r="C18" s="50">
        <f>"Consulting"</f>
        <v/>
      </c>
      <c r="D18" s="51" t="inlineStr">
        <is>
          <t>INTEGRATION</t>
        </is>
      </c>
      <c r="E18" s="51" t="inlineStr">
        <is>
          <t>DTTL</t>
        </is>
      </c>
      <c r="F18" s="51" t="inlineStr">
        <is>
          <t>26033005</t>
        </is>
      </c>
      <c r="G18" s="50">
        <f>IF(F18="","",IF(COUNTIF(lst_Jobs,F18&amp;"")&gt;0,"OK","CHECK"))</f>
        <v/>
      </c>
      <c r="H18" s="51" t="inlineStr">
        <is>
          <t>QQT &amp; 8PSQ_Crestron Connect Adaptor</t>
        </is>
      </c>
      <c r="I18" s="51" t="inlineStr">
        <is>
          <t>Project</t>
        </is>
      </c>
      <c r="J18" s="51" t="inlineStr">
        <is>
          <t>INV-10355</t>
        </is>
      </c>
      <c r="K18" s="51" t="inlineStr">
        <is>
          <t>GST 10%</t>
        </is>
      </c>
      <c r="L18" s="52" t="n">
        <v>20128</v>
      </c>
      <c r="M18" s="53">
        <f>IF(L18="","",IF(K18="GST 10%",ROUND(L18*0.1,2),0))</f>
        <v/>
      </c>
      <c r="N18" s="53">
        <f>IF(L18="","",L18+M18)</f>
        <v/>
      </c>
      <c r="O18" s="51" t="inlineStr">
        <is>
          <t>42300</t>
        </is>
      </c>
      <c r="P18" s="51" t="inlineStr">
        <is>
          <t>Y</t>
        </is>
      </c>
      <c r="Q18" s="51" t="inlineStr">
        <is>
          <t>N</t>
        </is>
      </c>
      <c r="R18" s="51" t="inlineStr">
        <is>
          <t>To Invoice</t>
        </is>
      </c>
      <c r="S18" s="51" t="n"/>
      <c r="T18" s="51" t="inlineStr">
        <is>
          <t>26033005_Deloitte QQT &amp; 8PSQ_Crestron Connect Adaptor_v1.0</t>
        </is>
      </c>
      <c r="U18" s="51" t="n"/>
      <c r="V18" s="52" t="n">
        <v>4105</v>
      </c>
      <c r="W18" s="52" t="n">
        <v>16023</v>
      </c>
      <c r="X18" s="52" t="n"/>
      <c r="Y18" s="52" t="n">
        <v>3013.72</v>
      </c>
      <c r="Z18" s="52" t="n">
        <v>13493.15</v>
      </c>
      <c r="AA18" s="52" t="n"/>
      <c r="AB18" s="53">
        <f>IF(L18="","",N(Y18)+N(Z18)+N(AA18))</f>
        <v/>
      </c>
      <c r="AC18" s="53">
        <f>IF(L18="","",L18-AB18)</f>
        <v/>
      </c>
      <c r="AD18" s="55">
        <f>IFERROR(AC18/L18,"")</f>
        <v/>
      </c>
      <c r="AE18" s="50">
        <f>IF(L18="","",IF(N(V18)+N(W18)+N(X18)=0,"Not split",IF(ROUND(N(V18)+N(W18)+N(X18),2)=ROUND(L18,2),"OK","MISMATCH")))</f>
        <v/>
      </c>
    </row>
    <row r="19" ht="15" customHeight="1">
      <c r="A19" s="48" t="n">
        <v>46203</v>
      </c>
      <c r="B19" s="49">
        <f>IF(A19="","",EOMONTH(A19,0))</f>
        <v/>
      </c>
      <c r="C19" s="50">
        <f>"Consulting"</f>
        <v/>
      </c>
      <c r="D19" s="51" t="inlineStr">
        <is>
          <t>INTEGRATION</t>
        </is>
      </c>
      <c r="E19" s="51" t="inlineStr">
        <is>
          <t>DTTL</t>
        </is>
      </c>
      <c r="F19" s="51" t="inlineStr">
        <is>
          <t>26033006</t>
        </is>
      </c>
      <c r="G19" s="50">
        <f>IF(F19="","",IF(COUNTIF(lst_Jobs,F19&amp;"")&gt;0,"OK","CHECK"))</f>
        <v/>
      </c>
      <c r="H19" s="51" t="inlineStr">
        <is>
          <t>8PSQ_Bluetooth Audio</t>
        </is>
      </c>
      <c r="I19" s="51" t="inlineStr">
        <is>
          <t>Project</t>
        </is>
      </c>
      <c r="J19" s="51" t="inlineStr">
        <is>
          <t>INV-10355</t>
        </is>
      </c>
      <c r="K19" s="51" t="inlineStr">
        <is>
          <t>GST 10%</t>
        </is>
      </c>
      <c r="L19" s="52" t="n">
        <v>5065</v>
      </c>
      <c r="M19" s="53">
        <f>IF(L19="","",IF(K19="GST 10%",ROUND(L19*0.1,2),0))</f>
        <v/>
      </c>
      <c r="N19" s="53">
        <f>IF(L19="","",L19+M19)</f>
        <v/>
      </c>
      <c r="O19" s="51" t="inlineStr">
        <is>
          <t>42300</t>
        </is>
      </c>
      <c r="P19" s="51" t="inlineStr">
        <is>
          <t>Y</t>
        </is>
      </c>
      <c r="Q19" s="51" t="inlineStr">
        <is>
          <t>N</t>
        </is>
      </c>
      <c r="R19" s="51" t="inlineStr">
        <is>
          <t>To Invoice</t>
        </is>
      </c>
      <c r="S19" s="51" t="n"/>
      <c r="T19" s="51" t="inlineStr">
        <is>
          <t>26033006_Deloitte 8PSQ_Bluetooth Audio_v1.0</t>
        </is>
      </c>
      <c r="U19" s="51" t="n"/>
      <c r="V19" s="52" t="n">
        <v>2578</v>
      </c>
      <c r="W19" s="52" t="n">
        <v>2487</v>
      </c>
      <c r="X19" s="52" t="n"/>
      <c r="Y19" s="52" t="n">
        <v>2114</v>
      </c>
      <c r="Z19" s="52" t="n">
        <v>2110</v>
      </c>
      <c r="AA19" s="52" t="n"/>
      <c r="AB19" s="53">
        <f>IF(L19="","",N(Y19)+N(Z19)+N(AA19))</f>
        <v/>
      </c>
      <c r="AC19" s="53">
        <f>IF(L19="","",L19-AB19)</f>
        <v/>
      </c>
      <c r="AD19" s="55">
        <f>IFERROR(AC19/L19,"")</f>
        <v/>
      </c>
      <c r="AE19" s="50">
        <f>IF(L19="","",IF(N(V19)+N(W19)+N(X19)=0,"Not split",IF(ROUND(N(V19)+N(W19)+N(X19),2)=ROUND(L19,2),"OK","MISMATCH")))</f>
        <v/>
      </c>
    </row>
    <row r="20" ht="15" customHeight="1">
      <c r="A20" s="48" t="n">
        <v>46203</v>
      </c>
      <c r="B20" s="49">
        <f>IF(A20="","",EOMONTH(A20,0))</f>
        <v/>
      </c>
      <c r="C20" s="50">
        <f>"Consulting"</f>
        <v/>
      </c>
      <c r="D20" s="51" t="inlineStr">
        <is>
          <t>INTEGRATION</t>
        </is>
      </c>
      <c r="E20" s="51" t="inlineStr">
        <is>
          <t>DTTL</t>
        </is>
      </c>
      <c r="F20" s="51" t="inlineStr">
        <is>
          <t>26033007</t>
        </is>
      </c>
      <c r="G20" s="50">
        <f>IF(F20="","",IF(COUNTIF(lst_Jobs,F20&amp;"")&gt;0,"OK","CHECK"))</f>
        <v/>
      </c>
      <c r="H20" s="51" t="inlineStr">
        <is>
          <t>QQT_Lv45 Seminar-Wheels repair</t>
        </is>
      </c>
      <c r="I20" s="51" t="inlineStr">
        <is>
          <t>Project</t>
        </is>
      </c>
      <c r="J20" s="51" t="inlineStr">
        <is>
          <t>INV-10355</t>
        </is>
      </c>
      <c r="K20" s="51" t="inlineStr">
        <is>
          <t>GST 10%</t>
        </is>
      </c>
      <c r="L20" s="52" t="n">
        <v>354</v>
      </c>
      <c r="M20" s="53">
        <f>IF(L20="","",IF(K20="GST 10%",ROUND(L20*0.1,2),0))</f>
        <v/>
      </c>
      <c r="N20" s="53">
        <f>IF(L20="","",L20+M20)</f>
        <v/>
      </c>
      <c r="O20" s="51" t="inlineStr">
        <is>
          <t>42300</t>
        </is>
      </c>
      <c r="P20" s="51" t="inlineStr">
        <is>
          <t>Y</t>
        </is>
      </c>
      <c r="Q20" s="51" t="inlineStr">
        <is>
          <t>N</t>
        </is>
      </c>
      <c r="R20" s="51" t="inlineStr">
        <is>
          <t>To Invoice</t>
        </is>
      </c>
      <c r="S20" s="51" t="n"/>
      <c r="T20" s="51" t="inlineStr">
        <is>
          <t>26033007_Deloitte QQT_Lv45 Seminar-Wheels repair_v1.0</t>
        </is>
      </c>
      <c r="U20" s="51" t="n"/>
      <c r="V20" s="52" t="n"/>
      <c r="W20" s="52" t="n">
        <v>354</v>
      </c>
      <c r="X20" s="52" t="n"/>
      <c r="Y20" s="52" t="n"/>
      <c r="Z20" s="52" t="n">
        <v>289.42</v>
      </c>
      <c r="AA20" s="52" t="n"/>
      <c r="AB20" s="53">
        <f>IF(L20="","",N(Y20)+N(Z20)+N(AA20))</f>
        <v/>
      </c>
      <c r="AC20" s="53">
        <f>IF(L20="","",L20-AB20)</f>
        <v/>
      </c>
      <c r="AD20" s="55">
        <f>IFERROR(AC20/L20,"")</f>
        <v/>
      </c>
      <c r="AE20" s="50">
        <f>IF(L20="","",IF(N(V20)+N(W20)+N(X20)=0,"Not split",IF(ROUND(N(V20)+N(W20)+N(X20),2)=ROUND(L20,2),"OK","MISMATCH")))</f>
        <v/>
      </c>
    </row>
    <row r="21" ht="15" customHeight="1">
      <c r="A21" s="48" t="n">
        <v>46209</v>
      </c>
      <c r="B21" s="49">
        <f>IF(A21="","",EOMONTH(A21,0))</f>
        <v/>
      </c>
      <c r="C21" s="50">
        <f>"Consulting"</f>
        <v/>
      </c>
      <c r="D21" s="51" t="inlineStr">
        <is>
          <t>INTEGRATION</t>
        </is>
      </c>
      <c r="E21" s="51" t="inlineStr">
        <is>
          <t>HP Poly - BAE</t>
        </is>
      </c>
      <c r="F21" s="51" t="inlineStr">
        <is>
          <t>26051301</t>
        </is>
      </c>
      <c r="G21" s="50">
        <f>IF(F21="","",IF(COUNTIF(lst_Jobs,F21&amp;"")&gt;0,"OK","CHECK"))</f>
        <v/>
      </c>
      <c r="H21" s="51" t="inlineStr">
        <is>
          <t>Phone Mod</t>
        </is>
      </c>
      <c r="I21" s="51" t="inlineStr">
        <is>
          <t>Project</t>
        </is>
      </c>
      <c r="J21" s="51" t="inlineStr">
        <is>
          <t>INV-10516</t>
        </is>
      </c>
      <c r="K21" s="51" t="inlineStr">
        <is>
          <t>GST 10%</t>
        </is>
      </c>
      <c r="L21" s="52" t="n">
        <v>1161</v>
      </c>
      <c r="M21" s="53">
        <f>IF(L21="","",IF(K21="GST 10%",ROUND(L21*0.1,2),0))</f>
        <v/>
      </c>
      <c r="N21" s="53">
        <f>IF(L21="","",L21+M21)</f>
        <v/>
      </c>
      <c r="O21" s="51" t="inlineStr">
        <is>
          <t>42300</t>
        </is>
      </c>
      <c r="P21" s="51" t="inlineStr">
        <is>
          <t>Y</t>
        </is>
      </c>
      <c r="Q21" s="51" t="inlineStr">
        <is>
          <t>N</t>
        </is>
      </c>
      <c r="R21" s="51" t="inlineStr">
        <is>
          <t>Paid</t>
        </is>
      </c>
      <c r="S21" s="51" t="n"/>
      <c r="T21" s="51" t="inlineStr">
        <is>
          <t>https://cts.qwilr.com/26051301-HP-BAE-PhoneMod-v1-0-nL48O1eQt25h</t>
        </is>
      </c>
      <c r="U21" s="51" t="n"/>
      <c r="V21" s="52" t="n">
        <v>552</v>
      </c>
      <c r="W21" s="52" t="n">
        <v>609</v>
      </c>
      <c r="X21" s="52" t="n"/>
      <c r="Y21" s="52" t="n">
        <v>486</v>
      </c>
      <c r="Z21" s="52" t="n">
        <v>402</v>
      </c>
      <c r="AA21" s="52" t="n"/>
      <c r="AB21" s="53">
        <f>IF(L21="","",N(Y21)+N(Z21)+N(AA21))</f>
        <v/>
      </c>
      <c r="AC21" s="53">
        <f>IF(L21="","",L21-AB21)</f>
        <v/>
      </c>
      <c r="AD21" s="55">
        <f>IFERROR(AC21/L21,"")</f>
        <v/>
      </c>
      <c r="AE21" s="50">
        <f>IF(L21="","",IF(N(V21)+N(W21)+N(X21)=0,"Not split",IF(ROUND(N(V21)+N(W21)+N(X21),2)=ROUND(L21,2),"OK","MISMATCH")))</f>
        <v/>
      </c>
    </row>
    <row r="22" ht="15" customHeight="1">
      <c r="A22" s="48" t="n">
        <v>46233</v>
      </c>
      <c r="B22" s="49">
        <f>IF(A22="","",EOMONTH(A22,0))</f>
        <v/>
      </c>
      <c r="C22" s="50">
        <f>"Consulting"</f>
        <v/>
      </c>
      <c r="D22" s="51" t="inlineStr">
        <is>
          <t>INTEGRATION</t>
        </is>
      </c>
      <c r="E22" s="51" t="inlineStr">
        <is>
          <t>DTTL</t>
        </is>
      </c>
      <c r="F22" s="51" t="inlineStr">
        <is>
          <t>26061501</t>
        </is>
      </c>
      <c r="G22" s="50">
        <f>IF(F22="","",IF(COUNTIF(lst_Jobs,F22&amp;"")&gt;0,"OK","CHECK"))</f>
        <v/>
      </c>
      <c r="H22" s="51" t="inlineStr">
        <is>
          <t>MEL Lv29 Display Supply</t>
        </is>
      </c>
      <c r="I22" s="51" t="inlineStr">
        <is>
          <t>Project</t>
        </is>
      </c>
      <c r="J22" s="51" t="inlineStr">
        <is>
          <t>INV-10546</t>
        </is>
      </c>
      <c r="K22" s="51" t="inlineStr">
        <is>
          <t>GST 10%</t>
        </is>
      </c>
      <c r="L22" s="52" t="n">
        <v>3890</v>
      </c>
      <c r="M22" s="53">
        <f>IF(L22="","",IF(K22="GST 10%",ROUND(L22*0.1,2),0))</f>
        <v/>
      </c>
      <c r="N22" s="53">
        <f>IF(L22="","",L22+M22)</f>
        <v/>
      </c>
      <c r="O22" s="51" t="inlineStr">
        <is>
          <t>42300</t>
        </is>
      </c>
      <c r="P22" s="51" t="inlineStr">
        <is>
          <t>Y</t>
        </is>
      </c>
      <c r="Q22" s="51" t="inlineStr">
        <is>
          <t>N</t>
        </is>
      </c>
      <c r="R22" s="51" t="inlineStr">
        <is>
          <t>Paid</t>
        </is>
      </c>
      <c r="S22" s="51" t="n"/>
      <c r="T22" s="51" t="inlineStr">
        <is>
          <t>https://cts.qwilr.com/26061501-DTTL-Costing-v1-0-3HdQMOES9eDo</t>
        </is>
      </c>
      <c r="U22" s="51" t="n"/>
      <c r="V22" s="52" t="n">
        <v>1639</v>
      </c>
      <c r="W22" s="52" t="n">
        <v>2251</v>
      </c>
      <c r="X22" s="52" t="n"/>
      <c r="Y22" s="52" t="n">
        <v>1344.2</v>
      </c>
      <c r="Z22" s="52" t="n">
        <v>1688.07</v>
      </c>
      <c r="AA22" s="52" t="n"/>
      <c r="AB22" s="53">
        <f>IF(L22="","",N(Y22)+N(Z22)+N(AA22))</f>
        <v/>
      </c>
      <c r="AC22" s="53">
        <f>IF(L22="","",L22-AB22)</f>
        <v/>
      </c>
      <c r="AD22" s="55">
        <f>IFERROR(AC22/L22,"")</f>
        <v/>
      </c>
      <c r="AE22" s="50">
        <f>IF(L22="","",IF(N(V22)+N(W22)+N(X22)=0,"Not split",IF(ROUND(N(V22)+N(W22)+N(X22),2)=ROUND(L22,2),"OK","MISMATCH")))</f>
        <v/>
      </c>
    </row>
    <row r="23" ht="15" customHeight="1">
      <c r="A23" s="48" t="n">
        <v>46233</v>
      </c>
      <c r="B23" s="49">
        <f>IF(A23="","",EOMONTH(A23,0))</f>
        <v/>
      </c>
      <c r="C23" s="50">
        <f>"Consulting"</f>
        <v/>
      </c>
      <c r="D23" s="51" t="inlineStr">
        <is>
          <t>INTEGRATION</t>
        </is>
      </c>
      <c r="E23" s="51" t="inlineStr">
        <is>
          <t>DTTL</t>
        </is>
      </c>
      <c r="F23" s="51" t="inlineStr">
        <is>
          <t>2605605</t>
        </is>
      </c>
      <c r="G23" s="50">
        <f>IF(F23="","",IF(COUNTIF(lst_Jobs,F23&amp;"")&gt;0,"OK","CHECK"))</f>
        <v/>
      </c>
      <c r="H23" s="51" t="inlineStr">
        <is>
          <t xml:space="preserve">HBA AV Fitout </t>
        </is>
      </c>
      <c r="I23" s="51" t="inlineStr">
        <is>
          <t>Project</t>
        </is>
      </c>
      <c r="J23" s="51" t="inlineStr">
        <is>
          <t>INV-10546</t>
        </is>
      </c>
      <c r="K23" s="51" t="inlineStr">
        <is>
          <t>GST 10%</t>
        </is>
      </c>
      <c r="L23" s="52" t="n">
        <v>60348</v>
      </c>
      <c r="M23" s="53">
        <f>IF(L23="","",IF(K23="GST 10%",ROUND(L23*0.1,2),0))</f>
        <v/>
      </c>
      <c r="N23" s="53">
        <f>IF(L23="","",L23+M23)</f>
        <v/>
      </c>
      <c r="O23" s="51" t="inlineStr">
        <is>
          <t>42300</t>
        </is>
      </c>
      <c r="P23" s="51" t="inlineStr">
        <is>
          <t>Y</t>
        </is>
      </c>
      <c r="Q23" s="51" t="inlineStr">
        <is>
          <t>N</t>
        </is>
      </c>
      <c r="R23" s="51" t="inlineStr">
        <is>
          <t>To Invoice</t>
        </is>
      </c>
      <c r="S23" s="51" t="n"/>
      <c r="T23" s="51" t="inlineStr">
        <is>
          <t>https://cts.qwilr.com/2605605-DTTL-Hobart-v3-2-6eP2dgISRMec</t>
        </is>
      </c>
      <c r="U23" s="51" t="n"/>
      <c r="V23" s="52" t="n">
        <v>12985</v>
      </c>
      <c r="W23" s="52" t="n">
        <v>47362</v>
      </c>
      <c r="X23" s="52" t="n"/>
      <c r="Y23" s="52" t="n">
        <v>10485</v>
      </c>
      <c r="Z23" s="52" t="n">
        <v>25392</v>
      </c>
      <c r="AA23" s="52" t="n"/>
      <c r="AB23" s="53">
        <f>IF(L23="","",N(Y23)+N(Z23)+N(AA23))</f>
        <v/>
      </c>
      <c r="AC23" s="53">
        <f>IF(L23="","",L23-AB23)</f>
        <v/>
      </c>
      <c r="AD23" s="55">
        <f>IFERROR(AC23/L23,"")</f>
        <v/>
      </c>
      <c r="AE23" s="50">
        <f>IF(L23="","",IF(N(V23)+N(W23)+N(X23)=0,"Not split",IF(ROUND(N(V23)+N(W23)+N(X23),2)=ROUND(L23,2),"OK","MISMATCH")))</f>
        <v/>
      </c>
    </row>
    <row r="24" ht="15" customHeight="1">
      <c r="A24" s="48" t="n">
        <v>46233</v>
      </c>
      <c r="B24" s="49">
        <f>IF(A24="","",EOMONTH(A24,0))</f>
        <v/>
      </c>
      <c r="C24" s="50">
        <f>"Consulting"</f>
        <v/>
      </c>
      <c r="D24" s="51" t="inlineStr">
        <is>
          <t>INTEGRATION</t>
        </is>
      </c>
      <c r="E24" s="51" t="inlineStr">
        <is>
          <t>DTTL</t>
        </is>
      </c>
      <c r="F24" s="51" t="inlineStr">
        <is>
          <t>26052003</t>
        </is>
      </c>
      <c r="G24" s="50">
        <f>IF(F24="","",IF(COUNTIF(lst_Jobs,F24&amp;"")&gt;0,"OK","CHECK"))</f>
        <v/>
      </c>
      <c r="H24" s="51" t="inlineStr">
        <is>
          <t>SYD Mobile Display Supply</t>
        </is>
      </c>
      <c r="I24" s="51" t="inlineStr">
        <is>
          <t>Project</t>
        </is>
      </c>
      <c r="J24" s="51" t="inlineStr">
        <is>
          <t>INV-10546</t>
        </is>
      </c>
      <c r="K24" s="51" t="inlineStr">
        <is>
          <t>GST 10%</t>
        </is>
      </c>
      <c r="L24" s="52" t="n">
        <v>7705</v>
      </c>
      <c r="M24" s="53">
        <f>IF(L24="","",IF(K24="GST 10%",ROUND(L24*0.1,2),0))</f>
        <v/>
      </c>
      <c r="N24" s="53">
        <f>IF(L24="","",L24+M24)</f>
        <v/>
      </c>
      <c r="O24" s="51" t="inlineStr">
        <is>
          <t>42300</t>
        </is>
      </c>
      <c r="P24" s="51" t="inlineStr">
        <is>
          <t>Y</t>
        </is>
      </c>
      <c r="Q24" s="51" t="inlineStr">
        <is>
          <t>N</t>
        </is>
      </c>
      <c r="R24" s="51" t="inlineStr">
        <is>
          <t>Paid</t>
        </is>
      </c>
      <c r="S24" s="51" t="inlineStr">
        <is>
          <t>Variation for slot in PC's</t>
        </is>
      </c>
      <c r="T24" s="51" t="inlineStr">
        <is>
          <t>https://cts.qwilr.com/26052003-DTTL-Costing-VQ01-v1-0-jIrM6h3CT1Ws</t>
        </is>
      </c>
      <c r="U24" s="51" t="n"/>
      <c r="V24" s="52" t="n">
        <v>70</v>
      </c>
      <c r="W24" s="52" t="n">
        <v>7635</v>
      </c>
      <c r="X24" s="52" t="n"/>
      <c r="Y24" s="52" t="n">
        <v>57.27</v>
      </c>
      <c r="Z24" s="52" t="n">
        <v>5727</v>
      </c>
      <c r="AA24" s="52" t="n"/>
      <c r="AB24" s="53">
        <f>IF(L24="","",N(Y24)+N(Z24)+N(AA24))</f>
        <v/>
      </c>
      <c r="AC24" s="53">
        <f>IF(L24="","",L24-AB24)</f>
        <v/>
      </c>
      <c r="AD24" s="55">
        <f>IFERROR(AC24/L24,"")</f>
        <v/>
      </c>
      <c r="AE24" s="50">
        <f>IF(L24="","",IF(N(V24)+N(W24)+N(X24)=0,"Not split",IF(ROUND(N(V24)+N(W24)+N(X24),2)=ROUND(L24,2),"OK","MISMATCH")))</f>
        <v/>
      </c>
    </row>
    <row r="25" ht="15" customHeight="1">
      <c r="A25" s="48" t="n">
        <v>46234</v>
      </c>
      <c r="B25" s="49">
        <f>IF(A25="","",EOMONTH(A25,0))</f>
        <v/>
      </c>
      <c r="C25" s="50">
        <f>"Consulting"</f>
        <v/>
      </c>
      <c r="D25" s="51" t="inlineStr">
        <is>
          <t>INTEGRATION</t>
        </is>
      </c>
      <c r="E25" s="51" t="inlineStr">
        <is>
          <t>Aware Super</t>
        </is>
      </c>
      <c r="F25" s="51" t="inlineStr">
        <is>
          <t>26072101</t>
        </is>
      </c>
      <c r="G25" s="50">
        <f>IF(F25="","",IF(COUNTIF(lst_Jobs,F25&amp;"")&gt;0,"OK","CHECK"))</f>
        <v/>
      </c>
      <c r="H25" s="51" t="inlineStr">
        <is>
          <t>MEL 17.02 Amp Replacement</t>
        </is>
      </c>
      <c r="I25" s="51" t="inlineStr">
        <is>
          <t>Project</t>
        </is>
      </c>
      <c r="J25" s="51" t="inlineStr">
        <is>
          <t>INV-10549</t>
        </is>
      </c>
      <c r="K25" s="51" t="inlineStr">
        <is>
          <t>GST 10%</t>
        </is>
      </c>
      <c r="L25" s="52" t="n">
        <v>6137</v>
      </c>
      <c r="M25" s="53">
        <f>IF(L25="","",IF(K25="GST 10%",ROUND(L25*0.1,2),0))</f>
        <v/>
      </c>
      <c r="N25" s="53">
        <f>IF(L25="","",L25+M25)</f>
        <v/>
      </c>
      <c r="O25" s="51" t="inlineStr">
        <is>
          <t>42300</t>
        </is>
      </c>
      <c r="P25" s="51" t="inlineStr">
        <is>
          <t>Y</t>
        </is>
      </c>
      <c r="Q25" s="51" t="inlineStr">
        <is>
          <t>N</t>
        </is>
      </c>
      <c r="R25" s="51" t="inlineStr">
        <is>
          <t>Paid</t>
        </is>
      </c>
      <c r="S25" s="51" t="n"/>
      <c r="T25" s="51" t="inlineStr">
        <is>
          <t>https://corptechservices.sharepoint.com/:b:/s/TeamIntegration/IQBagqp7IMy9QaQ1UUIv4eRPASus3A84m0lYjrSHFwHEyt0?e=9PLTPA</t>
        </is>
      </c>
      <c r="U25" s="51" t="n"/>
      <c r="V25" s="52" t="n">
        <v>920</v>
      </c>
      <c r="W25" s="52" t="n">
        <v>5217</v>
      </c>
      <c r="X25" s="52" t="n"/>
      <c r="Y25" s="52" t="n">
        <v>549</v>
      </c>
      <c r="Z25" s="52" t="n">
        <v>3913</v>
      </c>
      <c r="AA25" s="52" t="n"/>
      <c r="AB25" s="53">
        <f>IF(L25="","",N(Y25)+N(Z25)+N(AA25))</f>
        <v/>
      </c>
      <c r="AC25" s="53">
        <f>IF(L25="","",L25-AB25)</f>
        <v/>
      </c>
      <c r="AD25" s="55">
        <f>IFERROR(AC25/L25,"")</f>
        <v/>
      </c>
      <c r="AE25" s="50">
        <f>IF(L25="","",IF(N(V25)+N(W25)+N(X25)=0,"Not split",IF(ROUND(N(V25)+N(W25)+N(X25),2)=ROUND(L25,2),"OK","MISMATCH")))</f>
        <v/>
      </c>
    </row>
    <row r="26" ht="15" customHeight="1">
      <c r="A26" s="48" t="n">
        <v>46234</v>
      </c>
      <c r="B26" s="49">
        <f>IF(A26="","",EOMONTH(A26,0))</f>
        <v/>
      </c>
      <c r="C26" s="50">
        <f>"Consulting"</f>
        <v/>
      </c>
      <c r="D26" s="51" t="inlineStr">
        <is>
          <t>INTEGRATION</t>
        </is>
      </c>
      <c r="E26" s="51" t="inlineStr">
        <is>
          <t>APA</t>
        </is>
      </c>
      <c r="F26" s="51" t="inlineStr">
        <is>
          <t>2606101</t>
        </is>
      </c>
      <c r="G26" s="50">
        <f>IF(F26="","",IF(COUNTIF(lst_Jobs,F26&amp;"")&gt;0,"OK","CHECK"))</f>
        <v/>
      </c>
      <c r="H26" s="51" t="inlineStr">
        <is>
          <t>Young Eptura Proxyclick Licence Renewal</t>
        </is>
      </c>
      <c r="I26" s="51" t="inlineStr">
        <is>
          <t>Project</t>
        </is>
      </c>
      <c r="J26" s="51" t="inlineStr">
        <is>
          <t>INV-10548</t>
        </is>
      </c>
      <c r="K26" s="51" t="inlineStr">
        <is>
          <t>GST 10%</t>
        </is>
      </c>
      <c r="L26" s="52" t="n">
        <v>4205</v>
      </c>
      <c r="M26" s="53">
        <f>IF(L26="","",IF(K26="GST 10%",ROUND(L26*0.1,2),0))</f>
        <v/>
      </c>
      <c r="N26" s="53">
        <f>IF(L26="","",L26+M26)</f>
        <v/>
      </c>
      <c r="O26" s="51" t="inlineStr">
        <is>
          <t>42300</t>
        </is>
      </c>
      <c r="P26" s="51" t="inlineStr">
        <is>
          <t>Y</t>
        </is>
      </c>
      <c r="Q26" s="51" t="inlineStr">
        <is>
          <t>N</t>
        </is>
      </c>
      <c r="R26" s="51" t="inlineStr">
        <is>
          <t>Paid</t>
        </is>
      </c>
      <c r="S26" s="51" t="inlineStr">
        <is>
          <t>01/03/2027 to 29/02/2028</t>
        </is>
      </c>
      <c r="T26" s="51" t="inlineStr">
        <is>
          <t>https://cts.qwilr.com/2606101-APA-Quotation-v1-0-QyyRipuR5uzy</t>
        </is>
      </c>
      <c r="U26" s="51" t="n"/>
      <c r="V26" s="52" t="n"/>
      <c r="W26" s="52" t="n"/>
      <c r="X26" s="52" t="n">
        <v>4205</v>
      </c>
      <c r="Y26" s="52" t="n"/>
      <c r="Z26" s="52" t="n"/>
      <c r="AA26" s="52" t="n">
        <v>3364</v>
      </c>
      <c r="AB26" s="53">
        <f>IF(L26="","",N(Y26)+N(Z26)+N(AA26))</f>
        <v/>
      </c>
      <c r="AC26" s="53">
        <f>IF(L26="","",L26-AB26)</f>
        <v/>
      </c>
      <c r="AD26" s="55">
        <f>IFERROR(AC26/L26,"")</f>
        <v/>
      </c>
      <c r="AE26" s="50">
        <f>IF(L26="","",IF(N(V26)+N(W26)+N(X26)=0,"Not split",IF(ROUND(N(V26)+N(W26)+N(X26),2)=ROUND(L26,2),"OK","MISMATCH")))</f>
        <v/>
      </c>
    </row>
    <row r="27" ht="15" customHeight="1">
      <c r="A27" s="48" t="n">
        <v>46234</v>
      </c>
      <c r="B27" s="49">
        <f>IF(A27="","",EOMONTH(A27,0))</f>
        <v/>
      </c>
      <c r="C27" s="50">
        <f>"Consulting"</f>
        <v/>
      </c>
      <c r="D27" s="51" t="inlineStr">
        <is>
          <t>INTEGRATION</t>
        </is>
      </c>
      <c r="E27" s="51" t="inlineStr">
        <is>
          <t>YSG Studio</t>
        </is>
      </c>
      <c r="F27" s="51" t="inlineStr">
        <is>
          <t>26071304</t>
        </is>
      </c>
      <c r="G27" s="50">
        <f>IF(F27="","",IF(COUNTIF(lst_Jobs,F27&amp;"")&gt;0,"OK","CHECK"))</f>
        <v/>
      </c>
      <c r="H27" s="51" t="inlineStr">
        <is>
          <t>Orange Room Upgrade INT</t>
        </is>
      </c>
      <c r="I27" s="51" t="inlineStr">
        <is>
          <t>Project</t>
        </is>
      </c>
      <c r="J27" s="51" t="inlineStr">
        <is>
          <t>INV-10547</t>
        </is>
      </c>
      <c r="K27" s="51" t="inlineStr">
        <is>
          <t>GST 10%</t>
        </is>
      </c>
      <c r="L27" s="52" t="n">
        <v>4702</v>
      </c>
      <c r="M27" s="53">
        <f>IF(L27="","",IF(K27="GST 10%",ROUND(L27*0.1,2),0))</f>
        <v/>
      </c>
      <c r="N27" s="53">
        <f>IF(L27="","",L27+M27)</f>
        <v/>
      </c>
      <c r="O27" s="51" t="inlineStr">
        <is>
          <t>42300</t>
        </is>
      </c>
      <c r="P27" s="51" t="inlineStr">
        <is>
          <t>Y</t>
        </is>
      </c>
      <c r="Q27" s="51" t="inlineStr">
        <is>
          <t>N</t>
        </is>
      </c>
      <c r="R27" s="51" t="inlineStr">
        <is>
          <t>Paid</t>
        </is>
      </c>
      <c r="S27" s="51" t="inlineStr">
        <is>
          <t>Invoice 1/2 Equipment only</t>
        </is>
      </c>
      <c r="T27" s="51" t="inlineStr">
        <is>
          <t>https://cts.qwilr.com/26071304-YSG-Costing-v1-0-FTAgpF5RoWQK</t>
        </is>
      </c>
      <c r="U27" s="51" t="n"/>
      <c r="V27" s="52" t="n"/>
      <c r="W27" s="52" t="n">
        <v>4702</v>
      </c>
      <c r="X27" s="52" t="n"/>
      <c r="Y27" s="52" t="n"/>
      <c r="Z27" s="52" t="n">
        <v>3327.49</v>
      </c>
      <c r="AA27" s="52" t="n"/>
      <c r="AB27" s="53">
        <f>IF(L27="","",N(Y27)+N(Z27)+N(AA27))</f>
        <v/>
      </c>
      <c r="AC27" s="53">
        <f>IF(L27="","",L27-AB27)</f>
        <v/>
      </c>
      <c r="AD27" s="55">
        <f>IFERROR(AC27/L27,"")</f>
        <v/>
      </c>
      <c r="AE27" s="50">
        <f>IF(L27="","",IF(N(V27)+N(W27)+N(X27)=0,"Not split",IF(ROUND(N(V27)+N(W27)+N(X27),2)=ROUND(L27,2),"OK","MISMATCH")))</f>
        <v/>
      </c>
    </row>
    <row r="28" ht="15" customHeight="1">
      <c r="A28" s="48" t="n">
        <v>46274</v>
      </c>
      <c r="B28" s="49">
        <f>IF(A28="","",EOMONTH(A28,0))</f>
        <v/>
      </c>
      <c r="C28" s="50">
        <f>"Consulting"</f>
        <v/>
      </c>
      <c r="D28" s="51" t="inlineStr">
        <is>
          <t>INTEGRATION</t>
        </is>
      </c>
      <c r="E28" s="51" t="inlineStr">
        <is>
          <t>Aware Super</t>
        </is>
      </c>
      <c r="F28" s="51" t="inlineStr">
        <is>
          <t>2604704</t>
        </is>
      </c>
      <c r="G28" s="50">
        <f>IF(F28="","",IF(COUNTIF(lst_Jobs,F28&amp;"")&gt;0,"OK","CHECK"))</f>
        <v/>
      </c>
      <c r="H28" s="51" t="inlineStr">
        <is>
          <t>SYD Seminar Room Audio Upgrade</t>
        </is>
      </c>
      <c r="I28" s="51" t="inlineStr">
        <is>
          <t>Project</t>
        </is>
      </c>
      <c r="J28" s="51" t="inlineStr">
        <is>
          <t>To be invoiced 9th Sept 26</t>
        </is>
      </c>
      <c r="K28" s="51" t="inlineStr">
        <is>
          <t>GST 10%</t>
        </is>
      </c>
      <c r="L28" s="52" t="n">
        <v>202647</v>
      </c>
      <c r="M28" s="53">
        <f>IF(L28="","",IF(K28="GST 10%",ROUND(L28*0.1,2),0))</f>
        <v/>
      </c>
      <c r="N28" s="53">
        <f>IF(L28="","",L28+M28)</f>
        <v/>
      </c>
      <c r="O28" s="51" t="inlineStr">
        <is>
          <t>42300</t>
        </is>
      </c>
      <c r="P28" s="51" t="inlineStr">
        <is>
          <t>Y</t>
        </is>
      </c>
      <c r="Q28" s="51" t="inlineStr">
        <is>
          <t>N</t>
        </is>
      </c>
      <c r="R28" s="51" t="inlineStr">
        <is>
          <t>Invoiced</t>
        </is>
      </c>
      <c r="S28" s="51" t="n"/>
      <c r="T28" s="51" t="inlineStr">
        <is>
          <t>https://cts.qwilr.com/2604704-AwareSuper-Proposal-v4-0-ilNUnNxKQIui</t>
        </is>
      </c>
      <c r="U28" s="51" t="n"/>
      <c r="V28" s="52" t="n"/>
      <c r="W28" s="52" t="n"/>
      <c r="X28" s="52" t="n"/>
      <c r="Y28" s="52" t="n"/>
      <c r="Z28" s="52" t="n">
        <v>177457.98</v>
      </c>
      <c r="AA28" s="52" t="n"/>
      <c r="AB28" s="53">
        <f>IF(L28="","",N(Y28)+N(Z28)+N(AA28))</f>
        <v/>
      </c>
      <c r="AC28" s="53">
        <f>IF(L28="","",L28-AB28)</f>
        <v/>
      </c>
      <c r="AD28" s="55">
        <f>IFERROR(AC28/L28,"")</f>
        <v/>
      </c>
      <c r="AE28" s="50">
        <f>IF(L28="","",IF(N(V28)+N(W28)+N(X28)=0,"Not split",IF(ROUND(N(V28)+N(W28)+N(X28),2)=ROUND(L28,2),"OK","MISMATCH")))</f>
        <v/>
      </c>
    </row>
    <row r="29" ht="15" customHeight="1">
      <c r="A29" s="48" t="n">
        <v>46254</v>
      </c>
      <c r="B29" s="49">
        <f>IF(A29="","",EOMONTH(A29,0))</f>
        <v/>
      </c>
      <c r="C29" s="50">
        <f>"Consulting"</f>
        <v/>
      </c>
      <c r="D29" s="51" t="inlineStr">
        <is>
          <t>INTEGRATION</t>
        </is>
      </c>
      <c r="E29" s="51" t="inlineStr">
        <is>
          <t>HP Poly - Data#3</t>
        </is>
      </c>
      <c r="F29" s="51" t="inlineStr">
        <is>
          <t>26052102</t>
        </is>
      </c>
      <c r="G29" s="50">
        <f>IF(F29="","",IF(COUNTIF(lst_Jobs,F29&amp;"")&gt;0,"OK","CHECK"))</f>
        <v/>
      </c>
      <c r="H29" s="51" t="inlineStr">
        <is>
          <t>AUSTRAC Phone Mods</t>
        </is>
      </c>
      <c r="I29" s="51" t="inlineStr">
        <is>
          <t>Project</t>
        </is>
      </c>
      <c r="J29" s="51" t="inlineStr">
        <is>
          <t>INV-10575</t>
        </is>
      </c>
      <c r="K29" s="51" t="inlineStr">
        <is>
          <t>GST 10%</t>
        </is>
      </c>
      <c r="L29" s="52" t="n">
        <v>45909</v>
      </c>
      <c r="M29" s="53">
        <f>IF(L29="","",IF(K29="GST 10%",ROUND(L29*0.1,2),0))</f>
        <v/>
      </c>
      <c r="N29" s="53">
        <f>IF(L29="","",L29+M29)</f>
        <v/>
      </c>
      <c r="O29" s="51" t="inlineStr">
        <is>
          <t>42300</t>
        </is>
      </c>
      <c r="P29" s="51" t="inlineStr">
        <is>
          <t>Y</t>
        </is>
      </c>
      <c r="Q29" s="51" t="inlineStr">
        <is>
          <t>N</t>
        </is>
      </c>
      <c r="R29" s="51" t="inlineStr">
        <is>
          <t>Paid</t>
        </is>
      </c>
      <c r="S29" s="51" t="n"/>
      <c r="T29" s="51" t="inlineStr">
        <is>
          <t>https://cts.qwilr.com/26052102-HP-D3-AustracPhoneMod-v3-0-PO-Received-4b9uvVwXSiqQ</t>
        </is>
      </c>
      <c r="U29" s="51" t="n"/>
      <c r="V29" s="52" t="n">
        <v>8009</v>
      </c>
      <c r="W29" s="52" t="n">
        <v>37900</v>
      </c>
      <c r="X29" s="52" t="n"/>
      <c r="Y29" s="52" t="n">
        <v>6567</v>
      </c>
      <c r="Z29" s="52" t="n">
        <v>28409</v>
      </c>
      <c r="AA29" s="52" t="n"/>
      <c r="AB29" s="53">
        <f>IF(L29="","",N(Y29)+N(Z29)+N(AA29))</f>
        <v/>
      </c>
      <c r="AC29" s="53">
        <f>IF(L29="","",L29-AB29)</f>
        <v/>
      </c>
      <c r="AD29" s="55">
        <f>IFERROR(AC29/L29,"")</f>
        <v/>
      </c>
      <c r="AE29" s="50">
        <f>IF(L29="","",IF(N(V29)+N(W29)+N(X29)=0,"Not split",IF(ROUND(N(V29)+N(W29)+N(X29),2)=ROUND(L29,2),"OK","MISMATCH")))</f>
        <v/>
      </c>
    </row>
    <row r="30" ht="15" customHeight="1">
      <c r="A30" s="48" t="n">
        <v>46237</v>
      </c>
      <c r="B30" s="49">
        <f>IF(A30="","",EOMONTH(A30,0))</f>
        <v/>
      </c>
      <c r="C30" s="50">
        <f>"Consulting"</f>
        <v/>
      </c>
      <c r="D30" s="51" t="inlineStr">
        <is>
          <t>INTEGRATION</t>
        </is>
      </c>
      <c r="E30" s="51" t="inlineStr">
        <is>
          <t>Aware Super</t>
        </is>
      </c>
      <c r="F30" s="51" t="inlineStr">
        <is>
          <t>26052701</t>
        </is>
      </c>
      <c r="G30" s="50">
        <f>IF(F30="","",IF(COUNTIF(lst_Jobs,F30&amp;"")&gt;0,"OK","CHECK"))</f>
        <v/>
      </c>
      <c r="H30" s="51" t="inlineStr">
        <is>
          <t>SYD 28.06 Equipment</t>
        </is>
      </c>
      <c r="I30" s="51" t="inlineStr">
        <is>
          <t>Project</t>
        </is>
      </c>
      <c r="J30" s="51" t="inlineStr">
        <is>
          <t>INV-10553</t>
        </is>
      </c>
      <c r="K30" s="51" t="inlineStr">
        <is>
          <t>GST 10%</t>
        </is>
      </c>
      <c r="L30" s="52" t="n">
        <v>12271</v>
      </c>
      <c r="M30" s="53">
        <f>IF(L30="","",IF(K30="GST 10%",ROUND(L30*0.1,2),0))</f>
        <v/>
      </c>
      <c r="N30" s="53">
        <f>IF(L30="","",L30+M30)</f>
        <v/>
      </c>
      <c r="O30" s="51" t="inlineStr">
        <is>
          <t>42300</t>
        </is>
      </c>
      <c r="P30" s="51" t="inlineStr">
        <is>
          <t>Y</t>
        </is>
      </c>
      <c r="Q30" s="51" t="inlineStr">
        <is>
          <t>N</t>
        </is>
      </c>
      <c r="R30" s="51" t="inlineStr">
        <is>
          <t>Invoiced</t>
        </is>
      </c>
      <c r="S30" s="51" t="n"/>
      <c r="T30" s="51" t="inlineStr">
        <is>
          <t>https://cts.qwilr.com/26052701-Aware-Costing-v5-0-CGHaKT8iSxmf</t>
        </is>
      </c>
      <c r="U30" s="51" t="n"/>
      <c r="V30" s="52" t="n"/>
      <c r="W30" s="52" t="n"/>
      <c r="X30" s="52" t="n"/>
      <c r="Y30" s="52" t="n"/>
      <c r="Z30" s="52" t="n">
        <v>8184.26</v>
      </c>
      <c r="AA30" s="52" t="n"/>
      <c r="AB30" s="53">
        <f>IF(L30="","",N(Y30)+N(Z30)+N(AA30))</f>
        <v/>
      </c>
      <c r="AC30" s="53">
        <f>IF(L30="","",L30-AB30)</f>
        <v/>
      </c>
      <c r="AD30" s="55">
        <f>IFERROR(AC30/L30,"")</f>
        <v/>
      </c>
      <c r="AE30" s="50">
        <f>IF(L30="","",IF(N(V30)+N(W30)+N(X30)=0,"Not split",IF(ROUND(N(V30)+N(W30)+N(X30),2)=ROUND(L30,2),"OK","MISMATCH")))</f>
        <v/>
      </c>
    </row>
    <row r="31" ht="15" customHeight="1">
      <c r="A31" s="48" t="n">
        <v>46261</v>
      </c>
      <c r="B31" s="49">
        <f>IF(A31="","",EOMONTH(A31,0))</f>
        <v/>
      </c>
      <c r="C31" s="50">
        <f>"Consulting"</f>
        <v/>
      </c>
      <c r="D31" s="51" t="inlineStr">
        <is>
          <t>INTEGRATION</t>
        </is>
      </c>
      <c r="E31" s="51" t="inlineStr">
        <is>
          <t>YSG Studio</t>
        </is>
      </c>
      <c r="F31" s="51" t="inlineStr">
        <is>
          <t>26071304</t>
        </is>
      </c>
      <c r="G31" s="50">
        <f>IF(F31="","",IF(COUNTIF(lst_Jobs,F31&amp;"")&gt;0,"OK","CHECK"))</f>
        <v/>
      </c>
      <c r="H31" s="51" t="inlineStr">
        <is>
          <t>Orange Room Upgrade INT</t>
        </is>
      </c>
      <c r="I31" s="51" t="inlineStr">
        <is>
          <t>Project</t>
        </is>
      </c>
      <c r="J31" s="51" t="inlineStr">
        <is>
          <t>INV-10601</t>
        </is>
      </c>
      <c r="K31" s="51" t="inlineStr">
        <is>
          <t>GST 10%</t>
        </is>
      </c>
      <c r="L31" s="52" t="n">
        <v>4462</v>
      </c>
      <c r="M31" s="53">
        <f>IF(L31="","",IF(K31="GST 10%",ROUND(L31*0.1,2),0))</f>
        <v/>
      </c>
      <c r="N31" s="53">
        <f>IF(L31="","",L31+M31)</f>
        <v/>
      </c>
      <c r="O31" s="51" t="inlineStr">
        <is>
          <t>42300</t>
        </is>
      </c>
      <c r="P31" s="51" t="inlineStr">
        <is>
          <t>Y</t>
        </is>
      </c>
      <c r="Q31" s="51" t="inlineStr">
        <is>
          <t>N</t>
        </is>
      </c>
      <c r="R31" s="51" t="inlineStr">
        <is>
          <t>Paid</t>
        </is>
      </c>
      <c r="S31" s="51" t="inlineStr">
        <is>
          <t>2/2 Labour only</t>
        </is>
      </c>
      <c r="T31" s="51" t="inlineStr">
        <is>
          <t>https://cts.qwilr.com/26071304-YSG-Costing-v1-0-FTAgpF5RoWQK</t>
        </is>
      </c>
      <c r="U31" s="51" t="n"/>
      <c r="V31" s="52" t="n">
        <v>4462</v>
      </c>
      <c r="W31" s="52" t="n"/>
      <c r="X31" s="52" t="n"/>
      <c r="Y31" s="52" t="n">
        <v>3659</v>
      </c>
      <c r="Z31" s="52" t="n"/>
      <c r="AA31" s="52" t="n"/>
      <c r="AB31" s="53">
        <f>IF(L31="","",N(Y31)+N(Z31)+N(AA31))</f>
        <v/>
      </c>
      <c r="AC31" s="53">
        <f>IF(L31="","",L31-AB31)</f>
        <v/>
      </c>
      <c r="AD31" s="55">
        <f>IFERROR(AC31/L31,"")</f>
        <v/>
      </c>
      <c r="AE31" s="50">
        <f>IF(L31="","",IF(N(V31)+N(W31)+N(X31)=0,"Not split",IF(ROUND(N(V31)+N(W31)+N(X31),2)=ROUND(L31,2),"OK","MISMATCH")))</f>
        <v/>
      </c>
    </row>
    <row r="32" ht="15" customHeight="1">
      <c r="A32" s="48" t="n">
        <v>46253</v>
      </c>
      <c r="B32" s="49">
        <f>IF(A32="","",EOMONTH(A32,0))</f>
        <v/>
      </c>
      <c r="C32" s="50">
        <f>"Consulting"</f>
        <v/>
      </c>
      <c r="D32" s="51" t="inlineStr">
        <is>
          <t>INTEGRATION</t>
        </is>
      </c>
      <c r="E32" s="51" t="inlineStr">
        <is>
          <t>Aware Super</t>
        </is>
      </c>
      <c r="F32" s="51" t="inlineStr">
        <is>
          <t>26062902</t>
        </is>
      </c>
      <c r="G32" s="50">
        <f>IF(F32="","",IF(COUNTIF(lst_Jobs,F32&amp;"")&gt;0,"OK","CHECK"))</f>
        <v/>
      </c>
      <c r="H32" s="51" t="inlineStr">
        <is>
          <t>SYD Occupancy Sensors</t>
        </is>
      </c>
      <c r="I32" s="51" t="inlineStr">
        <is>
          <t>Project</t>
        </is>
      </c>
      <c r="J32" s="51" t="inlineStr">
        <is>
          <t>INV-10564</t>
        </is>
      </c>
      <c r="K32" s="51" t="inlineStr">
        <is>
          <t>GST 10%</t>
        </is>
      </c>
      <c r="L32" s="52" t="n">
        <v>3489</v>
      </c>
      <c r="M32" s="53">
        <f>IF(L32="","",IF(K32="GST 10%",ROUND(L32*0.1,2),0))</f>
        <v/>
      </c>
      <c r="N32" s="53">
        <f>IF(L32="","",L32+M32)</f>
        <v/>
      </c>
      <c r="O32" s="51" t="inlineStr">
        <is>
          <t>42300</t>
        </is>
      </c>
      <c r="P32" s="51" t="inlineStr">
        <is>
          <t>Y</t>
        </is>
      </c>
      <c r="Q32" s="51" t="inlineStr">
        <is>
          <t>N</t>
        </is>
      </c>
      <c r="R32" s="51" t="inlineStr">
        <is>
          <t>Paid</t>
        </is>
      </c>
      <c r="S32" s="51" t="inlineStr">
        <is>
          <t>Invoice 1/2 Equipment only</t>
        </is>
      </c>
      <c r="T32" s="51" t="inlineStr">
        <is>
          <t>https://cts.qwilr.com/26062902-Aware-Costing-v2-0-Accepted-PDF-wrF7KzoUT8OK</t>
        </is>
      </c>
      <c r="U32" s="51" t="n"/>
      <c r="V32" s="52" t="n"/>
      <c r="W32" s="52" t="n">
        <v>3489</v>
      </c>
      <c r="X32" s="52" t="n"/>
      <c r="Y32" s="52" t="n"/>
      <c r="Z32" s="52" t="n">
        <v>2525.5</v>
      </c>
      <c r="AA32" s="52" t="n"/>
      <c r="AB32" s="53">
        <f>IF(L32="","",N(Y32)+N(Z32)+N(AA32))</f>
        <v/>
      </c>
      <c r="AC32" s="53">
        <f>IF(L32="","",L32-AB32)</f>
        <v/>
      </c>
      <c r="AD32" s="55">
        <f>IFERROR(AC32/L32,"")</f>
        <v/>
      </c>
      <c r="AE32" s="50">
        <f>IF(L32="","",IF(N(V32)+N(W32)+N(X32)=0,"Not split",IF(ROUND(N(V32)+N(W32)+N(X32),2)=ROUND(L32,2),"OK","MISMATCH")))</f>
        <v/>
      </c>
    </row>
    <row r="33" ht="15" customHeight="1">
      <c r="A33" s="48" t="n"/>
      <c r="B33" s="49">
        <f>IF(A33="","",EOMONTH(A33,0))</f>
        <v/>
      </c>
      <c r="C33" s="50">
        <f>"Consulting"</f>
        <v/>
      </c>
      <c r="D33" s="51" t="inlineStr">
        <is>
          <t>INTEGRATION</t>
        </is>
      </c>
      <c r="E33" s="51" t="inlineStr">
        <is>
          <t>Aware Super</t>
        </is>
      </c>
      <c r="F33" s="51" t="inlineStr">
        <is>
          <t>26062902</t>
        </is>
      </c>
      <c r="G33" s="50">
        <f>IF(F33="","",IF(COUNTIF(lst_Jobs,F33&amp;"")&gt;0,"OK","CHECK"))</f>
        <v/>
      </c>
      <c r="H33" s="51" t="inlineStr">
        <is>
          <t>SYD Occupancy Sensors</t>
        </is>
      </c>
      <c r="I33" s="51" t="inlineStr">
        <is>
          <t>Project</t>
        </is>
      </c>
      <c r="J33" s="51" t="n"/>
      <c r="K33" s="51" t="inlineStr">
        <is>
          <t>GST 10%</t>
        </is>
      </c>
      <c r="L33" s="52" t="n">
        <v>2707</v>
      </c>
      <c r="M33" s="53">
        <f>IF(L33="","",IF(K33="GST 10%",ROUND(L33*0.1,2),0))</f>
        <v/>
      </c>
      <c r="N33" s="53">
        <f>IF(L33="","",L33+M33)</f>
        <v/>
      </c>
      <c r="O33" s="51" t="inlineStr">
        <is>
          <t>42300</t>
        </is>
      </c>
      <c r="P33" s="51" t="inlineStr">
        <is>
          <t>N</t>
        </is>
      </c>
      <c r="Q33" s="51" t="inlineStr">
        <is>
          <t>N</t>
        </is>
      </c>
      <c r="R33" s="51" t="inlineStr">
        <is>
          <t>To Invoice</t>
        </is>
      </c>
      <c r="S33" s="51" t="inlineStr">
        <is>
          <t>2/2 Labour only; Not invoiced yet</t>
        </is>
      </c>
      <c r="T33" s="51" t="inlineStr">
        <is>
          <t>https://cts.qwilr.com/26062902-Aware-Costing-v2-0-Accepted-PDF-wrF7KzoUT8OK</t>
        </is>
      </c>
      <c r="U33" s="51" t="n"/>
      <c r="V33" s="52" t="n">
        <v>2707</v>
      </c>
      <c r="W33" s="52" t="n"/>
      <c r="X33" s="52" t="n"/>
      <c r="Y33" s="52" t="n">
        <v>2140</v>
      </c>
      <c r="Z33" s="52" t="n">
        <v>79.40000000000001</v>
      </c>
      <c r="AA33" s="52" t="n"/>
      <c r="AB33" s="53">
        <f>IF(L33="","",N(Y33)+N(Z33)+N(AA33))</f>
        <v/>
      </c>
      <c r="AC33" s="53">
        <f>IF(L33="","",L33-AB33)</f>
        <v/>
      </c>
      <c r="AD33" s="55">
        <f>IFERROR(AC33/L33,"")</f>
        <v/>
      </c>
      <c r="AE33" s="50">
        <f>IF(L33="","",IF(N(V33)+N(W33)+N(X33)=0,"Not split",IF(ROUND(N(V33)+N(W33)+N(X33),2)=ROUND(L33,2),"OK","MISMATCH")))</f>
        <v/>
      </c>
    </row>
    <row r="34" ht="15" customHeight="1">
      <c r="A34" s="48" t="n"/>
      <c r="B34" s="49">
        <f>IF(A34="","",EOMONTH(A34,0))</f>
        <v/>
      </c>
      <c r="C34" s="50">
        <f>"Consulting"</f>
        <v/>
      </c>
      <c r="D34" s="51" t="inlineStr">
        <is>
          <t>INTEGRATION</t>
        </is>
      </c>
      <c r="E34" s="51" t="inlineStr">
        <is>
          <t>Aware Super</t>
        </is>
      </c>
      <c r="F34" s="51" t="inlineStr">
        <is>
          <t>26062901</t>
        </is>
      </c>
      <c r="G34" s="50">
        <f>IF(F34="","",IF(COUNTIF(lst_Jobs,F34&amp;"")&gt;0,"OK","CHECK"))</f>
        <v/>
      </c>
      <c r="H34" s="51" t="inlineStr">
        <is>
          <t>Aware | SYD 28.06 Services</t>
        </is>
      </c>
      <c r="I34" s="51" t="inlineStr">
        <is>
          <t>Project</t>
        </is>
      </c>
      <c r="J34" s="51" t="n"/>
      <c r="K34" s="51" t="inlineStr">
        <is>
          <t>GST 10%</t>
        </is>
      </c>
      <c r="L34" s="52" t="n">
        <v>4631</v>
      </c>
      <c r="M34" s="53">
        <f>IF(L34="","",IF(K34="GST 10%",ROUND(L34*0.1,2),0))</f>
        <v/>
      </c>
      <c r="N34" s="53">
        <f>IF(L34="","",L34+M34)</f>
        <v/>
      </c>
      <c r="O34" s="51" t="inlineStr">
        <is>
          <t>42300</t>
        </is>
      </c>
      <c r="P34" s="51" t="inlineStr">
        <is>
          <t>N</t>
        </is>
      </c>
      <c r="Q34" s="51" t="inlineStr">
        <is>
          <t>N</t>
        </is>
      </c>
      <c r="R34" s="51" t="inlineStr">
        <is>
          <t>To Invoice</t>
        </is>
      </c>
      <c r="S34" s="51" t="n"/>
      <c r="T34" s="51" t="inlineStr">
        <is>
          <t>https://corptechservices.sharepoint.com/:b:/s/TeamIntegration/IQAz4MvaxJkBRIexJJi1p2LTAVDk9PznGqnT-q1tS0i5o00?e=BH3DeT</t>
        </is>
      </c>
      <c r="U34" s="51" t="n"/>
      <c r="V34" s="52" t="n">
        <v>4631</v>
      </c>
      <c r="W34" s="52" t="n"/>
      <c r="X34" s="52" t="n"/>
      <c r="Y34" s="52" t="n">
        <v>3775.2</v>
      </c>
      <c r="Z34" s="52" t="n"/>
      <c r="AA34" s="52" t="n"/>
      <c r="AB34" s="53">
        <f>IF(L34="","",N(Y34)+N(Z34)+N(AA34))</f>
        <v/>
      </c>
      <c r="AC34" s="53">
        <f>IF(L34="","",L34-AB34)</f>
        <v/>
      </c>
      <c r="AD34" s="55">
        <f>IFERROR(AC34/L34,"")</f>
        <v/>
      </c>
      <c r="AE34" s="50">
        <f>IF(L34="","",IF(N(V34)+N(W34)+N(X34)=0,"Not split",IF(ROUND(N(V34)+N(W34)+N(X34),2)=ROUND(L34,2),"OK","MISMATCH")))</f>
        <v/>
      </c>
    </row>
    <row r="35" ht="15" customHeight="1">
      <c r="A35" s="48" t="n">
        <v>46254</v>
      </c>
      <c r="B35" s="49">
        <f>IF(A35="","",EOMONTH(A35,0))</f>
        <v/>
      </c>
      <c r="C35" s="50">
        <f>"Consulting"</f>
        <v/>
      </c>
      <c r="D35" s="51" t="inlineStr">
        <is>
          <t>INTEGRATION</t>
        </is>
      </c>
      <c r="E35" s="51" t="inlineStr">
        <is>
          <t>AusPayNet</t>
        </is>
      </c>
      <c r="F35" s="51" t="inlineStr">
        <is>
          <t>26081901</t>
        </is>
      </c>
      <c r="G35" s="50">
        <f>IF(F35="","",IF(COUNTIF(lst_Jobs,F35&amp;"")&gt;0,"OK","CHECK"))</f>
        <v/>
      </c>
      <c r="H35" s="51" t="inlineStr">
        <is>
          <t>Logi Subscription</t>
        </is>
      </c>
      <c r="I35" s="51" t="inlineStr">
        <is>
          <t>Project</t>
        </is>
      </c>
      <c r="J35" s="51" t="inlineStr">
        <is>
          <t>INV-10574</t>
        </is>
      </c>
      <c r="K35" s="51" t="inlineStr">
        <is>
          <t>GST 10%</t>
        </is>
      </c>
      <c r="L35" s="52" t="n">
        <v>993</v>
      </c>
      <c r="M35" s="53">
        <f>IF(L35="","",IF(K35="GST 10%",ROUND(L35*0.1,2),0))</f>
        <v/>
      </c>
      <c r="N35" s="53">
        <f>IF(L35="","",L35+M35)</f>
        <v/>
      </c>
      <c r="O35" s="51" t="inlineStr">
        <is>
          <t>42300</t>
        </is>
      </c>
      <c r="P35" s="51" t="inlineStr">
        <is>
          <t>Y</t>
        </is>
      </c>
      <c r="Q35" s="51" t="inlineStr">
        <is>
          <t>N</t>
        </is>
      </c>
      <c r="R35" s="51" t="inlineStr">
        <is>
          <t>Paid</t>
        </is>
      </c>
      <c r="S35" s="51" t="n"/>
      <c r="T35" s="51" t="inlineStr">
        <is>
          <t>https://cts.qwilr.com/26081901-AusPayNet-Quotation-v1-0-3RSgmysoSnit</t>
        </is>
      </c>
      <c r="U35" s="51" t="n"/>
      <c r="V35" s="52" t="n"/>
      <c r="W35" s="52" t="n"/>
      <c r="X35" s="52" t="n">
        <v>993</v>
      </c>
      <c r="Y35" s="52" t="n"/>
      <c r="Z35" s="52" t="n">
        <v>745</v>
      </c>
      <c r="AA35" s="52" t="n"/>
      <c r="AB35" s="53">
        <f>IF(L35="","",N(Y35)+N(Z35)+N(AA35))</f>
        <v/>
      </c>
      <c r="AC35" s="53">
        <f>IF(L35="","",L35-AB35)</f>
        <v/>
      </c>
      <c r="AD35" s="55">
        <f>IFERROR(AC35/L35,"")</f>
        <v/>
      </c>
      <c r="AE35" s="50">
        <f>IF(L35="","",IF(N(V35)+N(W35)+N(X35)=0,"Not split",IF(ROUND(N(V35)+N(W35)+N(X35),2)=ROUND(L35,2),"OK","MISMATCH")))</f>
        <v/>
      </c>
    </row>
    <row r="36" ht="15" customHeight="1">
      <c r="A36" s="48" t="n"/>
      <c r="B36" s="49">
        <f>IF(A36="","",EOMONTH(A36,0))</f>
        <v/>
      </c>
      <c r="C36" s="50">
        <f>"Consulting"</f>
        <v/>
      </c>
      <c r="D36" s="51" t="inlineStr">
        <is>
          <t>INTEGRATION</t>
        </is>
      </c>
      <c r="E36" s="51" t="inlineStr">
        <is>
          <t>Aware Super</t>
        </is>
      </c>
      <c r="F36" s="51" t="inlineStr">
        <is>
          <t>26071601</t>
        </is>
      </c>
      <c r="G36" s="50">
        <f>IF(F36="","",IF(COUNTIF(lst_Jobs,F36&amp;"")&gt;0,"OK","CHECK"))</f>
        <v/>
      </c>
      <c r="H36" s="51" t="inlineStr">
        <is>
          <t>PER USB-C Cable Replacement</t>
        </is>
      </c>
      <c r="I36" s="51" t="inlineStr">
        <is>
          <t>Project</t>
        </is>
      </c>
      <c r="J36" s="51" t="n"/>
      <c r="K36" s="51" t="inlineStr">
        <is>
          <t>GST 10%</t>
        </is>
      </c>
      <c r="L36" s="52" t="n">
        <v>2957</v>
      </c>
      <c r="M36" s="53">
        <f>IF(L36="","",IF(K36="GST 10%",ROUND(L36*0.1,2),0))</f>
        <v/>
      </c>
      <c r="N36" s="53">
        <f>IF(L36="","",L36+M36)</f>
        <v/>
      </c>
      <c r="O36" s="51" t="inlineStr">
        <is>
          <t>42300</t>
        </is>
      </c>
      <c r="P36" s="51" t="inlineStr">
        <is>
          <t>N</t>
        </is>
      </c>
      <c r="Q36" s="51" t="inlineStr">
        <is>
          <t>N</t>
        </is>
      </c>
      <c r="R36" s="51" t="inlineStr">
        <is>
          <t>To Invoice</t>
        </is>
      </c>
      <c r="S36" s="51" t="n"/>
      <c r="T36" s="51" t="inlineStr">
        <is>
          <t>https://cts.qwilr.com/26071601-Aware-Costing-v1-0-bOvhpPx4TTut</t>
        </is>
      </c>
      <c r="U36" s="51" t="n"/>
      <c r="V36" s="52" t="n">
        <v>903</v>
      </c>
      <c r="W36" s="52" t="n">
        <v>2054</v>
      </c>
      <c r="X36" s="52" t="n"/>
      <c r="Y36" s="52" t="n">
        <v>740</v>
      </c>
      <c r="Z36" s="52" t="n">
        <v>1540</v>
      </c>
      <c r="AA36" s="52" t="n"/>
      <c r="AB36" s="53">
        <f>IF(L36="","",N(Y36)+N(Z36)+N(AA36))</f>
        <v/>
      </c>
      <c r="AC36" s="53">
        <f>IF(L36="","",L36-AB36)</f>
        <v/>
      </c>
      <c r="AD36" s="55">
        <f>IFERROR(AC36/L36,"")</f>
        <v/>
      </c>
      <c r="AE36" s="50">
        <f>IF(L36="","",IF(N(V36)+N(W36)+N(X36)=0,"Not split",IF(ROUND(N(V36)+N(W36)+N(X36),2)=ROUND(L36,2),"OK","MISMATCH")))</f>
        <v/>
      </c>
    </row>
    <row r="37" ht="15" customHeight="1">
      <c r="A37" s="48" t="n">
        <v>46267</v>
      </c>
      <c r="B37" s="49">
        <f>IF(A37="","",EOMONTH(A37,0))</f>
        <v/>
      </c>
      <c r="C37" s="50">
        <f>"Consulting"</f>
        <v/>
      </c>
      <c r="D37" s="51" t="inlineStr">
        <is>
          <t>INTEGRATION</t>
        </is>
      </c>
      <c r="E37" s="51" t="inlineStr">
        <is>
          <t>Aware Super</t>
        </is>
      </c>
      <c r="F37" s="51" t="inlineStr">
        <is>
          <t>26062503</t>
        </is>
      </c>
      <c r="G37" s="50">
        <f>IF(F37="","",IF(COUNTIF(lst_Jobs,F37&amp;"")&gt;0,"OK","CHECK"))</f>
        <v/>
      </c>
      <c r="H37" s="51" t="inlineStr">
        <is>
          <t>24.16 UC Engine Reimaging</t>
        </is>
      </c>
      <c r="I37" s="51" t="inlineStr">
        <is>
          <t>Project</t>
        </is>
      </c>
      <c r="J37" s="51" t="inlineStr">
        <is>
          <t>INV-10619</t>
        </is>
      </c>
      <c r="K37" s="51" t="inlineStr">
        <is>
          <t>GST 10%</t>
        </is>
      </c>
      <c r="L37" s="52" t="n">
        <v>671</v>
      </c>
      <c r="M37" s="53">
        <f>IF(L37="","",IF(K37="GST 10%",ROUND(L37*0.1,2),0))</f>
        <v/>
      </c>
      <c r="N37" s="53">
        <f>IF(L37="","",L37+M37)</f>
        <v/>
      </c>
      <c r="O37" s="51" t="inlineStr">
        <is>
          <t>42300</t>
        </is>
      </c>
      <c r="P37" s="51" t="inlineStr">
        <is>
          <t>Y</t>
        </is>
      </c>
      <c r="Q37" s="51" t="inlineStr">
        <is>
          <t>N</t>
        </is>
      </c>
      <c r="R37" s="51" t="inlineStr">
        <is>
          <t>To Invoice</t>
        </is>
      </c>
      <c r="S37" s="51" t="n"/>
      <c r="T37" s="51" t="inlineStr">
        <is>
          <t>CTS order form - 24.16 UC Engine Reimaging</t>
        </is>
      </c>
      <c r="U37" s="51" t="n"/>
      <c r="V37" s="52" t="n">
        <v>500</v>
      </c>
      <c r="W37" s="52" t="n"/>
      <c r="X37" s="52" t="n"/>
      <c r="Y37" s="52" t="n"/>
      <c r="Z37" s="52" t="n"/>
      <c r="AA37" s="52" t="n"/>
      <c r="AB37" s="53">
        <f>IF(L37="","",N(Y37)+N(Z37)+N(AA37))</f>
        <v/>
      </c>
      <c r="AC37" s="53">
        <f>IF(L37="","",L37-AB37)</f>
        <v/>
      </c>
      <c r="AD37" s="55">
        <f>IFERROR(AC37/L37,"")</f>
        <v/>
      </c>
      <c r="AE37" s="50">
        <f>IF(L37="","",IF(N(V37)+N(W37)+N(X37)=0,"Not split",IF(ROUND(N(V37)+N(W37)+N(X37),2)=ROUND(L37,2),"OK","MISMATCH")))</f>
        <v/>
      </c>
    </row>
    <row r="38" ht="15" customHeight="1">
      <c r="A38" s="48" t="n">
        <v>46275</v>
      </c>
      <c r="B38" s="49">
        <f>IF(A38="","",EOMONTH(A38,0))</f>
        <v/>
      </c>
      <c r="C38" s="50">
        <f>"Consulting"</f>
        <v/>
      </c>
      <c r="D38" s="51" t="inlineStr">
        <is>
          <t>INTEGRATION</t>
        </is>
      </c>
      <c r="E38" s="51" t="inlineStr">
        <is>
          <t>APA</t>
        </is>
      </c>
      <c r="F38" s="51" t="inlineStr">
        <is>
          <t>25070702</t>
        </is>
      </c>
      <c r="G38" s="50">
        <f>IF(F38="","",IF(COUNTIF(lst_Jobs,F38&amp;"")&gt;0,"OK","CHECK"))</f>
        <v/>
      </c>
      <c r="H38" s="51" t="inlineStr">
        <is>
          <t>APA BNE &amp; NT Year 2 license</t>
        </is>
      </c>
      <c r="I38" s="51" t="inlineStr">
        <is>
          <t>Project</t>
        </is>
      </c>
      <c r="J38" s="51" t="inlineStr">
        <is>
          <t>INV-10622</t>
        </is>
      </c>
      <c r="K38" s="51" t="inlineStr">
        <is>
          <t>GST 10%</t>
        </is>
      </c>
      <c r="L38" s="52" t="n">
        <v>3956.77</v>
      </c>
      <c r="M38" s="53">
        <f>IF(L38="","",IF(K38="GST 10%",ROUND(L38*0.1,2),0))</f>
        <v/>
      </c>
      <c r="N38" s="53">
        <f>IF(L38="","",L38+M38)</f>
        <v/>
      </c>
      <c r="O38" s="51" t="inlineStr">
        <is>
          <t>42300</t>
        </is>
      </c>
      <c r="P38" s="51" t="inlineStr">
        <is>
          <t>Y</t>
        </is>
      </c>
      <c r="Q38" s="51" t="inlineStr">
        <is>
          <t>N</t>
        </is>
      </c>
      <c r="R38" s="51" t="inlineStr">
        <is>
          <t>Paid</t>
        </is>
      </c>
      <c r="S38" s="51" t="n"/>
      <c r="T38" s="51"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1" t="n"/>
      <c r="V38" s="52" t="n"/>
      <c r="W38" s="52" t="n"/>
      <c r="X38" s="52" t="n"/>
      <c r="Y38" s="52" t="n"/>
      <c r="Z38" s="52" t="n">
        <v>3297.31</v>
      </c>
      <c r="AA38" s="52" t="n"/>
      <c r="AB38" s="53">
        <f>IF(L38="","",N(Y38)+N(Z38)+N(AA38))</f>
        <v/>
      </c>
      <c r="AC38" s="53">
        <f>IF(L38="","",L38-AB38)</f>
        <v/>
      </c>
      <c r="AD38" s="55">
        <f>IFERROR(AC38/L38,"")</f>
        <v/>
      </c>
      <c r="AE38" s="50">
        <f>IF(L38="","",IF(N(V38)+N(W38)+N(X38)=0,"Not split",IF(ROUND(N(V38)+N(W38)+N(X38),2)=ROUND(L38,2),"OK","MISMATCH")))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row>
    <row r="5" ht="15" customHeight="1">
      <c r="A5" s="48" t="n"/>
      <c r="B5" s="49">
        <f>IF(A5="","",EOMONTH(A5,0))</f>
        <v/>
      </c>
      <c r="C5" s="50">
        <f>"Other"</f>
        <v/>
      </c>
      <c r="D5" s="51" t="n"/>
      <c r="E5" s="51" t="n"/>
      <c r="F5" s="51" t="n"/>
      <c r="G5" s="50">
        <f>IF(F5="","",IF(COUNTIF(lst_Jobs,F5&amp;"")&gt;0,"OK","CHECK"))</f>
        <v/>
      </c>
      <c r="H5" s="51" t="n"/>
      <c r="I5" s="51" t="n"/>
      <c r="J5" s="51" t="n"/>
      <c r="K5" s="51" t="n"/>
      <c r="L5" s="52" t="n"/>
      <c r="M5" s="53">
        <f>IF(L5="","",IF(K5="GST 10%",ROUND(L5*0.1,2),0))</f>
        <v/>
      </c>
      <c r="N5" s="53">
        <f>IF(L5="","",L5+M5)</f>
        <v/>
      </c>
      <c r="O5" s="51" t="n"/>
      <c r="P5" s="51" t="n"/>
      <c r="Q5" s="51" t="n"/>
      <c r="R5" s="51" t="n"/>
      <c r="S5"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7"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6" t="n">
        <v>46234</v>
      </c>
      <c r="B5" s="51" t="inlineStr">
        <is>
          <t>2506208</t>
        </is>
      </c>
      <c r="C5" s="50">
        <f>IF(B5="","",IF(COUNTIF(lst_Jobs,B5&amp;"")&gt;0,"OK","CHECK"))</f>
        <v/>
      </c>
      <c r="D5" s="51" t="inlineStr">
        <is>
          <t>CBA</t>
        </is>
      </c>
      <c r="E5" s="51" t="inlineStr">
        <is>
          <t>PRODUCTION</t>
        </is>
      </c>
      <c r="F5" s="51" t="inlineStr">
        <is>
          <t>CBA AGM 2026 Pre-production work at $130ph</t>
        </is>
      </c>
      <c r="G5" s="51" t="inlineStr">
        <is>
          <t>Accrual - unbilled work</t>
        </is>
      </c>
      <c r="H5" s="51" t="n"/>
      <c r="I5" s="52" t="n">
        <v>2535</v>
      </c>
      <c r="J5" s="51" t="inlineStr">
        <is>
          <t>11300</t>
        </is>
      </c>
      <c r="K5" s="51" t="n"/>
      <c r="L5" s="51" t="inlineStr">
        <is>
          <t>Y</t>
        </is>
      </c>
      <c r="M5" s="51" t="inlineStr">
        <is>
          <t>Migrated from FY27 Revenue Tracker v2 - confirm type/sign</t>
        </is>
      </c>
    </row>
    <row r="6" ht="15" customHeight="1">
      <c r="A6" s="56" t="n">
        <v>46234</v>
      </c>
      <c r="B6" s="51" t="inlineStr">
        <is>
          <t>25070702</t>
        </is>
      </c>
      <c r="C6" s="50">
        <f>IF(B6="","",IF(COUNTIF(lst_Jobs,B6&amp;"")&gt;0,"OK","CHECK"))</f>
        <v/>
      </c>
      <c r="D6" s="51" t="inlineStr">
        <is>
          <t>APA</t>
        </is>
      </c>
      <c r="E6" s="51" t="inlineStr">
        <is>
          <t>INTEGRATION</t>
        </is>
      </c>
      <c r="F6" s="51" t="inlineStr">
        <is>
          <t>APA BNE &amp; NT Year 1/3 Inv9988 (Revenue) Sep 2025 - Aug 2026</t>
        </is>
      </c>
      <c r="G6" s="51" t="inlineStr">
        <is>
          <t>Accrual - unbilled work</t>
        </is>
      </c>
      <c r="H6" s="51" t="n"/>
      <c r="I6" s="52" t="n">
        <v>308.16</v>
      </c>
      <c r="J6" s="51" t="inlineStr">
        <is>
          <t>11300</t>
        </is>
      </c>
      <c r="K6" s="51" t="n"/>
      <c r="L6" s="51" t="inlineStr">
        <is>
          <t>Y</t>
        </is>
      </c>
      <c r="M6" s="51" t="inlineStr">
        <is>
          <t>Migrated from FY27 Revenue Tracker v2 - confirm type/sign</t>
        </is>
      </c>
    </row>
    <row r="7" ht="15" customHeight="1">
      <c r="A7" s="56" t="n">
        <v>46234</v>
      </c>
      <c r="B7" s="51" t="inlineStr">
        <is>
          <t>3072</t>
        </is>
      </c>
      <c r="C7" s="50">
        <f>IF(B7="","",IF(COUNTIF(lst_Jobs,B7&amp;"")&gt;0,"OK","CHECK"))</f>
        <v/>
      </c>
      <c r="D7" s="51" t="inlineStr">
        <is>
          <t>APA Thomastown</t>
        </is>
      </c>
      <c r="E7" s="51" t="inlineStr">
        <is>
          <t>INTEGRATION</t>
        </is>
      </c>
      <c r="F7" s="51" t="inlineStr">
        <is>
          <t>APA Thomastown INV-10133 Year 3 Licence (January - December 2026)</t>
        </is>
      </c>
      <c r="G7" s="51" t="inlineStr">
        <is>
          <t>Accrual - unbilled work</t>
        </is>
      </c>
      <c r="H7" s="51" t="n"/>
      <c r="I7" s="52" t="n">
        <v>1033.06</v>
      </c>
      <c r="J7" s="51" t="inlineStr">
        <is>
          <t>11300</t>
        </is>
      </c>
      <c r="K7" s="51" t="n"/>
      <c r="L7" s="51" t="inlineStr">
        <is>
          <t>Y</t>
        </is>
      </c>
      <c r="M7" s="51" t="inlineStr">
        <is>
          <t>Migrated from FY27 Revenue Tracker v2 - confirm type/sign</t>
        </is>
      </c>
    </row>
    <row r="8" ht="15" customHeight="1">
      <c r="A8" s="56" t="n">
        <v>46234</v>
      </c>
      <c r="B8" s="51" t="inlineStr">
        <is>
          <t>2519</t>
        </is>
      </c>
      <c r="C8" s="50">
        <f>IF(B8="","",IF(COUNTIF(lst_Jobs,B8&amp;"")&gt;0,"OK","CHECK"))</f>
        <v/>
      </c>
      <c r="D8" s="51" t="inlineStr">
        <is>
          <t>NSW Property</t>
        </is>
      </c>
      <c r="E8" s="51" t="inlineStr">
        <is>
          <t>INTEGRATION</t>
        </is>
      </c>
      <c r="F8" s="51" t="inlineStr">
        <is>
          <t>NSW Property 6PSQ Multi-Tennant Year 4 INV 10162 Revenue (November - October 2026)</t>
        </is>
      </c>
      <c r="G8" s="51" t="inlineStr">
        <is>
          <t>Accrual - unbilled work</t>
        </is>
      </c>
      <c r="H8" s="51" t="n"/>
      <c r="I8" s="52" t="n">
        <v>929.33</v>
      </c>
      <c r="J8" s="51" t="inlineStr">
        <is>
          <t>11300</t>
        </is>
      </c>
      <c r="K8" s="51" t="n"/>
      <c r="L8" s="51" t="inlineStr">
        <is>
          <t>Y</t>
        </is>
      </c>
      <c r="M8" s="51" t="inlineStr">
        <is>
          <t>Migrated from FY27 Revenue Tracker v2 - confirm type/sign</t>
        </is>
      </c>
    </row>
    <row r="9" ht="15" customHeight="1">
      <c r="A9" s="56" t="n">
        <v>46234</v>
      </c>
      <c r="B9" s="51" t="inlineStr">
        <is>
          <t>2510804</t>
        </is>
      </c>
      <c r="C9" s="50">
        <f>IF(B9="","",IF(COUNTIF(lst_Jobs,B9&amp;"")&gt;0,"OK","CHECK"))</f>
        <v/>
      </c>
      <c r="D9" s="51" t="inlineStr">
        <is>
          <t>Presynct</t>
        </is>
      </c>
      <c r="E9" s="51" t="inlineStr">
        <is>
          <t>INTEGRATION</t>
        </is>
      </c>
      <c r="F9" s="51" t="inlineStr">
        <is>
          <t xml:space="preserve">Presynct - QLD - Condeco Desk Booking System INV 10199 Revenue (Nov 2025 - Oct 2025) </t>
        </is>
      </c>
      <c r="G9" s="51" t="inlineStr">
        <is>
          <t>Accrual - unbilled work</t>
        </is>
      </c>
      <c r="H9" s="51" t="n"/>
      <c r="I9" s="52" t="n">
        <v>439.33</v>
      </c>
      <c r="J9" s="51" t="inlineStr">
        <is>
          <t>11300</t>
        </is>
      </c>
      <c r="K9" s="51" t="n"/>
      <c r="L9" s="51" t="inlineStr">
        <is>
          <t>Y</t>
        </is>
      </c>
      <c r="M9" s="51" t="inlineStr">
        <is>
          <t>Migrated from FY27 Revenue Tracker v2 - confirm type/sign</t>
        </is>
      </c>
    </row>
    <row r="10" ht="15" customHeight="1">
      <c r="A10" s="56" t="n">
        <v>46234</v>
      </c>
      <c r="B10" s="51" t="inlineStr">
        <is>
          <t>2719</t>
        </is>
      </c>
      <c r="C10" s="50">
        <f>IF(B10="","",IF(COUNTIF(lst_Jobs,B10&amp;"")&gt;0,"OK","CHECK"))</f>
        <v/>
      </c>
      <c r="D10" s="51" t="inlineStr">
        <is>
          <t>NSW Property</t>
        </is>
      </c>
      <c r="E10" s="51" t="inlineStr">
        <is>
          <t>INTEGRATION</t>
        </is>
      </c>
      <c r="F10" s="51" t="inlineStr">
        <is>
          <t>NSW Property GSP Proxyclick INV 10176 Revenue (Dec 2025 - Nov 2026)</t>
        </is>
      </c>
      <c r="G10" s="51" t="inlineStr">
        <is>
          <t>Accrual - unbilled work</t>
        </is>
      </c>
      <c r="H10" s="51" t="n"/>
      <c r="I10" s="52" t="n">
        <v>381.15</v>
      </c>
      <c r="J10" s="51" t="inlineStr">
        <is>
          <t>11300</t>
        </is>
      </c>
      <c r="K10" s="51" t="n"/>
      <c r="L10" s="51" t="inlineStr">
        <is>
          <t>Y</t>
        </is>
      </c>
      <c r="M10" s="51" t="inlineStr">
        <is>
          <t>Migrated from FY27 Revenue Tracker v2 - confirm type/sign</t>
        </is>
      </c>
    </row>
    <row r="11" ht="15" customHeight="1">
      <c r="A11" s="56" t="n">
        <v>46234</v>
      </c>
      <c r="B11" s="51" t="inlineStr">
        <is>
          <t>2834</t>
        </is>
      </c>
      <c r="C11" s="50">
        <f>IF(B11="","",IF(COUNTIF(lst_Jobs,B11&amp;"")&gt;0,"OK","CHECK"))</f>
        <v/>
      </c>
      <c r="D11" s="51" t="inlineStr">
        <is>
          <t>APA</t>
        </is>
      </c>
      <c r="E11" s="51" t="inlineStr">
        <is>
          <t>INTEGRATION</t>
        </is>
      </c>
      <c r="F11" s="51" t="inlineStr">
        <is>
          <t>APA Young Year 4 INV-10280 Revenue (Mar 2026 - Feb 2027)</t>
        </is>
      </c>
      <c r="G11" s="51" t="inlineStr">
        <is>
          <t>Accrual - unbilled work</t>
        </is>
      </c>
      <c r="H11" s="51" t="n"/>
      <c r="I11" s="52" t="n">
        <v>312.9</v>
      </c>
      <c r="J11" s="51" t="inlineStr">
        <is>
          <t>11300</t>
        </is>
      </c>
      <c r="K11" s="51" t="n"/>
      <c r="L11" s="51" t="inlineStr">
        <is>
          <t>Y</t>
        </is>
      </c>
      <c r="M11" s="51" t="inlineStr">
        <is>
          <t>Migrated from FY27 Revenue Tracker v2 - confirm type/sign</t>
        </is>
      </c>
    </row>
    <row r="12" ht="15" customHeight="1">
      <c r="A12" s="56" t="n">
        <v>46234</v>
      </c>
      <c r="B12" s="51" t="inlineStr">
        <is>
          <t>3027</t>
        </is>
      </c>
      <c r="C12" s="50">
        <f>IF(B12="","",IF(COUNTIF(lst_Jobs,B12&amp;"")&gt;0,"OK","CHECK"))</f>
        <v/>
      </c>
      <c r="D12" s="51" t="inlineStr">
        <is>
          <t>NSW Property</t>
        </is>
      </c>
      <c r="E12" s="51" t="inlineStr">
        <is>
          <t>INTEGRATION</t>
        </is>
      </c>
      <c r="F12" s="51" t="inlineStr">
        <is>
          <t>NSW Property  - 231 Eliz L13 Touchdown - Condeco Desk Booking System (INV10391 Revenue)</t>
        </is>
      </c>
      <c r="G12" s="51" t="inlineStr">
        <is>
          <t>Accrual - unbilled work</t>
        </is>
      </c>
      <c r="H12" s="51" t="n"/>
      <c r="I12" s="52" t="n">
        <v>721.7</v>
      </c>
      <c r="J12" s="51" t="inlineStr">
        <is>
          <t>11300</t>
        </is>
      </c>
      <c r="K12" s="51" t="n"/>
      <c r="L12" s="51" t="inlineStr">
        <is>
          <t>Y</t>
        </is>
      </c>
      <c r="M12" s="51" t="inlineStr">
        <is>
          <t>Migrated from FY27 Revenue Tracker v2 - confirm type/sign</t>
        </is>
      </c>
    </row>
    <row r="13" ht="15" customHeight="1">
      <c r="A13" s="56" t="n">
        <v>46234</v>
      </c>
      <c r="B13" s="51" t="inlineStr">
        <is>
          <t>3027</t>
        </is>
      </c>
      <c r="C13" s="50">
        <f>IF(B13="","",IF(COUNTIF(lst_Jobs,B13&amp;"")&gt;0,"OK","CHECK"))</f>
        <v/>
      </c>
      <c r="D13" s="51" t="inlineStr">
        <is>
          <t>NSW Property</t>
        </is>
      </c>
      <c r="E13" s="51" t="inlineStr">
        <is>
          <t>INTEGRATION</t>
        </is>
      </c>
      <c r="F13" s="51" t="inlineStr">
        <is>
          <t>NSW Property - 231 Eliz Workplace L1 (INV10392 Revenue)</t>
        </is>
      </c>
      <c r="G13" s="51" t="inlineStr">
        <is>
          <t>Accrual - unbilled work</t>
        </is>
      </c>
      <c r="H13" s="51" t="n"/>
      <c r="I13" s="52" t="n">
        <v>876.35</v>
      </c>
      <c r="J13" s="51" t="inlineStr">
        <is>
          <t>11300</t>
        </is>
      </c>
      <c r="K13" s="51" t="n"/>
      <c r="L13" s="51" t="inlineStr">
        <is>
          <t>Y</t>
        </is>
      </c>
      <c r="M13" s="51" t="inlineStr">
        <is>
          <t>Migrated from FY27 Revenue Tracker v2 - confirm type/sign</t>
        </is>
      </c>
    </row>
    <row r="14" ht="15" customHeight="1">
      <c r="A14" s="56" t="n">
        <v>46234</v>
      </c>
      <c r="B14" s="51" t="inlineStr">
        <is>
          <t>25060301</t>
        </is>
      </c>
      <c r="C14" s="50">
        <f>IF(B14="","",IF(COUNTIF(lst_Jobs,B14&amp;"")&gt;0,"OK","CHECK"))</f>
        <v/>
      </c>
      <c r="D14" s="51" t="inlineStr">
        <is>
          <t>NSW Property</t>
        </is>
      </c>
      <c r="E14" s="51" t="inlineStr">
        <is>
          <t>INTEGRATION</t>
        </is>
      </c>
      <c r="F14" s="51" t="inlineStr">
        <is>
          <t>NSW Property - 6PSQ Workplace L12 Hub (INV10393 Revenue)</t>
        </is>
      </c>
      <c r="G14" s="51" t="inlineStr">
        <is>
          <t>Accrual - unbilled work</t>
        </is>
      </c>
      <c r="H14" s="51" t="n"/>
      <c r="I14" s="52" t="n">
        <v>2964.14</v>
      </c>
      <c r="J14" s="51" t="inlineStr">
        <is>
          <t>11300</t>
        </is>
      </c>
      <c r="K14" s="51" t="n"/>
      <c r="L14" s="51" t="inlineStr">
        <is>
          <t>Y</t>
        </is>
      </c>
      <c r="M14" s="51" t="inlineStr">
        <is>
          <t>Migrated from FY27 Revenue Tracker v2 - confirm type/sign</t>
        </is>
      </c>
    </row>
    <row r="15" ht="15" customHeight="1">
      <c r="A15" s="56" t="n">
        <v>46234</v>
      </c>
      <c r="B15" s="51" t="inlineStr">
        <is>
          <t>2519</t>
        </is>
      </c>
      <c r="C15" s="50">
        <f>IF(B15="","",IF(COUNTIF(lst_Jobs,B15&amp;"")&gt;0,"OK","CHECK"))</f>
        <v/>
      </c>
      <c r="D15" s="51" t="inlineStr">
        <is>
          <t>NSW Property</t>
        </is>
      </c>
      <c r="E15" s="51" t="inlineStr">
        <is>
          <t>INTEGRATION</t>
        </is>
      </c>
      <c r="F15" s="51" t="inlineStr">
        <is>
          <t>NSW Property - 6PSQ L11 Touchdown (INV10394 Revenue)</t>
        </is>
      </c>
      <c r="G15" s="51" t="inlineStr">
        <is>
          <t>Accrual - unbilled work</t>
        </is>
      </c>
      <c r="H15" s="51" t="n"/>
      <c r="I15" s="52" t="n">
        <v>799.03</v>
      </c>
      <c r="J15" s="51" t="inlineStr">
        <is>
          <t>11300</t>
        </is>
      </c>
      <c r="K15" s="51" t="n"/>
      <c r="L15" s="51" t="inlineStr">
        <is>
          <t>Y</t>
        </is>
      </c>
      <c r="M15" s="51" t="inlineStr">
        <is>
          <t>Migrated from FY27 Revenue Tracker v2 - confirm type/sign</t>
        </is>
      </c>
    </row>
    <row r="16" ht="15" customHeight="1">
      <c r="A16" s="56" t="n">
        <v>46234</v>
      </c>
      <c r="B16" s="51" t="inlineStr">
        <is>
          <t>3068</t>
        </is>
      </c>
      <c r="C16" s="50">
        <f>IF(B16="","",IF(COUNTIF(lst_Jobs,B16&amp;"")&gt;0,"OK","CHECK"))</f>
        <v/>
      </c>
      <c r="D16" s="51" t="inlineStr">
        <is>
          <t>NSW Property</t>
        </is>
      </c>
      <c r="E16" s="51" t="inlineStr">
        <is>
          <t>INTEGRATION</t>
        </is>
      </c>
      <c r="F16" s="51" t="inlineStr">
        <is>
          <t>NSW Property  – Penrith 50 Belmore St – Workplace Hub (INV10395 Revenue)</t>
        </is>
      </c>
      <c r="G16" s="51" t="inlineStr">
        <is>
          <t>Accrual - unbilled work</t>
        </is>
      </c>
      <c r="H16" s="51" t="n"/>
      <c r="I16" s="52" t="n">
        <v>154.65</v>
      </c>
      <c r="J16" s="51" t="inlineStr">
        <is>
          <t>11300</t>
        </is>
      </c>
      <c r="K16" s="51" t="n"/>
      <c r="L16" s="51" t="inlineStr">
        <is>
          <t>Y</t>
        </is>
      </c>
      <c r="M16" s="51" t="inlineStr">
        <is>
          <t>Migrated from FY27 Revenue Tracker v2 - confirm type/sign</t>
        </is>
      </c>
    </row>
    <row r="17" ht="15" customHeight="1">
      <c r="A17" s="56" t="n">
        <v>46234</v>
      </c>
      <c r="B17" s="51" t="inlineStr">
        <is>
          <t>25051302</t>
        </is>
      </c>
      <c r="C17" s="50">
        <f>IF(B17="","",IF(COUNTIF(lst_Jobs,B17&amp;"")&gt;0,"OK","CHECK"))</f>
        <v/>
      </c>
      <c r="D17" s="51" t="inlineStr">
        <is>
          <t>NSW Property</t>
        </is>
      </c>
      <c r="E17" s="51" t="inlineStr">
        <is>
          <t>INTEGRATION</t>
        </is>
      </c>
      <c r="F17" s="51" t="inlineStr">
        <is>
          <t>NSW Property - Penrith BDA (INV10396)</t>
        </is>
      </c>
      <c r="G17" s="51" t="inlineStr">
        <is>
          <t>Accrual - unbilled work</t>
        </is>
      </c>
      <c r="H17" s="51" t="n"/>
      <c r="I17" s="52" t="n">
        <v>1494.96</v>
      </c>
      <c r="J17" s="51" t="inlineStr">
        <is>
          <t>11300</t>
        </is>
      </c>
      <c r="K17" s="51" t="n"/>
      <c r="L17" s="51" t="inlineStr">
        <is>
          <t>Y</t>
        </is>
      </c>
      <c r="M17" s="51" t="inlineStr">
        <is>
          <t>Migrated from FY27 Revenue Tracker v2 - confirm type/sign</t>
        </is>
      </c>
    </row>
    <row r="18" ht="15" customHeight="1">
      <c r="A18" s="56" t="n">
        <v>46234</v>
      </c>
      <c r="B18" s="51" t="inlineStr">
        <is>
          <t>25060307</t>
        </is>
      </c>
      <c r="C18" s="50">
        <f>IF(B18="","",IF(COUNTIF(lst_Jobs,B18&amp;"")&gt;0,"OK","CHECK"))</f>
        <v/>
      </c>
      <c r="D18" s="51" t="inlineStr">
        <is>
          <t>NSW Property</t>
        </is>
      </c>
      <c r="E18" s="51" t="inlineStr">
        <is>
          <t>INTEGRATION</t>
        </is>
      </c>
      <c r="F18" s="51" t="inlineStr">
        <is>
          <t>NSW Property - RA Molesworth St (INV10397 Revenue)</t>
        </is>
      </c>
      <c r="G18" s="51" t="inlineStr">
        <is>
          <t>Accrual - unbilled work</t>
        </is>
      </c>
      <c r="H18" s="51" t="n"/>
      <c r="I18" s="52" t="n">
        <v>786.14</v>
      </c>
      <c r="J18" s="51" t="inlineStr">
        <is>
          <t>11300</t>
        </is>
      </c>
      <c r="K18" s="51" t="n"/>
      <c r="L18" s="51" t="inlineStr">
        <is>
          <t>Y</t>
        </is>
      </c>
      <c r="M18" s="51" t="inlineStr">
        <is>
          <t>Migrated from FY27 Revenue Tracker v2 - confirm type/sign</t>
        </is>
      </c>
    </row>
    <row r="19" ht="15" customHeight="1">
      <c r="A19" s="56" t="n">
        <v>46234</v>
      </c>
      <c r="B19" s="51" t="inlineStr">
        <is>
          <t>2510805</t>
        </is>
      </c>
      <c r="C19" s="50">
        <f>IF(B19="","",IF(COUNTIF(lst_Jobs,B19&amp;"")&gt;0,"OK","CHECK"))</f>
        <v/>
      </c>
      <c r="D19" s="51" t="inlineStr">
        <is>
          <t>NSW Property</t>
        </is>
      </c>
      <c r="E19" s="51" t="inlineStr">
        <is>
          <t>INTEGRATION</t>
        </is>
      </c>
      <c r="F19" s="51" t="inlineStr">
        <is>
          <t>NSW Property - RA Newcastle Bellvue (INV10398 Revenue)</t>
        </is>
      </c>
      <c r="G19" s="51" t="inlineStr">
        <is>
          <t>Accrual - unbilled work</t>
        </is>
      </c>
      <c r="H19" s="51" t="n"/>
      <c r="I19" s="52" t="n">
        <v>270.64</v>
      </c>
      <c r="J19" s="51" t="inlineStr">
        <is>
          <t>11300</t>
        </is>
      </c>
      <c r="K19" s="51" t="n"/>
      <c r="L19" s="51" t="inlineStr">
        <is>
          <t>Y</t>
        </is>
      </c>
      <c r="M19" s="51" t="inlineStr">
        <is>
          <t>Migrated from FY27 Revenue Tracker v2 - confirm type/sign</t>
        </is>
      </c>
    </row>
    <row r="20" ht="15" customHeight="1">
      <c r="A20" s="56" t="n">
        <v>46234</v>
      </c>
      <c r="B20" s="51" t="inlineStr">
        <is>
          <t>2603202</t>
        </is>
      </c>
      <c r="C20" s="50">
        <f>IF(B20="","",IF(COUNTIF(lst_Jobs,B20&amp;"")&gt;0,"OK","CHECK"))</f>
        <v/>
      </c>
      <c r="D20" s="51" t="inlineStr">
        <is>
          <t>NSW Property</t>
        </is>
      </c>
      <c r="E20" s="51" t="inlineStr">
        <is>
          <t>INTEGRATION</t>
        </is>
      </c>
      <c r="F20" s="51" t="inlineStr">
        <is>
          <t>NSW Property - 5 O’Keefe Ave Nowra Workplace Hub (INV10399 Revenue)</t>
        </is>
      </c>
      <c r="G20" s="51" t="inlineStr">
        <is>
          <t>Accrual - unbilled work</t>
        </is>
      </c>
      <c r="H20" s="51" t="n"/>
      <c r="I20" s="52" t="n">
        <v>2242.44</v>
      </c>
      <c r="J20" s="51" t="inlineStr">
        <is>
          <t>11300</t>
        </is>
      </c>
      <c r="K20" s="51" t="n"/>
      <c r="L20" s="51" t="inlineStr">
        <is>
          <t>Y</t>
        </is>
      </c>
      <c r="M20" s="51" t="inlineStr">
        <is>
          <t>Migrated from FY27 Revenue Tracker v2 - confirm type/sign</t>
        </is>
      </c>
    </row>
    <row r="21" ht="15" customHeight="1">
      <c r="A21" s="56" t="n">
        <v>46234</v>
      </c>
      <c r="B21" s="51" t="inlineStr">
        <is>
          <t>25041502</t>
        </is>
      </c>
      <c r="C21" s="50">
        <f>IF(B21="","",IF(COUNTIF(lst_Jobs,B21&amp;"")&gt;0,"OK","CHECK"))</f>
        <v/>
      </c>
      <c r="D21" s="51" t="inlineStr">
        <is>
          <t>NSW Property</t>
        </is>
      </c>
      <c r="E21" s="51" t="inlineStr">
        <is>
          <t>INTEGRATION</t>
        </is>
      </c>
      <c r="F21" s="51" t="inlineStr">
        <is>
          <t>NSW Property -  Maitland 510-516 High St WP Services (INV10400 Revenue)</t>
        </is>
      </c>
      <c r="G21" s="51" t="inlineStr">
        <is>
          <t>Accrual - unbilled work</t>
        </is>
      </c>
      <c r="H21" s="51" t="n"/>
      <c r="I21" s="52" t="n">
        <v>3041.47</v>
      </c>
      <c r="J21" s="51" t="inlineStr">
        <is>
          <t>11300</t>
        </is>
      </c>
      <c r="K21" s="51" t="n"/>
      <c r="L21" s="51" t="inlineStr">
        <is>
          <t>Y</t>
        </is>
      </c>
      <c r="M21" s="51" t="inlineStr">
        <is>
          <t>Migrated from FY27 Revenue Tracker v2 - confirm type/sign</t>
        </is>
      </c>
    </row>
    <row r="22" ht="15" customHeight="1">
      <c r="A22" s="56" t="n">
        <v>46234</v>
      </c>
      <c r="B22" s="51" t="inlineStr">
        <is>
          <t>3068</t>
        </is>
      </c>
      <c r="C22" s="50">
        <f>IF(B22="","",IF(COUNTIF(lst_Jobs,B22&amp;"")&gt;0,"OK","CHECK"))</f>
        <v/>
      </c>
      <c r="D22" s="51" t="inlineStr">
        <is>
          <t>NSW Property</t>
        </is>
      </c>
      <c r="E22" s="51" t="inlineStr">
        <is>
          <t>INTEGRATION</t>
        </is>
      </c>
      <c r="F22" s="51" t="inlineStr">
        <is>
          <t>NSW Property -  252 Pitt St Parkline Workplace Hub (INV10401 Revenue)</t>
        </is>
      </c>
      <c r="G22" s="51" t="inlineStr">
        <is>
          <t>Accrual - unbilled work</t>
        </is>
      </c>
      <c r="H22" s="51" t="n"/>
      <c r="I22" s="52" t="n">
        <v>4085.36</v>
      </c>
      <c r="J22" s="51" t="inlineStr">
        <is>
          <t>11300</t>
        </is>
      </c>
      <c r="K22" s="51" t="n"/>
      <c r="L22" s="51" t="inlineStr">
        <is>
          <t>Y</t>
        </is>
      </c>
      <c r="M22" s="51" t="inlineStr">
        <is>
          <t>Migrated from FY27 Revenue Tracker v2 - confirm type/sign</t>
        </is>
      </c>
    </row>
    <row r="23" ht="15" customHeight="1">
      <c r="A23" s="56" t="n">
        <v>46234</v>
      </c>
      <c r="B23" s="51" t="inlineStr">
        <is>
          <t>2510205</t>
        </is>
      </c>
      <c r="C23" s="50">
        <f>IF(B23="","",IF(COUNTIF(lst_Jobs,B23&amp;"")&gt;0,"OK","CHECK"))</f>
        <v/>
      </c>
      <c r="D23" s="51" t="inlineStr">
        <is>
          <t>NSW Property</t>
        </is>
      </c>
      <c r="E23" s="51" t="inlineStr">
        <is>
          <t>INTEGRATION</t>
        </is>
      </c>
      <c r="F23" s="51" t="inlineStr">
        <is>
          <t>NSW Property - Sydney 1 Prince Albert Workplace Hub (INV10412 Revenue)</t>
        </is>
      </c>
      <c r="G23" s="51" t="inlineStr">
        <is>
          <t>Accrual - unbilled work</t>
        </is>
      </c>
      <c r="H23" s="51" t="n"/>
      <c r="I23" s="52" t="n">
        <v>1868.7</v>
      </c>
      <c r="J23" s="51" t="inlineStr">
        <is>
          <t>11300</t>
        </is>
      </c>
      <c r="K23" s="51" t="n"/>
      <c r="L23" s="51" t="inlineStr">
        <is>
          <t>Y</t>
        </is>
      </c>
      <c r="M23" s="51" t="inlineStr">
        <is>
          <t>Migrated from FY27 Revenue Tracker v2 - confirm type/sign</t>
        </is>
      </c>
    </row>
    <row r="24" ht="15" customHeight="1">
      <c r="A24" s="56" t="n">
        <v>46234</v>
      </c>
      <c r="B24" s="51" t="inlineStr">
        <is>
          <t>26043001</t>
        </is>
      </c>
      <c r="C24" s="50">
        <f>IF(B24="","",IF(COUNTIF(lst_Jobs,B24&amp;"")&gt;0,"OK","CHECK"))</f>
        <v/>
      </c>
      <c r="D24" s="51" t="inlineStr">
        <is>
          <t>CBA</t>
        </is>
      </c>
      <c r="E24" s="51" t="inlineStr">
        <is>
          <t>ONSITE</t>
        </is>
      </c>
      <c r="F24" s="51" t="inlineStr">
        <is>
          <t>CBA Melbourne Half of May 2026 not invoiced yet (Invoiced in June)</t>
        </is>
      </c>
      <c r="G24" s="51" t="inlineStr">
        <is>
          <t>Deferral - invoiced in advance</t>
        </is>
      </c>
      <c r="H24" s="51" t="n"/>
      <c r="I24" s="52" t="n">
        <v>-5950</v>
      </c>
      <c r="J24" s="51" t="inlineStr">
        <is>
          <t>11300</t>
        </is>
      </c>
      <c r="K24" s="51" t="n"/>
      <c r="L24" s="51" t="inlineStr">
        <is>
          <t>Y</t>
        </is>
      </c>
      <c r="M24" s="51" t="inlineStr">
        <is>
          <t>Migrated from FY27 Revenue Tracker v2 - confirm type/sign</t>
        </is>
      </c>
    </row>
    <row r="25" ht="15" customHeight="1">
      <c r="A25" s="56" t="n">
        <v>46234</v>
      </c>
      <c r="B25" s="51" t="inlineStr">
        <is>
          <t>2604704</t>
        </is>
      </c>
      <c r="C25" s="50">
        <f>IF(B25="","",IF(COUNTIF(lst_Jobs,B25&amp;"")&gt;0,"OK","CHECK"))</f>
        <v/>
      </c>
      <c r="D25" s="51" t="inlineStr">
        <is>
          <t>Aware Super</t>
        </is>
      </c>
      <c r="E25" s="51" t="inlineStr">
        <is>
          <t>INTEGRATION</t>
        </is>
      </c>
      <c r="F25" s="51" t="inlineStr">
        <is>
          <t>Aware Super Seminar Room Audio Upgrade [INT] Revenue</t>
        </is>
      </c>
      <c r="G25" s="51" t="inlineStr">
        <is>
          <t>Accrual - unbilled work</t>
        </is>
      </c>
      <c r="H25" s="51" t="n"/>
      <c r="I25" s="52" t="n">
        <v>1821.25</v>
      </c>
      <c r="J25" s="51" t="inlineStr">
        <is>
          <t>11300</t>
        </is>
      </c>
      <c r="K25" s="51" t="n"/>
      <c r="L25" s="51" t="inlineStr">
        <is>
          <t>Y</t>
        </is>
      </c>
      <c r="M25" s="51" t="inlineStr">
        <is>
          <t>Migrated from FY27 Revenue Tracker v2 - confirm type/sign</t>
        </is>
      </c>
    </row>
    <row r="26" ht="15" customHeight="1">
      <c r="A26" s="56" t="n">
        <v>46234</v>
      </c>
      <c r="B26" s="51" t="inlineStr">
        <is>
          <t>3028</t>
        </is>
      </c>
      <c r="C26" s="50">
        <f>IF(B26="","",IF(COUNTIF(lst_Jobs,B26&amp;"")&gt;0,"OK","CHECK"))</f>
        <v/>
      </c>
      <c r="D26" s="51" t="inlineStr">
        <is>
          <t>APA</t>
        </is>
      </c>
      <c r="E26" s="51" t="inlineStr">
        <is>
          <t>INTEGRATION</t>
        </is>
      </c>
      <c r="F26" s="51" t="inlineStr">
        <is>
          <t>APA Kidman Proxyclick Term 3 Jun26-Dec26 INV-10477 (Revenue)</t>
        </is>
      </c>
      <c r="G26" s="51" t="inlineStr">
        <is>
          <t>Accrual - unbilled work</t>
        </is>
      </c>
      <c r="H26" s="51" t="n"/>
      <c r="I26" s="52" t="n">
        <v>996.74</v>
      </c>
      <c r="J26" s="51" t="inlineStr">
        <is>
          <t>11300</t>
        </is>
      </c>
      <c r="K26" s="51" t="n"/>
      <c r="L26" s="51" t="inlineStr">
        <is>
          <t>Y</t>
        </is>
      </c>
      <c r="M26" s="51" t="inlineStr">
        <is>
          <t>Migrated from FY27 Revenue Tracker v2 - confirm type/sign</t>
        </is>
      </c>
    </row>
    <row r="27" ht="15" customHeight="1">
      <c r="A27" s="56" t="n">
        <v>46234</v>
      </c>
      <c r="B27" s="51" t="inlineStr">
        <is>
          <t>2855</t>
        </is>
      </c>
      <c r="C27" s="50">
        <f>IF(B27="","",IF(COUNTIF(lst_Jobs,B27&amp;"")&gt;0,"OK","CHECK"))</f>
        <v/>
      </c>
      <c r="D27" s="51" t="inlineStr">
        <is>
          <t>APA</t>
        </is>
      </c>
      <c r="E27" s="51" t="inlineStr">
        <is>
          <t>INTEGRATION</t>
        </is>
      </c>
      <c r="F27" s="51" t="inlineStr">
        <is>
          <t>APA Melbourne Proxyclick Jul26-Jun27 INV-10501(Revenue)</t>
        </is>
      </c>
      <c r="G27" s="51" t="inlineStr">
        <is>
          <t>Accrual - unbilled work</t>
        </is>
      </c>
      <c r="H27" s="51" t="n"/>
      <c r="I27" s="52" t="n">
        <v>1357.33</v>
      </c>
      <c r="J27" s="51" t="inlineStr">
        <is>
          <t>11300</t>
        </is>
      </c>
      <c r="K27" s="51" t="n"/>
      <c r="L27" s="51" t="inlineStr">
        <is>
          <t>Y</t>
        </is>
      </c>
      <c r="M27" s="51" t="inlineStr">
        <is>
          <t>Migrated from FY27 Revenue Tracker v2 - confirm type/sign</t>
        </is>
      </c>
    </row>
    <row r="28" ht="15" customHeight="1">
      <c r="A28" s="56" t="n">
        <v>46234</v>
      </c>
      <c r="B28" s="51" t="inlineStr">
        <is>
          <t>2857</t>
        </is>
      </c>
      <c r="C28" s="50">
        <f>IF(B28="","",IF(COUNTIF(lst_Jobs,B28&amp;"")&gt;0,"OK","CHECK"))</f>
        <v/>
      </c>
      <c r="D28" s="51" t="inlineStr">
        <is>
          <t>APA</t>
        </is>
      </c>
      <c r="E28" s="51" t="inlineStr">
        <is>
          <t>INTEGRATION</t>
        </is>
      </c>
      <c r="F28" s="51" t="inlineStr">
        <is>
          <t>APA Sydney Proxyclick Jul26-Jun27 INV-10502(Revenue)</t>
        </is>
      </c>
      <c r="G28" s="51" t="inlineStr">
        <is>
          <t>Accrual - unbilled work</t>
        </is>
      </c>
      <c r="H28" s="51" t="n"/>
      <c r="I28" s="52" t="n">
        <v>1357.33</v>
      </c>
      <c r="J28" s="51" t="inlineStr">
        <is>
          <t>11300</t>
        </is>
      </c>
      <c r="K28" s="51" t="n"/>
      <c r="L28" s="51" t="inlineStr">
        <is>
          <t>Y</t>
        </is>
      </c>
      <c r="M28" s="51" t="inlineStr">
        <is>
          <t>Migrated from FY27 Revenue Tracker v2 - confirm type/sign</t>
        </is>
      </c>
    </row>
    <row r="29" ht="15" customHeight="1">
      <c r="A29" s="56" t="n">
        <v>46234</v>
      </c>
      <c r="B29" s="51" t="inlineStr">
        <is>
          <t>2848</t>
        </is>
      </c>
      <c r="C29" s="50">
        <f>IF(B29="","",IF(COUNTIF(lst_Jobs,B29&amp;"")&gt;0,"OK","CHECK"))</f>
        <v/>
      </c>
      <c r="D29" s="51" t="inlineStr">
        <is>
          <t>APA</t>
        </is>
      </c>
      <c r="E29" s="51" t="inlineStr">
        <is>
          <t>INTEGRATION</t>
        </is>
      </c>
      <c r="F29" s="51" t="inlineStr">
        <is>
          <t>APA Adelaide Proxyclick INV-10514 Renewal Jul26-Jun27 (Revenue)</t>
        </is>
      </c>
      <c r="G29" s="51" t="inlineStr">
        <is>
          <t>Accrual - unbilled work</t>
        </is>
      </c>
      <c r="H29" s="51" t="n"/>
      <c r="I29" s="52" t="n">
        <v>618.08</v>
      </c>
      <c r="J29" s="51" t="inlineStr">
        <is>
          <t>11300</t>
        </is>
      </c>
      <c r="K29" s="51" t="n"/>
      <c r="L29" s="51" t="inlineStr">
        <is>
          <t>Y</t>
        </is>
      </c>
      <c r="M29" s="51" t="inlineStr">
        <is>
          <t>Migrated from FY27 Revenue Tracker v2 - confirm type/sign</t>
        </is>
      </c>
    </row>
    <row r="30" ht="15" customHeight="1">
      <c r="A30" s="56" t="n">
        <v>46234</v>
      </c>
      <c r="B30" s="51" t="inlineStr">
        <is>
          <t>2606101</t>
        </is>
      </c>
      <c r="C30" s="50">
        <f>IF(B30="","",IF(COUNTIF(lst_Jobs,B30&amp;"")&gt;0,"OK","CHECK"))</f>
        <v/>
      </c>
      <c r="D30" s="51" t="inlineStr">
        <is>
          <t>APA</t>
        </is>
      </c>
      <c r="E30" s="51" t="inlineStr">
        <is>
          <t>INTEGRATION</t>
        </is>
      </c>
      <c r="F30" s="51" t="inlineStr">
        <is>
          <t>APA | Young Eptura Proxyclick Licence Renewal Mar27-Feb28 INV-10548 (Revenue)</t>
        </is>
      </c>
      <c r="G30" s="51" t="inlineStr">
        <is>
          <t>Deferral - invoiced in advance</t>
        </is>
      </c>
      <c r="H30" s="51" t="n"/>
      <c r="I30" s="52" t="n">
        <v>-4205</v>
      </c>
      <c r="J30" s="51" t="inlineStr">
        <is>
          <t>11300</t>
        </is>
      </c>
      <c r="K30" s="51" t="n"/>
      <c r="L30" s="51" t="inlineStr">
        <is>
          <t>Y</t>
        </is>
      </c>
      <c r="M30" s="51" t="inlineStr">
        <is>
          <t>Migrated from FY27 Revenue Tracker v2 - confirm type/sign</t>
        </is>
      </c>
    </row>
    <row r="31" ht="15" customHeight="1">
      <c r="A31" s="56" t="n">
        <v>46234</v>
      </c>
      <c r="B31" s="51" t="inlineStr">
        <is>
          <t xml:space="preserve">2605402 </t>
        </is>
      </c>
      <c r="C31" s="50">
        <f>IF(B31="","",IF(COUNTIF(lst_Jobs,B31&amp;"")&gt;0,"OK","CHECK"))</f>
        <v/>
      </c>
      <c r="D31" s="51" t="inlineStr">
        <is>
          <t>AGL</t>
        </is>
      </c>
      <c r="E31" s="51" t="inlineStr">
        <is>
          <t>PRODUCTION</t>
        </is>
      </c>
      <c r="F31" s="51" t="inlineStr">
        <is>
          <t>AGL FYR - Employee Town Hall [PRD] pre-prod work</t>
        </is>
      </c>
      <c r="G31" s="51" t="inlineStr">
        <is>
          <t>Accrual - unbilled work</t>
        </is>
      </c>
      <c r="H31" s="51" t="n"/>
      <c r="I31" s="52" t="n">
        <v>1322.5</v>
      </c>
      <c r="J31" s="51" t="inlineStr">
        <is>
          <t>11300</t>
        </is>
      </c>
      <c r="K31" s="51" t="n"/>
      <c r="L31" s="51" t="inlineStr">
        <is>
          <t>Y</t>
        </is>
      </c>
      <c r="M31" s="51" t="inlineStr">
        <is>
          <t>Migrated from FY27 Revenue Tracker v2 - confirm type/sign</t>
        </is>
      </c>
    </row>
    <row r="32" ht="15" customHeight="1">
      <c r="A32" s="56" t="n">
        <v>46234</v>
      </c>
      <c r="B32" s="51" t="inlineStr">
        <is>
          <t xml:space="preserve">26061105 </t>
        </is>
      </c>
      <c r="C32" s="50">
        <f>IF(B32="","",IF(COUNTIF(lst_Jobs,B32&amp;"")&gt;0,"OK","CHECK"))</f>
        <v/>
      </c>
      <c r="D32" s="51" t="inlineStr">
        <is>
          <t>CBA</t>
        </is>
      </c>
      <c r="E32" s="51" t="inlineStr">
        <is>
          <t>PRODUCTION</t>
        </is>
      </c>
      <c r="F32" s="51" t="inlineStr">
        <is>
          <t>CBA - FYR 2026 - 12.8.26 [PRD] pre-prod work</t>
        </is>
      </c>
      <c r="G32" s="51" t="inlineStr">
        <is>
          <t>Accrual - unbilled work</t>
        </is>
      </c>
      <c r="H32" s="51" t="n"/>
      <c r="I32" s="52" t="n">
        <v>417.5</v>
      </c>
      <c r="J32" s="51" t="inlineStr">
        <is>
          <t>11300</t>
        </is>
      </c>
      <c r="K32" s="51" t="n"/>
      <c r="L32" s="51" t="inlineStr">
        <is>
          <t>Y</t>
        </is>
      </c>
      <c r="M32" s="51" t="inlineStr">
        <is>
          <t>Migrated from FY27 Revenue Tracker v2 - confirm type/sign</t>
        </is>
      </c>
    </row>
    <row r="33" ht="15" customHeight="1">
      <c r="A33" s="56" t="n">
        <v>46234</v>
      </c>
      <c r="B33" s="51" t="inlineStr">
        <is>
          <t xml:space="preserve">2606903 </t>
        </is>
      </c>
      <c r="C33" s="50">
        <f>IF(B33="","",IF(COUNTIF(lst_Jobs,B33&amp;"")&gt;0,"OK","CHECK"))</f>
        <v/>
      </c>
      <c r="D33" s="51" t="inlineStr">
        <is>
          <t>Virgin</t>
        </is>
      </c>
      <c r="E33" s="51" t="inlineStr">
        <is>
          <t>PRODUCTION</t>
        </is>
      </c>
      <c r="F33" s="51" t="inlineStr">
        <is>
          <t>Virgin FY26 Results [PRD] pre-prod work</t>
        </is>
      </c>
      <c r="G33" s="51" t="inlineStr">
        <is>
          <t>Accrual - unbilled work</t>
        </is>
      </c>
      <c r="H33" s="51" t="n"/>
      <c r="I33" s="52" t="n">
        <v>57.5</v>
      </c>
      <c r="J33" s="51" t="inlineStr">
        <is>
          <t>11300</t>
        </is>
      </c>
      <c r="K33" s="51" t="n"/>
      <c r="L33" s="51" t="inlineStr">
        <is>
          <t>Y</t>
        </is>
      </c>
      <c r="M33" s="51" t="inlineStr">
        <is>
          <t>Migrated from FY27 Revenue Tracker v2 - confirm type/sign</t>
        </is>
      </c>
    </row>
    <row r="34" ht="15" customHeight="1">
      <c r="A34" s="56" t="n">
        <v>46234</v>
      </c>
      <c r="B34" s="51" t="inlineStr">
        <is>
          <t xml:space="preserve">26061109 </t>
        </is>
      </c>
      <c r="C34" s="50">
        <f>IF(B34="","",IF(COUNTIF(lst_Jobs,B34&amp;"")&gt;0,"OK","CHECK"))</f>
        <v/>
      </c>
      <c r="D34" s="51" t="inlineStr">
        <is>
          <t>Ventia</t>
        </is>
      </c>
      <c r="E34" s="51" t="inlineStr">
        <is>
          <t>PRODUCTION</t>
        </is>
      </c>
      <c r="F34" s="51" t="inlineStr">
        <is>
          <t>Ventia - FYR26 - 24.8.26 [PRD] pre-prod work</t>
        </is>
      </c>
      <c r="G34" s="51" t="inlineStr">
        <is>
          <t>Accrual - unbilled work</t>
        </is>
      </c>
      <c r="H34" s="51" t="n"/>
      <c r="I34" s="52" t="n">
        <v>862.5</v>
      </c>
      <c r="J34" s="51" t="inlineStr">
        <is>
          <t>11300</t>
        </is>
      </c>
      <c r="K34" s="51" t="n"/>
      <c r="L34" s="51" t="inlineStr">
        <is>
          <t>Y</t>
        </is>
      </c>
      <c r="M34" s="51" t="inlineStr">
        <is>
          <t>Migrated from FY27 Revenue Tracker v2 - confirm type/sign</t>
        </is>
      </c>
    </row>
    <row r="35" ht="15" customHeight="1">
      <c r="A35" s="56" t="n">
        <v>46234</v>
      </c>
      <c r="B35" s="51" t="inlineStr">
        <is>
          <t xml:space="preserve">26061107 </t>
        </is>
      </c>
      <c r="C35" s="50">
        <f>IF(B35="","",IF(COUNTIF(lst_Jobs,B35&amp;"")&gt;0,"OK","CHECK"))</f>
        <v/>
      </c>
      <c r="D35" s="51" t="inlineStr">
        <is>
          <t>Downer</t>
        </is>
      </c>
      <c r="E35" s="51" t="inlineStr">
        <is>
          <t>PRODUCTION</t>
        </is>
      </c>
      <c r="F35" s="51" t="inlineStr">
        <is>
          <t>Downer - FYR 2026 - 19.8.26 [PRD] pre-prod work</t>
        </is>
      </c>
      <c r="G35" s="51" t="inlineStr">
        <is>
          <t>Accrual - unbilled work</t>
        </is>
      </c>
      <c r="H35" s="51" t="n"/>
      <c r="I35" s="52" t="n">
        <v>115</v>
      </c>
      <c r="J35" s="51" t="inlineStr">
        <is>
          <t>11300</t>
        </is>
      </c>
      <c r="K35" s="51" t="n"/>
      <c r="L35" s="51" t="inlineStr">
        <is>
          <t>Y</t>
        </is>
      </c>
      <c r="M35" s="51" t="inlineStr">
        <is>
          <t>Migrated from FY27 Revenue Tracker v2 - confirm type/sign</t>
        </is>
      </c>
    </row>
    <row r="36" ht="15" customHeight="1">
      <c r="A36" s="56" t="n">
        <v>46234</v>
      </c>
      <c r="B36" s="51" t="inlineStr">
        <is>
          <t>26061108</t>
        </is>
      </c>
      <c r="C36" s="50">
        <f>IF(B36="","",IF(COUNTIF(lst_Jobs,B36&amp;"")&gt;0,"OK","CHECK"))</f>
        <v/>
      </c>
      <c r="D36" s="51" t="inlineStr">
        <is>
          <t>APA</t>
        </is>
      </c>
      <c r="E36" s="51" t="inlineStr">
        <is>
          <t>PRODUCTION</t>
        </is>
      </c>
      <c r="F36" s="51" t="inlineStr">
        <is>
          <t>APA FYR All Hands August 2026 Package - Conf Call (Revenue) INV-10521</t>
        </is>
      </c>
      <c r="G36" s="51" t="inlineStr">
        <is>
          <t>Deferral - invoiced in advance</t>
        </is>
      </c>
      <c r="H36" s="51" t="n"/>
      <c r="I36" s="52" t="n">
        <v>-600</v>
      </c>
      <c r="J36" s="51" t="inlineStr">
        <is>
          <t>11300</t>
        </is>
      </c>
      <c r="K36" s="51" t="n"/>
      <c r="L36" s="51" t="inlineStr">
        <is>
          <t>Y</t>
        </is>
      </c>
      <c r="M36" s="51" t="inlineStr">
        <is>
          <t>Migrated from FY27 Revenue Tracker v2 - confirm type/sign</t>
        </is>
      </c>
    </row>
    <row r="37" ht="15" customHeight="1">
      <c r="A37" s="56" t="n">
        <v>46234</v>
      </c>
      <c r="B37" s="51" t="inlineStr">
        <is>
          <t>26061108</t>
        </is>
      </c>
      <c r="C37" s="50">
        <f>IF(B37="","",IF(COUNTIF(lst_Jobs,B37&amp;"")&gt;0,"OK","CHECK"))</f>
        <v/>
      </c>
      <c r="D37" s="51" t="inlineStr">
        <is>
          <t>APA</t>
        </is>
      </c>
      <c r="E37" s="51" t="inlineStr">
        <is>
          <t>PRODUCTION</t>
        </is>
      </c>
      <c r="F37" s="51" t="inlineStr">
        <is>
          <t>APA FYR 20.7.26 [PRD]</t>
        </is>
      </c>
      <c r="G37" s="51" t="inlineStr">
        <is>
          <t>Deferral - invoiced in advance</t>
        </is>
      </c>
      <c r="H37" s="51" t="n"/>
      <c r="I37" s="52" t="n">
        <v>-237.5</v>
      </c>
      <c r="J37" s="51" t="inlineStr">
        <is>
          <t>11300</t>
        </is>
      </c>
      <c r="K37" s="51" t="n"/>
      <c r="L37" s="51" t="inlineStr">
        <is>
          <t>Y</t>
        </is>
      </c>
      <c r="M37" s="51" t="inlineStr">
        <is>
          <t>Migrated from FY27 Revenue Tracker v2 - confirm type/sign</t>
        </is>
      </c>
    </row>
    <row r="38" ht="15" customHeight="1">
      <c r="A38" s="56" t="n">
        <v>46234</v>
      </c>
      <c r="B38" s="51" t="inlineStr">
        <is>
          <t>26061108</t>
        </is>
      </c>
      <c r="C38" s="50">
        <f>IF(B38="","",IF(COUNTIF(lst_Jobs,B38&amp;"")&gt;0,"OK","CHECK"))</f>
        <v/>
      </c>
      <c r="D38" s="51" t="inlineStr">
        <is>
          <t>APA</t>
        </is>
      </c>
      <c r="E38" s="51" t="inlineStr">
        <is>
          <t>PRODUCTION</t>
        </is>
      </c>
      <c r="F38" s="51" t="inlineStr">
        <is>
          <t>APA FYR All Hands August 2026 Package - Prd Equipment Hire (Revenue) INV-10521</t>
        </is>
      </c>
      <c r="G38" s="51" t="inlineStr">
        <is>
          <t>Deferral - invoiced in advance</t>
        </is>
      </c>
      <c r="H38" s="51" t="n"/>
      <c r="I38" s="52" t="n">
        <v>-5413.6</v>
      </c>
      <c r="J38" s="51" t="inlineStr">
        <is>
          <t>11300</t>
        </is>
      </c>
      <c r="K38" s="51" t="n"/>
      <c r="L38" s="51" t="inlineStr">
        <is>
          <t>Y</t>
        </is>
      </c>
      <c r="M38" s="51" t="inlineStr">
        <is>
          <t>Migrated from FY27 Revenue Tracker v2 - confirm type/sign</t>
        </is>
      </c>
    </row>
    <row r="39" ht="15" customHeight="1">
      <c r="A39" s="56" t="n">
        <v>46234</v>
      </c>
      <c r="B39" s="51" t="inlineStr">
        <is>
          <t xml:space="preserve">26061108V </t>
        </is>
      </c>
      <c r="C39" s="50">
        <f>IF(B39="","",IF(COUNTIF(lst_Jobs,B39&amp;"")&gt;0,"OK","CHECK"))</f>
        <v/>
      </c>
      <c r="D39" s="51" t="inlineStr">
        <is>
          <t>APA</t>
        </is>
      </c>
      <c r="E39" s="51" t="inlineStr">
        <is>
          <t>VIDEO</t>
        </is>
      </c>
      <c r="F39" s="51" t="inlineStr">
        <is>
          <t>APA FYR All Hands August 2026 Package - Vid Equipment Hire (Revenue) INV-10521</t>
        </is>
      </c>
      <c r="G39" s="51" t="inlineStr">
        <is>
          <t>Deferral - invoiced in advance</t>
        </is>
      </c>
      <c r="H39" s="51" t="n"/>
      <c r="I39" s="52" t="n">
        <v>-592</v>
      </c>
      <c r="J39" s="51" t="inlineStr">
        <is>
          <t>11300</t>
        </is>
      </c>
      <c r="K39" s="51" t="n"/>
      <c r="L39" s="51" t="inlineStr">
        <is>
          <t>Y</t>
        </is>
      </c>
      <c r="M39" s="51" t="inlineStr">
        <is>
          <t>Migrated from FY27 Revenue Tracker v2 - confirm type/sign</t>
        </is>
      </c>
    </row>
    <row r="40" ht="15" customHeight="1">
      <c r="A40" s="56" t="n">
        <v>46234</v>
      </c>
      <c r="B40" s="51" t="inlineStr">
        <is>
          <t>26061108</t>
        </is>
      </c>
      <c r="C40" s="50">
        <f>IF(B40="","",IF(COUNTIF(lst_Jobs,B40&amp;"")&gt;0,"OK","CHECK"))</f>
        <v/>
      </c>
      <c r="D40" s="51" t="inlineStr">
        <is>
          <t>APA</t>
        </is>
      </c>
      <c r="E40" s="51" t="inlineStr">
        <is>
          <t>PRODUCTION</t>
        </is>
      </c>
      <c r="F40" s="51" t="inlineStr">
        <is>
          <t>APA FYR All Hands August 2026 Package - Prd Labour (Revenue) INV-10521</t>
        </is>
      </c>
      <c r="G40" s="51" t="inlineStr">
        <is>
          <t>Deferral - invoiced in advance</t>
        </is>
      </c>
      <c r="H40" s="51" t="n"/>
      <c r="I40" s="52" t="n">
        <v>-4520</v>
      </c>
      <c r="J40" s="51" t="inlineStr">
        <is>
          <t>11300</t>
        </is>
      </c>
      <c r="K40" s="51" t="n"/>
      <c r="L40" s="51" t="inlineStr">
        <is>
          <t>Y</t>
        </is>
      </c>
      <c r="M40" s="51" t="inlineStr">
        <is>
          <t>Migrated from FY27 Revenue Tracker v2 - confirm type/sign</t>
        </is>
      </c>
    </row>
    <row r="41" ht="15" customHeight="1">
      <c r="A41" s="56" t="n">
        <v>46234</v>
      </c>
      <c r="B41" s="51" t="inlineStr">
        <is>
          <t xml:space="preserve">26061108V </t>
        </is>
      </c>
      <c r="C41" s="50">
        <f>IF(B41="","",IF(COUNTIF(lst_Jobs,B41&amp;"")&gt;0,"OK","CHECK"))</f>
        <v/>
      </c>
      <c r="D41" s="51" t="inlineStr">
        <is>
          <t>APA</t>
        </is>
      </c>
      <c r="E41" s="51" t="inlineStr">
        <is>
          <t>VIDEO</t>
        </is>
      </c>
      <c r="F41" s="51" t="inlineStr">
        <is>
          <t>APA FYR All Hands August 2026 Package - Vid Labour (Revenue) INV-10521</t>
        </is>
      </c>
      <c r="G41" s="51" t="inlineStr">
        <is>
          <t>Deferral - invoiced in advance</t>
        </is>
      </c>
      <c r="H41" s="51" t="n"/>
      <c r="I41" s="52" t="n">
        <v>-485</v>
      </c>
      <c r="J41" s="51" t="inlineStr">
        <is>
          <t>11300</t>
        </is>
      </c>
      <c r="K41" s="51" t="n"/>
      <c r="L41" s="51" t="inlineStr">
        <is>
          <t>Y</t>
        </is>
      </c>
      <c r="M41" s="51" t="inlineStr">
        <is>
          <t>Migrated from FY27 Revenue Tracker v2 - confirm type/sign</t>
        </is>
      </c>
    </row>
    <row r="42" ht="15" customHeight="1">
      <c r="A42" s="56" t="n">
        <v>46234</v>
      </c>
      <c r="B42" s="51" t="inlineStr">
        <is>
          <t>26061108</t>
        </is>
      </c>
      <c r="C42" s="50">
        <f>IF(B42="","",IF(COUNTIF(lst_Jobs,B42&amp;"")&gt;0,"OK","CHECK"))</f>
        <v/>
      </c>
      <c r="D42" s="51" t="inlineStr">
        <is>
          <t>APA</t>
        </is>
      </c>
      <c r="E42" s="51" t="inlineStr">
        <is>
          <t>PRODUCTION</t>
        </is>
      </c>
      <c r="F42" s="51" t="inlineStr">
        <is>
          <t>APA FYR All Hands August 2026 Package - Transport (Revenue) INV-10521</t>
        </is>
      </c>
      <c r="G42" s="51" t="inlineStr">
        <is>
          <t>Deferral - invoiced in advance</t>
        </is>
      </c>
      <c r="H42" s="51" t="n"/>
      <c r="I42" s="52" t="n">
        <v>-300</v>
      </c>
      <c r="J42" s="51" t="inlineStr">
        <is>
          <t>11300</t>
        </is>
      </c>
      <c r="K42" s="51" t="n"/>
      <c r="L42" s="51" t="inlineStr">
        <is>
          <t>Y</t>
        </is>
      </c>
      <c r="M42" s="51" t="inlineStr">
        <is>
          <t>Migrated from FY27 Revenue Tracker v2 - confirm type/sign</t>
        </is>
      </c>
    </row>
    <row r="43" ht="15" customHeight="1">
      <c r="A43" s="56" t="n">
        <v>46234</v>
      </c>
      <c r="B43" s="51" t="inlineStr">
        <is>
          <t>26061108</t>
        </is>
      </c>
      <c r="C43" s="50">
        <f>IF(B43="","",IF(COUNTIF(lst_Jobs,B43&amp;"")&gt;0,"OK","CHECK"))</f>
        <v/>
      </c>
      <c r="D43" s="51" t="inlineStr">
        <is>
          <t>APA</t>
        </is>
      </c>
      <c r="E43" s="51" t="inlineStr">
        <is>
          <t>PRODUCTION</t>
        </is>
      </c>
      <c r="F43" s="51" t="inlineStr">
        <is>
          <t>APA FYR All Hands August 2026 Package - Tech  Event Mgmt (Revenue) INV-10521</t>
        </is>
      </c>
      <c r="G43" s="51" t="inlineStr">
        <is>
          <t>Deferral - invoiced in advance</t>
        </is>
      </c>
      <c r="H43" s="51" t="n"/>
      <c r="I43" s="52" t="n">
        <v>-690</v>
      </c>
      <c r="J43" s="51" t="inlineStr">
        <is>
          <t>11300</t>
        </is>
      </c>
      <c r="K43" s="51" t="n"/>
      <c r="L43" s="51" t="inlineStr">
        <is>
          <t>Y</t>
        </is>
      </c>
      <c r="M43" s="51" t="inlineStr">
        <is>
          <t>Migrated from FY27 Revenue Tracker v2 - confirm type/sign</t>
        </is>
      </c>
    </row>
    <row r="44" ht="15" customHeight="1">
      <c r="A44" s="56" t="n">
        <v>46234</v>
      </c>
      <c r="B44" s="51" t="inlineStr">
        <is>
          <t>26061607</t>
        </is>
      </c>
      <c r="C44" s="50">
        <f>IF(B44="","",IF(COUNTIF(lst_Jobs,B44&amp;"")&gt;0,"OK","CHECK"))</f>
        <v/>
      </c>
      <c r="D44" s="51" t="inlineStr">
        <is>
          <t>APA</t>
        </is>
      </c>
      <c r="E44" s="51" t="inlineStr">
        <is>
          <t>PRODUCTION</t>
        </is>
      </c>
      <c r="F44" s="51" t="inlineStr">
        <is>
          <t>APA Qtrly All Hands Nov 2026 Package - Prd Equipment Hire (Revenue) INV-10521</t>
        </is>
      </c>
      <c r="G44" s="51" t="inlineStr">
        <is>
          <t>Deferral - invoiced in advance</t>
        </is>
      </c>
      <c r="H44" s="51" t="n"/>
      <c r="I44" s="52" t="n">
        <v>-5269.6</v>
      </c>
      <c r="J44" s="51" t="inlineStr">
        <is>
          <t>11300</t>
        </is>
      </c>
      <c r="K44" s="51" t="n"/>
      <c r="L44" s="51" t="inlineStr">
        <is>
          <t>Y</t>
        </is>
      </c>
      <c r="M44" s="51" t="inlineStr">
        <is>
          <t>Migrated from FY27 Revenue Tracker v2 - confirm type/sign</t>
        </is>
      </c>
    </row>
    <row r="45" ht="15" customHeight="1">
      <c r="A45" s="56" t="n">
        <v>46234</v>
      </c>
      <c r="B45" s="51" t="inlineStr">
        <is>
          <t>26061607V</t>
        </is>
      </c>
      <c r="C45" s="50">
        <f>IF(B45="","",IF(COUNTIF(lst_Jobs,B45&amp;"")&gt;0,"OK","CHECK"))</f>
        <v/>
      </c>
      <c r="D45" s="51" t="inlineStr">
        <is>
          <t>APA</t>
        </is>
      </c>
      <c r="E45" s="51" t="inlineStr">
        <is>
          <t>VIDEO</t>
        </is>
      </c>
      <c r="F45" s="51" t="inlineStr">
        <is>
          <t>APA Qtrly All Hands Nov 2026 Package - Vid Equipment Hire (Revenue) INV-10521</t>
        </is>
      </c>
      <c r="G45" s="51" t="inlineStr">
        <is>
          <t>Deferral - invoiced in advance</t>
        </is>
      </c>
      <c r="H45" s="51" t="n"/>
      <c r="I45" s="52" t="n">
        <v>-592</v>
      </c>
      <c r="J45" s="51" t="inlineStr">
        <is>
          <t>11300</t>
        </is>
      </c>
      <c r="K45" s="51" t="n"/>
      <c r="L45" s="51" t="inlineStr">
        <is>
          <t>Y</t>
        </is>
      </c>
      <c r="M45" s="51" t="inlineStr">
        <is>
          <t>Migrated from FY27 Revenue Tracker v2 - confirm type/sign</t>
        </is>
      </c>
    </row>
    <row r="46" ht="15" customHeight="1">
      <c r="A46" s="56" t="n">
        <v>46234</v>
      </c>
      <c r="B46" s="51" t="inlineStr">
        <is>
          <t>26061607</t>
        </is>
      </c>
      <c r="C46" s="50">
        <f>IF(B46="","",IF(COUNTIF(lst_Jobs,B46&amp;"")&gt;0,"OK","CHECK"))</f>
        <v/>
      </c>
      <c r="D46" s="51" t="inlineStr">
        <is>
          <t>APA</t>
        </is>
      </c>
      <c r="E46" s="51" t="inlineStr">
        <is>
          <t>PRODUCTION</t>
        </is>
      </c>
      <c r="F46" s="51" t="inlineStr">
        <is>
          <t>APA Qtrly All Hands Nov 2026 Package - Prd Labour (Revenue) INV-10521</t>
        </is>
      </c>
      <c r="G46" s="51" t="inlineStr">
        <is>
          <t>Deferral - invoiced in advance</t>
        </is>
      </c>
      <c r="H46" s="51" t="n"/>
      <c r="I46" s="52" t="n">
        <v>-4869</v>
      </c>
      <c r="J46" s="51" t="inlineStr">
        <is>
          <t>11300</t>
        </is>
      </c>
      <c r="K46" s="51" t="n"/>
      <c r="L46" s="51" t="inlineStr">
        <is>
          <t>Y</t>
        </is>
      </c>
      <c r="M46" s="51" t="inlineStr">
        <is>
          <t>Migrated from FY27 Revenue Tracker v2 - confirm type/sign</t>
        </is>
      </c>
    </row>
    <row r="47" ht="15" customHeight="1">
      <c r="A47" s="56" t="n">
        <v>46234</v>
      </c>
      <c r="B47" s="51" t="inlineStr">
        <is>
          <t>26061607V</t>
        </is>
      </c>
      <c r="C47" s="50">
        <f>IF(B47="","",IF(COUNTIF(lst_Jobs,B47&amp;"")&gt;0,"OK","CHECK"))</f>
        <v/>
      </c>
      <c r="D47" s="51" t="inlineStr">
        <is>
          <t>APA</t>
        </is>
      </c>
      <c r="E47" s="51" t="inlineStr">
        <is>
          <t>VIDEO</t>
        </is>
      </c>
      <c r="F47" s="51" t="inlineStr">
        <is>
          <t>APA Qtrly All Hands Nov 2026 Package - Vid Labour (Revenue) INV-10521</t>
        </is>
      </c>
      <c r="G47" s="51" t="inlineStr">
        <is>
          <t>Deferral - invoiced in advance</t>
        </is>
      </c>
      <c r="H47" s="51" t="n"/>
      <c r="I47" s="52" t="n">
        <v>-485</v>
      </c>
      <c r="J47" s="51" t="inlineStr">
        <is>
          <t>11300</t>
        </is>
      </c>
      <c r="K47" s="51" t="n"/>
      <c r="L47" s="51" t="inlineStr">
        <is>
          <t>Y</t>
        </is>
      </c>
      <c r="M47" s="51" t="inlineStr">
        <is>
          <t>Migrated from FY27 Revenue Tracker v2 - confirm type/sign</t>
        </is>
      </c>
    </row>
    <row r="48" ht="15" customHeight="1">
      <c r="A48" s="56" t="n">
        <v>46234</v>
      </c>
      <c r="B48" s="51" t="inlineStr">
        <is>
          <t>26061607</t>
        </is>
      </c>
      <c r="C48" s="50">
        <f>IF(B48="","",IF(COUNTIF(lst_Jobs,B48&amp;"")&gt;0,"OK","CHECK"))</f>
        <v/>
      </c>
      <c r="D48" s="51" t="inlineStr">
        <is>
          <t>APA</t>
        </is>
      </c>
      <c r="E48" s="51" t="inlineStr">
        <is>
          <t>PRODUCTION</t>
        </is>
      </c>
      <c r="F48" s="51" t="inlineStr">
        <is>
          <t>APA Qtrly All Hands Nov 2026 Package - Conf Call (Revenue) INV-10521</t>
        </is>
      </c>
      <c r="G48" s="51" t="inlineStr">
        <is>
          <t>Deferral - invoiced in advance</t>
        </is>
      </c>
      <c r="H48" s="51" t="n"/>
      <c r="I48" s="52" t="n">
        <v>-750</v>
      </c>
      <c r="J48" s="51" t="inlineStr">
        <is>
          <t>11300</t>
        </is>
      </c>
      <c r="K48" s="51" t="n"/>
      <c r="L48" s="51" t="inlineStr">
        <is>
          <t>Y</t>
        </is>
      </c>
      <c r="M48" s="51" t="inlineStr">
        <is>
          <t>Migrated from FY27 Revenue Tracker v2 - confirm type/sign</t>
        </is>
      </c>
    </row>
    <row r="49" ht="15" customHeight="1">
      <c r="A49" s="56" t="n">
        <v>46234</v>
      </c>
      <c r="B49" s="51" t="inlineStr">
        <is>
          <t>26061607</t>
        </is>
      </c>
      <c r="C49" s="50">
        <f>IF(B49="","",IF(COUNTIF(lst_Jobs,B49&amp;"")&gt;0,"OK","CHECK"))</f>
        <v/>
      </c>
      <c r="D49" s="51" t="inlineStr">
        <is>
          <t>APA</t>
        </is>
      </c>
      <c r="E49" s="51" t="inlineStr">
        <is>
          <t>PRODUCTION</t>
        </is>
      </c>
      <c r="F49" s="51" t="inlineStr">
        <is>
          <t>APA Qtrly All Hands Nov 2026 Package - Transport (Revenue) INV-10521</t>
        </is>
      </c>
      <c r="G49" s="51" t="inlineStr">
        <is>
          <t>Deferral - invoiced in advance</t>
        </is>
      </c>
      <c r="H49" s="51" t="n"/>
      <c r="I49" s="52" t="n">
        <v>-300</v>
      </c>
      <c r="J49" s="51" t="inlineStr">
        <is>
          <t>11300</t>
        </is>
      </c>
      <c r="K49" s="51" t="n"/>
      <c r="L49" s="51" t="inlineStr">
        <is>
          <t>Y</t>
        </is>
      </c>
      <c r="M49" s="51" t="inlineStr">
        <is>
          <t>Migrated from FY27 Revenue Tracker v2 - confirm type/sign</t>
        </is>
      </c>
    </row>
    <row r="50" ht="15" customHeight="1">
      <c r="A50" s="56" t="n">
        <v>46234</v>
      </c>
      <c r="B50" s="51" t="inlineStr">
        <is>
          <t>26061607</t>
        </is>
      </c>
      <c r="C50" s="50">
        <f>IF(B50="","",IF(COUNTIF(lst_Jobs,B50&amp;"")&gt;0,"OK","CHECK"))</f>
        <v/>
      </c>
      <c r="D50" s="51" t="inlineStr">
        <is>
          <t>APA</t>
        </is>
      </c>
      <c r="E50" s="51" t="inlineStr">
        <is>
          <t>PRODUCTION</t>
        </is>
      </c>
      <c r="F50" s="51" t="inlineStr">
        <is>
          <t>APA Qtrly All Hands Nov 2026 Package - Tech  Event Mgmt (Revenue) INV-10521</t>
        </is>
      </c>
      <c r="G50" s="51" t="inlineStr">
        <is>
          <t>Deferral - invoiced in advance</t>
        </is>
      </c>
      <c r="H50" s="51" t="n"/>
      <c r="I50" s="52" t="n">
        <v>-690</v>
      </c>
      <c r="J50" s="51" t="inlineStr">
        <is>
          <t>11300</t>
        </is>
      </c>
      <c r="K50" s="51" t="n"/>
      <c r="L50" s="51" t="inlineStr">
        <is>
          <t>Y</t>
        </is>
      </c>
      <c r="M50" s="51" t="inlineStr">
        <is>
          <t>Migrated from FY27 Revenue Tracker v2 - confirm type/sign</t>
        </is>
      </c>
    </row>
    <row r="51" ht="15" customHeight="1">
      <c r="A51" s="56" t="n">
        <v>46234</v>
      </c>
      <c r="B51" s="51" t="inlineStr">
        <is>
          <t>26061607</t>
        </is>
      </c>
      <c r="C51" s="50">
        <f>IF(B51="","",IF(COUNTIF(lst_Jobs,B51&amp;"")&gt;0,"OK","CHECK"))</f>
        <v/>
      </c>
      <c r="D51" s="51" t="inlineStr">
        <is>
          <t>APA</t>
        </is>
      </c>
      <c r="E51" s="51" t="inlineStr">
        <is>
          <t>PRODUCTION</t>
        </is>
      </c>
      <c r="F51" s="51" t="inlineStr">
        <is>
          <t>APA Qtrly All Hands Nov 2026 Package - Travel (Revenue) INV-10521</t>
        </is>
      </c>
      <c r="G51" s="51" t="inlineStr">
        <is>
          <t>Deferral - invoiced in advance</t>
        </is>
      </c>
      <c r="H51" s="51" t="n"/>
      <c r="I51" s="52" t="n">
        <v>-1025</v>
      </c>
      <c r="J51" s="51" t="inlineStr">
        <is>
          <t>11300</t>
        </is>
      </c>
      <c r="K51" s="51" t="n"/>
      <c r="L51" s="51" t="inlineStr">
        <is>
          <t>Y</t>
        </is>
      </c>
      <c r="M51" s="51" t="inlineStr">
        <is>
          <t>Migrated from FY27 Revenue Tracker v2 - confirm type/sign</t>
        </is>
      </c>
    </row>
    <row r="52" ht="15" customHeight="1">
      <c r="A52" s="56" t="n">
        <v>46234</v>
      </c>
      <c r="B52" s="51" t="inlineStr">
        <is>
          <t>26061608</t>
        </is>
      </c>
      <c r="C52" s="50">
        <f>IF(B52="","",IF(COUNTIF(lst_Jobs,B52&amp;"")&gt;0,"OK","CHECK"))</f>
        <v/>
      </c>
      <c r="D52" s="51" t="inlineStr">
        <is>
          <t>APA</t>
        </is>
      </c>
      <c r="E52" s="51" t="inlineStr">
        <is>
          <t>PRODUCTION</t>
        </is>
      </c>
      <c r="F52" s="51" t="inlineStr">
        <is>
          <t>APA Qtrly All Hands Feb 2027 Package - Prd Equipment Hire (Revenue) INV-10521</t>
        </is>
      </c>
      <c r="G52" s="51" t="inlineStr">
        <is>
          <t>Deferral - invoiced in advance</t>
        </is>
      </c>
      <c r="H52" s="51" t="n"/>
      <c r="I52" s="52" t="n">
        <v>-5857.6</v>
      </c>
      <c r="J52" s="51" t="inlineStr">
        <is>
          <t>11300</t>
        </is>
      </c>
      <c r="K52" s="51" t="n"/>
      <c r="L52" s="51" t="inlineStr">
        <is>
          <t>Y</t>
        </is>
      </c>
      <c r="M52" s="51" t="inlineStr">
        <is>
          <t>Migrated from FY27 Revenue Tracker v2 - confirm type/sign</t>
        </is>
      </c>
    </row>
    <row r="53" ht="15" customHeight="1">
      <c r="A53" s="56" t="n">
        <v>46234</v>
      </c>
      <c r="B53" s="51" t="inlineStr">
        <is>
          <t>26061608V</t>
        </is>
      </c>
      <c r="C53" s="50">
        <f>IF(B53="","",IF(COUNTIF(lst_Jobs,B53&amp;"")&gt;0,"OK","CHECK"))</f>
        <v/>
      </c>
      <c r="D53" s="51" t="inlineStr">
        <is>
          <t>APA</t>
        </is>
      </c>
      <c r="E53" s="51" t="inlineStr">
        <is>
          <t>VIDEO</t>
        </is>
      </c>
      <c r="F53" s="51" t="inlineStr">
        <is>
          <t>APA Qtrly All Hands Feb 2027 Package - Vid Equipment Hire (Revenue) INV-10521</t>
        </is>
      </c>
      <c r="G53" s="51" t="inlineStr">
        <is>
          <t>Deferral - invoiced in advance</t>
        </is>
      </c>
      <c r="H53" s="51" t="n"/>
      <c r="I53" s="52" t="n">
        <v>-592</v>
      </c>
      <c r="J53" s="51" t="inlineStr">
        <is>
          <t>11300</t>
        </is>
      </c>
      <c r="K53" s="51" t="n"/>
      <c r="L53" s="51" t="inlineStr">
        <is>
          <t>Y</t>
        </is>
      </c>
      <c r="M53" s="51" t="inlineStr">
        <is>
          <t>Migrated from FY27 Revenue Tracker v2 - confirm type/sign</t>
        </is>
      </c>
    </row>
    <row r="54" ht="15" customHeight="1">
      <c r="A54" s="56" t="n">
        <v>46234</v>
      </c>
      <c r="B54" s="51" t="inlineStr">
        <is>
          <t>26061608</t>
        </is>
      </c>
      <c r="C54" s="50">
        <f>IF(B54="","",IF(COUNTIF(lst_Jobs,B54&amp;"")&gt;0,"OK","CHECK"))</f>
        <v/>
      </c>
      <c r="D54" s="51" t="inlineStr">
        <is>
          <t>APA</t>
        </is>
      </c>
      <c r="E54" s="51" t="inlineStr">
        <is>
          <t>PRODUCTION</t>
        </is>
      </c>
      <c r="F54" s="51" t="inlineStr">
        <is>
          <t>APA Qtrly All Hands Feb 2027 Package - Prd Labour (Revenue) INV-10521</t>
        </is>
      </c>
      <c r="G54" s="51" t="inlineStr">
        <is>
          <t>Deferral - invoiced in advance</t>
        </is>
      </c>
      <c r="H54" s="51" t="n"/>
      <c r="I54" s="52" t="n">
        <v>-4076</v>
      </c>
      <c r="J54" s="51" t="inlineStr">
        <is>
          <t>11300</t>
        </is>
      </c>
      <c r="K54" s="51" t="n"/>
      <c r="L54" s="51" t="inlineStr">
        <is>
          <t>Y</t>
        </is>
      </c>
      <c r="M54" s="51" t="inlineStr">
        <is>
          <t>Migrated from FY27 Revenue Tracker v2 - confirm type/sign</t>
        </is>
      </c>
    </row>
    <row r="55" ht="15" customHeight="1">
      <c r="A55" s="56" t="n">
        <v>46234</v>
      </c>
      <c r="B55" s="51" t="inlineStr">
        <is>
          <t>26061608V</t>
        </is>
      </c>
      <c r="C55" s="50">
        <f>IF(B55="","",IF(COUNTIF(lst_Jobs,B55&amp;"")&gt;0,"OK","CHECK"))</f>
        <v/>
      </c>
      <c r="D55" s="51" t="inlineStr">
        <is>
          <t>APA</t>
        </is>
      </c>
      <c r="E55" s="51" t="inlineStr">
        <is>
          <t>VIDEO</t>
        </is>
      </c>
      <c r="F55" s="51" t="inlineStr">
        <is>
          <t>APA Qtrly All Hands Feb 2027 Package - Vid Labour (Revenue) INV-10521</t>
        </is>
      </c>
      <c r="G55" s="51" t="inlineStr">
        <is>
          <t>Deferral - invoiced in advance</t>
        </is>
      </c>
      <c r="H55" s="51" t="n"/>
      <c r="I55" s="52" t="n">
        <v>-485</v>
      </c>
      <c r="J55" s="51" t="inlineStr">
        <is>
          <t>11300</t>
        </is>
      </c>
      <c r="K55" s="51" t="n"/>
      <c r="L55" s="51" t="inlineStr">
        <is>
          <t>Y</t>
        </is>
      </c>
      <c r="M55" s="51" t="inlineStr">
        <is>
          <t>Migrated from FY27 Revenue Tracker v2 - confirm type/sign</t>
        </is>
      </c>
    </row>
    <row r="56" ht="15" customHeight="1">
      <c r="A56" s="56" t="n">
        <v>46234</v>
      </c>
      <c r="B56" s="51" t="inlineStr">
        <is>
          <t>26061608</t>
        </is>
      </c>
      <c r="C56" s="50">
        <f>IF(B56="","",IF(COUNTIF(lst_Jobs,B56&amp;"")&gt;0,"OK","CHECK"))</f>
        <v/>
      </c>
      <c r="D56" s="51" t="inlineStr">
        <is>
          <t>APA</t>
        </is>
      </c>
      <c r="E56" s="51" t="inlineStr">
        <is>
          <t>PRODUCTION</t>
        </is>
      </c>
      <c r="F56" s="51" t="inlineStr">
        <is>
          <t>APA Qtrly All Hands Feb 2027 Package - Conf Call (Revenue) INV-10521</t>
        </is>
      </c>
      <c r="G56" s="51" t="inlineStr">
        <is>
          <t>Deferral - invoiced in advance</t>
        </is>
      </c>
      <c r="H56" s="51" t="n"/>
      <c r="I56" s="52" t="n">
        <v>-600</v>
      </c>
      <c r="J56" s="51" t="inlineStr">
        <is>
          <t>11300</t>
        </is>
      </c>
      <c r="K56" s="51" t="n"/>
      <c r="L56" s="51" t="inlineStr">
        <is>
          <t>Y</t>
        </is>
      </c>
      <c r="M56" s="51" t="inlineStr">
        <is>
          <t>Migrated from FY27 Revenue Tracker v2 - confirm type/sign</t>
        </is>
      </c>
    </row>
    <row r="57" ht="15" customHeight="1">
      <c r="A57" s="56" t="n">
        <v>46234</v>
      </c>
      <c r="B57" s="51" t="inlineStr">
        <is>
          <t>26061608</t>
        </is>
      </c>
      <c r="C57" s="50">
        <f>IF(B57="","",IF(COUNTIF(lst_Jobs,B57&amp;"")&gt;0,"OK","CHECK"))</f>
        <v/>
      </c>
      <c r="D57" s="51" t="inlineStr">
        <is>
          <t>APA</t>
        </is>
      </c>
      <c r="E57" s="51" t="inlineStr">
        <is>
          <t>PRODUCTION</t>
        </is>
      </c>
      <c r="F57" s="51" t="inlineStr">
        <is>
          <t>APA Qtrly All Hands Feb 2027 Package - Transport (Revenue) INV-10521</t>
        </is>
      </c>
      <c r="G57" s="51" t="inlineStr">
        <is>
          <t>Deferral - invoiced in advance</t>
        </is>
      </c>
      <c r="H57" s="51" t="n"/>
      <c r="I57" s="52" t="n">
        <v>-300</v>
      </c>
      <c r="J57" s="51" t="inlineStr">
        <is>
          <t>11300</t>
        </is>
      </c>
      <c r="K57" s="51" t="n"/>
      <c r="L57" s="51" t="inlineStr">
        <is>
          <t>Y</t>
        </is>
      </c>
      <c r="M57" s="51" t="inlineStr">
        <is>
          <t>Migrated from FY27 Revenue Tracker v2 - confirm type/sign</t>
        </is>
      </c>
    </row>
    <row r="58" ht="15" customHeight="1">
      <c r="A58" s="56" t="n">
        <v>46234</v>
      </c>
      <c r="B58" s="51" t="inlineStr">
        <is>
          <t>26061608</t>
        </is>
      </c>
      <c r="C58" s="50">
        <f>IF(B58="","",IF(COUNTIF(lst_Jobs,B58&amp;"")&gt;0,"OK","CHECK"))</f>
        <v/>
      </c>
      <c r="D58" s="51" t="inlineStr">
        <is>
          <t>APA</t>
        </is>
      </c>
      <c r="E58" s="51" t="inlineStr">
        <is>
          <t>PRODUCTION</t>
        </is>
      </c>
      <c r="F58" s="51" t="inlineStr">
        <is>
          <t>APA Qtrly All Hands Feb 2027 Package - Tech  Event Mgmt (Revenue) INV-10521</t>
        </is>
      </c>
      <c r="G58" s="51" t="inlineStr">
        <is>
          <t>Deferral - invoiced in advance</t>
        </is>
      </c>
      <c r="H58" s="51" t="n"/>
      <c r="I58" s="52" t="n">
        <v>-690</v>
      </c>
      <c r="J58" s="51" t="inlineStr">
        <is>
          <t>11300</t>
        </is>
      </c>
      <c r="K58" s="51" t="n"/>
      <c r="L58" s="51" t="inlineStr">
        <is>
          <t>Y</t>
        </is>
      </c>
      <c r="M58" s="51" t="inlineStr">
        <is>
          <t>Migrated from FY27 Revenue Tracker v2 - confirm type/sign</t>
        </is>
      </c>
    </row>
    <row r="59" ht="15" customHeight="1">
      <c r="A59" s="56" t="n">
        <v>46234</v>
      </c>
      <c r="B59" s="51" t="inlineStr">
        <is>
          <t>26061609</t>
        </is>
      </c>
      <c r="C59" s="50">
        <f>IF(B59="","",IF(COUNTIF(lst_Jobs,B59&amp;"")&gt;0,"OK","CHECK"))</f>
        <v/>
      </c>
      <c r="D59" s="51" t="inlineStr">
        <is>
          <t>APA</t>
        </is>
      </c>
      <c r="E59" s="51" t="inlineStr">
        <is>
          <t>PRODUCTION</t>
        </is>
      </c>
      <c r="F59" s="51" t="inlineStr">
        <is>
          <t>APA Qtrly All Hands May 2027 Package - Prd Equipment Hire (Revenue) INV-10521</t>
        </is>
      </c>
      <c r="G59" s="51" t="inlineStr">
        <is>
          <t>Deferral - invoiced in advance</t>
        </is>
      </c>
      <c r="H59" s="51" t="n"/>
      <c r="I59" s="52" t="n">
        <v>-5857.6</v>
      </c>
      <c r="J59" s="51" t="inlineStr">
        <is>
          <t>11300</t>
        </is>
      </c>
      <c r="K59" s="51" t="n"/>
      <c r="L59" s="51" t="inlineStr">
        <is>
          <t>Y</t>
        </is>
      </c>
      <c r="M59" s="51" t="inlineStr">
        <is>
          <t>Migrated from FY27 Revenue Tracker v2 - confirm type/sign</t>
        </is>
      </c>
    </row>
    <row r="60" ht="15" customHeight="1">
      <c r="A60" s="56" t="n">
        <v>46234</v>
      </c>
      <c r="B60" s="51" t="inlineStr">
        <is>
          <t>26061609V</t>
        </is>
      </c>
      <c r="C60" s="50">
        <f>IF(B60="","",IF(COUNTIF(lst_Jobs,B60&amp;"")&gt;0,"OK","CHECK"))</f>
        <v/>
      </c>
      <c r="D60" s="51" t="inlineStr">
        <is>
          <t>APA</t>
        </is>
      </c>
      <c r="E60" s="51" t="inlineStr">
        <is>
          <t>VIDEO</t>
        </is>
      </c>
      <c r="F60" s="51" t="inlineStr">
        <is>
          <t>APA Qtrly All Hands May 2027 Package - Vid Equipment Hire (Revenue) INV-10521</t>
        </is>
      </c>
      <c r="G60" s="51" t="inlineStr">
        <is>
          <t>Deferral - invoiced in advance</t>
        </is>
      </c>
      <c r="H60" s="51" t="n"/>
      <c r="I60" s="52" t="n">
        <v>-592</v>
      </c>
      <c r="J60" s="51" t="inlineStr">
        <is>
          <t>11300</t>
        </is>
      </c>
      <c r="K60" s="51" t="n"/>
      <c r="L60" s="51" t="inlineStr">
        <is>
          <t>Y</t>
        </is>
      </c>
      <c r="M60" s="51" t="inlineStr">
        <is>
          <t>Migrated from FY27 Revenue Tracker v2 - confirm type/sign</t>
        </is>
      </c>
    </row>
    <row r="61" ht="15" customHeight="1">
      <c r="A61" s="56" t="n">
        <v>46234</v>
      </c>
      <c r="B61" s="51" t="inlineStr">
        <is>
          <t>26061609</t>
        </is>
      </c>
      <c r="C61" s="50">
        <f>IF(B61="","",IF(COUNTIF(lst_Jobs,B61&amp;"")&gt;0,"OK","CHECK"))</f>
        <v/>
      </c>
      <c r="D61" s="51" t="inlineStr">
        <is>
          <t>APA</t>
        </is>
      </c>
      <c r="E61" s="51" t="inlineStr">
        <is>
          <t>PRODUCTION</t>
        </is>
      </c>
      <c r="F61" s="51" t="inlineStr">
        <is>
          <t>APA Qtrly All Hands May 2027 Package - Prd Labour (Revenue) INV-10521</t>
        </is>
      </c>
      <c r="G61" s="51" t="inlineStr">
        <is>
          <t>Deferral - invoiced in advance</t>
        </is>
      </c>
      <c r="H61" s="51" t="n"/>
      <c r="I61" s="52" t="n">
        <v>-4995</v>
      </c>
      <c r="J61" s="51" t="inlineStr">
        <is>
          <t>11300</t>
        </is>
      </c>
      <c r="K61" s="51" t="n"/>
      <c r="L61" s="51" t="inlineStr">
        <is>
          <t>Y</t>
        </is>
      </c>
      <c r="M61" s="51" t="inlineStr">
        <is>
          <t>Migrated from FY27 Revenue Tracker v2 - confirm type/sign</t>
        </is>
      </c>
    </row>
    <row r="62" ht="15" customHeight="1">
      <c r="A62" s="56" t="n">
        <v>46234</v>
      </c>
      <c r="B62" s="51" t="inlineStr">
        <is>
          <t>26061609V</t>
        </is>
      </c>
      <c r="C62" s="50">
        <f>IF(B62="","",IF(COUNTIF(lst_Jobs,B62&amp;"")&gt;0,"OK","CHECK"))</f>
        <v/>
      </c>
      <c r="D62" s="51" t="inlineStr">
        <is>
          <t>APA</t>
        </is>
      </c>
      <c r="E62" s="51" t="inlineStr">
        <is>
          <t>VIDEO</t>
        </is>
      </c>
      <c r="F62" s="51" t="inlineStr">
        <is>
          <t>APA Qtrly All Hands May 2027 Package - Vid Labour (Revenue) INV-10521</t>
        </is>
      </c>
      <c r="G62" s="51" t="inlineStr">
        <is>
          <t>Deferral - invoiced in advance</t>
        </is>
      </c>
      <c r="H62" s="51" t="n"/>
      <c r="I62" s="52" t="n">
        <v>-485</v>
      </c>
      <c r="J62" s="51" t="inlineStr">
        <is>
          <t>11300</t>
        </is>
      </c>
      <c r="K62" s="51" t="n"/>
      <c r="L62" s="51" t="inlineStr">
        <is>
          <t>Y</t>
        </is>
      </c>
      <c r="M62" s="51" t="inlineStr">
        <is>
          <t>Migrated from FY27 Revenue Tracker v2 - confirm type/sign</t>
        </is>
      </c>
    </row>
    <row r="63" ht="15" customHeight="1">
      <c r="A63" s="56" t="n">
        <v>46234</v>
      </c>
      <c r="B63" s="51" t="inlineStr">
        <is>
          <t>26061609</t>
        </is>
      </c>
      <c r="C63" s="50">
        <f>IF(B63="","",IF(COUNTIF(lst_Jobs,B63&amp;"")&gt;0,"OK","CHECK"))</f>
        <v/>
      </c>
      <c r="D63" s="51" t="inlineStr">
        <is>
          <t>APA</t>
        </is>
      </c>
      <c r="E63" s="51" t="inlineStr">
        <is>
          <t>PRODUCTION</t>
        </is>
      </c>
      <c r="F63" s="51" t="inlineStr">
        <is>
          <t>APA Qtrly All Hands May 2027 Package - Conf Call (Revenue) INV-10521</t>
        </is>
      </c>
      <c r="G63" s="51" t="inlineStr">
        <is>
          <t>Deferral - invoiced in advance</t>
        </is>
      </c>
      <c r="H63" s="51" t="n"/>
      <c r="I63" s="52" t="n">
        <v>-750</v>
      </c>
      <c r="J63" s="51" t="inlineStr">
        <is>
          <t>11300</t>
        </is>
      </c>
      <c r="K63" s="51" t="n"/>
      <c r="L63" s="51" t="inlineStr">
        <is>
          <t>Y</t>
        </is>
      </c>
      <c r="M63" s="51" t="inlineStr">
        <is>
          <t>Migrated from FY27 Revenue Tracker v2 - confirm type/sign</t>
        </is>
      </c>
    </row>
    <row r="64" ht="15" customHeight="1">
      <c r="A64" s="56" t="n">
        <v>46234</v>
      </c>
      <c r="B64" s="51" t="inlineStr">
        <is>
          <t>26061609</t>
        </is>
      </c>
      <c r="C64" s="50">
        <f>IF(B64="","",IF(COUNTIF(lst_Jobs,B64&amp;"")&gt;0,"OK","CHECK"))</f>
        <v/>
      </c>
      <c r="D64" s="51" t="inlineStr">
        <is>
          <t>APA</t>
        </is>
      </c>
      <c r="E64" s="51" t="inlineStr">
        <is>
          <t>PRODUCTION</t>
        </is>
      </c>
      <c r="F64" s="51" t="inlineStr">
        <is>
          <t>APA Qtrly All Hands May 2027 Package - Transport (Revenue) INV-10521</t>
        </is>
      </c>
      <c r="G64" s="51" t="inlineStr">
        <is>
          <t>Deferral - invoiced in advance</t>
        </is>
      </c>
      <c r="H64" s="51" t="n"/>
      <c r="I64" s="52" t="n">
        <v>-300</v>
      </c>
      <c r="J64" s="51" t="inlineStr">
        <is>
          <t>11300</t>
        </is>
      </c>
      <c r="K64" s="51" t="n"/>
      <c r="L64" s="51" t="inlineStr">
        <is>
          <t>Y</t>
        </is>
      </c>
      <c r="M64" s="51" t="inlineStr">
        <is>
          <t>Migrated from FY27 Revenue Tracker v2 - confirm type/sign</t>
        </is>
      </c>
    </row>
    <row r="65" ht="15" customHeight="1">
      <c r="A65" s="56" t="n">
        <v>46234</v>
      </c>
      <c r="B65" s="51" t="inlineStr">
        <is>
          <t>26061609</t>
        </is>
      </c>
      <c r="C65" s="50">
        <f>IF(B65="","",IF(COUNTIF(lst_Jobs,B65&amp;"")&gt;0,"OK","CHECK"))</f>
        <v/>
      </c>
      <c r="D65" s="51" t="inlineStr">
        <is>
          <t>APA</t>
        </is>
      </c>
      <c r="E65" s="51" t="inlineStr">
        <is>
          <t>PRODUCTION</t>
        </is>
      </c>
      <c r="F65" s="51" t="inlineStr">
        <is>
          <t>APA Qtrly All Hands May 2027 Package - Tech  Event Mgmt (Revenue) INV-10521</t>
        </is>
      </c>
      <c r="G65" s="51" t="inlineStr">
        <is>
          <t>Deferral - invoiced in advance</t>
        </is>
      </c>
      <c r="H65" s="51" t="n"/>
      <c r="I65" s="52" t="n">
        <v>-690</v>
      </c>
      <c r="J65" s="51" t="inlineStr">
        <is>
          <t>11300</t>
        </is>
      </c>
      <c r="K65" s="51" t="n"/>
      <c r="L65" s="51" t="inlineStr">
        <is>
          <t>Y</t>
        </is>
      </c>
      <c r="M65" s="51" t="inlineStr">
        <is>
          <t>Migrated from FY27 Revenue Tracker v2 - confirm type/sign</t>
        </is>
      </c>
    </row>
    <row r="66" ht="15" customHeight="1">
      <c r="A66" s="56" t="n">
        <v>46234</v>
      </c>
      <c r="B66" s="51" t="inlineStr">
        <is>
          <t>26061609</t>
        </is>
      </c>
      <c r="C66" s="50">
        <f>IF(B66="","",IF(COUNTIF(lst_Jobs,B66&amp;"")&gt;0,"OK","CHECK"))</f>
        <v/>
      </c>
      <c r="D66" s="51" t="inlineStr">
        <is>
          <t>APA</t>
        </is>
      </c>
      <c r="E66" s="51" t="inlineStr">
        <is>
          <t>PRODUCTION</t>
        </is>
      </c>
      <c r="F66" s="51" t="inlineStr">
        <is>
          <t>APA Qtrly All Hands May 2027 Package - Travel (Revenue) INV-10521</t>
        </is>
      </c>
      <c r="G66" s="51" t="inlineStr">
        <is>
          <t>Deferral - invoiced in advance</t>
        </is>
      </c>
      <c r="H66" s="51" t="n"/>
      <c r="I66" s="52" t="n">
        <v>-1200</v>
      </c>
      <c r="J66" s="51" t="inlineStr">
        <is>
          <t>11300</t>
        </is>
      </c>
      <c r="K66" s="51" t="n"/>
      <c r="L66" s="51" t="inlineStr">
        <is>
          <t>Y</t>
        </is>
      </c>
      <c r="M66" s="51" t="inlineStr">
        <is>
          <t>Migrated from FY27 Revenue Tracker v2 - confirm type/sign</t>
        </is>
      </c>
    </row>
    <row r="67" ht="15" customHeight="1">
      <c r="A67" s="56" t="n">
        <v>46234</v>
      </c>
      <c r="B67" s="51" t="inlineStr">
        <is>
          <t>2603104</t>
        </is>
      </c>
      <c r="C67" s="50">
        <f>IF(B67="","",IF(COUNTIF(lst_Jobs,B67&amp;"")&gt;0,"OK","CHECK"))</f>
        <v/>
      </c>
      <c r="D67" s="51" t="inlineStr">
        <is>
          <t>Cochlear</t>
        </is>
      </c>
      <c r="E67" s="51" t="inlineStr">
        <is>
          <t>PRODUCTION</t>
        </is>
      </c>
      <c r="F67" s="51" t="inlineStr">
        <is>
          <t>Cochlear FY26 Results 18.8.26 [PRD] pre-prod work</t>
        </is>
      </c>
      <c r="G67" s="51" t="inlineStr">
        <is>
          <t>Accrual - unbilled work</t>
        </is>
      </c>
      <c r="H67" s="51" t="n"/>
      <c r="I67" s="52" t="n">
        <v>172.5</v>
      </c>
      <c r="J67" s="51" t="inlineStr">
        <is>
          <t>11300</t>
        </is>
      </c>
      <c r="K67" s="51" t="n"/>
      <c r="L67" s="51" t="inlineStr">
        <is>
          <t>Y</t>
        </is>
      </c>
      <c r="M67" s="51" t="inlineStr">
        <is>
          <t>Migrated from FY27 Revenue Tracker v2 - confirm type/sign</t>
        </is>
      </c>
    </row>
    <row r="68" ht="15" customHeight="1">
      <c r="A68" s="56" t="n">
        <v>46234</v>
      </c>
      <c r="B68" s="51" t="inlineStr">
        <is>
          <t>2512804</t>
        </is>
      </c>
      <c r="C68" s="50">
        <f>IF(B68="","",IF(COUNTIF(lst_Jobs,B68&amp;"")&gt;0,"OK","CHECK"))</f>
        <v/>
      </c>
      <c r="D68" s="51" t="inlineStr">
        <is>
          <t>RSNSW</t>
        </is>
      </c>
      <c r="E68" s="51" t="inlineStr">
        <is>
          <t>PRODUCTION</t>
        </is>
      </c>
      <c r="F68" s="51" t="inlineStr">
        <is>
          <t>RSNSW Ordinary General Meeting 5.8.26 [PRD] pre-prod work</t>
        </is>
      </c>
      <c r="G68" s="51" t="inlineStr">
        <is>
          <t>Accrual - unbilled work</t>
        </is>
      </c>
      <c r="H68" s="51" t="n"/>
      <c r="I68" s="52" t="n">
        <v>115</v>
      </c>
      <c r="J68" s="51" t="inlineStr">
        <is>
          <t>11300</t>
        </is>
      </c>
      <c r="K68" s="51" t="n"/>
      <c r="L68" s="51" t="inlineStr">
        <is>
          <t>Y</t>
        </is>
      </c>
      <c r="M68" s="51" t="inlineStr">
        <is>
          <t>Migrated from FY27 Revenue Tracker v2 - confirm type/sign</t>
        </is>
      </c>
    </row>
    <row r="69" ht="15" customHeight="1">
      <c r="A69" s="56" t="n">
        <v>46234</v>
      </c>
      <c r="B69" s="51" t="inlineStr">
        <is>
          <t>26061108</t>
        </is>
      </c>
      <c r="C69" s="50">
        <f>IF(B69="","",IF(COUNTIF(lst_Jobs,B69&amp;"")&gt;0,"OK","CHECK"))</f>
        <v/>
      </c>
      <c r="D69" s="51" t="inlineStr">
        <is>
          <t>APA</t>
        </is>
      </c>
      <c r="E69" s="51" t="inlineStr">
        <is>
          <t>PRODUCTION</t>
        </is>
      </c>
      <c r="F69" s="51" t="inlineStr">
        <is>
          <t>APA - Qtly All Hands FYR26 - 20.8.26 [PRD] pre-prod work</t>
        </is>
      </c>
      <c r="G69" s="51" t="inlineStr">
        <is>
          <t>Accrual - unbilled work</t>
        </is>
      </c>
      <c r="H69" s="51" t="n"/>
      <c r="I69" s="52" t="n">
        <v>172.5</v>
      </c>
      <c r="J69" s="51" t="inlineStr">
        <is>
          <t>11300</t>
        </is>
      </c>
      <c r="K69" s="51" t="n"/>
      <c r="L69" s="51" t="inlineStr">
        <is>
          <t>Y</t>
        </is>
      </c>
      <c r="M69" s="51" t="inlineStr">
        <is>
          <t>Migrated from FY27 Revenue Tracker v2 - confirm type/sign</t>
        </is>
      </c>
    </row>
    <row r="70" ht="15" customHeight="1">
      <c r="A70" s="56" t="n">
        <v>46265</v>
      </c>
      <c r="B70" s="51" t="inlineStr">
        <is>
          <t>26062503</t>
        </is>
      </c>
      <c r="C70" s="50">
        <f>IF(B70="","",IF(COUNTIF(lst_Jobs,B70&amp;"")&gt;0,"OK","CHECK"))</f>
        <v/>
      </c>
      <c r="D70" s="51" t="inlineStr">
        <is>
          <t>Aware Super</t>
        </is>
      </c>
      <c r="E70" s="51" t="n"/>
      <c r="F70" s="51" t="inlineStr">
        <is>
          <t>Aware Super 24.16 UC Engine Replacement [INT] Labour Revenue INV-10619 | Pre work</t>
        </is>
      </c>
      <c r="G70" s="51" t="inlineStr">
        <is>
          <t>Accrual - unbilled work</t>
        </is>
      </c>
      <c r="H70" s="51" t="n"/>
      <c r="I70" s="52" t="n">
        <v>671</v>
      </c>
      <c r="J70" s="51" t="inlineStr">
        <is>
          <t>11300</t>
        </is>
      </c>
      <c r="K70" s="51" t="n"/>
      <c r="L70" s="51" t="inlineStr">
        <is>
          <t>Y</t>
        </is>
      </c>
      <c r="M70" s="51" t="inlineStr">
        <is>
          <t>Migrated from FY27 Revenue Tracker v2 - confirm type/sign</t>
        </is>
      </c>
    </row>
    <row r="71" ht="15" customHeight="1">
      <c r="A71" s="56" t="n">
        <v>46265</v>
      </c>
      <c r="B71" s="51" t="inlineStr">
        <is>
          <t>26062901</t>
        </is>
      </c>
      <c r="C71" s="50">
        <f>IF(B71="","",IF(COUNTIF(lst_Jobs,B71&amp;"")&gt;0,"OK","CHECK"))</f>
        <v/>
      </c>
      <c r="D71" s="51" t="inlineStr">
        <is>
          <t>Aware Super</t>
        </is>
      </c>
      <c r="E71" s="51" t="n"/>
      <c r="F71" s="51" t="inlineStr">
        <is>
          <t>Aware | SYD 28.06 Services [INT] Labour Revenue Pre work</t>
        </is>
      </c>
      <c r="G71" s="51" t="inlineStr">
        <is>
          <t>Deferral - invoiced in advance</t>
        </is>
      </c>
      <c r="H71" s="51" t="n"/>
      <c r="I71" s="52" t="n">
        <v>-1450</v>
      </c>
      <c r="J71" s="51" t="inlineStr">
        <is>
          <t>11300</t>
        </is>
      </c>
      <c r="K71" s="51" t="n"/>
      <c r="L71" s="51" t="inlineStr">
        <is>
          <t>Y</t>
        </is>
      </c>
      <c r="M71" s="51" t="inlineStr">
        <is>
          <t>Migrated from FY27 Revenue Tracker v2 - confirm type/sign</t>
        </is>
      </c>
    </row>
    <row r="72" ht="15" customHeight="1">
      <c r="A72" s="56" t="n"/>
      <c r="B72" s="51" t="inlineStr">
        <is>
          <t>2604704</t>
        </is>
      </c>
      <c r="C72" s="50">
        <f>IF(B72="","",IF(COUNTIF(lst_Jobs,B72&amp;"")&gt;0,"OK","CHECK"))</f>
        <v/>
      </c>
      <c r="D72" s="51" t="inlineStr">
        <is>
          <t>Aware Super</t>
        </is>
      </c>
      <c r="E72" s="51" t="n"/>
      <c r="F72" s="51" t="inlineStr">
        <is>
          <t>Aware Super Seminar Room Audio Upgrade [INT] Labour Revenue INV-10596 | Pre work</t>
        </is>
      </c>
      <c r="G72" s="51" t="inlineStr">
        <is>
          <t>Accrual - unbilled work</t>
        </is>
      </c>
      <c r="H72" s="51" t="n"/>
      <c r="I72" s="52" t="n"/>
      <c r="J72" s="51" t="inlineStr">
        <is>
          <t>11300</t>
        </is>
      </c>
      <c r="K72" s="51" t="n"/>
      <c r="L72" s="51" t="inlineStr">
        <is>
          <t>Y</t>
        </is>
      </c>
      <c r="M72" s="51" t="inlineStr">
        <is>
          <t>Migrated from FY27 Revenue Tracker v2 - confirm type/sign</t>
        </is>
      </c>
    </row>
    <row r="73" ht="15" customHeight="1">
      <c r="A73" s="56" t="n">
        <v>46265</v>
      </c>
      <c r="B73" s="51" t="inlineStr">
        <is>
          <t>26061602</t>
        </is>
      </c>
      <c r="C73" s="50">
        <f>IF(B73="","",IF(COUNTIF(lst_Jobs,B73&amp;"")&gt;0,"OK","CHECK"))</f>
        <v/>
      </c>
      <c r="D73" s="51" t="inlineStr">
        <is>
          <t>ASX</t>
        </is>
      </c>
      <c r="E73" s="51" t="n"/>
      <c r="F73" s="51" t="inlineStr">
        <is>
          <t>ASX CEO Connect (Extended Results) 1.9.26 [PRD] Pre-prod labour</t>
        </is>
      </c>
      <c r="G73" s="51" t="inlineStr">
        <is>
          <t>Accrual - unbilled work</t>
        </is>
      </c>
      <c r="H73" s="51" t="n"/>
      <c r="I73" s="52" t="n">
        <v>1852.5</v>
      </c>
      <c r="J73" s="51" t="inlineStr">
        <is>
          <t>11300</t>
        </is>
      </c>
      <c r="K73" s="51" t="n"/>
      <c r="L73" s="51" t="inlineStr">
        <is>
          <t>Y</t>
        </is>
      </c>
      <c r="M73" s="51" t="inlineStr">
        <is>
          <t>Migrated from FY27 Revenue Tracker v2 - confirm type/sign</t>
        </is>
      </c>
    </row>
    <row r="74" ht="15" customHeight="1">
      <c r="A74" s="56" t="n">
        <v>46265</v>
      </c>
      <c r="B74" s="51" t="inlineStr">
        <is>
          <t>26071701</t>
        </is>
      </c>
      <c r="C74" s="50">
        <f>IF(B74="","",IF(COUNTIF(lst_Jobs,B74&amp;"")&gt;0,"OK","CHECK"))</f>
        <v/>
      </c>
      <c r="D74" s="51" t="inlineStr">
        <is>
          <t>ASX</t>
        </is>
      </c>
      <c r="E74" s="51" t="n"/>
      <c r="F74" s="51" t="inlineStr">
        <is>
          <t>ASX Live - 9.9.26 [PRD] Pre-prod labour</t>
        </is>
      </c>
      <c r="G74" s="51" t="inlineStr">
        <is>
          <t>Accrual - unbilled work</t>
        </is>
      </c>
      <c r="H74" s="51" t="n"/>
      <c r="I74" s="52" t="n">
        <v>1885</v>
      </c>
      <c r="J74" s="51" t="inlineStr">
        <is>
          <t>11300</t>
        </is>
      </c>
      <c r="K74" s="51" t="n"/>
      <c r="L74" s="51" t="inlineStr">
        <is>
          <t>Y</t>
        </is>
      </c>
      <c r="M74" s="51" t="inlineStr">
        <is>
          <t>Migrated from FY27 Revenue Tracker v2 - confirm type/sign</t>
        </is>
      </c>
    </row>
    <row r="75" ht="15" customHeight="1">
      <c r="A75" s="56" t="n">
        <v>46265</v>
      </c>
      <c r="B75" s="51" t="inlineStr">
        <is>
          <t>26072102</t>
        </is>
      </c>
      <c r="C75" s="50">
        <f>IF(B75="","",IF(COUNTIF(lst_Jobs,B75&amp;"")&gt;0,"OK","CHECK"))</f>
        <v/>
      </c>
      <c r="D75" s="51" t="inlineStr">
        <is>
          <t>Ventia</t>
        </is>
      </c>
      <c r="E75" s="51" t="n"/>
      <c r="F75" s="51" t="inlineStr">
        <is>
          <t>Ventia - RUOK? Day - 10.09.2026 [PRD] pre-prd labour</t>
        </is>
      </c>
      <c r="G75" s="51" t="inlineStr">
        <is>
          <t>Accrual - unbilled work</t>
        </is>
      </c>
      <c r="H75" s="51" t="n"/>
      <c r="I75" s="52" t="n">
        <v>585</v>
      </c>
      <c r="J75" s="51" t="inlineStr">
        <is>
          <t>11300</t>
        </is>
      </c>
      <c r="K75" s="51" t="n"/>
      <c r="L75" s="51" t="inlineStr">
        <is>
          <t>Y</t>
        </is>
      </c>
      <c r="M75" s="51" t="inlineStr">
        <is>
          <t>Migrated from FY27 Revenue Tracker v2 - confirm type/sign</t>
        </is>
      </c>
    </row>
    <row r="76" ht="15" customHeight="1">
      <c r="A76" s="56" t="n">
        <v>46265</v>
      </c>
      <c r="B76" s="51" t="inlineStr">
        <is>
          <t>26082502</t>
        </is>
      </c>
      <c r="C76" s="50">
        <f>IF(B76="","",IF(COUNTIF(lst_Jobs,B76&amp;"")&gt;0,"OK","CHECK"))</f>
        <v/>
      </c>
      <c r="D76" s="51" t="inlineStr">
        <is>
          <t>ICC</t>
        </is>
      </c>
      <c r="E76" s="51" t="n"/>
      <c r="F76" s="51" t="inlineStr">
        <is>
          <t>ICC - Presenter &amp; Speaker Preparation - September 2026 [PRD] pre-prod labour</t>
        </is>
      </c>
      <c r="G76" s="51" t="inlineStr">
        <is>
          <t>Accrual - unbilled work</t>
        </is>
      </c>
      <c r="H76" s="51" t="n"/>
      <c r="I76" s="52" t="n">
        <v>292.5</v>
      </c>
      <c r="J76" s="51" t="inlineStr">
        <is>
          <t>11300</t>
        </is>
      </c>
      <c r="K76" s="51" t="n"/>
      <c r="L76" s="51" t="inlineStr">
        <is>
          <t>Y</t>
        </is>
      </c>
      <c r="M76" s="51" t="inlineStr">
        <is>
          <t>Migrated from FY27 Revenue Tracker v2 - confirm type/sign</t>
        </is>
      </c>
    </row>
    <row r="77" ht="15" customHeight="1">
      <c r="A77" s="56" t="n">
        <v>46265</v>
      </c>
      <c r="B77" s="51" t="inlineStr">
        <is>
          <t>26032302</t>
        </is>
      </c>
      <c r="C77" s="50">
        <f>IF(B77="","",IF(COUNTIF(lst_Jobs,B77&amp;"")&gt;0,"OK","CHECK"))</f>
        <v/>
      </c>
      <c r="D77" s="51" t="inlineStr">
        <is>
          <t>RSNSW</t>
        </is>
      </c>
      <c r="E77" s="51" t="n"/>
      <c r="F77" s="51" t="inlineStr">
        <is>
          <t>RSNSW - OGM - 2.9.2026 [PRD] pre-prod labour</t>
        </is>
      </c>
      <c r="G77" s="51" t="inlineStr">
        <is>
          <t>Accrual - unbilled work</t>
        </is>
      </c>
      <c r="H77" s="51" t="n"/>
      <c r="I77" s="52" t="n">
        <v>260</v>
      </c>
      <c r="J77" s="51" t="inlineStr">
        <is>
          <t>11300</t>
        </is>
      </c>
      <c r="K77" s="51" t="n"/>
      <c r="L77" s="51" t="inlineStr">
        <is>
          <t>Y</t>
        </is>
      </c>
      <c r="M77" s="51" t="inlineStr">
        <is>
          <t>Migrated from FY27 Revenue Tracker v2 - confirm type/sign</t>
        </is>
      </c>
    </row>
    <row r="78" ht="15" customHeight="1">
      <c r="A78" s="56" t="n">
        <v>46265</v>
      </c>
      <c r="B78" s="51" t="inlineStr">
        <is>
          <t>26061602V</t>
        </is>
      </c>
      <c r="C78" s="50">
        <f>IF(B78="","",IF(COUNTIF(lst_Jobs,B78&amp;"")&gt;0,"OK","CHECK"))</f>
        <v/>
      </c>
      <c r="D78" s="51" t="inlineStr">
        <is>
          <t>ASX</t>
        </is>
      </c>
      <c r="E78" s="51" t="n"/>
      <c r="F78" s="51" t="inlineStr">
        <is>
          <t>ASX CEO Connect (Extended Results) 1.9.26 [VID] pre-vid labour</t>
        </is>
      </c>
      <c r="G78" s="51" t="inlineStr">
        <is>
          <t>Accrual - unbilled work</t>
        </is>
      </c>
      <c r="H78" s="51" t="n"/>
      <c r="I78" s="52" t="n">
        <v>190</v>
      </c>
      <c r="J78" s="51" t="inlineStr">
        <is>
          <t>11300</t>
        </is>
      </c>
      <c r="K78" s="51" t="n"/>
      <c r="L78" s="51" t="inlineStr">
        <is>
          <t>Y</t>
        </is>
      </c>
      <c r="M78" s="51" t="inlineStr">
        <is>
          <t>Migrated from FY27 Revenue Tracker v2 - confirm type/sign</t>
        </is>
      </c>
    </row>
    <row r="79" ht="15" customHeight="1">
      <c r="A79" s="56" t="n">
        <v>46265</v>
      </c>
      <c r="B79" s="51" t="inlineStr">
        <is>
          <t>2591012C</t>
        </is>
      </c>
      <c r="C79" s="50">
        <f>IF(B79="","",IF(COUNTIF(lst_Jobs,B79&amp;"")&gt;0,"OK","CHECK"))</f>
        <v/>
      </c>
      <c r="D79" s="51" t="inlineStr">
        <is>
          <t>St Luke</t>
        </is>
      </c>
      <c r="E79" s="51" t="n"/>
      <c r="F79" s="51" t="inlineStr">
        <is>
          <t>St Luke Equipment Sale | DL to advise to invoice in SEPT26 | Indicative Revenue</t>
        </is>
      </c>
      <c r="G79" s="51" t="inlineStr">
        <is>
          <t>Deferral - invoiced in advance</t>
        </is>
      </c>
      <c r="H79" s="51" t="n"/>
      <c r="I79" s="52" t="n">
        <v>-4227.27</v>
      </c>
      <c r="J79" s="51" t="inlineStr">
        <is>
          <t>11300</t>
        </is>
      </c>
      <c r="K79" s="51" t="n"/>
      <c r="L79" s="51" t="inlineStr">
        <is>
          <t>Y</t>
        </is>
      </c>
      <c r="M79" s="51" t="inlineStr">
        <is>
          <t>Migrated from FY27 Revenue Tracker v2 - confirm type/sign</t>
        </is>
      </c>
    </row>
    <row r="80" ht="15" customHeight="1">
      <c r="A80" s="56" t="n">
        <v>46265</v>
      </c>
      <c r="B80" s="51" t="inlineStr">
        <is>
          <t>26061108</t>
        </is>
      </c>
      <c r="C80" s="50">
        <f>IF(B80="","",IF(COUNTIF(lst_Jobs,B80&amp;"")&gt;0,"OK","CHECK"))</f>
        <v/>
      </c>
      <c r="D80" s="51" t="inlineStr">
        <is>
          <t>APA</t>
        </is>
      </c>
      <c r="E80" s="51" t="inlineStr">
        <is>
          <t>PRODUCTION</t>
        </is>
      </c>
      <c r="F80" s="51" t="inlineStr">
        <is>
          <t>APA FYR All Hands August 2026 Package - Prd Equipment Hire (Revenue) INV-10521</t>
        </is>
      </c>
      <c r="G80" s="51" t="inlineStr">
        <is>
          <t>Accrual - unbilled work</t>
        </is>
      </c>
      <c r="H80" s="51" t="n"/>
      <c r="I80" s="52" t="n">
        <v>5413.6</v>
      </c>
      <c r="J80" s="51" t="inlineStr">
        <is>
          <t>11300</t>
        </is>
      </c>
      <c r="K80" s="51" t="n"/>
      <c r="L80" s="51" t="inlineStr">
        <is>
          <t>Y</t>
        </is>
      </c>
      <c r="M80" s="51" t="inlineStr">
        <is>
          <t>Migrated from FY27 Revenue Tracker v2 - confirm type/sign</t>
        </is>
      </c>
    </row>
    <row r="81" ht="15" customHeight="1">
      <c r="A81" s="56" t="n">
        <v>46265</v>
      </c>
      <c r="B81" s="51" t="inlineStr">
        <is>
          <t xml:space="preserve">26061108V </t>
        </is>
      </c>
      <c r="C81" s="50">
        <f>IF(B81="","",IF(COUNTIF(lst_Jobs,B81&amp;"")&gt;0,"OK","CHECK"))</f>
        <v/>
      </c>
      <c r="D81" s="51" t="inlineStr">
        <is>
          <t>APA</t>
        </is>
      </c>
      <c r="E81" s="51" t="inlineStr">
        <is>
          <t>VIDEO</t>
        </is>
      </c>
      <c r="F81" s="51" t="inlineStr">
        <is>
          <t>APA FYR All Hands August 2026 Package - Vid Equipment Hire (Revenue) INV-10521</t>
        </is>
      </c>
      <c r="G81" s="51" t="inlineStr">
        <is>
          <t>Accrual - unbilled work</t>
        </is>
      </c>
      <c r="H81" s="51" t="n"/>
      <c r="I81" s="52" t="n">
        <v>592</v>
      </c>
      <c r="J81" s="51" t="inlineStr">
        <is>
          <t>11300</t>
        </is>
      </c>
      <c r="K81" s="51" t="n"/>
      <c r="L81" s="51" t="inlineStr">
        <is>
          <t>Y</t>
        </is>
      </c>
      <c r="M81" s="51" t="inlineStr">
        <is>
          <t>Migrated from FY27 Revenue Tracker v2 - confirm type/sign</t>
        </is>
      </c>
    </row>
    <row r="82" ht="15" customHeight="1">
      <c r="A82" s="56" t="n">
        <v>46265</v>
      </c>
      <c r="B82" s="51" t="inlineStr">
        <is>
          <t>26061108</t>
        </is>
      </c>
      <c r="C82" s="50">
        <f>IF(B82="","",IF(COUNTIF(lst_Jobs,B82&amp;"")&gt;0,"OK","CHECK"))</f>
        <v/>
      </c>
      <c r="D82" s="51" t="inlineStr">
        <is>
          <t>APA</t>
        </is>
      </c>
      <c r="E82" s="51" t="inlineStr">
        <is>
          <t>PRODUCTION</t>
        </is>
      </c>
      <c r="F82" s="51" t="inlineStr">
        <is>
          <t>APA FYR All Hands August 2026 Package - Prd Labour (Revenue) INV-10521</t>
        </is>
      </c>
      <c r="G82" s="51" t="inlineStr">
        <is>
          <t>Accrual - unbilled work</t>
        </is>
      </c>
      <c r="H82" s="51" t="n"/>
      <c r="I82" s="52" t="n">
        <v>4520</v>
      </c>
      <c r="J82" s="51" t="inlineStr">
        <is>
          <t>11300</t>
        </is>
      </c>
      <c r="K82" s="51" t="n"/>
      <c r="L82" s="51" t="inlineStr">
        <is>
          <t>Y</t>
        </is>
      </c>
      <c r="M82" s="51" t="inlineStr">
        <is>
          <t>Migrated from FY27 Revenue Tracker v2 - confirm type/sign</t>
        </is>
      </c>
    </row>
    <row r="83" ht="15" customHeight="1">
      <c r="A83" s="56" t="n">
        <v>46265</v>
      </c>
      <c r="B83" s="51" t="inlineStr">
        <is>
          <t xml:space="preserve">26061108V </t>
        </is>
      </c>
      <c r="C83" s="50">
        <f>IF(B83="","",IF(COUNTIF(lst_Jobs,B83&amp;"")&gt;0,"OK","CHECK"))</f>
        <v/>
      </c>
      <c r="D83" s="51" t="inlineStr">
        <is>
          <t>APA</t>
        </is>
      </c>
      <c r="E83" s="51" t="inlineStr">
        <is>
          <t>VIDEO</t>
        </is>
      </c>
      <c r="F83" s="51" t="inlineStr">
        <is>
          <t>APA FYR All Hands August 2026 Package - Vid Labour (Revenue) INV-10521</t>
        </is>
      </c>
      <c r="G83" s="51" t="inlineStr">
        <is>
          <t>Accrual - unbilled work</t>
        </is>
      </c>
      <c r="H83" s="51" t="n"/>
      <c r="I83" s="52" t="n">
        <v>485</v>
      </c>
      <c r="J83" s="51" t="inlineStr">
        <is>
          <t>11300</t>
        </is>
      </c>
      <c r="K83" s="51" t="n"/>
      <c r="L83" s="51" t="inlineStr">
        <is>
          <t>Y</t>
        </is>
      </c>
      <c r="M83" s="51" t="inlineStr">
        <is>
          <t>Migrated from FY27 Revenue Tracker v2 - confirm type/sign</t>
        </is>
      </c>
    </row>
    <row r="84" ht="15" customHeight="1">
      <c r="A84" s="56" t="n">
        <v>46265</v>
      </c>
      <c r="B84" s="51" t="inlineStr">
        <is>
          <t>26061108</t>
        </is>
      </c>
      <c r="C84" s="50">
        <f>IF(B84="","",IF(COUNTIF(lst_Jobs,B84&amp;"")&gt;0,"OK","CHECK"))</f>
        <v/>
      </c>
      <c r="D84" s="51" t="inlineStr">
        <is>
          <t>APA</t>
        </is>
      </c>
      <c r="E84" s="51" t="inlineStr">
        <is>
          <t>PRODUCTION</t>
        </is>
      </c>
      <c r="F84" s="51" t="inlineStr">
        <is>
          <t>APA FYR All Hands August 2026 Package - Conf Call (Revenue) INV-10521</t>
        </is>
      </c>
      <c r="G84" s="51" t="inlineStr">
        <is>
          <t>Accrual - unbilled work</t>
        </is>
      </c>
      <c r="H84" s="51" t="n"/>
      <c r="I84" s="52" t="n">
        <v>600</v>
      </c>
      <c r="J84" s="51" t="inlineStr">
        <is>
          <t>11300</t>
        </is>
      </c>
      <c r="K84" s="51" t="n"/>
      <c r="L84" s="51" t="inlineStr">
        <is>
          <t>Y</t>
        </is>
      </c>
      <c r="M84" s="51" t="inlineStr">
        <is>
          <t>Migrated from FY27 Revenue Tracker v2 - confirm type/sign</t>
        </is>
      </c>
    </row>
    <row r="85" ht="15" customHeight="1">
      <c r="A85" s="56" t="n">
        <v>46265</v>
      </c>
      <c r="B85" s="51" t="inlineStr">
        <is>
          <t>26061108</t>
        </is>
      </c>
      <c r="C85" s="50">
        <f>IF(B85="","",IF(COUNTIF(lst_Jobs,B85&amp;"")&gt;0,"OK","CHECK"))</f>
        <v/>
      </c>
      <c r="D85" s="51" t="inlineStr">
        <is>
          <t>APA</t>
        </is>
      </c>
      <c r="E85" s="51" t="inlineStr">
        <is>
          <t>PRODUCTION</t>
        </is>
      </c>
      <c r="F85" s="51" t="inlineStr">
        <is>
          <t>APA FYR All Hands August 2026 Package - Transport (Revenue) INV-10521</t>
        </is>
      </c>
      <c r="G85" s="51" t="inlineStr">
        <is>
          <t>Accrual - unbilled work</t>
        </is>
      </c>
      <c r="H85" s="51" t="n"/>
      <c r="I85" s="52" t="n">
        <v>300</v>
      </c>
      <c r="J85" s="51" t="inlineStr">
        <is>
          <t>11300</t>
        </is>
      </c>
      <c r="K85" s="51" t="n"/>
      <c r="L85" s="51" t="inlineStr">
        <is>
          <t>Y</t>
        </is>
      </c>
      <c r="M85" s="51" t="inlineStr">
        <is>
          <t>Migrated from FY27 Revenue Tracker v2 - confirm type/sign</t>
        </is>
      </c>
    </row>
    <row r="86" ht="15" customHeight="1">
      <c r="A86" s="56" t="n">
        <v>46265</v>
      </c>
      <c r="B86" s="51" t="inlineStr">
        <is>
          <t>26061108</t>
        </is>
      </c>
      <c r="C86" s="50">
        <f>IF(B86="","",IF(COUNTIF(lst_Jobs,B86&amp;"")&gt;0,"OK","CHECK"))</f>
        <v/>
      </c>
      <c r="D86" s="51" t="inlineStr">
        <is>
          <t>APA</t>
        </is>
      </c>
      <c r="E86" s="51" t="inlineStr">
        <is>
          <t>PRODUCTION</t>
        </is>
      </c>
      <c r="F86" s="51" t="inlineStr">
        <is>
          <t>APA FYR All Hands August 2026 Package - Tech  Event Mgmt (Revenue) INV-10521</t>
        </is>
      </c>
      <c r="G86" s="51" t="inlineStr">
        <is>
          <t>Accrual - unbilled work</t>
        </is>
      </c>
      <c r="H86" s="51" t="n"/>
      <c r="I86" s="52" t="n">
        <v>690</v>
      </c>
      <c r="J86" s="51" t="inlineStr">
        <is>
          <t>11300</t>
        </is>
      </c>
      <c r="K86" s="51" t="n"/>
      <c r="L86" s="51" t="inlineStr">
        <is>
          <t>Y</t>
        </is>
      </c>
      <c r="M86" s="51" t="inlineStr">
        <is>
          <t>Migrated from FY27 Revenue Tracker v2 - confirm type/sign</t>
        </is>
      </c>
    </row>
    <row r="87" ht="15" customHeight="1">
      <c r="A87" s="56" t="n">
        <v>46265</v>
      </c>
      <c r="B87" s="51" t="inlineStr">
        <is>
          <t xml:space="preserve">2605402 </t>
        </is>
      </c>
      <c r="C87" s="50">
        <f>IF(B87="","",IF(COUNTIF(lst_Jobs,B87&amp;"")&gt;0,"OK","CHECK"))</f>
        <v/>
      </c>
      <c r="D87" s="51" t="inlineStr">
        <is>
          <t>AGL</t>
        </is>
      </c>
      <c r="E87" s="51" t="inlineStr">
        <is>
          <t>PRODUCTION</t>
        </is>
      </c>
      <c r="F87" s="51" t="inlineStr">
        <is>
          <t>AGL FYR - Employee Town Hall [PRD] pre-prod work</t>
        </is>
      </c>
      <c r="G87" s="51" t="inlineStr">
        <is>
          <t>Deferral - invoiced in advance</t>
        </is>
      </c>
      <c r="H87" s="51" t="n"/>
      <c r="I87" s="52" t="n">
        <v>-1322.5</v>
      </c>
      <c r="J87" s="51" t="inlineStr">
        <is>
          <t>11300</t>
        </is>
      </c>
      <c r="K87" s="51" t="n"/>
      <c r="L87" s="51" t="inlineStr">
        <is>
          <t>Y</t>
        </is>
      </c>
      <c r="M87" s="51" t="inlineStr">
        <is>
          <t>Migrated from FY27 Revenue Tracker v2 - confirm type/sign</t>
        </is>
      </c>
    </row>
    <row r="88" ht="15" customHeight="1">
      <c r="A88" s="56" t="n">
        <v>46265</v>
      </c>
      <c r="B88" s="51" t="inlineStr">
        <is>
          <t xml:space="preserve">26061105 </t>
        </is>
      </c>
      <c r="C88" s="50">
        <f>IF(B88="","",IF(COUNTIF(lst_Jobs,B88&amp;"")&gt;0,"OK","CHECK"))</f>
        <v/>
      </c>
      <c r="D88" s="51" t="inlineStr">
        <is>
          <t>CBA</t>
        </is>
      </c>
      <c r="E88" s="51" t="inlineStr">
        <is>
          <t>PRODUCTION</t>
        </is>
      </c>
      <c r="F88" s="51" t="inlineStr">
        <is>
          <t>CBA - FYR 2026 - 12.8.26 [PRD] pre-prod work</t>
        </is>
      </c>
      <c r="G88" s="51" t="inlineStr">
        <is>
          <t>Deferral - invoiced in advance</t>
        </is>
      </c>
      <c r="H88" s="51" t="n"/>
      <c r="I88" s="52" t="n">
        <v>-417.5</v>
      </c>
      <c r="J88" s="51" t="inlineStr">
        <is>
          <t>11300</t>
        </is>
      </c>
      <c r="K88" s="51" t="n"/>
      <c r="L88" s="51" t="inlineStr">
        <is>
          <t>Y</t>
        </is>
      </c>
      <c r="M88" s="51" t="inlineStr">
        <is>
          <t>Migrated from FY27 Revenue Tracker v2 - confirm type/sign</t>
        </is>
      </c>
    </row>
    <row r="89" ht="15" customHeight="1">
      <c r="A89" s="56" t="n">
        <v>46265</v>
      </c>
      <c r="B89" s="51" t="inlineStr">
        <is>
          <t xml:space="preserve">2606903 </t>
        </is>
      </c>
      <c r="C89" s="50">
        <f>IF(B89="","",IF(COUNTIF(lst_Jobs,B89&amp;"")&gt;0,"OK","CHECK"))</f>
        <v/>
      </c>
      <c r="D89" s="51" t="inlineStr">
        <is>
          <t>Virgin</t>
        </is>
      </c>
      <c r="E89" s="51" t="inlineStr">
        <is>
          <t>PRODUCTION</t>
        </is>
      </c>
      <c r="F89" s="51" t="inlineStr">
        <is>
          <t>Virgin FY26 Results [PRD] pre-prod work</t>
        </is>
      </c>
      <c r="G89" s="51" t="inlineStr">
        <is>
          <t>Deferral - invoiced in advance</t>
        </is>
      </c>
      <c r="H89" s="51" t="n"/>
      <c r="I89" s="52" t="n">
        <v>-57.5</v>
      </c>
      <c r="J89" s="51" t="inlineStr">
        <is>
          <t>11300</t>
        </is>
      </c>
      <c r="K89" s="51" t="n"/>
      <c r="L89" s="51" t="inlineStr">
        <is>
          <t>Y</t>
        </is>
      </c>
      <c r="M89" s="51" t="inlineStr">
        <is>
          <t>Migrated from FY27 Revenue Tracker v2 - confirm type/sign</t>
        </is>
      </c>
    </row>
    <row r="90" ht="15" customHeight="1">
      <c r="A90" s="56" t="n">
        <v>46265</v>
      </c>
      <c r="B90" s="51" t="inlineStr">
        <is>
          <t xml:space="preserve">26061109 </t>
        </is>
      </c>
      <c r="C90" s="50">
        <f>IF(B90="","",IF(COUNTIF(lst_Jobs,B90&amp;"")&gt;0,"OK","CHECK"))</f>
        <v/>
      </c>
      <c r="D90" s="51" t="inlineStr">
        <is>
          <t>Ventia</t>
        </is>
      </c>
      <c r="E90" s="51" t="inlineStr">
        <is>
          <t>PRODUCTION</t>
        </is>
      </c>
      <c r="F90" s="51" t="inlineStr">
        <is>
          <t>Ventia - FYR26 - 24.8.26 [PRD] pre-prod work</t>
        </is>
      </c>
      <c r="G90" s="51" t="inlineStr">
        <is>
          <t>Deferral - invoiced in advance</t>
        </is>
      </c>
      <c r="H90" s="51" t="n"/>
      <c r="I90" s="52" t="n">
        <v>-862.5</v>
      </c>
      <c r="J90" s="51" t="inlineStr">
        <is>
          <t>11300</t>
        </is>
      </c>
      <c r="K90" s="51" t="n"/>
      <c r="L90" s="51" t="inlineStr">
        <is>
          <t>Y</t>
        </is>
      </c>
      <c r="M90" s="51" t="inlineStr">
        <is>
          <t>Migrated from FY27 Revenue Tracker v2 - confirm type/sign</t>
        </is>
      </c>
    </row>
    <row r="91" ht="15" customHeight="1">
      <c r="A91" s="56" t="n">
        <v>46265</v>
      </c>
      <c r="B91" s="51" t="inlineStr">
        <is>
          <t xml:space="preserve">26061107 </t>
        </is>
      </c>
      <c r="C91" s="50">
        <f>IF(B91="","",IF(COUNTIF(lst_Jobs,B91&amp;"")&gt;0,"OK","CHECK"))</f>
        <v/>
      </c>
      <c r="D91" s="51" t="inlineStr">
        <is>
          <t>Downer</t>
        </is>
      </c>
      <c r="E91" s="51" t="inlineStr">
        <is>
          <t>PRODUCTION</t>
        </is>
      </c>
      <c r="F91" s="51" t="inlineStr">
        <is>
          <t>Downer - FYR 2026 - 19.8.26 [PRD] pre-prod work</t>
        </is>
      </c>
      <c r="G91" s="51" t="inlineStr">
        <is>
          <t>Deferral - invoiced in advance</t>
        </is>
      </c>
      <c r="H91" s="51" t="n"/>
      <c r="I91" s="52" t="n">
        <v>-115</v>
      </c>
      <c r="J91" s="51" t="inlineStr">
        <is>
          <t>11300</t>
        </is>
      </c>
      <c r="K91" s="51" t="n"/>
      <c r="L91" s="51" t="inlineStr">
        <is>
          <t>Y</t>
        </is>
      </c>
      <c r="M91" s="51" t="inlineStr">
        <is>
          <t>Migrated from FY27 Revenue Tracker v2 - confirm type/sign</t>
        </is>
      </c>
    </row>
    <row r="92" ht="15" customHeight="1">
      <c r="A92" s="56" t="n">
        <v>46265</v>
      </c>
      <c r="B92" s="51" t="inlineStr">
        <is>
          <t>2603104</t>
        </is>
      </c>
      <c r="C92" s="50">
        <f>IF(B92="","",IF(COUNTIF(lst_Jobs,B92&amp;"")&gt;0,"OK","CHECK"))</f>
        <v/>
      </c>
      <c r="D92" s="51" t="inlineStr">
        <is>
          <t>Cochlear</t>
        </is>
      </c>
      <c r="E92" s="51" t="inlineStr">
        <is>
          <t>PRODUCTION</t>
        </is>
      </c>
      <c r="F92" s="51" t="inlineStr">
        <is>
          <t>Cochlear FY26 Results 18.8.26 [PRD] pre-prod work</t>
        </is>
      </c>
      <c r="G92" s="51" t="inlineStr">
        <is>
          <t>Deferral - invoiced in advance</t>
        </is>
      </c>
      <c r="H92" s="51" t="n"/>
      <c r="I92" s="52" t="n">
        <v>-172.5</v>
      </c>
      <c r="J92" s="51" t="inlineStr">
        <is>
          <t>11300</t>
        </is>
      </c>
      <c r="K92" s="51" t="n"/>
      <c r="L92" s="51" t="inlineStr">
        <is>
          <t>Y</t>
        </is>
      </c>
      <c r="M92" s="51" t="inlineStr">
        <is>
          <t>Migrated from FY27 Revenue Tracker v2 - confirm type/sign</t>
        </is>
      </c>
    </row>
    <row r="93" ht="15" customHeight="1">
      <c r="A93" s="56" t="n">
        <v>46265</v>
      </c>
      <c r="B93" s="51" t="inlineStr">
        <is>
          <t>2512804</t>
        </is>
      </c>
      <c r="C93" s="50">
        <f>IF(B93="","",IF(COUNTIF(lst_Jobs,B93&amp;"")&gt;0,"OK","CHECK"))</f>
        <v/>
      </c>
      <c r="D93" s="51" t="inlineStr">
        <is>
          <t>RSNSW</t>
        </is>
      </c>
      <c r="E93" s="51" t="inlineStr">
        <is>
          <t>PRODUCTION</t>
        </is>
      </c>
      <c r="F93" s="51" t="inlineStr">
        <is>
          <t>RSNSW Ordinary General Meeting 5.8.26 [PRD] pre-prod work</t>
        </is>
      </c>
      <c r="G93" s="51" t="inlineStr">
        <is>
          <t>Deferral - invoiced in advance</t>
        </is>
      </c>
      <c r="H93" s="51" t="n"/>
      <c r="I93" s="52" t="n">
        <v>-115</v>
      </c>
      <c r="J93" s="51" t="inlineStr">
        <is>
          <t>11300</t>
        </is>
      </c>
      <c r="K93" s="51" t="n"/>
      <c r="L93" s="51" t="inlineStr">
        <is>
          <t>Y</t>
        </is>
      </c>
      <c r="M93" s="51" t="inlineStr">
        <is>
          <t>Migrated from FY27 Revenue Tracker v2 - confirm type/sign</t>
        </is>
      </c>
    </row>
    <row r="94" ht="15" customHeight="1">
      <c r="A94" s="56" t="n">
        <v>46265</v>
      </c>
      <c r="B94" s="51" t="inlineStr">
        <is>
          <t>26061108</t>
        </is>
      </c>
      <c r="C94" s="50">
        <f>IF(B94="","",IF(COUNTIF(lst_Jobs,B94&amp;"")&gt;0,"OK","CHECK"))</f>
        <v/>
      </c>
      <c r="D94" s="51" t="inlineStr">
        <is>
          <t>APA</t>
        </is>
      </c>
      <c r="E94" s="51" t="inlineStr">
        <is>
          <t>PRODUCTION</t>
        </is>
      </c>
      <c r="F94" s="51" t="inlineStr">
        <is>
          <t>APA - Qtly All Hands FYR26 - 20.8.26 [PRD] pre-prod work</t>
        </is>
      </c>
      <c r="G94" s="51" t="inlineStr">
        <is>
          <t>Deferral - invoiced in advance</t>
        </is>
      </c>
      <c r="H94" s="51" t="n"/>
      <c r="I94" s="52" t="n">
        <v>-172.5</v>
      </c>
      <c r="J94" s="51" t="inlineStr">
        <is>
          <t>11300</t>
        </is>
      </c>
      <c r="K94" s="51" t="n"/>
      <c r="L94" s="51" t="inlineStr">
        <is>
          <t>Y</t>
        </is>
      </c>
      <c r="M94" s="51" t="inlineStr">
        <is>
          <t>Migrated from FY27 Revenue Tracker v2 - confirm type/sign</t>
        </is>
      </c>
    </row>
    <row r="95" ht="15" customHeight="1">
      <c r="A95" s="56" t="n">
        <v>46265</v>
      </c>
      <c r="B95" s="51" t="inlineStr">
        <is>
          <t>2606101</t>
        </is>
      </c>
      <c r="C95" s="50">
        <f>IF(B95="","",IF(COUNTIF(lst_Jobs,B95&amp;"")&gt;0,"OK","CHECK"))</f>
        <v/>
      </c>
      <c r="D95" s="51" t="inlineStr">
        <is>
          <t>APA</t>
        </is>
      </c>
      <c r="E95" s="51" t="inlineStr">
        <is>
          <t>INTEGRATION</t>
        </is>
      </c>
      <c r="F95" s="51" t="inlineStr">
        <is>
          <t>APA | Young Eptura Proxyclick Licence Renewal Mar27-Feb28 INV-10548 (Revenue)</t>
        </is>
      </c>
      <c r="G95" s="51" t="inlineStr">
        <is>
          <t>Accrual - unbilled work</t>
        </is>
      </c>
      <c r="H95" s="51" t="n"/>
      <c r="I95" s="52" t="n">
        <v>0</v>
      </c>
      <c r="J95" s="51" t="inlineStr">
        <is>
          <t>11300</t>
        </is>
      </c>
      <c r="K95" s="51" t="n"/>
      <c r="L95" s="51" t="inlineStr">
        <is>
          <t>Y</t>
        </is>
      </c>
      <c r="M95" s="51" t="inlineStr">
        <is>
          <t>Migrated from FY27 Revenue Tracker v2 - confirm type/sign</t>
        </is>
      </c>
    </row>
    <row r="96" ht="15" customHeight="1">
      <c r="A96" s="56" t="n">
        <v>46265</v>
      </c>
      <c r="B96" s="51" t="inlineStr">
        <is>
          <t>3028</t>
        </is>
      </c>
      <c r="C96" s="50">
        <f>IF(B96="","",IF(COUNTIF(lst_Jobs,B96&amp;"")&gt;0,"OK","CHECK"))</f>
        <v/>
      </c>
      <c r="D96" s="51" t="inlineStr">
        <is>
          <t>APA</t>
        </is>
      </c>
      <c r="E96" s="51" t="inlineStr">
        <is>
          <t>INTEGRATION</t>
        </is>
      </c>
      <c r="F96" s="51" t="inlineStr">
        <is>
          <t>APA Kidman Proxyclick Term 3 Jun26-Dec26 INV-10477 (Revenue)</t>
        </is>
      </c>
      <c r="G96" s="51" t="inlineStr">
        <is>
          <t>Accrual - unbilled work</t>
        </is>
      </c>
      <c r="H96" s="51" t="n"/>
      <c r="I96" s="52" t="n">
        <v>996.74</v>
      </c>
      <c r="J96" s="51" t="inlineStr">
        <is>
          <t>11300</t>
        </is>
      </c>
      <c r="K96" s="51" t="n"/>
      <c r="L96" s="51" t="inlineStr">
        <is>
          <t>Y</t>
        </is>
      </c>
      <c r="M96" s="51" t="inlineStr">
        <is>
          <t>Migrated from FY27 Revenue Tracker v2 - confirm type/sign</t>
        </is>
      </c>
    </row>
    <row r="97" ht="15" customHeight="1">
      <c r="A97" s="56" t="n">
        <v>46265</v>
      </c>
      <c r="B97" s="51" t="inlineStr">
        <is>
          <t>2855</t>
        </is>
      </c>
      <c r="C97" s="50">
        <f>IF(B97="","",IF(COUNTIF(lst_Jobs,B97&amp;"")&gt;0,"OK","CHECK"))</f>
        <v/>
      </c>
      <c r="D97" s="51" t="inlineStr">
        <is>
          <t>APA</t>
        </is>
      </c>
      <c r="E97" s="51" t="inlineStr">
        <is>
          <t>INTEGRATION</t>
        </is>
      </c>
      <c r="F97" s="51" t="inlineStr">
        <is>
          <t>APA Melbourne Proxyclick Jul26-Jun27 INV-10501(Revenue)</t>
        </is>
      </c>
      <c r="G97" s="51" t="inlineStr">
        <is>
          <t>Accrual - unbilled work</t>
        </is>
      </c>
      <c r="H97" s="51" t="n"/>
      <c r="I97" s="52" t="n">
        <v>1357.33</v>
      </c>
      <c r="J97" s="51" t="inlineStr">
        <is>
          <t>11300</t>
        </is>
      </c>
      <c r="K97" s="51" t="n"/>
      <c r="L97" s="51" t="inlineStr">
        <is>
          <t>Y</t>
        </is>
      </c>
      <c r="M97" s="51" t="inlineStr">
        <is>
          <t>Migrated from FY27 Revenue Tracker v2 - confirm type/sign</t>
        </is>
      </c>
    </row>
    <row r="98" ht="15" customHeight="1">
      <c r="A98" s="56" t="n">
        <v>46265</v>
      </c>
      <c r="B98" s="51" t="inlineStr">
        <is>
          <t>2857</t>
        </is>
      </c>
      <c r="C98" s="50">
        <f>IF(B98="","",IF(COUNTIF(lst_Jobs,B98&amp;"")&gt;0,"OK","CHECK"))</f>
        <v/>
      </c>
      <c r="D98" s="51" t="inlineStr">
        <is>
          <t>APA</t>
        </is>
      </c>
      <c r="E98" s="51" t="inlineStr">
        <is>
          <t>INTEGRATION</t>
        </is>
      </c>
      <c r="F98" s="51" t="inlineStr">
        <is>
          <t>APA Sydney Proxyclick Jul26-Jun27 INV-10502(Revenue)</t>
        </is>
      </c>
      <c r="G98" s="51" t="inlineStr">
        <is>
          <t>Accrual - unbilled work</t>
        </is>
      </c>
      <c r="H98" s="51" t="n"/>
      <c r="I98" s="52" t="n">
        <v>1357.33</v>
      </c>
      <c r="J98" s="51" t="inlineStr">
        <is>
          <t>11300</t>
        </is>
      </c>
      <c r="K98" s="51" t="n"/>
      <c r="L98" s="51" t="inlineStr">
        <is>
          <t>Y</t>
        </is>
      </c>
      <c r="M98" s="51" t="inlineStr">
        <is>
          <t>Migrated from FY27 Revenue Tracker v2 - confirm type/sign</t>
        </is>
      </c>
    </row>
    <row r="99" ht="15" customHeight="1">
      <c r="A99" s="56" t="n">
        <v>46265</v>
      </c>
      <c r="B99" s="51" t="inlineStr">
        <is>
          <t>2848</t>
        </is>
      </c>
      <c r="C99" s="50">
        <f>IF(B99="","",IF(COUNTIF(lst_Jobs,B99&amp;"")&gt;0,"OK","CHECK"))</f>
        <v/>
      </c>
      <c r="D99" s="51" t="inlineStr">
        <is>
          <t>APA</t>
        </is>
      </c>
      <c r="E99" s="51" t="inlineStr">
        <is>
          <t>INTEGRATION</t>
        </is>
      </c>
      <c r="F99" s="51" t="inlineStr">
        <is>
          <t>APA Adelaide Proxyclick INV-10514 Renewal Jul26-Jun27 (Revenue)</t>
        </is>
      </c>
      <c r="G99" s="51" t="inlineStr">
        <is>
          <t>Accrual - unbilled work</t>
        </is>
      </c>
      <c r="H99" s="51" t="n"/>
      <c r="I99" s="52" t="n">
        <v>618.08</v>
      </c>
      <c r="J99" s="51" t="inlineStr">
        <is>
          <t>11300</t>
        </is>
      </c>
      <c r="K99" s="51" t="n"/>
      <c r="L99" s="51" t="inlineStr">
        <is>
          <t>Y</t>
        </is>
      </c>
      <c r="M99" s="51" t="inlineStr">
        <is>
          <t>Migrated from FY27 Revenue Tracker v2 - confirm type/sign</t>
        </is>
      </c>
    </row>
    <row r="100" ht="15" customHeight="1">
      <c r="A100" s="56" t="n">
        <v>46265</v>
      </c>
      <c r="B100" s="51" t="inlineStr">
        <is>
          <t>2604704</t>
        </is>
      </c>
      <c r="C100" s="50">
        <f>IF(B100="","",IF(COUNTIF(lst_Jobs,B100&amp;"")&gt;0,"OK","CHECK"))</f>
        <v/>
      </c>
      <c r="D100" s="51" t="inlineStr">
        <is>
          <t>Aware Super</t>
        </is>
      </c>
      <c r="E100" s="51" t="inlineStr">
        <is>
          <t>INTEGRATION</t>
        </is>
      </c>
      <c r="F100" s="51" t="inlineStr">
        <is>
          <t>Aware Super Seminar Room Audio Upgrade [INT] Revenue</t>
        </is>
      </c>
      <c r="G100" s="51" t="inlineStr">
        <is>
          <t>Accrual - unbilled work</t>
        </is>
      </c>
      <c r="H100" s="51" t="n"/>
      <c r="I100" s="52" t="n">
        <v>1361.25</v>
      </c>
      <c r="J100" s="51" t="inlineStr">
        <is>
          <t>11300</t>
        </is>
      </c>
      <c r="K100" s="51" t="n"/>
      <c r="L100" s="51" t="inlineStr">
        <is>
          <t>Y</t>
        </is>
      </c>
      <c r="M100" s="51" t="inlineStr">
        <is>
          <t>Migrated from FY27 Revenue Tracker v2 - confirm type/sign</t>
        </is>
      </c>
    </row>
    <row r="101" ht="15" customHeight="1">
      <c r="A101" s="56" t="n">
        <v>46265</v>
      </c>
      <c r="B101" s="51" t="inlineStr">
        <is>
          <t>26061105</t>
        </is>
      </c>
      <c r="C101" s="50">
        <f>IF(B101="","",IF(COUNTIF(lst_Jobs,B101&amp;"")&gt;0,"OK","CHECK"))</f>
        <v/>
      </c>
      <c r="D101" s="51" t="inlineStr">
        <is>
          <t>CBA</t>
        </is>
      </c>
      <c r="E101" s="51" t="inlineStr">
        <is>
          <t>PRODUCTION</t>
        </is>
      </c>
      <c r="F101" s="51" t="inlineStr">
        <is>
          <t>CBA - FYR 2026 - 12.8.26 [PRD] pre-prod work</t>
        </is>
      </c>
      <c r="G101" s="51" t="inlineStr">
        <is>
          <t>Deferral - invoiced in advance</t>
        </is>
      </c>
      <c r="H101" s="51" t="n"/>
      <c r="I101" s="52" t="n">
        <v>-285</v>
      </c>
      <c r="J101" s="51" t="inlineStr">
        <is>
          <t>11300</t>
        </is>
      </c>
      <c r="K101" s="51" t="n"/>
      <c r="L101" s="51" t="inlineStr">
        <is>
          <t>Y</t>
        </is>
      </c>
      <c r="M101" s="51" t="inlineStr">
        <is>
          <t>Migrated from FY27 Revenue Tracker v2 - confirm type/sign</t>
        </is>
      </c>
    </row>
    <row r="102" ht="15" customHeight="1">
      <c r="A102" s="56" t="n">
        <v>46265</v>
      </c>
      <c r="B102" s="51" t="inlineStr">
        <is>
          <t>2603104</t>
        </is>
      </c>
      <c r="C102" s="50">
        <f>IF(B102="","",IF(COUNTIF(lst_Jobs,B102&amp;"")&gt;0,"OK","CHECK"))</f>
        <v/>
      </c>
      <c r="D102" s="51" t="inlineStr">
        <is>
          <t>Cochlear</t>
        </is>
      </c>
      <c r="E102" s="51" t="inlineStr">
        <is>
          <t>PRODUCTION</t>
        </is>
      </c>
      <c r="F102" s="51" t="inlineStr">
        <is>
          <t>Cochlear FY26 Results 18.8.26 [PRD] pre-prod work</t>
        </is>
      </c>
      <c r="G102" s="51" t="inlineStr">
        <is>
          <t>Deferral - invoiced in advance</t>
        </is>
      </c>
      <c r="H102" s="51" t="n"/>
      <c r="I102" s="52" t="n">
        <v>-95</v>
      </c>
      <c r="J102" s="51" t="inlineStr">
        <is>
          <t>11300</t>
        </is>
      </c>
      <c r="K102" s="51" t="n"/>
      <c r="L102" s="51" t="inlineStr">
        <is>
          <t>Y</t>
        </is>
      </c>
      <c r="M102" s="51" t="inlineStr">
        <is>
          <t>Migrated from FY27 Revenue Tracker v2 - confirm type/sign</t>
        </is>
      </c>
    </row>
    <row r="103" ht="15" customHeight="1">
      <c r="A103" s="56" t="n">
        <v>46265</v>
      </c>
      <c r="B103" s="51" t="inlineStr">
        <is>
          <t>26052702</t>
        </is>
      </c>
      <c r="C103" s="50">
        <f>IF(B103="","",IF(COUNTIF(lst_Jobs,B103&amp;"")&gt;0,"OK","CHECK"))</f>
        <v/>
      </c>
      <c r="D103" s="51" t="inlineStr">
        <is>
          <t>ASX</t>
        </is>
      </c>
      <c r="E103" s="51" t="inlineStr">
        <is>
          <t>PRODUCTION</t>
        </is>
      </c>
      <c r="F103" s="51" t="inlineStr">
        <is>
          <t>ASX - FYR - 13.8.26 [PRD]</t>
        </is>
      </c>
      <c r="G103" s="51" t="inlineStr">
        <is>
          <t>Deferral - invoiced in advance</t>
        </is>
      </c>
      <c r="H103" s="51" t="n"/>
      <c r="I103" s="52" t="n">
        <v>-95</v>
      </c>
      <c r="J103" s="51" t="inlineStr">
        <is>
          <t>11300</t>
        </is>
      </c>
      <c r="K103" s="51" t="n"/>
      <c r="L103" s="51" t="inlineStr">
        <is>
          <t>Y</t>
        </is>
      </c>
      <c r="M103" s="51" t="inlineStr">
        <is>
          <t>Migrated from FY27 Revenue Tracker v2 - confirm type/sign</t>
        </is>
      </c>
    </row>
    <row r="104" ht="15" customHeight="1">
      <c r="A104" s="56" t="n">
        <v>46265</v>
      </c>
      <c r="B104" s="51" t="inlineStr">
        <is>
          <t>2606904</t>
        </is>
      </c>
      <c r="C104" s="50">
        <f>IF(B104="","",IF(COUNTIF(lst_Jobs,B104&amp;"")&gt;0,"OK","CHECK"))</f>
        <v/>
      </c>
      <c r="D104" s="51" t="inlineStr">
        <is>
          <t>Symal</t>
        </is>
      </c>
      <c r="E104" s="51" t="inlineStr">
        <is>
          <t>PRODUCTION</t>
        </is>
      </c>
      <c r="F104" s="51" t="inlineStr">
        <is>
          <t>Symal - FYR26 (Melb) - 24.8.26 [PRD]</t>
        </is>
      </c>
      <c r="G104" s="51" t="inlineStr">
        <is>
          <t>Deferral - invoiced in advance</t>
        </is>
      </c>
      <c r="H104" s="51" t="n"/>
      <c r="I104" s="52" t="n">
        <v>-71.25</v>
      </c>
      <c r="J104" s="51" t="inlineStr">
        <is>
          <t>11300</t>
        </is>
      </c>
      <c r="K104" s="51" t="n"/>
      <c r="L104" s="51" t="inlineStr">
        <is>
          <t>Y</t>
        </is>
      </c>
      <c r="M104" s="51" t="inlineStr">
        <is>
          <t>Migrated from FY27 Revenue Tracker v2 - confirm type/sign</t>
        </is>
      </c>
    </row>
    <row r="105" ht="15" customHeight="1">
      <c r="A105" s="56" t="n">
        <v>46265</v>
      </c>
      <c r="B105" s="51" t="inlineStr">
        <is>
          <t>3027</t>
        </is>
      </c>
      <c r="C105" s="50">
        <f>IF(B105="","",IF(COUNTIF(lst_Jobs,B105&amp;"")&gt;0,"OK","CHECK"))</f>
        <v/>
      </c>
      <c r="D105" s="51" t="inlineStr">
        <is>
          <t>NSW Property</t>
        </is>
      </c>
      <c r="E105" s="51" t="inlineStr">
        <is>
          <t>INTEGRATION</t>
        </is>
      </c>
      <c r="F105" s="51" t="inlineStr">
        <is>
          <t>NSW Property  - 231 Eliz L13 Touchdown - Condeco Desk Booking System (INV10391 Revenue)</t>
        </is>
      </c>
      <c r="G105" s="51" t="inlineStr">
        <is>
          <t>Accrual - unbilled work</t>
        </is>
      </c>
      <c r="H105" s="51" t="n"/>
      <c r="I105" s="52" t="n">
        <v>721.7</v>
      </c>
      <c r="J105" s="51" t="inlineStr">
        <is>
          <t>11300</t>
        </is>
      </c>
      <c r="K105" s="51" t="n"/>
      <c r="L105" s="51" t="inlineStr">
        <is>
          <t>Y</t>
        </is>
      </c>
      <c r="M105" s="51" t="inlineStr">
        <is>
          <t>Migrated from FY27 Revenue Tracker v2 - confirm type/sign</t>
        </is>
      </c>
    </row>
    <row r="106" ht="15" customHeight="1">
      <c r="A106" s="56" t="n">
        <v>46265</v>
      </c>
      <c r="B106" s="51" t="inlineStr">
        <is>
          <t>3027</t>
        </is>
      </c>
      <c r="C106" s="50">
        <f>IF(B106="","",IF(COUNTIF(lst_Jobs,B106&amp;"")&gt;0,"OK","CHECK"))</f>
        <v/>
      </c>
      <c r="D106" s="51" t="inlineStr">
        <is>
          <t>NSW Property</t>
        </is>
      </c>
      <c r="E106" s="51" t="inlineStr">
        <is>
          <t>INTEGRATION</t>
        </is>
      </c>
      <c r="F106" s="51" t="inlineStr">
        <is>
          <t>NSW Property - 231 Eliz Workplace L1 (INV10392 Revenue)</t>
        </is>
      </c>
      <c r="G106" s="51" t="inlineStr">
        <is>
          <t>Accrual - unbilled work</t>
        </is>
      </c>
      <c r="H106" s="51" t="n"/>
      <c r="I106" s="52" t="n">
        <v>876.35</v>
      </c>
      <c r="J106" s="51" t="inlineStr">
        <is>
          <t>11300</t>
        </is>
      </c>
      <c r="K106" s="51" t="n"/>
      <c r="L106" s="51" t="inlineStr">
        <is>
          <t>Y</t>
        </is>
      </c>
      <c r="M106" s="51" t="inlineStr">
        <is>
          <t>Migrated from FY27 Revenue Tracker v2 - confirm type/sign</t>
        </is>
      </c>
    </row>
    <row r="107" ht="15" customHeight="1">
      <c r="A107" s="56" t="n">
        <v>46265</v>
      </c>
      <c r="B107" s="51" t="inlineStr">
        <is>
          <t>25060301</t>
        </is>
      </c>
      <c r="C107" s="50">
        <f>IF(B107="","",IF(COUNTIF(lst_Jobs,B107&amp;"")&gt;0,"OK","CHECK"))</f>
        <v/>
      </c>
      <c r="D107" s="51" t="inlineStr">
        <is>
          <t>NSW Property</t>
        </is>
      </c>
      <c r="E107" s="51" t="inlineStr">
        <is>
          <t>INTEGRATION</t>
        </is>
      </c>
      <c r="F107" s="51" t="inlineStr">
        <is>
          <t>NSW Property - 6PSQ Workplace L12 Hub (INV10393 Revenue)</t>
        </is>
      </c>
      <c r="G107" s="51" t="inlineStr">
        <is>
          <t>Accrual - unbilled work</t>
        </is>
      </c>
      <c r="H107" s="51" t="n"/>
      <c r="I107" s="52" t="n">
        <v>2964.14</v>
      </c>
      <c r="J107" s="51" t="inlineStr">
        <is>
          <t>11300</t>
        </is>
      </c>
      <c r="K107" s="51" t="n"/>
      <c r="L107" s="51" t="inlineStr">
        <is>
          <t>Y</t>
        </is>
      </c>
      <c r="M107" s="51" t="inlineStr">
        <is>
          <t>Migrated from FY27 Revenue Tracker v2 - confirm type/sign</t>
        </is>
      </c>
    </row>
    <row r="108" ht="15" customHeight="1">
      <c r="A108" s="56" t="n">
        <v>46265</v>
      </c>
      <c r="B108" s="51" t="inlineStr">
        <is>
          <t>2519</t>
        </is>
      </c>
      <c r="C108" s="50">
        <f>IF(B108="","",IF(COUNTIF(lst_Jobs,B108&amp;"")&gt;0,"OK","CHECK"))</f>
        <v/>
      </c>
      <c r="D108" s="51" t="inlineStr">
        <is>
          <t>NSW Property</t>
        </is>
      </c>
      <c r="E108" s="51" t="inlineStr">
        <is>
          <t>INTEGRATION</t>
        </is>
      </c>
      <c r="F108" s="51" t="inlineStr">
        <is>
          <t>NSW Property - 6PSQ L11 Touchdown (INV10394 Revenue)</t>
        </is>
      </c>
      <c r="G108" s="51" t="inlineStr">
        <is>
          <t>Accrual - unbilled work</t>
        </is>
      </c>
      <c r="H108" s="51" t="n"/>
      <c r="I108" s="52" t="n">
        <v>799.03</v>
      </c>
      <c r="J108" s="51" t="inlineStr">
        <is>
          <t>11300</t>
        </is>
      </c>
      <c r="K108" s="51" t="n"/>
      <c r="L108" s="51" t="inlineStr">
        <is>
          <t>Y</t>
        </is>
      </c>
      <c r="M108" s="51" t="inlineStr">
        <is>
          <t>Migrated from FY27 Revenue Tracker v2 - confirm type/sign</t>
        </is>
      </c>
    </row>
    <row r="109" ht="15" customHeight="1">
      <c r="A109" s="56" t="n">
        <v>46265</v>
      </c>
      <c r="B109" s="51" t="inlineStr">
        <is>
          <t>3068</t>
        </is>
      </c>
      <c r="C109" s="50">
        <f>IF(B109="","",IF(COUNTIF(lst_Jobs,B109&amp;"")&gt;0,"OK","CHECK"))</f>
        <v/>
      </c>
      <c r="D109" s="51" t="inlineStr">
        <is>
          <t>NSW Property</t>
        </is>
      </c>
      <c r="E109" s="51" t="inlineStr">
        <is>
          <t>INTEGRATION</t>
        </is>
      </c>
      <c r="F109" s="51" t="inlineStr">
        <is>
          <t>NSW Property  – Penrith 50 Belmore St – Workplace Hub (INV10395 Revenue)</t>
        </is>
      </c>
      <c r="G109" s="51" t="inlineStr">
        <is>
          <t>Accrual - unbilled work</t>
        </is>
      </c>
      <c r="H109" s="51" t="n"/>
      <c r="I109" s="52" t="n">
        <v>154.65</v>
      </c>
      <c r="J109" s="51" t="inlineStr">
        <is>
          <t>11300</t>
        </is>
      </c>
      <c r="K109" s="51" t="n"/>
      <c r="L109" s="51" t="inlineStr">
        <is>
          <t>Y</t>
        </is>
      </c>
      <c r="M109" s="51" t="inlineStr">
        <is>
          <t>Migrated from FY27 Revenue Tracker v2 - confirm type/sign</t>
        </is>
      </c>
    </row>
    <row r="110" ht="15" customHeight="1">
      <c r="A110" s="56" t="n">
        <v>46265</v>
      </c>
      <c r="B110" s="51" t="inlineStr">
        <is>
          <t>25051302</t>
        </is>
      </c>
      <c r="C110" s="50">
        <f>IF(B110="","",IF(COUNTIF(lst_Jobs,B110&amp;"")&gt;0,"OK","CHECK"))</f>
        <v/>
      </c>
      <c r="D110" s="51" t="inlineStr">
        <is>
          <t>NSW Property</t>
        </is>
      </c>
      <c r="E110" s="51" t="inlineStr">
        <is>
          <t>INTEGRATION</t>
        </is>
      </c>
      <c r="F110" s="51" t="inlineStr">
        <is>
          <t>NSW Property - Penrith BDA (INV10396)</t>
        </is>
      </c>
      <c r="G110" s="51" t="inlineStr">
        <is>
          <t>Accrual - unbilled work</t>
        </is>
      </c>
      <c r="H110" s="51" t="n"/>
      <c r="I110" s="52" t="n">
        <v>1494.96</v>
      </c>
      <c r="J110" s="51" t="inlineStr">
        <is>
          <t>11300</t>
        </is>
      </c>
      <c r="K110" s="51" t="n"/>
      <c r="L110" s="51" t="inlineStr">
        <is>
          <t>Y</t>
        </is>
      </c>
      <c r="M110" s="51" t="inlineStr">
        <is>
          <t>Migrated from FY27 Revenue Tracker v2 - confirm type/sign</t>
        </is>
      </c>
    </row>
    <row r="111" ht="15" customHeight="1">
      <c r="A111" s="56" t="n">
        <v>46265</v>
      </c>
      <c r="B111" s="51" t="inlineStr">
        <is>
          <t>25051302</t>
        </is>
      </c>
      <c r="C111" s="50">
        <f>IF(B111="","",IF(COUNTIF(lst_Jobs,B111&amp;"")&gt;0,"OK","CHECK"))</f>
        <v/>
      </c>
      <c r="D111" s="51" t="inlineStr">
        <is>
          <t>NSW Property</t>
        </is>
      </c>
      <c r="E111" s="51" t="inlineStr">
        <is>
          <t>INTEGRATION</t>
        </is>
      </c>
      <c r="F111" s="51" t="inlineStr">
        <is>
          <t>NSW Property - RA Molesworth St (INV10397 Revenue)</t>
        </is>
      </c>
      <c r="G111" s="51" t="inlineStr">
        <is>
          <t>Accrual - unbilled work</t>
        </is>
      </c>
      <c r="H111" s="51" t="n"/>
      <c r="I111" s="52" t="n">
        <v>786.14</v>
      </c>
      <c r="J111" s="51" t="inlineStr">
        <is>
          <t>11300</t>
        </is>
      </c>
      <c r="K111" s="51" t="n"/>
      <c r="L111" s="51" t="inlineStr">
        <is>
          <t>Y</t>
        </is>
      </c>
      <c r="M111" s="51" t="inlineStr">
        <is>
          <t>Migrated from FY27 Revenue Tracker v2 - confirm type/sign</t>
        </is>
      </c>
    </row>
    <row r="112" ht="15" customHeight="1">
      <c r="A112" s="56" t="n">
        <v>46265</v>
      </c>
      <c r="B112" s="51" t="inlineStr">
        <is>
          <t>25060307</t>
        </is>
      </c>
      <c r="C112" s="50">
        <f>IF(B112="","",IF(COUNTIF(lst_Jobs,B112&amp;"")&gt;0,"OK","CHECK"))</f>
        <v/>
      </c>
      <c r="D112" s="51" t="inlineStr">
        <is>
          <t>NSW Property</t>
        </is>
      </c>
      <c r="E112" s="51" t="inlineStr">
        <is>
          <t>INTEGRATION</t>
        </is>
      </c>
      <c r="F112" s="51" t="inlineStr">
        <is>
          <t>NSW Property - RA Newcastle Bellvue (INV10398 Revenue)</t>
        </is>
      </c>
      <c r="G112" s="51" t="inlineStr">
        <is>
          <t>Accrual - unbilled work</t>
        </is>
      </c>
      <c r="H112" s="51" t="n"/>
      <c r="I112" s="52" t="n">
        <v>270.64</v>
      </c>
      <c r="J112" s="51" t="inlineStr">
        <is>
          <t>11300</t>
        </is>
      </c>
      <c r="K112" s="51" t="n"/>
      <c r="L112" s="51" t="inlineStr">
        <is>
          <t>Y</t>
        </is>
      </c>
      <c r="M112" s="51" t="inlineStr">
        <is>
          <t>Migrated from FY27 Revenue Tracker v2 - confirm type/sign</t>
        </is>
      </c>
    </row>
    <row r="113" ht="15" customHeight="1">
      <c r="A113" s="56" t="n">
        <v>46265</v>
      </c>
      <c r="B113" s="51" t="inlineStr">
        <is>
          <t>2510805</t>
        </is>
      </c>
      <c r="C113" s="50">
        <f>IF(B113="","",IF(COUNTIF(lst_Jobs,B113&amp;"")&gt;0,"OK","CHECK"))</f>
        <v/>
      </c>
      <c r="D113" s="51" t="inlineStr">
        <is>
          <t>NSW Property</t>
        </is>
      </c>
      <c r="E113" s="51" t="inlineStr">
        <is>
          <t>INTEGRATION</t>
        </is>
      </c>
      <c r="F113" s="51" t="inlineStr">
        <is>
          <t>NSW Property - 5 O’Keefe Ave Nowra Workplace Hub (INV10399 Revenue)</t>
        </is>
      </c>
      <c r="G113" s="51" t="inlineStr">
        <is>
          <t>Accrual - unbilled work</t>
        </is>
      </c>
      <c r="H113" s="51" t="n"/>
      <c r="I113" s="52" t="n">
        <v>2242.44</v>
      </c>
      <c r="J113" s="51" t="inlineStr">
        <is>
          <t>11300</t>
        </is>
      </c>
      <c r="K113" s="51" t="n"/>
      <c r="L113" s="51" t="inlineStr">
        <is>
          <t>Y</t>
        </is>
      </c>
      <c r="M113" s="51" t="inlineStr">
        <is>
          <t>Migrated from FY27 Revenue Tracker v2 - confirm type/sign</t>
        </is>
      </c>
    </row>
    <row r="114" ht="15" customHeight="1">
      <c r="A114" s="56" t="n">
        <v>46265</v>
      </c>
      <c r="B114" s="51" t="inlineStr">
        <is>
          <t>2603202</t>
        </is>
      </c>
      <c r="C114" s="50">
        <f>IF(B114="","",IF(COUNTIF(lst_Jobs,B114&amp;"")&gt;0,"OK","CHECK"))</f>
        <v/>
      </c>
      <c r="D114" s="51" t="inlineStr">
        <is>
          <t>NSW Property</t>
        </is>
      </c>
      <c r="E114" s="51" t="inlineStr">
        <is>
          <t>INTEGRATION</t>
        </is>
      </c>
      <c r="F114" s="51" t="inlineStr">
        <is>
          <t>NSW Property -  Maitland 510-516 High St WP Services (INV10400 Revenue)</t>
        </is>
      </c>
      <c r="G114" s="51" t="inlineStr">
        <is>
          <t>Accrual - unbilled work</t>
        </is>
      </c>
      <c r="H114" s="51" t="n"/>
      <c r="I114" s="52" t="n">
        <v>3041.47</v>
      </c>
      <c r="J114" s="51" t="inlineStr">
        <is>
          <t>11300</t>
        </is>
      </c>
      <c r="K114" s="51" t="n"/>
      <c r="L114" s="51" t="inlineStr">
        <is>
          <t>Y</t>
        </is>
      </c>
      <c r="M114" s="51" t="inlineStr">
        <is>
          <t>Migrated from FY27 Revenue Tracker v2 - confirm type/sign</t>
        </is>
      </c>
    </row>
    <row r="115" ht="15" customHeight="1">
      <c r="A115" s="56" t="n">
        <v>46265</v>
      </c>
      <c r="B115" s="51" t="inlineStr">
        <is>
          <t>25041502</t>
        </is>
      </c>
      <c r="C115" s="50">
        <f>IF(B115="","",IF(COUNTIF(lst_Jobs,B115&amp;"")&gt;0,"OK","CHECK"))</f>
        <v/>
      </c>
      <c r="D115" s="51" t="inlineStr">
        <is>
          <t>NSW Property</t>
        </is>
      </c>
      <c r="E115" s="51" t="inlineStr">
        <is>
          <t>INTEGRATION</t>
        </is>
      </c>
      <c r="F115" s="51" t="inlineStr">
        <is>
          <t>NSW Property -  252 Pitt St Parkline Workplace Hub (INV10401 Revenue)</t>
        </is>
      </c>
      <c r="G115" s="51" t="inlineStr">
        <is>
          <t>Accrual - unbilled work</t>
        </is>
      </c>
      <c r="H115" s="51" t="n"/>
      <c r="I115" s="52" t="n">
        <v>4085.36</v>
      </c>
      <c r="J115" s="51" t="inlineStr">
        <is>
          <t>11300</t>
        </is>
      </c>
      <c r="K115" s="51" t="n"/>
      <c r="L115" s="51" t="inlineStr">
        <is>
          <t>Y</t>
        </is>
      </c>
      <c r="M115" s="51" t="inlineStr">
        <is>
          <t>Migrated from FY27 Revenue Tracker v2 - confirm type/sign</t>
        </is>
      </c>
    </row>
    <row r="116" ht="15" customHeight="1">
      <c r="A116" s="56" t="n">
        <v>46265</v>
      </c>
      <c r="B116" s="51" t="inlineStr">
        <is>
          <t>3068</t>
        </is>
      </c>
      <c r="C116" s="50">
        <f>IF(B116="","",IF(COUNTIF(lst_Jobs,B116&amp;"")&gt;0,"OK","CHECK"))</f>
        <v/>
      </c>
      <c r="D116" s="51" t="inlineStr">
        <is>
          <t>NSW Property</t>
        </is>
      </c>
      <c r="E116" s="51" t="inlineStr">
        <is>
          <t>INTEGRATION</t>
        </is>
      </c>
      <c r="F116" s="51" t="inlineStr">
        <is>
          <t>NSW Property - Sydney 1 Prince Albert Workplace Hub (INV10412 Revenue)</t>
        </is>
      </c>
      <c r="G116" s="51" t="inlineStr">
        <is>
          <t>Accrual - unbilled work</t>
        </is>
      </c>
      <c r="H116" s="51" t="n"/>
      <c r="I116" s="52" t="n">
        <v>1868.7</v>
      </c>
      <c r="J116" s="51" t="inlineStr">
        <is>
          <t>11300</t>
        </is>
      </c>
      <c r="K116" s="51" t="n"/>
      <c r="L116" s="51" t="inlineStr">
        <is>
          <t>Y</t>
        </is>
      </c>
      <c r="M116" s="51" t="inlineStr">
        <is>
          <t>Migrated from FY27 Revenue Tracker v2 - confirm type/sign</t>
        </is>
      </c>
    </row>
    <row r="117" ht="15" customHeight="1">
      <c r="A117" s="56" t="n">
        <v>46265</v>
      </c>
      <c r="B117" s="51" t="inlineStr">
        <is>
          <t>25121208</t>
        </is>
      </c>
      <c r="C117" s="50">
        <f>IF(B117="","",IF(COUNTIF(lst_Jobs,B117&amp;"")&gt;0,"OK","CHECK"))</f>
        <v/>
      </c>
      <c r="D117" s="51" t="inlineStr">
        <is>
          <t>APA</t>
        </is>
      </c>
      <c r="E117" s="51" t="inlineStr">
        <is>
          <t>PRODUCTION</t>
        </is>
      </c>
      <c r="F117" s="51" t="inlineStr">
        <is>
          <t>APA FYR August 2026 Package - Equipment Hire (Revenue)</t>
        </is>
      </c>
      <c r="G117" s="51" t="inlineStr">
        <is>
          <t>Accrual - unbilled work</t>
        </is>
      </c>
      <c r="H117" s="51" t="n"/>
      <c r="I117" s="52" t="n">
        <v>2737.5</v>
      </c>
      <c r="J117" s="51" t="inlineStr">
        <is>
          <t>11300</t>
        </is>
      </c>
      <c r="K117" s="51" t="n"/>
      <c r="L117" s="51" t="inlineStr">
        <is>
          <t>Y</t>
        </is>
      </c>
      <c r="M117" s="51" t="inlineStr">
        <is>
          <t>Migrated from FY27 Revenue Tracker v2 - confirm type/sign</t>
        </is>
      </c>
    </row>
    <row r="118" ht="15" customHeight="1">
      <c r="A118" s="56" t="n">
        <v>46265</v>
      </c>
      <c r="B118" s="51" t="inlineStr">
        <is>
          <t>25121208</t>
        </is>
      </c>
      <c r="C118" s="50">
        <f>IF(B118="","",IF(COUNTIF(lst_Jobs,B118&amp;"")&gt;0,"OK","CHECK"))</f>
        <v/>
      </c>
      <c r="D118" s="51" t="inlineStr">
        <is>
          <t>APA</t>
        </is>
      </c>
      <c r="E118" s="51" t="inlineStr">
        <is>
          <t>PRODUCTION</t>
        </is>
      </c>
      <c r="F118" s="51" t="inlineStr">
        <is>
          <t>APA FYR August 2026 Package - Prod Labour (Revenue)</t>
        </is>
      </c>
      <c r="G118" s="51" t="inlineStr">
        <is>
          <t>Accrual - unbilled work</t>
        </is>
      </c>
      <c r="H118" s="51" t="n"/>
      <c r="I118" s="52" t="n">
        <v>1900</v>
      </c>
      <c r="J118" s="51" t="inlineStr">
        <is>
          <t>11300</t>
        </is>
      </c>
      <c r="K118" s="51" t="n"/>
      <c r="L118" s="51" t="inlineStr">
        <is>
          <t>Y</t>
        </is>
      </c>
      <c r="M118" s="51" t="inlineStr">
        <is>
          <t>Migrated from FY27 Revenue Tracker v2 - confirm type/sign</t>
        </is>
      </c>
    </row>
    <row r="119" ht="15" customHeight="1">
      <c r="A119" s="56" t="n">
        <v>46265</v>
      </c>
      <c r="B119" s="51" t="inlineStr">
        <is>
          <t>25121208</t>
        </is>
      </c>
      <c r="C119" s="50">
        <f>IF(B119="","",IF(COUNTIF(lst_Jobs,B119&amp;"")&gt;0,"OK","CHECK"))</f>
        <v/>
      </c>
      <c r="D119" s="51" t="inlineStr">
        <is>
          <t>APA</t>
        </is>
      </c>
      <c r="E119" s="51" t="inlineStr">
        <is>
          <t>PRODUCTION</t>
        </is>
      </c>
      <c r="F119" s="51" t="inlineStr">
        <is>
          <t>APA FYR August 2026 Package - Conference Call (Revenue)</t>
        </is>
      </c>
      <c r="G119" s="51" t="inlineStr">
        <is>
          <t>Accrual - unbilled work</t>
        </is>
      </c>
      <c r="H119" s="51" t="n"/>
      <c r="I119" s="52" t="n">
        <v>3575</v>
      </c>
      <c r="J119" s="51" t="inlineStr">
        <is>
          <t>11300</t>
        </is>
      </c>
      <c r="K119" s="51" t="n"/>
      <c r="L119" s="51" t="inlineStr">
        <is>
          <t>Y</t>
        </is>
      </c>
      <c r="M119" s="51" t="inlineStr">
        <is>
          <t>Migrated from FY27 Revenue Tracker v2 - confirm type/sign</t>
        </is>
      </c>
    </row>
    <row r="120" ht="15" customHeight="1">
      <c r="A120" s="56" t="n">
        <v>46265</v>
      </c>
      <c r="B120" s="51" t="inlineStr">
        <is>
          <t>25121208</t>
        </is>
      </c>
      <c r="C120" s="50">
        <f>IF(B120="","",IF(COUNTIF(lst_Jobs,B120&amp;"")&gt;0,"OK","CHECK"))</f>
        <v/>
      </c>
      <c r="D120" s="51" t="inlineStr">
        <is>
          <t>APA</t>
        </is>
      </c>
      <c r="E120" s="51" t="inlineStr">
        <is>
          <t>PRODUCTION</t>
        </is>
      </c>
      <c r="F120" s="51" t="inlineStr">
        <is>
          <t>APA FYR August 2026 Package - Tech Event Mgmt (Revenue)</t>
        </is>
      </c>
      <c r="G120" s="51" t="inlineStr">
        <is>
          <t>Accrual - unbilled work</t>
        </is>
      </c>
      <c r="H120" s="51" t="n"/>
      <c r="I120" s="52" t="n">
        <v>230</v>
      </c>
      <c r="J120" s="51" t="inlineStr">
        <is>
          <t>11300</t>
        </is>
      </c>
      <c r="K120" s="51" t="n"/>
      <c r="L120" s="51" t="inlineStr">
        <is>
          <t>Y</t>
        </is>
      </c>
      <c r="M120" s="51" t="inlineStr">
        <is>
          <t>Migrated from FY27 Revenue Tracker v2 - confirm type/sign</t>
        </is>
      </c>
    </row>
    <row r="121" ht="15" customHeight="1">
      <c r="A121" s="56" t="n">
        <v>46265</v>
      </c>
      <c r="B121" s="51" t="inlineStr">
        <is>
          <t>25121208</t>
        </is>
      </c>
      <c r="C121" s="50">
        <f>IF(B121="","",IF(COUNTIF(lst_Jobs,B121&amp;"")&gt;0,"OK","CHECK"))</f>
        <v/>
      </c>
      <c r="D121" s="51" t="inlineStr">
        <is>
          <t>APA</t>
        </is>
      </c>
      <c r="E121" s="51" t="inlineStr">
        <is>
          <t>PRODUCTION</t>
        </is>
      </c>
      <c r="F121" s="51" t="inlineStr">
        <is>
          <t>APA FYR August 2026 Package - Freight (Revenue)</t>
        </is>
      </c>
      <c r="G121" s="51" t="inlineStr">
        <is>
          <t>Accrual - unbilled work</t>
        </is>
      </c>
      <c r="H121" s="51" t="n"/>
      <c r="I121" s="52" t="n">
        <v>300</v>
      </c>
      <c r="J121" s="51" t="inlineStr">
        <is>
          <t>11300</t>
        </is>
      </c>
      <c r="K121" s="51" t="n"/>
      <c r="L121" s="51" t="inlineStr">
        <is>
          <t>Y</t>
        </is>
      </c>
      <c r="M121" s="51" t="inlineStr">
        <is>
          <t>Migrated from FY27 Revenue Tracker v2 - confirm type/sign</t>
        </is>
      </c>
    </row>
    <row r="122" ht="15" customHeight="1">
      <c r="A122" s="56" t="n">
        <v>46265</v>
      </c>
      <c r="B122" s="51" t="inlineStr">
        <is>
          <t>2506208</t>
        </is>
      </c>
      <c r="C122" s="50">
        <f>IF(B122="","",IF(COUNTIF(lst_Jobs,B122&amp;"")&gt;0,"OK","CHECK"))</f>
        <v/>
      </c>
      <c r="D122" s="51" t="inlineStr">
        <is>
          <t>CBA</t>
        </is>
      </c>
      <c r="E122" s="51" t="inlineStr">
        <is>
          <t>PRODUCTION</t>
        </is>
      </c>
      <c r="F122" s="51" t="inlineStr">
        <is>
          <t>CBA AGM 2026 Pre-production work at $130ph</t>
        </is>
      </c>
      <c r="G122" s="51" t="inlineStr">
        <is>
          <t>Accrual - unbilled work</t>
        </is>
      </c>
      <c r="H122" s="51" t="n"/>
      <c r="I122" s="52" t="n">
        <v>1787.5</v>
      </c>
      <c r="J122" s="51" t="inlineStr">
        <is>
          <t>11300</t>
        </is>
      </c>
      <c r="K122" s="51" t="n"/>
      <c r="L122" s="51" t="inlineStr">
        <is>
          <t>Y</t>
        </is>
      </c>
      <c r="M122" s="51" t="inlineStr">
        <is>
          <t>Migrated from FY27 Revenue Tracker v2 - confirm type/sign</t>
        </is>
      </c>
    </row>
    <row r="123" ht="15" customHeight="1">
      <c r="A123" s="56" t="n">
        <v>46265</v>
      </c>
      <c r="B123" s="51" t="inlineStr">
        <is>
          <t>25070702</t>
        </is>
      </c>
      <c r="C123" s="50">
        <f>IF(B123="","",IF(COUNTIF(lst_Jobs,B123&amp;"")&gt;0,"OK","CHECK"))</f>
        <v/>
      </c>
      <c r="D123" s="51" t="inlineStr">
        <is>
          <t>APA</t>
        </is>
      </c>
      <c r="E123" s="51" t="inlineStr">
        <is>
          <t>INTEGRATION</t>
        </is>
      </c>
      <c r="F123" s="51" t="inlineStr">
        <is>
          <t>APA BNE &amp; NT Year 1/3 Inv9988 (Revenue) Sep 2025 - Aug 2026</t>
        </is>
      </c>
      <c r="G123" s="51" t="inlineStr">
        <is>
          <t>Accrual - unbilled work</t>
        </is>
      </c>
      <c r="H123" s="51" t="n"/>
      <c r="I123" s="52" t="n">
        <v>308.16</v>
      </c>
      <c r="J123" s="51" t="inlineStr">
        <is>
          <t>11300</t>
        </is>
      </c>
      <c r="K123" s="51" t="n"/>
      <c r="L123" s="51" t="inlineStr">
        <is>
          <t>Y</t>
        </is>
      </c>
      <c r="M123" s="51" t="inlineStr">
        <is>
          <t>Migrated from FY27 Revenue Tracker v2 - confirm type/sign</t>
        </is>
      </c>
    </row>
    <row r="124" ht="15" customHeight="1">
      <c r="A124" s="56" t="n">
        <v>46265</v>
      </c>
      <c r="B124" s="51" t="inlineStr">
        <is>
          <t>3072</t>
        </is>
      </c>
      <c r="C124" s="50">
        <f>IF(B124="","",IF(COUNTIF(lst_Jobs,B124&amp;"")&gt;0,"OK","CHECK"))</f>
        <v/>
      </c>
      <c r="D124" s="51" t="inlineStr">
        <is>
          <t>APA Thomastown</t>
        </is>
      </c>
      <c r="E124" s="51" t="inlineStr">
        <is>
          <t>INTEGRATION</t>
        </is>
      </c>
      <c r="F124" s="51" t="inlineStr">
        <is>
          <t>APA Thomastown INV-10133 Year 3 Licence (January - December 2026)</t>
        </is>
      </c>
      <c r="G124" s="51" t="inlineStr">
        <is>
          <t>Accrual - unbilled work</t>
        </is>
      </c>
      <c r="H124" s="51" t="n"/>
      <c r="I124" s="52" t="n">
        <v>1033.06</v>
      </c>
      <c r="J124" s="51" t="inlineStr">
        <is>
          <t>11300</t>
        </is>
      </c>
      <c r="K124" s="51" t="n"/>
      <c r="L124" s="51" t="inlineStr">
        <is>
          <t>Y</t>
        </is>
      </c>
      <c r="M124" s="51" t="inlineStr">
        <is>
          <t>Migrated from FY27 Revenue Tracker v2 - confirm type/sign</t>
        </is>
      </c>
    </row>
    <row r="125" ht="15" customHeight="1">
      <c r="A125" s="56" t="n">
        <v>46265</v>
      </c>
      <c r="B125" s="51" t="inlineStr">
        <is>
          <t>2519</t>
        </is>
      </c>
      <c r="C125" s="50">
        <f>IF(B125="","",IF(COUNTIF(lst_Jobs,B125&amp;"")&gt;0,"OK","CHECK"))</f>
        <v/>
      </c>
      <c r="D125" s="51" t="inlineStr">
        <is>
          <t>NSW Property</t>
        </is>
      </c>
      <c r="E125" s="51" t="inlineStr">
        <is>
          <t>INTEGRATION</t>
        </is>
      </c>
      <c r="F125" s="51" t="inlineStr">
        <is>
          <t>NSW Property 6PSQ Multi-Tennant Year 4 INV 10162 Revenue (November - October 2026)</t>
        </is>
      </c>
      <c r="G125" s="51" t="inlineStr">
        <is>
          <t>Accrual - unbilled work</t>
        </is>
      </c>
      <c r="H125" s="51" t="n"/>
      <c r="I125" s="52" t="n">
        <v>929.33</v>
      </c>
      <c r="J125" s="51" t="inlineStr">
        <is>
          <t>11300</t>
        </is>
      </c>
      <c r="K125" s="51" t="n"/>
      <c r="L125" s="51" t="inlineStr">
        <is>
          <t>Y</t>
        </is>
      </c>
      <c r="M125" s="51" t="inlineStr">
        <is>
          <t>Migrated from FY27 Revenue Tracker v2 - confirm type/sign</t>
        </is>
      </c>
    </row>
    <row r="126" ht="15" customHeight="1">
      <c r="A126" s="56" t="n">
        <v>46265</v>
      </c>
      <c r="B126" s="51" t="inlineStr">
        <is>
          <t>2510804</t>
        </is>
      </c>
      <c r="C126" s="50">
        <f>IF(B126="","",IF(COUNTIF(lst_Jobs,B126&amp;"")&gt;0,"OK","CHECK"))</f>
        <v/>
      </c>
      <c r="D126" s="51" t="inlineStr">
        <is>
          <t>Presynct</t>
        </is>
      </c>
      <c r="E126" s="51" t="inlineStr">
        <is>
          <t>INTEGRATION</t>
        </is>
      </c>
      <c r="F126" s="51" t="inlineStr">
        <is>
          <t xml:space="preserve">Presynct - QLD - Condeco Desk Booking System INV 10199 Revenue (Nov 2025 - Oct 2025) </t>
        </is>
      </c>
      <c r="G126" s="51" t="inlineStr">
        <is>
          <t>Accrual - unbilled work</t>
        </is>
      </c>
      <c r="H126" s="51" t="n"/>
      <c r="I126" s="52" t="n">
        <v>439.33</v>
      </c>
      <c r="J126" s="51" t="inlineStr">
        <is>
          <t>11300</t>
        </is>
      </c>
      <c r="K126" s="51" t="n"/>
      <c r="L126" s="51" t="inlineStr">
        <is>
          <t>Y</t>
        </is>
      </c>
      <c r="M126" s="51" t="inlineStr">
        <is>
          <t>Migrated from FY27 Revenue Tracker v2 - confirm type/sign</t>
        </is>
      </c>
    </row>
    <row r="127" ht="15" customHeight="1">
      <c r="A127" s="56" t="n">
        <v>46265</v>
      </c>
      <c r="B127" s="51" t="inlineStr">
        <is>
          <t>2719</t>
        </is>
      </c>
      <c r="C127" s="50">
        <f>IF(B127="","",IF(COUNTIF(lst_Jobs,B127&amp;"")&gt;0,"OK","CHECK"))</f>
        <v/>
      </c>
      <c r="D127" s="51" t="inlineStr">
        <is>
          <t>NSW Property</t>
        </is>
      </c>
      <c r="E127" s="51" t="inlineStr">
        <is>
          <t>INTEGRATION</t>
        </is>
      </c>
      <c r="F127" s="51" t="inlineStr">
        <is>
          <t>NSW Property GSP Proxyclick INV 10176 Revenue (Dec 2025 - Nov 2026)</t>
        </is>
      </c>
      <c r="G127" s="51" t="inlineStr">
        <is>
          <t>Accrual - unbilled work</t>
        </is>
      </c>
      <c r="H127" s="51" t="n"/>
      <c r="I127" s="52" t="n">
        <v>381.15</v>
      </c>
      <c r="J127" s="51" t="inlineStr">
        <is>
          <t>11300</t>
        </is>
      </c>
      <c r="K127" s="51" t="n"/>
      <c r="L127" s="51" t="inlineStr">
        <is>
          <t>Y</t>
        </is>
      </c>
      <c r="M127" s="51" t="inlineStr">
        <is>
          <t>Migrated from FY27 Revenue Tracker v2 - confirm type/sign</t>
        </is>
      </c>
    </row>
    <row r="128" ht="15" customHeight="1">
      <c r="A128" s="56" t="n">
        <v>46265</v>
      </c>
      <c r="B128" s="51" t="inlineStr">
        <is>
          <t>2834</t>
        </is>
      </c>
      <c r="C128" s="50">
        <f>IF(B128="","",IF(COUNTIF(lst_Jobs,B128&amp;"")&gt;0,"OK","CHECK"))</f>
        <v/>
      </c>
      <c r="D128" s="51" t="inlineStr">
        <is>
          <t>APA</t>
        </is>
      </c>
      <c r="E128" s="51" t="inlineStr">
        <is>
          <t>INTEGRATION</t>
        </is>
      </c>
      <c r="F128" s="51" t="inlineStr">
        <is>
          <t>APA Young Year 4 INV-10280 Revenue (Mar 2026 - Feb 2027)</t>
        </is>
      </c>
      <c r="G128" s="51" t="inlineStr">
        <is>
          <t>Accrual - unbilled work</t>
        </is>
      </c>
      <c r="H128" s="51" t="n"/>
      <c r="I128" s="52" t="n">
        <v>312.9</v>
      </c>
      <c r="J128" s="51" t="inlineStr">
        <is>
          <t>11300</t>
        </is>
      </c>
      <c r="K128" s="51" t="n"/>
      <c r="L128" s="51" t="inlineStr">
        <is>
          <t>Y</t>
        </is>
      </c>
      <c r="M128" s="51" t="inlineStr">
        <is>
          <t>Migrated from FY27 Revenue Tracker v2 - confirm type/sign</t>
        </is>
      </c>
    </row>
    <row r="129" ht="15" customHeight="1">
      <c r="A129" s="56" t="n">
        <v>46265</v>
      </c>
      <c r="B129" s="51" t="inlineStr">
        <is>
          <t>25021901</t>
        </is>
      </c>
      <c r="C129" s="50">
        <f>IF(B129="","",IF(COUNTIF(lst_Jobs,B129&amp;"")&gt;0,"OK","CHECK"))</f>
        <v/>
      </c>
      <c r="D129" s="51" t="inlineStr">
        <is>
          <t>DaFF</t>
        </is>
      </c>
      <c r="E129" s="51" t="inlineStr">
        <is>
          <t>INTEGRATION</t>
        </is>
      </c>
      <c r="F129" s="51" t="inlineStr">
        <is>
          <t>DAFF Consulting services invoiced in advance (INV9860)</t>
        </is>
      </c>
      <c r="G129" s="51" t="inlineStr">
        <is>
          <t>Accrual - unbilled work</t>
        </is>
      </c>
      <c r="H129" s="51" t="n"/>
      <c r="I129" s="52" t="n">
        <v>536.25</v>
      </c>
      <c r="J129" s="51" t="inlineStr">
        <is>
          <t>11300</t>
        </is>
      </c>
      <c r="K129" s="51" t="n"/>
      <c r="L129" s="51" t="inlineStr">
        <is>
          <t>Y</t>
        </is>
      </c>
      <c r="M129" s="51" t="inlineStr">
        <is>
          <t>Migrated from FY27 Revenue Tracker v2 - confirm type/sign</t>
        </is>
      </c>
    </row>
    <row r="130" ht="15" customHeight="1">
      <c r="A130" s="56" t="n">
        <v>46265</v>
      </c>
      <c r="B130" s="51" t="inlineStr">
        <is>
          <t>26081901</t>
        </is>
      </c>
      <c r="C130" s="50">
        <f>IF(B130="","",IF(COUNTIF(lst_Jobs,B130&amp;"")&gt;0,"OK","CHECK"))</f>
        <v/>
      </c>
      <c r="D130" s="51" t="inlineStr">
        <is>
          <t xml:space="preserve">Auspost </t>
        </is>
      </c>
      <c r="E130" s="51" t="inlineStr">
        <is>
          <t>INTEGRATION</t>
        </is>
      </c>
      <c r="F130" s="51" t="inlineStr">
        <is>
          <t xml:space="preserve">	AusPayNet | Logitech Room Essentials Subscription [INT] License Revenue INV-10574 (12 months lincense)</t>
        </is>
      </c>
      <c r="G130" s="51" t="inlineStr">
        <is>
          <t>Deferral - invoiced in advance</t>
        </is>
      </c>
      <c r="H130" s="51" t="n"/>
      <c r="I130" s="52" t="n">
        <v>-993</v>
      </c>
      <c r="J130" s="51" t="inlineStr">
        <is>
          <t>11300</t>
        </is>
      </c>
      <c r="K130" s="51" t="n"/>
      <c r="L130" s="51" t="inlineStr">
        <is>
          <t>Y</t>
        </is>
      </c>
      <c r="M130" s="51"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GL Code&quot; is not on the list in the Lists sheet. Add it there if it is genuinely new." type="list" errorStyle="warning">
      <formula1>lst_WIPGL</formula1>
    </dataValidation>
    <dataValidation sqref="L5:L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7" t="inlineStr">
        <is>
          <t>Cost Centre</t>
        </is>
      </c>
      <c r="B4" s="47" t="inlineStr">
        <is>
          <t>Invoice Type</t>
        </is>
      </c>
      <c r="C4" s="47" t="inlineStr">
        <is>
          <t>Tax Code</t>
        </is>
      </c>
      <c r="D4" s="47" t="inlineStr">
        <is>
          <t>Status</t>
        </is>
      </c>
      <c r="E4" s="47" t="inlineStr">
        <is>
          <t>Yes / No</t>
        </is>
      </c>
      <c r="F4" s="47" t="inlineStr">
        <is>
          <t>Ariba Status</t>
        </is>
      </c>
      <c r="G4" s="47" t="inlineStr">
        <is>
          <t>WIP Movement Type</t>
        </is>
      </c>
      <c r="H4" s="47" t="inlineStr">
        <is>
          <t>WIP GL Code</t>
        </is>
      </c>
      <c r="I4" s="47" t="inlineStr">
        <is>
          <t>Production Cost Centre</t>
        </is>
      </c>
      <c r="J4" s="47" t="inlineStr">
        <is>
          <t>Revenue GL</t>
        </is>
      </c>
      <c r="K4" s="47" t="inlineStr">
        <is>
          <t>GL Account Name (from Xero)</t>
        </is>
      </c>
      <c r="M4" s="47" t="inlineStr">
        <is>
          <t>Month (period end)</t>
        </is>
      </c>
      <c r="O4" s="47" t="inlineStr">
        <is>
          <t>Job Number</t>
        </is>
      </c>
      <c r="P4" s="47" t="inlineStr">
        <is>
          <t>Job Name (from Xero)</t>
        </is>
      </c>
      <c r="Q4" s="47" t="inlineStr">
        <is>
          <t>CC</t>
        </is>
      </c>
    </row>
    <row r="5">
      <c r="A5" s="57" t="inlineStr">
        <is>
          <t>ONSITE</t>
        </is>
      </c>
      <c r="B5" s="57" t="inlineStr">
        <is>
          <t>Contract</t>
        </is>
      </c>
      <c r="C5" s="57" t="inlineStr">
        <is>
          <t>GST 10%</t>
        </is>
      </c>
      <c r="D5" s="57" t="inlineStr">
        <is>
          <t>To Invoice</t>
        </is>
      </c>
      <c r="E5" s="57" t="inlineStr">
        <is>
          <t>Y</t>
        </is>
      </c>
      <c r="F5" s="57" t="inlineStr">
        <is>
          <t>N/A</t>
        </is>
      </c>
      <c r="G5" s="57" t="inlineStr">
        <is>
          <t>Accrual - unbilled work</t>
        </is>
      </c>
      <c r="H5" s="57" t="inlineStr">
        <is>
          <t>11300</t>
        </is>
      </c>
      <c r="I5" s="57" t="inlineStr">
        <is>
          <t>PRODUCTION</t>
        </is>
      </c>
      <c r="J5" s="57" t="inlineStr">
        <is>
          <t>41100</t>
        </is>
      </c>
      <c r="K5" s="57" t="inlineStr">
        <is>
          <t>Contract Support Staff</t>
        </is>
      </c>
      <c r="M5" s="58" t="n">
        <v>45138</v>
      </c>
      <c r="O5" s="57" t="inlineStr">
        <is>
          <t>1144</t>
        </is>
      </c>
      <c r="P5" s="57" t="inlineStr">
        <is>
          <t>Bankwest PER Half Tech</t>
        </is>
      </c>
      <c r="Q5" s="57" t="inlineStr">
        <is>
          <t>ONSITE</t>
        </is>
      </c>
    </row>
    <row r="6">
      <c r="A6" s="57" t="inlineStr">
        <is>
          <t>PRODUCTION</t>
        </is>
      </c>
      <c r="B6" s="57" t="inlineStr">
        <is>
          <t>Chargeback</t>
        </is>
      </c>
      <c r="C6" s="57" t="inlineStr">
        <is>
          <t>GST Free</t>
        </is>
      </c>
      <c r="D6" s="57" t="inlineStr">
        <is>
          <t>Draft</t>
        </is>
      </c>
      <c r="E6" s="57" t="inlineStr">
        <is>
          <t>N</t>
        </is>
      </c>
      <c r="F6" s="57" t="inlineStr">
        <is>
          <t>Awaiting PO</t>
        </is>
      </c>
      <c r="G6" s="57" t="inlineStr">
        <is>
          <t>Reversal of prior accrual</t>
        </is>
      </c>
      <c r="H6" s="57" t="inlineStr">
        <is>
          <t>44100</t>
        </is>
      </c>
      <c r="I6" s="57" t="inlineStr">
        <is>
          <t>VIDEO</t>
        </is>
      </c>
      <c r="J6" s="57" t="inlineStr">
        <is>
          <t>41150</t>
        </is>
      </c>
      <c r="K6" s="57" t="inlineStr">
        <is>
          <t>Mobile Phone Plans</t>
        </is>
      </c>
      <c r="M6" s="58" t="n">
        <v>45169</v>
      </c>
      <c r="O6" s="57" t="inlineStr">
        <is>
          <t>1350</t>
        </is>
      </c>
      <c r="P6" s="57" t="inlineStr">
        <is>
          <t>CBA Brisbane ONS</t>
        </is>
      </c>
      <c r="Q6" s="57" t="inlineStr">
        <is>
          <t>ONSITE</t>
        </is>
      </c>
    </row>
    <row r="7">
      <c r="A7" s="57" t="inlineStr">
        <is>
          <t>VIDEO</t>
        </is>
      </c>
      <c r="B7" s="57" t="inlineStr">
        <is>
          <t>Ad-hoc</t>
        </is>
      </c>
      <c r="C7" s="57" t="inlineStr">
        <is>
          <t>Export (0%)</t>
        </is>
      </c>
      <c r="D7" s="57" t="inlineStr">
        <is>
          <t>Awaiting Approval</t>
        </is>
      </c>
      <c r="E7" s="57" t="inlineStr">
        <is>
          <t>N/A</t>
        </is>
      </c>
      <c r="F7" s="57" t="inlineStr">
        <is>
          <t>To Upload</t>
        </is>
      </c>
      <c r="G7" s="57" t="inlineStr">
        <is>
          <t>Deferral - invoiced in advance</t>
        </is>
      </c>
      <c r="H7" s="57" t="inlineStr">
        <is>
          <t>44200</t>
        </is>
      </c>
      <c r="J7" s="57" t="inlineStr">
        <is>
          <t>41175</t>
        </is>
      </c>
      <c r="K7" s="57" t="inlineStr">
        <is>
          <t>Subscriptions &amp; Licences - Income</t>
        </is>
      </c>
      <c r="M7" s="58" t="n">
        <v>45199</v>
      </c>
      <c r="O7" s="57" t="inlineStr">
        <is>
          <t>1400</t>
        </is>
      </c>
      <c r="P7" s="57" t="inlineStr">
        <is>
          <t>DTTL Mel Tech FT 2</t>
        </is>
      </c>
      <c r="Q7" s="57" t="inlineStr">
        <is>
          <t>ONSITE</t>
        </is>
      </c>
    </row>
    <row r="8">
      <c r="A8" s="57" t="inlineStr">
        <is>
          <t>INTEGRATION</t>
        </is>
      </c>
      <c r="B8" s="57" t="inlineStr">
        <is>
          <t>Project</t>
        </is>
      </c>
      <c r="C8" s="57" t="inlineStr">
        <is>
          <t>BAS Excluded</t>
        </is>
      </c>
      <c r="D8" s="57" t="inlineStr">
        <is>
          <t>Invoiced</t>
        </is>
      </c>
      <c r="F8" s="57" t="inlineStr">
        <is>
          <t>Uploaded</t>
        </is>
      </c>
      <c r="G8" s="57" t="inlineStr">
        <is>
          <t>Release of deferral</t>
        </is>
      </c>
      <c r="J8" s="57" t="inlineStr">
        <is>
          <t>41200</t>
        </is>
      </c>
      <c r="K8" s="57" t="inlineStr">
        <is>
          <t>Contract Maintenance</t>
        </is>
      </c>
      <c r="M8" s="58" t="n">
        <v>45230</v>
      </c>
      <c r="O8" s="57" t="inlineStr">
        <is>
          <t>1401</t>
        </is>
      </c>
      <c r="P8" s="57" t="inlineStr">
        <is>
          <t>DTTL SYD FT Tech 2</t>
        </is>
      </c>
      <c r="Q8" s="57" t="inlineStr">
        <is>
          <t>ONSITE</t>
        </is>
      </c>
    </row>
    <row r="9">
      <c r="A9" s="57" t="inlineStr">
        <is>
          <t>CONSULTING</t>
        </is>
      </c>
      <c r="B9" s="57" t="inlineStr">
        <is>
          <t>Progress Claim</t>
        </is>
      </c>
      <c r="D9" s="57" t="inlineStr">
        <is>
          <t>Sent</t>
        </is>
      </c>
      <c r="F9" s="57" t="inlineStr">
        <is>
          <t>Approved</t>
        </is>
      </c>
      <c r="G9" s="57" t="inlineStr">
        <is>
          <t>Adjustment / correction</t>
        </is>
      </c>
      <c r="J9" s="57" t="inlineStr">
        <is>
          <t>41500</t>
        </is>
      </c>
      <c r="K9" s="57" t="inlineStr">
        <is>
          <t>Contract Help Desk</t>
        </is>
      </c>
      <c r="M9" s="58" t="n">
        <v>45260</v>
      </c>
      <c r="O9" s="57" t="inlineStr">
        <is>
          <t>1530</t>
        </is>
      </c>
      <c r="P9" s="57" t="inlineStr">
        <is>
          <t>DTTL BNE Onsite</t>
        </is>
      </c>
      <c r="Q9" s="57" t="inlineStr">
        <is>
          <t>ONSITE</t>
        </is>
      </c>
    </row>
    <row r="10">
      <c r="A10" s="57" t="inlineStr">
        <is>
          <t>CTS</t>
        </is>
      </c>
      <c r="B10" s="57" t="inlineStr">
        <is>
          <t>Milestone</t>
        </is>
      </c>
      <c r="D10" s="57" t="inlineStr">
        <is>
          <t>Paid</t>
        </is>
      </c>
      <c r="F10" s="57" t="inlineStr">
        <is>
          <t>Rejected</t>
        </is>
      </c>
      <c r="G10" s="57" t="inlineStr">
        <is>
          <t>Migrated opening balance</t>
        </is>
      </c>
      <c r="J10" s="57" t="inlineStr">
        <is>
          <t>42100</t>
        </is>
      </c>
      <c r="K10" s="57" t="inlineStr">
        <is>
          <t>Production Labour</t>
        </is>
      </c>
      <c r="M10" s="58" t="n">
        <v>45291</v>
      </c>
      <c r="O10" s="57" t="inlineStr">
        <is>
          <t>1668</t>
        </is>
      </c>
      <c r="P10" s="57" t="inlineStr">
        <is>
          <t>CBA Dedicated Tech</t>
        </is>
      </c>
      <c r="Q10" s="57" t="inlineStr">
        <is>
          <t>ONSITE</t>
        </is>
      </c>
    </row>
    <row r="11">
      <c r="B11" s="57" t="inlineStr">
        <is>
          <t>Subscription</t>
        </is>
      </c>
      <c r="D11" s="57" t="inlineStr">
        <is>
          <t>On Hold</t>
        </is>
      </c>
      <c r="J11" s="57" t="inlineStr">
        <is>
          <t>42150</t>
        </is>
      </c>
      <c r="K11" s="57" t="inlineStr">
        <is>
          <t>Video Labour</t>
        </is>
      </c>
      <c r="M11" s="58" t="n">
        <v>45322</v>
      </c>
      <c r="O11" s="57" t="inlineStr">
        <is>
          <t>1750</t>
        </is>
      </c>
      <c r="P11" s="57" t="inlineStr">
        <is>
          <t>Bankwest Spotify</t>
        </is>
      </c>
      <c r="Q11" s="57" t="inlineStr"/>
    </row>
    <row r="12">
      <c r="B12" s="57" t="inlineStr">
        <is>
          <t>Equipment Sale</t>
        </is>
      </c>
      <c r="D12" s="57" t="inlineStr">
        <is>
          <t>Cancelled</t>
        </is>
      </c>
      <c r="J12" s="57" t="inlineStr">
        <is>
          <t>42200</t>
        </is>
      </c>
      <c r="K12" s="57" t="inlineStr">
        <is>
          <t>Ad Hoc Service Labour</t>
        </is>
      </c>
      <c r="M12" s="58" t="n">
        <v>45351</v>
      </c>
      <c r="O12" s="57" t="inlineStr">
        <is>
          <t>1755</t>
        </is>
      </c>
      <c r="P12" s="57" t="inlineStr">
        <is>
          <t>CBA Spotify</t>
        </is>
      </c>
      <c r="Q12" s="57" t="inlineStr">
        <is>
          <t>ONSITE</t>
        </is>
      </c>
    </row>
    <row r="13">
      <c r="B13" s="57" t="inlineStr">
        <is>
          <t>Recharge</t>
        </is>
      </c>
      <c r="D13" s="57" t="inlineStr">
        <is>
          <t>Credited</t>
        </is>
      </c>
      <c r="J13" s="57" t="inlineStr">
        <is>
          <t>42300</t>
        </is>
      </c>
      <c r="K13" s="57" t="inlineStr">
        <is>
          <t>Installation Labour</t>
        </is>
      </c>
      <c r="M13" s="58" t="n">
        <v>45382</v>
      </c>
      <c r="O13" s="57" t="inlineStr">
        <is>
          <t>1771</t>
        </is>
      </c>
      <c r="P13" s="57" t="inlineStr">
        <is>
          <t>Integration - Training</t>
        </is>
      </c>
      <c r="Q13" s="57" t="inlineStr">
        <is>
          <t>INTEGRATION</t>
        </is>
      </c>
    </row>
    <row r="14">
      <c r="B14" s="57" t="inlineStr">
        <is>
          <t>Credit Note</t>
        </is>
      </c>
      <c r="J14" s="57" t="inlineStr">
        <is>
          <t>42500</t>
        </is>
      </c>
      <c r="K14" s="57" t="inlineStr">
        <is>
          <t>Equipment Hires</t>
        </is>
      </c>
      <c r="M14" s="58" t="n">
        <v>45412</v>
      </c>
      <c r="O14" s="57" t="inlineStr">
        <is>
          <t>1862</t>
        </is>
      </c>
      <c r="P14" s="57" t="inlineStr">
        <is>
          <t>DTTL ADL Onsite</t>
        </is>
      </c>
      <c r="Q14" s="57" t="inlineStr">
        <is>
          <t>ONSITE</t>
        </is>
      </c>
    </row>
    <row r="15">
      <c r="J15" s="57" t="inlineStr">
        <is>
          <t>42600</t>
        </is>
      </c>
      <c r="K15" s="57" t="inlineStr">
        <is>
          <t>Equipment Sales</t>
        </is>
      </c>
      <c r="M15" s="58" t="n">
        <v>45443</v>
      </c>
      <c r="O15" s="57" t="inlineStr">
        <is>
          <t>20250731</t>
        </is>
      </c>
      <c r="P15" s="57" t="inlineStr">
        <is>
          <t>PWC National Pool of Hours</t>
        </is>
      </c>
      <c r="Q15" s="57" t="inlineStr">
        <is>
          <t>ONSITE</t>
        </is>
      </c>
    </row>
    <row r="16">
      <c r="J16" s="57" t="inlineStr">
        <is>
          <t>42700</t>
        </is>
      </c>
      <c r="K16" s="57" t="inlineStr">
        <is>
          <t>Conference Call Charge</t>
        </is>
      </c>
      <c r="M16" s="58" t="n">
        <v>45473</v>
      </c>
      <c r="O16" s="57" t="inlineStr">
        <is>
          <t>2026021101</t>
        </is>
      </c>
      <c r="P16" s="57" t="inlineStr">
        <is>
          <t>AusPayNet Quarterly AV Support &amp; Maintenance 2026</t>
        </is>
      </c>
      <c r="Q16" s="57" t="inlineStr">
        <is>
          <t>ONSITE</t>
        </is>
      </c>
    </row>
    <row r="17">
      <c r="J17" s="57" t="inlineStr">
        <is>
          <t>42800</t>
        </is>
      </c>
      <c r="K17" s="57" t="inlineStr">
        <is>
          <t>Tech Consulting/Project Manage</t>
        </is>
      </c>
      <c r="M17" s="58" t="n">
        <v>45504</v>
      </c>
      <c r="O17" s="57" t="inlineStr">
        <is>
          <t>20260801</t>
        </is>
      </c>
      <c r="P17" s="57" t="inlineStr">
        <is>
          <t>CTS Day 2026</t>
        </is>
      </c>
      <c r="Q17" s="57" t="inlineStr">
        <is>
          <t>CTS</t>
        </is>
      </c>
    </row>
    <row r="18">
      <c r="J18" s="57" t="inlineStr">
        <is>
          <t>42900</t>
        </is>
      </c>
      <c r="K18" s="57" t="inlineStr">
        <is>
          <t>Tech Event Management</t>
        </is>
      </c>
      <c r="M18" s="58" t="n">
        <v>45535</v>
      </c>
      <c r="O18" s="57" t="inlineStr">
        <is>
          <t>2192</t>
        </is>
      </c>
      <c r="P18" s="57" t="inlineStr">
        <is>
          <t>Bankwest Additional Tech</t>
        </is>
      </c>
      <c r="Q18" s="57" t="inlineStr">
        <is>
          <t>ONSITE</t>
        </is>
      </c>
    </row>
    <row r="19">
      <c r="J19" s="57" t="inlineStr">
        <is>
          <t>44100</t>
        </is>
      </c>
      <c r="K19" s="57" t="inlineStr">
        <is>
          <t>Opening Work in Progress</t>
        </is>
      </c>
      <c r="M19" s="58" t="n">
        <v>45565</v>
      </c>
      <c r="O19" s="57" t="inlineStr">
        <is>
          <t>2347</t>
        </is>
      </c>
      <c r="P19" s="57" t="inlineStr">
        <is>
          <t>DTTL Dedicated Tech</t>
        </is>
      </c>
      <c r="Q19" s="57" t="inlineStr">
        <is>
          <t>ONSITE</t>
        </is>
      </c>
    </row>
    <row r="20">
      <c r="J20" s="57" t="inlineStr">
        <is>
          <t>44200</t>
        </is>
      </c>
      <c r="K20" s="57" t="inlineStr">
        <is>
          <t>Closing Work in Progress</t>
        </is>
      </c>
      <c r="M20" s="58" t="n">
        <v>45596</v>
      </c>
      <c r="O20" s="57" t="inlineStr">
        <is>
          <t>2392</t>
        </is>
      </c>
      <c r="P20" s="57" t="inlineStr">
        <is>
          <t>PWC – MEL Technician</t>
        </is>
      </c>
      <c r="Q20" s="57" t="inlineStr">
        <is>
          <t>ONSITE</t>
        </is>
      </c>
    </row>
    <row r="21">
      <c r="J21" s="57" t="inlineStr">
        <is>
          <t>45005</t>
        </is>
      </c>
      <c r="K21" s="57" t="inlineStr">
        <is>
          <t>Freight &amp; Travel - ADMIN</t>
        </is>
      </c>
      <c r="M21" s="58" t="n">
        <v>45626</v>
      </c>
      <c r="O21" s="57" t="inlineStr">
        <is>
          <t>2402</t>
        </is>
      </c>
      <c r="P21" s="57" t="inlineStr">
        <is>
          <t>DTTL SYD FT Tech 1</t>
        </is>
      </c>
      <c r="Q21" s="57" t="inlineStr">
        <is>
          <t>ONSITE</t>
        </is>
      </c>
    </row>
    <row r="22">
      <c r="J22" s="57" t="inlineStr">
        <is>
          <t>45010</t>
        </is>
      </c>
      <c r="K22" s="57" t="inlineStr">
        <is>
          <t>Freight &amp; Travel - ONS</t>
        </is>
      </c>
      <c r="M22" s="58" t="n">
        <v>45657</v>
      </c>
      <c r="O22" s="57" t="inlineStr">
        <is>
          <t>2407312</t>
        </is>
      </c>
      <c r="P22" s="57" t="inlineStr">
        <is>
          <t>Hills Performance Centre</t>
        </is>
      </c>
      <c r="Q22" s="57" t="inlineStr">
        <is>
          <t>CONSULTING</t>
        </is>
      </c>
    </row>
    <row r="23">
      <c r="J23" s="57" t="inlineStr">
        <is>
          <t>45015</t>
        </is>
      </c>
      <c r="K23" s="57" t="inlineStr">
        <is>
          <t>Freight &amp; Travel - PRD</t>
        </is>
      </c>
      <c r="M23" s="58" t="n">
        <v>45688</v>
      </c>
      <c r="O23" s="57" t="inlineStr">
        <is>
          <t>24102501</t>
        </is>
      </c>
      <c r="P23" s="57" t="inlineStr">
        <is>
          <t>PWC - MEL Tech 12Months</t>
        </is>
      </c>
      <c r="Q23" s="57" t="inlineStr">
        <is>
          <t>ONSITE</t>
        </is>
      </c>
    </row>
    <row r="24">
      <c r="J24" s="57" t="inlineStr">
        <is>
          <t>45020</t>
        </is>
      </c>
      <c r="K24" s="57" t="inlineStr">
        <is>
          <t>Freight &amp; Travel - VID</t>
        </is>
      </c>
      <c r="M24" s="58" t="n">
        <v>45716</v>
      </c>
      <c r="O24" s="57" t="inlineStr">
        <is>
          <t>24121001</t>
        </is>
      </c>
      <c r="P24" s="57" t="inlineStr">
        <is>
          <t>BW PER Studio Equipment Supply</t>
        </is>
      </c>
      <c r="Q24" s="57" t="inlineStr">
        <is>
          <t>INTEGRATION</t>
        </is>
      </c>
    </row>
    <row r="25">
      <c r="J25" s="57" t="inlineStr">
        <is>
          <t>45025</t>
        </is>
      </c>
      <c r="K25" s="57" t="inlineStr">
        <is>
          <t>Freight &amp; Travel - INTEGRATION</t>
        </is>
      </c>
      <c r="M25" s="58" t="n">
        <v>45747</v>
      </c>
      <c r="O25" s="57" t="inlineStr">
        <is>
          <t>2479</t>
        </is>
      </c>
      <c r="P25" s="57" t="inlineStr">
        <is>
          <t>CONSULTING - Quotes</t>
        </is>
      </c>
      <c r="Q25" s="57" t="inlineStr">
        <is>
          <t>CONSULTING</t>
        </is>
      </c>
    </row>
    <row r="26">
      <c r="J26" s="57" t="inlineStr">
        <is>
          <t>45030</t>
        </is>
      </c>
      <c r="K26" s="57" t="inlineStr">
        <is>
          <t>Freight &amp; Travel - CONS</t>
        </is>
      </c>
      <c r="M26" s="58" t="n">
        <v>45777</v>
      </c>
      <c r="O26" s="57" t="inlineStr">
        <is>
          <t>2480</t>
        </is>
      </c>
      <c r="P26" s="57" t="inlineStr">
        <is>
          <t>ONSITE - Quotes</t>
        </is>
      </c>
      <c r="Q26" s="57" t="inlineStr">
        <is>
          <t>ONSITE</t>
        </is>
      </c>
    </row>
    <row r="27">
      <c r="J27" s="57" t="inlineStr">
        <is>
          <t>46005</t>
        </is>
      </c>
      <c r="K27" s="57" t="inlineStr">
        <is>
          <t>Credit Card Fees - ADMIN</t>
        </is>
      </c>
      <c r="M27" s="58" t="n">
        <v>45808</v>
      </c>
      <c r="O27" s="57" t="inlineStr">
        <is>
          <t>2481</t>
        </is>
      </c>
      <c r="P27" s="57" t="inlineStr">
        <is>
          <t>Production - Quotes</t>
        </is>
      </c>
      <c r="Q27" s="57" t="inlineStr">
        <is>
          <t>PRODUCTION</t>
        </is>
      </c>
    </row>
    <row r="28">
      <c r="J28" s="57" t="inlineStr">
        <is>
          <t>46010</t>
        </is>
      </c>
      <c r="K28" s="57" t="inlineStr">
        <is>
          <t>Credit Card Collected - ONS</t>
        </is>
      </c>
      <c r="M28" s="58" t="n">
        <v>45838</v>
      </c>
      <c r="O28" s="57" t="inlineStr">
        <is>
          <t>2482</t>
        </is>
      </c>
      <c r="P28" s="57" t="inlineStr">
        <is>
          <t>VIDEO - Quotes</t>
        </is>
      </c>
      <c r="Q28" s="57" t="inlineStr">
        <is>
          <t>VIDEO</t>
        </is>
      </c>
    </row>
    <row r="29">
      <c r="J29" s="57" t="inlineStr">
        <is>
          <t>46015</t>
        </is>
      </c>
      <c r="K29" s="57" t="inlineStr">
        <is>
          <t>Credit Card Collected - PRD</t>
        </is>
      </c>
      <c r="M29" s="58" t="n">
        <v>45869</v>
      </c>
      <c r="O29" s="57" t="inlineStr">
        <is>
          <t>2488</t>
        </is>
      </c>
      <c r="P29" s="57" t="inlineStr">
        <is>
          <t>PWC IT P/T BNE</t>
        </is>
      </c>
      <c r="Q29" s="57" t="inlineStr">
        <is>
          <t>ONSITE</t>
        </is>
      </c>
    </row>
    <row r="30">
      <c r="J30" s="57" t="inlineStr">
        <is>
          <t>46020</t>
        </is>
      </c>
      <c r="K30" s="57" t="inlineStr">
        <is>
          <t>Credit Card Collected - VID</t>
        </is>
      </c>
      <c r="M30" s="58" t="n">
        <v>45900</v>
      </c>
      <c r="O30" s="57" t="inlineStr">
        <is>
          <t>25011601</t>
        </is>
      </c>
      <c r="P30" s="57" t="inlineStr">
        <is>
          <t>DTTL Hobart ITS AV Ref</t>
        </is>
      </c>
      <c r="Q30" s="57" t="inlineStr">
        <is>
          <t>INTEGRATION</t>
        </is>
      </c>
    </row>
    <row r="31">
      <c r="J31" s="57" t="inlineStr">
        <is>
          <t>46025</t>
        </is>
      </c>
      <c r="K31" s="57" t="inlineStr">
        <is>
          <t>Credit Card Collected - INTEGRATION</t>
        </is>
      </c>
      <c r="M31" s="58" t="n">
        <v>45930</v>
      </c>
      <c r="O31" s="57" t="inlineStr">
        <is>
          <t>2501738</t>
        </is>
      </c>
      <c r="P31" s="57" t="inlineStr">
        <is>
          <t>APA HYR25 &amp; FYR25</t>
        </is>
      </c>
      <c r="Q31" s="57" t="inlineStr">
        <is>
          <t>PRODUCTION</t>
        </is>
      </c>
    </row>
    <row r="32">
      <c r="J32" s="57" t="inlineStr">
        <is>
          <t>46030</t>
        </is>
      </c>
      <c r="K32" s="57" t="inlineStr">
        <is>
          <t>Credit Card Collected - CONS</t>
        </is>
      </c>
      <c r="M32" s="58" t="n">
        <v>45961</v>
      </c>
      <c r="O32" s="57" t="inlineStr">
        <is>
          <t>2502</t>
        </is>
      </c>
      <c r="P32" s="57" t="inlineStr">
        <is>
          <t>ONS CBA (non-chargeable)</t>
        </is>
      </c>
      <c r="Q32" s="57" t="inlineStr"/>
    </row>
    <row r="33">
      <c r="J33" s="57" t="inlineStr">
        <is>
          <t>47005</t>
        </is>
      </c>
      <c r="K33" s="57" t="inlineStr">
        <is>
          <t>Meal &amp; Travel - ADMIN</t>
        </is>
      </c>
      <c r="M33" s="58" t="n">
        <v>45991</v>
      </c>
      <c r="O33" s="57" t="inlineStr">
        <is>
          <t>25021901</t>
        </is>
      </c>
      <c r="P33" s="57" t="inlineStr">
        <is>
          <t>DAFF Technology Standard</t>
        </is>
      </c>
      <c r="Q33" s="57" t="inlineStr">
        <is>
          <t>CONSULTING</t>
        </is>
      </c>
    </row>
    <row r="34">
      <c r="J34" s="57" t="inlineStr">
        <is>
          <t>47010</t>
        </is>
      </c>
      <c r="K34" s="57" t="inlineStr">
        <is>
          <t>Meal &amp; Travel - ONS</t>
        </is>
      </c>
      <c r="M34" s="58" t="n">
        <v>46022</v>
      </c>
      <c r="O34" s="57" t="inlineStr">
        <is>
          <t>2503</t>
        </is>
      </c>
      <c r="P34" s="57" t="inlineStr">
        <is>
          <t>ONS DTTL (non-chargeable)</t>
        </is>
      </c>
      <c r="Q34" s="57" t="inlineStr"/>
    </row>
    <row r="35">
      <c r="J35" s="57" t="inlineStr">
        <is>
          <t>47015</t>
        </is>
      </c>
      <c r="K35" s="57" t="inlineStr">
        <is>
          <t>Meal &amp; Travel - PRD</t>
        </is>
      </c>
      <c r="M35" s="58" t="n">
        <v>46053</v>
      </c>
      <c r="O35" s="57" t="inlineStr">
        <is>
          <t>25032701</t>
        </is>
      </c>
      <c r="P35" s="57" t="inlineStr">
        <is>
          <t>St Catherines Chargeable</t>
        </is>
      </c>
      <c r="Q35" s="57" t="inlineStr">
        <is>
          <t>ONSITE</t>
        </is>
      </c>
    </row>
    <row r="36">
      <c r="J36" s="57" t="inlineStr">
        <is>
          <t>47020</t>
        </is>
      </c>
      <c r="K36" s="57" t="inlineStr">
        <is>
          <t>Meal &amp; Travel - VID</t>
        </is>
      </c>
      <c r="M36" s="58" t="n">
        <v>46081</v>
      </c>
      <c r="O36" s="57" t="inlineStr">
        <is>
          <t>25032701NC</t>
        </is>
      </c>
      <c r="P36" s="57" t="inlineStr">
        <is>
          <t>St Catherines Non-Chgble</t>
        </is>
      </c>
      <c r="Q36" s="57" t="inlineStr">
        <is>
          <t>ONSITE</t>
        </is>
      </c>
    </row>
    <row r="37">
      <c r="J37" s="57" t="inlineStr">
        <is>
          <t>47025</t>
        </is>
      </c>
      <c r="K37" s="57" t="inlineStr">
        <is>
          <t>Meal &amp; Travel - INTEGRATION</t>
        </is>
      </c>
      <c r="M37" s="58" t="n">
        <v>46112</v>
      </c>
      <c r="O37" s="57" t="inlineStr">
        <is>
          <t>2504</t>
        </is>
      </c>
      <c r="P37" s="57" t="inlineStr">
        <is>
          <t>ONS WBC (non-chargeable)</t>
        </is>
      </c>
      <c r="Q37" s="57" t="inlineStr"/>
    </row>
    <row r="38">
      <c r="J38" s="57" t="inlineStr">
        <is>
          <t>47030</t>
        </is>
      </c>
      <c r="K38" s="57" t="inlineStr">
        <is>
          <t>Meal &amp; Travel - CONS</t>
        </is>
      </c>
      <c r="M38" s="58" t="n">
        <v>46142</v>
      </c>
      <c r="O38" s="57" t="inlineStr">
        <is>
          <t>25041502</t>
        </is>
      </c>
      <c r="P38" s="57" t="inlineStr">
        <is>
          <t>PDNSW DB License Ext</t>
        </is>
      </c>
      <c r="Q38" s="57" t="inlineStr">
        <is>
          <t>INTEGRATION</t>
        </is>
      </c>
    </row>
    <row r="39">
      <c r="J39" s="57" t="inlineStr">
        <is>
          <t>48000</t>
        </is>
      </c>
      <c r="K39" s="57" t="inlineStr">
        <is>
          <t>Miscellaneous Income</t>
        </is>
      </c>
      <c r="M39" s="58" t="n">
        <v>46173</v>
      </c>
      <c r="O39" s="57" t="inlineStr">
        <is>
          <t>2505</t>
        </is>
      </c>
      <c r="P39" s="57" t="inlineStr">
        <is>
          <t>ONS PWC (non-chargeable)</t>
        </is>
      </c>
      <c r="Q39" s="57" t="inlineStr"/>
    </row>
    <row r="40">
      <c r="M40" s="58" t="n">
        <v>46203</v>
      </c>
      <c r="O40" s="57" t="inlineStr">
        <is>
          <t>25051302</t>
        </is>
      </c>
      <c r="P40" s="57" t="inlineStr">
        <is>
          <t>NSW Prop Bradfield Desk Booking + Penrith Additional</t>
        </is>
      </c>
      <c r="Q40" s="57" t="inlineStr">
        <is>
          <t>INTEGRATION</t>
        </is>
      </c>
    </row>
    <row r="41">
      <c r="M41" s="58" t="n">
        <v>46234</v>
      </c>
      <c r="O41" s="57" t="inlineStr">
        <is>
          <t>25051403</t>
        </is>
      </c>
      <c r="P41" s="57" t="inlineStr">
        <is>
          <t>DTTL SYD Tech Supp TMT AP</t>
        </is>
      </c>
      <c r="Q41" s="57" t="inlineStr">
        <is>
          <t>ONSITE</t>
        </is>
      </c>
    </row>
    <row r="42">
      <c r="M42" s="58" t="n">
        <v>46265</v>
      </c>
      <c r="O42" s="57" t="inlineStr">
        <is>
          <t>25052802</t>
        </is>
      </c>
      <c r="P42" s="57" t="inlineStr">
        <is>
          <t>Aus Retirement Trust Members Meeting 2025</t>
        </is>
      </c>
      <c r="Q42" s="57" t="inlineStr">
        <is>
          <t>PRODUCTION</t>
        </is>
      </c>
    </row>
    <row r="43">
      <c r="M43" s="58" t="n">
        <v>46295</v>
      </c>
      <c r="O43" s="57" t="inlineStr">
        <is>
          <t>2505901</t>
        </is>
      </c>
      <c r="P43" s="57" t="inlineStr">
        <is>
          <t>COS Projector Lens Supply</t>
        </is>
      </c>
      <c r="Q43" s="57" t="inlineStr">
        <is>
          <t>INTEGRATION</t>
        </is>
      </c>
    </row>
    <row r="44">
      <c r="M44" s="58" t="n">
        <v>46326</v>
      </c>
      <c r="O44" s="57" t="inlineStr">
        <is>
          <t>2506</t>
        </is>
      </c>
      <c r="P44" s="57" t="inlineStr">
        <is>
          <t>ONS BWEST (non-chargeable)</t>
        </is>
      </c>
      <c r="Q44" s="57" t="inlineStr"/>
    </row>
    <row r="45">
      <c r="M45" s="58" t="n">
        <v>46356</v>
      </c>
      <c r="O45" s="57" t="inlineStr">
        <is>
          <t>25060301</t>
        </is>
      </c>
      <c r="P45" s="57" t="inlineStr">
        <is>
          <t>6PSQ L12 Desk Booking</t>
        </is>
      </c>
      <c r="Q45" s="57" t="inlineStr">
        <is>
          <t>INTEGRATION</t>
        </is>
      </c>
    </row>
    <row r="46">
      <c r="M46" s="58" t="n">
        <v>46387</v>
      </c>
      <c r="O46" s="57" t="inlineStr">
        <is>
          <t>25060307</t>
        </is>
      </c>
      <c r="P46" s="57" t="inlineStr">
        <is>
          <t>DPIE Molesworth St D/B</t>
        </is>
      </c>
      <c r="Q46" s="57" t="inlineStr">
        <is>
          <t>INTEGRATION</t>
        </is>
      </c>
    </row>
    <row r="47">
      <c r="M47" s="58" t="n">
        <v>46418</v>
      </c>
      <c r="O47" s="57" t="inlineStr">
        <is>
          <t>2506208</t>
        </is>
      </c>
      <c r="P47" s="57" t="inlineStr">
        <is>
          <t>CBA AGM 2026</t>
        </is>
      </c>
      <c r="Q47" s="57" t="inlineStr">
        <is>
          <t>PRODUCTION</t>
        </is>
      </c>
    </row>
    <row r="48">
      <c r="M48" s="58" t="n">
        <v>46446</v>
      </c>
      <c r="O48" s="57" t="inlineStr">
        <is>
          <t>2506208V</t>
        </is>
      </c>
      <c r="P48" s="57" t="inlineStr">
        <is>
          <t>CBA AGM 2026</t>
        </is>
      </c>
      <c r="Q48" s="57" t="inlineStr">
        <is>
          <t>VIDEO</t>
        </is>
      </c>
    </row>
    <row r="49">
      <c r="M49" s="58" t="n">
        <v>46477</v>
      </c>
      <c r="O49" s="57" t="inlineStr">
        <is>
          <t>25063001V</t>
        </is>
      </c>
      <c r="P49" s="57" t="inlineStr">
        <is>
          <t>APA All Hands Staff</t>
        </is>
      </c>
      <c r="Q49" s="57" t="inlineStr">
        <is>
          <t>VIDEO</t>
        </is>
      </c>
    </row>
    <row r="50">
      <c r="M50" s="58" t="n">
        <v>46507</v>
      </c>
      <c r="O50" s="57" t="inlineStr">
        <is>
          <t>25070702</t>
        </is>
      </c>
      <c r="P50" s="57" t="inlineStr">
        <is>
          <t>APA VMS Brisbane &amp; Darwin</t>
        </is>
      </c>
      <c r="Q50" s="57" t="inlineStr">
        <is>
          <t>INTEGRATION</t>
        </is>
      </c>
    </row>
    <row r="51">
      <c r="M51" s="58" t="n">
        <v>46538</v>
      </c>
      <c r="O51" s="57" t="inlineStr">
        <is>
          <t>2507203</t>
        </is>
      </c>
      <c r="P51" s="57" t="inlineStr">
        <is>
          <t>Hills Grammar Airmedia Supply</t>
        </is>
      </c>
      <c r="Q51" s="57" t="inlineStr">
        <is>
          <t>INTEGRATION</t>
        </is>
      </c>
    </row>
    <row r="52">
      <c r="M52" s="58" t="n">
        <v>46568</v>
      </c>
      <c r="O52" s="57" t="inlineStr">
        <is>
          <t>25081402</t>
        </is>
      </c>
      <c r="P52" s="57" t="inlineStr">
        <is>
          <t>Hills Grammar Loan Airmedia Purchase</t>
        </is>
      </c>
      <c r="Q52" s="57" t="inlineStr">
        <is>
          <t>INTEGRATION</t>
        </is>
      </c>
    </row>
    <row r="53">
      <c r="M53" s="58" t="n">
        <v>46599</v>
      </c>
      <c r="O53" s="57" t="inlineStr">
        <is>
          <t>25082501</t>
        </is>
      </c>
      <c r="P53" s="57" t="inlineStr">
        <is>
          <t>APA Sydney Tablet Brackets</t>
        </is>
      </c>
      <c r="Q53" s="57" t="inlineStr">
        <is>
          <t>INTEGRATION</t>
        </is>
      </c>
    </row>
    <row r="54">
      <c r="M54" s="58" t="n">
        <v>46630</v>
      </c>
      <c r="O54" s="57" t="inlineStr">
        <is>
          <t>25091703</t>
        </is>
      </c>
      <c r="P54" s="57" t="inlineStr">
        <is>
          <t>Scentre Group Marion Superscreen (D10396) Test and Cert</t>
        </is>
      </c>
      <c r="Q54" s="57" t="inlineStr">
        <is>
          <t>CONSULTING</t>
        </is>
      </c>
    </row>
    <row r="55">
      <c r="M55" s="58" t="n">
        <v>46660</v>
      </c>
      <c r="O55" s="57" t="inlineStr">
        <is>
          <t>25101301</t>
        </is>
      </c>
      <c r="P55" s="57" t="inlineStr">
        <is>
          <t>PWC IT Support – Melbourne</t>
        </is>
      </c>
      <c r="Q55" s="57" t="inlineStr">
        <is>
          <t>ONSITE</t>
        </is>
      </c>
    </row>
    <row r="56">
      <c r="M56" s="58" t="n">
        <v>46691</v>
      </c>
      <c r="O56" s="57" t="inlineStr">
        <is>
          <t>25101301B</t>
        </is>
      </c>
      <c r="P56" s="57" t="inlineStr">
        <is>
          <t>PWC IT Support – Sydney</t>
        </is>
      </c>
      <c r="Q56" s="57" t="inlineStr">
        <is>
          <t>ONSITE</t>
        </is>
      </c>
    </row>
    <row r="57">
      <c r="M57" s="58" t="n">
        <v>46721</v>
      </c>
      <c r="O57" s="57" t="inlineStr">
        <is>
          <t>2510202</t>
        </is>
      </c>
      <c r="P57" s="57" t="inlineStr">
        <is>
          <t>HP Poly Room Assessment</t>
        </is>
      </c>
      <c r="Q57" s="57" t="inlineStr">
        <is>
          <t>CONSULTING</t>
        </is>
      </c>
    </row>
    <row r="58">
      <c r="M58" s="58" t="n">
        <v>46752</v>
      </c>
      <c r="O58" s="57" t="inlineStr">
        <is>
          <t>2510205</t>
        </is>
      </c>
      <c r="P58" s="57" t="inlineStr">
        <is>
          <t>NSW Property RGB Desk Booking</t>
        </is>
      </c>
      <c r="Q58" s="57" t="inlineStr">
        <is>
          <t>INTEGRATION</t>
        </is>
      </c>
    </row>
    <row r="59">
      <c r="M59" s="58" t="n">
        <v>46783</v>
      </c>
      <c r="O59" s="57" t="inlineStr">
        <is>
          <t>2510210</t>
        </is>
      </c>
      <c r="P59" s="57" t="inlineStr">
        <is>
          <t>Scentre Group Westfield Bondi Screen Tests</t>
        </is>
      </c>
      <c r="Q59" s="57" t="inlineStr">
        <is>
          <t>CONSULTING</t>
        </is>
      </c>
    </row>
    <row r="60">
      <c r="M60" s="58" t="n">
        <v>46812</v>
      </c>
      <c r="O60" s="57" t="inlineStr">
        <is>
          <t>25102701</t>
        </is>
      </c>
      <c r="P60" s="57" t="inlineStr">
        <is>
          <t>DEWR - Studio Upgrade - Consulting, Design</t>
        </is>
      </c>
      <c r="Q60" s="57" t="inlineStr">
        <is>
          <t>CONSULTING</t>
        </is>
      </c>
    </row>
    <row r="61">
      <c r="M61" s="58" t="n">
        <v>46843</v>
      </c>
      <c r="O61" s="57" t="inlineStr">
        <is>
          <t>25102801</t>
        </is>
      </c>
      <c r="P61" s="57" t="inlineStr">
        <is>
          <t>DTTL SYD QQT Additional Mics Install in L45 Seminar Space</t>
        </is>
      </c>
      <c r="Q61" s="57" t="inlineStr">
        <is>
          <t>INTEGRATION</t>
        </is>
      </c>
    </row>
    <row r="62">
      <c r="M62" s="58" t="n">
        <v>46873</v>
      </c>
      <c r="O62" s="57" t="inlineStr">
        <is>
          <t>25102802</t>
        </is>
      </c>
      <c r="P62" s="57" t="inlineStr">
        <is>
          <t>Novigi Meeting Space Inspection</t>
        </is>
      </c>
      <c r="Q62" s="57" t="inlineStr">
        <is>
          <t>CONSULTING</t>
        </is>
      </c>
    </row>
    <row r="63">
      <c r="M63" s="58" t="n">
        <v>46904</v>
      </c>
      <c r="O63" s="57" t="inlineStr">
        <is>
          <t>2510804</t>
        </is>
      </c>
      <c r="P63" s="57" t="inlineStr">
        <is>
          <t>CommSecurity Presynct QLD Desk Booking</t>
        </is>
      </c>
      <c r="Q63" s="57" t="inlineStr">
        <is>
          <t>INTEGRATION</t>
        </is>
      </c>
    </row>
    <row r="64">
      <c r="M64" s="58" t="n">
        <v>46934</v>
      </c>
      <c r="O64" s="57" t="inlineStr">
        <is>
          <t>2510805</t>
        </is>
      </c>
      <c r="P64" s="57" t="inlineStr">
        <is>
          <t>PNSW Reconstruction Authority Newcastle</t>
        </is>
      </c>
      <c r="Q64" s="57" t="inlineStr">
        <is>
          <t>INTEGRATION</t>
        </is>
      </c>
    </row>
    <row r="65">
      <c r="M65" s="58" t="n">
        <v>46965</v>
      </c>
      <c r="O65" s="57" t="inlineStr">
        <is>
          <t>25111203</t>
        </is>
      </c>
      <c r="P65" s="57" t="inlineStr">
        <is>
          <t>CoS | Barco E3 Sale</t>
        </is>
      </c>
      <c r="Q65" s="57" t="inlineStr">
        <is>
          <t>INTEGRATION</t>
        </is>
      </c>
    </row>
    <row r="66">
      <c r="M66" s="58" t="n">
        <v>46996</v>
      </c>
      <c r="O66" s="57" t="inlineStr">
        <is>
          <t>25112801</t>
        </is>
      </c>
      <c r="P66" s="57" t="inlineStr">
        <is>
          <t>APA MEL - iPad &amp; Bouncepad Sale</t>
        </is>
      </c>
      <c r="Q66" s="57" t="inlineStr">
        <is>
          <t>INTEGRATION</t>
        </is>
      </c>
    </row>
    <row r="67">
      <c r="M67" s="58" t="n">
        <v>47026</v>
      </c>
      <c r="O67" s="57" t="inlineStr">
        <is>
          <t>25121001</t>
        </is>
      </c>
      <c r="P67" s="57" t="inlineStr">
        <is>
          <t>HP Poly Mic System Sale and Install at Mission Australia</t>
        </is>
      </c>
      <c r="Q67" s="57" t="inlineStr">
        <is>
          <t>INTEGRATION</t>
        </is>
      </c>
    </row>
    <row r="68">
      <c r="M68" s="58" t="n">
        <v>47057</v>
      </c>
      <c r="O68" s="57" t="inlineStr">
        <is>
          <t>25121007</t>
        </is>
      </c>
      <c r="P68" s="57" t="inlineStr">
        <is>
          <t>Novigi SYD/MEL boardroom Mic upgrade + Cable Tidy</t>
        </is>
      </c>
      <c r="Q68" s="57" t="inlineStr">
        <is>
          <t>INTEGRATION</t>
        </is>
      </c>
    </row>
    <row r="69">
      <c r="M69" s="58" t="n">
        <v>47087</v>
      </c>
      <c r="O69" s="57" t="inlineStr">
        <is>
          <t>25121208</t>
        </is>
      </c>
      <c r="P69" s="57" t="inlineStr">
        <is>
          <t>APA HYR &amp; FYR Package 2026</t>
        </is>
      </c>
      <c r="Q69" s="57" t="inlineStr">
        <is>
          <t>PRODUCTION</t>
        </is>
      </c>
    </row>
    <row r="70">
      <c r="M70" s="58" t="n">
        <v>47118</v>
      </c>
      <c r="O70" s="57" t="inlineStr">
        <is>
          <t>2512503</t>
        </is>
      </c>
      <c r="P70" s="57" t="inlineStr">
        <is>
          <t>Ventia EOY Town Hall 10.12.2025</t>
        </is>
      </c>
      <c r="Q70" s="57" t="inlineStr">
        <is>
          <t>PRODUCTION</t>
        </is>
      </c>
    </row>
    <row r="71">
      <c r="M71" s="58" t="n">
        <v>47149</v>
      </c>
      <c r="O71" s="57" t="inlineStr">
        <is>
          <t>2512503V</t>
        </is>
      </c>
      <c r="P71" s="57" t="inlineStr">
        <is>
          <t>Ventia EOY Town Hall 10.12.2025</t>
        </is>
      </c>
      <c r="Q71" s="57" t="inlineStr">
        <is>
          <t>VIDEO</t>
        </is>
      </c>
    </row>
    <row r="72">
      <c r="M72" s="58" t="n">
        <v>47177</v>
      </c>
      <c r="O72" s="57" t="inlineStr">
        <is>
          <t>2512804</t>
        </is>
      </c>
      <c r="P72" s="57" t="inlineStr">
        <is>
          <t>RSNSW Ordinary General Meeting 5.8.26</t>
        </is>
      </c>
      <c r="Q72" s="57" t="inlineStr">
        <is>
          <t>PRODUCTION</t>
        </is>
      </c>
    </row>
    <row r="73">
      <c r="M73" s="58" t="n">
        <v>47208</v>
      </c>
      <c r="O73" s="57" t="inlineStr">
        <is>
          <t>2512804V</t>
        </is>
      </c>
      <c r="P73" s="57" t="inlineStr">
        <is>
          <t>RSNSW Ordinary General Meeting 5.8.26</t>
        </is>
      </c>
      <c r="Q73" s="57" t="inlineStr">
        <is>
          <t>VIDEO</t>
        </is>
      </c>
    </row>
    <row r="74">
      <c r="M74" s="58" t="n">
        <v>47238</v>
      </c>
      <c r="O74" s="57" t="inlineStr">
        <is>
          <t>2512805</t>
        </is>
      </c>
      <c r="P74" s="57" t="inlineStr">
        <is>
          <t>RSNSW Ordinary General Meeting 7.10.2026</t>
        </is>
      </c>
      <c r="Q74" s="57" t="inlineStr">
        <is>
          <t>PRODUCTION</t>
        </is>
      </c>
    </row>
    <row r="75">
      <c r="M75" s="58" t="n">
        <v>47269</v>
      </c>
      <c r="O75" s="57" t="inlineStr">
        <is>
          <t>2512805V</t>
        </is>
      </c>
      <c r="P75" s="57" t="inlineStr">
        <is>
          <t>RSNSW Ordinary General Meeting 7.10.2026</t>
        </is>
      </c>
      <c r="Q75" s="57" t="inlineStr">
        <is>
          <t>VIDEO</t>
        </is>
      </c>
    </row>
    <row r="76">
      <c r="M76" s="58" t="n">
        <v>47299</v>
      </c>
      <c r="O76" s="57" t="inlineStr">
        <is>
          <t>2512806</t>
        </is>
      </c>
      <c r="P76" s="57" t="inlineStr">
        <is>
          <t>RSNSW Ordinary General Meeting 2.12.26</t>
        </is>
      </c>
      <c r="Q76" s="57" t="inlineStr">
        <is>
          <t>PRODUCTION</t>
        </is>
      </c>
    </row>
    <row r="77">
      <c r="M77" s="58" t="n">
        <v>47330</v>
      </c>
      <c r="O77" s="57" t="inlineStr">
        <is>
          <t>2512806V</t>
        </is>
      </c>
      <c r="P77" s="57" t="inlineStr">
        <is>
          <t>RSNSW Ordinary General Meeting 2.12.26</t>
        </is>
      </c>
      <c r="Q77" s="57" t="inlineStr">
        <is>
          <t>VIDEO</t>
        </is>
      </c>
    </row>
    <row r="78">
      <c r="M78" s="58" t="n">
        <v>47361</v>
      </c>
      <c r="O78" s="57" t="inlineStr">
        <is>
          <t>2519</t>
        </is>
      </c>
      <c r="P78" s="57" t="inlineStr">
        <is>
          <t>NSW Prop-6PSQ Visitor MG</t>
        </is>
      </c>
      <c r="Q78" s="57" t="inlineStr">
        <is>
          <t>INTEGRATION</t>
        </is>
      </c>
    </row>
    <row r="79">
      <c r="M79" s="58" t="n">
        <v>47391</v>
      </c>
      <c r="O79" s="57" t="inlineStr">
        <is>
          <t>2521</t>
        </is>
      </c>
      <c r="P79" s="57" t="inlineStr">
        <is>
          <t>PWC - PER Tech</t>
        </is>
      </c>
      <c r="Q79" s="57" t="inlineStr">
        <is>
          <t>ONSITE</t>
        </is>
      </c>
    </row>
    <row r="80">
      <c r="M80" s="58" t="n">
        <v>47422</v>
      </c>
      <c r="O80" s="57" t="inlineStr">
        <is>
          <t>2540</t>
        </is>
      </c>
      <c r="P80" s="57" t="inlineStr">
        <is>
          <t>PWC - SYD Tech</t>
        </is>
      </c>
      <c r="Q80" s="57" t="inlineStr">
        <is>
          <t>ONSITE</t>
        </is>
      </c>
    </row>
    <row r="81">
      <c r="M81" s="58" t="n">
        <v>47452</v>
      </c>
      <c r="O81" s="57" t="inlineStr">
        <is>
          <t>2543</t>
        </is>
      </c>
      <c r="P81" s="57" t="inlineStr">
        <is>
          <t>DTTL MEL Tech (PT)</t>
        </is>
      </c>
      <c r="Q81" s="57" t="inlineStr">
        <is>
          <t>ONSITE</t>
        </is>
      </c>
    </row>
    <row r="82">
      <c r="M82" s="58" t="n">
        <v>47483</v>
      </c>
      <c r="O82" s="57" t="inlineStr">
        <is>
          <t>2591012</t>
        </is>
      </c>
      <c r="P82" s="57" t="inlineStr">
        <is>
          <t>St. Luke's Non-chargeable</t>
        </is>
      </c>
      <c r="Q82" s="57" t="inlineStr">
        <is>
          <t>PRODUCTION</t>
        </is>
      </c>
    </row>
    <row r="83">
      <c r="M83" s="58" t="n">
        <v>47514</v>
      </c>
      <c r="O83" s="57" t="inlineStr">
        <is>
          <t>2591012C</t>
        </is>
      </c>
      <c r="P83" s="57" t="inlineStr">
        <is>
          <t>St. Luke's Church</t>
        </is>
      </c>
      <c r="Q83" s="57" t="inlineStr">
        <is>
          <t>PRODUCTION</t>
        </is>
      </c>
    </row>
    <row r="84">
      <c r="M84" s="58" t="n">
        <v>47542</v>
      </c>
      <c r="O84" s="57" t="inlineStr">
        <is>
          <t>2593</t>
        </is>
      </c>
      <c r="P84" s="57" t="inlineStr">
        <is>
          <t>PWC CBR Technician</t>
        </is>
      </c>
      <c r="Q84" s="57" t="inlineStr">
        <is>
          <t>ONSITE</t>
        </is>
      </c>
    </row>
    <row r="85">
      <c r="M85" s="58" t="n">
        <v>47573</v>
      </c>
      <c r="O85" s="57" t="inlineStr">
        <is>
          <t>2598</t>
        </is>
      </c>
      <c r="P85" s="57" t="inlineStr">
        <is>
          <t>DTTL WA Tech</t>
        </is>
      </c>
      <c r="Q85" s="57" t="inlineStr">
        <is>
          <t>ONSITE</t>
        </is>
      </c>
    </row>
    <row r="86">
      <c r="M86" s="58" t="n">
        <v>47603</v>
      </c>
      <c r="O86" s="57" t="inlineStr">
        <is>
          <t>26011404</t>
        </is>
      </c>
      <c r="P86" s="57" t="inlineStr">
        <is>
          <t>ASX CEO Connect (Extended Results) 1.9.26</t>
        </is>
      </c>
      <c r="Q86" s="57" t="inlineStr">
        <is>
          <t>PRODUCTION</t>
        </is>
      </c>
    </row>
    <row r="87">
      <c r="M87" s="58" t="n">
        <v>47634</v>
      </c>
      <c r="O87" s="57" t="inlineStr">
        <is>
          <t>26011404V</t>
        </is>
      </c>
      <c r="P87" s="57" t="inlineStr">
        <is>
          <t>ASX CEO Connect (Extended Results) 1.9.26</t>
        </is>
      </c>
      <c r="Q87" s="57" t="inlineStr">
        <is>
          <t>VIDEO</t>
        </is>
      </c>
    </row>
    <row r="88">
      <c r="M88" s="58" t="n">
        <v>47664</v>
      </c>
      <c r="O88" s="57" t="inlineStr">
        <is>
          <t>26011407</t>
        </is>
      </c>
      <c r="P88" s="57" t="inlineStr">
        <is>
          <t>ASX CEO Connect 27.10.26</t>
        </is>
      </c>
      <c r="Q88" s="57" t="inlineStr">
        <is>
          <t>PRODUCTION</t>
        </is>
      </c>
    </row>
    <row r="89">
      <c r="M89" s="58" t="n">
        <v>47695</v>
      </c>
      <c r="O89" s="57" t="inlineStr">
        <is>
          <t>26011407V</t>
        </is>
      </c>
      <c r="P89" s="57" t="inlineStr">
        <is>
          <t>ASX CEO Connect 27.10.26</t>
        </is>
      </c>
      <c r="Q89" s="57" t="inlineStr">
        <is>
          <t>VIDEO</t>
        </is>
      </c>
    </row>
    <row r="90">
      <c r="M90" s="58" t="n">
        <v>47726</v>
      </c>
      <c r="O90" s="57" t="inlineStr">
        <is>
          <t>26011408</t>
        </is>
      </c>
      <c r="P90" s="57" t="inlineStr">
        <is>
          <t>ASX CEO Connect 1.12.26</t>
        </is>
      </c>
      <c r="Q90" s="57" t="inlineStr">
        <is>
          <t>PRODUCTION</t>
        </is>
      </c>
    </row>
    <row r="91">
      <c r="M91" s="58" t="n">
        <v>47756</v>
      </c>
      <c r="O91" s="57" t="inlineStr">
        <is>
          <t>26011408V</t>
        </is>
      </c>
      <c r="P91" s="57" t="inlineStr">
        <is>
          <t>ASX CEO Connect 1.12.26</t>
        </is>
      </c>
      <c r="Q91" s="57" t="inlineStr">
        <is>
          <t>VIDEO</t>
        </is>
      </c>
    </row>
    <row r="92">
      <c r="M92" s="58" t="n">
        <v>47787</v>
      </c>
      <c r="O92" s="57" t="inlineStr">
        <is>
          <t>26011409</t>
        </is>
      </c>
      <c r="P92" s="57" t="inlineStr">
        <is>
          <t>ASX Investor Days Sydney &amp; Melbourne 2026</t>
        </is>
      </c>
      <c r="Q92" s="57" t="inlineStr">
        <is>
          <t>PRODUCTION</t>
        </is>
      </c>
    </row>
    <row r="93">
      <c r="M93" s="58" t="n">
        <v>47817</v>
      </c>
      <c r="O93" s="57" t="inlineStr">
        <is>
          <t>26011501</t>
        </is>
      </c>
      <c r="P93" s="57" t="inlineStr">
        <is>
          <t>ASX Refinitiv Charity Golf Classic H/L Vid 2026</t>
        </is>
      </c>
      <c r="Q93" s="57" t="inlineStr">
        <is>
          <t>VIDEO</t>
        </is>
      </c>
    </row>
    <row r="94">
      <c r="M94" s="58" t="n">
        <v>47848</v>
      </c>
      <c r="O94" s="57" t="inlineStr">
        <is>
          <t>26011502</t>
        </is>
      </c>
      <c r="P94" s="57" t="inlineStr">
        <is>
          <t>ASX Charity Regatta Highlights Video 2026</t>
        </is>
      </c>
      <c r="Q94" s="57" t="inlineStr">
        <is>
          <t>VIDEO</t>
        </is>
      </c>
    </row>
    <row r="95">
      <c r="M95" s="58" t="n">
        <v>47879</v>
      </c>
      <c r="O95" s="57" t="inlineStr">
        <is>
          <t>26012301</t>
        </is>
      </c>
      <c r="P95" s="57" t="inlineStr">
        <is>
          <t>PWC IT Support - Brisbane</t>
        </is>
      </c>
      <c r="Q95" s="57" t="inlineStr">
        <is>
          <t>ONSITE</t>
        </is>
      </c>
    </row>
    <row r="96">
      <c r="M96" s="58" t="n">
        <v>47907</v>
      </c>
      <c r="O96" s="57" t="inlineStr">
        <is>
          <t>2601701</t>
        </is>
      </c>
      <c r="P96" s="57" t="inlineStr">
        <is>
          <t>CEOi - TLP Brand Video</t>
        </is>
      </c>
      <c r="Q96" s="57" t="inlineStr">
        <is>
          <t>VIDEO</t>
        </is>
      </c>
    </row>
    <row r="97">
      <c r="M97" s="58" t="n">
        <v>47938</v>
      </c>
      <c r="O97" s="57" t="inlineStr">
        <is>
          <t>26021602</t>
        </is>
      </c>
      <c r="P97" s="57" t="inlineStr">
        <is>
          <t>Gen E ABS AV Support (Canberra)</t>
        </is>
      </c>
      <c r="Q97" s="57" t="inlineStr">
        <is>
          <t>ONSITE</t>
        </is>
      </c>
    </row>
    <row r="98">
      <c r="M98" s="58" t="n">
        <v>47968</v>
      </c>
      <c r="O98" s="57" t="inlineStr">
        <is>
          <t>26021602N</t>
        </is>
      </c>
      <c r="P98" s="57" t="inlineStr">
        <is>
          <t>Gen E ABS AV Support (Canberra) [ONS non-chargeable]</t>
        </is>
      </c>
      <c r="Q98" s="57" t="inlineStr"/>
    </row>
    <row r="99">
      <c r="M99" s="58" t="n">
        <v>47999</v>
      </c>
      <c r="O99" s="57" t="inlineStr">
        <is>
          <t>26021801</t>
        </is>
      </c>
      <c r="P99" s="57" t="inlineStr">
        <is>
          <t>Aware Super Seminar Room AV Upgrade</t>
        </is>
      </c>
      <c r="Q99" s="57" t="inlineStr">
        <is>
          <t>INTEGRATION</t>
        </is>
      </c>
    </row>
    <row r="100">
      <c r="M100" s="58" t="n">
        <v>48029</v>
      </c>
      <c r="O100" s="57" t="inlineStr">
        <is>
          <t>2602203</t>
        </is>
      </c>
      <c r="P100" s="57" t="inlineStr">
        <is>
          <t>YSG Studio Orange Room Upgrade</t>
        </is>
      </c>
      <c r="Q100" s="57" t="inlineStr">
        <is>
          <t>CONSULTING</t>
        </is>
      </c>
    </row>
    <row r="101">
      <c r="O101" s="57" t="inlineStr">
        <is>
          <t>26022301</t>
        </is>
      </c>
      <c r="P101" s="57" t="inlineStr">
        <is>
          <t>Aware Super AV Maintenance</t>
        </is>
      </c>
      <c r="Q101" s="57" t="inlineStr">
        <is>
          <t>ONSITE</t>
        </is>
      </c>
    </row>
    <row r="102">
      <c r="O102" s="57" t="inlineStr">
        <is>
          <t>26022301C</t>
        </is>
      </c>
      <c r="P102" s="57" t="inlineStr">
        <is>
          <t>Aware Super AV Maintenance</t>
        </is>
      </c>
      <c r="Q102" s="57" t="inlineStr">
        <is>
          <t>CONSULTING</t>
        </is>
      </c>
    </row>
    <row r="103">
      <c r="O103" s="57" t="inlineStr">
        <is>
          <t>26022301NC</t>
        </is>
      </c>
      <c r="P103" s="57" t="inlineStr">
        <is>
          <t>Aware Super AV Maintenance Non-chargeable</t>
        </is>
      </c>
      <c r="Q103" s="57" t="inlineStr">
        <is>
          <t>ONSITE</t>
        </is>
      </c>
    </row>
    <row r="104">
      <c r="O104" s="57" t="inlineStr">
        <is>
          <t>26022301P</t>
        </is>
      </c>
      <c r="P104" s="57" t="inlineStr">
        <is>
          <t>Aware Super AV Maintenance</t>
        </is>
      </c>
      <c r="Q104" s="57" t="inlineStr">
        <is>
          <t>PRODUCTION</t>
        </is>
      </c>
    </row>
    <row r="105">
      <c r="O105" s="57" t="inlineStr">
        <is>
          <t>26022302</t>
        </is>
      </c>
      <c r="P105" s="57" t="inlineStr">
        <is>
          <t>GP - Talking Philanthropy - 18.9.26</t>
        </is>
      </c>
      <c r="Q105" s="57" t="inlineStr">
        <is>
          <t>PRODUCTION</t>
        </is>
      </c>
    </row>
    <row r="106">
      <c r="O106" s="57" t="inlineStr">
        <is>
          <t>26022302V</t>
        </is>
      </c>
      <c r="P106" s="57" t="inlineStr">
        <is>
          <t>GP - Talking Philanthropy - 18.9.26</t>
        </is>
      </c>
      <c r="Q106" s="57" t="inlineStr">
        <is>
          <t>VIDEO</t>
        </is>
      </c>
    </row>
    <row r="107">
      <c r="O107" s="57" t="inlineStr">
        <is>
          <t>26022601</t>
        </is>
      </c>
      <c r="P107" s="57" t="inlineStr">
        <is>
          <t>ART - Annual Members Meeting - 25.11.26</t>
        </is>
      </c>
      <c r="Q107" s="57" t="inlineStr">
        <is>
          <t>PRODUCTION</t>
        </is>
      </c>
    </row>
    <row r="108">
      <c r="O108" s="57" t="inlineStr">
        <is>
          <t>26022601V</t>
        </is>
      </c>
      <c r="P108" s="57" t="inlineStr">
        <is>
          <t>ART - Annual Members Meeting - 25.11.26</t>
        </is>
      </c>
      <c r="Q108" s="57" t="inlineStr">
        <is>
          <t>VIDEO</t>
        </is>
      </c>
    </row>
    <row r="109">
      <c r="O109" s="57" t="inlineStr">
        <is>
          <t>2602901</t>
        </is>
      </c>
      <c r="P109" s="57" t="inlineStr">
        <is>
          <t>HP-Telstra: Phone Modification</t>
        </is>
      </c>
      <c r="Q109" s="57" t="inlineStr">
        <is>
          <t>INTEGRATION</t>
        </is>
      </c>
    </row>
    <row r="110">
      <c r="O110" s="57" t="inlineStr">
        <is>
          <t>2603104</t>
        </is>
      </c>
      <c r="P110" s="57" t="inlineStr">
        <is>
          <t>Cochlear FY26 Results 18.8.26</t>
        </is>
      </c>
      <c r="Q110" s="57" t="inlineStr">
        <is>
          <t>PRODUCTION</t>
        </is>
      </c>
    </row>
    <row r="111">
      <c r="O111" s="57" t="inlineStr">
        <is>
          <t>2603104V</t>
        </is>
      </c>
      <c r="P111" s="57" t="inlineStr">
        <is>
          <t>Cochlear FY26 Results 18.8.26</t>
        </is>
      </c>
      <c r="Q111" s="57" t="inlineStr">
        <is>
          <t>VIDEO</t>
        </is>
      </c>
    </row>
    <row r="112">
      <c r="O112" s="57" t="inlineStr">
        <is>
          <t>2603105</t>
        </is>
      </c>
      <c r="P112" s="57" t="inlineStr">
        <is>
          <t>Cochlear - AGM - 26.10.26</t>
        </is>
      </c>
      <c r="Q112" s="57" t="inlineStr">
        <is>
          <t>PRODUCTION</t>
        </is>
      </c>
    </row>
    <row r="113">
      <c r="O113" s="57" t="inlineStr">
        <is>
          <t>2603105V</t>
        </is>
      </c>
      <c r="P113" s="57" t="inlineStr">
        <is>
          <t>Cochlear - AGM - 26.10.26</t>
        </is>
      </c>
      <c r="Q113" s="57" t="inlineStr">
        <is>
          <t>VIDEO</t>
        </is>
      </c>
    </row>
    <row r="114">
      <c r="O114" s="57" t="inlineStr">
        <is>
          <t>2603202</t>
        </is>
      </c>
      <c r="P114" s="57" t="inlineStr">
        <is>
          <t>Property NSW 5 O’Keefe Ave Nowra Workplace Hub</t>
        </is>
      </c>
      <c r="Q114" s="57" t="inlineStr">
        <is>
          <t>INTEGRATION</t>
        </is>
      </c>
    </row>
    <row r="115">
      <c r="O115" s="57" t="inlineStr">
        <is>
          <t>26032301</t>
        </is>
      </c>
      <c r="P115" s="57" t="inlineStr">
        <is>
          <t>RSNSW - OGM - 1.7.2026</t>
        </is>
      </c>
      <c r="Q115" s="57" t="inlineStr">
        <is>
          <t>PRODUCTION</t>
        </is>
      </c>
    </row>
    <row r="116">
      <c r="O116" s="57" t="inlineStr">
        <is>
          <t>26032301V</t>
        </is>
      </c>
      <c r="P116" s="57" t="inlineStr">
        <is>
          <t>RSNSW - OGM - 1.7.2026</t>
        </is>
      </c>
      <c r="Q116" s="57" t="inlineStr">
        <is>
          <t>VIDEO</t>
        </is>
      </c>
    </row>
    <row r="117">
      <c r="O117" s="57" t="inlineStr">
        <is>
          <t>26032302</t>
        </is>
      </c>
      <c r="P117" s="57" t="inlineStr">
        <is>
          <t>RSNSW - OGM - 2.9.2026</t>
        </is>
      </c>
      <c r="Q117" s="57" t="inlineStr">
        <is>
          <t>PRODUCTION</t>
        </is>
      </c>
    </row>
    <row r="118">
      <c r="O118" s="57" t="inlineStr">
        <is>
          <t>26032302V</t>
        </is>
      </c>
      <c r="P118" s="57" t="inlineStr">
        <is>
          <t>RSNSW - OGM - 2.9.2026</t>
        </is>
      </c>
      <c r="Q118" s="57" t="inlineStr">
        <is>
          <t>VIDEO</t>
        </is>
      </c>
    </row>
    <row r="119">
      <c r="O119" s="57" t="inlineStr">
        <is>
          <t>26032501</t>
        </is>
      </c>
      <c r="P119" s="57" t="inlineStr">
        <is>
          <t>ChorusCall - Regal Partners AGM - 28.5.26</t>
        </is>
      </c>
      <c r="Q119" s="57" t="inlineStr">
        <is>
          <t>PRODUCTION</t>
        </is>
      </c>
    </row>
    <row r="120">
      <c r="O120" s="57" t="inlineStr">
        <is>
          <t>26032502</t>
        </is>
      </c>
      <c r="P120" s="57" t="inlineStr">
        <is>
          <t>3YS Owls - Governance Top 100 2026 - 30.10.26</t>
        </is>
      </c>
      <c r="Q120" s="57" t="inlineStr">
        <is>
          <t>PRODUCTION</t>
        </is>
      </c>
    </row>
    <row r="121">
      <c r="O121" s="57" t="inlineStr">
        <is>
          <t>26032502V</t>
        </is>
      </c>
      <c r="P121" s="57" t="inlineStr">
        <is>
          <t>3YS Owls - Governance Top 100 2026 - 30.10.26</t>
        </is>
      </c>
      <c r="Q121" s="57" t="inlineStr">
        <is>
          <t>VIDEO</t>
        </is>
      </c>
    </row>
    <row r="122">
      <c r="O122" s="57" t="inlineStr">
        <is>
          <t>26032701</t>
        </is>
      </c>
      <c r="P122" s="57" t="inlineStr">
        <is>
          <t>MUFG - A1N AGM - 7.5.26</t>
        </is>
      </c>
      <c r="Q122" s="57" t="inlineStr">
        <is>
          <t>PRODUCTION</t>
        </is>
      </c>
    </row>
    <row r="123">
      <c r="O123" s="57" t="inlineStr">
        <is>
          <t>26032701V</t>
        </is>
      </c>
      <c r="P123" s="57" t="inlineStr">
        <is>
          <t>MUFG - A1N AGM - 7.5.26</t>
        </is>
      </c>
      <c r="Q123" s="57" t="inlineStr">
        <is>
          <t>VIDEO</t>
        </is>
      </c>
    </row>
    <row r="124">
      <c r="O124" s="57" t="inlineStr">
        <is>
          <t>26032702</t>
        </is>
      </c>
      <c r="P124" s="57" t="inlineStr">
        <is>
          <t>Ventia Transport Australia and Ventia Networking 6.5.26</t>
        </is>
      </c>
      <c r="Q124" s="57" t="inlineStr">
        <is>
          <t>PRODUCTION</t>
        </is>
      </c>
    </row>
    <row r="125">
      <c r="O125" s="57" t="inlineStr">
        <is>
          <t>26032704</t>
        </is>
      </c>
      <c r="P125" s="57" t="inlineStr">
        <is>
          <t>CBA LES - April 2026</t>
        </is>
      </c>
      <c r="Q125" s="57" t="inlineStr">
        <is>
          <t>PRODUCTION</t>
        </is>
      </c>
    </row>
    <row r="126">
      <c r="O126" s="57" t="inlineStr">
        <is>
          <t>26033003</t>
        </is>
      </c>
      <c r="P126" s="57" t="inlineStr">
        <is>
          <t>DTTL 8PSQ Dream Big Microphones</t>
        </is>
      </c>
      <c r="Q126" s="57" t="inlineStr">
        <is>
          <t>INTEGRATION</t>
        </is>
      </c>
    </row>
    <row r="127">
      <c r="O127" s="57" t="inlineStr">
        <is>
          <t>26033004</t>
        </is>
      </c>
      <c r="P127" s="57" t="inlineStr">
        <is>
          <t>DTTL Melbourne Bluetooth Audio</t>
        </is>
      </c>
      <c r="Q127" s="57" t="inlineStr">
        <is>
          <t>INTEGRATION</t>
        </is>
      </c>
    </row>
    <row r="128">
      <c r="O128" s="57" t="inlineStr">
        <is>
          <t>26033005</t>
        </is>
      </c>
      <c r="P128" s="57" t="inlineStr">
        <is>
          <t>DTTL QQT &amp; 8PSQ Crestron Connect Adaptor</t>
        </is>
      </c>
      <c r="Q128" s="57" t="inlineStr">
        <is>
          <t>INTEGRATION</t>
        </is>
      </c>
    </row>
    <row r="129">
      <c r="O129" s="57" t="inlineStr">
        <is>
          <t>26033006</t>
        </is>
      </c>
      <c r="P129" s="57" t="inlineStr">
        <is>
          <t>DTTL 8PSQ Bluetooth Audio</t>
        </is>
      </c>
      <c r="Q129" s="57" t="inlineStr">
        <is>
          <t>INTEGRATION</t>
        </is>
      </c>
    </row>
    <row r="130">
      <c r="O130" s="57" t="inlineStr">
        <is>
          <t>26033007</t>
        </is>
      </c>
      <c r="P130" s="57" t="inlineStr">
        <is>
          <t>DTTL QQT Lv45 Seminar Wheels repair</t>
        </is>
      </c>
      <c r="Q130" s="57" t="inlineStr">
        <is>
          <t>INTEGRATION</t>
        </is>
      </c>
    </row>
    <row r="131">
      <c r="O131" s="57" t="inlineStr">
        <is>
          <t>26033008</t>
        </is>
      </c>
      <c r="P131" s="57" t="inlineStr">
        <is>
          <t>DTTL MEL Repair of Lv31 LED panels</t>
        </is>
      </c>
      <c r="Q131" s="57" t="inlineStr">
        <is>
          <t>INTEGRATION</t>
        </is>
      </c>
    </row>
    <row r="132">
      <c r="O132" s="57" t="inlineStr">
        <is>
          <t>26041603</t>
        </is>
      </c>
      <c r="P132" s="57" t="inlineStr">
        <is>
          <t>Optiver - Town Hall - 23.7.26</t>
        </is>
      </c>
      <c r="Q132" s="57" t="inlineStr">
        <is>
          <t>PRODUCTION</t>
        </is>
      </c>
    </row>
    <row r="133">
      <c r="O133" s="57" t="inlineStr">
        <is>
          <t>26041603V</t>
        </is>
      </c>
      <c r="P133" s="57" t="inlineStr">
        <is>
          <t>Optiver - Town Hall - 23.7.26</t>
        </is>
      </c>
      <c r="Q133" s="57" t="inlineStr">
        <is>
          <t>VIDEO</t>
        </is>
      </c>
    </row>
    <row r="134">
      <c r="O134" s="57" t="inlineStr">
        <is>
          <t>26041701</t>
        </is>
      </c>
      <c r="P134" s="57" t="inlineStr">
        <is>
          <t>N2 Dance End of Year Concert Videos 2026</t>
        </is>
      </c>
      <c r="Q134" s="57" t="inlineStr">
        <is>
          <t>VIDEO</t>
        </is>
      </c>
    </row>
    <row r="135">
      <c r="O135" s="57" t="inlineStr">
        <is>
          <t>26042001</t>
        </is>
      </c>
      <c r="P135" s="57" t="inlineStr">
        <is>
          <t>ASX - AGM - 22.10.26</t>
        </is>
      </c>
      <c r="Q135" s="57" t="inlineStr">
        <is>
          <t>PRODUCTION</t>
        </is>
      </c>
    </row>
    <row r="136">
      <c r="O136" s="57" t="inlineStr">
        <is>
          <t>26042001V</t>
        </is>
      </c>
      <c r="P136" s="57" t="inlineStr">
        <is>
          <t>ASX - AGM - 22.10.26</t>
        </is>
      </c>
      <c r="Q136" s="57" t="inlineStr">
        <is>
          <t>VIDEO</t>
        </is>
      </c>
    </row>
    <row r="137">
      <c r="O137" s="57" t="inlineStr">
        <is>
          <t>2604201</t>
        </is>
      </c>
      <c r="P137" s="57" t="inlineStr">
        <is>
          <t>Bankwest - Stage Hire - 27.5.2026</t>
        </is>
      </c>
      <c r="Q137" s="57" t="inlineStr">
        <is>
          <t>PRODUCTION</t>
        </is>
      </c>
    </row>
    <row r="138">
      <c r="O138" s="57" t="inlineStr">
        <is>
          <t>2604202</t>
        </is>
      </c>
      <c r="P138" s="57" t="inlineStr">
        <is>
          <t>Ventia - Ventia Awards - 30.7.26</t>
        </is>
      </c>
      <c r="Q138" s="57" t="inlineStr">
        <is>
          <t>PRODUCTION</t>
        </is>
      </c>
    </row>
    <row r="139">
      <c r="O139" s="57" t="inlineStr">
        <is>
          <t>2604202V</t>
        </is>
      </c>
      <c r="P139" s="57" t="inlineStr">
        <is>
          <t>Ventia - Ventia Awards - 30.7.26</t>
        </is>
      </c>
      <c r="Q139" s="57" t="inlineStr">
        <is>
          <t>VIDEO</t>
        </is>
      </c>
    </row>
    <row r="140">
      <c r="O140" s="57" t="inlineStr">
        <is>
          <t>2604203V</t>
        </is>
      </c>
      <c r="P140" s="57" t="inlineStr">
        <is>
          <t>Ventia - Investor Day - 4.5.2026</t>
        </is>
      </c>
      <c r="Q140" s="57" t="inlineStr">
        <is>
          <t>VIDEO</t>
        </is>
      </c>
    </row>
    <row r="141">
      <c r="O141" s="57" t="inlineStr">
        <is>
          <t>2604204</t>
        </is>
      </c>
      <c r="P141" s="57" t="inlineStr">
        <is>
          <t>Ventia - AGM - 21.5.26</t>
        </is>
      </c>
      <c r="Q141" s="57" t="inlineStr">
        <is>
          <t>PRODUCTION</t>
        </is>
      </c>
    </row>
    <row r="142">
      <c r="O142" s="57" t="inlineStr">
        <is>
          <t>2604204V</t>
        </is>
      </c>
      <c r="P142" s="57" t="inlineStr">
        <is>
          <t>Ventia - AGM - 21.5.26</t>
        </is>
      </c>
      <c r="Q142" s="57" t="inlineStr">
        <is>
          <t>VIDEO</t>
        </is>
      </c>
    </row>
    <row r="143">
      <c r="O143" s="57" t="inlineStr">
        <is>
          <t>26042802</t>
        </is>
      </c>
      <c r="P143" s="57" t="inlineStr">
        <is>
          <t>DTTL DAR Meeting Room Extension Cable Install</t>
        </is>
      </c>
      <c r="Q143" s="57" t="inlineStr">
        <is>
          <t>INTEGRATION</t>
        </is>
      </c>
    </row>
    <row r="144">
      <c r="O144" s="57" t="inlineStr">
        <is>
          <t>26043001</t>
        </is>
      </c>
      <c r="P144" s="57" t="inlineStr">
        <is>
          <t>CBA FT Tech MEL - 12 months</t>
        </is>
      </c>
      <c r="Q144" s="57" t="inlineStr">
        <is>
          <t>ONSITE</t>
        </is>
      </c>
    </row>
    <row r="145">
      <c r="O145" s="57" t="inlineStr">
        <is>
          <t>26043002</t>
        </is>
      </c>
      <c r="P145" s="57" t="inlineStr">
        <is>
          <t>CTS Town Hall</t>
        </is>
      </c>
      <c r="Q145" s="57" t="inlineStr">
        <is>
          <t>CTS</t>
        </is>
      </c>
    </row>
    <row r="146">
      <c r="O146" s="57" t="inlineStr">
        <is>
          <t>26043003</t>
        </is>
      </c>
      <c r="P146" s="57" t="inlineStr">
        <is>
          <t>PwC Screen Replacements SYD+MEL</t>
        </is>
      </c>
      <c r="Q146" s="57" t="inlineStr">
        <is>
          <t>INTEGRATION</t>
        </is>
      </c>
    </row>
    <row r="147">
      <c r="O147" s="57" t="inlineStr">
        <is>
          <t>2604704</t>
        </is>
      </c>
      <c r="P147" s="57" t="inlineStr">
        <is>
          <t>Aware Super Seminar Room Audio Upgrade</t>
        </is>
      </c>
      <c r="Q147" s="57" t="inlineStr">
        <is>
          <t>INTEGRATION</t>
        </is>
      </c>
    </row>
    <row r="148">
      <c r="O148" s="57" t="inlineStr">
        <is>
          <t>2604802</t>
        </is>
      </c>
      <c r="P148" s="57" t="inlineStr">
        <is>
          <t>PwC - Audio Support - 29.4.26</t>
        </is>
      </c>
      <c r="Q148" s="57" t="inlineStr">
        <is>
          <t>PRODUCTION</t>
        </is>
      </c>
    </row>
    <row r="149">
      <c r="O149" s="57" t="inlineStr">
        <is>
          <t>26051101</t>
        </is>
      </c>
      <c r="P149" s="57" t="inlineStr">
        <is>
          <t>DTTL Mardi Gras/Vivid Event 27/05/26</t>
        </is>
      </c>
      <c r="Q149" s="57" t="inlineStr">
        <is>
          <t>PRODUCTION</t>
        </is>
      </c>
    </row>
    <row r="150">
      <c r="O150" s="57" t="inlineStr">
        <is>
          <t>26051101V</t>
        </is>
      </c>
      <c r="P150" s="57" t="inlineStr">
        <is>
          <t>DTTL Mardi Gras/Vivid Event 27/05/26</t>
        </is>
      </c>
      <c r="Q150" s="57" t="inlineStr">
        <is>
          <t>VIDEO</t>
        </is>
      </c>
    </row>
    <row r="151">
      <c r="O151" s="57" t="inlineStr">
        <is>
          <t>26051102</t>
        </is>
      </c>
      <c r="P151" s="57" t="inlineStr">
        <is>
          <t>DTTL - CEO Roadshow - 1.6.26</t>
        </is>
      </c>
      <c r="Q151" s="57" t="inlineStr">
        <is>
          <t>PRODUCTION</t>
        </is>
      </c>
    </row>
    <row r="152">
      <c r="O152" s="57" t="inlineStr">
        <is>
          <t>26051102V</t>
        </is>
      </c>
      <c r="P152" s="57" t="inlineStr">
        <is>
          <t>DTTL - CEO Roadshow - 1.6.26</t>
        </is>
      </c>
      <c r="Q152" s="57" t="inlineStr">
        <is>
          <t>VIDEO</t>
        </is>
      </c>
    </row>
    <row r="153">
      <c r="O153" s="57" t="inlineStr">
        <is>
          <t>26051103</t>
        </is>
      </c>
      <c r="P153" s="57" t="inlineStr">
        <is>
          <t>PwC PER Studio Support 25.05.26</t>
        </is>
      </c>
      <c r="Q153" s="57" t="inlineStr">
        <is>
          <t>PRODUCTION</t>
        </is>
      </c>
    </row>
    <row r="154">
      <c r="O154" s="57" t="inlineStr">
        <is>
          <t>26051103V</t>
        </is>
      </c>
      <c r="P154" s="57" t="inlineStr">
        <is>
          <t>PwC PER Studio Support 25.05.26</t>
        </is>
      </c>
      <c r="Q154" s="57" t="inlineStr">
        <is>
          <t>VIDEO</t>
        </is>
      </c>
    </row>
    <row r="155">
      <c r="O155" s="57" t="inlineStr">
        <is>
          <t>26051201</t>
        </is>
      </c>
      <c r="P155" s="57" t="inlineStr">
        <is>
          <t>ASX CEO Farewell Highlights</t>
        </is>
      </c>
      <c r="Q155" s="57" t="inlineStr">
        <is>
          <t>VIDEO</t>
        </is>
      </c>
    </row>
    <row r="156">
      <c r="O156" s="57" t="inlineStr">
        <is>
          <t>26051301</t>
        </is>
      </c>
      <c r="P156" s="57" t="inlineStr">
        <is>
          <t>HP-BAE | Phone Mod</t>
        </is>
      </c>
      <c r="Q156" s="57" t="inlineStr">
        <is>
          <t>INTEGRATION</t>
        </is>
      </c>
    </row>
    <row r="157">
      <c r="O157" s="57" t="inlineStr">
        <is>
          <t>26051401</t>
        </is>
      </c>
      <c r="P157" s="57" t="inlineStr">
        <is>
          <t>ASX - Business Meeting - 27.5.26</t>
        </is>
      </c>
      <c r="Q157" s="57" t="inlineStr">
        <is>
          <t>PRODUCTION</t>
        </is>
      </c>
    </row>
    <row r="158">
      <c r="O158" s="57" t="inlineStr">
        <is>
          <t>26051401V</t>
        </is>
      </c>
      <c r="P158" s="57" t="inlineStr">
        <is>
          <t>ASX - Business Meeting - 27.5.26</t>
        </is>
      </c>
      <c r="Q158" s="57" t="inlineStr">
        <is>
          <t>VIDEO</t>
        </is>
      </c>
    </row>
    <row r="159">
      <c r="O159" s="57" t="inlineStr">
        <is>
          <t>26051402</t>
        </is>
      </c>
      <c r="P159" s="57" t="inlineStr">
        <is>
          <t>PwC Foldback Monitor Hire</t>
        </is>
      </c>
      <c r="Q159" s="57" t="inlineStr">
        <is>
          <t>PRODUCTION</t>
        </is>
      </c>
    </row>
    <row r="160">
      <c r="O160" s="57" t="inlineStr">
        <is>
          <t>26051801</t>
        </is>
      </c>
      <c r="P160" s="57" t="inlineStr">
        <is>
          <t>PwC | Mel Studio Equipment</t>
        </is>
      </c>
      <c r="Q160" s="57" t="inlineStr">
        <is>
          <t>INTEGRATION</t>
        </is>
      </c>
    </row>
    <row r="161">
      <c r="O161" s="57" t="inlineStr">
        <is>
          <t>26051803</t>
        </is>
      </c>
      <c r="P161" s="57" t="inlineStr">
        <is>
          <t>AVIT - Taronga ZOO AV Support - May 2026</t>
        </is>
      </c>
      <c r="Q161" s="57" t="inlineStr">
        <is>
          <t>PRODUCTION</t>
        </is>
      </c>
    </row>
    <row r="162">
      <c r="O162" s="57" t="inlineStr">
        <is>
          <t>26052001</t>
        </is>
      </c>
      <c r="P162" s="57" t="inlineStr">
        <is>
          <t>MeetMagic - AI Behaviour Event - 29.5.26</t>
        </is>
      </c>
      <c r="Q162" s="57" t="inlineStr">
        <is>
          <t>PRODUCTION</t>
        </is>
      </c>
    </row>
    <row r="163">
      <c r="O163" s="57" t="inlineStr">
        <is>
          <t>26052001V</t>
        </is>
      </c>
      <c r="P163" s="57" t="inlineStr">
        <is>
          <t>MeetMagic - AI Behaviour Event - 29.5.26</t>
        </is>
      </c>
      <c r="Q163" s="57" t="inlineStr">
        <is>
          <t>VIDEO</t>
        </is>
      </c>
    </row>
    <row r="164">
      <c r="O164" s="57" t="inlineStr">
        <is>
          <t>26052002</t>
        </is>
      </c>
      <c r="P164" s="57" t="inlineStr">
        <is>
          <t>DTTL BNE L23 Training Rooms Upgrade</t>
        </is>
      </c>
      <c r="Q164" s="57" t="inlineStr">
        <is>
          <t>INTEGRATION</t>
        </is>
      </c>
    </row>
    <row r="165">
      <c r="O165" s="57" t="inlineStr">
        <is>
          <t>26052003</t>
        </is>
      </c>
      <c r="P165" s="57" t="inlineStr">
        <is>
          <t>DTTL Mobile Commbox Displays</t>
        </is>
      </c>
      <c r="Q165" s="57" t="inlineStr">
        <is>
          <t>INTEGRATION</t>
        </is>
      </c>
    </row>
    <row r="166">
      <c r="O166" s="57" t="inlineStr">
        <is>
          <t>26052004</t>
        </is>
      </c>
      <c r="P166" s="57" t="inlineStr">
        <is>
          <t>CBA - Live Event Support - June 2026</t>
        </is>
      </c>
      <c r="Q166" s="57" t="inlineStr">
        <is>
          <t>PRODUCTION</t>
        </is>
      </c>
    </row>
    <row r="167">
      <c r="O167" s="57" t="inlineStr">
        <is>
          <t>26052101</t>
        </is>
      </c>
      <c r="P167" s="57" t="inlineStr">
        <is>
          <t>MeetMagic - Human AI Event Highlights</t>
        </is>
      </c>
      <c r="Q167" s="57" t="inlineStr">
        <is>
          <t>VIDEO</t>
        </is>
      </c>
    </row>
    <row r="168">
      <c r="O168" s="57" t="inlineStr">
        <is>
          <t>26052102</t>
        </is>
      </c>
      <c r="P168" s="57" t="inlineStr">
        <is>
          <t>HP-D3 | Austrac Phone Mods</t>
        </is>
      </c>
      <c r="Q168" s="57" t="inlineStr">
        <is>
          <t>INTEGRATION</t>
        </is>
      </c>
    </row>
    <row r="169">
      <c r="O169" s="57" t="inlineStr">
        <is>
          <t>26052103</t>
        </is>
      </c>
      <c r="P169" s="57" t="inlineStr">
        <is>
          <t>Ventia - LTI FY26 Video Record</t>
        </is>
      </c>
      <c r="Q169" s="57" t="inlineStr">
        <is>
          <t>VIDEO</t>
        </is>
      </c>
    </row>
    <row r="170">
      <c r="O170" s="57" t="inlineStr">
        <is>
          <t>26052501V</t>
        </is>
      </c>
      <c r="P170" s="57" t="inlineStr">
        <is>
          <t>AVIT - Taronga AV Event Support - 26-27.5.26</t>
        </is>
      </c>
      <c r="Q170" s="57" t="inlineStr">
        <is>
          <t>VIDEO</t>
        </is>
      </c>
    </row>
    <row r="171">
      <c r="O171" s="57" t="inlineStr">
        <is>
          <t>26052502</t>
        </is>
      </c>
      <c r="P171" s="57" t="inlineStr">
        <is>
          <t>AVIT - Taronga AV Event Support 4-5.06.26</t>
        </is>
      </c>
      <c r="Q171" s="57" t="inlineStr">
        <is>
          <t>PRODUCTION</t>
        </is>
      </c>
    </row>
    <row r="172">
      <c r="O172" s="57" t="inlineStr">
        <is>
          <t>26052502V</t>
        </is>
      </c>
      <c r="P172" s="57" t="inlineStr">
        <is>
          <t>AVIT - Taronga AV Event Support 4-5.06.26</t>
        </is>
      </c>
      <c r="Q172" s="57" t="inlineStr">
        <is>
          <t>VIDEO</t>
        </is>
      </c>
    </row>
    <row r="173">
      <c r="O173" s="57" t="inlineStr">
        <is>
          <t>26052602</t>
        </is>
      </c>
      <c r="P173" s="57" t="inlineStr">
        <is>
          <t>DTTL MEL Display Supply</t>
        </is>
      </c>
      <c r="Q173" s="57" t="inlineStr">
        <is>
          <t>INTEGRATION</t>
        </is>
      </c>
    </row>
    <row r="174">
      <c r="O174" s="57" t="inlineStr">
        <is>
          <t>26052701</t>
        </is>
      </c>
      <c r="P174" s="57" t="inlineStr">
        <is>
          <t>Aware | SYD 28.06 Equipment</t>
        </is>
      </c>
      <c r="Q174" s="57" t="inlineStr">
        <is>
          <t>INTEGRATION</t>
        </is>
      </c>
    </row>
    <row r="175">
      <c r="O175" s="57" t="inlineStr">
        <is>
          <t>26052702</t>
        </is>
      </c>
      <c r="P175" s="57" t="inlineStr">
        <is>
          <t>ASX - FYR - 13.8.26</t>
        </is>
      </c>
      <c r="Q175" s="57" t="inlineStr">
        <is>
          <t>PRODUCTION</t>
        </is>
      </c>
    </row>
    <row r="176">
      <c r="O176" s="57" t="inlineStr">
        <is>
          <t>26052702V</t>
        </is>
      </c>
      <c r="P176" s="57" t="inlineStr">
        <is>
          <t>ASX - FYR - 13.8.26</t>
        </is>
      </c>
      <c r="Q176" s="57" t="inlineStr">
        <is>
          <t>VIDEO</t>
        </is>
      </c>
    </row>
    <row r="177">
      <c r="O177" s="57" t="inlineStr">
        <is>
          <t>26052703</t>
        </is>
      </c>
      <c r="P177" s="57" t="inlineStr">
        <is>
          <t>Microsoft Town Hall - 21.7.26</t>
        </is>
      </c>
      <c r="Q177" s="57" t="inlineStr">
        <is>
          <t>PRODUCTION</t>
        </is>
      </c>
    </row>
    <row r="178">
      <c r="O178" s="57" t="inlineStr">
        <is>
          <t>26052703V</t>
        </is>
      </c>
      <c r="P178" s="57" t="inlineStr">
        <is>
          <t>Microsoft Town Hall - 21.7.26</t>
        </is>
      </c>
      <c r="Q178" s="57" t="inlineStr">
        <is>
          <t>VIDEO</t>
        </is>
      </c>
    </row>
    <row r="179">
      <c r="O179" s="57" t="inlineStr">
        <is>
          <t>26052704</t>
        </is>
      </c>
      <c r="P179" s="57" t="inlineStr">
        <is>
          <t>AVIT - Pinsent Masons Technician Callout</t>
        </is>
      </c>
      <c r="Q179" s="57" t="inlineStr">
        <is>
          <t>ONSITE</t>
        </is>
      </c>
    </row>
    <row r="180">
      <c r="O180" s="57" t="inlineStr">
        <is>
          <t>26052901</t>
        </is>
      </c>
      <c r="P180" s="57" t="inlineStr">
        <is>
          <t>Causeway Productions - Stool Hire - 1.6.27</t>
        </is>
      </c>
      <c r="Q180" s="57" t="inlineStr">
        <is>
          <t>PRODUCTION</t>
        </is>
      </c>
    </row>
    <row r="181">
      <c r="O181" s="57" t="inlineStr">
        <is>
          <t>26052901V</t>
        </is>
      </c>
      <c r="P181" s="57" t="inlineStr">
        <is>
          <t>Causeway Productions - Stool Hire - 1.6.27</t>
        </is>
      </c>
      <c r="Q181" s="57" t="inlineStr">
        <is>
          <t>VIDEO</t>
        </is>
      </c>
    </row>
    <row r="182">
      <c r="O182" s="57" t="inlineStr">
        <is>
          <t>2605401</t>
        </is>
      </c>
      <c r="P182" s="57" t="inlineStr">
        <is>
          <t>AGL FYR - Investor Briefing - 12.8.26</t>
        </is>
      </c>
      <c r="Q182" s="57" t="inlineStr">
        <is>
          <t>PRODUCTION</t>
        </is>
      </c>
    </row>
    <row r="183">
      <c r="O183" s="57" t="inlineStr">
        <is>
          <t>2605401V</t>
        </is>
      </c>
      <c r="P183" s="57" t="inlineStr">
        <is>
          <t>AGL FYR - Investor Briefing - 12.8.26</t>
        </is>
      </c>
      <c r="Q183" s="57" t="inlineStr">
        <is>
          <t>VIDEO</t>
        </is>
      </c>
    </row>
    <row r="184">
      <c r="O184" s="57" t="inlineStr">
        <is>
          <t>2605402</t>
        </is>
      </c>
      <c r="P184" s="57" t="inlineStr">
        <is>
          <t>AGL FYR - Employee Town Hall - 12.8.26</t>
        </is>
      </c>
      <c r="Q184" s="57" t="inlineStr">
        <is>
          <t>PRODUCTION</t>
        </is>
      </c>
    </row>
    <row r="185">
      <c r="O185" s="57" t="inlineStr">
        <is>
          <t>2605402V</t>
        </is>
      </c>
      <c r="P185" s="57" t="inlineStr">
        <is>
          <t>AGL FYR - Employee Town Hall - 12.8.26</t>
        </is>
      </c>
      <c r="Q185" s="57" t="inlineStr">
        <is>
          <t>VIDEO</t>
        </is>
      </c>
    </row>
    <row r="186">
      <c r="O186" s="57" t="inlineStr">
        <is>
          <t>2605403</t>
        </is>
      </c>
      <c r="P186" s="57" t="inlineStr">
        <is>
          <t>ARUP - Oves Awards - 23.7.26</t>
        </is>
      </c>
      <c r="Q186" s="57" t="inlineStr">
        <is>
          <t>PRODUCTION</t>
        </is>
      </c>
    </row>
    <row r="187">
      <c r="O187" s="57" t="inlineStr">
        <is>
          <t>2605403V</t>
        </is>
      </c>
      <c r="P187" s="57" t="inlineStr">
        <is>
          <t>ARUP - Oves Awards - 23.7.26</t>
        </is>
      </c>
      <c r="Q187" s="57" t="inlineStr">
        <is>
          <t>VIDEO</t>
        </is>
      </c>
    </row>
    <row r="188">
      <c r="O188" s="57" t="inlineStr">
        <is>
          <t>2605501</t>
        </is>
      </c>
      <c r="P188" s="57" t="inlineStr">
        <is>
          <t>DTTL Tech Support AWS AP AI Symposium</t>
        </is>
      </c>
      <c r="Q188" s="57" t="inlineStr">
        <is>
          <t>ONSITE</t>
        </is>
      </c>
    </row>
    <row r="189">
      <c r="O189" s="57" t="inlineStr">
        <is>
          <t>2605502</t>
        </is>
      </c>
      <c r="P189" s="57" t="inlineStr">
        <is>
          <t>CBA BNE - Event Support - 13.5.26</t>
        </is>
      </c>
      <c r="Q189" s="57" t="inlineStr">
        <is>
          <t>PRODUCTION</t>
        </is>
      </c>
    </row>
    <row r="190">
      <c r="O190" s="57" t="inlineStr">
        <is>
          <t>2605502V</t>
        </is>
      </c>
      <c r="P190" s="57" t="inlineStr">
        <is>
          <t>CBA BNE - Event Support - 13.5.26</t>
        </is>
      </c>
      <c r="Q190" s="57" t="inlineStr">
        <is>
          <t>VIDEO</t>
        </is>
      </c>
    </row>
    <row r="191">
      <c r="O191" s="57" t="inlineStr">
        <is>
          <t>2605503</t>
        </is>
      </c>
      <c r="P191" s="57" t="inlineStr">
        <is>
          <t>DTTL L31 reception Led Wall Audio DSP Repair</t>
        </is>
      </c>
      <c r="Q191" s="57" t="inlineStr">
        <is>
          <t>INTEGRATION</t>
        </is>
      </c>
    </row>
    <row r="192">
      <c r="O192" s="57" t="inlineStr">
        <is>
          <t>2605605</t>
        </is>
      </c>
      <c r="P192" s="57" t="inlineStr">
        <is>
          <t>DTTL Hobart AV Fitout</t>
        </is>
      </c>
      <c r="Q192" s="57" t="inlineStr">
        <is>
          <t>INTEGRATION</t>
        </is>
      </c>
    </row>
    <row r="193">
      <c r="O193" s="57" t="inlineStr">
        <is>
          <t>2605606</t>
        </is>
      </c>
      <c r="P193" s="57" t="inlineStr">
        <is>
          <t>Ventia Internal Townhall 8.05.26</t>
        </is>
      </c>
      <c r="Q193" s="57" t="inlineStr">
        <is>
          <t>PRODUCTION</t>
        </is>
      </c>
    </row>
    <row r="194">
      <c r="O194" s="57" t="inlineStr">
        <is>
          <t>2605606V</t>
        </is>
      </c>
      <c r="P194" s="57" t="inlineStr">
        <is>
          <t>Ventia Internal Townhall 8.05.26</t>
        </is>
      </c>
      <c r="Q194" s="57" t="inlineStr">
        <is>
          <t>VIDEO</t>
        </is>
      </c>
    </row>
    <row r="195">
      <c r="O195" s="57" t="inlineStr">
        <is>
          <t>2605609</t>
        </is>
      </c>
      <c r="P195" s="57" t="inlineStr">
        <is>
          <t>ASX - CEO Farewell - 27.5.26</t>
        </is>
      </c>
      <c r="Q195" s="57" t="inlineStr">
        <is>
          <t>PRODUCTION</t>
        </is>
      </c>
    </row>
    <row r="196">
      <c r="O196" s="57" t="inlineStr">
        <is>
          <t>2605609V</t>
        </is>
      </c>
      <c r="P196" s="57" t="inlineStr">
        <is>
          <t>ASX - CEO Farewell - 27.5.26</t>
        </is>
      </c>
      <c r="Q196" s="57" t="inlineStr">
        <is>
          <t>VIDEO</t>
        </is>
      </c>
    </row>
    <row r="197">
      <c r="O197" s="57" t="inlineStr">
        <is>
          <t>2605610</t>
        </is>
      </c>
      <c r="P197" s="57" t="inlineStr">
        <is>
          <t>ASX CEO Farewell Additional Costs</t>
        </is>
      </c>
      <c r="Q197" s="57" t="inlineStr">
        <is>
          <t>PRODUCTION</t>
        </is>
      </c>
    </row>
    <row r="198">
      <c r="O198" s="57" t="inlineStr">
        <is>
          <t>2605704</t>
        </is>
      </c>
      <c r="P198" s="57" t="inlineStr">
        <is>
          <t>CBA CBPS Auditorium Upgrade</t>
        </is>
      </c>
      <c r="Q198" s="57" t="inlineStr">
        <is>
          <t>INTEGRATION</t>
        </is>
      </c>
    </row>
    <row r="199">
      <c r="O199" s="57" t="inlineStr">
        <is>
          <t>2605801</t>
        </is>
      </c>
      <c r="P199" s="57" t="inlineStr">
        <is>
          <t>Dimensional - AV Support - 3-4.6.26</t>
        </is>
      </c>
      <c r="Q199" s="57" t="inlineStr">
        <is>
          <t>PRODUCTION</t>
        </is>
      </c>
    </row>
    <row r="200">
      <c r="O200" s="57" t="inlineStr">
        <is>
          <t>2605803</t>
        </is>
      </c>
      <c r="P200" s="57" t="inlineStr">
        <is>
          <t>St Catherine's - Dedicated Tech - 12.6.26</t>
        </is>
      </c>
      <c r="Q200" s="57" t="inlineStr">
        <is>
          <t>PRODUCTION</t>
        </is>
      </c>
    </row>
    <row r="201">
      <c r="O201" s="57" t="inlineStr">
        <is>
          <t>2605804</t>
        </is>
      </c>
      <c r="P201" s="57" t="inlineStr">
        <is>
          <t>City of Sydney Supply of Barco Projector Shutters</t>
        </is>
      </c>
      <c r="Q201" s="57" t="inlineStr">
        <is>
          <t>INTEGRATION</t>
        </is>
      </c>
    </row>
    <row r="202">
      <c r="O202" s="57" t="inlineStr">
        <is>
          <t>2605806</t>
        </is>
      </c>
      <c r="P202" s="57" t="inlineStr">
        <is>
          <t>Aware Super AV Fitout @ 555 Collins Street MEL</t>
        </is>
      </c>
      <c r="Q202" s="57" t="inlineStr">
        <is>
          <t>INTEGRATION</t>
        </is>
      </c>
    </row>
    <row r="203">
      <c r="O203" s="57" t="inlineStr">
        <is>
          <t>26061001</t>
        </is>
      </c>
      <c r="P203" s="57" t="inlineStr">
        <is>
          <t>Garvan August All Clear Event 25.8.26</t>
        </is>
      </c>
      <c r="Q203" s="57" t="inlineStr">
        <is>
          <t>PRODUCTION</t>
        </is>
      </c>
    </row>
    <row r="204">
      <c r="O204" s="57" t="inlineStr">
        <is>
          <t>26061002</t>
        </is>
      </c>
      <c r="P204" s="57" t="inlineStr">
        <is>
          <t>Optiver - Fireside Event Support - 18.6.26</t>
        </is>
      </c>
      <c r="Q204" s="57" t="inlineStr">
        <is>
          <t>PRODUCTION</t>
        </is>
      </c>
    </row>
    <row r="205">
      <c r="O205" s="57" t="inlineStr">
        <is>
          <t>26061002V</t>
        </is>
      </c>
      <c r="P205" s="57" t="inlineStr">
        <is>
          <t>Optiver - Fireside Event Support - 18.6.26</t>
        </is>
      </c>
      <c r="Q205" s="57" t="inlineStr">
        <is>
          <t>VIDEO</t>
        </is>
      </c>
    </row>
    <row r="206">
      <c r="O206" s="57" t="inlineStr">
        <is>
          <t>26061102</t>
        </is>
      </c>
      <c r="P206" s="57" t="inlineStr">
        <is>
          <t>CSE Invest Sri Lanka | 16.8.26</t>
        </is>
      </c>
      <c r="Q206" s="57" t="inlineStr">
        <is>
          <t>PRODUCTION</t>
        </is>
      </c>
    </row>
    <row r="207">
      <c r="O207" s="57" t="inlineStr">
        <is>
          <t>26061102V</t>
        </is>
      </c>
      <c r="P207" s="57" t="inlineStr">
        <is>
          <t>CSE Invest Sri Lanka | 16.8.26</t>
        </is>
      </c>
      <c r="Q207" s="57" t="inlineStr">
        <is>
          <t>VIDEO</t>
        </is>
      </c>
    </row>
    <row r="208">
      <c r="O208" s="57" t="inlineStr">
        <is>
          <t>26061103</t>
        </is>
      </c>
      <c r="P208" s="57" t="inlineStr">
        <is>
          <t>Circadia Australia Elevate | 14.8.26</t>
        </is>
      </c>
      <c r="Q208" s="57" t="inlineStr">
        <is>
          <t>PRODUCTION</t>
        </is>
      </c>
    </row>
    <row r="209">
      <c r="O209" s="57" t="inlineStr">
        <is>
          <t>26061103V</t>
        </is>
      </c>
      <c r="P209" s="57" t="inlineStr">
        <is>
          <t>Circadia Australia Elevate | 14.8.26</t>
        </is>
      </c>
      <c r="Q209" s="57" t="inlineStr">
        <is>
          <t>VIDEO</t>
        </is>
      </c>
    </row>
    <row r="210">
      <c r="O210" s="57" t="inlineStr">
        <is>
          <t>26061104</t>
        </is>
      </c>
      <c r="P210" s="57" t="inlineStr">
        <is>
          <t>MUFG - FYR26 - 12.8.26</t>
        </is>
      </c>
      <c r="Q210" s="57" t="inlineStr">
        <is>
          <t>PRODUCTION</t>
        </is>
      </c>
    </row>
    <row r="211">
      <c r="O211" s="57" t="inlineStr">
        <is>
          <t>26061104V</t>
        </is>
      </c>
      <c r="P211" s="57" t="inlineStr">
        <is>
          <t>MUFG - FYR26 - 12.8.26</t>
        </is>
      </c>
      <c r="Q211" s="57" t="inlineStr">
        <is>
          <t>VIDEO</t>
        </is>
      </c>
    </row>
    <row r="212">
      <c r="O212" s="57" t="inlineStr">
        <is>
          <t>26061105</t>
        </is>
      </c>
      <c r="P212" s="57" t="inlineStr">
        <is>
          <t>CBA - FYR 2026 - 12.8.26</t>
        </is>
      </c>
      <c r="Q212" s="57" t="inlineStr">
        <is>
          <t>PRODUCTION</t>
        </is>
      </c>
    </row>
    <row r="213">
      <c r="O213" s="57" t="inlineStr">
        <is>
          <t>26061105V</t>
        </is>
      </c>
      <c r="P213" s="57" t="inlineStr">
        <is>
          <t>CBA - FYR 2026 - 12.8.26</t>
        </is>
      </c>
      <c r="Q213" s="57" t="inlineStr">
        <is>
          <t>VIDEO</t>
        </is>
      </c>
    </row>
    <row r="214">
      <c r="O214" s="57" t="inlineStr">
        <is>
          <t>26061106</t>
        </is>
      </c>
      <c r="P214" s="57" t="inlineStr">
        <is>
          <t>TLC Full Year Results MEL</t>
        </is>
      </c>
      <c r="Q214" s="57" t="inlineStr">
        <is>
          <t>PRODUCTION</t>
        </is>
      </c>
    </row>
    <row r="215">
      <c r="O215" s="57" t="inlineStr">
        <is>
          <t>26061106V</t>
        </is>
      </c>
      <c r="P215" s="57" t="inlineStr">
        <is>
          <t>TLC Full Year Results MEL</t>
        </is>
      </c>
      <c r="Q215" s="57" t="inlineStr">
        <is>
          <t>VIDEO</t>
        </is>
      </c>
    </row>
    <row r="216">
      <c r="O216" s="57" t="inlineStr">
        <is>
          <t>26061107</t>
        </is>
      </c>
      <c r="P216" s="57" t="inlineStr">
        <is>
          <t>Downer - FYR 2026 - 20.8.26</t>
        </is>
      </c>
      <c r="Q216" s="57" t="inlineStr">
        <is>
          <t>PRODUCTION</t>
        </is>
      </c>
    </row>
    <row r="217">
      <c r="O217" s="57" t="inlineStr">
        <is>
          <t>26061107V</t>
        </is>
      </c>
      <c r="P217" s="57" t="inlineStr">
        <is>
          <t>Downer - FYR 2026 - 20.8.26</t>
        </is>
      </c>
      <c r="Q217" s="57" t="inlineStr">
        <is>
          <t>VIDEO</t>
        </is>
      </c>
    </row>
    <row r="218">
      <c r="O218" s="57" t="inlineStr">
        <is>
          <t>26061108</t>
        </is>
      </c>
      <c r="P218" s="57" t="inlineStr">
        <is>
          <t>APA - Qtly All Hands FYR26 - 20.8.26</t>
        </is>
      </c>
      <c r="Q218" s="57" t="inlineStr">
        <is>
          <t>PRODUCTION</t>
        </is>
      </c>
    </row>
    <row r="219">
      <c r="O219" s="57" t="inlineStr">
        <is>
          <t>26061108V</t>
        </is>
      </c>
      <c r="P219" s="57" t="inlineStr">
        <is>
          <t>APA - Qtly All Hands FYR26 - 20.8.26</t>
        </is>
      </c>
      <c r="Q219" s="57" t="inlineStr">
        <is>
          <t>VIDEO</t>
        </is>
      </c>
    </row>
    <row r="220">
      <c r="O220" s="57" t="inlineStr">
        <is>
          <t>26061109</t>
        </is>
      </c>
      <c r="P220" s="57" t="inlineStr">
        <is>
          <t>Ventia - FYR26 - 24.8.26</t>
        </is>
      </c>
      <c r="Q220" s="57" t="inlineStr">
        <is>
          <t>PRODUCTION</t>
        </is>
      </c>
    </row>
    <row r="221">
      <c r="O221" s="57" t="inlineStr">
        <is>
          <t>26061109V</t>
        </is>
      </c>
      <c r="P221" s="57" t="inlineStr">
        <is>
          <t>Ventia - FYR26 - 24.8.26</t>
        </is>
      </c>
      <c r="Q221" s="57" t="inlineStr">
        <is>
          <t>VIDEO</t>
        </is>
      </c>
    </row>
    <row r="222">
      <c r="O222" s="57" t="inlineStr">
        <is>
          <t>26061201</t>
        </is>
      </c>
      <c r="P222" s="57" t="inlineStr">
        <is>
          <t>PWC - Firmwide Webcast - 30.6.26</t>
        </is>
      </c>
      <c r="Q222" s="57" t="inlineStr">
        <is>
          <t>PRODUCTION</t>
        </is>
      </c>
    </row>
    <row r="223">
      <c r="O223" s="57" t="inlineStr">
        <is>
          <t>26061201V</t>
        </is>
      </c>
      <c r="P223" s="57" t="inlineStr">
        <is>
          <t>PWC - Firmwide Webcast - 30.6.26</t>
        </is>
      </c>
      <c r="Q223" s="57" t="inlineStr">
        <is>
          <t>VIDEO</t>
        </is>
      </c>
    </row>
    <row r="224">
      <c r="O224" s="57" t="inlineStr">
        <is>
          <t>26061202</t>
        </is>
      </c>
      <c r="P224" s="57" t="inlineStr">
        <is>
          <t>CBA AGM 2027</t>
        </is>
      </c>
      <c r="Q224" s="57" t="inlineStr">
        <is>
          <t>PRODUCTION</t>
        </is>
      </c>
    </row>
    <row r="225">
      <c r="O225" s="57" t="inlineStr">
        <is>
          <t>26061202V</t>
        </is>
      </c>
      <c r="P225" s="57" t="inlineStr">
        <is>
          <t>CBA AGM 2027</t>
        </is>
      </c>
      <c r="Q225" s="57" t="inlineStr">
        <is>
          <t>VIDEO</t>
        </is>
      </c>
    </row>
    <row r="226">
      <c r="O226" s="57" t="inlineStr">
        <is>
          <t>26061501</t>
        </is>
      </c>
      <c r="P226" s="57" t="inlineStr">
        <is>
          <t>DTTL MEL Lv29 Display Supply</t>
        </is>
      </c>
      <c r="Q226" s="57" t="inlineStr">
        <is>
          <t>INTEGRATION</t>
        </is>
      </c>
    </row>
    <row r="227">
      <c r="O227" s="57" t="inlineStr">
        <is>
          <t>26061602</t>
        </is>
      </c>
      <c r="P227" s="57" t="inlineStr">
        <is>
          <t>ASX - CEO Connect (Extended) - 1.9.26</t>
        </is>
      </c>
      <c r="Q227" s="57" t="inlineStr">
        <is>
          <t>PRODUCTION</t>
        </is>
      </c>
    </row>
    <row r="228">
      <c r="O228" s="57" t="inlineStr">
        <is>
          <t>26061602V</t>
        </is>
      </c>
      <c r="P228" s="57" t="inlineStr">
        <is>
          <t>ASX - CEO Connect (Extended) - 1.9.26</t>
        </is>
      </c>
      <c r="Q228" s="57" t="inlineStr">
        <is>
          <t>VIDEO</t>
        </is>
      </c>
    </row>
    <row r="229">
      <c r="O229" s="57" t="inlineStr">
        <is>
          <t>26061605</t>
        </is>
      </c>
      <c r="P229" s="57" t="inlineStr">
        <is>
          <t>MUFG - IBM Ltd AGM - 27.10.26</t>
        </is>
      </c>
      <c r="Q229" s="57" t="inlineStr">
        <is>
          <t>PRODUCTION</t>
        </is>
      </c>
    </row>
    <row r="230">
      <c r="O230" s="57" t="inlineStr">
        <is>
          <t>26061605V</t>
        </is>
      </c>
      <c r="P230" s="57" t="inlineStr">
        <is>
          <t>MUFG - IBM Ltd AGM - 27.10.26</t>
        </is>
      </c>
      <c r="Q230" s="57" t="inlineStr">
        <is>
          <t>VIDEO</t>
        </is>
      </c>
    </row>
    <row r="231">
      <c r="O231" s="57" t="inlineStr">
        <is>
          <t>26061606</t>
        </is>
      </c>
      <c r="P231" s="57" t="inlineStr">
        <is>
          <t>MUFG - Endeavour AGM - 30.10.26</t>
        </is>
      </c>
      <c r="Q231" s="57" t="inlineStr">
        <is>
          <t>PRODUCTION</t>
        </is>
      </c>
    </row>
    <row r="232">
      <c r="O232" s="57" t="inlineStr">
        <is>
          <t>26061606V</t>
        </is>
      </c>
      <c r="P232" s="57" t="inlineStr">
        <is>
          <t>MUFG - Endeavour AGM - 30.10.26</t>
        </is>
      </c>
      <c r="Q232" s="57" t="inlineStr">
        <is>
          <t>VIDEO</t>
        </is>
      </c>
    </row>
    <row r="233">
      <c r="O233" s="57" t="inlineStr">
        <is>
          <t>26061607</t>
        </is>
      </c>
      <c r="P233" s="57" t="inlineStr">
        <is>
          <t>APA - Qtly All Hands (BNE) - 4.11.26</t>
        </is>
      </c>
      <c r="Q233" s="57" t="inlineStr">
        <is>
          <t>PRODUCTION</t>
        </is>
      </c>
    </row>
    <row r="234">
      <c r="O234" s="57" t="inlineStr">
        <is>
          <t>26061607V</t>
        </is>
      </c>
      <c r="P234" s="57" t="inlineStr">
        <is>
          <t>APA - Qtly All Hands (BNE) - 4.11.26</t>
        </is>
      </c>
      <c r="Q234" s="57" t="inlineStr">
        <is>
          <t>VIDEO</t>
        </is>
      </c>
    </row>
    <row r="235">
      <c r="O235" s="57" t="inlineStr">
        <is>
          <t>26061608</t>
        </is>
      </c>
      <c r="P235" s="57" t="inlineStr">
        <is>
          <t>APA - Qtly All Hands Sydney - Feb 27</t>
        </is>
      </c>
      <c r="Q235" s="57" t="inlineStr">
        <is>
          <t>PRODUCTION</t>
        </is>
      </c>
    </row>
    <row r="236">
      <c r="O236" s="57" t="inlineStr">
        <is>
          <t>26061608V</t>
        </is>
      </c>
      <c r="P236" s="57" t="inlineStr">
        <is>
          <t>APA - Qtly All Hands Sydney - Feb 27</t>
        </is>
      </c>
      <c r="Q236" s="57" t="inlineStr">
        <is>
          <t>VIDEO</t>
        </is>
      </c>
    </row>
    <row r="237">
      <c r="O237" s="57" t="inlineStr">
        <is>
          <t>26061609</t>
        </is>
      </c>
      <c r="P237" s="57" t="inlineStr">
        <is>
          <t>APA Qtly All Hands Perth - May 2027</t>
        </is>
      </c>
      <c r="Q237" s="57" t="inlineStr">
        <is>
          <t>PRODUCTION</t>
        </is>
      </c>
    </row>
    <row r="238">
      <c r="O238" s="57" t="inlineStr">
        <is>
          <t>26061609V</t>
        </is>
      </c>
      <c r="P238" s="57" t="inlineStr">
        <is>
          <t>APA Qtly All Hands Perth - May 2027</t>
        </is>
      </c>
      <c r="Q238" s="57" t="inlineStr">
        <is>
          <t>VIDEO</t>
        </is>
      </c>
    </row>
    <row r="239">
      <c r="O239" s="57" t="inlineStr">
        <is>
          <t>26061611</t>
        </is>
      </c>
      <c r="P239" s="57" t="inlineStr">
        <is>
          <t>QBE - Keynote Event - 27.10.26</t>
        </is>
      </c>
      <c r="Q239" s="57" t="inlineStr">
        <is>
          <t>PRODUCTION</t>
        </is>
      </c>
    </row>
    <row r="240">
      <c r="O240" s="57" t="inlineStr">
        <is>
          <t>26061611V</t>
        </is>
      </c>
      <c r="P240" s="57" t="inlineStr">
        <is>
          <t>QBE - Keynote Event - 27.10.26</t>
        </is>
      </c>
      <c r="Q240" s="57" t="inlineStr">
        <is>
          <t>VIDEO</t>
        </is>
      </c>
    </row>
    <row r="241">
      <c r="O241" s="57" t="inlineStr">
        <is>
          <t>26061612</t>
        </is>
      </c>
      <c r="P241" s="57" t="inlineStr">
        <is>
          <t>Chorus Call - Redox AGM - 7.10.26</t>
        </is>
      </c>
      <c r="Q241" s="57" t="inlineStr">
        <is>
          <t>PRODUCTION</t>
        </is>
      </c>
    </row>
    <row r="242">
      <c r="O242" s="57" t="inlineStr">
        <is>
          <t>26061612V</t>
        </is>
      </c>
      <c r="P242" s="57" t="inlineStr">
        <is>
          <t>Chorus Call - Redox AGM - 7.10.26</t>
        </is>
      </c>
      <c r="Q242" s="57" t="inlineStr">
        <is>
          <t>VIDEO</t>
        </is>
      </c>
    </row>
    <row r="243">
      <c r="O243" s="57" t="inlineStr">
        <is>
          <t>26061701</t>
        </is>
      </c>
      <c r="P243" s="57" t="inlineStr">
        <is>
          <t>CBA - LES - July 2026</t>
        </is>
      </c>
      <c r="Q243" s="57" t="inlineStr">
        <is>
          <t>PRODUCTION</t>
        </is>
      </c>
    </row>
    <row r="244">
      <c r="O244" s="57" t="inlineStr">
        <is>
          <t>26061702</t>
        </is>
      </c>
      <c r="P244" s="57" t="inlineStr">
        <is>
          <t>Garvan - Morning Tea Event - 31.7.26</t>
        </is>
      </c>
      <c r="Q244" s="57" t="inlineStr">
        <is>
          <t>PRODUCTION</t>
        </is>
      </c>
    </row>
    <row r="245">
      <c r="O245" s="57" t="inlineStr">
        <is>
          <t>26061801</t>
        </is>
      </c>
      <c r="P245" s="57" t="inlineStr">
        <is>
          <t>APA - Investor Briefing FYR26 - 20.8.26</t>
        </is>
      </c>
      <c r="Q245" s="57" t="inlineStr">
        <is>
          <t>PRODUCTION</t>
        </is>
      </c>
    </row>
    <row r="246">
      <c r="O246" s="57" t="inlineStr">
        <is>
          <t>26061801V</t>
        </is>
      </c>
      <c r="P246" s="57" t="inlineStr">
        <is>
          <t>APA - Investor Briefing FYR26 - 20.8.26</t>
        </is>
      </c>
      <c r="Q246" s="57" t="inlineStr">
        <is>
          <t>VIDEO</t>
        </is>
      </c>
    </row>
    <row r="247">
      <c r="O247" s="57" t="inlineStr">
        <is>
          <t>26062201</t>
        </is>
      </c>
      <c r="P247" s="57" t="inlineStr">
        <is>
          <t>PWC - Tax &amp; Legal Webcast 02.07.26</t>
        </is>
      </c>
      <c r="Q247" s="57" t="inlineStr">
        <is>
          <t>PRODUCTION</t>
        </is>
      </c>
    </row>
    <row r="248">
      <c r="O248" s="57" t="inlineStr">
        <is>
          <t>26062201V</t>
        </is>
      </c>
      <c r="P248" s="57" t="inlineStr">
        <is>
          <t>PWC - Tax &amp; Legal Webcast 02.07.26</t>
        </is>
      </c>
      <c r="Q248" s="57" t="inlineStr">
        <is>
          <t>VIDEO</t>
        </is>
      </c>
    </row>
    <row r="249">
      <c r="O249" s="57" t="inlineStr">
        <is>
          <t>26062202</t>
        </is>
      </c>
      <c r="P249" s="57" t="inlineStr">
        <is>
          <t>PWC - Early Careers Webcast - 29.7.26</t>
        </is>
      </c>
      <c r="Q249" s="57" t="inlineStr">
        <is>
          <t>PRODUCTION</t>
        </is>
      </c>
    </row>
    <row r="250">
      <c r="O250" s="57" t="inlineStr">
        <is>
          <t>26062202V</t>
        </is>
      </c>
      <c r="P250" s="57" t="inlineStr">
        <is>
          <t>PWC - Early Careers Webcast - 29.7.26</t>
        </is>
      </c>
      <c r="Q250" s="57" t="inlineStr">
        <is>
          <t>VIDEO</t>
        </is>
      </c>
    </row>
    <row r="251">
      <c r="O251" s="57" t="inlineStr">
        <is>
          <t>26062403</t>
        </is>
      </c>
      <c r="P251" s="57" t="inlineStr">
        <is>
          <t>CBA - CommBank Private Hosting 25.6.26</t>
        </is>
      </c>
      <c r="Q251" s="57" t="inlineStr">
        <is>
          <t>PRODUCTION</t>
        </is>
      </c>
    </row>
    <row r="252">
      <c r="O252" s="57" t="inlineStr">
        <is>
          <t>26062403V</t>
        </is>
      </c>
      <c r="P252" s="57" t="inlineStr">
        <is>
          <t>CBA - CommBank Private Hosting 25.6.26</t>
        </is>
      </c>
      <c r="Q252" s="57" t="inlineStr">
        <is>
          <t>VIDEO</t>
        </is>
      </c>
    </row>
    <row r="253">
      <c r="O253" s="57" t="inlineStr">
        <is>
          <t>26062501</t>
        </is>
      </c>
      <c r="P253" s="57" t="inlineStr">
        <is>
          <t>DTTL STL Travel (SYD-MEL Return)</t>
        </is>
      </c>
      <c r="Q253" s="57" t="inlineStr">
        <is>
          <t>ONSITE</t>
        </is>
      </c>
    </row>
    <row r="254">
      <c r="O254" s="57" t="inlineStr">
        <is>
          <t>26062503</t>
        </is>
      </c>
      <c r="P254" s="57" t="inlineStr">
        <is>
          <t>Aware Super 24.16 UC Engine Replacement</t>
        </is>
      </c>
      <c r="Q254" s="57" t="inlineStr">
        <is>
          <t>INTEGRATION</t>
        </is>
      </c>
    </row>
    <row r="255">
      <c r="O255" s="57" t="inlineStr">
        <is>
          <t>26062601</t>
        </is>
      </c>
      <c r="P255" s="57" t="inlineStr">
        <is>
          <t>Ventia - XELT Event - 29.6.26</t>
        </is>
      </c>
      <c r="Q255" s="57" t="inlineStr">
        <is>
          <t>PRODUCTION</t>
        </is>
      </c>
    </row>
    <row r="256">
      <c r="O256" s="57" t="inlineStr">
        <is>
          <t>26062601V</t>
        </is>
      </c>
      <c r="P256" s="57" t="inlineStr">
        <is>
          <t>Ventia - XELT Event - 29.6.26</t>
        </is>
      </c>
      <c r="Q256" s="57" t="inlineStr">
        <is>
          <t>VIDEO</t>
        </is>
      </c>
    </row>
    <row r="257">
      <c r="O257" s="57" t="inlineStr">
        <is>
          <t>26062901</t>
        </is>
      </c>
      <c r="P257" s="57" t="inlineStr">
        <is>
          <t>Aware | SYD 28.06 Services</t>
        </is>
      </c>
      <c r="Q257" s="57" t="inlineStr">
        <is>
          <t>INTEGRATION</t>
        </is>
      </c>
    </row>
    <row r="258">
      <c r="O258" s="57" t="inlineStr">
        <is>
          <t>26062902</t>
        </is>
      </c>
      <c r="P258" s="57" t="inlineStr">
        <is>
          <t>Aware | SYD Occupancy Sensors</t>
        </is>
      </c>
      <c r="Q258" s="57" t="inlineStr">
        <is>
          <t>INTEGRATION</t>
        </is>
      </c>
    </row>
    <row r="259">
      <c r="O259" s="57" t="inlineStr">
        <is>
          <t>26063002</t>
        </is>
      </c>
      <c r="P259" s="57" t="inlineStr">
        <is>
          <t>CEOi - CEO Connect - 11.8.26</t>
        </is>
      </c>
      <c r="Q259" s="57" t="inlineStr">
        <is>
          <t>PRODUCTION</t>
        </is>
      </c>
    </row>
    <row r="260">
      <c r="O260" s="57" t="inlineStr">
        <is>
          <t>26063002V</t>
        </is>
      </c>
      <c r="P260" s="57" t="inlineStr">
        <is>
          <t>CEOi - CEO Connect - 11.8.26</t>
        </is>
      </c>
      <c r="Q260" s="57" t="inlineStr">
        <is>
          <t>VIDEO</t>
        </is>
      </c>
    </row>
    <row r="261">
      <c r="O261" s="57" t="inlineStr">
        <is>
          <t>2606401V</t>
        </is>
      </c>
      <c r="P261" s="57" t="inlineStr">
        <is>
          <t>PWC - NRW Webcast - 11.6.26</t>
        </is>
      </c>
      <c r="Q261" s="57" t="inlineStr">
        <is>
          <t>VIDEO</t>
        </is>
      </c>
    </row>
    <row r="262">
      <c r="O262" s="57" t="inlineStr">
        <is>
          <t>2606901</t>
        </is>
      </c>
      <c r="P262" s="57" t="inlineStr">
        <is>
          <t>PwC | Syd Studio Equipment</t>
        </is>
      </c>
      <c r="Q262" s="57" t="inlineStr">
        <is>
          <t>INTEGRATION</t>
        </is>
      </c>
    </row>
    <row r="263">
      <c r="O263" s="57" t="inlineStr">
        <is>
          <t>2606902</t>
        </is>
      </c>
      <c r="P263" s="57" t="inlineStr">
        <is>
          <t>AVIT - Taronga AV Support - 9-11.6.26</t>
        </is>
      </c>
      <c r="Q263" s="57" t="inlineStr">
        <is>
          <t>PRODUCTION</t>
        </is>
      </c>
    </row>
    <row r="264">
      <c r="O264" s="57" t="inlineStr">
        <is>
          <t>2606903</t>
        </is>
      </c>
      <c r="P264" s="57" t="inlineStr">
        <is>
          <t>Virgin FY26 Results</t>
        </is>
      </c>
      <c r="Q264" s="57" t="inlineStr">
        <is>
          <t>PRODUCTION</t>
        </is>
      </c>
    </row>
    <row r="265">
      <c r="O265" s="57" t="inlineStr">
        <is>
          <t>2606903V</t>
        </is>
      </c>
      <c r="P265" s="57" t="inlineStr">
        <is>
          <t>Virgin FY26 Results</t>
        </is>
      </c>
      <c r="Q265" s="57" t="inlineStr">
        <is>
          <t>VIDEO</t>
        </is>
      </c>
    </row>
    <row r="266">
      <c r="O266" s="57" t="inlineStr">
        <is>
          <t>2606904</t>
        </is>
      </c>
      <c r="P266" s="57" t="inlineStr">
        <is>
          <t>Symal - FYR26 (Melb) - 24.8.26</t>
        </is>
      </c>
      <c r="Q266" s="57" t="inlineStr">
        <is>
          <t>PRODUCTION</t>
        </is>
      </c>
    </row>
    <row r="267">
      <c r="O267" s="57" t="inlineStr">
        <is>
          <t>2606904V</t>
        </is>
      </c>
      <c r="P267" s="57" t="inlineStr">
        <is>
          <t>Symal - FYR26 (Melb) - 24.8.26</t>
        </is>
      </c>
      <c r="Q267" s="57" t="inlineStr">
        <is>
          <t>VIDEO</t>
        </is>
      </c>
    </row>
    <row r="268">
      <c r="O268" s="57" t="inlineStr">
        <is>
          <t>2606905</t>
        </is>
      </c>
      <c r="P268" s="57" t="inlineStr">
        <is>
          <t>Dimensional - Audio Tech Support - 22.6.26</t>
        </is>
      </c>
      <c r="Q268" s="57" t="inlineStr">
        <is>
          <t>PRODUCTION</t>
        </is>
      </c>
    </row>
    <row r="269">
      <c r="O269" s="57" t="inlineStr">
        <is>
          <t>2606906</t>
        </is>
      </c>
      <c r="P269" s="57" t="inlineStr">
        <is>
          <t>St Catherines Case Study Video Non-Chrgable</t>
        </is>
      </c>
      <c r="Q269" s="57" t="inlineStr">
        <is>
          <t>VIDEO</t>
        </is>
      </c>
    </row>
    <row r="270">
      <c r="O270" s="57" t="inlineStr">
        <is>
          <t>26071303</t>
        </is>
      </c>
      <c r="P270" s="57" t="inlineStr">
        <is>
          <t>Ventia - Melbourne Office Event - 30.7.26</t>
        </is>
      </c>
      <c r="Q270" s="57" t="inlineStr">
        <is>
          <t>PRODUCTION</t>
        </is>
      </c>
    </row>
    <row r="271">
      <c r="O271" s="57" t="inlineStr">
        <is>
          <t>26071304</t>
        </is>
      </c>
      <c r="P271" s="57" t="inlineStr">
        <is>
          <t>YSG | Orange Room Upgrade</t>
        </is>
      </c>
      <c r="Q271" s="57" t="inlineStr">
        <is>
          <t>INTEGRATION</t>
        </is>
      </c>
    </row>
    <row r="272">
      <c r="O272" s="57" t="inlineStr">
        <is>
          <t>26071403</t>
        </is>
      </c>
      <c r="P272" s="57" t="inlineStr">
        <is>
          <t>Elkiem - Studio Support - 4.11.26</t>
        </is>
      </c>
      <c r="Q272" s="57" t="inlineStr">
        <is>
          <t>PRODUCTION</t>
        </is>
      </c>
    </row>
    <row r="273">
      <c r="O273" s="57" t="inlineStr">
        <is>
          <t>26071404</t>
        </is>
      </c>
      <c r="P273" s="57" t="inlineStr">
        <is>
          <t>Elkiem - Studio Support - 9.12.26</t>
        </is>
      </c>
      <c r="Q273" s="57" t="inlineStr">
        <is>
          <t>PRODUCTION</t>
        </is>
      </c>
    </row>
    <row r="274">
      <c r="O274" s="57" t="inlineStr">
        <is>
          <t>26071405</t>
        </is>
      </c>
      <c r="P274" s="57" t="inlineStr">
        <is>
          <t>PWC - Event Technician - 29.7.26</t>
        </is>
      </c>
      <c r="Q274" s="57" t="inlineStr">
        <is>
          <t>PRODUCTION</t>
        </is>
      </c>
    </row>
    <row r="275">
      <c r="O275" s="57" t="inlineStr">
        <is>
          <t>26071501</t>
        </is>
      </c>
      <c r="P275" s="57" t="inlineStr">
        <is>
          <t>Ventia - Half Year Results Briefing - 24.8.26</t>
        </is>
      </c>
      <c r="Q275" s="57" t="inlineStr">
        <is>
          <t>PRODUCTION</t>
        </is>
      </c>
    </row>
    <row r="276">
      <c r="O276" s="57" t="inlineStr">
        <is>
          <t>26071501V</t>
        </is>
      </c>
      <c r="P276" s="57" t="inlineStr">
        <is>
          <t>Ventia - Half Year Results Briefing - 24.8.26</t>
        </is>
      </c>
      <c r="Q276" s="57" t="inlineStr">
        <is>
          <t>VIDEO</t>
        </is>
      </c>
    </row>
    <row r="277">
      <c r="O277" s="57" t="inlineStr">
        <is>
          <t>26071601</t>
        </is>
      </c>
      <c r="P277" s="57" t="inlineStr">
        <is>
          <t>Aware | PER | Barry Marshall and Albany Rooms BYOD USB-C Replcmnt</t>
        </is>
      </c>
      <c r="Q277" s="57" t="inlineStr">
        <is>
          <t>INTEGRATION</t>
        </is>
      </c>
    </row>
    <row r="278">
      <c r="O278" s="57" t="inlineStr">
        <is>
          <t>26071701</t>
        </is>
      </c>
      <c r="P278" s="57" t="inlineStr">
        <is>
          <t>ASX Live - 9.9.26</t>
        </is>
      </c>
      <c r="Q278" s="57" t="inlineStr">
        <is>
          <t>PRODUCTION</t>
        </is>
      </c>
    </row>
    <row r="279">
      <c r="O279" s="57" t="inlineStr">
        <is>
          <t>26071701V</t>
        </is>
      </c>
      <c r="P279" s="57" t="inlineStr">
        <is>
          <t>ASX Live - 9.9.26</t>
        </is>
      </c>
      <c r="Q279" s="57" t="inlineStr">
        <is>
          <t>VIDEO</t>
        </is>
      </c>
    </row>
    <row r="280">
      <c r="O280" s="57" t="inlineStr">
        <is>
          <t>26071901</t>
        </is>
      </c>
      <c r="P280" s="57" t="inlineStr">
        <is>
          <t>Elkiem - Studio Support - 11.8.26</t>
        </is>
      </c>
      <c r="Q280" s="57" t="inlineStr">
        <is>
          <t>PRODUCTION</t>
        </is>
      </c>
    </row>
    <row r="281">
      <c r="O281" s="57" t="inlineStr">
        <is>
          <t>26072003</t>
        </is>
      </c>
      <c r="P281" s="57" t="inlineStr">
        <is>
          <t>CBA Live Event Support August 2026</t>
        </is>
      </c>
      <c r="Q281" s="57" t="inlineStr">
        <is>
          <t>PRODUCTION</t>
        </is>
      </c>
    </row>
    <row r="282">
      <c r="O282" s="57" t="inlineStr">
        <is>
          <t>26072101</t>
        </is>
      </c>
      <c r="P282" s="57" t="inlineStr">
        <is>
          <t>Aware MEL 17.02 Amp Replacement</t>
        </is>
      </c>
      <c r="Q282" s="57" t="inlineStr">
        <is>
          <t>INTEGRATION</t>
        </is>
      </c>
    </row>
    <row r="283">
      <c r="O283" s="57" t="inlineStr">
        <is>
          <t>26072101</t>
        </is>
      </c>
      <c r="P283" s="57" t="inlineStr">
        <is>
          <t>Aware_Mel 17.02 Amp Replacement</t>
        </is>
      </c>
      <c r="Q283" s="57" t="inlineStr">
        <is>
          <t>INTEGRATION</t>
        </is>
      </c>
    </row>
    <row r="284">
      <c r="O284" s="57" t="inlineStr">
        <is>
          <t>26072102</t>
        </is>
      </c>
      <c r="P284" s="57" t="inlineStr">
        <is>
          <t>Ventia - RUOK? Day - 10.09.2026</t>
        </is>
      </c>
      <c r="Q284" s="57" t="inlineStr">
        <is>
          <t>PRODUCTION</t>
        </is>
      </c>
    </row>
    <row r="285">
      <c r="O285" s="57" t="inlineStr">
        <is>
          <t>26072102V</t>
        </is>
      </c>
      <c r="P285" s="57" t="inlineStr">
        <is>
          <t>Ventia - RUOK? Day - 10.09.2026</t>
        </is>
      </c>
      <c r="Q285" s="57" t="inlineStr">
        <is>
          <t>VIDEO</t>
        </is>
      </c>
    </row>
    <row r="286">
      <c r="O286" s="57" t="inlineStr">
        <is>
          <t>26072802</t>
        </is>
      </c>
      <c r="P286" s="57" t="inlineStr">
        <is>
          <t>ON24 KWM Sydney Event - 18.08.2026</t>
        </is>
      </c>
      <c r="Q286" s="57" t="inlineStr">
        <is>
          <t>PRODUCTION</t>
        </is>
      </c>
    </row>
    <row r="287">
      <c r="O287" s="57" t="inlineStr">
        <is>
          <t>26072802V</t>
        </is>
      </c>
      <c r="P287" s="57" t="inlineStr">
        <is>
          <t>ON24 KWM Sydney Event - 18.08.2026</t>
        </is>
      </c>
      <c r="Q287" s="57" t="inlineStr">
        <is>
          <t>VIDEO</t>
        </is>
      </c>
    </row>
    <row r="288">
      <c r="O288" s="57" t="inlineStr">
        <is>
          <t>26072902</t>
        </is>
      </c>
      <c r="P288" s="57" t="inlineStr">
        <is>
          <t>PWC AI Townhall 6.8.26</t>
        </is>
      </c>
      <c r="Q288" s="57" t="inlineStr">
        <is>
          <t>PRODUCTION</t>
        </is>
      </c>
    </row>
    <row r="289">
      <c r="O289" s="57" t="inlineStr">
        <is>
          <t>26072902V</t>
        </is>
      </c>
      <c r="P289" s="57" t="inlineStr">
        <is>
          <t>PWC AI Townhall 6.8.26</t>
        </is>
      </c>
      <c r="Q289" s="57" t="inlineStr">
        <is>
          <t>VIDEO</t>
        </is>
      </c>
    </row>
    <row r="290">
      <c r="O290" s="57" t="inlineStr">
        <is>
          <t>26072903</t>
        </is>
      </c>
      <c r="P290" s="57" t="inlineStr">
        <is>
          <t>PWC - GB Webcast - 11.8.26</t>
        </is>
      </c>
      <c r="Q290" s="57" t="inlineStr">
        <is>
          <t>PRODUCTION</t>
        </is>
      </c>
    </row>
    <row r="291">
      <c r="O291" s="57" t="inlineStr">
        <is>
          <t>26072903V</t>
        </is>
      </c>
      <c r="P291" s="57" t="inlineStr">
        <is>
          <t>PWC - GB Webcast - 11.8.26</t>
        </is>
      </c>
      <c r="Q291" s="57" t="inlineStr">
        <is>
          <t>VIDEO</t>
        </is>
      </c>
    </row>
    <row r="292">
      <c r="O292" s="57" t="inlineStr">
        <is>
          <t>26072906</t>
        </is>
      </c>
      <c r="P292" s="57" t="inlineStr">
        <is>
          <t>ASX Advisory Group on Corporate Governance</t>
        </is>
      </c>
      <c r="Q292" s="57" t="inlineStr">
        <is>
          <t>PRODUCTION</t>
        </is>
      </c>
    </row>
    <row r="293">
      <c r="O293" s="57" t="inlineStr">
        <is>
          <t>26072906V</t>
        </is>
      </c>
      <c r="P293" s="57" t="inlineStr">
        <is>
          <t>ASX Advisory Group on Corporate Governance</t>
        </is>
      </c>
      <c r="Q293" s="57" t="inlineStr">
        <is>
          <t>VIDEO</t>
        </is>
      </c>
    </row>
    <row r="294">
      <c r="O294" s="57" t="inlineStr">
        <is>
          <t>26073103</t>
        </is>
      </c>
      <c r="P294" s="57" t="inlineStr">
        <is>
          <t>DTTL PER AV &amp; Hospitality Tech (SEP26-FEB27)</t>
        </is>
      </c>
      <c r="Q294" s="57" t="inlineStr">
        <is>
          <t>ONSITE</t>
        </is>
      </c>
    </row>
    <row r="295">
      <c r="O295" s="57" t="inlineStr">
        <is>
          <t>26073103N</t>
        </is>
      </c>
      <c r="P295" s="57" t="inlineStr">
        <is>
          <t>DTTL PER AV &amp; Hospitality Tech (SEP26-FEB27) [ONS] non-chargeable</t>
        </is>
      </c>
      <c r="Q295" s="57" t="inlineStr"/>
    </row>
    <row r="296">
      <c r="O296" s="57" t="inlineStr">
        <is>
          <t>26073105</t>
        </is>
      </c>
      <c r="P296" s="57" t="inlineStr">
        <is>
          <t>Elkiem - Studio Support - 25.8.26</t>
        </is>
      </c>
      <c r="Q296" s="57" t="inlineStr">
        <is>
          <t>PRODUCTION</t>
        </is>
      </c>
    </row>
    <row r="297">
      <c r="O297" s="57" t="inlineStr">
        <is>
          <t>26073106</t>
        </is>
      </c>
      <c r="P297" s="57" t="inlineStr">
        <is>
          <t>Elkiem - Studio Support - 18.9.26</t>
        </is>
      </c>
      <c r="Q297" s="57" t="inlineStr">
        <is>
          <t>PRODUCTION</t>
        </is>
      </c>
    </row>
    <row r="298">
      <c r="O298" s="57" t="inlineStr">
        <is>
          <t>26073107</t>
        </is>
      </c>
      <c r="P298" s="57" t="inlineStr">
        <is>
          <t>DTTL Travel for Technician &amp; Coverage ADL-HOB</t>
        </is>
      </c>
      <c r="Q298" s="57" t="inlineStr">
        <is>
          <t>ONSITE</t>
        </is>
      </c>
    </row>
    <row r="299">
      <c r="O299" s="57" t="inlineStr">
        <is>
          <t>26073110</t>
        </is>
      </c>
      <c r="P299" s="57" t="inlineStr">
        <is>
          <t>Garvan - Weizmann Dinner Event - 20.8.26</t>
        </is>
      </c>
      <c r="Q299" s="57" t="inlineStr">
        <is>
          <t>PRODUCTION</t>
        </is>
      </c>
    </row>
    <row r="300">
      <c r="O300" s="57" t="inlineStr">
        <is>
          <t>26073110V</t>
        </is>
      </c>
      <c r="P300" s="57" t="inlineStr">
        <is>
          <t>Garvan - Weizmann Dinner Event - 20.8.26</t>
        </is>
      </c>
      <c r="Q300" s="57" t="inlineStr">
        <is>
          <t>VIDEO</t>
        </is>
      </c>
    </row>
    <row r="301">
      <c r="O301" s="57" t="inlineStr">
        <is>
          <t>26073111</t>
        </is>
      </c>
      <c r="P301" s="57" t="inlineStr">
        <is>
          <t>Downer - FYR &amp; Employee Webcast - 25.8.26</t>
        </is>
      </c>
      <c r="Q301" s="57" t="inlineStr">
        <is>
          <t>PRODUCTION</t>
        </is>
      </c>
    </row>
    <row r="302">
      <c r="O302" s="57" t="inlineStr">
        <is>
          <t>26073111V</t>
        </is>
      </c>
      <c r="P302" s="57" t="inlineStr">
        <is>
          <t>Downer - FYR &amp; Employee Webcast - 25.8.26</t>
        </is>
      </c>
      <c r="Q302" s="57" t="inlineStr">
        <is>
          <t>VIDEO</t>
        </is>
      </c>
    </row>
    <row r="303">
      <c r="O303" s="57" t="inlineStr">
        <is>
          <t>2607703</t>
        </is>
      </c>
      <c r="P303" s="57" t="inlineStr">
        <is>
          <t>Garvan - YPO Event - 6.8.2026</t>
        </is>
      </c>
      <c r="Q303" s="57" t="inlineStr">
        <is>
          <t>PRODUCTION</t>
        </is>
      </c>
    </row>
    <row r="304">
      <c r="O304" s="57" t="inlineStr">
        <is>
          <t>2607703V</t>
        </is>
      </c>
      <c r="P304" s="57" t="inlineStr">
        <is>
          <t>Garvan - YPO Event - 6.8.2026</t>
        </is>
      </c>
      <c r="Q304" s="57" t="inlineStr">
        <is>
          <t>VIDEO</t>
        </is>
      </c>
    </row>
    <row r="305">
      <c r="O305" s="57" t="inlineStr">
        <is>
          <t>2608101</t>
        </is>
      </c>
      <c r="P305" s="57" t="inlineStr">
        <is>
          <t>ART - AMM Captioning - 25.11.26</t>
        </is>
      </c>
      <c r="Q305" s="57" t="inlineStr">
        <is>
          <t>PRODUCTION</t>
        </is>
      </c>
    </row>
    <row r="306">
      <c r="O306" s="57" t="inlineStr">
        <is>
          <t>2608101V</t>
        </is>
      </c>
      <c r="P306" s="57" t="inlineStr">
        <is>
          <t>ART - AMM Captioning - 25.11.26</t>
        </is>
      </c>
      <c r="Q306" s="57" t="inlineStr">
        <is>
          <t>VIDEO</t>
        </is>
      </c>
    </row>
    <row r="307">
      <c r="O307" s="57" t="inlineStr">
        <is>
          <t>2608102</t>
        </is>
      </c>
      <c r="P307" s="57" t="inlineStr">
        <is>
          <t>ART - Education Session Captioning - 25.11.26</t>
        </is>
      </c>
      <c r="Q307" s="57" t="inlineStr">
        <is>
          <t>PRODUCTION</t>
        </is>
      </c>
    </row>
    <row r="308">
      <c r="O308" s="57" t="inlineStr">
        <is>
          <t>26081101</t>
        </is>
      </c>
      <c r="P308" s="57" t="inlineStr">
        <is>
          <t>Vega Global - Payments Forum - 17.9.26</t>
        </is>
      </c>
      <c r="Q308" s="57" t="inlineStr">
        <is>
          <t>PRODUCTION</t>
        </is>
      </c>
    </row>
    <row r="309">
      <c r="O309" s="57" t="inlineStr">
        <is>
          <t>26081302</t>
        </is>
      </c>
      <c r="P309" s="57" t="inlineStr">
        <is>
          <t>Ubank - Volunteer Day - 11.11.26</t>
        </is>
      </c>
      <c r="Q309" s="57" t="inlineStr">
        <is>
          <t>PRODUCTION</t>
        </is>
      </c>
    </row>
    <row r="310">
      <c r="O310" s="57" t="inlineStr">
        <is>
          <t>26081302V</t>
        </is>
      </c>
      <c r="P310" s="57" t="inlineStr">
        <is>
          <t>Ubank - Volunteer Day - 11.11.26</t>
        </is>
      </c>
      <c r="Q310" s="57" t="inlineStr">
        <is>
          <t>VIDEO</t>
        </is>
      </c>
    </row>
    <row r="311">
      <c r="O311" s="57" t="inlineStr">
        <is>
          <t>26081402</t>
        </is>
      </c>
      <c r="P311" s="57" t="inlineStr">
        <is>
          <t>Dimensional - AV Support - 19.8.26</t>
        </is>
      </c>
      <c r="Q311" s="57" t="inlineStr">
        <is>
          <t>PRODUCTION</t>
        </is>
      </c>
    </row>
    <row r="312">
      <c r="O312" s="57" t="inlineStr">
        <is>
          <t>26081801</t>
        </is>
      </c>
      <c r="P312" s="57" t="inlineStr">
        <is>
          <t>Microsoft - SME&amp;C Town Hall 14.10.2026</t>
        </is>
      </c>
      <c r="Q312" s="57" t="inlineStr">
        <is>
          <t>PRODUCTION</t>
        </is>
      </c>
    </row>
    <row r="313">
      <c r="O313" s="57" t="inlineStr">
        <is>
          <t>26081801V</t>
        </is>
      </c>
      <c r="P313" s="57" t="inlineStr">
        <is>
          <t>Microsoft - SME&amp;C Town Hall 14.10.2026</t>
        </is>
      </c>
      <c r="Q313" s="57" t="inlineStr">
        <is>
          <t>VIDEO</t>
        </is>
      </c>
    </row>
    <row r="314">
      <c r="O314" s="57" t="inlineStr">
        <is>
          <t>26081901</t>
        </is>
      </c>
      <c r="P314" s="57" t="inlineStr">
        <is>
          <t>AusPayNet Logitech Essentials for Room License Renewal</t>
        </is>
      </c>
      <c r="Q314" s="57" t="inlineStr">
        <is>
          <t>INTEGRATION</t>
        </is>
      </c>
    </row>
    <row r="315">
      <c r="O315" s="57" t="inlineStr">
        <is>
          <t>26081904</t>
        </is>
      </c>
      <c r="P315" s="57" t="inlineStr">
        <is>
          <t>Garvan - AllClear Program Meeting - 2.9.26</t>
        </is>
      </c>
      <c r="Q315" s="57" t="inlineStr">
        <is>
          <t>PRODUCTION</t>
        </is>
      </c>
    </row>
    <row r="316">
      <c r="O316" s="57" t="inlineStr">
        <is>
          <t>26082402</t>
        </is>
      </c>
      <c r="P316" s="57" t="inlineStr">
        <is>
          <t>TLC - 2026 AGM - 14.10.26</t>
        </is>
      </c>
      <c r="Q316" s="57" t="inlineStr">
        <is>
          <t>PRODUCTION</t>
        </is>
      </c>
    </row>
    <row r="317">
      <c r="O317" s="57" t="inlineStr">
        <is>
          <t>26082402V</t>
        </is>
      </c>
      <c r="P317" s="57" t="inlineStr">
        <is>
          <t>TLC - 2026 AGM - 14.10.26</t>
        </is>
      </c>
      <c r="Q317" s="57" t="inlineStr">
        <is>
          <t>VIDEO</t>
        </is>
      </c>
    </row>
    <row r="318">
      <c r="O318" s="57" t="inlineStr">
        <is>
          <t>26082501</t>
        </is>
      </c>
      <c r="P318" s="57" t="inlineStr">
        <is>
          <t>CBA - LES - September 2026</t>
        </is>
      </c>
      <c r="Q318" s="57" t="inlineStr">
        <is>
          <t>PRODUCTION</t>
        </is>
      </c>
    </row>
    <row r="319">
      <c r="O319" s="57" t="inlineStr">
        <is>
          <t>26082502</t>
        </is>
      </c>
      <c r="P319" s="57" t="inlineStr">
        <is>
          <t>ICC - Presenter &amp; Speaker Preparation - September 2026</t>
        </is>
      </c>
      <c r="Q319" s="57" t="inlineStr">
        <is>
          <t>PRODUCTION</t>
        </is>
      </c>
    </row>
    <row r="320">
      <c r="O320" s="57" t="inlineStr">
        <is>
          <t>26082502V</t>
        </is>
      </c>
      <c r="P320" s="57" t="inlineStr">
        <is>
          <t>ICC - Presenter &amp; Speaker Preparation - September 2026</t>
        </is>
      </c>
      <c r="Q320" s="57" t="inlineStr">
        <is>
          <t>VIDEO</t>
        </is>
      </c>
    </row>
    <row r="321">
      <c r="O321" s="57" t="inlineStr">
        <is>
          <t>26082702</t>
        </is>
      </c>
      <c r="P321" s="57" t="inlineStr">
        <is>
          <t>Garvan - Breast Cancer Public Lecture - 1.10.26</t>
        </is>
      </c>
      <c r="Q321" s="57" t="inlineStr">
        <is>
          <t>PRODUCTION</t>
        </is>
      </c>
    </row>
    <row r="322">
      <c r="O322" s="57" t="inlineStr">
        <is>
          <t>26082703</t>
        </is>
      </c>
      <c r="P322" s="57" t="inlineStr">
        <is>
          <t>APA - RUOK Day - 10.9.26</t>
        </is>
      </c>
      <c r="Q322" s="57" t="inlineStr">
        <is>
          <t>PRODUCTION</t>
        </is>
      </c>
    </row>
    <row r="323">
      <c r="O323" s="57" t="inlineStr">
        <is>
          <t>26082703V</t>
        </is>
      </c>
      <c r="P323" s="57" t="inlineStr">
        <is>
          <t>APA - RUOK Day - 10.9.26</t>
        </is>
      </c>
      <c r="Q323" s="57" t="inlineStr">
        <is>
          <t>VIDEO</t>
        </is>
      </c>
    </row>
    <row r="324">
      <c r="O324" s="57" t="inlineStr">
        <is>
          <t>26082704</t>
        </is>
      </c>
      <c r="P324" s="57" t="inlineStr">
        <is>
          <t>DTTL Travel for National STL &amp; Coverage SYD-PER</t>
        </is>
      </c>
      <c r="Q324" s="57" t="inlineStr">
        <is>
          <t>ONSITE</t>
        </is>
      </c>
    </row>
    <row r="325">
      <c r="O325" s="57" t="inlineStr">
        <is>
          <t>26082801</t>
        </is>
      </c>
      <c r="P325" s="57" t="inlineStr">
        <is>
          <t>Ricoh Australia - SHELL AV Support</t>
        </is>
      </c>
      <c r="Q325" s="57" t="inlineStr">
        <is>
          <t>ONSITE</t>
        </is>
      </c>
    </row>
    <row r="326">
      <c r="O326" s="57" t="inlineStr">
        <is>
          <t>2608402</t>
        </is>
      </c>
      <c r="P326" s="57" t="inlineStr">
        <is>
          <t>Garvan - Suttons Event - 15.10.26</t>
        </is>
      </c>
      <c r="Q326" s="57" t="inlineStr">
        <is>
          <t>PRODUCTION</t>
        </is>
      </c>
    </row>
    <row r="327">
      <c r="O327" s="57" t="inlineStr">
        <is>
          <t>2608404</t>
        </is>
      </c>
      <c r="P327" s="57" t="inlineStr">
        <is>
          <t>St Vincents Public Hospital - Awards Night - 26.8.25</t>
        </is>
      </c>
      <c r="Q327" s="57" t="inlineStr">
        <is>
          <t>PRODUCTION</t>
        </is>
      </c>
    </row>
    <row r="328">
      <c r="O328" s="57" t="inlineStr">
        <is>
          <t>2608404V</t>
        </is>
      </c>
      <c r="P328" s="57" t="inlineStr">
        <is>
          <t>St Vincents Public Hospital - Awards Night - 26.8.25</t>
        </is>
      </c>
      <c r="Q328" s="57" t="inlineStr">
        <is>
          <t>VIDEO</t>
        </is>
      </c>
    </row>
    <row r="329">
      <c r="O329" s="57" t="inlineStr">
        <is>
          <t>2608604</t>
        </is>
      </c>
      <c r="P329" s="57" t="inlineStr">
        <is>
          <t>ASX - FYR Employee Town Hall - 13.8.26</t>
        </is>
      </c>
      <c r="Q329" s="57" t="inlineStr">
        <is>
          <t>PRODUCTION</t>
        </is>
      </c>
    </row>
    <row r="330">
      <c r="O330" s="57" t="inlineStr">
        <is>
          <t>2608604V</t>
        </is>
      </c>
      <c r="P330" s="57" t="inlineStr">
        <is>
          <t>ASX - FYR Employee Town Hall - 13.8.26</t>
        </is>
      </c>
      <c r="Q330" s="57" t="inlineStr">
        <is>
          <t>VIDEO</t>
        </is>
      </c>
    </row>
    <row r="331">
      <c r="O331" s="57" t="inlineStr">
        <is>
          <t>2608701</t>
        </is>
      </c>
      <c r="P331" s="57" t="inlineStr">
        <is>
          <t>Elkeim - Studio Support - 10.9.26</t>
        </is>
      </c>
      <c r="Q331" s="57" t="inlineStr">
        <is>
          <t>PRODUCTION</t>
        </is>
      </c>
    </row>
    <row r="332">
      <c r="O332" s="57" t="inlineStr">
        <is>
          <t>2608702</t>
        </is>
      </c>
      <c r="P332" s="57" t="inlineStr">
        <is>
          <t>APA - Qtly All Hands SYD Screen Hire - 20.8.26</t>
        </is>
      </c>
      <c r="Q332" s="57" t="inlineStr">
        <is>
          <t>PRODUCTION</t>
        </is>
      </c>
    </row>
    <row r="333">
      <c r="O333" s="57" t="inlineStr">
        <is>
          <t>26091002</t>
        </is>
      </c>
      <c r="P333" s="57" t="inlineStr">
        <is>
          <t>GP - Talking Philanthropy - Event Videography 18.9.26</t>
        </is>
      </c>
      <c r="Q333" s="57" t="inlineStr">
        <is>
          <t>PRODUCTION</t>
        </is>
      </c>
    </row>
    <row r="334">
      <c r="O334" s="57" t="inlineStr">
        <is>
          <t>26091002V</t>
        </is>
      </c>
      <c r="P334" s="57" t="inlineStr">
        <is>
          <t>GP - Talking Philanthropy - Event Videography 18.9.26</t>
        </is>
      </c>
      <c r="Q334" s="57" t="inlineStr">
        <is>
          <t>VIDEO</t>
        </is>
      </c>
    </row>
    <row r="335">
      <c r="O335" s="57" t="inlineStr">
        <is>
          <t>26091601</t>
        </is>
      </c>
      <c r="P335" s="57" t="inlineStr">
        <is>
          <t>Automic - September All Hands - 25.9.26</t>
        </is>
      </c>
      <c r="Q335" s="57" t="inlineStr">
        <is>
          <t>PRODUCTION</t>
        </is>
      </c>
    </row>
    <row r="336">
      <c r="O336" s="57" t="inlineStr">
        <is>
          <t>26091601V</t>
        </is>
      </c>
      <c r="P336" s="57" t="inlineStr">
        <is>
          <t>Automic - September All Hands - 25.9.26</t>
        </is>
      </c>
      <c r="Q336" s="57" t="inlineStr">
        <is>
          <t>VIDEO</t>
        </is>
      </c>
    </row>
    <row r="337">
      <c r="O337" s="57" t="inlineStr">
        <is>
          <t>26091604</t>
        </is>
      </c>
      <c r="P337" s="57" t="inlineStr">
        <is>
          <t>The George Institute - SYD CV Symposium - 29-30.10.26</t>
        </is>
      </c>
      <c r="Q337" s="57" t="inlineStr">
        <is>
          <t>PRODUCTION</t>
        </is>
      </c>
    </row>
    <row r="338">
      <c r="O338" s="57" t="inlineStr">
        <is>
          <t>26091604V</t>
        </is>
      </c>
      <c r="P338" s="57" t="inlineStr">
        <is>
          <t>The George Institute - SYD CV Symposium - 29-30.10.26</t>
        </is>
      </c>
      <c r="Q338" s="57" t="inlineStr">
        <is>
          <t>VIDEO</t>
        </is>
      </c>
    </row>
    <row r="339">
      <c r="O339" s="57" t="inlineStr">
        <is>
          <t>2609402</t>
        </is>
      </c>
      <c r="P339" s="57" t="inlineStr">
        <is>
          <t>MUFG - SUN Investor Day - 29.10.26</t>
        </is>
      </c>
      <c r="Q339" s="57" t="inlineStr">
        <is>
          <t>PRODUCTION</t>
        </is>
      </c>
    </row>
    <row r="340">
      <c r="O340" s="57" t="inlineStr">
        <is>
          <t>2609402V</t>
        </is>
      </c>
      <c r="P340" s="57" t="inlineStr">
        <is>
          <t>MUFG - SUN Investor Day - 29.10.26</t>
        </is>
      </c>
      <c r="Q340" s="57" t="inlineStr">
        <is>
          <t>VIDEO</t>
        </is>
      </c>
    </row>
    <row r="341">
      <c r="O341" s="57" t="inlineStr">
        <is>
          <t>2609801</t>
        </is>
      </c>
      <c r="P341" s="57" t="inlineStr">
        <is>
          <t>Elkiem - Studio Support - 16.9.26</t>
        </is>
      </c>
      <c r="Q341" s="57" t="inlineStr">
        <is>
          <t>PRODUCTION</t>
        </is>
      </c>
    </row>
    <row r="342">
      <c r="O342" s="57" t="inlineStr">
        <is>
          <t>2645</t>
        </is>
      </c>
      <c r="P342" s="57" t="inlineStr">
        <is>
          <t>EY SYD Tech Support</t>
        </is>
      </c>
      <c r="Q342" s="57" t="inlineStr">
        <is>
          <t>ONSITE</t>
        </is>
      </c>
    </row>
    <row r="343">
      <c r="O343" s="57" t="inlineStr">
        <is>
          <t>2648</t>
        </is>
      </c>
      <c r="P343" s="57" t="inlineStr">
        <is>
          <t>DTTL MEL Additional Tech</t>
        </is>
      </c>
      <c r="Q343" s="57" t="inlineStr">
        <is>
          <t>ONSITE</t>
        </is>
      </c>
    </row>
    <row r="344">
      <c r="O344" s="57" t="inlineStr">
        <is>
          <t>2658</t>
        </is>
      </c>
      <c r="P344" s="57" t="inlineStr">
        <is>
          <t>EY MELB Tech</t>
        </is>
      </c>
      <c r="Q344" s="57" t="inlineStr">
        <is>
          <t>ONSITE</t>
        </is>
      </c>
    </row>
    <row r="345">
      <c r="O345" s="57" t="inlineStr">
        <is>
          <t>2675</t>
        </is>
      </c>
      <c r="P345" s="57" t="inlineStr">
        <is>
          <t>ONS EY (non-chargeable)</t>
        </is>
      </c>
      <c r="Q345" s="57" t="inlineStr"/>
    </row>
    <row r="346">
      <c r="O346" s="57" t="inlineStr">
        <is>
          <t>2685</t>
        </is>
      </c>
      <c r="P346" s="57" t="inlineStr">
        <is>
          <t>APA Proxyclick BNE &amp; DRW</t>
        </is>
      </c>
      <c r="Q346" s="57" t="inlineStr">
        <is>
          <t>INTEGRATION</t>
        </is>
      </c>
    </row>
    <row r="347">
      <c r="O347" s="57" t="inlineStr">
        <is>
          <t>2706</t>
        </is>
      </c>
      <c r="P347" s="57" t="inlineStr">
        <is>
          <t>EPA 6PSQ Proxyclick VMS</t>
        </is>
      </c>
      <c r="Q347" s="57" t="inlineStr">
        <is>
          <t>INTEGRATION</t>
        </is>
      </c>
    </row>
    <row r="348">
      <c r="O348" s="57" t="inlineStr">
        <is>
          <t>2719</t>
        </is>
      </c>
      <c r="P348" s="57" t="inlineStr">
        <is>
          <t>GSP - 6PSQProxyclickOnb</t>
        </is>
      </c>
      <c r="Q348" s="57" t="inlineStr">
        <is>
          <t>INTEGRATION</t>
        </is>
      </c>
    </row>
    <row r="349">
      <c r="O349" s="57" t="inlineStr">
        <is>
          <t>2722</t>
        </is>
      </c>
      <c r="P349" s="57" t="inlineStr">
        <is>
          <t>PWC Monthly Consulting</t>
        </is>
      </c>
      <c r="Q349" s="57" t="inlineStr">
        <is>
          <t>CONSULTING</t>
        </is>
      </c>
    </row>
    <row r="350">
      <c r="O350" s="57" t="inlineStr">
        <is>
          <t>2726</t>
        </is>
      </c>
      <c r="P350" s="57" t="inlineStr">
        <is>
          <t>KPMG MEL Tech</t>
        </is>
      </c>
      <c r="Q350" s="57" t="inlineStr">
        <is>
          <t>ONSITE</t>
        </is>
      </c>
    </row>
    <row r="351">
      <c r="O351" s="57" t="inlineStr">
        <is>
          <t>2756</t>
        </is>
      </c>
      <c r="P351" s="57" t="inlineStr">
        <is>
          <t>CTS Mgmt Meetings</t>
        </is>
      </c>
      <c r="Q351" s="57" t="inlineStr">
        <is>
          <t>CTS</t>
        </is>
      </c>
    </row>
    <row r="352">
      <c r="O352" s="57" t="inlineStr">
        <is>
          <t>2834</t>
        </is>
      </c>
      <c r="P352" s="57" t="inlineStr">
        <is>
          <t>APA Young - Visitor Mgmt</t>
        </is>
      </c>
      <c r="Q352" s="57" t="inlineStr">
        <is>
          <t>INTEGRATION</t>
        </is>
      </c>
    </row>
    <row r="353">
      <c r="O353" s="57" t="inlineStr">
        <is>
          <t>2838</t>
        </is>
      </c>
      <c r="P353" s="57" t="inlineStr">
        <is>
          <t>KPMG SYD Tech</t>
        </is>
      </c>
      <c r="Q353" s="57" t="inlineStr">
        <is>
          <t>ONSITE</t>
        </is>
      </c>
    </row>
    <row r="354">
      <c r="O354" s="57" t="inlineStr">
        <is>
          <t>2846</t>
        </is>
      </c>
      <c r="P354" s="57" t="inlineStr">
        <is>
          <t>DTTL National STL</t>
        </is>
      </c>
      <c r="Q354" s="57" t="inlineStr">
        <is>
          <t>ONSITE</t>
        </is>
      </c>
    </row>
    <row r="355">
      <c r="O355" s="57" t="inlineStr">
        <is>
          <t>2848</t>
        </is>
      </c>
      <c r="P355" s="57" t="inlineStr">
        <is>
          <t>APA ADL Visitor Mgmt</t>
        </is>
      </c>
      <c r="Q355" s="57" t="inlineStr">
        <is>
          <t>INTEGRATION</t>
        </is>
      </c>
    </row>
    <row r="356">
      <c r="O356" s="57" t="inlineStr">
        <is>
          <t>2849</t>
        </is>
      </c>
      <c r="P356" s="57" t="inlineStr">
        <is>
          <t>DTTL SYD Internal</t>
        </is>
      </c>
      <c r="Q356" s="57" t="inlineStr">
        <is>
          <t>ONSITE</t>
        </is>
      </c>
    </row>
    <row r="357">
      <c r="O357" s="57" t="inlineStr">
        <is>
          <t>2855</t>
        </is>
      </c>
      <c r="P357" s="57" t="inlineStr">
        <is>
          <t>APA Melbourne VMS</t>
        </is>
      </c>
      <c r="Q357" s="57" t="inlineStr">
        <is>
          <t>INTEGRATION</t>
        </is>
      </c>
    </row>
    <row r="358">
      <c r="O358" s="57" t="inlineStr">
        <is>
          <t>2857</t>
        </is>
      </c>
      <c r="P358" s="57" t="inlineStr">
        <is>
          <t>APA Sydney Visitor Mgmt</t>
        </is>
      </c>
      <c r="Q358" s="57" t="inlineStr">
        <is>
          <t>INTEGRATION</t>
        </is>
      </c>
    </row>
    <row r="359">
      <c r="O359" s="57" t="inlineStr">
        <is>
          <t>2877</t>
        </is>
      </c>
      <c r="P359" s="57" t="inlineStr">
        <is>
          <t>DEWR Maintenance Ext</t>
        </is>
      </c>
      <c r="Q359" s="57" t="inlineStr">
        <is>
          <t>INTEGRATION</t>
        </is>
      </c>
    </row>
    <row r="360">
      <c r="O360" s="57" t="inlineStr">
        <is>
          <t>2879</t>
        </is>
      </c>
      <c r="P360" s="57" t="inlineStr">
        <is>
          <t>ONS Ricoh-QANTAS (non-chgble)</t>
        </is>
      </c>
      <c r="Q360" s="57" t="inlineStr"/>
    </row>
    <row r="361">
      <c r="O361" s="57" t="inlineStr">
        <is>
          <t>2880</t>
        </is>
      </c>
      <c r="P361" s="57" t="inlineStr">
        <is>
          <t>Ricoh - QANTAS</t>
        </is>
      </c>
      <c r="Q361" s="57" t="inlineStr">
        <is>
          <t>ONSITE</t>
        </is>
      </c>
    </row>
    <row r="362">
      <c r="O362" s="57" t="inlineStr">
        <is>
          <t>2892</t>
        </is>
      </c>
      <c r="P362" s="57" t="inlineStr">
        <is>
          <t>JP Morgan Onsite Tech</t>
        </is>
      </c>
      <c r="Q362" s="57" t="inlineStr">
        <is>
          <t>ONSITE</t>
        </is>
      </c>
    </row>
    <row r="363">
      <c r="O363" s="57" t="inlineStr">
        <is>
          <t>2896</t>
        </is>
      </c>
      <c r="P363" s="57" t="inlineStr">
        <is>
          <t>ONS KPMG (non-chargeable)</t>
        </is>
      </c>
      <c r="Q363" s="57" t="inlineStr"/>
    </row>
    <row r="364">
      <c r="O364" s="57" t="inlineStr">
        <is>
          <t>2897</t>
        </is>
      </c>
      <c r="P364" s="57" t="inlineStr">
        <is>
          <t>ONS JPM (non-chargeable)</t>
        </is>
      </c>
      <c r="Q364" s="57" t="inlineStr"/>
    </row>
    <row r="365">
      <c r="O365" s="57" t="inlineStr">
        <is>
          <t>2900</t>
        </is>
      </c>
      <c r="P365" s="57" t="inlineStr">
        <is>
          <t>ONS Ammacus-Woolworths (non-chargeable)</t>
        </is>
      </c>
      <c r="Q365" s="57" t="inlineStr"/>
    </row>
    <row r="366">
      <c r="O366" s="57" t="inlineStr">
        <is>
          <t>2906</t>
        </is>
      </c>
      <c r="P366" s="57" t="inlineStr">
        <is>
          <t>KPMG BNE Tech</t>
        </is>
      </c>
      <c r="Q366" s="57" t="inlineStr">
        <is>
          <t>ONSITE</t>
        </is>
      </c>
    </row>
    <row r="367">
      <c r="O367" s="57" t="inlineStr">
        <is>
          <t>2907</t>
        </is>
      </c>
      <c r="P367" s="57" t="inlineStr">
        <is>
          <t>Ammacus-Woolworths Tech</t>
        </is>
      </c>
      <c r="Q367" s="57" t="inlineStr">
        <is>
          <t>ONSITE</t>
        </is>
      </c>
    </row>
    <row r="368">
      <c r="O368" s="57" t="inlineStr">
        <is>
          <t>2910</t>
        </is>
      </c>
      <c r="P368" s="57" t="inlineStr">
        <is>
          <t>Office Move 2024</t>
        </is>
      </c>
      <c r="Q368" s="57" t="inlineStr">
        <is>
          <t>CTS</t>
        </is>
      </c>
    </row>
    <row r="369">
      <c r="O369" s="57" t="inlineStr">
        <is>
          <t>2977</t>
        </is>
      </c>
      <c r="P369" s="57" t="inlineStr">
        <is>
          <t>St Catherine's School (CONS)</t>
        </is>
      </c>
      <c r="Q369" s="57" t="inlineStr"/>
    </row>
    <row r="370">
      <c r="O370" s="57" t="inlineStr">
        <is>
          <t>3014</t>
        </is>
      </c>
      <c r="P370" s="57" t="inlineStr">
        <is>
          <t>ONS Ricoh/Campari (Chargeable)</t>
        </is>
      </c>
      <c r="Q370" s="57" t="inlineStr"/>
    </row>
    <row r="371">
      <c r="O371" s="57" t="inlineStr">
        <is>
          <t>3015</t>
        </is>
      </c>
      <c r="P371" s="57" t="inlineStr">
        <is>
          <t>ONS Ricoh/Campari (Non Chgble)</t>
        </is>
      </c>
      <c r="Q371" s="57" t="inlineStr"/>
    </row>
    <row r="372">
      <c r="O372" s="57" t="inlineStr">
        <is>
          <t>3027</t>
        </is>
      </c>
      <c r="P372" s="57" t="inlineStr">
        <is>
          <t>DPIE Elizabeth St Booking</t>
        </is>
      </c>
      <c r="Q372" s="57" t="inlineStr">
        <is>
          <t>INTEGRATION</t>
        </is>
      </c>
    </row>
    <row r="373">
      <c r="O373" s="57" t="inlineStr">
        <is>
          <t>3028</t>
        </is>
      </c>
      <c r="P373" s="57" t="inlineStr">
        <is>
          <t>APA Kidman Park VMS</t>
        </is>
      </c>
      <c r="Q373" s="57" t="inlineStr">
        <is>
          <t>INTEGRATION</t>
        </is>
      </c>
    </row>
    <row r="374">
      <c r="O374" s="57" t="inlineStr">
        <is>
          <t>3034</t>
        </is>
      </c>
      <c r="P374" s="57" t="inlineStr">
        <is>
          <t>ARUP ONS (non-chargeable)</t>
        </is>
      </c>
      <c r="Q374" s="57" t="inlineStr"/>
    </row>
    <row r="375">
      <c r="O375" s="57" t="inlineStr">
        <is>
          <t>3035</t>
        </is>
      </c>
      <c r="P375" s="57" t="inlineStr">
        <is>
          <t>ARUP ONS National (Chargeable)</t>
        </is>
      </c>
      <c r="Q375" s="57" t="inlineStr"/>
    </row>
    <row r="376">
      <c r="O376" s="57" t="inlineStr">
        <is>
          <t>3040</t>
        </is>
      </c>
      <c r="P376" s="57" t="inlineStr">
        <is>
          <t>Corrs MELB Office Reloc</t>
        </is>
      </c>
      <c r="Q376" s="57" t="inlineStr">
        <is>
          <t>CONSULTING</t>
        </is>
      </c>
    </row>
    <row r="377">
      <c r="O377" s="57" t="inlineStr">
        <is>
          <t>3042</t>
        </is>
      </c>
      <c r="P377" s="57" t="inlineStr">
        <is>
          <t>Corrs-PER Office Reloc</t>
        </is>
      </c>
      <c r="Q377" s="57" t="inlineStr">
        <is>
          <t>CONSULTING</t>
        </is>
      </c>
    </row>
    <row r="378">
      <c r="O378" s="57" t="inlineStr">
        <is>
          <t>3046</t>
        </is>
      </c>
      <c r="P378" s="57" t="inlineStr">
        <is>
          <t>Stone&amp;Chalk ONS [chargeable]</t>
        </is>
      </c>
      <c r="Q378" s="57" t="inlineStr"/>
    </row>
    <row r="379">
      <c r="O379" s="57" t="inlineStr">
        <is>
          <t>3047</t>
        </is>
      </c>
      <c r="P379" s="57" t="inlineStr">
        <is>
          <t>Stone&amp;Chalk ONS [non-chargable]</t>
        </is>
      </c>
      <c r="Q379" s="57" t="inlineStr"/>
    </row>
    <row r="380">
      <c r="O380" s="57" t="inlineStr">
        <is>
          <t>3048</t>
        </is>
      </c>
      <c r="P380" s="57" t="inlineStr">
        <is>
          <t>Stone &amp; Chalk Audit 2</t>
        </is>
      </c>
      <c r="Q380" s="57" t="inlineStr">
        <is>
          <t>CONSULTING</t>
        </is>
      </c>
    </row>
    <row r="381">
      <c r="O381" s="57" t="inlineStr">
        <is>
          <t>3056</t>
        </is>
      </c>
      <c r="P381" s="57" t="inlineStr">
        <is>
          <t>AusPayNet Onsite [Chargeable]</t>
        </is>
      </c>
      <c r="Q381" s="57" t="inlineStr"/>
    </row>
    <row r="382">
      <c r="O382" s="57" t="inlineStr">
        <is>
          <t>3057</t>
        </is>
      </c>
      <c r="P382" s="57" t="inlineStr">
        <is>
          <t>AusPayNet ONS[Non-Chargeable]</t>
        </is>
      </c>
      <c r="Q382" s="57" t="inlineStr"/>
    </row>
    <row r="383">
      <c r="O383" s="57" t="inlineStr">
        <is>
          <t>3059</t>
        </is>
      </c>
      <c r="P383" s="57" t="inlineStr">
        <is>
          <t>CBA AGM 2025</t>
        </is>
      </c>
      <c r="Q383" s="57" t="inlineStr">
        <is>
          <t>PRODUCTION</t>
        </is>
      </c>
    </row>
    <row r="384">
      <c r="O384" s="57" t="inlineStr">
        <is>
          <t>3068</t>
        </is>
      </c>
      <c r="P384" s="57" t="inlineStr">
        <is>
          <t>DPIE Pitt and Penrith</t>
        </is>
      </c>
      <c r="Q384" s="57" t="inlineStr">
        <is>
          <t>INTEGRATION</t>
        </is>
      </c>
    </row>
    <row r="385">
      <c r="O385" s="57" t="inlineStr">
        <is>
          <t>3072</t>
        </is>
      </c>
      <c r="P385" s="57" t="inlineStr">
        <is>
          <t>APA Thomastown</t>
        </is>
      </c>
      <c r="Q385" s="57" t="inlineStr">
        <is>
          <t>INTEGRATION</t>
        </is>
      </c>
    </row>
    <row r="386">
      <c r="O386" s="57" t="inlineStr">
        <is>
          <t>585</t>
        </is>
      </c>
      <c r="P386" s="57" t="inlineStr">
        <is>
          <t>CBA Team Leader</t>
        </is>
      </c>
      <c r="Q386" s="57" t="inlineStr">
        <is>
          <t>ONSITE</t>
        </is>
      </c>
    </row>
    <row r="387">
      <c r="O387" s="57" t="inlineStr">
        <is>
          <t>586</t>
        </is>
      </c>
      <c r="P387" s="57" t="inlineStr">
        <is>
          <t>CBA Tech NP</t>
        </is>
      </c>
      <c r="Q387" s="57" t="inlineStr">
        <is>
          <t>ONSITE</t>
        </is>
      </c>
    </row>
    <row r="388">
      <c r="O388" s="57" t="inlineStr">
        <is>
          <t>587</t>
        </is>
      </c>
      <c r="P388" s="57" t="inlineStr">
        <is>
          <t>CBA Tech TN</t>
        </is>
      </c>
      <c r="Q388" s="57" t="inlineStr">
        <is>
          <t>ONSITE</t>
        </is>
      </c>
    </row>
    <row r="389">
      <c r="O389" s="57" t="inlineStr">
        <is>
          <t>724</t>
        </is>
      </c>
      <c r="P389" s="57" t="inlineStr">
        <is>
          <t>DTTL SYD NTSL</t>
        </is>
      </c>
      <c r="Q389" s="57" t="inlineStr">
        <is>
          <t>ONSITE</t>
        </is>
      </c>
    </row>
    <row r="390">
      <c r="O390" s="57" t="inlineStr">
        <is>
          <t>725</t>
        </is>
      </c>
      <c r="P390" s="57" t="inlineStr">
        <is>
          <t>DTTL Mel Tech FT 1</t>
        </is>
      </c>
      <c r="Q390" s="57" t="inlineStr">
        <is>
          <t>ONSITE</t>
        </is>
      </c>
    </row>
    <row r="391">
      <c r="O391" s="57" t="inlineStr">
        <is>
          <t>729</t>
        </is>
      </c>
      <c r="P391" s="57" t="inlineStr">
        <is>
          <t>DTTL Consulting</t>
        </is>
      </c>
      <c r="Q391" s="57" t="inlineStr">
        <is>
          <t>CONSULTING</t>
        </is>
      </c>
    </row>
    <row r="392">
      <c r="O392" s="57" t="inlineStr">
        <is>
          <t>732</t>
        </is>
      </c>
      <c r="P392" s="57" t="inlineStr">
        <is>
          <t>Bank West Contract</t>
        </is>
      </c>
      <c r="Q392" s="57" t="inlineStr">
        <is>
          <t>ONSITE</t>
        </is>
      </c>
    </row>
    <row r="393">
      <c r="O393" s="57" t="inlineStr">
        <is>
          <t>9000</t>
        </is>
      </c>
      <c r="P393" s="57" t="inlineStr">
        <is>
          <t>OFFICE / ADMIN</t>
        </is>
      </c>
      <c r="Q393" s="57" t="inlineStr">
        <is>
          <t>CTS</t>
        </is>
      </c>
    </row>
    <row r="394">
      <c r="O394" s="57" t="inlineStr">
        <is>
          <t>9001</t>
        </is>
      </c>
      <c r="P394" s="57" t="inlineStr">
        <is>
          <t>OFFICE/ADMIN Orientation</t>
        </is>
      </c>
      <c r="Q394" s="57" t="inlineStr">
        <is>
          <t>CTS</t>
        </is>
      </c>
    </row>
    <row r="395">
      <c r="O395" s="57" t="inlineStr">
        <is>
          <t>9050</t>
        </is>
      </c>
      <c r="P395" s="57" t="inlineStr">
        <is>
          <t>OFFICE ASSETS</t>
        </is>
      </c>
      <c r="Q395" s="57" t="inlineStr">
        <is>
          <t>CTS</t>
        </is>
      </c>
    </row>
    <row r="396">
      <c r="O396" s="57" t="inlineStr">
        <is>
          <t>9100</t>
        </is>
      </c>
      <c r="P396" s="57" t="inlineStr">
        <is>
          <t>PRODUCTION</t>
        </is>
      </c>
      <c r="Q396" s="57" t="inlineStr">
        <is>
          <t>PRODUCTION</t>
        </is>
      </c>
    </row>
    <row r="397">
      <c r="O397" s="57" t="inlineStr">
        <is>
          <t>9101</t>
        </is>
      </c>
      <c r="P397" s="57" t="inlineStr">
        <is>
          <t>PRODUCTION - Orientation</t>
        </is>
      </c>
      <c r="Q397" s="57" t="inlineStr">
        <is>
          <t>PRODUCTION</t>
        </is>
      </c>
    </row>
    <row r="398">
      <c r="O398" s="57" t="inlineStr">
        <is>
          <t>9102</t>
        </is>
      </c>
      <c r="P398" s="57" t="inlineStr">
        <is>
          <t>Production - Training</t>
        </is>
      </c>
      <c r="Q398" s="57" t="inlineStr">
        <is>
          <t>PRODUCTION</t>
        </is>
      </c>
    </row>
    <row r="399">
      <c r="O399" s="57" t="inlineStr">
        <is>
          <t>9105</t>
        </is>
      </c>
      <c r="P399" s="57" t="inlineStr">
        <is>
          <t>ONSITE (including PROD backup)</t>
        </is>
      </c>
      <c r="Q399" s="57" t="inlineStr"/>
    </row>
    <row r="400">
      <c r="O400" s="57" t="inlineStr">
        <is>
          <t>9106</t>
        </is>
      </c>
      <c r="P400" s="57" t="inlineStr">
        <is>
          <t>ONSITE - Orientation</t>
        </is>
      </c>
      <c r="Q400" s="57" t="inlineStr">
        <is>
          <t>ONSITE</t>
        </is>
      </c>
    </row>
    <row r="401">
      <c r="O401" s="57" t="inlineStr">
        <is>
          <t>9107</t>
        </is>
      </c>
      <c r="P401" s="57" t="inlineStr">
        <is>
          <t>ONSITE - Assets</t>
        </is>
      </c>
      <c r="Q401" s="57" t="inlineStr">
        <is>
          <t>ONSITE</t>
        </is>
      </c>
    </row>
    <row r="402">
      <c r="O402" s="57" t="inlineStr">
        <is>
          <t>9108</t>
        </is>
      </c>
      <c r="P402" s="57" t="inlineStr">
        <is>
          <t>ONSITE - Sales</t>
        </is>
      </c>
      <c r="Q402" s="57" t="inlineStr">
        <is>
          <t>ONSITE</t>
        </is>
      </c>
    </row>
    <row r="403">
      <c r="O403" s="57" t="inlineStr">
        <is>
          <t>9109</t>
        </is>
      </c>
      <c r="P403" s="57" t="inlineStr">
        <is>
          <t>ONSITE - Marketing</t>
        </is>
      </c>
      <c r="Q403" s="57" t="inlineStr">
        <is>
          <t>ONSITE</t>
        </is>
      </c>
    </row>
    <row r="404">
      <c r="O404" s="57" t="inlineStr">
        <is>
          <t>9125</t>
        </is>
      </c>
      <c r="P404" s="57" t="inlineStr">
        <is>
          <t>VIDEO DEPT</t>
        </is>
      </c>
      <c r="Q404" s="57" t="inlineStr">
        <is>
          <t>VIDEO</t>
        </is>
      </c>
    </row>
    <row r="405">
      <c r="O405" s="57" t="inlineStr">
        <is>
          <t>9126</t>
        </is>
      </c>
      <c r="P405" s="57" t="inlineStr">
        <is>
          <t>VIDEO - Orientation</t>
        </is>
      </c>
      <c r="Q405" s="57" t="inlineStr">
        <is>
          <t>VIDEO</t>
        </is>
      </c>
    </row>
    <row r="406">
      <c r="O406" s="57" t="inlineStr">
        <is>
          <t>9127</t>
        </is>
      </c>
      <c r="P406" s="57" t="inlineStr">
        <is>
          <t>VIDEO - Assets</t>
        </is>
      </c>
      <c r="Q406" s="57" t="inlineStr">
        <is>
          <t>VIDEO</t>
        </is>
      </c>
    </row>
    <row r="407">
      <c r="O407" s="57" t="inlineStr">
        <is>
          <t>9128</t>
        </is>
      </c>
      <c r="P407" s="57" t="inlineStr">
        <is>
          <t>VIDEO - Sales</t>
        </is>
      </c>
      <c r="Q407" s="57" t="inlineStr">
        <is>
          <t>VIDEO</t>
        </is>
      </c>
    </row>
    <row r="408">
      <c r="O408" s="57" t="inlineStr">
        <is>
          <t>9129</t>
        </is>
      </c>
      <c r="P408" s="57" t="inlineStr">
        <is>
          <t>VIDEO - Marketing</t>
        </is>
      </c>
      <c r="Q408" s="57" t="inlineStr">
        <is>
          <t>VIDEO</t>
        </is>
      </c>
    </row>
    <row r="409">
      <c r="O409" s="57" t="inlineStr">
        <is>
          <t>9150</t>
        </is>
      </c>
      <c r="P409" s="57" t="inlineStr">
        <is>
          <t>PRODUCTION - Assets</t>
        </is>
      </c>
      <c r="Q409" s="57" t="inlineStr">
        <is>
          <t>PRODUCTION</t>
        </is>
      </c>
    </row>
    <row r="410">
      <c r="O410" s="57" t="inlineStr">
        <is>
          <t>9175</t>
        </is>
      </c>
      <c r="P410" s="57" t="inlineStr">
        <is>
          <t>PRODUCTION - Sales</t>
        </is>
      </c>
      <c r="Q410" s="57" t="inlineStr">
        <is>
          <t>PRODUCTION</t>
        </is>
      </c>
    </row>
    <row r="411">
      <c r="O411" s="57" t="inlineStr">
        <is>
          <t>9176</t>
        </is>
      </c>
      <c r="P411" s="57" t="inlineStr">
        <is>
          <t>Production - Marketing</t>
        </is>
      </c>
      <c r="Q411" s="57" t="inlineStr">
        <is>
          <t>PRODUCTION</t>
        </is>
      </c>
    </row>
    <row r="412">
      <c r="O412" s="57" t="inlineStr">
        <is>
          <t>9178</t>
        </is>
      </c>
      <c r="P412" s="57" t="inlineStr">
        <is>
          <t>Production – Webcasts</t>
        </is>
      </c>
      <c r="Q412" s="57" t="inlineStr">
        <is>
          <t>PRODUCTION</t>
        </is>
      </c>
    </row>
    <row r="413">
      <c r="O413" s="57" t="inlineStr">
        <is>
          <t>9200</t>
        </is>
      </c>
      <c r="P413" s="57" t="inlineStr">
        <is>
          <t>INTEGRATION</t>
        </is>
      </c>
      <c r="Q413" s="57" t="inlineStr">
        <is>
          <t>INTEGRATION</t>
        </is>
      </c>
    </row>
    <row r="414">
      <c r="O414" s="57" t="inlineStr">
        <is>
          <t>9201</t>
        </is>
      </c>
      <c r="P414" s="57" t="inlineStr">
        <is>
          <t>INTEGRATION - Orientation [INT</t>
        </is>
      </c>
      <c r="Q414" s="57" t="inlineStr"/>
    </row>
    <row r="415">
      <c r="O415" s="57" t="inlineStr">
        <is>
          <t>9202</t>
        </is>
      </c>
      <c r="P415" s="57" t="inlineStr">
        <is>
          <t>INTEGRATION - Quotes</t>
        </is>
      </c>
      <c r="Q415" s="57" t="inlineStr">
        <is>
          <t>INTEGRATION</t>
        </is>
      </c>
    </row>
    <row r="416">
      <c r="O416" s="57" t="inlineStr">
        <is>
          <t>9225</t>
        </is>
      </c>
      <c r="P416" s="57" t="inlineStr">
        <is>
          <t>Integration - SALES</t>
        </is>
      </c>
      <c r="Q416" s="57" t="inlineStr">
        <is>
          <t>INTEGRATION</t>
        </is>
      </c>
    </row>
    <row r="417">
      <c r="O417" s="57" t="inlineStr">
        <is>
          <t>9226</t>
        </is>
      </c>
      <c r="P417" s="57" t="inlineStr">
        <is>
          <t>Integration - Marketing</t>
        </is>
      </c>
      <c r="Q417" s="57" t="inlineStr">
        <is>
          <t>INTEGRATION</t>
        </is>
      </c>
    </row>
    <row r="418">
      <c r="O418" s="57" t="inlineStr">
        <is>
          <t>9300</t>
        </is>
      </c>
      <c r="P418" s="57" t="inlineStr">
        <is>
          <t>HUMAN RESOURCES</t>
        </is>
      </c>
      <c r="Q418" s="57" t="inlineStr">
        <is>
          <t>CTS</t>
        </is>
      </c>
    </row>
    <row r="419">
      <c r="O419" s="57" t="inlineStr">
        <is>
          <t>9301</t>
        </is>
      </c>
      <c r="P419" s="57" t="inlineStr">
        <is>
          <t>Recruitment</t>
        </is>
      </c>
      <c r="Q419" s="57" t="inlineStr">
        <is>
          <t>CTS</t>
        </is>
      </c>
    </row>
    <row r="420">
      <c r="O420" s="57" t="inlineStr">
        <is>
          <t>9350</t>
        </is>
      </c>
      <c r="P420" s="57" t="inlineStr">
        <is>
          <t>MARKETING (external)</t>
        </is>
      </c>
      <c r="Q420" s="57" t="inlineStr">
        <is>
          <t>CTS</t>
        </is>
      </c>
    </row>
    <row r="421">
      <c r="O421" s="57" t="inlineStr">
        <is>
          <t>9375</t>
        </is>
      </c>
      <c r="P421" s="57" t="inlineStr">
        <is>
          <t>MARKETING / COMMS</t>
        </is>
      </c>
      <c r="Q421" s="57" t="inlineStr">
        <is>
          <t>CTS</t>
        </is>
      </c>
    </row>
    <row r="422">
      <c r="O422" s="57" t="inlineStr">
        <is>
          <t>9400</t>
        </is>
      </c>
      <c r="P422" s="57" t="inlineStr">
        <is>
          <t>CONSULTING</t>
        </is>
      </c>
      <c r="Q422" s="57" t="inlineStr">
        <is>
          <t>CONSULTING</t>
        </is>
      </c>
    </row>
    <row r="423">
      <c r="O423" s="57" t="inlineStr">
        <is>
          <t>9402</t>
        </is>
      </c>
      <c r="P423" s="57" t="inlineStr">
        <is>
          <t>CONSULTING - Assets</t>
        </is>
      </c>
      <c r="Q423" s="57" t="inlineStr">
        <is>
          <t>CONSULTING</t>
        </is>
      </c>
    </row>
    <row r="424">
      <c r="O424" s="57" t="inlineStr">
        <is>
          <t>9403</t>
        </is>
      </c>
      <c r="P424" s="57" t="inlineStr">
        <is>
          <t>CONSULTING - Sales</t>
        </is>
      </c>
      <c r="Q424" s="57" t="inlineStr">
        <is>
          <t>CONSULTING</t>
        </is>
      </c>
    </row>
    <row r="425">
      <c r="O425" s="57" t="inlineStr">
        <is>
          <t>9405</t>
        </is>
      </c>
      <c r="P425" s="57" t="inlineStr">
        <is>
          <t>CONSULTING - Marketing</t>
        </is>
      </c>
      <c r="Q425" s="57" t="inlineStr">
        <is>
          <t>CONSULTING</t>
        </is>
      </c>
    </row>
    <row r="426">
      <c r="O426" s="57" t="inlineStr">
        <is>
          <t>9407</t>
        </is>
      </c>
      <c r="P426" s="57" t="inlineStr">
        <is>
          <t>CONSULTING - Training</t>
        </is>
      </c>
      <c r="Q426" s="57" t="inlineStr">
        <is>
          <t>CONSULTING</t>
        </is>
      </c>
    </row>
    <row r="427">
      <c r="O427" s="57" t="inlineStr">
        <is>
          <t>974</t>
        </is>
      </c>
      <c r="P427" s="57" t="inlineStr">
        <is>
          <t>DTTL 1300 Number</t>
        </is>
      </c>
      <c r="Q427" s="5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2026-09-17T01:50:57Z</dcterms:created>
  <dcterms:modified xsi:type="dcterms:W3CDTF">2026-09-17T01:50:58Z</dcterms:modified>
</cp:coreProperties>
</file>